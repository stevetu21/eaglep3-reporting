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Enforcements!$A$6:$AC$32</definedName>
    <definedName name="_xlnm._FilterDatabase" localSheetId="2" hidden="1">'Missing Trips'!$A$2:$J$26</definedName>
    <definedName name="_xlnm._FilterDatabase" localSheetId="0" hidden="1">'Train Runs'!$A$12:$AG$456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84" i="1" l="1"/>
  <c r="X180" i="1"/>
  <c r="X181" i="1"/>
  <c r="K179" i="1"/>
  <c r="L179" i="1"/>
  <c r="M179" i="1"/>
  <c r="N179" i="1" s="1"/>
  <c r="V179" i="1"/>
  <c r="AA179" i="1"/>
  <c r="AB179" i="1"/>
  <c r="AC179" i="1"/>
  <c r="AD179" i="1"/>
  <c r="T179" i="1" s="1"/>
  <c r="AE179" i="1"/>
  <c r="AF179" i="1"/>
  <c r="AH179" i="1"/>
  <c r="AM179" i="1"/>
  <c r="AN179" i="1"/>
  <c r="AO179" i="1"/>
  <c r="N158" i="1"/>
  <c r="AN158" i="1"/>
  <c r="X158" i="1"/>
  <c r="N157" i="1"/>
  <c r="K157" i="1"/>
  <c r="L157" i="1"/>
  <c r="M157" i="1"/>
  <c r="V157" i="1"/>
  <c r="Y157" i="1"/>
  <c r="Z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6" i="1"/>
  <c r="L156" i="1"/>
  <c r="M156" i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X153" i="1"/>
  <c r="X154" i="1"/>
  <c r="K109" i="1"/>
  <c r="L109" i="1"/>
  <c r="M109" i="1"/>
  <c r="N109" i="1"/>
  <c r="V109" i="1"/>
  <c r="AA109" i="1"/>
  <c r="AB109" i="1"/>
  <c r="AC109" i="1"/>
  <c r="AD109" i="1"/>
  <c r="T109" i="1" s="1"/>
  <c r="AE109" i="1"/>
  <c r="AF109" i="1"/>
  <c r="AH109" i="1"/>
  <c r="AM109" i="1"/>
  <c r="AN109" i="1"/>
  <c r="AO109" i="1"/>
  <c r="K107" i="1"/>
  <c r="L107" i="1"/>
  <c r="M107" i="1"/>
  <c r="N107" i="1" s="1"/>
  <c r="V107" i="1"/>
  <c r="AA107" i="1"/>
  <c r="AB107" i="1"/>
  <c r="AC107" i="1"/>
  <c r="AD107" i="1"/>
  <c r="AE107" i="1"/>
  <c r="AF107" i="1"/>
  <c r="AH107" i="1"/>
  <c r="AM107" i="1"/>
  <c r="AN107" i="1"/>
  <c r="AO107" i="1"/>
  <c r="K102" i="1"/>
  <c r="L102" i="1"/>
  <c r="M102" i="1"/>
  <c r="N102" i="1" s="1"/>
  <c r="V102" i="1"/>
  <c r="AA102" i="1"/>
  <c r="AB102" i="1"/>
  <c r="AC102" i="1"/>
  <c r="AD102" i="1"/>
  <c r="T102" i="1" s="1"/>
  <c r="AE102" i="1"/>
  <c r="AF102" i="1"/>
  <c r="AH102" i="1"/>
  <c r="AM102" i="1"/>
  <c r="AN102" i="1"/>
  <c r="AO102" i="1"/>
  <c r="K100" i="1"/>
  <c r="L100" i="1"/>
  <c r="M100" i="1"/>
  <c r="N100" i="1" s="1"/>
  <c r="V100" i="1"/>
  <c r="AA100" i="1"/>
  <c r="AB100" i="1"/>
  <c r="AC100" i="1"/>
  <c r="AD100" i="1"/>
  <c r="T100" i="1" s="1"/>
  <c r="AE100" i="1"/>
  <c r="AF100" i="1"/>
  <c r="AH100" i="1"/>
  <c r="AM100" i="1"/>
  <c r="AN100" i="1"/>
  <c r="AO100" i="1"/>
  <c r="X93" i="1"/>
  <c r="K15" i="1"/>
  <c r="L15" i="1"/>
  <c r="M15" i="1"/>
  <c r="N15" i="1" s="1"/>
  <c r="V15" i="1"/>
  <c r="AA15" i="1"/>
  <c r="AB15" i="1"/>
  <c r="AC15" i="1"/>
  <c r="AD15" i="1"/>
  <c r="T15" i="1" s="1"/>
  <c r="AE15" i="1"/>
  <c r="AF15" i="1"/>
  <c r="AH15" i="1"/>
  <c r="AM15" i="1"/>
  <c r="AN15" i="1"/>
  <c r="AO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R10" i="3" s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S7" i="3" s="1"/>
  <c r="Y55" i="1"/>
  <c r="Z55" i="1"/>
  <c r="AB55" i="1"/>
  <c r="AC55" i="1"/>
  <c r="AD55" i="1"/>
  <c r="AE55" i="1"/>
  <c r="R7" i="3" s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AA57" i="1" s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S9" i="3" s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T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T82" i="1"/>
  <c r="V82" i="1"/>
  <c r="Y82" i="1"/>
  <c r="Z82" i="1"/>
  <c r="AA82" i="1" s="1"/>
  <c r="AB82" i="1"/>
  <c r="AC82" i="1"/>
  <c r="AD82" i="1"/>
  <c r="X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AO93" i="1"/>
  <c r="K160" i="1"/>
  <c r="L160" i="1"/>
  <c r="M160" i="1"/>
  <c r="V160" i="1"/>
  <c r="Y160" i="1"/>
  <c r="Z160" i="1"/>
  <c r="AB160" i="1"/>
  <c r="AC160" i="1"/>
  <c r="AD160" i="1"/>
  <c r="T160" i="1" s="1"/>
  <c r="AE160" i="1"/>
  <c r="R14" i="3" s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AO95" i="1"/>
  <c r="K162" i="1"/>
  <c r="L162" i="1"/>
  <c r="M162" i="1"/>
  <c r="N162" i="1" s="1"/>
  <c r="V162" i="1"/>
  <c r="S12" i="3" s="1"/>
  <c r="Y162" i="1"/>
  <c r="Z162" i="1"/>
  <c r="AB162" i="1"/>
  <c r="AC162" i="1"/>
  <c r="AD162" i="1"/>
  <c r="T162" i="1" s="1"/>
  <c r="AE162" i="1"/>
  <c r="R12" i="3" s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AO104" i="1"/>
  <c r="K93" i="1"/>
  <c r="L93" i="1"/>
  <c r="M93" i="1"/>
  <c r="N93" i="1" s="1"/>
  <c r="V93" i="1"/>
  <c r="Y93" i="1"/>
  <c r="AA93" i="1" s="1"/>
  <c r="Z93" i="1"/>
  <c r="AB93" i="1"/>
  <c r="AC93" i="1"/>
  <c r="AD93" i="1"/>
  <c r="T93" i="1" s="1"/>
  <c r="AE93" i="1"/>
  <c r="AF93" i="1"/>
  <c r="AH105" i="1"/>
  <c r="AM105" i="1"/>
  <c r="AN105" i="1"/>
  <c r="AO105" i="1"/>
  <c r="K169" i="1"/>
  <c r="L169" i="1"/>
  <c r="M169" i="1"/>
  <c r="N169" i="1" s="1"/>
  <c r="V169" i="1"/>
  <c r="S16" i="3" s="1"/>
  <c r="Y169" i="1"/>
  <c r="Z169" i="1"/>
  <c r="AB169" i="1"/>
  <c r="AC169" i="1"/>
  <c r="AD169" i="1"/>
  <c r="T169" i="1" s="1"/>
  <c r="AE169" i="1"/>
  <c r="R16" i="3" s="1"/>
  <c r="AF169" i="1"/>
  <c r="AH106" i="1"/>
  <c r="AM106" i="1"/>
  <c r="AN106" i="1"/>
  <c r="AO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8" i="1"/>
  <c r="AM108" i="1"/>
  <c r="AN108" i="1"/>
  <c r="AO108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10" i="1"/>
  <c r="AM110" i="1"/>
  <c r="AN110" i="1"/>
  <c r="AO110" i="1"/>
  <c r="K172" i="1"/>
  <c r="L172" i="1"/>
  <c r="M172" i="1"/>
  <c r="V172" i="1"/>
  <c r="S15" i="3" s="1"/>
  <c r="Y172" i="1"/>
  <c r="Z172" i="1"/>
  <c r="AB172" i="1"/>
  <c r="AC172" i="1"/>
  <c r="AD172" i="1"/>
  <c r="T172" i="1" s="1"/>
  <c r="AE172" i="1"/>
  <c r="R15" i="3" s="1"/>
  <c r="AF172" i="1"/>
  <c r="AH111" i="1"/>
  <c r="AM111" i="1"/>
  <c r="AN111" i="1"/>
  <c r="AO11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2" i="1"/>
  <c r="AM112" i="1"/>
  <c r="AN112" i="1"/>
  <c r="AO11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3" i="1"/>
  <c r="AM113" i="1"/>
  <c r="AN113" i="1"/>
  <c r="AO11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4" i="1"/>
  <c r="AM114" i="1"/>
  <c r="AN114" i="1"/>
  <c r="AO114" i="1"/>
  <c r="K176" i="1"/>
  <c r="L176" i="1"/>
  <c r="M176" i="1"/>
  <c r="N176" i="1" s="1"/>
  <c r="V176" i="1"/>
  <c r="S13" i="3" s="1"/>
  <c r="Y176" i="1"/>
  <c r="Z176" i="1"/>
  <c r="AB176" i="1"/>
  <c r="AC176" i="1"/>
  <c r="AD176" i="1"/>
  <c r="AE176" i="1"/>
  <c r="R13" i="3" s="1"/>
  <c r="AF176" i="1"/>
  <c r="AH115" i="1"/>
  <c r="AM115" i="1"/>
  <c r="AN115" i="1"/>
  <c r="AO11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6" i="1"/>
  <c r="AM116" i="1"/>
  <c r="AN116" i="1"/>
  <c r="AO11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7" i="1"/>
  <c r="AM117" i="1"/>
  <c r="AN117" i="1"/>
  <c r="AO117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8" i="1"/>
  <c r="AM118" i="1"/>
  <c r="AN118" i="1"/>
  <c r="AO1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9" i="1"/>
  <c r="AM119" i="1"/>
  <c r="AN119" i="1"/>
  <c r="AO11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20" i="1"/>
  <c r="AM120" i="1"/>
  <c r="AN120" i="1"/>
  <c r="AO12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1" i="1"/>
  <c r="AM121" i="1"/>
  <c r="AN121" i="1"/>
  <c r="AO1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2" i="1"/>
  <c r="AM122" i="1"/>
  <c r="AN122" i="1"/>
  <c r="AO122" i="1"/>
  <c r="K184" i="1"/>
  <c r="L184" i="1"/>
  <c r="V184" i="1"/>
  <c r="Y184" i="1"/>
  <c r="Z184" i="1"/>
  <c r="AB184" i="1"/>
  <c r="AC184" i="1"/>
  <c r="AD184" i="1"/>
  <c r="AE184" i="1"/>
  <c r="AH123" i="1"/>
  <c r="AM123" i="1"/>
  <c r="AN123" i="1"/>
  <c r="AO12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4" i="1"/>
  <c r="AM124" i="1"/>
  <c r="AN124" i="1"/>
  <c r="AO12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5" i="1"/>
  <c r="AM125" i="1"/>
  <c r="AN125" i="1"/>
  <c r="AO1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6" i="1"/>
  <c r="AM126" i="1"/>
  <c r="AN126" i="1"/>
  <c r="AO12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7" i="1"/>
  <c r="AM127" i="1"/>
  <c r="AN127" i="1"/>
  <c r="AO127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8" i="1"/>
  <c r="AM128" i="1"/>
  <c r="AN128" i="1"/>
  <c r="AO12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9" i="1"/>
  <c r="AM129" i="1"/>
  <c r="AN129" i="1"/>
  <c r="AO12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0" i="1"/>
  <c r="AM130" i="1"/>
  <c r="AN130" i="1"/>
  <c r="AO13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1" i="1"/>
  <c r="AM131" i="1"/>
  <c r="AN131" i="1"/>
  <c r="AO13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2" i="1"/>
  <c r="AM132" i="1"/>
  <c r="AN132" i="1"/>
  <c r="AO13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3" i="1"/>
  <c r="AM133" i="1"/>
  <c r="AN133" i="1"/>
  <c r="AO13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4" i="1"/>
  <c r="AM134" i="1"/>
  <c r="AN134" i="1"/>
  <c r="AO13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5" i="1"/>
  <c r="AM135" i="1"/>
  <c r="AN135" i="1"/>
  <c r="AO135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6" i="1"/>
  <c r="AM136" i="1"/>
  <c r="AN136" i="1"/>
  <c r="AO136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7" i="1"/>
  <c r="AM137" i="1"/>
  <c r="AN137" i="1"/>
  <c r="AO137" i="1"/>
  <c r="K99" i="1"/>
  <c r="L99" i="1"/>
  <c r="M99" i="1"/>
  <c r="N99" i="1" s="1"/>
  <c r="V99" i="1"/>
  <c r="S11" i="3" s="1"/>
  <c r="Y99" i="1"/>
  <c r="Z99" i="1"/>
  <c r="AB99" i="1"/>
  <c r="AC99" i="1"/>
  <c r="AD99" i="1"/>
  <c r="AE99" i="1"/>
  <c r="R11" i="3" s="1"/>
  <c r="AF99" i="1"/>
  <c r="AH138" i="1"/>
  <c r="AM138" i="1"/>
  <c r="AN138" i="1"/>
  <c r="AO138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39" i="1"/>
  <c r="AM139" i="1"/>
  <c r="AN139" i="1"/>
  <c r="AO13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40" i="1"/>
  <c r="AM140" i="1"/>
  <c r="AN140" i="1"/>
  <c r="AO14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41" i="1"/>
  <c r="AM141" i="1"/>
  <c r="AN141" i="1"/>
  <c r="AO141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3" i="1"/>
  <c r="AM143" i="1"/>
  <c r="AN143" i="1"/>
  <c r="AO143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4" i="1"/>
  <c r="AM144" i="1"/>
  <c r="AN144" i="1"/>
  <c r="AO144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AM148" i="1"/>
  <c r="AN148" i="1"/>
  <c r="AO148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AM151" i="1"/>
  <c r="AN151" i="1"/>
  <c r="AO151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2" i="1"/>
  <c r="AM152" i="1"/>
  <c r="AN152" i="1"/>
  <c r="AO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AO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AO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AO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AM158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AO164" i="1"/>
  <c r="K127" i="1"/>
  <c r="L127" i="1"/>
  <c r="M127" i="1"/>
  <c r="N127" i="1"/>
  <c r="V127" i="1"/>
  <c r="Y127" i="1"/>
  <c r="Z127" i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N128" i="1" s="1"/>
  <c r="T128" i="1"/>
  <c r="V128" i="1"/>
  <c r="Y128" i="1"/>
  <c r="Z128" i="1"/>
  <c r="AA128" i="1" s="1"/>
  <c r="AB128" i="1"/>
  <c r="AC128" i="1"/>
  <c r="AD128" i="1"/>
  <c r="X128" i="1" s="1"/>
  <c r="AE128" i="1"/>
  <c r="AF128" i="1"/>
  <c r="AH166" i="1"/>
  <c r="AM166" i="1"/>
  <c r="AN166" i="1"/>
  <c r="AO166" i="1"/>
  <c r="K129" i="1"/>
  <c r="L129" i="1"/>
  <c r="M129" i="1"/>
  <c r="N129" i="1" s="1"/>
  <c r="T129" i="1"/>
  <c r="V129" i="1"/>
  <c r="Y129" i="1"/>
  <c r="Z129" i="1"/>
  <c r="AA129" i="1" s="1"/>
  <c r="AB129" i="1"/>
  <c r="AC129" i="1"/>
  <c r="AD129" i="1"/>
  <c r="X129" i="1" s="1"/>
  <c r="AE129" i="1"/>
  <c r="AF129" i="1"/>
  <c r="AH167" i="1"/>
  <c r="AM167" i="1"/>
  <c r="AN167" i="1"/>
  <c r="AO167" i="1"/>
  <c r="K130" i="1"/>
  <c r="L130" i="1"/>
  <c r="M130" i="1"/>
  <c r="N130" i="1" s="1"/>
  <c r="T130" i="1"/>
  <c r="V130" i="1"/>
  <c r="Y130" i="1"/>
  <c r="Z130" i="1"/>
  <c r="AA130" i="1" s="1"/>
  <c r="AB130" i="1"/>
  <c r="AC130" i="1"/>
  <c r="AD130" i="1"/>
  <c r="X130" i="1" s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R8" i="3" s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M184" i="1"/>
  <c r="AN18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6" i="1"/>
  <c r="AM186" i="1"/>
  <c r="AN186" i="1"/>
  <c r="AO186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1" i="1"/>
  <c r="AM191" i="1"/>
  <c r="AN191" i="1"/>
  <c r="AO191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5" i="1"/>
  <c r="AM195" i="1"/>
  <c r="AN195" i="1"/>
  <c r="AO195" i="1"/>
  <c r="K158" i="1"/>
  <c r="L158" i="1"/>
  <c r="V158" i="1"/>
  <c r="Y158" i="1"/>
  <c r="Z158" i="1"/>
  <c r="AB158" i="1"/>
  <c r="AC158" i="1"/>
  <c r="AD158" i="1"/>
  <c r="AE158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S17" i="3" s="1"/>
  <c r="Y201" i="1"/>
  <c r="Z201" i="1"/>
  <c r="AB201" i="1"/>
  <c r="AC201" i="1"/>
  <c r="AD201" i="1"/>
  <c r="AE201" i="1"/>
  <c r="R17" i="3" s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9" i="1"/>
  <c r="L209" i="1"/>
  <c r="M209" i="1"/>
  <c r="N209" i="1" s="1"/>
  <c r="V209" i="1"/>
  <c r="S18" i="3" s="1"/>
  <c r="Y209" i="1"/>
  <c r="Z209" i="1"/>
  <c r="AB209" i="1"/>
  <c r="AC209" i="1"/>
  <c r="AD209" i="1"/>
  <c r="T209" i="1" s="1"/>
  <c r="AE209" i="1"/>
  <c r="R18" i="3" s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M10" i="3"/>
  <c r="S10" i="3"/>
  <c r="U10" i="3"/>
  <c r="T10" i="3" s="1"/>
  <c r="V10" i="3"/>
  <c r="X10" i="3"/>
  <c r="M14" i="3"/>
  <c r="S14" i="3"/>
  <c r="U14" i="3"/>
  <c r="V14" i="3"/>
  <c r="X14" i="3"/>
  <c r="M12" i="3"/>
  <c r="U12" i="3"/>
  <c r="AC12" i="3" s="1"/>
  <c r="V12" i="3"/>
  <c r="X12" i="3"/>
  <c r="M7" i="3"/>
  <c r="U7" i="3"/>
  <c r="T7" i="3" s="1"/>
  <c r="V7" i="3"/>
  <c r="X7" i="3"/>
  <c r="M16" i="3"/>
  <c r="U16" i="3"/>
  <c r="V16" i="3"/>
  <c r="X16" i="3"/>
  <c r="M9" i="3"/>
  <c r="R9" i="3"/>
  <c r="U9" i="3"/>
  <c r="AC9" i="3" s="1"/>
  <c r="V9" i="3"/>
  <c r="X9" i="3"/>
  <c r="M15" i="3"/>
  <c r="U15" i="3"/>
  <c r="V15" i="3"/>
  <c r="X15" i="3"/>
  <c r="M18" i="3"/>
  <c r="U18" i="3"/>
  <c r="T18" i="3" s="1"/>
  <c r="V18" i="3"/>
  <c r="X18" i="3"/>
  <c r="M13" i="3"/>
  <c r="U13" i="3"/>
  <c r="V13" i="3"/>
  <c r="X13" i="3"/>
  <c r="M11" i="3"/>
  <c r="U11" i="3"/>
  <c r="AC11" i="3" s="1"/>
  <c r="V11" i="3"/>
  <c r="X11" i="3"/>
  <c r="M8" i="3"/>
  <c r="S8" i="3"/>
  <c r="U8" i="3"/>
  <c r="T8" i="3" s="1"/>
  <c r="V8" i="3"/>
  <c r="X8" i="3"/>
  <c r="M28" i="5"/>
  <c r="M17" i="3"/>
  <c r="U17" i="3"/>
  <c r="T17" i="3" s="1"/>
  <c r="V17" i="3"/>
  <c r="X17" i="3"/>
  <c r="AG179" i="1"/>
  <c r="AG157" i="1"/>
  <c r="AG156" i="1"/>
  <c r="AG109" i="1"/>
  <c r="AG107" i="1"/>
  <c r="AG102" i="1"/>
  <c r="AG100" i="1"/>
  <c r="AG15" i="1"/>
  <c r="AG14" i="1"/>
  <c r="AG18" i="1"/>
  <c r="AG26" i="1"/>
  <c r="AG34" i="1"/>
  <c r="AG42" i="1"/>
  <c r="AG50" i="1"/>
  <c r="AG27" i="1"/>
  <c r="AG58" i="1"/>
  <c r="AG20" i="1"/>
  <c r="AG30" i="1"/>
  <c r="AG40" i="1"/>
  <c r="AG52" i="1"/>
  <c r="AG43" i="1"/>
  <c r="AG64" i="1"/>
  <c r="AG23" i="1"/>
  <c r="AG55" i="1"/>
  <c r="AG65" i="1"/>
  <c r="AG72" i="1"/>
  <c r="AG76" i="1"/>
  <c r="AG80" i="1"/>
  <c r="AG84" i="1"/>
  <c r="AG88" i="1"/>
  <c r="AG91" i="1"/>
  <c r="AG37" i="1"/>
  <c r="AG53" i="1"/>
  <c r="AG164" i="1"/>
  <c r="AG126" i="1"/>
  <c r="AG130" i="1"/>
  <c r="AG134" i="1"/>
  <c r="AG138" i="1"/>
  <c r="AG142" i="1"/>
  <c r="AG146" i="1"/>
  <c r="AG150" i="1"/>
  <c r="AG153" i="1"/>
  <c r="AG195" i="1"/>
  <c r="AG199" i="1"/>
  <c r="AG33" i="1"/>
  <c r="AG169" i="1"/>
  <c r="AG178" i="1"/>
  <c r="AG193" i="1"/>
  <c r="AG112" i="1"/>
  <c r="AG93" i="1"/>
  <c r="AG181" i="1"/>
  <c r="AG97" i="1"/>
  <c r="AG115" i="1"/>
  <c r="AG203" i="1"/>
  <c r="AG211" i="1"/>
  <c r="AG217" i="1"/>
  <c r="AG103" i="1"/>
  <c r="AG121" i="1"/>
  <c r="AG215" i="1"/>
  <c r="AG176" i="1"/>
  <c r="AG191" i="1"/>
  <c r="AG110" i="1"/>
  <c r="AG161" i="1"/>
  <c r="AG183" i="1"/>
  <c r="AG32" i="1"/>
  <c r="AG44" i="1"/>
  <c r="AG51" i="1"/>
  <c r="AG66" i="1"/>
  <c r="AG59" i="1"/>
  <c r="AG67" i="1"/>
  <c r="AG73" i="1"/>
  <c r="AG81" i="1"/>
  <c r="AG85" i="1"/>
  <c r="AG89" i="1"/>
  <c r="AG41" i="1"/>
  <c r="AG22" i="1"/>
  <c r="AG54" i="1"/>
  <c r="AG31" i="1"/>
  <c r="AG77" i="1"/>
  <c r="AG17" i="1"/>
  <c r="AG36" i="1"/>
  <c r="AG56" i="1"/>
  <c r="AG68" i="1"/>
  <c r="AG61" i="1"/>
  <c r="AG74" i="1"/>
  <c r="AG82" i="1"/>
  <c r="AG90" i="1"/>
  <c r="AG45" i="1"/>
  <c r="AG160" i="1"/>
  <c r="AG127" i="1"/>
  <c r="AG132" i="1"/>
  <c r="AG137" i="1"/>
  <c r="AG143" i="1"/>
  <c r="AG148" i="1"/>
  <c r="AG196" i="1"/>
  <c r="AG201" i="1"/>
  <c r="AG166" i="1"/>
  <c r="AG182" i="1"/>
  <c r="AG208" i="1"/>
  <c r="AG124" i="1"/>
  <c r="AG185" i="1"/>
  <c r="AG105" i="1"/>
  <c r="AG202" i="1"/>
  <c r="AG213" i="1"/>
  <c r="AG194" i="1"/>
  <c r="AG117" i="1"/>
  <c r="AG218" i="1"/>
  <c r="AG184" i="1"/>
  <c r="AG104" i="1"/>
  <c r="AG163" i="1"/>
  <c r="AG190" i="1"/>
  <c r="AG16" i="1"/>
  <c r="AG38" i="1"/>
  <c r="AG35" i="1"/>
  <c r="AG70" i="1"/>
  <c r="AG63" i="1"/>
  <c r="AG75" i="1"/>
  <c r="AG83" i="1"/>
  <c r="AG49" i="1"/>
  <c r="AG168" i="1"/>
  <c r="AG128" i="1"/>
  <c r="AG133" i="1"/>
  <c r="AG139" i="1"/>
  <c r="AG144" i="1"/>
  <c r="AG149" i="1"/>
  <c r="AG154" i="1"/>
  <c r="AG197" i="1"/>
  <c r="AG25" i="1"/>
  <c r="AG165" i="1"/>
  <c r="AG186" i="1"/>
  <c r="AG106" i="1"/>
  <c r="AG170" i="1"/>
  <c r="AG95" i="1"/>
  <c r="AG111" i="1"/>
  <c r="AG205" i="1"/>
  <c r="AG214" i="1"/>
  <c r="AG99" i="1"/>
  <c r="AG204" i="1"/>
  <c r="AG159" i="1"/>
  <c r="AG188" i="1"/>
  <c r="AG114" i="1"/>
  <c r="AG175" i="1"/>
  <c r="AG24" i="1"/>
  <c r="AG46" i="1"/>
  <c r="AG60" i="1"/>
  <c r="AG39" i="1"/>
  <c r="AG69" i="1"/>
  <c r="AG78" i="1"/>
  <c r="AG86" i="1"/>
  <c r="AG29" i="1"/>
  <c r="AG57" i="1"/>
  <c r="AG171" i="1"/>
  <c r="AG129" i="1"/>
  <c r="AG135" i="1"/>
  <c r="AG140" i="1"/>
  <c r="AG145" i="1"/>
  <c r="AG151" i="1"/>
  <c r="AG155" i="1"/>
  <c r="AG198" i="1"/>
  <c r="AG92" i="1"/>
  <c r="AG167" i="1"/>
  <c r="AG189" i="1"/>
  <c r="AG116" i="1"/>
  <c r="AG173" i="1"/>
  <c r="AG192" i="1"/>
  <c r="AG119" i="1"/>
  <c r="AG206" i="1"/>
  <c r="AG216" i="1"/>
  <c r="AG108" i="1"/>
  <c r="AG209" i="1"/>
  <c r="AG172" i="1"/>
  <c r="AG96" i="1"/>
  <c r="AG118" i="1"/>
  <c r="AG94" i="1"/>
  <c r="AG28" i="1"/>
  <c r="AG48" i="1"/>
  <c r="AG62" i="1"/>
  <c r="AG47" i="1"/>
  <c r="AG71" i="1"/>
  <c r="AG79" i="1"/>
  <c r="AG87" i="1"/>
  <c r="AG21" i="1"/>
  <c r="AG19" i="1"/>
  <c r="AG125" i="1"/>
  <c r="AG131" i="1"/>
  <c r="AG136" i="1"/>
  <c r="AG141" i="1"/>
  <c r="AG147" i="1"/>
  <c r="AG152" i="1"/>
  <c r="AG158" i="1"/>
  <c r="AG200" i="1"/>
  <c r="AG162" i="1"/>
  <c r="AG174" i="1"/>
  <c r="AG98" i="1"/>
  <c r="AG120" i="1"/>
  <c r="AG177" i="1"/>
  <c r="AG207" i="1"/>
  <c r="AG123" i="1"/>
  <c r="AG210" i="1"/>
  <c r="AG219" i="1"/>
  <c r="AG113" i="1"/>
  <c r="AG212" i="1"/>
  <c r="AG180" i="1"/>
  <c r="AG101" i="1"/>
  <c r="AG122" i="1"/>
  <c r="AG187" i="1"/>
  <c r="W13" i="3"/>
  <c r="W7" i="3"/>
  <c r="W10" i="3"/>
  <c r="W9" i="3"/>
  <c r="W12" i="3"/>
  <c r="W18" i="3"/>
  <c r="W11" i="3"/>
  <c r="W8" i="3"/>
  <c r="W16" i="3"/>
  <c r="W15" i="3"/>
  <c r="W14" i="3"/>
  <c r="W17" i="3"/>
  <c r="AH184" i="1" l="1"/>
  <c r="AF184" i="1"/>
  <c r="M184" i="1"/>
  <c r="P184" i="1" s="1"/>
  <c r="AI179" i="1"/>
  <c r="U179" i="1"/>
  <c r="S179" i="1" s="1"/>
  <c r="W179" i="1"/>
  <c r="X179" i="1"/>
  <c r="AF158" i="1"/>
  <c r="AO158" i="1"/>
  <c r="U157" i="1"/>
  <c r="S157" i="1" s="1"/>
  <c r="AI157" i="1"/>
  <c r="W157" i="1"/>
  <c r="X157" i="1"/>
  <c r="AI156" i="1"/>
  <c r="U156" i="1"/>
  <c r="S156" i="1" s="1"/>
  <c r="W156" i="1"/>
  <c r="X156" i="1"/>
  <c r="X103" i="1"/>
  <c r="X199" i="1"/>
  <c r="AA91" i="1"/>
  <c r="AA87" i="1"/>
  <c r="W87" i="1" s="1"/>
  <c r="X92" i="1"/>
  <c r="AA197" i="1"/>
  <c r="AA151" i="1"/>
  <c r="T136" i="1"/>
  <c r="U136" i="1" s="1"/>
  <c r="S136" i="1" s="1"/>
  <c r="T134" i="1"/>
  <c r="AA88" i="1"/>
  <c r="AA84" i="1"/>
  <c r="X83" i="1"/>
  <c r="AA78" i="1"/>
  <c r="AA74" i="1"/>
  <c r="AA37" i="1"/>
  <c r="X107" i="1"/>
  <c r="X109" i="1"/>
  <c r="AA85" i="1"/>
  <c r="AA52" i="1"/>
  <c r="X90" i="1"/>
  <c r="X102" i="1"/>
  <c r="T107" i="1"/>
  <c r="U107" i="1" s="1"/>
  <c r="S107" i="1" s="1"/>
  <c r="AI109" i="1"/>
  <c r="U109" i="1"/>
  <c r="S109" i="1" s="1"/>
  <c r="W109" i="1"/>
  <c r="AI107" i="1"/>
  <c r="W107" i="1"/>
  <c r="AI102" i="1"/>
  <c r="U102" i="1"/>
  <c r="S102" i="1" s="1"/>
  <c r="W102" i="1"/>
  <c r="AI100" i="1"/>
  <c r="U100" i="1"/>
  <c r="S100" i="1" s="1"/>
  <c r="W100" i="1"/>
  <c r="X100" i="1"/>
  <c r="AA219" i="1"/>
  <c r="AA215" i="1"/>
  <c r="W215" i="1" s="1"/>
  <c r="AA211" i="1"/>
  <c r="AA205" i="1"/>
  <c r="AA148" i="1"/>
  <c r="AA140" i="1"/>
  <c r="W140" i="1" s="1"/>
  <c r="AA136" i="1"/>
  <c r="AA134" i="1"/>
  <c r="AA133" i="1"/>
  <c r="T133" i="1"/>
  <c r="U133" i="1" s="1"/>
  <c r="S133" i="1" s="1"/>
  <c r="AA122" i="1"/>
  <c r="AA118" i="1"/>
  <c r="AA114" i="1"/>
  <c r="AA110" i="1"/>
  <c r="W110" i="1" s="1"/>
  <c r="AA104" i="1"/>
  <c r="AA101" i="1"/>
  <c r="AA96" i="1"/>
  <c r="AA191" i="1"/>
  <c r="W191" i="1" s="1"/>
  <c r="AA188" i="1"/>
  <c r="AA184" i="1"/>
  <c r="AA180" i="1"/>
  <c r="AA176" i="1"/>
  <c r="W176" i="1" s="1"/>
  <c r="AA172" i="1"/>
  <c r="AA168" i="1"/>
  <c r="AA160" i="1"/>
  <c r="AA89" i="1"/>
  <c r="W89" i="1" s="1"/>
  <c r="AA80" i="1"/>
  <c r="AA72" i="1"/>
  <c r="AA21" i="1"/>
  <c r="AA19" i="1"/>
  <c r="W19" i="1" s="1"/>
  <c r="AA17" i="1"/>
  <c r="AA14" i="1"/>
  <c r="AA155" i="1"/>
  <c r="AA152" i="1"/>
  <c r="AA138" i="1"/>
  <c r="AA170" i="1"/>
  <c r="AA169" i="1"/>
  <c r="AA76" i="1"/>
  <c r="W76" i="1" s="1"/>
  <c r="AI15" i="1"/>
  <c r="U15" i="1"/>
  <c r="S15" i="1" s="1"/>
  <c r="W15" i="1"/>
  <c r="X15" i="1"/>
  <c r="AI14" i="1"/>
  <c r="U14" i="1"/>
  <c r="S14" i="1" s="1"/>
  <c r="W14" i="1"/>
  <c r="AD18" i="3"/>
  <c r="AE18" i="3"/>
  <c r="AD10" i="3"/>
  <c r="AC10" i="3"/>
  <c r="AA189" i="1"/>
  <c r="W189" i="1" s="1"/>
  <c r="AA182" i="1"/>
  <c r="AA174" i="1"/>
  <c r="AA161" i="1"/>
  <c r="AA83" i="1"/>
  <c r="W83" i="1" s="1"/>
  <c r="X126" i="1"/>
  <c r="X201" i="1"/>
  <c r="X152" i="1"/>
  <c r="X141" i="1"/>
  <c r="X125" i="1"/>
  <c r="AA117" i="1"/>
  <c r="W117" i="1" s="1"/>
  <c r="AA113" i="1"/>
  <c r="AA108" i="1"/>
  <c r="W108" i="1" s="1"/>
  <c r="AA99" i="1"/>
  <c r="AA194" i="1"/>
  <c r="AA190" i="1"/>
  <c r="AA187" i="1"/>
  <c r="AA183" i="1"/>
  <c r="AA94" i="1"/>
  <c r="W94" i="1" s="1"/>
  <c r="AA175" i="1"/>
  <c r="AA166" i="1"/>
  <c r="X88" i="1"/>
  <c r="X84" i="1"/>
  <c r="X72" i="1"/>
  <c r="AA49" i="1"/>
  <c r="W49" i="1" s="1"/>
  <c r="X143" i="1"/>
  <c r="X132" i="1"/>
  <c r="X200" i="1"/>
  <c r="X151" i="1"/>
  <c r="AA121" i="1"/>
  <c r="AA103" i="1"/>
  <c r="W103" i="1" s="1"/>
  <c r="AA217" i="1"/>
  <c r="AA213" i="1"/>
  <c r="W213" i="1" s="1"/>
  <c r="AA209" i="1"/>
  <c r="AA203" i="1"/>
  <c r="W203" i="1" s="1"/>
  <c r="X196" i="1"/>
  <c r="X195" i="1"/>
  <c r="AA146" i="1"/>
  <c r="AA145" i="1"/>
  <c r="AA144" i="1"/>
  <c r="AA143" i="1"/>
  <c r="W143" i="1" s="1"/>
  <c r="X138" i="1"/>
  <c r="AA132" i="1"/>
  <c r="W132" i="1" s="1"/>
  <c r="AA126" i="1"/>
  <c r="AA119" i="1"/>
  <c r="W119" i="1" s="1"/>
  <c r="AA111" i="1"/>
  <c r="AA207" i="1"/>
  <c r="W207" i="1" s="1"/>
  <c r="AA192" i="1"/>
  <c r="AA185" i="1"/>
  <c r="W185" i="1" s="1"/>
  <c r="AA181" i="1"/>
  <c r="AA177" i="1"/>
  <c r="W177" i="1" s="1"/>
  <c r="AA173" i="1"/>
  <c r="AA164" i="1"/>
  <c r="AA163" i="1"/>
  <c r="AA159" i="1"/>
  <c r="W159" i="1" s="1"/>
  <c r="T83" i="1"/>
  <c r="X81" i="1"/>
  <c r="X79" i="1"/>
  <c r="X77" i="1"/>
  <c r="X75" i="1"/>
  <c r="X73" i="1"/>
  <c r="AA42" i="1"/>
  <c r="W42" i="1" s="1"/>
  <c r="AA36" i="1"/>
  <c r="AA216" i="1"/>
  <c r="AA212" i="1"/>
  <c r="AA206" i="1"/>
  <c r="AA202" i="1"/>
  <c r="T198" i="1"/>
  <c r="X198" i="1"/>
  <c r="X155" i="1"/>
  <c r="X89" i="1"/>
  <c r="T89" i="1"/>
  <c r="U89" i="1" s="1"/>
  <c r="S89" i="1" s="1"/>
  <c r="T147" i="1"/>
  <c r="U147" i="1" s="1"/>
  <c r="S147" i="1" s="1"/>
  <c r="X147" i="1"/>
  <c r="T91" i="1"/>
  <c r="U91" i="1" s="1"/>
  <c r="S91" i="1" s="1"/>
  <c r="T127" i="1"/>
  <c r="U127" i="1" s="1"/>
  <c r="S127" i="1" s="1"/>
  <c r="X127" i="1"/>
  <c r="T158" i="1"/>
  <c r="T135" i="1"/>
  <c r="U135" i="1" s="1"/>
  <c r="S135" i="1" s="1"/>
  <c r="X135" i="1"/>
  <c r="AA218" i="1"/>
  <c r="AA214" i="1"/>
  <c r="W214" i="1" s="1"/>
  <c r="AA210" i="1"/>
  <c r="W210" i="1" s="1"/>
  <c r="AA204" i="1"/>
  <c r="AA153" i="1"/>
  <c r="AA147" i="1"/>
  <c r="AA139" i="1"/>
  <c r="AA131" i="1"/>
  <c r="T131" i="1"/>
  <c r="U131" i="1" s="1"/>
  <c r="S131" i="1" s="1"/>
  <c r="AA123" i="1"/>
  <c r="AA116" i="1"/>
  <c r="W116" i="1" s="1"/>
  <c r="AA105" i="1"/>
  <c r="W105" i="1" s="1"/>
  <c r="AA98" i="1"/>
  <c r="AA95" i="1"/>
  <c r="X148" i="1"/>
  <c r="T145" i="1"/>
  <c r="U145" i="1" s="1"/>
  <c r="S145" i="1" s="1"/>
  <c r="X145" i="1"/>
  <c r="AA201" i="1"/>
  <c r="AA199" i="1"/>
  <c r="W199" i="1" s="1"/>
  <c r="AA198" i="1"/>
  <c r="AA154" i="1"/>
  <c r="X149" i="1"/>
  <c r="X140" i="1"/>
  <c r="X139" i="1"/>
  <c r="T137" i="1"/>
  <c r="U137" i="1" s="1"/>
  <c r="S137" i="1" s="1"/>
  <c r="X137" i="1"/>
  <c r="AA135" i="1"/>
  <c r="W135" i="1" s="1"/>
  <c r="AA127" i="1"/>
  <c r="W127" i="1" s="1"/>
  <c r="AA124" i="1"/>
  <c r="AA115" i="1"/>
  <c r="AA106" i="1"/>
  <c r="AA97" i="1"/>
  <c r="W97" i="1" s="1"/>
  <c r="T84" i="1"/>
  <c r="U84" i="1" s="1"/>
  <c r="S84" i="1" s="1"/>
  <c r="AA195" i="1"/>
  <c r="AA158" i="1"/>
  <c r="W158" i="1" s="1"/>
  <c r="AA150" i="1"/>
  <c r="W150" i="1" s="1"/>
  <c r="AA149" i="1"/>
  <c r="W149" i="1" s="1"/>
  <c r="AA142" i="1"/>
  <c r="AA141" i="1"/>
  <c r="AA120" i="1"/>
  <c r="W120" i="1" s="1"/>
  <c r="AA112" i="1"/>
  <c r="W112" i="1" s="1"/>
  <c r="AA208" i="1"/>
  <c r="AA193" i="1"/>
  <c r="W193" i="1" s="1"/>
  <c r="AA186" i="1"/>
  <c r="W186" i="1" s="1"/>
  <c r="AA178" i="1"/>
  <c r="W178" i="1" s="1"/>
  <c r="AA167" i="1"/>
  <c r="AA162" i="1"/>
  <c r="X87" i="1"/>
  <c r="X86" i="1"/>
  <c r="AA56" i="1"/>
  <c r="AA55" i="1"/>
  <c r="AA53" i="1"/>
  <c r="W53" i="1" s="1"/>
  <c r="AA41" i="1"/>
  <c r="AA40" i="1"/>
  <c r="AA32" i="1"/>
  <c r="X85" i="1"/>
  <c r="AA81" i="1"/>
  <c r="X80" i="1"/>
  <c r="AA79" i="1"/>
  <c r="W79" i="1" s="1"/>
  <c r="X78" i="1"/>
  <c r="AA77" i="1"/>
  <c r="X76" i="1"/>
  <c r="AA75" i="1"/>
  <c r="W75" i="1" s="1"/>
  <c r="X74" i="1"/>
  <c r="AA73" i="1"/>
  <c r="AA71" i="1"/>
  <c r="AA70" i="1"/>
  <c r="W70" i="1" s="1"/>
  <c r="AA69" i="1"/>
  <c r="W69" i="1" s="1"/>
  <c r="AA68" i="1"/>
  <c r="AA67" i="1"/>
  <c r="AA45" i="1"/>
  <c r="W45" i="1" s="1"/>
  <c r="AA44" i="1"/>
  <c r="W44" i="1" s="1"/>
  <c r="AA28" i="1"/>
  <c r="AA165" i="1"/>
  <c r="AA92" i="1"/>
  <c r="W92" i="1" s="1"/>
  <c r="AA48" i="1"/>
  <c r="W48" i="1" s="1"/>
  <c r="AA24" i="1"/>
  <c r="AI130" i="1"/>
  <c r="AI126" i="1"/>
  <c r="AI122" i="1"/>
  <c r="AI118" i="1"/>
  <c r="AI114" i="1"/>
  <c r="U163" i="1"/>
  <c r="S163" i="1" s="1"/>
  <c r="AI97" i="1"/>
  <c r="U161" i="1"/>
  <c r="S161" i="1" s="1"/>
  <c r="AI95" i="1"/>
  <c r="AI160" i="1"/>
  <c r="AI154" i="1"/>
  <c r="AI151" i="1"/>
  <c r="AI147" i="1"/>
  <c r="AI143" i="1"/>
  <c r="AI139" i="1"/>
  <c r="AI135" i="1"/>
  <c r="AI131" i="1"/>
  <c r="AI127" i="1"/>
  <c r="AI123" i="1"/>
  <c r="AI119" i="1"/>
  <c r="AI115" i="1"/>
  <c r="U172" i="1"/>
  <c r="S172" i="1" s="1"/>
  <c r="AI111" i="1"/>
  <c r="U159" i="1"/>
  <c r="S159" i="1" s="1"/>
  <c r="AI93" i="1"/>
  <c r="AI218" i="1"/>
  <c r="U218" i="1"/>
  <c r="S218" i="1" s="1"/>
  <c r="AI215" i="1"/>
  <c r="U215" i="1"/>
  <c r="S215" i="1" s="1"/>
  <c r="U212" i="1"/>
  <c r="S212" i="1" s="1"/>
  <c r="AI212" i="1"/>
  <c r="U209" i="1"/>
  <c r="S209" i="1" s="1"/>
  <c r="AI209" i="1"/>
  <c r="AI206" i="1"/>
  <c r="U204" i="1"/>
  <c r="S204" i="1" s="1"/>
  <c r="AI159" i="1"/>
  <c r="AI153" i="1"/>
  <c r="AI150" i="1"/>
  <c r="AI146" i="1"/>
  <c r="AI142" i="1"/>
  <c r="AI138" i="1"/>
  <c r="AI134" i="1"/>
  <c r="U219" i="1"/>
  <c r="S219" i="1" s="1"/>
  <c r="AI219" i="1"/>
  <c r="U217" i="1"/>
  <c r="S217" i="1" s="1"/>
  <c r="AI217" i="1"/>
  <c r="U216" i="1"/>
  <c r="S216" i="1" s="1"/>
  <c r="AI216" i="1"/>
  <c r="AI214" i="1"/>
  <c r="U214" i="1"/>
  <c r="S214" i="1" s="1"/>
  <c r="U213" i="1"/>
  <c r="S213" i="1" s="1"/>
  <c r="AI213" i="1"/>
  <c r="U211" i="1"/>
  <c r="S211" i="1" s="1"/>
  <c r="AI211" i="1"/>
  <c r="U210" i="1"/>
  <c r="S210" i="1" s="1"/>
  <c r="AI210" i="1"/>
  <c r="U206" i="1"/>
  <c r="S206" i="1" s="1"/>
  <c r="AI208" i="1"/>
  <c r="U205" i="1"/>
  <c r="S205" i="1" s="1"/>
  <c r="AI207" i="1"/>
  <c r="U203" i="1"/>
  <c r="S203" i="1" s="1"/>
  <c r="AI205" i="1"/>
  <c r="U202" i="1"/>
  <c r="S202" i="1" s="1"/>
  <c r="AI204" i="1"/>
  <c r="AI161" i="1"/>
  <c r="AI155" i="1"/>
  <c r="AI152" i="1"/>
  <c r="AI148" i="1"/>
  <c r="AI144" i="1"/>
  <c r="AI140" i="1"/>
  <c r="AI136" i="1"/>
  <c r="AI132" i="1"/>
  <c r="AI128" i="1"/>
  <c r="AI124" i="1"/>
  <c r="AI120" i="1"/>
  <c r="AI116" i="1"/>
  <c r="AI112" i="1"/>
  <c r="U170" i="1"/>
  <c r="S170" i="1" s="1"/>
  <c r="AI108" i="1"/>
  <c r="U93" i="1"/>
  <c r="S93" i="1" s="1"/>
  <c r="AI105" i="1"/>
  <c r="AI162" i="1"/>
  <c r="AI158" i="1"/>
  <c r="AI149" i="1"/>
  <c r="AI145" i="1"/>
  <c r="AI141" i="1"/>
  <c r="AI137" i="1"/>
  <c r="AI133" i="1"/>
  <c r="AI129" i="1"/>
  <c r="AI125" i="1"/>
  <c r="AI121" i="1"/>
  <c r="AI117" i="1"/>
  <c r="AI113" i="1"/>
  <c r="U167" i="1"/>
  <c r="S167" i="1" s="1"/>
  <c r="AI103" i="1"/>
  <c r="U165" i="1"/>
  <c r="S165" i="1" s="1"/>
  <c r="AI99" i="1"/>
  <c r="AI106" i="1"/>
  <c r="U169" i="1"/>
  <c r="S169" i="1" s="1"/>
  <c r="AI101" i="1"/>
  <c r="U166" i="1"/>
  <c r="S166" i="1" s="1"/>
  <c r="W166" i="1"/>
  <c r="AI96" i="1"/>
  <c r="U162" i="1"/>
  <c r="S162" i="1" s="1"/>
  <c r="U92" i="1"/>
  <c r="S92" i="1" s="1"/>
  <c r="AI92" i="1"/>
  <c r="AI33" i="1"/>
  <c r="AI25" i="1"/>
  <c r="AI203" i="1"/>
  <c r="U200" i="1"/>
  <c r="S200" i="1" s="1"/>
  <c r="AI202" i="1"/>
  <c r="AI201" i="1"/>
  <c r="U198" i="1"/>
  <c r="S198" i="1" s="1"/>
  <c r="AI200" i="1"/>
  <c r="AI199" i="1"/>
  <c r="U196" i="1"/>
  <c r="S196" i="1" s="1"/>
  <c r="AI198" i="1"/>
  <c r="AI197" i="1"/>
  <c r="U158" i="1"/>
  <c r="S158" i="1" s="1"/>
  <c r="AI196" i="1"/>
  <c r="AI195" i="1"/>
  <c r="U154" i="1"/>
  <c r="S154" i="1" s="1"/>
  <c r="AI194" i="1"/>
  <c r="AI193" i="1"/>
  <c r="AI192" i="1"/>
  <c r="AI191" i="1"/>
  <c r="U151" i="1"/>
  <c r="S151" i="1" s="1"/>
  <c r="AI190" i="1"/>
  <c r="AI189" i="1"/>
  <c r="U149" i="1"/>
  <c r="S149" i="1" s="1"/>
  <c r="AI188" i="1"/>
  <c r="AI187" i="1"/>
  <c r="AI186" i="1"/>
  <c r="AI185" i="1"/>
  <c r="AI184" i="1"/>
  <c r="AI183" i="1"/>
  <c r="U143" i="1"/>
  <c r="S143" i="1" s="1"/>
  <c r="AI182" i="1"/>
  <c r="AI181" i="1"/>
  <c r="U141" i="1"/>
  <c r="S141" i="1" s="1"/>
  <c r="AI180" i="1"/>
  <c r="AI178" i="1"/>
  <c r="U139" i="1"/>
  <c r="S139" i="1" s="1"/>
  <c r="AI177" i="1"/>
  <c r="AI176" i="1"/>
  <c r="AI175" i="1"/>
  <c r="AI174" i="1"/>
  <c r="AI173" i="1"/>
  <c r="U134" i="1"/>
  <c r="S134" i="1" s="1"/>
  <c r="AI172" i="1"/>
  <c r="AI171" i="1"/>
  <c r="U132" i="1"/>
  <c r="S132" i="1" s="1"/>
  <c r="AI170" i="1"/>
  <c r="AI169" i="1"/>
  <c r="U130" i="1"/>
  <c r="S130" i="1" s="1"/>
  <c r="AI168" i="1"/>
  <c r="U129" i="1"/>
  <c r="S129" i="1" s="1"/>
  <c r="AI167" i="1"/>
  <c r="U128" i="1"/>
  <c r="S128" i="1" s="1"/>
  <c r="AI166" i="1"/>
  <c r="AI165" i="1"/>
  <c r="U126" i="1"/>
  <c r="S126" i="1" s="1"/>
  <c r="AI164" i="1"/>
  <c r="U125" i="1"/>
  <c r="S125" i="1" s="1"/>
  <c r="AI163" i="1"/>
  <c r="AI110" i="1"/>
  <c r="W171" i="1"/>
  <c r="U171" i="1"/>
  <c r="S171" i="1" s="1"/>
  <c r="AI104" i="1"/>
  <c r="U168" i="1"/>
  <c r="S168" i="1" s="1"/>
  <c r="W168" i="1"/>
  <c r="AI98" i="1"/>
  <c r="U164" i="1"/>
  <c r="S164" i="1" s="1"/>
  <c r="W164" i="1"/>
  <c r="AI94" i="1"/>
  <c r="W160" i="1"/>
  <c r="U160" i="1"/>
  <c r="S160" i="1" s="1"/>
  <c r="AI19" i="1"/>
  <c r="AI57" i="1"/>
  <c r="W57" i="1"/>
  <c r="AI53" i="1"/>
  <c r="AI49" i="1"/>
  <c r="AI45" i="1"/>
  <c r="AI41" i="1"/>
  <c r="AI37" i="1"/>
  <c r="AI21" i="1"/>
  <c r="AI29" i="1"/>
  <c r="AI17" i="1"/>
  <c r="AI91" i="1"/>
  <c r="U90" i="1"/>
  <c r="S90" i="1" s="1"/>
  <c r="AI90" i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W85" i="1"/>
  <c r="AI84" i="1"/>
  <c r="U83" i="1"/>
  <c r="S83" i="1" s="1"/>
  <c r="AI83" i="1"/>
  <c r="U82" i="1"/>
  <c r="S82" i="1" s="1"/>
  <c r="AI82" i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4" i="1"/>
  <c r="S74" i="1" s="1"/>
  <c r="AI73" i="1"/>
  <c r="U73" i="1"/>
  <c r="S73" i="1" s="1"/>
  <c r="AI72" i="1"/>
  <c r="U72" i="1"/>
  <c r="S72" i="1" s="1"/>
  <c r="AI71" i="1"/>
  <c r="W71" i="1"/>
  <c r="AI69" i="1"/>
  <c r="AI67" i="1"/>
  <c r="W67" i="1"/>
  <c r="AI65" i="1"/>
  <c r="AI63" i="1"/>
  <c r="AI61" i="1"/>
  <c r="AI59" i="1"/>
  <c r="AI55" i="1"/>
  <c r="AI47" i="1"/>
  <c r="AI39" i="1"/>
  <c r="AI31" i="1"/>
  <c r="AI23" i="1"/>
  <c r="AI70" i="1"/>
  <c r="AI68" i="1"/>
  <c r="AI66" i="1"/>
  <c r="AI64" i="1"/>
  <c r="AI62" i="1"/>
  <c r="AI60" i="1"/>
  <c r="AI58" i="1"/>
  <c r="AI51" i="1"/>
  <c r="AI43" i="1"/>
  <c r="AI35" i="1"/>
  <c r="AI27" i="1"/>
  <c r="AI56" i="1"/>
  <c r="AI54" i="1"/>
  <c r="AI52" i="1"/>
  <c r="AI50" i="1"/>
  <c r="AI48" i="1"/>
  <c r="AI46" i="1"/>
  <c r="AI44" i="1"/>
  <c r="AI42" i="1"/>
  <c r="AI40" i="1"/>
  <c r="AI38" i="1"/>
  <c r="AI36" i="1"/>
  <c r="AI34" i="1"/>
  <c r="AI32" i="1"/>
  <c r="AI30" i="1"/>
  <c r="AI28" i="1"/>
  <c r="AI26" i="1"/>
  <c r="AI24" i="1"/>
  <c r="AI22" i="1"/>
  <c r="AI20" i="1"/>
  <c r="AI18" i="1"/>
  <c r="AI16" i="1"/>
  <c r="W151" i="1"/>
  <c r="W99" i="1"/>
  <c r="W190" i="1"/>
  <c r="W183" i="1"/>
  <c r="W175" i="1"/>
  <c r="W161" i="1"/>
  <c r="W195" i="1"/>
  <c r="W142" i="1"/>
  <c r="W141" i="1"/>
  <c r="W208" i="1"/>
  <c r="W167" i="1"/>
  <c r="W162" i="1"/>
  <c r="W88" i="1"/>
  <c r="W197" i="1"/>
  <c r="W219" i="1"/>
  <c r="W209" i="1"/>
  <c r="W206" i="1"/>
  <c r="W205" i="1"/>
  <c r="W204" i="1"/>
  <c r="W202" i="1"/>
  <c r="W201" i="1"/>
  <c r="W200" i="1"/>
  <c r="W155" i="1"/>
  <c r="W154" i="1"/>
  <c r="W148" i="1"/>
  <c r="W147" i="1"/>
  <c r="W139" i="1"/>
  <c r="W121" i="1"/>
  <c r="W113" i="1"/>
  <c r="W194" i="1"/>
  <c r="W187" i="1"/>
  <c r="W169" i="1"/>
  <c r="W163" i="1"/>
  <c r="W196" i="1"/>
  <c r="W152" i="1"/>
  <c r="W144" i="1"/>
  <c r="W218" i="1"/>
  <c r="W217" i="1"/>
  <c r="W216" i="1"/>
  <c r="W212" i="1"/>
  <c r="W211" i="1"/>
  <c r="W198" i="1"/>
  <c r="W153" i="1"/>
  <c r="W146" i="1"/>
  <c r="W145" i="1"/>
  <c r="W138" i="1"/>
  <c r="W137" i="1"/>
  <c r="W124" i="1"/>
  <c r="W106" i="1"/>
  <c r="W98" i="1"/>
  <c r="W182" i="1"/>
  <c r="W174" i="1"/>
  <c r="W165" i="1"/>
  <c r="W91" i="1"/>
  <c r="W84" i="1"/>
  <c r="W134" i="1"/>
  <c r="W126" i="1"/>
  <c r="W111" i="1"/>
  <c r="W192" i="1"/>
  <c r="W95" i="1"/>
  <c r="W181" i="1"/>
  <c r="W173" i="1"/>
  <c r="W170" i="1"/>
  <c r="W93" i="1"/>
  <c r="W90" i="1"/>
  <c r="W86" i="1"/>
  <c r="T201" i="1"/>
  <c r="U201" i="1" s="1"/>
  <c r="S201" i="1" s="1"/>
  <c r="T199" i="1"/>
  <c r="U199" i="1" s="1"/>
  <c r="S199" i="1" s="1"/>
  <c r="T197" i="1"/>
  <c r="U197" i="1" s="1"/>
  <c r="S197" i="1" s="1"/>
  <c r="T195" i="1"/>
  <c r="U195" i="1" s="1"/>
  <c r="S195" i="1" s="1"/>
  <c r="T155" i="1"/>
  <c r="U155" i="1" s="1"/>
  <c r="S155" i="1" s="1"/>
  <c r="T153" i="1"/>
  <c r="U153" i="1" s="1"/>
  <c r="S153" i="1" s="1"/>
  <c r="T152" i="1"/>
  <c r="U152" i="1" s="1"/>
  <c r="S152" i="1" s="1"/>
  <c r="T150" i="1"/>
  <c r="U150" i="1" s="1"/>
  <c r="S150" i="1" s="1"/>
  <c r="T148" i="1"/>
  <c r="U148" i="1" s="1"/>
  <c r="S148" i="1" s="1"/>
  <c r="T146" i="1"/>
  <c r="U146" i="1" s="1"/>
  <c r="S146" i="1" s="1"/>
  <c r="T144" i="1"/>
  <c r="U144" i="1" s="1"/>
  <c r="S144" i="1" s="1"/>
  <c r="T142" i="1"/>
  <c r="U142" i="1" s="1"/>
  <c r="S142" i="1" s="1"/>
  <c r="T140" i="1"/>
  <c r="U140" i="1" s="1"/>
  <c r="S140" i="1" s="1"/>
  <c r="T138" i="1"/>
  <c r="U138" i="1" s="1"/>
  <c r="S138" i="1" s="1"/>
  <c r="W56" i="1"/>
  <c r="W55" i="1"/>
  <c r="W41" i="1"/>
  <c r="W40" i="1"/>
  <c r="W130" i="1"/>
  <c r="W123" i="1"/>
  <c r="W115" i="1"/>
  <c r="W133" i="1"/>
  <c r="W136" i="1"/>
  <c r="W128" i="1"/>
  <c r="W131" i="1"/>
  <c r="W129" i="1"/>
  <c r="W125" i="1"/>
  <c r="W68" i="1"/>
  <c r="T16" i="1"/>
  <c r="U16" i="1" s="1"/>
  <c r="S16" i="1" s="1"/>
  <c r="X219" i="1"/>
  <c r="X218" i="1"/>
  <c r="X217" i="1"/>
  <c r="X216" i="1"/>
  <c r="X215" i="1"/>
  <c r="X214" i="1"/>
  <c r="X213" i="1"/>
  <c r="X212" i="1"/>
  <c r="X211" i="1"/>
  <c r="X210" i="1"/>
  <c r="X209" i="1"/>
  <c r="X206" i="1"/>
  <c r="X205" i="1"/>
  <c r="X204" i="1"/>
  <c r="X203" i="1"/>
  <c r="X202" i="1"/>
  <c r="W122" i="1"/>
  <c r="W118" i="1"/>
  <c r="W114" i="1"/>
  <c r="W104" i="1"/>
  <c r="W101" i="1"/>
  <c r="W96" i="1"/>
  <c r="W188" i="1"/>
  <c r="W184" i="1"/>
  <c r="W180" i="1"/>
  <c r="W172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T106" i="1"/>
  <c r="U106" i="1" s="1"/>
  <c r="S106" i="1" s="1"/>
  <c r="X106" i="1"/>
  <c r="T104" i="1"/>
  <c r="U104" i="1" s="1"/>
  <c r="S104" i="1" s="1"/>
  <c r="X104" i="1"/>
  <c r="T208" i="1"/>
  <c r="U208" i="1" s="1"/>
  <c r="S208" i="1" s="1"/>
  <c r="X208" i="1"/>
  <c r="T101" i="1"/>
  <c r="U101" i="1" s="1"/>
  <c r="S101" i="1" s="1"/>
  <c r="T98" i="1"/>
  <c r="U98" i="1" s="1"/>
  <c r="S98" i="1" s="1"/>
  <c r="X98" i="1"/>
  <c r="T96" i="1"/>
  <c r="U96" i="1" s="1"/>
  <c r="S96" i="1" s="1"/>
  <c r="X96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W82" i="1"/>
  <c r="W80" i="1"/>
  <c r="W78" i="1"/>
  <c r="W74" i="1"/>
  <c r="W72" i="1"/>
  <c r="T20" i="1"/>
  <c r="U20" i="1" s="1"/>
  <c r="S20" i="1" s="1"/>
  <c r="X20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8" i="1"/>
  <c r="U108" i="1" s="1"/>
  <c r="S108" i="1" s="1"/>
  <c r="T105" i="1"/>
  <c r="U105" i="1" s="1"/>
  <c r="S105" i="1" s="1"/>
  <c r="X105" i="1"/>
  <c r="T103" i="1"/>
  <c r="U103" i="1" s="1"/>
  <c r="S103" i="1" s="1"/>
  <c r="T207" i="1"/>
  <c r="U207" i="1" s="1"/>
  <c r="S207" i="1" s="1"/>
  <c r="X207" i="1"/>
  <c r="T99" i="1"/>
  <c r="U99" i="1" s="1"/>
  <c r="S99" i="1" s="1"/>
  <c r="X99" i="1"/>
  <c r="T97" i="1"/>
  <c r="U97" i="1" s="1"/>
  <c r="S97" i="1" s="1"/>
  <c r="X97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T95" i="1"/>
  <c r="U95" i="1" s="1"/>
  <c r="S95" i="1" s="1"/>
  <c r="X95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T94" i="1"/>
  <c r="U94" i="1" s="1"/>
  <c r="S94" i="1" s="1"/>
  <c r="X94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W81" i="1"/>
  <c r="W77" i="1"/>
  <c r="W73" i="1"/>
  <c r="W52" i="1"/>
  <c r="W51" i="1"/>
  <c r="W37" i="1"/>
  <c r="W36" i="1"/>
  <c r="T34" i="1"/>
  <c r="U34" i="1" s="1"/>
  <c r="S34" i="1" s="1"/>
  <c r="X34" i="1"/>
  <c r="W28" i="1"/>
  <c r="T26" i="1"/>
  <c r="U26" i="1" s="1"/>
  <c r="S26" i="1" s="1"/>
  <c r="X26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W54" i="1"/>
  <c r="W50" i="1"/>
  <c r="W46" i="1"/>
  <c r="W38" i="1"/>
  <c r="W32" i="1"/>
  <c r="T30" i="1"/>
  <c r="U30" i="1" s="1"/>
  <c r="S30" i="1" s="1"/>
  <c r="X30" i="1"/>
  <c r="T18" i="1"/>
  <c r="U18" i="1" s="1"/>
  <c r="S18" i="1" s="1"/>
  <c r="X18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5" i="1"/>
  <c r="U65" i="1" s="1"/>
  <c r="S65" i="1" s="1"/>
  <c r="X65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6" i="1"/>
  <c r="U56" i="1" s="1"/>
  <c r="S56" i="1" s="1"/>
  <c r="X56" i="1"/>
  <c r="T52" i="1"/>
  <c r="U52" i="1" s="1"/>
  <c r="S52" i="1" s="1"/>
  <c r="X52" i="1"/>
  <c r="T48" i="1"/>
  <c r="U48" i="1" s="1"/>
  <c r="S48" i="1" s="1"/>
  <c r="X48" i="1"/>
  <c r="T44" i="1"/>
  <c r="U44" i="1" s="1"/>
  <c r="S44" i="1" s="1"/>
  <c r="X44" i="1"/>
  <c r="T40" i="1"/>
  <c r="U40" i="1" s="1"/>
  <c r="S40" i="1" s="1"/>
  <c r="X40" i="1"/>
  <c r="T36" i="1"/>
  <c r="U36" i="1" s="1"/>
  <c r="S36" i="1" s="1"/>
  <c r="X36" i="1"/>
  <c r="W24" i="1"/>
  <c r="T22" i="1"/>
  <c r="U22" i="1" s="1"/>
  <c r="S22" i="1" s="1"/>
  <c r="X22" i="1"/>
  <c r="AA66" i="1"/>
  <c r="W66" i="1" s="1"/>
  <c r="AA64" i="1"/>
  <c r="W64" i="1" s="1"/>
  <c r="AA62" i="1"/>
  <c r="W62" i="1" s="1"/>
  <c r="AA60" i="1"/>
  <c r="W60" i="1" s="1"/>
  <c r="AA58" i="1"/>
  <c r="W58" i="1" s="1"/>
  <c r="T50" i="1"/>
  <c r="U50" i="1" s="1"/>
  <c r="S50" i="1" s="1"/>
  <c r="X50" i="1"/>
  <c r="AA43" i="1"/>
  <c r="W43" i="1" s="1"/>
  <c r="T42" i="1"/>
  <c r="U42" i="1" s="1"/>
  <c r="S42" i="1" s="1"/>
  <c r="X42" i="1"/>
  <c r="AA34" i="1"/>
  <c r="W34" i="1" s="1"/>
  <c r="T28" i="1"/>
  <c r="U28" i="1" s="1"/>
  <c r="S28" i="1" s="1"/>
  <c r="X28" i="1"/>
  <c r="AA26" i="1"/>
  <c r="W26" i="1" s="1"/>
  <c r="AA20" i="1"/>
  <c r="W20" i="1" s="1"/>
  <c r="AA16" i="1"/>
  <c r="W16" i="1" s="1"/>
  <c r="AA65" i="1"/>
  <c r="W65" i="1" s="1"/>
  <c r="AA63" i="1"/>
  <c r="W63" i="1" s="1"/>
  <c r="AA61" i="1"/>
  <c r="W61" i="1" s="1"/>
  <c r="AA59" i="1"/>
  <c r="W59" i="1" s="1"/>
  <c r="T54" i="1"/>
  <c r="U54" i="1" s="1"/>
  <c r="S54" i="1" s="1"/>
  <c r="X54" i="1"/>
  <c r="AA47" i="1"/>
  <c r="W47" i="1" s="1"/>
  <c r="T46" i="1"/>
  <c r="U46" i="1" s="1"/>
  <c r="S46" i="1" s="1"/>
  <c r="X46" i="1"/>
  <c r="AA39" i="1"/>
  <c r="W39" i="1" s="1"/>
  <c r="T38" i="1"/>
  <c r="U38" i="1" s="1"/>
  <c r="S38" i="1" s="1"/>
  <c r="X38" i="1"/>
  <c r="T32" i="1"/>
  <c r="U32" i="1" s="1"/>
  <c r="S32" i="1" s="1"/>
  <c r="X32" i="1"/>
  <c r="AA30" i="1"/>
  <c r="W30" i="1" s="1"/>
  <c r="T24" i="1"/>
  <c r="U24" i="1" s="1"/>
  <c r="S24" i="1" s="1"/>
  <c r="X24" i="1"/>
  <c r="AA22" i="1"/>
  <c r="W22" i="1" s="1"/>
  <c r="AA18" i="1"/>
  <c r="W18" i="1" s="1"/>
  <c r="AA35" i="1"/>
  <c r="W35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W21" i="1"/>
  <c r="W17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AD17" i="3"/>
  <c r="AD14" i="3"/>
  <c r="AE12" i="3"/>
  <c r="AC14" i="3"/>
  <c r="AD9" i="3"/>
  <c r="AE16" i="3"/>
  <c r="AC16" i="3"/>
  <c r="AD13" i="3"/>
  <c r="AD12" i="3"/>
  <c r="AE8" i="3"/>
  <c r="AC17" i="3"/>
  <c r="AC18" i="3"/>
  <c r="AD16" i="3"/>
  <c r="AD8" i="3"/>
  <c r="T15" i="3"/>
  <c r="AC15" i="3"/>
  <c r="AC8" i="3"/>
  <c r="AC13" i="3"/>
  <c r="AC7" i="3"/>
  <c r="Y18" i="3"/>
  <c r="Y8" i="3"/>
  <c r="Y12" i="3"/>
  <c r="Y7" i="3"/>
  <c r="Y15" i="3"/>
  <c r="Y11" i="3"/>
  <c r="Y9" i="3"/>
  <c r="Y13" i="3"/>
  <c r="Y16" i="3"/>
  <c r="Y14" i="3"/>
  <c r="Y10" i="3"/>
  <c r="AE11" i="3"/>
  <c r="T12" i="3"/>
  <c r="T11" i="3"/>
  <c r="AD11" i="3"/>
  <c r="AE10" i="3"/>
  <c r="T14" i="3"/>
  <c r="AE15" i="3"/>
  <c r="T9" i="3"/>
  <c r="AE17" i="3"/>
  <c r="T13" i="3"/>
  <c r="AD15" i="3"/>
  <c r="AE14" i="3"/>
  <c r="T16" i="3"/>
  <c r="AE13" i="3"/>
  <c r="AE9" i="3"/>
  <c r="Y17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AB13" i="1"/>
  <c r="AC13" i="1"/>
  <c r="AD13" i="1"/>
  <c r="AE13" i="1"/>
  <c r="AM13" i="1"/>
  <c r="AG13" i="1"/>
  <c r="X14" i="1" l="1"/>
  <c r="AI13" i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10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4" i="3" s="1"/>
  <c r="G38" i="4"/>
  <c r="G39" i="4"/>
  <c r="G40" i="4"/>
  <c r="G41" i="4"/>
  <c r="G42" i="4"/>
  <c r="G43" i="4"/>
  <c r="G44" i="4"/>
  <c r="G45" i="4"/>
  <c r="G46" i="4"/>
  <c r="G47" i="4"/>
  <c r="N12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16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9" i="3" s="1"/>
  <c r="G92" i="4"/>
  <c r="G93" i="4"/>
  <c r="G94" i="4"/>
  <c r="G95" i="4"/>
  <c r="G96" i="4"/>
  <c r="G97" i="4"/>
  <c r="G98" i="4"/>
  <c r="G99" i="4"/>
  <c r="N15" i="3" s="1"/>
  <c r="G100" i="4"/>
  <c r="G101" i="4"/>
  <c r="G102" i="4"/>
  <c r="G103" i="4"/>
  <c r="G104" i="4"/>
  <c r="G105" i="4"/>
  <c r="G106" i="4"/>
  <c r="G107" i="4"/>
  <c r="N18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13" i="3" s="1"/>
  <c r="G124" i="4"/>
  <c r="G125" i="4"/>
  <c r="G126" i="4"/>
  <c r="N11" i="3" s="1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8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7" i="3" l="1"/>
  <c r="N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<sst xmlns="http://schemas.openxmlformats.org/spreadsheetml/2006/main" count="2619" uniqueCount="1096">
  <si>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</si>
  <si>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</si>
  <si>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</si>
  <si>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</si>
  <si>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</si>
  <si>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</si>
  <si>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</si>
  <si>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</si>
  <si>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</si>
  <si>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</si>
  <si>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</si>
  <si>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</si>
  <si>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</si>
  <si>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</si>
  <si>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</si>
  <si>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</si>
  <si>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</si>
  <si>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</si>
  <si>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</si>
  <si>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</si>
  <si>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</si>
  <si>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</si>
  <si>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</si>
  <si>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</si>
  <si>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</si>
  <si>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</si>
  <si>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</si>
  <si>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</si>
  <si>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</si>
  <si>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</si>
  <si>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</si>
  <si>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</si>
  <si>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</si>
  <si>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</si>
  <si>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</si>
  <si>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</si>
  <si>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</si>
  <si>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</si>
  <si>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</si>
  <si>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</si>
  <si>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</si>
  <si>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</si>
  <si>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</si>
  <si>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</si>
  <si>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</si>
  <si>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</si>
  <si>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</si>
  <si>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</si>
  <si>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</si>
  <si>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</si>
  <si>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</si>
  <si>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</si>
  <si>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</si>
  <si>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</si>
  <si>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</si>
  <si>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</si>
  <si>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</si>
  <si>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</si>
  <si>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</si>
  <si>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</si>
  <si>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</si>
  <si>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</si>
  <si>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</si>
  <si>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</si>
  <si>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</si>
  <si>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</si>
  <si>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</si>
  <si>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</si>
  <si>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</si>
  <si>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</si>
  <si>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</si>
  <si>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</si>
  <si>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</si>
  <si>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</si>
  <si>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</si>
  <si>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</si>
  <si>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</si>
  <si>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</si>
  <si>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</si>
  <si>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</si>
  <si>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</si>
  <si>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</si>
  <si>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</si>
  <si>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</si>
  <si>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</si>
  <si>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</si>
  <si>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</si>
  <si>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</si>
  <si>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</si>
  <si>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</si>
  <si>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</si>
  <si>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</si>
  <si>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</si>
  <si>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</si>
  <si>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</si>
  <si>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</si>
  <si>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</si>
  <si>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</si>
  <si>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</si>
  <si>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</si>
  <si>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</si>
  <si>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</si>
  <si>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</si>
  <si>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</si>
  <si>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</si>
  <si>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</si>
  <si>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</si>
  <si>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</si>
  <si>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</si>
  <si>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</si>
  <si>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</si>
  <si>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</si>
  <si>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</si>
  <si>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</si>
  <si>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</si>
  <si>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</si>
  <si>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</si>
  <si>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</si>
  <si>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</si>
  <si>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</si>
  <si>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</si>
  <si>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</si>
  <si>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</si>
  <si>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</si>
  <si>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</si>
  <si>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</si>
  <si>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</si>
  <si>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</si>
  <si>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</si>
  <si>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</si>
  <si>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</si>
  <si>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</si>
  <si>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</si>
  <si>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</si>
  <si>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</si>
  <si>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</si>
  <si>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</si>
  <si>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</si>
  <si>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</si>
  <si>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</si>
  <si>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</si>
  <si>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</si>
  <si>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</si>
  <si>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</si>
  <si>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</si>
  <si>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</si>
  <si>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</si>
  <si>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</si>
  <si>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</si>
  <si>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</si>
  <si>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</si>
  <si>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</si>
  <si>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</si>
  <si>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</si>
  <si>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</si>
  <si>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</si>
  <si>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</si>
  <si>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</si>
  <si>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</si>
  <si>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</si>
  <si>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</si>
  <si>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</si>
  <si>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</si>
  <si>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</si>
  <si>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</si>
  <si>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</si>
  <si>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</si>
  <si>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</si>
  <si>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</si>
  <si>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</si>
  <si>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</si>
  <si>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</si>
  <si>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</si>
  <si>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</si>
  <si>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</si>
  <si>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</si>
  <si>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</si>
  <si>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</si>
  <si>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</si>
  <si>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</si>
  <si>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</si>
  <si>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</si>
  <si>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</si>
  <si>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</si>
  <si>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</si>
  <si>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</si>
  <si>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</si>
  <si>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</si>
  <si>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</si>
  <si>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</si>
  <si>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</si>
  <si>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</si>
  <si>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</si>
  <si>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</si>
  <si>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</si>
  <si>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</si>
  <si>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</si>
  <si>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</si>
  <si>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</si>
  <si>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</si>
  <si>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</si>
  <si>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</si>
  <si>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</si>
  <si>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</si>
  <si>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</si>
  <si>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</si>
  <si>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</si>
  <si>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</si>
  <si>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</si>
  <si>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</si>
  <si>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</si>
  <si>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</si>
  <si>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</si>
  <si>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</si>
  <si>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</si>
  <si>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</si>
  <si>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</si>
  <si>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</si>
  <si>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</si>
  <si>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</si>
  <si>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</si>
  <si>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</si>
  <si>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</si>
  <si>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</si>
  <si>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</si>
  <si>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</si>
  <si>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</si>
  <si>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</si>
  <si>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</si>
  <si>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</si>
  <si>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</si>
  <si>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</si>
  <si>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</si>
  <si>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</si>
  <si>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</si>
  <si>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</si>
  <si>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</si>
  <si>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</si>
  <si>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</si>
  <si>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</si>
  <si>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</si>
  <si>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</si>
  <si>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</si>
  <si>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</si>
  <si>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</si>
  <si>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</si>
  <si>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</si>
  <si>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</si>
  <si>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</si>
  <si>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</si>
  <si>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</si>
  <si>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</si>
  <si>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</si>
  <si>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</si>
  <si>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</si>
  <si>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</si>
  <si>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</si>
  <si>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</si>
  <si>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</si>
  <si>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</si>
  <si>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</si>
  <si>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</si>
  <si>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</si>
  <si>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</si>
  <si>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</si>
  <si>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</si>
  <si>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</si>
  <si>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</si>
  <si>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</si>
  <si>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</si>
  <si>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</si>
  <si>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</si>
  <si>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</si>
  <si>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</si>
  <si>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</si>
  <si>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</si>
  <si>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</si>
  <si>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</si>
  <si>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</si>
  <si>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</si>
  <si>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</si>
  <si>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</si>
  <si>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</si>
  <si>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</si>
  <si>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</si>
  <si>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</si>
  <si>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</si>
  <si>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</si>
  <si>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</si>
  <si>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</si>
  <si>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</si>
  <si>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</si>
  <si>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</si>
  <si>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</si>
  <si>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</si>
  <si>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</si>
  <si>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</si>
  <si>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</si>
  <si>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</si>
  <si>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</si>
  <si>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</si>
  <si>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</si>
  <si>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</si>
  <si>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</si>
  <si>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</si>
  <si>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</si>
  <si>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</si>
  <si>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</si>
  <si>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</si>
  <si>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</si>
  <si>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</si>
  <si>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</si>
  <si>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</si>
  <si>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</si>
  <si>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</si>
  <si>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</si>
  <si>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</si>
  <si>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</si>
  <si>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</si>
  <si>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</si>
  <si>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</si>
  <si>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</si>
  <si>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</si>
  <si>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</si>
  <si>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</si>
  <si>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</si>
  <si>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</si>
  <si>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</si>
  <si>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</si>
  <si>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</si>
  <si>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</si>
  <si>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</si>
  <si>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</si>
  <si>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</si>
  <si>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</si>
  <si>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</si>
  <si>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</si>
  <si>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</si>
  <si>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</si>
  <si>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</si>
  <si>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</si>
  <si>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</si>
  <si>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</si>
  <si>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</si>
  <si>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</si>
  <si>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</si>
  <si>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</si>
  <si>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</si>
  <si>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</si>
  <si>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</si>
  <si>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</si>
  <si>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</si>
  <si>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</si>
  <si>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</si>
  <si>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</si>
  <si>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</si>
  <si>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</si>
  <si>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</si>
  <si>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</si>
  <si>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</si>
  <si>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</si>
  <si>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</si>
  <si>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</si>
  <si>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</si>
  <si>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</si>
  <si>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</si>
  <si>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rtdc.l.rtdc.4016:itc</t>
  </si>
  <si>
    <t>NICHOLSON</t>
  </si>
  <si>
    <t>WESLEY</t>
  </si>
  <si>
    <t>300-20</t>
  </si>
  <si>
    <t>rtdc.l.rtdc.4036:itc</t>
  </si>
  <si>
    <t>rtdc.l.rtdc.4035:itc</t>
  </si>
  <si>
    <t>rtdc.l.rtdc.4053:itc</t>
  </si>
  <si>
    <t>WILLIAMS</t>
  </si>
  <si>
    <t>partly-cloudy-night</t>
  </si>
  <si>
    <t>Partly Cloudy</t>
  </si>
  <si>
    <t>204:156</t>
  </si>
  <si>
    <t>204:161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</si>
  <si>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</si>
  <si>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</si>
  <si>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</si>
  <si>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</si>
  <si>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</si>
  <si>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</si>
  <si>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</si>
  <si>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</si>
  <si>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</si>
  <si>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</si>
  <si>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</si>
  <si>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204:455</t>
  </si>
  <si>
    <t>204:513</t>
  </si>
  <si>
    <t>SPECTOR</t>
  </si>
  <si>
    <t>STEWART</t>
  </si>
  <si>
    <t>MAGEE</t>
  </si>
  <si>
    <t>KENYA</t>
  </si>
  <si>
    <t>ANDREA</t>
  </si>
  <si>
    <t>204:169</t>
  </si>
  <si>
    <t>204:466</t>
  </si>
  <si>
    <t>204:225</t>
  </si>
  <si>
    <t>204:233266</t>
  </si>
  <si>
    <t>204:267</t>
  </si>
  <si>
    <t>204:542</t>
  </si>
  <si>
    <t>300:58615</t>
  </si>
  <si>
    <t>300:58954</t>
  </si>
  <si>
    <t>rtdc.l.rtdc.4062:itc</t>
  </si>
  <si>
    <t>rtdc.l.rtdc.4022:itc</t>
  </si>
  <si>
    <t>rtdc.l.rtdc.4061:itc</t>
  </si>
  <si>
    <t>rtdc.l.rtdc.4027:itc</t>
  </si>
  <si>
    <t>rtdc.l.rtdc.4029:itc</t>
  </si>
  <si>
    <t>rtdc.l.rtdc.4021:itc</t>
  </si>
  <si>
    <t>206-31</t>
  </si>
  <si>
    <t>208-31</t>
  </si>
  <si>
    <t>224-31</t>
  </si>
  <si>
    <t>232-31</t>
  </si>
  <si>
    <t>238-31</t>
  </si>
  <si>
    <t>rtdc.l.rtdc.4059:itc</t>
  </si>
  <si>
    <t>rtdc.l.rtdc.4028:itc</t>
  </si>
  <si>
    <t>rtdc.l.rtdc.4030:itc</t>
  </si>
  <si>
    <t>DELGADO</t>
  </si>
  <si>
    <t>DIANAH</t>
  </si>
  <si>
    <t>BRUDER</t>
  </si>
  <si>
    <t>RICHARD</t>
  </si>
  <si>
    <t>HAMMOND</t>
  </si>
  <si>
    <t>JUSTYNN</t>
  </si>
  <si>
    <t>SMITH</t>
  </si>
  <si>
    <t>STAMBAUGH</t>
  </si>
  <si>
    <t>JAMES</t>
  </si>
  <si>
    <t>NEWELL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</si>
  <si>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</si>
  <si>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</si>
  <si>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</si>
  <si>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</si>
  <si>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</si>
  <si>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</si>
  <si>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</si>
  <si>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</si>
  <si>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</si>
  <si>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</si>
  <si>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</si>
  <si>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</si>
  <si>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</si>
  <si>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</si>
  <si>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</si>
  <si>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</si>
  <si>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</si>
  <si>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</si>
  <si>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</si>
  <si>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</si>
  <si>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</si>
  <si>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</si>
  <si>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</si>
  <si>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</si>
  <si>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</si>
  <si>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</si>
  <si>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</si>
  <si>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</si>
  <si>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</si>
  <si>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</si>
  <si>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</si>
  <si>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</si>
  <si>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</si>
  <si>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</si>
  <si>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</si>
  <si>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</si>
  <si>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</si>
  <si>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</si>
  <si>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</si>
  <si>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</si>
  <si>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</si>
  <si>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</si>
  <si>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</si>
  <si>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</si>
  <si>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</si>
  <si>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</si>
  <si>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</si>
  <si>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</si>
  <si>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</si>
  <si>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</si>
  <si>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</si>
  <si>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</si>
  <si>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</si>
  <si>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</si>
  <si>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</si>
  <si>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</si>
  <si>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</si>
  <si>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</si>
  <si>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</si>
  <si>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204:232977</t>
  </si>
  <si>
    <t>204:232976</t>
  </si>
  <si>
    <t>204:233293</t>
  </si>
  <si>
    <t>204:233297</t>
  </si>
  <si>
    <t>204:232952</t>
  </si>
  <si>
    <t>204:559</t>
  </si>
  <si>
    <t>204:232934</t>
  </si>
  <si>
    <t>300:23346</t>
  </si>
  <si>
    <t>204:976</t>
  </si>
  <si>
    <t>300:58944</t>
  </si>
  <si>
    <t>300:58628</t>
  </si>
  <si>
    <t>rtdc.l.rtdc.4041:itc</t>
  </si>
  <si>
    <t>rtdc.l.rtdc.4031:itc</t>
  </si>
  <si>
    <t>rtdc.l.rtdc.4064:itc</t>
  </si>
  <si>
    <t>GEBRETEKLE</t>
  </si>
  <si>
    <t>DAGNEW</t>
  </si>
  <si>
    <t>rtdc.l.rtdc.4032:itc</t>
  </si>
  <si>
    <t>DAVID</t>
  </si>
  <si>
    <t>BERLING</t>
  </si>
  <si>
    <t>GARY</t>
  </si>
  <si>
    <t>HOLCOMB</t>
  </si>
  <si>
    <t>KAMDEN</t>
  </si>
  <si>
    <t>MCREYNOLDS</t>
  </si>
  <si>
    <t>KYLE</t>
  </si>
  <si>
    <t>204:486</t>
  </si>
  <si>
    <t>204:147</t>
  </si>
  <si>
    <t>204:149</t>
  </si>
  <si>
    <t>204:232983</t>
  </si>
  <si>
    <t>204:232950</t>
  </si>
  <si>
    <t>204:469</t>
  </si>
  <si>
    <t>204:232994</t>
  </si>
  <si>
    <t>204:232883</t>
  </si>
  <si>
    <t>204:232942</t>
  </si>
  <si>
    <t>204:232898</t>
  </si>
  <si>
    <t>204:493</t>
  </si>
  <si>
    <t>204:233215</t>
  </si>
  <si>
    <t>204:471</t>
  </si>
  <si>
    <t>204:214</t>
  </si>
  <si>
    <t>204:540</t>
  </si>
  <si>
    <t>204:233284</t>
  </si>
  <si>
    <t>204:526</t>
  </si>
  <si>
    <t>204:189</t>
  </si>
  <si>
    <t>300:23308</t>
  </si>
  <si>
    <t>204:517</t>
  </si>
  <si>
    <t>300:58967</t>
  </si>
  <si>
    <t>300:58662</t>
  </si>
  <si>
    <t>204:712</t>
  </si>
  <si>
    <t>300:58651</t>
  </si>
  <si>
    <t>300:58626</t>
  </si>
  <si>
    <t>rtdc.l.rtdc.4066:itc</t>
  </si>
  <si>
    <t>rtdc.l.rtdc.4065:itc</t>
  </si>
  <si>
    <t>rtdc.l.rtdc.4039:itc</t>
  </si>
  <si>
    <t>rtdc.l.rtdc.4015:itc</t>
  </si>
  <si>
    <t>307-02</t>
  </si>
  <si>
    <t>242-02</t>
  </si>
  <si>
    <t>rtdc.l.rtdc.4040:itc</t>
  </si>
  <si>
    <t>rtdc.l.rtdc.4005:itc</t>
  </si>
  <si>
    <t>DONTE</t>
  </si>
  <si>
    <t>rtdc.l.rtdc.4006:itc</t>
  </si>
  <si>
    <t>PAGE</t>
  </si>
  <si>
    <t>MARCUS</t>
  </si>
  <si>
    <t>GONZALEZ</t>
  </si>
  <si>
    <t>ARMANDO</t>
  </si>
  <si>
    <t>BADERTSCHER</t>
  </si>
  <si>
    <t>DIANE</t>
  </si>
  <si>
    <t>rtdc.l.rtdc.4056:itc</t>
  </si>
  <si>
    <t>STRICKLAND</t>
  </si>
  <si>
    <t>EVAN</t>
  </si>
  <si>
    <t>DAVIDSON</t>
  </si>
  <si>
    <t>ELBAUM</t>
  </si>
  <si>
    <t>MIKE</t>
  </si>
  <si>
    <t>ANDERS</t>
  </si>
  <si>
    <t>STEVEN</t>
  </si>
  <si>
    <t>847-02</t>
  </si>
  <si>
    <t>235-02</t>
  </si>
  <si>
    <t>232-02</t>
  </si>
  <si>
    <t>846-02</t>
  </si>
  <si>
    <t>234-02</t>
  </si>
  <si>
    <t>237-02</t>
  </si>
  <si>
    <t>849-02</t>
  </si>
  <si>
    <t>239-02</t>
  </si>
  <si>
    <t>236-02</t>
  </si>
  <si>
    <t>908-02</t>
  </si>
  <si>
    <t>241-02</t>
  </si>
  <si>
    <t>238-02</t>
  </si>
  <si>
    <t>243-02</t>
  </si>
  <si>
    <t>240-02</t>
  </si>
  <si>
    <t>313-02</t>
  </si>
  <si>
    <t>244-02</t>
  </si>
  <si>
    <t>309-02</t>
  </si>
  <si>
    <t>311-02</t>
  </si>
  <si>
    <t>50-03</t>
  </si>
  <si>
    <t>300-03</t>
  </si>
  <si>
    <t>partly-cloudy-day</t>
  </si>
  <si>
    <t>204:167</t>
  </si>
  <si>
    <t>204:233295</t>
  </si>
  <si>
    <t>204:143</t>
  </si>
  <si>
    <t>204:233261</t>
  </si>
  <si>
    <t>204:200</t>
  </si>
  <si>
    <t>204:233314</t>
  </si>
  <si>
    <t>204:524</t>
  </si>
  <si>
    <t>204:233320</t>
  </si>
  <si>
    <t>204:433</t>
  </si>
  <si>
    <t>204:508</t>
  </si>
  <si>
    <t>204:232930</t>
  </si>
  <si>
    <t>204:232963</t>
  </si>
  <si>
    <t>204:130</t>
  </si>
  <si>
    <t>204:232962</t>
  </si>
  <si>
    <t>204:232955</t>
  </si>
  <si>
    <t>204:233299</t>
  </si>
  <si>
    <t>204:232959</t>
  </si>
  <si>
    <t>204:205</t>
  </si>
  <si>
    <t>204:233298</t>
  </si>
  <si>
    <t>204:232971</t>
  </si>
  <si>
    <t>204:482</t>
  </si>
  <si>
    <t>204:232944</t>
  </si>
  <si>
    <t>204:520</t>
  </si>
  <si>
    <t>204:233285</t>
  </si>
  <si>
    <t>204:207</t>
  </si>
  <si>
    <t>204:240</t>
  </si>
  <si>
    <t>204:232909</t>
  </si>
  <si>
    <t>204:480</t>
  </si>
  <si>
    <t>204:313</t>
  </si>
  <si>
    <t>204:233213</t>
  </si>
  <si>
    <t>204:211</t>
  </si>
  <si>
    <t>204:528</t>
  </si>
  <si>
    <t>204:608</t>
  </si>
  <si>
    <t>204:233280</t>
  </si>
  <si>
    <t>204:546</t>
  </si>
  <si>
    <t>204:232894</t>
  </si>
  <si>
    <t>204:187</t>
  </si>
  <si>
    <t>204:504</t>
  </si>
  <si>
    <t>204:227</t>
  </si>
  <si>
    <t>204:233234</t>
  </si>
  <si>
    <t>204:232915</t>
  </si>
  <si>
    <t>204:216</t>
  </si>
  <si>
    <t>204:533</t>
  </si>
  <si>
    <t>204:282</t>
  </si>
  <si>
    <t>204:254</t>
  </si>
  <si>
    <t>204:260</t>
  </si>
  <si>
    <t>204:233178</t>
  </si>
  <si>
    <t>204:553</t>
  </si>
  <si>
    <t>204:229</t>
  </si>
  <si>
    <t>204:232863</t>
  </si>
  <si>
    <t>204:233259</t>
  </si>
  <si>
    <t>204:233159</t>
  </si>
  <si>
    <t>204:489</t>
  </si>
  <si>
    <t>204:212</t>
  </si>
  <si>
    <t>204:233181</t>
  </si>
  <si>
    <t>300:23455</t>
  </si>
  <si>
    <t>204:3475</t>
  </si>
  <si>
    <t>204:1158</t>
  </si>
  <si>
    <t>300:58971</t>
  </si>
  <si>
    <t>300:58653</t>
  </si>
  <si>
    <t>204:776</t>
  </si>
  <si>
    <t>204:1069</t>
  </si>
  <si>
    <t>300:58668</t>
  </si>
  <si>
    <t>204:437</t>
  </si>
  <si>
    <t>300:58926</t>
  </si>
  <si>
    <t>300:58982</t>
  </si>
  <si>
    <t>Poor GPS at DUS</t>
  </si>
  <si>
    <t>308-04</t>
  </si>
  <si>
    <t>1901-04</t>
  </si>
  <si>
    <t>113-04</t>
  </si>
  <si>
    <t>1801-04</t>
  </si>
  <si>
    <t>1803-04</t>
  </si>
  <si>
    <t>rtdc.l.rtdc.4020:itc</t>
  </si>
  <si>
    <t>143-04</t>
  </si>
  <si>
    <t>1810-04</t>
  </si>
  <si>
    <t>156-04</t>
  </si>
  <si>
    <t>1813-04</t>
  </si>
  <si>
    <t>rtdc.l.rtdc.4052:itc</t>
  </si>
  <si>
    <t>51-04</t>
  </si>
  <si>
    <t>1817-04</t>
  </si>
  <si>
    <t>187-04</t>
  </si>
  <si>
    <t>230-04</t>
  </si>
  <si>
    <t>311-03</t>
  </si>
  <si>
    <t>rtdc.l.rtdc.4047:itc</t>
  </si>
  <si>
    <t>58-03</t>
  </si>
  <si>
    <t>313-03</t>
  </si>
  <si>
    <t>300-04</t>
  </si>
  <si>
    <t>LESTER</t>
  </si>
  <si>
    <t>101-04</t>
  </si>
  <si>
    <t>50-04</t>
  </si>
  <si>
    <t>rtdc.l.rtdc.4048:itc</t>
  </si>
  <si>
    <t>rtdc.l.rtdc.4019:itc</t>
  </si>
  <si>
    <t>302-04</t>
  </si>
  <si>
    <t>MAELZER</t>
  </si>
  <si>
    <t>KURT</t>
  </si>
  <si>
    <t>103-04</t>
  </si>
  <si>
    <t>304-04</t>
  </si>
  <si>
    <t>102-04</t>
  </si>
  <si>
    <t>rtdc.l.rtdc.4045:itc</t>
  </si>
  <si>
    <t>306-04</t>
  </si>
  <si>
    <t>105-04</t>
  </si>
  <si>
    <t>BROWN</t>
  </si>
  <si>
    <t>JACOB</t>
  </si>
  <si>
    <t>rtdc.l.rtdc.4046:itc</t>
  </si>
  <si>
    <t>107-04</t>
  </si>
  <si>
    <t>104-04</t>
  </si>
  <si>
    <t>53-04</t>
  </si>
  <si>
    <t>rtdc.l.rtdc.4051:itc</t>
  </si>
  <si>
    <t>54-04</t>
  </si>
  <si>
    <t>109-04</t>
  </si>
  <si>
    <t>310-04</t>
  </si>
  <si>
    <t>MACDONALD</t>
  </si>
  <si>
    <t>THOMAS</t>
  </si>
  <si>
    <t>111-04</t>
  </si>
  <si>
    <t>106-04</t>
  </si>
  <si>
    <t>108-04</t>
  </si>
  <si>
    <t>312-04</t>
  </si>
  <si>
    <t>LAMAR</t>
  </si>
  <si>
    <t>NEKESHA</t>
  </si>
  <si>
    <t>115-04</t>
  </si>
  <si>
    <t>1800-04</t>
  </si>
  <si>
    <t>117-04</t>
  </si>
  <si>
    <t>110-04</t>
  </si>
  <si>
    <t>112-04</t>
  </si>
  <si>
    <t>119-04</t>
  </si>
  <si>
    <t>LANGERAK</t>
  </si>
  <si>
    <t>WILLIAM</t>
  </si>
  <si>
    <t>114-04</t>
  </si>
  <si>
    <t>121-04</t>
  </si>
  <si>
    <t>116-04</t>
  </si>
  <si>
    <t>123-04</t>
  </si>
  <si>
    <t>1802-04</t>
  </si>
  <si>
    <t>118-04</t>
  </si>
  <si>
    <t>120-04</t>
  </si>
  <si>
    <t>125-04</t>
  </si>
  <si>
    <t>122-04</t>
  </si>
  <si>
    <t>127-04</t>
  </si>
  <si>
    <t>129-04</t>
  </si>
  <si>
    <t>124-04</t>
  </si>
  <si>
    <t>1804-04</t>
  </si>
  <si>
    <t>131-04</t>
  </si>
  <si>
    <t>126-04</t>
  </si>
  <si>
    <t>133-04</t>
  </si>
  <si>
    <t>128-04</t>
  </si>
  <si>
    <t>135-04</t>
  </si>
  <si>
    <t>130-04</t>
  </si>
  <si>
    <t>1805-04</t>
  </si>
  <si>
    <t>137-04</t>
  </si>
  <si>
    <t>132-04</t>
  </si>
  <si>
    <t>139-04</t>
  </si>
  <si>
    <t>1806-04</t>
  </si>
  <si>
    <t>134-04</t>
  </si>
  <si>
    <t>136-04</t>
  </si>
  <si>
    <t>141-04</t>
  </si>
  <si>
    <t>1807-04</t>
  </si>
  <si>
    <t>145-04</t>
  </si>
  <si>
    <t>138-04</t>
  </si>
  <si>
    <t>140-04</t>
  </si>
  <si>
    <t>147-04</t>
  </si>
  <si>
    <t>142-04</t>
  </si>
  <si>
    <t>1808-04</t>
  </si>
  <si>
    <t>149-04</t>
  </si>
  <si>
    <t>144-04</t>
  </si>
  <si>
    <t>151-04</t>
  </si>
  <si>
    <t>146-04</t>
  </si>
  <si>
    <t>1809-04</t>
  </si>
  <si>
    <t>153-04</t>
  </si>
  <si>
    <t>148-04</t>
  </si>
  <si>
    <t>150-04</t>
  </si>
  <si>
    <t>155-04</t>
  </si>
  <si>
    <t>157-04</t>
  </si>
  <si>
    <t>152-04</t>
  </si>
  <si>
    <t>159-04</t>
  </si>
  <si>
    <t>154-04</t>
  </si>
  <si>
    <t>1811-04</t>
  </si>
  <si>
    <t>161-04</t>
  </si>
  <si>
    <t>1812-04</t>
  </si>
  <si>
    <t>163-04</t>
  </si>
  <si>
    <t>165-04</t>
  </si>
  <si>
    <t>158-04</t>
  </si>
  <si>
    <t>160-04</t>
  </si>
  <si>
    <t>162-04</t>
  </si>
  <si>
    <t>167-04</t>
  </si>
  <si>
    <t>169-04</t>
  </si>
  <si>
    <t>164-04</t>
  </si>
  <si>
    <t>166-04</t>
  </si>
  <si>
    <t>171-04</t>
  </si>
  <si>
    <t>1814-04</t>
  </si>
  <si>
    <t>173-04</t>
  </si>
  <si>
    <t>168-04</t>
  </si>
  <si>
    <t>175-04</t>
  </si>
  <si>
    <t>1815-04</t>
  </si>
  <si>
    <t>170-04</t>
  </si>
  <si>
    <t>177-04</t>
  </si>
  <si>
    <t>179-04</t>
  </si>
  <si>
    <t>172-04</t>
  </si>
  <si>
    <t>1816-04</t>
  </si>
  <si>
    <t>174-04</t>
  </si>
  <si>
    <t>181-04</t>
  </si>
  <si>
    <t>176-04</t>
  </si>
  <si>
    <t>183-04</t>
  </si>
  <si>
    <t>178-04</t>
  </si>
  <si>
    <t>185-04</t>
  </si>
  <si>
    <t>180-04</t>
  </si>
  <si>
    <t>1818-04</t>
  </si>
  <si>
    <t>189-04</t>
  </si>
  <si>
    <t>182-04</t>
  </si>
  <si>
    <t>184-04</t>
  </si>
  <si>
    <t>191-04</t>
  </si>
  <si>
    <t>1819-04</t>
  </si>
  <si>
    <t>193-04</t>
  </si>
  <si>
    <t>186-04</t>
  </si>
  <si>
    <t>188-04</t>
  </si>
  <si>
    <t>190-04</t>
  </si>
  <si>
    <t>195-04</t>
  </si>
  <si>
    <t>1820-04</t>
  </si>
  <si>
    <t>197-04</t>
  </si>
  <si>
    <t>192-04</t>
  </si>
  <si>
    <t>194-04</t>
  </si>
  <si>
    <t>199-04</t>
  </si>
  <si>
    <t>1821-04</t>
  </si>
  <si>
    <t>201-04</t>
  </si>
  <si>
    <t>196-04</t>
  </si>
  <si>
    <t>203-04</t>
  </si>
  <si>
    <t>1822-04</t>
  </si>
  <si>
    <t>198-04</t>
  </si>
  <si>
    <t>205-04</t>
  </si>
  <si>
    <t>200-04</t>
  </si>
  <si>
    <t>75-04</t>
  </si>
  <si>
    <t>207-04</t>
  </si>
  <si>
    <t>1823-04</t>
  </si>
  <si>
    <t>202-04</t>
  </si>
  <si>
    <t>204-04</t>
  </si>
  <si>
    <t>209-04</t>
  </si>
  <si>
    <t>211-04</t>
  </si>
  <si>
    <t>1824-04</t>
  </si>
  <si>
    <t>213-04</t>
  </si>
  <si>
    <t>FORTUNATO</t>
  </si>
  <si>
    <t>FRANK</t>
  </si>
  <si>
    <t>206-04</t>
  </si>
  <si>
    <t>208-04</t>
  </si>
  <si>
    <t>66-04</t>
  </si>
  <si>
    <t>77-04</t>
  </si>
  <si>
    <t>215-04</t>
  </si>
  <si>
    <t>1825-04</t>
  </si>
  <si>
    <t>210-04</t>
  </si>
  <si>
    <t>217-04</t>
  </si>
  <si>
    <t>212-04</t>
  </si>
  <si>
    <t>219-04</t>
  </si>
  <si>
    <t>214-04</t>
  </si>
  <si>
    <t>1826-04</t>
  </si>
  <si>
    <t>69-04</t>
  </si>
  <si>
    <t>76-04</t>
  </si>
  <si>
    <t>301-04</t>
  </si>
  <si>
    <t>216-04</t>
  </si>
  <si>
    <t>218-04</t>
  </si>
  <si>
    <t>221-04</t>
  </si>
  <si>
    <t>WEST</t>
  </si>
  <si>
    <t>BRYAN</t>
  </si>
  <si>
    <t>1827-04</t>
  </si>
  <si>
    <t>303-04</t>
  </si>
  <si>
    <t>220-04</t>
  </si>
  <si>
    <t>223-04</t>
  </si>
  <si>
    <t>1828-04</t>
  </si>
  <si>
    <t>305-04</t>
  </si>
  <si>
    <t>222-04</t>
  </si>
  <si>
    <t>225-04</t>
  </si>
  <si>
    <t>1829-04</t>
  </si>
  <si>
    <t>224-04</t>
  </si>
  <si>
    <t>227-04</t>
  </si>
  <si>
    <t>1830-04</t>
  </si>
  <si>
    <t>226-04</t>
  </si>
  <si>
    <t>229-04</t>
  </si>
  <si>
    <t>1831-04</t>
  </si>
  <si>
    <t>231-04</t>
  </si>
  <si>
    <t>228-04</t>
  </si>
  <si>
    <t>1832-04</t>
  </si>
  <si>
    <t>233-04</t>
  </si>
  <si>
    <t>1833-04</t>
  </si>
  <si>
    <t>232-04</t>
  </si>
  <si>
    <t>235-04</t>
  </si>
  <si>
    <t>1834-04</t>
  </si>
  <si>
    <t>237-04</t>
  </si>
  <si>
    <t>234-04</t>
  </si>
  <si>
    <t>1835-04</t>
  </si>
  <si>
    <t>239-04</t>
  </si>
  <si>
    <t>236-04</t>
  </si>
  <si>
    <t>1902-04</t>
  </si>
  <si>
    <t>238-04</t>
  </si>
  <si>
    <t>241-04</t>
  </si>
  <si>
    <t>240-04</t>
  </si>
  <si>
    <t>243-04</t>
  </si>
  <si>
    <t>242-04</t>
  </si>
  <si>
    <t>245-04</t>
  </si>
  <si>
    <t>307-04</t>
  </si>
  <si>
    <t>309-04</t>
  </si>
  <si>
    <t>246-04</t>
  </si>
  <si>
    <t>311-04</t>
  </si>
  <si>
    <t>313-04</t>
  </si>
  <si>
    <t>rtdc.l.rtdc.4025:itc</t>
  </si>
  <si>
    <t>300-05</t>
  </si>
  <si>
    <t>precipType</t>
  </si>
  <si>
    <t>clear-day</t>
  </si>
  <si>
    <t>rain</t>
  </si>
  <si>
    <t>204:180</t>
  </si>
  <si>
    <t>204:232991</t>
  </si>
  <si>
    <t>204:134</t>
  </si>
  <si>
    <t>204:447</t>
  </si>
  <si>
    <t>204:163</t>
  </si>
  <si>
    <t>204:232974</t>
  </si>
  <si>
    <t>204:194</t>
  </si>
  <si>
    <t>204:467</t>
  </si>
  <si>
    <t>204:233251</t>
  </si>
  <si>
    <t>204:233243</t>
  </si>
  <si>
    <t>204:232919</t>
  </si>
  <si>
    <t>204:473</t>
  </si>
  <si>
    <t>204:233255</t>
  </si>
  <si>
    <t>204:232945</t>
  </si>
  <si>
    <t>204:232990</t>
  </si>
  <si>
    <t>204:141</t>
  </si>
  <si>
    <t>204:233247</t>
  </si>
  <si>
    <t>204:232960</t>
  </si>
  <si>
    <t>204:478</t>
  </si>
  <si>
    <t>204:232961</t>
  </si>
  <si>
    <t>204:495</t>
  </si>
  <si>
    <t>204:232970</t>
  </si>
  <si>
    <t>204:451</t>
  </si>
  <si>
    <t>204:232890</t>
  </si>
  <si>
    <t>204:460</t>
  </si>
  <si>
    <t>204:233209</t>
  </si>
  <si>
    <t>204:192</t>
  </si>
  <si>
    <t>204:418</t>
  </si>
  <si>
    <t>204:233319</t>
  </si>
  <si>
    <t>204:233272</t>
  </si>
  <si>
    <t>204:233306</t>
  </si>
  <si>
    <t>204:233000</t>
  </si>
  <si>
    <t>204:233286</t>
  </si>
  <si>
    <t>204:185</t>
  </si>
  <si>
    <t>204:232866</t>
  </si>
  <si>
    <t>204:263</t>
  </si>
  <si>
    <t>204:491</t>
  </si>
  <si>
    <t>204:233201</t>
  </si>
  <si>
    <t>204:232888</t>
  </si>
  <si>
    <t>204:309</t>
  </si>
  <si>
    <t>204:233161</t>
  </si>
  <si>
    <t>204:232840</t>
  </si>
  <si>
    <t>204:232875</t>
  </si>
  <si>
    <t>204:233221</t>
  </si>
  <si>
    <t>204:232911</t>
  </si>
  <si>
    <t>204:220</t>
  </si>
  <si>
    <t>204:557</t>
  </si>
  <si>
    <t>204:233232</t>
  </si>
  <si>
    <t>204:898</t>
  </si>
  <si>
    <t>204:611</t>
  </si>
  <si>
    <t>204:233246</t>
  </si>
  <si>
    <t>204:232921</t>
  </si>
  <si>
    <t>204:502</t>
  </si>
  <si>
    <t>204:233249</t>
  </si>
  <si>
    <t>204:233206</t>
  </si>
  <si>
    <t>204:232838</t>
  </si>
  <si>
    <t>204:233162</t>
  </si>
  <si>
    <t>204:232849</t>
  </si>
  <si>
    <t>204:223</t>
  </si>
  <si>
    <t>204:233218</t>
  </si>
  <si>
    <t>204:232902</t>
  </si>
  <si>
    <t>204:537</t>
  </si>
  <si>
    <t>204:233344</t>
  </si>
  <si>
    <t>204:233032</t>
  </si>
  <si>
    <t>204:691</t>
  </si>
  <si>
    <t>204:1396</t>
  </si>
  <si>
    <t>204:1870</t>
  </si>
  <si>
    <t>300:58695</t>
  </si>
  <si>
    <t>204:1357</t>
  </si>
  <si>
    <t>300:58990</t>
  </si>
  <si>
    <t>300:58672</t>
  </si>
  <si>
    <t>204:743</t>
  </si>
  <si>
    <t>204:1002</t>
  </si>
  <si>
    <t>204:705</t>
  </si>
  <si>
    <t>204:983</t>
  </si>
  <si>
    <t>300:58963</t>
  </si>
  <si>
    <t>204:724</t>
  </si>
  <si>
    <t>204:1006</t>
  </si>
  <si>
    <t>204:233282</t>
  </si>
  <si>
    <t>204:4517</t>
  </si>
  <si>
    <t>204:1041</t>
  </si>
  <si>
    <t>204:1410</t>
  </si>
  <si>
    <t>204:2006</t>
  </si>
  <si>
    <t>204:717</t>
  </si>
  <si>
    <t>300:58986</t>
  </si>
  <si>
    <t>300:58670</t>
  </si>
  <si>
    <t>204:684</t>
  </si>
  <si>
    <t>204:965</t>
  </si>
  <si>
    <t>300:58969</t>
  </si>
  <si>
    <t>204:232940</t>
  </si>
  <si>
    <t>204:242</t>
  </si>
  <si>
    <t>204:972</t>
  </si>
  <si>
    <t>300:58643</t>
  </si>
  <si>
    <t>204:694</t>
  </si>
  <si>
    <t>204:969</t>
  </si>
  <si>
    <t>300:58980</t>
  </si>
  <si>
    <t>204:713</t>
  </si>
  <si>
    <t>204:981</t>
  </si>
  <si>
    <t>300:58664</t>
  </si>
  <si>
    <t>204:787</t>
  </si>
  <si>
    <t>204:1058</t>
  </si>
  <si>
    <t>300:58929</t>
  </si>
  <si>
    <t>300:58613</t>
  </si>
  <si>
    <t>204:789</t>
  </si>
  <si>
    <t>204:1079</t>
  </si>
  <si>
    <t>204:233274</t>
  </si>
  <si>
    <t>300:58658</t>
  </si>
  <si>
    <t>204:775</t>
  </si>
  <si>
    <t>204:1090</t>
  </si>
  <si>
    <t>300:58941</t>
  </si>
  <si>
    <t>204:797</t>
  </si>
  <si>
    <t>204:1067</t>
  </si>
  <si>
    <t>300:58977</t>
  </si>
  <si>
    <t>204:296</t>
  </si>
  <si>
    <t>204:233195</t>
  </si>
  <si>
    <t>204:568</t>
  </si>
  <si>
    <t>300:29810</t>
  </si>
  <si>
    <t>300:28786</t>
  </si>
  <si>
    <t>204:571</t>
  </si>
  <si>
    <t>204:233183</t>
  </si>
  <si>
    <t>204:232870</t>
  </si>
  <si>
    <t>204:464</t>
  </si>
  <si>
    <t>204:233174</t>
  </si>
  <si>
    <t>204:232852</t>
  </si>
  <si>
    <t>204:324</t>
  </si>
  <si>
    <t>204:233202</t>
  </si>
  <si>
    <t>204:232887</t>
  </si>
  <si>
    <t>204:232886</t>
  </si>
  <si>
    <t>204:531</t>
  </si>
  <si>
    <t>204:233115</t>
  </si>
  <si>
    <t>204:232785</t>
  </si>
  <si>
    <t>204:151</t>
  </si>
  <si>
    <t>204:233119</t>
  </si>
  <si>
    <t>204:232807</t>
  </si>
  <si>
    <t>204:262</t>
  </si>
  <si>
    <t>204:232842</t>
  </si>
  <si>
    <t>204:300</t>
  </si>
  <si>
    <t>204:588</t>
  </si>
  <si>
    <t>204:232925</t>
  </si>
  <si>
    <t>204:314</t>
  </si>
  <si>
    <t>204:564</t>
  </si>
  <si>
    <t>204:575</t>
  </si>
  <si>
    <t>204:548</t>
  </si>
  <si>
    <t>204:233245</t>
  </si>
  <si>
    <t>204:265</t>
  </si>
  <si>
    <t>204:555</t>
  </si>
  <si>
    <t>204:233196</t>
  </si>
  <si>
    <t>204:232857</t>
  </si>
  <si>
    <t>204:344</t>
  </si>
  <si>
    <t>204:601</t>
  </si>
  <si>
    <t>204:170</t>
  </si>
  <si>
    <t>204:519</t>
  </si>
  <si>
    <t>204:233180</t>
  </si>
  <si>
    <t>204:560</t>
  </si>
  <si>
    <t>204:233264</t>
  </si>
  <si>
    <t>204:273</t>
  </si>
  <si>
    <t>204:650</t>
  </si>
  <si>
    <t>204:233176</t>
  </si>
  <si>
    <t>204:232856</t>
  </si>
  <si>
    <t>204:256</t>
  </si>
  <si>
    <t>204:509</t>
  </si>
  <si>
    <t>204:201</t>
  </si>
  <si>
    <t>204:591</t>
  </si>
  <si>
    <t>204:269</t>
  </si>
  <si>
    <t>204:233168</t>
  </si>
  <si>
    <t>204:232868</t>
  </si>
  <si>
    <t>204:233288</t>
  </si>
  <si>
    <t>204:232973</t>
  </si>
  <si>
    <t>204:232872</t>
  </si>
  <si>
    <t>204:488</t>
  </si>
  <si>
    <t>204:233179</t>
  </si>
  <si>
    <t>204:232951</t>
  </si>
  <si>
    <t>300:23302</t>
  </si>
  <si>
    <t>300:23286</t>
  </si>
  <si>
    <t>300:23656</t>
  </si>
  <si>
    <t>300:26876</t>
  </si>
  <si>
    <t>300:23381</t>
  </si>
  <si>
    <t>204:4576</t>
  </si>
  <si>
    <t>300:23312</t>
  </si>
  <si>
    <t>204:183</t>
  </si>
  <si>
    <t>300:23304</t>
  </si>
  <si>
    <t>204:1483</t>
  </si>
  <si>
    <t>204:1801</t>
  </si>
  <si>
    <t>204:3086</t>
  </si>
  <si>
    <t>204:252</t>
  </si>
  <si>
    <t>204:1197</t>
  </si>
  <si>
    <t>300:5282</t>
  </si>
  <si>
    <t>300:4944</t>
  </si>
  <si>
    <t>204:1162</t>
  </si>
  <si>
    <t>300:23580</t>
  </si>
  <si>
    <t>204:993</t>
  </si>
  <si>
    <t>300:23293</t>
  </si>
  <si>
    <t>204:1225</t>
  </si>
  <si>
    <t>204:1305</t>
  </si>
  <si>
    <t>300:5379</t>
  </si>
  <si>
    <t>300:5043</t>
  </si>
  <si>
    <t>204:1709</t>
  </si>
  <si>
    <t>204:3149</t>
  </si>
  <si>
    <t>start /low /b %USERPROFILE%\Documents\GitHub\eaglep3\Utilities\DownloadLogsFromS3.py --loco 4052 --day 2017-11-04</t>
  </si>
  <si>
    <t>start /low /b %USERPROFILE%\Documents\GitHub\eaglep3\Utilities\DownloadLogsFromS3.py --loco 4036 --day 2017-11-05</t>
  </si>
  <si>
    <t>start /low /b %USERPROFILE%\Documents\GitHub\eaglep3\Utilities\DownloadLogsFromS3.py --loco 4028 --day 2017-11-04</t>
  </si>
  <si>
    <t>start /low /b %USERPROFILE%\Documents\GitHub\eaglep3\Utilities\DownloadLogsFromS3.py --loco 4027 --day 2017-11-04</t>
  </si>
  <si>
    <t>start /low /b %USERPROFILE%\Documents\GitHub\eaglep3\Utilities\DownloadLogsFromS3.py --loco 4020 --day 2017-11-04</t>
  </si>
  <si>
    <t>start /low /b %USERPROFILE%\Documents\GitHub\eaglep3\Utilities\DownloadLogsFromS3.py --loco 4005 --day 2017-11-05</t>
  </si>
  <si>
    <t>start /low /b %USERPROFILE%\Documents\GitHub\eaglep3\Utilities\DownloadLogsFromS3.py --loco 4011 --day 2017-11-04</t>
  </si>
  <si>
    <t>start /low /b %USERPROFILE%\Documents\GitHub\eaglep3\Utilities\DownloadLogsFromS3.py --loco 4012 --day 2017-11-04</t>
  </si>
  <si>
    <t>start /low /b %USERPROFILE%\Documents\GitHub\eaglep3\Utilities\DownloadLogsFromS3.py --loco 4066 --day 2017-11-04</t>
  </si>
  <si>
    <t>244-04</t>
  </si>
  <si>
    <t>Extended Onboard Wi-MAX outage</t>
  </si>
  <si>
    <t>Onboard in-route failure</t>
  </si>
  <si>
    <t>Poor GPS under Wewatta St bridge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</si>
</sst>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61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43043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COUNTIFS($N$13:$N$9504,"&gt;0",$AG$13:$AG$9504,I1)</f>
        <v>145</v>
      </c>
      <c r="K5" s="39"/>
      <c r="L5" s="172"/>
      <c r="M5" s="40">
        <f>AVERAGEIFS($N$13:$N$9504,$AG$13:$AG$9504,I1)</f>
        <v>37.458390804502216</v>
      </c>
      <c r="N5" s="38">
        <f t="array" ref="N5">MIN(IF($AG$13:$AG$9504=I1,IF(ISNUMBER($N$13:$N$9504),IF($N$13:$N$9504&gt;0,$N$13:$N$9504))))</f>
        <v>33.783333341125399</v>
      </c>
      <c r="O5" s="3">
        <f t="array" ref="O5">MAX(IF($AG$13:$AG$9504=I1,IF(ISNUMBER($N$13:$N$9504),IF($N$13:$N$9504&gt;0,$N$13:$N$9504))))</f>
        <v>45.966666672611609</v>
      </c>
      <c r="P5" s="2"/>
      <c r="R5" s="163" t="s">
        <v>17</v>
      </c>
      <c r="S5" s="207">
        <f>COUNTIFS($N$13:$N$9504,"&gt;0",$AG$13:$AG$9504,R1)</f>
        <v>33</v>
      </c>
      <c r="T5" s="172"/>
      <c r="U5" s="195"/>
      <c r="V5" s="211">
        <f>AVERAGEIFS($N$13:$N$9504,$AG$13:$AG$9504,R1)</f>
        <v>14.252020202746445</v>
      </c>
      <c r="W5" s="212">
        <f t="array" ref="W5">MIN(IF($AG$13:$AG$9504=R1,IF(ISNUMBER($N$13:$N$9504),IF($N$13:$N$9504&gt;0,$N$13:$N$9504))))</f>
        <v>11.833333333488554</v>
      </c>
      <c r="X5" s="200">
        <f t="array" ref="X5">MAX(IF($AG$13:$AG$9504=R1,IF(ISNUMBER($N$13:$N$9504),IF($N$13:$N$9504&gt;0,$N$13:$N$9504))))</f>
        <v>24.766666672658175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COUNT($O$13:$O$262)</f>
        <v>0</v>
      </c>
      <c r="K6" s="39"/>
      <c r="L6" s="172"/>
      <c r="M6" s="40">
        <f>IFERROR(AVERAGE($O$13:$O$262),0)</f>
        <v>0</v>
      </c>
      <c r="N6" s="38">
        <f>MIN($O$13:$O$262)</f>
        <v>0</v>
      </c>
      <c r="O6" s="3">
        <f>MAX($O$13:$O$262)</f>
        <v>0</v>
      </c>
      <c r="P6" s="2"/>
      <c r="R6" s="164" t="s">
        <v>43</v>
      </c>
      <c r="S6" s="207">
        <f>COUNT($O$13:$O$262)</f>
        <v>0</v>
      </c>
      <c r="T6" s="172"/>
      <c r="U6" s="195"/>
      <c r="V6" s="211">
        <f>IFERROR(AVERAGE($O$13:$O$262),0)</f>
        <v>0</v>
      </c>
      <c r="W6" s="212">
        <f>MIN($O$13:$O$262)</f>
        <v>0</v>
      </c>
      <c r="X6" s="200">
        <f>MAX($O$13:$O$262)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COUNTIFS($P$13:$P$9504,"&gt;0",$AG$13:$AG$9504,I1)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COUNTIFS($P$13:$P$9504,"&gt;0",$AG$13:$AG$9504,R1)</f>
        <v>3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2"/>
      <c r="M8" s="40">
        <f>M5</f>
        <v>37.458390804502216</v>
      </c>
      <c r="N8" s="38">
        <f>N5</f>
        <v>33.783333341125399</v>
      </c>
      <c r="O8" s="3">
        <f>O5</f>
        <v>45.966666672611609</v>
      </c>
      <c r="P8" s="2"/>
      <c r="R8" s="163" t="s">
        <v>16</v>
      </c>
      <c r="S8" s="207">
        <f>S5</f>
        <v>33</v>
      </c>
      <c r="T8" s="172"/>
      <c r="U8" s="195"/>
      <c r="V8" s="211">
        <f>V5</f>
        <v>14.252020202746445</v>
      </c>
      <c r="W8" s="212">
        <f>W5</f>
        <v>11.833333333488554</v>
      </c>
      <c r="X8" s="200">
        <f>X5</f>
        <v>24.766666672658175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0.91666666666666663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- 2017-11-04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4006</v>
      </c>
      <c r="C13" s="21" t="s">
        <v>192</v>
      </c>
      <c r="D13" s="21" t="s">
        <v>597</v>
      </c>
      <c r="E13" s="13">
        <v>43043.171689814815</v>
      </c>
      <c r="F13" s="13">
        <v>43043.135787037034</v>
      </c>
      <c r="G13" s="7">
        <v>48</v>
      </c>
      <c r="H13" s="21" t="s">
        <v>885</v>
      </c>
      <c r="I13" s="13">
        <v>43043.162465277775</v>
      </c>
      <c r="J13" s="7">
        <v>0</v>
      </c>
      <c r="K13" s="89" t="str">
        <f>IF(ISEVEN(B13),(B13-1)&amp;"/"&amp;B13,B13&amp;"/"&amp;(B13+1))</f>
        <v>4005/4006</v>
      </c>
      <c r="L13" s="185" t="str">
        <f>VLOOKUP(A13,'Trips&amp;Operators'!$C$1:$G$99911,5,FALSE)</f>
        <v>THOMPSON LESTER</v>
      </c>
      <c r="M13" s="6">
        <f>I13-F13</f>
        <v>2.6678240741603076E-2</v>
      </c>
      <c r="N13" s="7">
        <f>24*60*SUM($M13:$M13)</f>
        <v>38.41666666790843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04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v>4.4699999999999997E-2</v>
      </c>
      <c r="Z13" s="204">
        <v>23.328399999999998</v>
      </c>
      <c r="AA13" s="204">
        <f>ABS(Z13-Y13)</f>
        <v>23.2837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/stypes="app*4006*20171104*"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4006 --swversion DE.1.0.9.0 --startMP 204:232959 --initTime 2017-11-04T04:07:14 --startdatetime 2017-11-04T03:15:32 --delay 48 --endMP 204:180 --enddatetime 2017-11-04T03:53:57 --enforcementcount 0 &gt;&gt;%USERPROFILE%\Documents\GitHub\eaglep3-reporting\EC\2017-11-04-refined-times.txt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{"issue":{"subject":"","project_id":79,"tracker_id":40,"status_id":1,"priority_id":2,"assigned_to_id":338,"start_date":"2017-11-04","description":"","custom_fields":[{"id":1,"name":"Subdivision","value":"EC"},{"id":4,"name":"Milepost","value":"23.3284"},{"id":17,"name":"Train ID","value":"101-04"},{"id":16,"name":"Locomotive ID","value":"4006"},{"id":130,"name":"Impact","value":""},{"id":150,"name":"Time of Event (Mountain Time)","value":"03:53:57"},{"id":151,"name":"Denver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4006 --day 2017-11-04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09:53:57"},{"id":29,"name":"Sharepoint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04:53:57-0600'))&amp;_a=(columns:!('Message%20ID',Summary),filters:!(),index:'emp_*',interval:auto,query:(query_string:(analyze_wildcard:!t,query:'%22rtdc.l.rtdc.4006%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678</v>
      </c>
      <c r="B14" s="7">
        <v>4005</v>
      </c>
      <c r="C14" s="21" t="s">
        <v>192</v>
      </c>
      <c r="D14" s="21" t="s">
        <v>597</v>
      </c>
      <c r="E14" s="13">
        <v>43043.171689814815</v>
      </c>
      <c r="F14" s="13">
        <v>43043.17523148148</v>
      </c>
      <c r="G14" s="7">
        <v>48</v>
      </c>
      <c r="H14" s="21" t="s">
        <v>885</v>
      </c>
      <c r="I14" s="13">
        <v>43043.202349537038</v>
      </c>
      <c r="J14" s="7">
        <v>0</v>
      </c>
      <c r="K14" s="89" t="str">
        <f>IF(ISEVEN(B14),(B14-1)&amp;"/"&amp;B14,B14&amp;"/"&amp;(B14+1))</f>
        <v>4005/4006</v>
      </c>
      <c r="L14" s="185" t="str">
        <f>VLOOKUP(A14,'Trips&amp;Operators'!$C$1:$G$99911,5,FALSE)</f>
        <v>THOMPSON LESTER</v>
      </c>
      <c r="M14" s="6">
        <f>I14-F14</f>
        <v>2.7118055557366461E-2</v>
      </c>
      <c r="N14" s="7">
        <f>24*60*SUM($M14:$M14)</f>
        <v>39.050000002607703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23.2959</v>
      </c>
      <c r="Z14" s="204">
        <f>RIGHT(H14,LEN(H14)-4)/10000</f>
        <v>1.7999999999999999E-2</v>
      </c>
      <c r="AA14" s="204">
        <f>ABS(Z14-Y14)</f>
        <v>23.277899999999999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/stypes="app*4005*20171104*"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4005 --swversion DE.1.0.9.0 --startMP 204:232959 --initTime 2017-11-04T04:07:14 --startdatetime 2017-11-04T04:12:20 --delay 48 --endMP 204:180 --enddatetime 2017-11-04T04:51:23 --enforcementcount 0 &gt;&gt;%USERPROFILE%\Documents\GitHub\eaglep3-reporting\EC\2017-11-04-refined-times.txt</v>
      </c>
      <c r="AI14" s="96" t="str">
        <f t="shared" ref="AI14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{"issue":{"subject":"","project_id":79,"tracker_id":40,"status_id":1,"priority_id":2,"assigned_to_id":338,"start_date":"2017-11-04","description":"","custom_fields":[{"id":1,"name":"Subdivision","value":"EC"},{"id":4,"name":"Milepost","value":"0.018"},{"id":17,"name":"Train ID","value":"102-04"},{"id":16,"name":"Locomotive ID","value":"4005"},{"id":130,"name":"Impact","value":""},{"id":150,"name":"Time of Event (Mountain Time)","value":"04:51:23"},{"id":151,"name":"Denver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" si="7">"start /low /b "&amp;dls3logs&amp;" --loco "&amp;B14&amp;" --day "&amp;TEXT(F14,"YYYY-MM-DD")</f>
        <v>start /low /b %USERPROFILE%\Documents\GitHub\eaglep3\Utilities\DownloadLogsFromS3.py --loco 4005 --day 2017-11-04</v>
      </c>
      <c r="AN14" s="151" t="str">
        <f t="shared" ref="AN14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05:51:23-0600'))&amp;_a=(columns:!('Message%20ID',Summary),filters:!(),index:'emp_*',interval:auto,query:(query_string:(analyze_wildcard:!t,query:'%22rtdc.l.rtdc.4005%22')),sort:!(Time.ISO8601,asc))</v>
      </c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676</v>
      </c>
      <c r="B15" s="7">
        <v>4020</v>
      </c>
      <c r="C15" s="21" t="s">
        <v>192</v>
      </c>
      <c r="D15" s="21" t="s">
        <v>597</v>
      </c>
      <c r="E15" s="13">
        <v>43043.171689814815</v>
      </c>
      <c r="F15" s="13">
        <v>43043.156469907408</v>
      </c>
      <c r="G15" s="7">
        <v>48</v>
      </c>
      <c r="H15" s="21" t="s">
        <v>885</v>
      </c>
      <c r="I15" s="13">
        <v>43043.182025462964</v>
      </c>
      <c r="J15" s="7">
        <v>0</v>
      </c>
      <c r="K15" s="89" t="str">
        <f>IF(ISEVEN(B15),(B15-1)&amp;"/"&amp;B15,B15&amp;"/"&amp;(B15+1))</f>
        <v>4019/4020</v>
      </c>
      <c r="L15" s="185" t="str">
        <f>VLOOKUP(A15,'Trips&amp;Operators'!$C$1:$G$99911,5,FALSE)</f>
        <v>MAELZER KURT</v>
      </c>
      <c r="M15" s="6">
        <f>I15-F15</f>
        <v>2.5555555555911269E-2</v>
      </c>
      <c r="N15" s="7">
        <f>24*60*SUM($M15:$M15)</f>
        <v>36.800000000512227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05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v>4.4699999999999997E-2</v>
      </c>
      <c r="Z15" s="204">
        <v>23.328399999999998</v>
      </c>
      <c r="AA15" s="204">
        <f>ABS(Z15-Y15)</f>
        <v>23.2837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/stypes="app*4020*20171104*"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ref="AH15" si="10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103-04 --locoid 4020 --swversion DE.1.0.9.0 --startMP 204:232959 --initTime 2017-11-04T04:07:14 --startdatetime 2017-11-04T03:45:19 --delay 48 --endMP 204:180 --enddatetime 2017-11-04T04:22:07 --enforcementcount 0 &gt;&gt;%USERPROFILE%\Documents\GitHub\eaglep3-reporting\EC\2017-11-04-refined-times.txt</v>
      </c>
      <c r="AI15" s="96" t="str">
        <f t="shared" ref="AI15" si="11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{"issue":{"subject":"","project_id":79,"tracker_id":40,"status_id":1,"priority_id":2,"assigned_to_id":338,"start_date":"2017-11-04","description":"","custom_fields":[{"id":1,"name":"Subdivision","value":"EC"},{"id":4,"name":"Milepost","value":"23.3284"},{"id":17,"name":"Train ID","value":"103-04"},{"id":16,"name":"Locomotive ID","value":"4020"},{"id":130,"name":"Impact","value":""},{"id":150,"name":"Time of Event (Mountain Time)","value":"04:22:07"},{"id":151,"name":"Denver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ref="AM15" si="12">"start /low /b "&amp;dls3logs&amp;" --loco "&amp;B15&amp;" --day "&amp;TEXT(F15,"YYYY-MM-DD")</f>
        <v>start /low /b %USERPROFILE%\Documents\GitHub\eaglep3\Utilities\DownloadLogsFromS3.py --loco 4020 --day 2017-11-04</v>
      </c>
      <c r="AN15" s="151" t="str">
        <f t="shared" ref="AN15" si="13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ref="AO15" si="14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-04T03:07:14-0600',mode:absolute,to:'2017-11-04T05:22:07-0600'))&amp;_a=(columns:!('Message%20ID',Summary),filters:!(),index:'emp_*',interval:auto,query:(query_string:(analyze_wildcard:!t,query:'%22rtdc.l.rtdc.4020%22')),sort:!(Time.ISO8601,asc))</v>
      </c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2" t="s">
        <v>686</v>
      </c>
      <c r="B16" s="7">
        <v>4019</v>
      </c>
      <c r="C16" s="21" t="s">
        <v>192</v>
      </c>
      <c r="D16" s="21" t="s">
        <v>886</v>
      </c>
      <c r="E16" s="13">
        <v>43043.186805555553</v>
      </c>
      <c r="F16" s="13">
        <v>43043.196192129632</v>
      </c>
      <c r="G16" s="7">
        <v>51</v>
      </c>
      <c r="H16" s="21" t="s">
        <v>887</v>
      </c>
      <c r="I16" s="13">
        <v>43043.222060185188</v>
      </c>
      <c r="J16" s="7">
        <v>0</v>
      </c>
      <c r="K16" s="89" t="str">
        <f>IF(ISEVEN(B16),(B16-1)&amp;"/"&amp;B16,B16&amp;"/"&amp;(B16+1))</f>
        <v>4019/4020</v>
      </c>
      <c r="L16" s="185" t="str">
        <f>VLOOKUP(A16,'Trips&amp;Operators'!$C$1:$G$99911,5,FALSE)</f>
        <v>MAELZER KURT</v>
      </c>
      <c r="M16" s="6">
        <f>I16-F16</f>
        <v>2.5868055556202307E-2</v>
      </c>
      <c r="N16" s="7">
        <f>24*60*SUM($M16:$M16)</f>
        <v>37.250000000931323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-04T03:29:00-0600',mode:absolute,to:'2017-11-04T06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23.299099999999999</v>
      </c>
      <c r="Z16" s="204">
        <f>RIGHT(H16,LEN(H16)-4)/10000</f>
        <v>1.34E-2</v>
      </c>
      <c r="AA16" s="204">
        <f>ABS(Z16-Y16)</f>
        <v>23.285699999999999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/stypes="app*4019*20171104*"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ref="AH16:AH79" si="15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104-04 --locoid 4019 --swversion DE.1.0.9.0 --startMP 204:232991 --initTime 2017-11-04T04:29:00 --startdatetime 2017-11-04T04:42:31 --delay 51 --endMP 204:134 --enddatetime 2017-11-04T05:19:46 --enforcementcount 0 &gt;&gt;%USERPROFILE%\Documents\GitHub\eaglep3-reporting\EC\2017-11-04-refined-times.txt</v>
      </c>
      <c r="AI16" s="96" t="str">
        <f t="shared" ref="AI16:AI79" si="16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{"issue":{"subject":"","project_id":79,"tracker_id":40,"status_id":1,"priority_id":2,"assigned_to_id":338,"start_date":"2017-11-04","description":"","custom_fields":[{"id":1,"name":"Subdivision","value":"EC"},{"id":4,"name":"Milepost","value":"0.0134"},{"id":17,"name":"Train ID","value":"104-04"},{"id":16,"name":"Locomotive ID","value":"4019"},{"id":130,"name":"Impact","value":""},{"id":150,"name":"Time of Event (Mountain Time)","value":"05:19:46"},{"id":151,"name":"Denver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ref="AM16:AM79" si="17">"start /low /b "&amp;dls3logs&amp;" --loco "&amp;B16&amp;" --day "&amp;TEXT(F16,"YYYY-MM-DD")</f>
        <v>start /low /b %USERPROFILE%\Documents\GitHub\eaglep3\Utilities\DownloadLogsFromS3.py --loco 4019 --day 2017-11-04</v>
      </c>
      <c r="AN16" s="151" t="str">
        <f t="shared" ref="AN16:AN79" si="18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ref="AO16:AO79" si="19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-04T03:29:00-0600',mode:absolute,to:'2017-11-04T06:19:46-0600'))&amp;_a=(columns:!('Message%20ID',Summary),filters:!(),index:'emp_*',interval:auto,query:(query_string:(analyze_wildcard:!t,query:'%22rtdc.l.rtdc.4019%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681</v>
      </c>
      <c r="B17" s="7">
        <v>4036</v>
      </c>
      <c r="C17" s="21" t="s">
        <v>192</v>
      </c>
      <c r="D17" s="21" t="s">
        <v>888</v>
      </c>
      <c r="E17" s="13">
        <v>43043.175115740742</v>
      </c>
      <c r="F17" s="13">
        <v>43043.177291666667</v>
      </c>
      <c r="G17" s="7">
        <v>67</v>
      </c>
      <c r="H17" s="21" t="s">
        <v>526</v>
      </c>
      <c r="I17" s="13">
        <v>43043.203067129631</v>
      </c>
      <c r="J17" s="7">
        <v>0</v>
      </c>
      <c r="K17" s="89" t="str">
        <f>IF(ISEVEN(B17),(B17-1)&amp;"/"&amp;B17,B17&amp;"/"&amp;(B17+1))</f>
        <v>4035/4036</v>
      </c>
      <c r="L17" s="185" t="str">
        <f>VLOOKUP(A17,'Trips&amp;Operators'!$C$1:$G$99911,5,FALSE)</f>
        <v>PAGE MARCUS</v>
      </c>
      <c r="M17" s="6">
        <f>I17-F17</f>
        <v>2.5775462963792961E-2</v>
      </c>
      <c r="N17" s="7">
        <f>24*60*SUM($M17:$M17)</f>
        <v>37.116666667861864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-04T03:12:10-0600',mode:absolute,to:'2017-11-04T05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4.4699999999999997E-2</v>
      </c>
      <c r="Z17" s="204">
        <f>RIGHT(H17,LEN(H17)-4)/10000</f>
        <v>23.328399999999998</v>
      </c>
      <c r="AA17" s="204">
        <f>ABS(Z17-Y17)</f>
        <v>23.2837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/stypes="app*4036*20171104*"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15"/>
        <v>"%USERPROFILE%\Documents\GitHub\eaglep3\Utilities\RefineRTDCRunTimes.py" --tripid 105-04 --locoid 4036 --swversion DE.1.0.9.0 --startMP 204:447 --initTime 2017-11-04T04:12:10 --startdatetime 2017-11-04T04:15:18 --delay 67 --endMP 204:233284 --enddatetime 2017-11-04T04:52:25 --enforcementcount 0 &gt;&gt;%USERPROFILE%\Documents\GitHub\eaglep3-reporting\EC\2017-11-04-refined-times.txt</v>
      </c>
      <c r="AI1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{"issue":{"subject":"","project_id":79,"tracker_id":40,"status_id":1,"priority_id":2,"assigned_to_id":338,"start_date":"2017-11-04","description":"","custom_fields":[{"id":1,"name":"Subdivision","value":"EC"},{"id":4,"name":"Milepost","value":"23.3284"},{"id":17,"name":"Train ID","value":"105-04"},{"id":16,"name":"Locomotive ID","value":"4036"},{"id":130,"name":"Impact","value":""},{"id":150,"name":"Time of Event (Mountain Time)","value":"04:52:25"},{"id":151,"name":"Denver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7"/>
        <v>start /low /b %USERPROFILE%\Documents\GitHub\eaglep3\Utilities\DownloadLogsFromS3.py --loco 4036 --day 2017-11-04</v>
      </c>
      <c r="AN1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9"/>
        <v>https://d0f6bd738d7f1b3e5a7ca70fe4ff75f0.us-east-1.aws.found.io/app/kibana#/discover/Steve-Slow-Train-Analysis-(2080s-and-2083s)?_g=(refreshInterval:(display:Off,pause:!f,section:0,value:0),time:(from:'2017-11-04T03:12:10-0600',mode:absolute,to:'2017-11-04T05:52:25-0600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695</v>
      </c>
      <c r="B18" s="7">
        <v>4035</v>
      </c>
      <c r="C18" s="21" t="s">
        <v>192</v>
      </c>
      <c r="D18" s="21" t="s">
        <v>600</v>
      </c>
      <c r="E18" s="13">
        <v>43043.211909722224</v>
      </c>
      <c r="F18" s="13">
        <v>43043.216840277775</v>
      </c>
      <c r="G18" s="7">
        <v>58</v>
      </c>
      <c r="H18" s="21" t="s">
        <v>889</v>
      </c>
      <c r="I18" s="13">
        <v>43043.243726851855</v>
      </c>
      <c r="J18" s="7">
        <v>0</v>
      </c>
      <c r="K18" s="89" t="str">
        <f>IF(ISEVEN(B18),(B18-1)&amp;"/"&amp;B18,B18&amp;"/"&amp;(B18+1))</f>
        <v>4035/4036</v>
      </c>
      <c r="L18" s="185" t="str">
        <f>VLOOKUP(A18,'Trips&amp;Operators'!$C$1:$G$99911,5,FALSE)</f>
        <v>PAGE MARCUS</v>
      </c>
      <c r="M18" s="6">
        <f>I18-F18</f>
        <v>2.6886574079981074E-2</v>
      </c>
      <c r="N18" s="7">
        <f>24*60*SUM($M18:$M18)</f>
        <v>38.716666675172746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-04T04:05:09-0600',mode:absolute,to:'2017-11-04T06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23.2971</v>
      </c>
      <c r="Z18" s="204">
        <f>RIGHT(H18,LEN(H18)-4)/10000</f>
        <v>1.6299999999999999E-2</v>
      </c>
      <c r="AA18" s="204">
        <f>ABS(Z18-Y18)</f>
        <v>23.280799999999999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/stypes="app*4035*20171104*"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15"/>
        <v>"%USERPROFILE%\Documents\GitHub\eaglep3\Utilities\RefineRTDCRunTimes.py" --tripid 106-04 --locoid 4035 --swversion DE.1.0.9.0 --startMP 204:232971 --initTime 2017-11-04T05:05:09 --startdatetime 2017-11-04T05:12:15 --delay 58 --endMP 204:163 --enddatetime 2017-11-04T05:50:58 --enforcementcount 0 &gt;&gt;%USERPROFILE%\Documents\GitHub\eaglep3-reporting\EC\2017-11-04-refined-times.txt</v>
      </c>
      <c r="AI1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{"issue":{"subject":"","project_id":79,"tracker_id":40,"status_id":1,"priority_id":2,"assigned_to_id":338,"start_date":"2017-11-04","description":"","custom_fields":[{"id":1,"name":"Subdivision","value":"EC"},{"id":4,"name":"Milepost","value":"0.0163"},{"id":17,"name":"Train ID","value":"106-04"},{"id":16,"name":"Locomotive ID","value":"4035"},{"id":130,"name":"Impact","value":""},{"id":150,"name":"Time of Event (Mountain Time)","value":"05:50:58"},{"id":151,"name":"Denver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7"/>
        <v>start /low /b %USERPROFILE%\Documents\GitHub\eaglep3\Utilities\DownloadLogsFromS3.py --loco 4035 --day 2017-11-04</v>
      </c>
      <c r="AN1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9"/>
        <v>https://d0f6bd738d7f1b3e5a7ca70fe4ff75f0.us-east-1.aws.found.io/app/kibana#/discover/Steve-Slow-Train-Analysis-(2080s-and-2083s)?_g=(refreshInterval:(display:Off,pause:!f,section:0,value:0),time:(from:'2017-11-04T04:05:09-0600',mode:absolute,to:'2017-11-04T06:50:58-0600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685</v>
      </c>
      <c r="B19" s="7">
        <v>4046</v>
      </c>
      <c r="C19" s="21" t="s">
        <v>192</v>
      </c>
      <c r="D19" s="21" t="s">
        <v>523</v>
      </c>
      <c r="E19" s="13">
        <v>43043.185949074075</v>
      </c>
      <c r="F19" s="13">
        <v>43043.187777777777</v>
      </c>
      <c r="G19" s="7">
        <v>72</v>
      </c>
      <c r="H19" s="21" t="s">
        <v>582</v>
      </c>
      <c r="I19" s="13">
        <v>43043.211770833332</v>
      </c>
      <c r="J19" s="7">
        <v>0</v>
      </c>
      <c r="K19" s="89" t="str">
        <f>IF(ISEVEN(B19),(B19-1)&amp;"/"&amp;B19,B19&amp;"/"&amp;(B19+1))</f>
        <v>4045/4046</v>
      </c>
      <c r="L19" s="185" t="str">
        <f>VLOOKUP(A19,'Trips&amp;Operators'!$C$1:$G$99911,5,FALSE)</f>
        <v>GEBRETEKLE DAGNEW</v>
      </c>
      <c r="M19" s="6">
        <f>I19-F19</f>
        <v>2.3993055554456078E-2</v>
      </c>
      <c r="N19" s="7">
        <f>24*60*SUM($M19:$M19)</f>
        <v>34.549999998416752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-04T03:27:46-0600',mode:absolute,to:'2017-11-04T06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4.7100000000000003E-2</v>
      </c>
      <c r="Z19" s="204">
        <f>RIGHT(H19,LEN(H19)-4)/10000</f>
        <v>23.329499999999999</v>
      </c>
      <c r="AA19" s="204">
        <f>ABS(Z19-Y19)</f>
        <v>23.282399999999999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/stypes="app*4046*20171104*"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15"/>
        <v>"%USERPROFILE%\Documents\GitHub\eaglep3\Utilities\RefineRTDCRunTimes.py" --tripid 107-04 --locoid 4046 --swversion DE.1.0.9.0 --startMP 204:471 --initTime 2017-11-04T04:27:46 --startdatetime 2017-11-04T04:30:24 --delay 72 --endMP 204:233295 --enddatetime 2017-11-04T05:04:57 --enforcementcount 0 &gt;&gt;%USERPROFILE%\Documents\GitHub\eaglep3-reporting\EC\2017-11-04-refined-times.txt</v>
      </c>
      <c r="AI1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{"issue":{"subject":"","project_id":79,"tracker_id":40,"status_id":1,"priority_id":2,"assigned_to_id":338,"start_date":"2017-11-04","description":"","custom_fields":[{"id":1,"name":"Subdivision","value":"EC"},{"id":4,"name":"Milepost","value":"23.3295"},{"id":17,"name":"Train ID","value":"107-04"},{"id":16,"name":"Locomotive ID","value":"4046"},{"id":130,"name":"Impact","value":""},{"id":150,"name":"Time of Event (Mountain Time)","value":"05:04:57"},{"id":151,"name":"Denver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7"/>
        <v>start /low /b %USERPROFILE%\Documents\GitHub\eaglep3\Utilities\DownloadLogsFromS3.py --loco 4046 --day 2017-11-04</v>
      </c>
      <c r="AN1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9"/>
        <v>https://d0f6bd738d7f1b3e5a7ca70fe4ff75f0.us-east-1.aws.found.io/app/kibana#/discover/Steve-Slow-Train-Analysis-(2080s-and-2083s)?_g=(refreshInterval:(display:Off,pause:!f,section:0,value:0),time:(from:'2017-11-04T03:27:46-0600',mode:absolute,to:'2017-11-04T06:04:57-0600'))&amp;_a=(columns:!('Message%20ID',Summary),filters:!(),index:'emp_*',interval:auto,query:(query_string:(analyze_wildcard:!t,query:'%22rtdc.l.rtdc.4046%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696</v>
      </c>
      <c r="B20" s="7">
        <v>4045</v>
      </c>
      <c r="C20" s="21" t="s">
        <v>192</v>
      </c>
      <c r="D20" s="21" t="s">
        <v>890</v>
      </c>
      <c r="E20" s="13">
        <v>43043.212881944448</v>
      </c>
      <c r="F20" s="13">
        <v>43043.227280092593</v>
      </c>
      <c r="G20" s="7">
        <v>57</v>
      </c>
      <c r="H20" s="21" t="s">
        <v>891</v>
      </c>
      <c r="I20" s="13">
        <v>43043.25403935185</v>
      </c>
      <c r="J20" s="7">
        <v>0</v>
      </c>
      <c r="K20" s="89" t="str">
        <f>IF(ISEVEN(B20),(B20-1)&amp;"/"&amp;B20,B20&amp;"/"&amp;(B20+1))</f>
        <v>4045/4046</v>
      </c>
      <c r="L20" s="185" t="str">
        <f>VLOOKUP(A20,'Trips&amp;Operators'!$C$1:$G$99911,5,FALSE)</f>
        <v>GEBRETEKLE DAGNEW</v>
      </c>
      <c r="M20" s="6">
        <f>I20-F20</f>
        <v>2.675925925723277E-2</v>
      </c>
      <c r="N20" s="7">
        <f>24*60*SUM($M20:$M20)</f>
        <v>38.533333330415189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-04T04:06:33-0600',mode:absolute,to:'2017-11-04T07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23.2974</v>
      </c>
      <c r="Z20" s="204">
        <f>RIGHT(H20,LEN(H20)-4)/10000</f>
        <v>1.9400000000000001E-2</v>
      </c>
      <c r="AA20" s="204">
        <f>ABS(Z20-Y20)</f>
        <v>23.277999999999999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/stypes="app*4045*20171104*"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15"/>
        <v>"%USERPROFILE%\Documents\GitHub\eaglep3\Utilities\RefineRTDCRunTimes.py" --tripid 108-04 --locoid 4045 --swversion DE.1.0.9.0 --startMP 204:232974 --initTime 2017-11-04T05:06:33 --startdatetime 2017-11-04T05:27:17 --delay 57 --endMP 204:194 --enddatetime 2017-11-04T06:05:49 --enforcementcount 0 &gt;&gt;%USERPROFILE%\Documents\GitHub\eaglep3-reporting\EC\2017-11-04-refined-times.txt</v>
      </c>
      <c r="AI2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{"issue":{"subject":"","project_id":79,"tracker_id":40,"status_id":1,"priority_id":2,"assigned_to_id":338,"start_date":"2017-11-04","description":"","custom_fields":[{"id":1,"name":"Subdivision","value":"EC"},{"id":4,"name":"Milepost","value":"0.0194"},{"id":17,"name":"Train ID","value":"108-04"},{"id":16,"name":"Locomotive ID","value":"4045"},{"id":130,"name":"Impact","value":""},{"id":150,"name":"Time of Event (Mountain Time)","value":"06:05:49"},{"id":151,"name":"Denver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7"/>
        <v>start /low /b %USERPROFILE%\Documents\GitHub\eaglep3\Utilities\DownloadLogsFromS3.py --loco 4045 --day 2017-11-04</v>
      </c>
      <c r="AN2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9"/>
        <v>https://d0f6bd738d7f1b3e5a7ca70fe4ff75f0.us-east-1.aws.found.io/app/kibana#/discover/Steve-Slow-Train-Analysis-(2080s-and-2083s)?_g=(refreshInterval:(display:Off,pause:!f,section:0,value:0),time:(from:'2017-11-04T04:06:33-0600',mode:absolute,to:'2017-11-04T07:05:49-0600'))&amp;_a=(columns:!('Message%20ID',Summary),filters:!(),index:'emp_*',interval:auto,query:(query_string:(analyze_wildcard:!t,query:'%22rtdc.l.rtdc.4045%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690</v>
      </c>
      <c r="B21" s="7">
        <v>4016</v>
      </c>
      <c r="C21" s="21" t="s">
        <v>192</v>
      </c>
      <c r="D21" s="21" t="s">
        <v>389</v>
      </c>
      <c r="E21" s="13">
        <v>43043.190636574072</v>
      </c>
      <c r="F21" s="13">
        <v>43043.198067129626</v>
      </c>
      <c r="G21" s="7">
        <v>85</v>
      </c>
      <c r="H21" s="21" t="s">
        <v>526</v>
      </c>
      <c r="I21" s="13">
        <v>43043.223958333336</v>
      </c>
      <c r="J21" s="7">
        <v>0</v>
      </c>
      <c r="K21" s="89" t="str">
        <f>IF(ISEVEN(B21),(B21-1)&amp;"/"&amp;B21,B21&amp;"/"&amp;(B21+1))</f>
        <v>4015/4016</v>
      </c>
      <c r="L21" s="185" t="str">
        <f>VLOOKUP(A21,'Trips&amp;Operators'!$C$1:$G$99911,5,FALSE)</f>
        <v>BROWN JACOB</v>
      </c>
      <c r="M21" s="6">
        <f>I21-F21</f>
        <v>2.5891203709761612E-2</v>
      </c>
      <c r="N21" s="7">
        <f>24*60*SUM($M21:$M21)</f>
        <v>37.283333342056721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-04T03:34:31-0600',mode:absolute,to:'2017-11-04T06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4.5499999999999999E-2</v>
      </c>
      <c r="Z21" s="204">
        <f>RIGHT(H21,LEN(H21)-4)/10000</f>
        <v>23.328399999999998</v>
      </c>
      <c r="AA21" s="204">
        <f>ABS(Z21-Y21)</f>
        <v>23.282899999999998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/stypes="app*4016*20171104*"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15"/>
        <v>"%USERPROFILE%\Documents\GitHub\eaglep3\Utilities\RefineRTDCRunTimes.py" --tripid 109-04 --locoid 4016 --swversion DE.1.0.9.0 --startMP 204:455 --initTime 2017-11-04T04:34:31 --startdatetime 2017-11-04T04:45:13 --delay 85 --endMP 204:233284 --enddatetime 2017-11-04T05:22:30 --enforcementcount 0 &gt;&gt;%USERPROFILE%\Documents\GitHub\eaglep3-reporting\EC\2017-11-04-refined-times.txt</v>
      </c>
      <c r="AI2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{"issue":{"subject":"","project_id":79,"tracker_id":40,"status_id":1,"priority_id":2,"assigned_to_id":338,"start_date":"2017-11-04","description":"","custom_fields":[{"id":1,"name":"Subdivision","value":"EC"},{"id":4,"name":"Milepost","value":"23.3284"},{"id":17,"name":"Train ID","value":"109-04"},{"id":16,"name":"Locomotive ID","value":"4016"},{"id":130,"name":"Impact","value":""},{"id":150,"name":"Time of Event (Mountain Time)","value":"05:22:30"},{"id":151,"name":"Denver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7"/>
        <v>start /low /b %USERPROFILE%\Documents\GitHub\eaglep3\Utilities\DownloadLogsFromS3.py --loco 4016 --day 2017-11-04</v>
      </c>
      <c r="AN2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9"/>
        <v>https://d0f6bd738d7f1b3e5a7ca70fe4ff75f0.us-east-1.aws.found.io/app/kibana#/discover/Steve-Slow-Train-Analysis-(2080s-and-2083s)?_g=(refreshInterval:(display:Off,pause:!f,section:0,value:0),time:(from:'2017-11-04T03:34:31-0600',mode:absolute,to:'2017-11-04T06:22:30-0600'))&amp;_a=(columns:!('Message%20ID',Summary),filters:!(),index:'emp_*',interval:auto,query:(query_string:(analyze_wildcard:!t,query:'%22rtdc.l.rtdc.4016%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703</v>
      </c>
      <c r="B22" s="7">
        <v>4015</v>
      </c>
      <c r="C22" s="21" t="s">
        <v>192</v>
      </c>
      <c r="D22" s="21" t="s">
        <v>487</v>
      </c>
      <c r="E22" s="13">
        <v>43043.234664351854</v>
      </c>
      <c r="F22" s="13">
        <v>43043.237650462965</v>
      </c>
      <c r="G22" s="7">
        <v>77</v>
      </c>
      <c r="H22" s="21" t="s">
        <v>889</v>
      </c>
      <c r="I22" s="13">
        <v>43043.26489583333</v>
      </c>
      <c r="J22" s="7">
        <v>0</v>
      </c>
      <c r="K22" s="89" t="str">
        <f>IF(ISEVEN(B22),(B22-1)&amp;"/"&amp;B22,B22&amp;"/"&amp;(B22+1))</f>
        <v>4015/4016</v>
      </c>
      <c r="L22" s="185" t="str">
        <f>VLOOKUP(A22,'Trips&amp;Operators'!$C$1:$G$99911,5,FALSE)</f>
        <v>BROWN JACOB</v>
      </c>
      <c r="M22" s="6">
        <f>I22-F22</f>
        <v>2.7245370365562849E-2</v>
      </c>
      <c r="N22" s="7">
        <f>24*60*SUM($M22:$M22)</f>
        <v>39.233333326410502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-04T04:37:55-0600',mode:absolute,to:'2017-11-04T07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23.297699999999999</v>
      </c>
      <c r="Z22" s="204">
        <f>RIGHT(H22,LEN(H22)-4)/10000</f>
        <v>1.6299999999999999E-2</v>
      </c>
      <c r="AA22" s="204">
        <f>ABS(Z22-Y22)</f>
        <v>23.281399999999998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/stypes="app*4015*20171104*"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15"/>
        <v>"%USERPROFILE%\Documents\GitHub\eaglep3\Utilities\RefineRTDCRunTimes.py" --tripid 110-04 --locoid 4015 --swversion DE.1.0.9.0 --startMP 204:232977 --initTime 2017-11-04T05:37:55 --startdatetime 2017-11-04T05:42:13 --delay 77 --endMP 204:163 --enddatetime 2017-11-04T06:21:27 --enforcementcount 0 &gt;&gt;%USERPROFILE%\Documents\GitHub\eaglep3-reporting\EC\2017-11-04-refined-times.txt</v>
      </c>
      <c r="AI2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{"issue":{"subject":"","project_id":79,"tracker_id":40,"status_id":1,"priority_id":2,"assigned_to_id":338,"start_date":"2017-11-04","description":"","custom_fields":[{"id":1,"name":"Subdivision","value":"EC"},{"id":4,"name":"Milepost","value":"0.0163"},{"id":17,"name":"Train ID","value":"110-04"},{"id":16,"name":"Locomotive ID","value":"4015"},{"id":130,"name":"Impact","value":""},{"id":150,"name":"Time of Event (Mountain Time)","value":"06:21:27"},{"id":151,"name":"Denver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7"/>
        <v>start /low /b %USERPROFILE%\Documents\GitHub\eaglep3\Utilities\DownloadLogsFromS3.py --loco 4015 --day 2017-11-04</v>
      </c>
      <c r="AN2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9"/>
        <v>https://d0f6bd738d7f1b3e5a7ca70fe4ff75f0.us-east-1.aws.found.io/app/kibana#/discover/Steve-Slow-Train-Analysis-(2080s-and-2083s)?_g=(refreshInterval:(display:Off,pause:!f,section:0,value:0),time:(from:'2017-11-04T04:37:55-0600',mode:absolute,to:'2017-11-04T07:21:27-0600'))&amp;_a=(columns:!('Message%20ID',Summary),filters:!(),index:'emp_*',interval:auto,query:(query_string:(analyze_wildcard:!t,query:'%22rtdc.l.rtdc.4015%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694</v>
      </c>
      <c r="B23" s="7">
        <v>4006</v>
      </c>
      <c r="C23" s="21" t="s">
        <v>192</v>
      </c>
      <c r="D23" s="21" t="s">
        <v>892</v>
      </c>
      <c r="E23" s="13">
        <v>43043.205995370372</v>
      </c>
      <c r="F23" s="13">
        <v>43043.208587962959</v>
      </c>
      <c r="G23" s="7">
        <v>61</v>
      </c>
      <c r="H23" s="21" t="s">
        <v>604</v>
      </c>
      <c r="I23" s="13">
        <v>43043.235671296294</v>
      </c>
      <c r="J23" s="7">
        <v>0</v>
      </c>
      <c r="K23" s="89" t="str">
        <f>IF(ISEVEN(B23),(B23-1)&amp;"/"&amp;B23,B23&amp;"/"&amp;(B23+1))</f>
        <v>4005/4006</v>
      </c>
      <c r="L23" s="185" t="str">
        <f>VLOOKUP(A23,'Trips&amp;Operators'!$C$1:$G$99911,5,FALSE)</f>
        <v>THOMPSON LESTER</v>
      </c>
      <c r="M23" s="6">
        <f>I23-F23</f>
        <v>2.7083333334303461E-2</v>
      </c>
      <c r="N23" s="7">
        <f>24*60*SUM($M23:$M23)</f>
        <v>39.000000001396984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-04T03:56:38-0600',mode:absolute,to:'2017-11-04T06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4.6699999999999998E-2</v>
      </c>
      <c r="Z23" s="204">
        <f>RIGHT(H23,LEN(H23)-4)/10000</f>
        <v>23.328499999999998</v>
      </c>
      <c r="AA23" s="204">
        <f>ABS(Z23-Y23)</f>
        <v>23.281799999999997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/stypes="app*4006*20171104*"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15"/>
        <v>"%USERPROFILE%\Documents\GitHub\eaglep3\Utilities\RefineRTDCRunTimes.py" --tripid 111-04 --locoid 4006 --swversion DE.1.0.9.0 --startMP 204:467 --initTime 2017-11-04T04:56:38 --startdatetime 2017-11-04T05:00:22 --delay 61 --endMP 204:233285 --enddatetime 2017-11-04T05:39:22 --enforcementcount 0 &gt;&gt;%USERPROFILE%\Documents\GitHub\eaglep3-reporting\EC\2017-11-04-refined-times.txt</v>
      </c>
      <c r="AI2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{"issue":{"subject":"","project_id":79,"tracker_id":40,"status_id":1,"priority_id":2,"assigned_to_id":338,"start_date":"2017-11-04","description":"","custom_fields":[{"id":1,"name":"Subdivision","value":"EC"},{"id":4,"name":"Milepost","value":"23.3285"},{"id":17,"name":"Train ID","value":"111-04"},{"id":16,"name":"Locomotive ID","value":"4006"},{"id":130,"name":"Impact","value":""},{"id":150,"name":"Time of Event (Mountain Time)","value":"05:39:22"},{"id":151,"name":"Denver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7"/>
        <v>start /low /b %USERPROFILE%\Documents\GitHub\eaglep3\Utilities\DownloadLogsFromS3.py --loco 4006 --day 2017-11-04</v>
      </c>
      <c r="AN2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9"/>
        <v>https://d0f6bd738d7f1b3e5a7ca70fe4ff75f0.us-east-1.aws.found.io/app/kibana#/discover/Steve-Slow-Train-Analysis-(2080s-and-2083s)?_g=(refreshInterval:(display:Off,pause:!f,section:0,value:0),time:(from:'2017-11-04T03:56:38-0600',mode:absolute,to:'2017-11-04T06:39:22-0600'))&amp;_a=(columns:!('Message%20ID',Summary),filters:!(),index:'emp_*',interval:auto,query:(query_string:(analyze_wildcard:!t,query:'%22rtdc.l.rtdc.4006%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704</v>
      </c>
      <c r="B24" s="7">
        <v>4005</v>
      </c>
      <c r="C24" s="21" t="s">
        <v>192</v>
      </c>
      <c r="D24" s="21" t="s">
        <v>488</v>
      </c>
      <c r="E24" s="13">
        <v>43043.245370370372</v>
      </c>
      <c r="F24" s="13">
        <v>43043.248171296298</v>
      </c>
      <c r="G24" s="7">
        <v>55</v>
      </c>
      <c r="H24" s="21" t="s">
        <v>348</v>
      </c>
      <c r="I24" s="13">
        <v>43043.275925925926</v>
      </c>
      <c r="J24" s="7">
        <v>0</v>
      </c>
      <c r="K24" s="89" t="str">
        <f>IF(ISEVEN(B24),(B24-1)&amp;"/"&amp;B24,B24&amp;"/"&amp;(B24+1))</f>
        <v>4005/4006</v>
      </c>
      <c r="L24" s="185" t="str">
        <f>VLOOKUP(A24,'Trips&amp;Operators'!$C$1:$G$99911,5,FALSE)</f>
        <v>THOMPSON LESTER</v>
      </c>
      <c r="M24" s="6">
        <f>I24-F24</f>
        <v>2.7754629627452232E-2</v>
      </c>
      <c r="N24" s="7">
        <f>24*60*SUM($M24:$M24)</f>
        <v>39.966666663531214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-04T04:53:20-0600',mode:absolute,to:'2017-11-04T07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23.297599999999999</v>
      </c>
      <c r="Z24" s="204">
        <f>RIGHT(H24,LEN(H24)-4)/10000</f>
        <v>1.54E-2</v>
      </c>
      <c r="AA24" s="204">
        <f>ABS(Z24-Y24)</f>
        <v>23.2822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/stypes="app*4005*20171104*"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15"/>
        <v>"%USERPROFILE%\Documents\GitHub\eaglep3\Utilities\RefineRTDCRunTimes.py" --tripid 112-04 --locoid 4005 --swversion DE.1.0.9.0 --startMP 204:232976 --initTime 2017-11-04T05:53:20 --startdatetime 2017-11-04T05:57:22 --delay 55 --endMP 204:154 --enddatetime 2017-11-04T06:37:20 --enforcementcount 0 &gt;&gt;%USERPROFILE%\Documents\GitHub\eaglep3-reporting\EC\2017-11-04-refined-times.txt</v>
      </c>
      <c r="AI2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{"issue":{"subject":"","project_id":79,"tracker_id":40,"status_id":1,"priority_id":2,"assigned_to_id":338,"start_date":"2017-11-04","description":"","custom_fields":[{"id":1,"name":"Subdivision","value":"EC"},{"id":4,"name":"Milepost","value":"0.0154"},{"id":17,"name":"Train ID","value":"112-04"},{"id":16,"name":"Locomotive ID","value":"4005"},{"id":130,"name":"Impact","value":""},{"id":150,"name":"Time of Event (Mountain Time)","value":"06:37:20"},{"id":151,"name":"Denver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7"/>
        <v>start /low /b %USERPROFILE%\Documents\GitHub\eaglep3\Utilities\DownloadLogsFromS3.py --loco 4005 --day 2017-11-04</v>
      </c>
      <c r="AN2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9"/>
        <v>https://d0f6bd738d7f1b3e5a7ca70fe4ff75f0.us-east-1.aws.found.io/app/kibana#/discover/Steve-Slow-Train-Analysis-(2080s-and-2083s)?_g=(refreshInterval:(display:Off,pause:!f,section:0,value:0),time:(from:'2017-11-04T04:53:20-0600',mode:absolute,to:'2017-11-04T07:37:20-0600'))&amp;_a=(columns:!('Message%20ID',Summary),filters:!(),index:'emp_*',interval:auto,query:(query_string:(analyze_wildcard:!t,query:'%22rtdc.l.rtdc.4005%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4012</v>
      </c>
      <c r="C25" s="21" t="s">
        <v>192</v>
      </c>
      <c r="D25" s="21" t="s">
        <v>608</v>
      </c>
      <c r="E25" s="13">
        <v>43043.209780092591</v>
      </c>
      <c r="F25" s="13">
        <v>43043.2190162037</v>
      </c>
      <c r="G25" s="7">
        <v>69</v>
      </c>
      <c r="H25" s="21" t="s">
        <v>893</v>
      </c>
      <c r="I25" s="13">
        <v>43043.243946759256</v>
      </c>
      <c r="J25" s="7">
        <v>0</v>
      </c>
      <c r="K25" s="89" t="str">
        <f>IF(ISEVEN(B25),(B25-1)&amp;"/"&amp;B25,B25&amp;"/"&amp;(B25+1))</f>
        <v>4011/4012</v>
      </c>
      <c r="L25" s="185" t="str">
        <f>VLOOKUP(A25,'Trips&amp;Operators'!$C$1:$G$99911,5,FALSE)</f>
        <v>MACDONALD THOMAS</v>
      </c>
      <c r="M25" s="6">
        <f>I25-F25</f>
        <v>2.4930555555329192E-2</v>
      </c>
      <c r="N25" s="7">
        <f>24*60*SUM($M25:$M25)</f>
        <v>35.899999999674037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-04T04:02:05-0600',mode:absolute,to:'2017-11-04T06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4.8000000000000001E-2</v>
      </c>
      <c r="Z25" s="204">
        <f>RIGHT(H25,LEN(H25)-4)/10000</f>
        <v>23.325099999999999</v>
      </c>
      <c r="AA25" s="204">
        <f>ABS(Z25-Y25)</f>
        <v>23.277100000000001</v>
      </c>
      <c r="AB25" s="54" t="str">
        <f>VLOOKUP(A25,Enforcements!$C$7:$K$10,8,0)</f>
        <v>Speed (6)</v>
      </c>
      <c r="AC25" s="51" t="str">
        <f>VLOOKUP(A25,Enforcements!$C$7:$E$10,3,0)</f>
        <v>PERMANENT SPEED RESTRICTION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/stypes="app*4012*20171104*"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15"/>
        <v>"%USERPROFILE%\Documents\GitHub\eaglep3\Utilities\RefineRTDCRunTimes.py" --tripid 113-04 --locoid 4012 --swversion DE.1.0.9.0 --startMP 204:480 --initTime 2017-11-04T05:02:05 --startdatetime 2017-11-04T05:15:23 --delay 69 --endMP 204:233251 --enddatetime 2017-11-04T05:51:17 --enforcementcount 0 &gt;&gt;%USERPROFILE%\Documents\GitHub\eaglep3-reporting\EC\2017-11-04-refined-times.txt</v>
      </c>
      <c r="AI2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{"issue":{"subject":"","project_id":79,"tracker_id":40,"status_id":1,"priority_id":2,"assigned_to_id":338,"start_date":"2017-11-04","description":"","custom_fields":[{"id":1,"name":"Subdivision","value":"EC"},{"id":4,"name":"Milepost","value":"23.3251"},{"id":17,"name":"Train ID","value":"113-04"},{"id":16,"name":"Locomotive ID","value":"4012"},{"id":130,"name":"Impact","value":""},{"id":150,"name":"Time of Event (Mountain Time)","value":"05:51:17"},{"id":151,"name":"Denver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7"/>
        <v>start /low /b %USERPROFILE%\Documents\GitHub\eaglep3\Utilities\DownloadLogsFromS3.py --loco 4012 --day 2017-11-04</v>
      </c>
      <c r="AN2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9"/>
        <v>https://d0f6bd738d7f1b3e5a7ca70fe4ff75f0.us-east-1.aws.found.io/app/kibana#/discover/Steve-Slow-Train-Analysis-(2080s-and-2083s)?_g=(refreshInterval:(display:Off,pause:!f,section:0,value:0),time:(from:'2017-11-04T04:02:05-0600',mode:absolute,to:'2017-11-04T06:51:17-0600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708</v>
      </c>
      <c r="B26" s="7">
        <v>4011</v>
      </c>
      <c r="C26" s="21" t="s">
        <v>192</v>
      </c>
      <c r="D26" s="21" t="s">
        <v>595</v>
      </c>
      <c r="E26" s="13">
        <v>43043.25240740741</v>
      </c>
      <c r="F26" s="13">
        <v>43043.25854166667</v>
      </c>
      <c r="G26" s="7">
        <v>145</v>
      </c>
      <c r="H26" s="21" t="s">
        <v>585</v>
      </c>
      <c r="I26" s="13">
        <v>43043.28633101852</v>
      </c>
      <c r="J26" s="7">
        <v>0</v>
      </c>
      <c r="K26" s="89" t="str">
        <f>IF(ISEVEN(B26),(B26-1)&amp;"/"&amp;B26,B26&amp;"/"&amp;(B26+1))</f>
        <v>4011/4012</v>
      </c>
      <c r="L26" s="185" t="str">
        <f>VLOOKUP(A26,'Trips&amp;Operators'!$C$1:$G$99911,5,FALSE)</f>
        <v>MACDONALD THOMAS</v>
      </c>
      <c r="M26" s="6">
        <f>I26-F26</f>
        <v>2.7789351850515231E-2</v>
      </c>
      <c r="N26" s="7">
        <f>24*60*SUM($M26:$M26)</f>
        <v>40.016666664741933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-04T05:03:28-0600',mode:absolute,to:'2017-11-04T07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23.295500000000001</v>
      </c>
      <c r="Z26" s="204">
        <f>RIGHT(H26,LEN(H26)-4)/10000</f>
        <v>0.02</v>
      </c>
      <c r="AA26" s="204">
        <f>ABS(Z26-Y26)</f>
        <v>23.275500000000001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/stypes="app*4011*20171104*"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15"/>
        <v>"%USERPROFILE%\Documents\GitHub\eaglep3\Utilities\RefineRTDCRunTimes.py" --tripid 114-04 --locoid 4011 --swversion DE.1.0.9.0 --startMP 204:232955 --initTime 2017-11-04T06:03:28 --startdatetime 2017-11-04T06:12:18 --delay 145 --endMP 204:200 --enddatetime 2017-11-04T06:52:19 --enforcementcount 0 &gt;&gt;%USERPROFILE%\Documents\GitHub\eaglep3-reporting\EC\2017-11-04-refined-times.txt</v>
      </c>
      <c r="AI2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{"issue":{"subject":"","project_id":79,"tracker_id":40,"status_id":1,"priority_id":2,"assigned_to_id":338,"start_date":"2017-11-04","description":"","custom_fields":[{"id":1,"name":"Subdivision","value":"EC"},{"id":4,"name":"Milepost","value":"0.02"},{"id":17,"name":"Train ID","value":"114-04"},{"id":16,"name":"Locomotive ID","value":"4011"},{"id":130,"name":"Impact","value":""},{"id":150,"name":"Time of Event (Mountain Time)","value":"06:52:19"},{"id":151,"name":"Denver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7"/>
        <v>start /low /b %USERPROFILE%\Documents\GitHub\eaglep3\Utilities\DownloadLogsFromS3.py --loco 4011 --day 2017-11-04</v>
      </c>
      <c r="AN2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9"/>
        <v>https://d0f6bd738d7f1b3e5a7ca70fe4ff75f0.us-east-1.aws.found.io/app/kibana#/discover/Steve-Slow-Train-Analysis-(2080s-and-2083s)?_g=(refreshInterval:(display:Off,pause:!f,section:0,value:0),time:(from:'2017-11-04T05:03:28-0600',mode:absolute,to:'2017-11-04T07:52:19-0600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700</v>
      </c>
      <c r="B27" s="7">
        <v>4020</v>
      </c>
      <c r="C27" s="21" t="s">
        <v>192</v>
      </c>
      <c r="D27" s="21" t="s">
        <v>644</v>
      </c>
      <c r="E27" s="13">
        <v>43043.226261574076</v>
      </c>
      <c r="F27" s="13">
        <v>43043.229409722226</v>
      </c>
      <c r="G27" s="7">
        <v>52</v>
      </c>
      <c r="H27" s="21" t="s">
        <v>586</v>
      </c>
      <c r="I27" s="13">
        <v>43043.254201388889</v>
      </c>
      <c r="J27" s="7">
        <v>0</v>
      </c>
      <c r="K27" s="89" t="str">
        <f>IF(ISEVEN(B27),(B27-1)&amp;"/"&amp;B27,B27&amp;"/"&amp;(B27+1))</f>
        <v>4019/4020</v>
      </c>
      <c r="L27" s="185" t="str">
        <f>VLOOKUP(A27,'Trips&amp;Operators'!$C$1:$G$99911,5,FALSE)</f>
        <v>MAELZER KURT</v>
      </c>
      <c r="M27" s="6">
        <f>I27-F27</f>
        <v>2.4791666663077194E-2</v>
      </c>
      <c r="N27" s="7">
        <f>24*60*SUM($M27:$M27)</f>
        <v>35.69999999483116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-04T04:25:49-0600',mode:absolute,to:'2017-11-04T07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4.3700000000000003E-2</v>
      </c>
      <c r="Z27" s="204">
        <f>RIGHT(H27,LEN(H27)-4)/10000</f>
        <v>23.331399999999999</v>
      </c>
      <c r="AA27" s="204">
        <f>ABS(Z27-Y27)</f>
        <v>23.287699999999997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/stypes="app*4020*20171104*"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15"/>
        <v>"%USERPROFILE%\Documents\GitHub\eaglep3\Utilities\RefineRTDCRunTimes.py" --tripid 115-04 --locoid 4020 --swversion DE.1.0.9.0 --startMP 204:437 --initTime 2017-11-04T05:25:49 --startdatetime 2017-11-04T05:30:21 --delay 52 --endMP 204:233314 --enddatetime 2017-11-04T06:06:03 --enforcementcount 0 &gt;&gt;%USERPROFILE%\Documents\GitHub\eaglep3-reporting\EC\2017-11-04-refined-times.txt</v>
      </c>
      <c r="AI2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{"issue":{"subject":"","project_id":79,"tracker_id":40,"status_id":1,"priority_id":2,"assigned_to_id":338,"start_date":"2017-11-04","description":"","custom_fields":[{"id":1,"name":"Subdivision","value":"EC"},{"id":4,"name":"Milepost","value":"23.3314"},{"id":17,"name":"Train ID","value":"115-04"},{"id":16,"name":"Locomotive ID","value":"4020"},{"id":130,"name":"Impact","value":""},{"id":150,"name":"Time of Event (Mountain Time)","value":"06:06:03"},{"id":151,"name":"Denver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7"/>
        <v>start /low /b %USERPROFILE%\Documents\GitHub\eaglep3\Utilities\DownloadLogsFromS3.py --loco 4020 --day 2017-11-04</v>
      </c>
      <c r="AN2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9"/>
        <v>https://d0f6bd738d7f1b3e5a7ca70fe4ff75f0.us-east-1.aws.found.io/app/kibana#/discover/Steve-Slow-Train-Analysis-(2080s-and-2083s)?_g=(refreshInterval:(display:Off,pause:!f,section:0,value:0),time:(from:'2017-11-04T04:25:49-0600',mode:absolute,to:'2017-11-04T07:06:03-0600'))&amp;_a=(columns:!('Message%20ID',Summary),filters:!(),index:'emp_*',interval:auto,query:(query_string:(analyze_wildcard:!t,query:'%22rtdc.l.rtdc.4020%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710</v>
      </c>
      <c r="B28" s="7">
        <v>4019</v>
      </c>
      <c r="C28" s="21" t="s">
        <v>192</v>
      </c>
      <c r="D28" s="21" t="s">
        <v>517</v>
      </c>
      <c r="E28" s="13">
        <v>43043.261307870373</v>
      </c>
      <c r="F28" s="13">
        <v>43043.268969907411</v>
      </c>
      <c r="G28" s="7">
        <v>50</v>
      </c>
      <c r="H28" s="21" t="s">
        <v>593</v>
      </c>
      <c r="I28" s="13">
        <v>43043.294965277775</v>
      </c>
      <c r="J28" s="7">
        <v>0</v>
      </c>
      <c r="K28" s="89" t="str">
        <f>IF(ISEVEN(B28),(B28-1)&amp;"/"&amp;B28,B28&amp;"/"&amp;(B28+1))</f>
        <v>4019/4020</v>
      </c>
      <c r="L28" s="185" t="str">
        <f>VLOOKUP(A28,'Trips&amp;Operators'!$C$1:$G$99911,5,FALSE)</f>
        <v>MAELZER KURT</v>
      </c>
      <c r="M28" s="6">
        <f>I28-F28</f>
        <v>2.5995370364398696E-2</v>
      </c>
      <c r="N28" s="7">
        <f>24*60*SUM($M28:$M28)</f>
        <v>37.433333324734122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-04T05:16:17-0600',mode:absolute,to:'2017-11-04T08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23.299399999999999</v>
      </c>
      <c r="Z28" s="204">
        <f>RIGHT(H28,LEN(H28)-4)/10000</f>
        <v>1.2999999999999999E-2</v>
      </c>
      <c r="AA28" s="204">
        <f>ABS(Z28-Y28)</f>
        <v>23.286399999999997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/stypes="app*4019*20171104*"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15"/>
        <v>"%USERPROFILE%\Documents\GitHub\eaglep3\Utilities\RefineRTDCRunTimes.py" --tripid 116-04 --locoid 4019 --swversion DE.1.0.9.0 --startMP 204:232994 --initTime 2017-11-04T06:16:17 --startdatetime 2017-11-04T06:27:19 --delay 50 --endMP 204:130 --enddatetime 2017-11-04T07:04:45 --enforcementcount 0 &gt;&gt;%USERPROFILE%\Documents\GitHub\eaglep3-reporting\EC\2017-11-04-refined-times.txt</v>
      </c>
      <c r="AI2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{"issue":{"subject":"","project_id":79,"tracker_id":40,"status_id":1,"priority_id":2,"assigned_to_id":338,"start_date":"2017-11-04","description":"","custom_fields":[{"id":1,"name":"Subdivision","value":"EC"},{"id":4,"name":"Milepost","value":"0.013"},{"id":17,"name":"Train ID","value":"116-04"},{"id":16,"name":"Locomotive ID","value":"4019"},{"id":130,"name":"Impact","value":""},{"id":150,"name":"Time of Event (Mountain Time)","value":"07:04:45"},{"id":151,"name":"Denver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7"/>
        <v>start /low /b %USERPROFILE%\Documents\GitHub\eaglep3\Utilities\DownloadLogsFromS3.py --loco 4019 --day 2017-11-04</v>
      </c>
      <c r="AN2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9"/>
        <v>https://d0f6bd738d7f1b3e5a7ca70fe4ff75f0.us-east-1.aws.found.io/app/kibana#/discover/Steve-Slow-Train-Analysis-(2080s-and-2083s)?_g=(refreshInterval:(display:Off,pause:!f,section:0,value:0),time:(from:'2017-11-04T05:16:17-0600',mode:absolute,to:'2017-11-04T08:04:45-0600'))&amp;_a=(columns:!('Message%20ID',Summary),filters:!(),index:'emp_*',interval:auto,query:(query_string:(analyze_wildcard:!t,query:'%22rtdc.l.rtdc.4019%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702</v>
      </c>
      <c r="B29" s="7">
        <v>4066</v>
      </c>
      <c r="C29" s="21" t="s">
        <v>192</v>
      </c>
      <c r="D29" s="21" t="s">
        <v>590</v>
      </c>
      <c r="E29" s="13">
        <v>43043.236134259256</v>
      </c>
      <c r="F29" s="13">
        <v>43043.239907407406</v>
      </c>
      <c r="G29" s="7">
        <v>162</v>
      </c>
      <c r="H29" s="21" t="s">
        <v>588</v>
      </c>
      <c r="I29" s="13">
        <v>43043.266192129631</v>
      </c>
      <c r="J29" s="7">
        <v>0</v>
      </c>
      <c r="K29" s="89" t="str">
        <f>IF(ISEVEN(B29),(B29-1)&amp;"/"&amp;B29,B29&amp;"/"&amp;(B29+1))</f>
        <v>4065/4066</v>
      </c>
      <c r="L29" s="185" t="str">
        <f>VLOOKUP(A29,'Trips&amp;Operators'!$C$1:$G$99911,5,FALSE)</f>
        <v>WILLIAMS DONTE</v>
      </c>
      <c r="M29" s="6">
        <f>I29-F29</f>
        <v>2.6284722225682344E-2</v>
      </c>
      <c r="N29" s="7">
        <f>24*60*SUM($M29:$M29)</f>
        <v>37.850000004982576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-04T04:40:02-0600',mode:absolute,to:'2017-11-04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5.0799999999999998E-2</v>
      </c>
      <c r="Z29" s="204">
        <f>RIGHT(H29,LEN(H29)-4)/10000</f>
        <v>23.332000000000001</v>
      </c>
      <c r="AA29" s="204">
        <f>ABS(Z29-Y29)</f>
        <v>23.281200000000002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/stypes="app*4066*20171104*"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15"/>
        <v>"%USERPROFILE%\Documents\GitHub\eaglep3\Utilities\RefineRTDCRunTimes.py" --tripid 117-04 --locoid 4066 --swversion DE.1.0.9.0 --startMP 204:508 --initTime 2017-11-04T05:40:02 --startdatetime 2017-11-04T05:45:28 --delay 162 --endMP 204:233320 --enddatetime 2017-11-04T06:23:19 --enforcementcount 0 &gt;&gt;%USERPROFILE%\Documents\GitHub\eaglep3-reporting\EC\2017-11-04-refined-times.txt</v>
      </c>
      <c r="AI2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{"issue":{"subject":"","project_id":79,"tracker_id":40,"status_id":1,"priority_id":2,"assigned_to_id":338,"start_date":"2017-11-04","description":"","custom_fields":[{"id":1,"name":"Subdivision","value":"EC"},{"id":4,"name":"Milepost","value":"23.332"},{"id":17,"name":"Train ID","value":"117-04"},{"id":16,"name":"Locomotive ID","value":"4066"},{"id":130,"name":"Impact","value":""},{"id":150,"name":"Time of Event (Mountain Time)","value":"06:23:19"},{"id":151,"name":"Denver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7"/>
        <v>start /low /b %USERPROFILE%\Documents\GitHub\eaglep3\Utilities\DownloadLogsFromS3.py --loco 4066 --day 2017-11-04</v>
      </c>
      <c r="AN2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9"/>
        <v>https://d0f6bd738d7f1b3e5a7ca70fe4ff75f0.us-east-1.aws.found.io/app/kibana#/discover/Steve-Slow-Train-Analysis-(2080s-and-2083s)?_g=(refreshInterval:(display:Off,pause:!f,section:0,value:0),time:(from:'2017-11-04T04:40:02-0600',mode:absolute,to:'2017-11-04T07:23:19-0600'))&amp;_a=(columns:!('Message%20ID',Summary),filters:!(),index:'emp_*',interval:auto,query:(query_string:(analyze_wildcard:!t,query:'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713</v>
      </c>
      <c r="B30" s="7">
        <v>4065</v>
      </c>
      <c r="C30" s="21" t="s">
        <v>192</v>
      </c>
      <c r="D30" s="21" t="s">
        <v>602</v>
      </c>
      <c r="E30" s="13">
        <v>43043.275347222225</v>
      </c>
      <c r="F30" s="13">
        <v>43043.279398148145</v>
      </c>
      <c r="G30" s="7">
        <v>98</v>
      </c>
      <c r="H30" s="21" t="s">
        <v>605</v>
      </c>
      <c r="I30" s="13">
        <v>43043.307395833333</v>
      </c>
      <c r="J30" s="7">
        <v>0</v>
      </c>
      <c r="K30" s="89" t="str">
        <f>IF(ISEVEN(B30),(B30-1)&amp;"/"&amp;B30,B30&amp;"/"&amp;(B30+1))</f>
        <v>4065/4066</v>
      </c>
      <c r="L30" s="185" t="str">
        <f>VLOOKUP(A30,'Trips&amp;Operators'!$C$1:$G$99911,5,FALSE)</f>
        <v>WILLIAMS DONTE</v>
      </c>
      <c r="M30" s="6">
        <f>I30-F30</f>
        <v>2.7997685188893229E-2</v>
      </c>
      <c r="N30" s="7">
        <f>24*60*SUM($M30:$M30)</f>
        <v>40.316666672006249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-04T05:36:30-0600',mode:absolute,to:'2017-11-04T08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23.2944</v>
      </c>
      <c r="Z30" s="204">
        <f>RIGHT(H30,LEN(H30)-4)/10000</f>
        <v>2.07E-2</v>
      </c>
      <c r="AA30" s="204">
        <f>ABS(Z30-Y30)</f>
        <v>23.273699999999998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/stypes="app*4065*20171104*"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15"/>
        <v>"%USERPROFILE%\Documents\GitHub\eaglep3\Utilities\RefineRTDCRunTimes.py" --tripid 118-04 --locoid 4065 --swversion DE.1.0.9.0 --startMP 204:232944 --initTime 2017-11-04T06:36:30 --startdatetime 2017-11-04T06:42:20 --delay 98 --endMP 204:207 --enddatetime 2017-11-04T07:22:39 --enforcementcount 0 &gt;&gt;%USERPROFILE%\Documents\GitHub\eaglep3-reporting\EC\2017-11-04-refined-times.txt</v>
      </c>
      <c r="AI3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{"issue":{"subject":"","project_id":79,"tracker_id":40,"status_id":1,"priority_id":2,"assigned_to_id":338,"start_date":"2017-11-04","description":"","custom_fields":[{"id":1,"name":"Subdivision","value":"EC"},{"id":4,"name":"Milepost","value":"0.0207"},{"id":17,"name":"Train ID","value":"118-04"},{"id":16,"name":"Locomotive ID","value":"4065"},{"id":130,"name":"Impact","value":""},{"id":150,"name":"Time of Event (Mountain Time)","value":"07:22:39"},{"id":151,"name":"Denver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7"/>
        <v>start /low /b %USERPROFILE%\Documents\GitHub\eaglep3\Utilities\DownloadLogsFromS3.py --loco 4065 --day 2017-11-04</v>
      </c>
      <c r="AN3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9"/>
        <v>https://d0f6bd738d7f1b3e5a7ca70fe4ff75f0.us-east-1.aws.found.io/app/kibana#/discover/Steve-Slow-Train-Analysis-(2080s-and-2083s)?_g=(refreshInterval:(display:Off,pause:!f,section:0,value:0),time:(from:'2017-11-04T05:36:30-0600',mode:absolute,to:'2017-11-04T08:22:39-0600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705</v>
      </c>
      <c r="B31" s="7">
        <v>4036</v>
      </c>
      <c r="C31" s="21" t="s">
        <v>192</v>
      </c>
      <c r="D31" s="21" t="s">
        <v>397</v>
      </c>
      <c r="E31" s="13">
        <v>43043.245972222219</v>
      </c>
      <c r="F31" s="13">
        <v>43043.250173611108</v>
      </c>
      <c r="G31" s="7">
        <v>100</v>
      </c>
      <c r="H31" s="21" t="s">
        <v>631</v>
      </c>
      <c r="I31" s="13">
        <v>43043.275393518517</v>
      </c>
      <c r="J31" s="7">
        <v>0</v>
      </c>
      <c r="K31" s="89" t="str">
        <f>IF(ISEVEN(B31),(B31-1)&amp;"/"&amp;B31,B31&amp;"/"&amp;(B31+1))</f>
        <v>4035/4036</v>
      </c>
      <c r="L31" s="185" t="str">
        <f>VLOOKUP(A31,'Trips&amp;Operators'!$C$1:$G$99911,5,FALSE)</f>
        <v>LANGERAK WILLIAM</v>
      </c>
      <c r="M31" s="6">
        <f>I31-F31</f>
        <v>2.5219907409336884E-2</v>
      </c>
      <c r="N31" s="7">
        <f>24*60*SUM($M31:$M31)</f>
        <v>36.316666669445112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-04T04:54:12-0600',mode:absolute,to:'2017-11-04T07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4.6600000000000003E-2</v>
      </c>
      <c r="Z31" s="204">
        <f>RIGHT(H31,LEN(H31)-4)/10000</f>
        <v>23.325900000000001</v>
      </c>
      <c r="AA31" s="204">
        <f>ABS(Z31-Y31)</f>
        <v>23.279299999999999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/stypes="app*4036*20171104*"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15"/>
        <v>"%USERPROFILE%\Documents\GitHub\eaglep3\Utilities\RefineRTDCRunTimes.py" --tripid 119-04 --locoid 4036 --swversion DE.1.0.9.0 --startMP 204:466 --initTime 2017-11-04T05:54:12 --startdatetime 2017-11-04T06:00:15 --delay 100 --endMP 204:233259 --enddatetime 2017-11-04T06:36:34 --enforcementcount 0 &gt;&gt;%USERPROFILE%\Documents\GitHub\eaglep3-reporting\EC\2017-11-04-refined-times.txt</v>
      </c>
      <c r="AI3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{"issue":{"subject":"","project_id":79,"tracker_id":40,"status_id":1,"priority_id":2,"assigned_to_id":338,"start_date":"2017-11-04","description":"","custom_fields":[{"id":1,"name":"Subdivision","value":"EC"},{"id":4,"name":"Milepost","value":"23.3259"},{"id":17,"name":"Train ID","value":"119-04"},{"id":16,"name":"Locomotive ID","value":"4036"},{"id":130,"name":"Impact","value":""},{"id":150,"name":"Time of Event (Mountain Time)","value":"06:36:34"},{"id":151,"name":"Denver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7"/>
        <v>start /low /b %USERPROFILE%\Documents\GitHub\eaglep3\Utilities\DownloadLogsFromS3.py --loco 4036 --day 2017-11-04</v>
      </c>
      <c r="AN3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9"/>
        <v>https://d0f6bd738d7f1b3e5a7ca70fe4ff75f0.us-east-1.aws.found.io/app/kibana#/discover/Steve-Slow-Train-Analysis-(2080s-and-2083s)?_g=(refreshInterval:(display:Off,pause:!f,section:0,value:0),time:(from:'2017-11-04T04:54:12-0600',mode:absolute,to:'2017-11-04T07:36:34-0600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714</v>
      </c>
      <c r="B32" s="7">
        <v>4035</v>
      </c>
      <c r="C32" s="21" t="s">
        <v>192</v>
      </c>
      <c r="D32" s="21" t="s">
        <v>595</v>
      </c>
      <c r="E32" s="13">
        <v>43043.277557870373</v>
      </c>
      <c r="F32" s="13">
        <v>43043.289756944447</v>
      </c>
      <c r="G32" s="7">
        <v>102</v>
      </c>
      <c r="H32" s="21" t="s">
        <v>377</v>
      </c>
      <c r="I32" s="13">
        <v>43043.316678240742</v>
      </c>
      <c r="J32" s="7">
        <v>0</v>
      </c>
      <c r="K32" s="89" t="str">
        <f>IF(ISEVEN(B32),(B32-1)&amp;"/"&amp;B32,B32&amp;"/"&amp;(B32+1))</f>
        <v>4035/4036</v>
      </c>
      <c r="L32" s="185" t="str">
        <f>VLOOKUP(A32,'Trips&amp;Operators'!$C$1:$G$99911,5,FALSE)</f>
        <v>LANGERAK WILLIAM</v>
      </c>
      <c r="M32" s="6">
        <f>I32-F32</f>
        <v>2.6921296295768116E-2</v>
      </c>
      <c r="N32" s="7">
        <f>24*60*SUM($M32:$M32)</f>
        <v>38.766666665906087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-04T05:39:41-0600',mode:absolute,to:'2017-11-04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23.295500000000001</v>
      </c>
      <c r="Z32" s="204">
        <f>RIGHT(H32,LEN(H32)-4)/10000</f>
        <v>1.61E-2</v>
      </c>
      <c r="AA32" s="204">
        <f>ABS(Z32-Y32)</f>
        <v>23.279399999999999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/stypes="app*4035*20171104*"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15"/>
        <v>"%USERPROFILE%\Documents\GitHub\eaglep3\Utilities\RefineRTDCRunTimes.py" --tripid 120-04 --locoid 4035 --swversion DE.1.0.9.0 --startMP 204:232955 --initTime 2017-11-04T06:39:41 --startdatetime 2017-11-04T06:57:15 --delay 102 --endMP 204:161 --enddatetime 2017-11-04T07:36:01 --enforcementcount 0 &gt;&gt;%USERPROFILE%\Documents\GitHub\eaglep3-reporting\EC\2017-11-04-refined-times.txt</v>
      </c>
      <c r="AI3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{"issue":{"subject":"","project_id":79,"tracker_id":40,"status_id":1,"priority_id":2,"assigned_to_id":338,"start_date":"2017-11-04","description":"","custom_fields":[{"id":1,"name":"Subdivision","value":"EC"},{"id":4,"name":"Milepost","value":"0.0161"},{"id":17,"name":"Train ID","value":"120-04"},{"id":16,"name":"Locomotive ID","value":"4035"},{"id":130,"name":"Impact","value":""},{"id":150,"name":"Time of Event (Mountain Time)","value":"07:36:01"},{"id":151,"name":"Denver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7"/>
        <v>start /low /b %USERPROFILE%\Documents\GitHub\eaglep3\Utilities\DownloadLogsFromS3.py --loco 4035 --day 2017-11-04</v>
      </c>
      <c r="AN3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9"/>
        <v>https://d0f6bd738d7f1b3e5a7ca70fe4ff75f0.us-east-1.aws.found.io/app/kibana#/discover/Steve-Slow-Train-Analysis-(2080s-and-2083s)?_g=(refreshInterval:(display:Off,pause:!f,section:0,value:0),time:(from:'2017-11-04T05:39:41-0600',mode:absolute,to:'2017-11-04T08:36:01-0600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709</v>
      </c>
      <c r="B33" s="7">
        <v>4046</v>
      </c>
      <c r="C33" s="21" t="s">
        <v>192</v>
      </c>
      <c r="D33" s="21" t="s">
        <v>601</v>
      </c>
      <c r="E33" s="13">
        <v>43043.256145833337</v>
      </c>
      <c r="F33" s="13">
        <v>43043.26059027778</v>
      </c>
      <c r="G33" s="7">
        <v>52</v>
      </c>
      <c r="H33" s="21" t="s">
        <v>894</v>
      </c>
      <c r="I33" s="13">
        <v>43043.284247685187</v>
      </c>
      <c r="J33" s="7">
        <v>0</v>
      </c>
      <c r="K33" s="89" t="str">
        <f>IF(ISEVEN(B33),(B33-1)&amp;"/"&amp;B33,B33&amp;"/"&amp;(B33+1))</f>
        <v>4045/4046</v>
      </c>
      <c r="L33" s="185" t="str">
        <f>VLOOKUP(A33,'Trips&amp;Operators'!$C$1:$G$99911,5,FALSE)</f>
        <v>GEBRETEKLE DAGNEW</v>
      </c>
      <c r="M33" s="6">
        <f>I33-F33</f>
        <v>2.3657407407881692E-2</v>
      </c>
      <c r="N33" s="7">
        <f>24*60*SUM($M33:$M33)</f>
        <v>34.066666667349637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-04T05:08:51-0600',mode:absolute,to:'2017-11-04T07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4.82E-2</v>
      </c>
      <c r="Z33" s="204">
        <f>RIGHT(H33,LEN(H33)-4)/10000</f>
        <v>23.324300000000001</v>
      </c>
      <c r="AA33" s="204">
        <f>ABS(Z33-Y33)</f>
        <v>23.2761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/stypes="app*4046*20171104*"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15"/>
        <v>"%USERPROFILE%\Documents\GitHub\eaglep3\Utilities\RefineRTDCRunTimes.py" --tripid 121-04 --locoid 4046 --swversion DE.1.0.9.0 --startMP 204:482 --initTime 2017-11-04T06:08:51 --startdatetime 2017-11-04T06:15:15 --delay 52 --endMP 204:233243 --enddatetime 2017-11-04T06:49:19 --enforcementcount 0 &gt;&gt;%USERPROFILE%\Documents\GitHub\eaglep3-reporting\EC\2017-11-04-refined-times.txt</v>
      </c>
      <c r="AI3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{"issue":{"subject":"","project_id":79,"tracker_id":40,"status_id":1,"priority_id":2,"assigned_to_id":338,"start_date":"2017-11-04","description":"","custom_fields":[{"id":1,"name":"Subdivision","value":"EC"},{"id":4,"name":"Milepost","value":"23.3243"},{"id":17,"name":"Train ID","value":"121-04"},{"id":16,"name":"Locomotive ID","value":"4046"},{"id":130,"name":"Impact","value":""},{"id":150,"name":"Time of Event (Mountain Time)","value":"06:49:19"},{"id":151,"name":"Denver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7"/>
        <v>start /low /b %USERPROFILE%\Documents\GitHub\eaglep3\Utilities\DownloadLogsFromS3.py --loco 4046 --day 2017-11-04</v>
      </c>
      <c r="AN3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9"/>
        <v>https://d0f6bd738d7f1b3e5a7ca70fe4ff75f0.us-east-1.aws.found.io/app/kibana#/discover/Steve-Slow-Train-Analysis-(2080s-and-2083s)?_g=(refreshInterval:(display:Off,pause:!f,section:0,value:0),time:(from:'2017-11-04T05:08:51-0600',mode:absolute,to:'2017-11-04T07:49:19-0600'))&amp;_a=(columns:!('Message%20ID',Summary),filters:!(),index:'emp_*',interval:auto,query:(query_string:(analyze_wildcard:!t,query:'%22rtdc.l.rtdc.4046%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716</v>
      </c>
      <c r="B34" s="7">
        <v>4045</v>
      </c>
      <c r="C34" s="21" t="s">
        <v>192</v>
      </c>
      <c r="D34" s="21" t="s">
        <v>895</v>
      </c>
      <c r="E34" s="13">
        <v>43043.285486111112</v>
      </c>
      <c r="F34" s="13">
        <v>43043.300196759257</v>
      </c>
      <c r="G34" s="7">
        <v>47</v>
      </c>
      <c r="H34" s="21" t="s">
        <v>885</v>
      </c>
      <c r="I34" s="13">
        <v>43043.32644675926</v>
      </c>
      <c r="J34" s="7">
        <v>0</v>
      </c>
      <c r="K34" s="89" t="str">
        <f>IF(ISEVEN(B34),(B34-1)&amp;"/"&amp;B34,B34&amp;"/"&amp;(B34+1))</f>
        <v>4045/4046</v>
      </c>
      <c r="L34" s="185" t="str">
        <f>VLOOKUP(A34,'Trips&amp;Operators'!$C$1:$G$99911,5,FALSE)</f>
        <v>GEBRETEKLE DAGNEW</v>
      </c>
      <c r="M34" s="6">
        <f>I34-F34</f>
        <v>2.6250000002619345E-2</v>
      </c>
      <c r="N34" s="7">
        <f>24*60*SUM($M34:$M34)</f>
        <v>37.800000003771856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-04T05:51:06-0600',mode:absolute,to:'2017-11-04T08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23.291899999999998</v>
      </c>
      <c r="Z34" s="204">
        <f>RIGHT(H34,LEN(H34)-4)/10000</f>
        <v>1.7999999999999999E-2</v>
      </c>
      <c r="AA34" s="204">
        <f>ABS(Z34-Y34)</f>
        <v>23.273899999999998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/stypes="app*4045*20171104*"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15"/>
        <v>"%USERPROFILE%\Documents\GitHub\eaglep3\Utilities\RefineRTDCRunTimes.py" --tripid 122-04 --locoid 4045 --swversion DE.1.0.9.0 --startMP 204:232919 --initTime 2017-11-04T06:51:06 --startdatetime 2017-11-04T07:12:17 --delay 47 --endMP 204:180 --enddatetime 2017-11-04T07:50:05 --enforcementcount 0 &gt;&gt;%USERPROFILE%\Documents\GitHub\eaglep3-reporting\EC\2017-11-04-refined-times.txt</v>
      </c>
      <c r="AI3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{"issue":{"subject":"","project_id":79,"tracker_id":40,"status_id":1,"priority_id":2,"assigned_to_id":338,"start_date":"2017-11-04","description":"","custom_fields":[{"id":1,"name":"Subdivision","value":"EC"},{"id":4,"name":"Milepost","value":"0.018"},{"id":17,"name":"Train ID","value":"122-04"},{"id":16,"name":"Locomotive ID","value":"4045"},{"id":130,"name":"Impact","value":""},{"id":150,"name":"Time of Event (Mountain Time)","value":"07:50:05"},{"id":151,"name":"Denver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7"/>
        <v>start /low /b %USERPROFILE%\Documents\GitHub\eaglep3\Utilities\DownloadLogsFromS3.py --loco 4045 --day 2017-11-04</v>
      </c>
      <c r="AN3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9"/>
        <v>https://d0f6bd738d7f1b3e5a7ca70fe4ff75f0.us-east-1.aws.found.io/app/kibana#/discover/Steve-Slow-Train-Analysis-(2080s-and-2083s)?_g=(refreshInterval:(display:Off,pause:!f,section:0,value:0),time:(from:'2017-11-04T05:51:06-0600',mode:absolute,to:'2017-11-04T08:50:05-0600'))&amp;_a=(columns:!('Message%20ID',Summary),filters:!(),index:'emp_*',interval:auto,query:(query_string:(analyze_wildcard:!t,query:'%22rtdc.l.rtdc.4045%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711</v>
      </c>
      <c r="B35" s="7">
        <v>4016</v>
      </c>
      <c r="C35" s="21" t="s">
        <v>192</v>
      </c>
      <c r="D35" s="21" t="s">
        <v>896</v>
      </c>
      <c r="E35" s="13">
        <v>43043.267013888886</v>
      </c>
      <c r="F35" s="13">
        <v>43043.270983796298</v>
      </c>
      <c r="G35" s="7">
        <v>71</v>
      </c>
      <c r="H35" s="21" t="s">
        <v>631</v>
      </c>
      <c r="I35" s="13">
        <v>43043.296446759261</v>
      </c>
      <c r="J35" s="7">
        <v>0</v>
      </c>
      <c r="K35" s="89" t="str">
        <f>IF(ISEVEN(B35),(B35-1)&amp;"/"&amp;B35,B35&amp;"/"&amp;(B35+1))</f>
        <v>4015/4016</v>
      </c>
      <c r="L35" s="185" t="str">
        <f>VLOOKUP(A35,'Trips&amp;Operators'!$C$1:$G$99911,5,FALSE)</f>
        <v>BROWN JACOB</v>
      </c>
      <c r="M35" s="6">
        <f>I35-F35</f>
        <v>2.5462962963501923E-2</v>
      </c>
      <c r="N35" s="7">
        <f>24*60*SUM($M35:$M35)</f>
        <v>36.666666667442769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-04T05:24:30-0600',mode:absolute,to:'2017-11-04T08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4.7300000000000002E-2</v>
      </c>
      <c r="Z35" s="204">
        <f>RIGHT(H35,LEN(H35)-4)/10000</f>
        <v>23.325900000000001</v>
      </c>
      <c r="AA35" s="204">
        <f>ABS(Z35-Y35)</f>
        <v>23.278600000000001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/stypes="app*4016*20171104*"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15"/>
        <v>"%USERPROFILE%\Documents\GitHub\eaglep3\Utilities\RefineRTDCRunTimes.py" --tripid 123-04 --locoid 4016 --swversion DE.1.0.9.0 --startMP 204:473 --initTime 2017-11-04T06:24:30 --startdatetime 2017-11-04T06:30:13 --delay 71 --endMP 204:233259 --enddatetime 2017-11-04T07:06:53 --enforcementcount 0 &gt;&gt;%USERPROFILE%\Documents\GitHub\eaglep3-reporting\EC\2017-11-04-refined-times.txt</v>
      </c>
      <c r="AI3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{"issue":{"subject":"","project_id":79,"tracker_id":40,"status_id":1,"priority_id":2,"assigned_to_id":338,"start_date":"2017-11-04","description":"","custom_fields":[{"id":1,"name":"Subdivision","value":"EC"},{"id":4,"name":"Milepost","value":"23.3259"},{"id":17,"name":"Train ID","value":"123-04"},{"id":16,"name":"Locomotive ID","value":"4016"},{"id":130,"name":"Impact","value":""},{"id":150,"name":"Time of Event (Mountain Time)","value":"07:06:53"},{"id":151,"name":"Denver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7"/>
        <v>start /low /b %USERPROFILE%\Documents\GitHub\eaglep3\Utilities\DownloadLogsFromS3.py --loco 4016 --day 2017-11-04</v>
      </c>
      <c r="AN3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9"/>
        <v>https://d0f6bd738d7f1b3e5a7ca70fe4ff75f0.us-east-1.aws.found.io/app/kibana#/discover/Steve-Slow-Train-Analysis-(2080s-and-2083s)?_g=(refreshInterval:(display:Off,pause:!f,section:0,value:0),time:(from:'2017-11-04T05:24:30-0600',mode:absolute,to:'2017-11-04T08:06:53-0600'))&amp;_a=(columns:!('Message%20ID',Summary),filters:!(),index:'emp_*',interval:auto,query:(query_string:(analyze_wildcard:!t,query:'%22rtdc.l.rtdc.4016%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719</v>
      </c>
      <c r="B36" s="7">
        <v>4015</v>
      </c>
      <c r="C36" s="21" t="s">
        <v>192</v>
      </c>
      <c r="D36" s="21" t="s">
        <v>519</v>
      </c>
      <c r="E36" s="13">
        <v>43043.30505787037</v>
      </c>
      <c r="F36" s="13">
        <v>43043.311226851853</v>
      </c>
      <c r="G36" s="7">
        <v>52</v>
      </c>
      <c r="H36" s="21" t="s">
        <v>583</v>
      </c>
      <c r="I36" s="13">
        <v>43043.337268518517</v>
      </c>
      <c r="J36" s="7">
        <v>0</v>
      </c>
      <c r="K36" s="89" t="str">
        <f>IF(ISEVEN(B36),(B36-1)&amp;"/"&amp;B36,B36&amp;"/"&amp;(B36+1))</f>
        <v>4015/4016</v>
      </c>
      <c r="L36" s="185" t="str">
        <f>VLOOKUP(A36,'Trips&amp;Operators'!$C$1:$G$99911,5,FALSE)</f>
        <v>BROWN JACOB</v>
      </c>
      <c r="M36" s="6">
        <f>I36-F36</f>
        <v>2.6041666664241347E-2</v>
      </c>
      <c r="N36" s="7">
        <f>24*60*SUM($M36:$M36)</f>
        <v>37.49999999650754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-04T06:19:17-0600',mode:absolute,to:'2017-11-04T09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23.2942</v>
      </c>
      <c r="Z36" s="204">
        <f>RIGHT(H36,LEN(H36)-4)/10000</f>
        <v>1.43E-2</v>
      </c>
      <c r="AA36" s="204">
        <f>ABS(Z36-Y36)</f>
        <v>23.279900000000001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/stypes="app*4015*20171104*"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15"/>
        <v>"%USERPROFILE%\Documents\GitHub\eaglep3\Utilities\RefineRTDCRunTimes.py" --tripid 124-04 --locoid 4015 --swversion DE.1.0.9.0 --startMP 204:232942 --initTime 2017-11-04T07:19:17 --startdatetime 2017-11-04T07:28:10 --delay 52 --endMP 204:143 --enddatetime 2017-11-04T08:05:40 --enforcementcount 0 &gt;&gt;%USERPROFILE%\Documents\GitHub\eaglep3-reporting\EC\2017-11-04-refined-times.txt</v>
      </c>
      <c r="AI3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{"issue":{"subject":"","project_id":79,"tracker_id":40,"status_id":1,"priority_id":2,"assigned_to_id":338,"start_date":"2017-11-04","description":"","custom_fields":[{"id":1,"name":"Subdivision","value":"EC"},{"id":4,"name":"Milepost","value":"0.0143"},{"id":17,"name":"Train ID","value":"124-04"},{"id":16,"name":"Locomotive ID","value":"4015"},{"id":130,"name":"Impact","value":""},{"id":150,"name":"Time of Event (Mountain Time)","value":"08:05:40"},{"id":151,"name":"Denver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7"/>
        <v>start /low /b %USERPROFILE%\Documents\GitHub\eaglep3\Utilities\DownloadLogsFromS3.py --loco 4015 --day 2017-11-04</v>
      </c>
      <c r="AN3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9"/>
        <v>https://d0f6bd738d7f1b3e5a7ca70fe4ff75f0.us-east-1.aws.found.io/app/kibana#/discover/Steve-Slow-Train-Analysis-(2080s-and-2083s)?_g=(refreshInterval:(display:Off,pause:!f,section:0,value:0),time:(from:'2017-11-04T06:19:17-0600',mode:absolute,to:'2017-11-04T09:05:40-0600'))&amp;_a=(columns:!('Message%20ID',Summary),filters:!(),index:'emp_*',interval:auto,query:(query_string:(analyze_wildcard:!t,query:'%22rtdc.l.rtdc.4015%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715</v>
      </c>
      <c r="B37" s="7">
        <v>4006</v>
      </c>
      <c r="C37" s="21" t="s">
        <v>192</v>
      </c>
      <c r="D37" s="21" t="s">
        <v>892</v>
      </c>
      <c r="E37" s="13">
        <v>43043.279016203705</v>
      </c>
      <c r="F37" s="13">
        <v>43043.281712962962</v>
      </c>
      <c r="G37" s="7">
        <v>53</v>
      </c>
      <c r="H37" s="21" t="s">
        <v>399</v>
      </c>
      <c r="I37" s="13">
        <v>43043.306574074071</v>
      </c>
      <c r="J37" s="7">
        <v>0</v>
      </c>
      <c r="K37" s="89" t="str">
        <f>IF(ISEVEN(B37),(B37-1)&amp;"/"&amp;B37,B37&amp;"/"&amp;(B37+1))</f>
        <v>4005/4006</v>
      </c>
      <c r="L37" s="185" t="str">
        <f>VLOOKUP(A37,'Trips&amp;Operators'!$C$1:$G$99911,5,FALSE)</f>
        <v>THOMPSON LESTER</v>
      </c>
      <c r="M37" s="6">
        <f>I37-F37</f>
        <v>2.4861111109203193E-2</v>
      </c>
      <c r="N37" s="7">
        <f>24*60*SUM($M37:$M37)</f>
        <v>35.799999997252598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-04T05:41:47-0600',mode:absolute,to:'2017-11-04T08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4.6699999999999998E-2</v>
      </c>
      <c r="Z37" s="204">
        <f>RIGHT(H37,LEN(H37)-4)/10000</f>
        <v>23.326599999999999</v>
      </c>
      <c r="AA37" s="204">
        <f>ABS(Z37-Y37)</f>
        <v>23.279899999999998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/stypes="app*4006*20171104*"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15"/>
        <v>"%USERPROFILE%\Documents\GitHub\eaglep3\Utilities\RefineRTDCRunTimes.py" --tripid 125-04 --locoid 4006 --swversion DE.1.0.9.0 --startMP 204:467 --initTime 2017-11-04T06:41:47 --startdatetime 2017-11-04T06:45:40 --delay 53 --endMP 204:233266 --enddatetime 2017-11-04T07:21:28 --enforcementcount 0 &gt;&gt;%USERPROFILE%\Documents\GitHub\eaglep3-reporting\EC\2017-11-04-refined-times.txt</v>
      </c>
      <c r="AI3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{"issue":{"subject":"","project_id":79,"tracker_id":40,"status_id":1,"priority_id":2,"assigned_to_id":338,"start_date":"2017-11-04","description":"","custom_fields":[{"id":1,"name":"Subdivision","value":"EC"},{"id":4,"name":"Milepost","value":"23.3266"},{"id":17,"name":"Train ID","value":"125-04"},{"id":16,"name":"Locomotive ID","value":"4006"},{"id":130,"name":"Impact","value":""},{"id":150,"name":"Time of Event (Mountain Time)","value":"07:21:28"},{"id":151,"name":"Denver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7"/>
        <v>start /low /b %USERPROFILE%\Documents\GitHub\eaglep3\Utilities\DownloadLogsFromS3.py --loco 4006 --day 2017-11-04</v>
      </c>
      <c r="AN3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9"/>
        <v>https://d0f6bd738d7f1b3e5a7ca70fe4ff75f0.us-east-1.aws.found.io/app/kibana#/discover/Steve-Slow-Train-Analysis-(2080s-and-2083s)?_g=(refreshInterval:(display:Off,pause:!f,section:0,value:0),time:(from:'2017-11-04T05:41:47-0600',mode:absolute,to:'2017-11-04T08:21:28-0600'))&amp;_a=(columns:!('Message%20ID',Summary),filters:!(),index:'emp_*',interval:auto,query:(query_string:(analyze_wildcard:!t,query:'%22rtdc.l.rtdc.4006%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722</v>
      </c>
      <c r="B38" s="7">
        <v>4005</v>
      </c>
      <c r="C38" s="21" t="s">
        <v>192</v>
      </c>
      <c r="D38" s="21" t="s">
        <v>515</v>
      </c>
      <c r="E38" s="13">
        <v>43043.318807870368</v>
      </c>
      <c r="F38" s="13">
        <v>43043.321076388886</v>
      </c>
      <c r="G38" s="7">
        <v>64</v>
      </c>
      <c r="H38" s="21" t="s">
        <v>513</v>
      </c>
      <c r="I38" s="13">
        <v>43043.348530092589</v>
      </c>
      <c r="J38" s="7">
        <v>0</v>
      </c>
      <c r="K38" s="89" t="str">
        <f>IF(ISEVEN(B38),(B38-1)&amp;"/"&amp;B38,B38&amp;"/"&amp;(B38+1))</f>
        <v>4005/4006</v>
      </c>
      <c r="L38" s="185" t="str">
        <f>VLOOKUP(A38,'Trips&amp;Operators'!$C$1:$G$99911,5,FALSE)</f>
        <v>THOMPSON LESTER</v>
      </c>
      <c r="M38" s="6">
        <f>I38-F38</f>
        <v>2.7453703703940846E-2</v>
      </c>
      <c r="N38" s="7">
        <f>24*60*SUM($M38:$M38)</f>
        <v>39.533333333674818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-04T06:39:05-0600',mode:absolute,to:'2017-11-04T09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23.295000000000002</v>
      </c>
      <c r="Z38" s="204">
        <f>RIGHT(H38,LEN(H38)-4)/10000</f>
        <v>1.49E-2</v>
      </c>
      <c r="AA38" s="204">
        <f>ABS(Z38-Y38)</f>
        <v>23.280100000000001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/stypes="app*4005*20171104*"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15"/>
        <v>"%USERPROFILE%\Documents\GitHub\eaglep3\Utilities\RefineRTDCRunTimes.py" --tripid 126-04 --locoid 4005 --swversion DE.1.0.9.0 --startMP 204:232950 --initTime 2017-11-04T07:39:05 --startdatetime 2017-11-04T07:42:21 --delay 64 --endMP 204:149 --enddatetime 2017-11-04T08:21:53 --enforcementcount 0 &gt;&gt;%USERPROFILE%\Documents\GitHub\eaglep3-reporting\EC\2017-11-04-refined-times.txt</v>
      </c>
      <c r="AI3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{"issue":{"subject":"","project_id":79,"tracker_id":40,"status_id":1,"priority_id":2,"assigned_to_id":338,"start_date":"2017-11-04","description":"","custom_fields":[{"id":1,"name":"Subdivision","value":"EC"},{"id":4,"name":"Milepost","value":"0.0149"},{"id":17,"name":"Train ID","value":"126-04"},{"id":16,"name":"Locomotive ID","value":"4005"},{"id":130,"name":"Impact","value":""},{"id":150,"name":"Time of Event (Mountain Time)","value":"08:21:53"},{"id":151,"name":"Denver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7"/>
        <v>start /low /b %USERPROFILE%\Documents\GitHub\eaglep3\Utilities\DownloadLogsFromS3.py --loco 4005 --day 2017-11-04</v>
      </c>
      <c r="AN3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9"/>
        <v>https://d0f6bd738d7f1b3e5a7ca70fe4ff75f0.us-east-1.aws.found.io/app/kibana#/discover/Steve-Slow-Train-Analysis-(2080s-and-2083s)?_g=(refreshInterval:(display:Off,pause:!f,section:0,value:0),time:(from:'2017-11-04T06:39:05-0600',mode:absolute,to:'2017-11-04T09:21:53-0600'))&amp;_a=(columns:!('Message%20ID',Summary),filters:!(),index:'emp_*',interval:auto,query:(query_string:(analyze_wildcard:!t,query:'%22rtdc.l.rtdc.4005%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717</v>
      </c>
      <c r="B39" s="7">
        <v>4012</v>
      </c>
      <c r="C39" s="21" t="s">
        <v>192</v>
      </c>
      <c r="D39" s="21" t="s">
        <v>521</v>
      </c>
      <c r="E39" s="13">
        <v>43043.287534722222</v>
      </c>
      <c r="F39" s="13">
        <v>43043.292187500003</v>
      </c>
      <c r="G39" s="7">
        <v>56</v>
      </c>
      <c r="H39" s="21" t="s">
        <v>897</v>
      </c>
      <c r="I39" s="13">
        <v>43043.317557870374</v>
      </c>
      <c r="J39" s="7">
        <v>0</v>
      </c>
      <c r="K39" s="89" t="str">
        <f>IF(ISEVEN(B39),(B39-1)&amp;"/"&amp;B39,B39&amp;"/"&amp;(B39+1))</f>
        <v>4011/4012</v>
      </c>
      <c r="L39" s="185" t="str">
        <f>VLOOKUP(A39,'Trips&amp;Operators'!$C$1:$G$99911,5,FALSE)</f>
        <v>MACDONALD THOMAS</v>
      </c>
      <c r="M39" s="6">
        <f>I39-F39</f>
        <v>2.5370370371092577E-2</v>
      </c>
      <c r="N39" s="7">
        <f>24*60*SUM($M39:$M39)</f>
        <v>36.53333333437331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-04T05:54:03-0600',mode:absolute,to:'2017-11-04T08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4.9299999999999997E-2</v>
      </c>
      <c r="Z39" s="204">
        <f>RIGHT(H39,LEN(H39)-4)/10000</f>
        <v>23.325500000000002</v>
      </c>
      <c r="AA39" s="204">
        <f>ABS(Z39-Y39)</f>
        <v>23.276200000000003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/stypes="app*4012*20171104*"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15"/>
        <v>"%USERPROFILE%\Documents\GitHub\eaglep3\Utilities\RefineRTDCRunTimes.py" --tripid 127-04 --locoid 4012 --swversion DE.1.0.9.0 --startMP 204:493 --initTime 2017-11-04T06:54:03 --startdatetime 2017-11-04T07:00:45 --delay 56 --endMP 204:233255 --enddatetime 2017-11-04T07:37:17 --enforcementcount 0 &gt;&gt;%USERPROFILE%\Documents\GitHub\eaglep3-reporting\EC\2017-11-04-refined-times.txt</v>
      </c>
      <c r="AI3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{"issue":{"subject":"","project_id":79,"tracker_id":40,"status_id":1,"priority_id":2,"assigned_to_id":338,"start_date":"2017-11-04","description":"","custom_fields":[{"id":1,"name":"Subdivision","value":"EC"},{"id":4,"name":"Milepost","value":"23.3255"},{"id":17,"name":"Train ID","value":"127-04"},{"id":16,"name":"Locomotive ID","value":"4012"},{"id":130,"name":"Impact","value":""},{"id":150,"name":"Time of Event (Mountain Time)","value":"07:37:17"},{"id":151,"name":"Denver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7"/>
        <v>start /low /b %USERPROFILE%\Documents\GitHub\eaglep3\Utilities\DownloadLogsFromS3.py --loco 4012 --day 2017-11-04</v>
      </c>
      <c r="AN3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9"/>
        <v>https://d0f6bd738d7f1b3e5a7ca70fe4ff75f0.us-east-1.aws.found.io/app/kibana#/discover/Steve-Slow-Train-Analysis-(2080s-and-2083s)?_g=(refreshInterval:(display:Off,pause:!f,section:0,value:0),time:(from:'2017-11-04T05:54:03-0600',mode:absolute,to:'2017-11-04T08:37:17-0600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724</v>
      </c>
      <c r="B40" s="7">
        <v>4011</v>
      </c>
      <c r="C40" s="21" t="s">
        <v>192</v>
      </c>
      <c r="D40" s="21" t="s">
        <v>898</v>
      </c>
      <c r="E40" s="13">
        <v>43043.318726851852</v>
      </c>
      <c r="F40" s="13">
        <v>43043.331666666665</v>
      </c>
      <c r="G40" s="7">
        <v>156</v>
      </c>
      <c r="H40" s="21" t="s">
        <v>513</v>
      </c>
      <c r="I40" s="13">
        <v>43043.358252314814</v>
      </c>
      <c r="J40" s="7">
        <v>0</v>
      </c>
      <c r="K40" s="89" t="str">
        <f>IF(ISEVEN(B40),(B40-1)&amp;"/"&amp;B40,B40&amp;"/"&amp;(B40+1))</f>
        <v>4011/4012</v>
      </c>
      <c r="L40" s="185" t="str">
        <f>VLOOKUP(A40,'Trips&amp;Operators'!$C$1:$G$99911,5,FALSE)</f>
        <v>MACDONALD THOMAS</v>
      </c>
      <c r="M40" s="6">
        <f>I40-F40</f>
        <v>2.658564814919373E-2</v>
      </c>
      <c r="N40" s="7">
        <f>24*60*SUM($M40:$M40)</f>
        <v>38.283333334838971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-04T06:38:58-0600',mode:absolute,to:'2017-11-04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23.294499999999999</v>
      </c>
      <c r="Z40" s="204">
        <f>RIGHT(H40,LEN(H40)-4)/10000</f>
        <v>1.49E-2</v>
      </c>
      <c r="AA40" s="204">
        <f>ABS(Z40-Y40)</f>
        <v>23.279599999999999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/stypes="app*4011*20171104*"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15"/>
        <v>"%USERPROFILE%\Documents\GitHub\eaglep3\Utilities\RefineRTDCRunTimes.py" --tripid 128-04 --locoid 4011 --swversion DE.1.0.9.0 --startMP 204:232945 --initTime 2017-11-04T07:38:58 --startdatetime 2017-11-04T07:57:36 --delay 156 --endMP 204:149 --enddatetime 2017-11-04T08:35:53 --enforcementcount 0 &gt;&gt;%USERPROFILE%\Documents\GitHub\eaglep3-reporting\EC\2017-11-04-refined-times.txt</v>
      </c>
      <c r="AI4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{"issue":{"subject":"","project_id":79,"tracker_id":40,"status_id":1,"priority_id":2,"assigned_to_id":338,"start_date":"2017-11-04","description":"","custom_fields":[{"id":1,"name":"Subdivision","value":"EC"},{"id":4,"name":"Milepost","value":"0.0149"},{"id":17,"name":"Train ID","value":"128-04"},{"id":16,"name":"Locomotive ID","value":"4011"},{"id":130,"name":"Impact","value":""},{"id":150,"name":"Time of Event (Mountain Time)","value":"08:35:53"},{"id":151,"name":"Denver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7"/>
        <v>start /low /b %USERPROFILE%\Documents\GitHub\eaglep3\Utilities\DownloadLogsFromS3.py --loco 4011 --day 2017-11-04</v>
      </c>
      <c r="AN4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19"/>
        <v>https://d0f6bd738d7f1b3e5a7ca70fe4ff75f0.us-east-1.aws.found.io/app/kibana#/discover/Steve-Slow-Train-Analysis-(2080s-and-2083s)?_g=(refreshInterval:(display:Off,pause:!f,section:0,value:0),time:(from:'2017-11-04T06:38:58-0600',mode:absolute,to:'2017-11-04T09:35:53-0600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718</v>
      </c>
      <c r="B41" s="7">
        <v>4020</v>
      </c>
      <c r="C41" s="21" t="s">
        <v>192</v>
      </c>
      <c r="D41" s="21" t="s">
        <v>888</v>
      </c>
      <c r="E41" s="13">
        <v>43043.296875</v>
      </c>
      <c r="F41" s="13">
        <v>43043.302268518521</v>
      </c>
      <c r="G41" s="7">
        <v>46</v>
      </c>
      <c r="H41" s="21" t="s">
        <v>490</v>
      </c>
      <c r="I41" s="13">
        <v>43043.326562499999</v>
      </c>
      <c r="J41" s="7">
        <v>0</v>
      </c>
      <c r="K41" s="89" t="str">
        <f>IF(ISEVEN(B41),(B41-1)&amp;"/"&amp;B41,B41&amp;"/"&amp;(B41+1))</f>
        <v>4019/4020</v>
      </c>
      <c r="L41" s="185" t="str">
        <f>VLOOKUP(A41,'Trips&amp;Operators'!$C$1:$G$99911,5,FALSE)</f>
        <v>MAELZER KURT</v>
      </c>
      <c r="M41" s="6">
        <f>I41-F41</f>
        <v>2.4293981477967463E-2</v>
      </c>
      <c r="N41" s="7">
        <f>24*60*SUM($M41:$M41)</f>
        <v>34.983333328273147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-04T06:07:30-0600',mode:absolute,to:'2017-11-04T08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4.4699999999999997E-2</v>
      </c>
      <c r="Z41" s="204">
        <f>RIGHT(H41,LEN(H41)-4)/10000</f>
        <v>23.329699999999999</v>
      </c>
      <c r="AA41" s="204">
        <f>ABS(Z41-Y41)</f>
        <v>23.285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/stypes="app*4020*20171104*"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15"/>
        <v>"%USERPROFILE%\Documents\GitHub\eaglep3\Utilities\RefineRTDCRunTimes.py" --tripid 129-04 --locoid 4020 --swversion DE.1.0.9.0 --startMP 204:447 --initTime 2017-11-04T07:07:30 --startdatetime 2017-11-04T07:15:16 --delay 46 --endMP 204:233297 --enddatetime 2017-11-04T07:50:15 --enforcementcount 0 &gt;&gt;%USERPROFILE%\Documents\GitHub\eaglep3-reporting\EC\2017-11-04-refined-times.txt</v>
      </c>
      <c r="AI4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{"issue":{"subject":"","project_id":79,"tracker_id":40,"status_id":1,"priority_id":2,"assigned_to_id":338,"start_date":"2017-11-04","description":"","custom_fields":[{"id":1,"name":"Subdivision","value":"EC"},{"id":4,"name":"Milepost","value":"23.3297"},{"id":17,"name":"Train ID","value":"129-04"},{"id":16,"name":"Locomotive ID","value":"4020"},{"id":130,"name":"Impact","value":""},{"id":150,"name":"Time of Event (Mountain Time)","value":"07:50:15"},{"id":151,"name":"Denver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7"/>
        <v>start /low /b %USERPROFILE%\Documents\GitHub\eaglep3\Utilities\DownloadLogsFromS3.py --loco 4020 --day 2017-11-04</v>
      </c>
      <c r="AN4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9"/>
        <v>https://d0f6bd738d7f1b3e5a7ca70fe4ff75f0.us-east-1.aws.found.io/app/kibana#/discover/Steve-Slow-Train-Analysis-(2080s-and-2083s)?_g=(refreshInterval:(display:Off,pause:!f,section:0,value:0),time:(from:'2017-11-04T06:07:30-0600',mode:absolute,to:'2017-11-04T08:50:15-0600'))&amp;_a=(columns:!('Message%20ID',Summary),filters:!(),index:'emp_*',interval:auto,query:(query_string:(analyze_wildcard:!t,query:'%22rtdc.l.rtdc.4020%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726</v>
      </c>
      <c r="B42" s="7">
        <v>4019</v>
      </c>
      <c r="C42" s="21" t="s">
        <v>192</v>
      </c>
      <c r="D42" s="21" t="s">
        <v>899</v>
      </c>
      <c r="E42" s="13">
        <v>43043.328888888886</v>
      </c>
      <c r="F42" s="13">
        <v>43043.341863425929</v>
      </c>
      <c r="G42" s="7">
        <v>62</v>
      </c>
      <c r="H42" s="21" t="s">
        <v>900</v>
      </c>
      <c r="I42" s="13">
        <v>43043.369027777779</v>
      </c>
      <c r="J42" s="7">
        <v>0</v>
      </c>
      <c r="K42" s="89" t="str">
        <f>IF(ISEVEN(B42),(B42-1)&amp;"/"&amp;B42,B42&amp;"/"&amp;(B42+1))</f>
        <v>4019/4020</v>
      </c>
      <c r="L42" s="185" t="str">
        <f>VLOOKUP(A42,'Trips&amp;Operators'!$C$1:$G$99911,5,FALSE)</f>
        <v>MAELZER KURT</v>
      </c>
      <c r="M42" s="6">
        <f>I42-F42</f>
        <v>2.7164351849933155E-2</v>
      </c>
      <c r="N42" s="7">
        <f>24*60*SUM($M42:$M42)</f>
        <v>39.116666663903743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-04T06:53:36-0600',mode:absolute,to:'2017-11-04T09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23.298999999999999</v>
      </c>
      <c r="Z42" s="204">
        <f>RIGHT(H42,LEN(H42)-4)/10000</f>
        <v>1.41E-2</v>
      </c>
      <c r="AA42" s="204">
        <f>ABS(Z42-Y42)</f>
        <v>23.2849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/stypes="app*4019*20171104*"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15"/>
        <v>"%USERPROFILE%\Documents\GitHub\eaglep3\Utilities\RefineRTDCRunTimes.py" --tripid 130-04 --locoid 4019 --swversion DE.1.0.9.0 --startMP 204:232990 --initTime 2017-11-04T07:53:36 --startdatetime 2017-11-04T08:12:17 --delay 62 --endMP 204:141 --enddatetime 2017-11-04T08:51:24 --enforcementcount 0 &gt;&gt;%USERPROFILE%\Documents\GitHub\eaglep3-reporting\EC\2017-11-04-refined-times.txt</v>
      </c>
      <c r="AI4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{"issue":{"subject":"","project_id":79,"tracker_id":40,"status_id":1,"priority_id":2,"assigned_to_id":338,"start_date":"2017-11-04","description":"","custom_fields":[{"id":1,"name":"Subdivision","value":"EC"},{"id":4,"name":"Milepost","value":"0.0141"},{"id":17,"name":"Train ID","value":"130-04"},{"id":16,"name":"Locomotive ID","value":"4019"},{"id":130,"name":"Impact","value":""},{"id":150,"name":"Time of Event (Mountain Time)","value":"08:51:24"},{"id":151,"name":"Denver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7"/>
        <v>start /low /b %USERPROFILE%\Documents\GitHub\eaglep3\Utilities\DownloadLogsFromS3.py --loco 4019 --day 2017-11-04</v>
      </c>
      <c r="AN4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9"/>
        <v>https://d0f6bd738d7f1b3e5a7ca70fe4ff75f0.us-east-1.aws.found.io/app/kibana#/discover/Steve-Slow-Train-Analysis-(2080s-and-2083s)?_g=(refreshInterval:(display:Off,pause:!f,section:0,value:0),time:(from:'2017-11-04T06:53:36-0600',mode:absolute,to:'2017-11-04T09:51:24-0600'))&amp;_a=(columns:!('Message%20ID',Summary),filters:!(),index:'emp_*',interval:auto,query:(query_string:(analyze_wildcard:!t,query:'%22rtdc.l.rtdc.4019%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4066</v>
      </c>
      <c r="C43" s="21" t="s">
        <v>192</v>
      </c>
      <c r="D43" s="21" t="s">
        <v>390</v>
      </c>
      <c r="E43" s="13">
        <v>43043.309363425928</v>
      </c>
      <c r="F43" s="13">
        <v>43043.312696759262</v>
      </c>
      <c r="G43" s="7">
        <v>85</v>
      </c>
      <c r="H43" s="21" t="s">
        <v>901</v>
      </c>
      <c r="I43" s="13">
        <v>43043.33829861111</v>
      </c>
      <c r="J43" s="7">
        <v>0</v>
      </c>
      <c r="K43" s="89" t="str">
        <f>IF(ISEVEN(B43),(B43-1)&amp;"/"&amp;B43,B43&amp;"/"&amp;(B43+1))</f>
        <v>4065/4066</v>
      </c>
      <c r="L43" s="185" t="str">
        <f>VLOOKUP(A43,'Trips&amp;Operators'!$C$1:$G$99911,5,FALSE)</f>
        <v>WILLIAMS DONTE</v>
      </c>
      <c r="M43" s="6">
        <f>I43-F43</f>
        <v>2.5601851848477963E-2</v>
      </c>
      <c r="N43" s="7">
        <f>24*60*SUM($M43:$M43)</f>
        <v>36.866666661808267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-04T06:25:29-0600',mode:absolute,to:'2017-11-04T09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5.1299999999999998E-2</v>
      </c>
      <c r="Z43" s="204">
        <f>RIGHT(H43,LEN(H43)-4)/10000</f>
        <v>23.3247</v>
      </c>
      <c r="AA43" s="204">
        <f>ABS(Z43-Y43)</f>
        <v>23.273399999999999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/stypes="app*4066*20171104*"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15"/>
        <v>"%USERPROFILE%\Documents\GitHub\eaglep3\Utilities\RefineRTDCRunTimes.py" --tripid 131-04 --locoid 4066 --swversion DE.1.0.9.0 --startMP 204:513 --initTime 2017-11-04T07:25:29 --startdatetime 2017-11-04T07:30:17 --delay 85 --endMP 204:233247 --enddatetime 2017-11-04T08:07:09 --enforcementcount 0 &gt;&gt;%USERPROFILE%\Documents\GitHub\eaglep3-reporting\EC\2017-11-04-refined-times.txt</v>
      </c>
      <c r="AI4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{"issue":{"subject":"","project_id":79,"tracker_id":40,"status_id":1,"priority_id":2,"assigned_to_id":338,"start_date":"2017-11-04","description":"","custom_fields":[{"id":1,"name":"Subdivision","value":"EC"},{"id":4,"name":"Milepost","value":"23.3247"},{"id":17,"name":"Train ID","value":"131-04"},{"id":16,"name":"Locomotive ID","value":"4066"},{"id":130,"name":"Impact","value":""},{"id":150,"name":"Time of Event (Mountain Time)","value":"08:07:09"},{"id":151,"name":"Denver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7"/>
        <v>start /low /b %USERPROFILE%\Documents\GitHub\eaglep3\Utilities\DownloadLogsFromS3.py --loco 4066 --day 2017-11-04</v>
      </c>
      <c r="AN4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9"/>
        <v>https://d0f6bd738d7f1b3e5a7ca70fe4ff75f0.us-east-1.aws.found.io/app/kibana#/discover/Steve-Slow-Train-Analysis-(2080s-and-2083s)?_g=(refreshInterval:(display:Off,pause:!f,section:0,value:0),time:(from:'2017-11-04T06:25:29-0600',mode:absolute,to:'2017-11-04T09:07:09-0600'))&amp;_a=(columns:!('Message%20ID',Summary),filters:!(),index:'emp_*',interval:auto,query:(query_string:(analyze_wildcard:!t,query:'%22rtdc.l.rtdc.4066%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729</v>
      </c>
      <c r="B44" s="7">
        <v>4065</v>
      </c>
      <c r="C44" s="21" t="s">
        <v>192</v>
      </c>
      <c r="D44" s="21" t="s">
        <v>902</v>
      </c>
      <c r="E44" s="13">
        <v>43043.347719907404</v>
      </c>
      <c r="F44" s="13">
        <v>43043.352314814816</v>
      </c>
      <c r="G44" s="7">
        <v>85</v>
      </c>
      <c r="H44" s="21" t="s">
        <v>528</v>
      </c>
      <c r="I44" s="13">
        <v>43043.378449074073</v>
      </c>
      <c r="J44" s="7">
        <v>0</v>
      </c>
      <c r="K44" s="89" t="str">
        <f>IF(ISEVEN(B44),(B44-1)&amp;"/"&amp;B44,B44&amp;"/"&amp;(B44+1))</f>
        <v>4065/4066</v>
      </c>
      <c r="L44" s="185" t="str">
        <f>VLOOKUP(A44,'Trips&amp;Operators'!$C$1:$G$99911,5,FALSE)</f>
        <v>WILLIAMS DONTE</v>
      </c>
      <c r="M44" s="6">
        <f>I44-F44</f>
        <v>2.6134259256650694E-2</v>
      </c>
      <c r="N44" s="7">
        <f>24*60*SUM($M44:$M44)</f>
        <v>37.633333329576999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-04T07:20:43-0600',mode:absolute,to:'2017-11-04T10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23.295999999999999</v>
      </c>
      <c r="Z44" s="204">
        <f>RIGHT(H44,LEN(H44)-4)/10000</f>
        <v>1.89E-2</v>
      </c>
      <c r="AA44" s="204">
        <f>ABS(Z44-Y44)</f>
        <v>23.277100000000001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/stypes="app*4065*20171104*"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15"/>
        <v>"%USERPROFILE%\Documents\GitHub\eaglep3\Utilities\RefineRTDCRunTimes.py" --tripid 132-04 --locoid 4065 --swversion DE.1.0.9.0 --startMP 204:232960 --initTime 2017-11-04T08:20:43 --startdatetime 2017-11-04T08:27:20 --delay 85 --endMP 204:189 --enddatetime 2017-11-04T09:04:58 --enforcementcount 0 &gt;&gt;%USERPROFILE%\Documents\GitHub\eaglep3-reporting\EC\2017-11-04-refined-times.txt</v>
      </c>
      <c r="AI4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{"issue":{"subject":"","project_id":79,"tracker_id":40,"status_id":1,"priority_id":2,"assigned_to_id":338,"start_date":"2017-11-04","description":"","custom_fields":[{"id":1,"name":"Subdivision","value":"EC"},{"id":4,"name":"Milepost","value":"0.0189"},{"id":17,"name":"Train ID","value":"132-04"},{"id":16,"name":"Locomotive ID","value":"4065"},{"id":130,"name":"Impact","value":""},{"id":150,"name":"Time of Event (Mountain Time)","value":"09:04:58"},{"id":151,"name":"Denver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7"/>
        <v>start /low /b %USERPROFILE%\Documents\GitHub\eaglep3\Utilities\DownloadLogsFromS3.py --loco 4065 --day 2017-11-04</v>
      </c>
      <c r="AN4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9"/>
        <v>https://d0f6bd738d7f1b3e5a7ca70fe4ff75f0.us-east-1.aws.found.io/app/kibana#/discover/Steve-Slow-Train-Analysis-(2080s-and-2083s)?_g=(refreshInterval:(display:Off,pause:!f,section:0,value:0),time:(from:'2017-11-04T07:20:43-0600',mode:absolute,to:'2017-11-04T10:04:58-0600'))&amp;_a=(columns:!('Message%20ID',Summary),filters:!(),index:'emp_*',interval:auto,query:(query_string:(analyze_wildcard:!t,query:'%22rtdc.l.rtdc.4065%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723</v>
      </c>
      <c r="B45" s="7">
        <v>4036</v>
      </c>
      <c r="C45" s="21" t="s">
        <v>192</v>
      </c>
      <c r="D45" s="21" t="s">
        <v>903</v>
      </c>
      <c r="E45" s="13">
        <v>43043.319085648145</v>
      </c>
      <c r="F45" s="13">
        <v>43043.32309027778</v>
      </c>
      <c r="G45" s="7">
        <v>72</v>
      </c>
      <c r="H45" s="21" t="s">
        <v>596</v>
      </c>
      <c r="I45" s="13">
        <v>43043.346932870372</v>
      </c>
      <c r="J45" s="7">
        <v>0</v>
      </c>
      <c r="K45" s="89" t="str">
        <f>IF(ISEVEN(B45),(B45-1)&amp;"/"&amp;B45,B45&amp;"/"&amp;(B45+1))</f>
        <v>4035/4036</v>
      </c>
      <c r="L45" s="185" t="str">
        <f>VLOOKUP(A45,'Trips&amp;Operators'!$C$1:$G$99911,5,FALSE)</f>
        <v>PAGE MARCUS</v>
      </c>
      <c r="M45" s="6">
        <f>I45-F45</f>
        <v>2.3842592592700385E-2</v>
      </c>
      <c r="N45" s="7">
        <f>24*60*SUM($M45:$M45)</f>
        <v>34.333333333488554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-04T06:39:29-0600',mode:absolute,to:'2017-11-04T09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4.7800000000000002E-2</v>
      </c>
      <c r="Z45" s="204">
        <f>RIGHT(H45,LEN(H45)-4)/10000</f>
        <v>23.329899999999999</v>
      </c>
      <c r="AA45" s="204">
        <f>ABS(Z45-Y45)</f>
        <v>23.2821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/stypes="app*4036*20171104*"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15"/>
        <v>"%USERPROFILE%\Documents\GitHub\eaglep3\Utilities\RefineRTDCRunTimes.py" --tripid 133-04 --locoid 4036 --swversion DE.1.0.9.0 --startMP 204:478 --initTime 2017-11-04T07:39:29 --startdatetime 2017-11-04T07:45:15 --delay 72 --endMP 204:233299 --enddatetime 2017-11-04T08:19:35 --enforcementcount 0 &gt;&gt;%USERPROFILE%\Documents\GitHub\eaglep3-reporting\EC\2017-11-04-refined-times.txt</v>
      </c>
      <c r="AI4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{"issue":{"subject":"","project_id":79,"tracker_id":40,"status_id":1,"priority_id":2,"assigned_to_id":338,"start_date":"2017-11-04","description":"","custom_fields":[{"id":1,"name":"Subdivision","value":"EC"},{"id":4,"name":"Milepost","value":"23.3299"},{"id":17,"name":"Train ID","value":"133-04"},{"id":16,"name":"Locomotive ID","value":"4036"},{"id":130,"name":"Impact","value":""},{"id":150,"name":"Time of Event (Mountain Time)","value":"08:19:35"},{"id":151,"name":"Denver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7"/>
        <v>start /low /b %USERPROFILE%\Documents\GitHub\eaglep3\Utilities\DownloadLogsFromS3.py --loco 4036 --day 2017-11-04</v>
      </c>
      <c r="AN4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19"/>
        <v>https://d0f6bd738d7f1b3e5a7ca70fe4ff75f0.us-east-1.aws.found.io/app/kibana#/discover/Steve-Slow-Train-Analysis-(2080s-and-2083s)?_g=(refreshInterval:(display:Off,pause:!f,section:0,value:0),time:(from:'2017-11-04T06:39:29-0600',mode:absolute,to:'2017-11-04T09:19:35-0600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732</v>
      </c>
      <c r="B46" s="7">
        <v>4035</v>
      </c>
      <c r="C46" s="21" t="s">
        <v>192</v>
      </c>
      <c r="D46" s="21" t="s">
        <v>904</v>
      </c>
      <c r="E46" s="13">
        <v>43043.356446759259</v>
      </c>
      <c r="F46" s="13">
        <v>43043.362673611111</v>
      </c>
      <c r="G46" s="7">
        <v>63</v>
      </c>
      <c r="H46" s="21" t="s">
        <v>512</v>
      </c>
      <c r="I46" s="13">
        <v>43043.388703703706</v>
      </c>
      <c r="J46" s="7">
        <v>0</v>
      </c>
      <c r="K46" s="89" t="str">
        <f>IF(ISEVEN(B46),(B46-1)&amp;"/"&amp;B46,B46&amp;"/"&amp;(B46+1))</f>
        <v>4035/4036</v>
      </c>
      <c r="L46" s="185" t="str">
        <f>VLOOKUP(A46,'Trips&amp;Operators'!$C$1:$G$99911,5,FALSE)</f>
        <v>PAGE MARCUS</v>
      </c>
      <c r="M46" s="6">
        <f>I46-F46</f>
        <v>2.6030092594737653E-2</v>
      </c>
      <c r="N46" s="7">
        <f>24*60*SUM($M46:$M46)</f>
        <v>37.48333333642222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-04T07:33:17-0600',mode:absolute,to:'2017-11-04T10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23.296099999999999</v>
      </c>
      <c r="Z46" s="204">
        <f>RIGHT(H46,LEN(H46)-4)/10000</f>
        <v>1.47E-2</v>
      </c>
      <c r="AA46" s="204">
        <f>ABS(Z46-Y46)</f>
        <v>23.281399999999998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/stypes="app*4035*20171104*"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15"/>
        <v>"%USERPROFILE%\Documents\GitHub\eaglep3\Utilities\RefineRTDCRunTimes.py" --tripid 134-04 --locoid 4035 --swversion DE.1.0.9.0 --startMP 204:232961 --initTime 2017-11-04T08:33:17 --startdatetime 2017-11-04T08:42:15 --delay 63 --endMP 204:147 --enddatetime 2017-11-04T09:19:44 --enforcementcount 0 &gt;&gt;%USERPROFILE%\Documents\GitHub\eaglep3-reporting\EC\2017-11-04-refined-times.txt</v>
      </c>
      <c r="AI4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{"issue":{"subject":"","project_id":79,"tracker_id":40,"status_id":1,"priority_id":2,"assigned_to_id":338,"start_date":"2017-11-04","description":"","custom_fields":[{"id":1,"name":"Subdivision","value":"EC"},{"id":4,"name":"Milepost","value":"0.0147"},{"id":17,"name":"Train ID","value":"134-04"},{"id":16,"name":"Locomotive ID","value":"4035"},{"id":130,"name":"Impact","value":""},{"id":150,"name":"Time of Event (Mountain Time)","value":"09:19:44"},{"id":151,"name":"Denver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7"/>
        <v>start /low /b %USERPROFILE%\Documents\GitHub\eaglep3\Utilities\DownloadLogsFromS3.py --loco 4035 --day 2017-11-04</v>
      </c>
      <c r="AN4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19"/>
        <v>https://d0f6bd738d7f1b3e5a7ca70fe4ff75f0.us-east-1.aws.found.io/app/kibana#/discover/Steve-Slow-Train-Analysis-(2080s-and-2083s)?_g=(refreshInterval:(display:Off,pause:!f,section:0,value:0),time:(from:'2017-11-04T07:33:17-0600',mode:absolute,to:'2017-11-04T10:19:44-0600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725</v>
      </c>
      <c r="B47" s="7">
        <v>4046</v>
      </c>
      <c r="C47" s="21" t="s">
        <v>192</v>
      </c>
      <c r="D47" s="21" t="s">
        <v>905</v>
      </c>
      <c r="E47" s="13">
        <v>43043.327731481484</v>
      </c>
      <c r="F47" s="13">
        <v>43043.333761574075</v>
      </c>
      <c r="G47" s="7">
        <v>78</v>
      </c>
      <c r="H47" s="21" t="s">
        <v>599</v>
      </c>
      <c r="I47" s="13">
        <v>43043.35800925926</v>
      </c>
      <c r="J47" s="7">
        <v>0</v>
      </c>
      <c r="K47" s="89" t="str">
        <f>IF(ISEVEN(B47),(B47-1)&amp;"/"&amp;B47,B47&amp;"/"&amp;(B47+1))</f>
        <v>4045/4046</v>
      </c>
      <c r="L47" s="185" t="str">
        <f>VLOOKUP(A47,'Trips&amp;Operators'!$C$1:$G$99911,5,FALSE)</f>
        <v>GEBRETEKLE DAGNEW</v>
      </c>
      <c r="M47" s="6">
        <f>I47-F47</f>
        <v>2.4247685185400769E-2</v>
      </c>
      <c r="N47" s="7">
        <f>24*60*SUM($M47:$M47)</f>
        <v>34.916666666977108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-04T06:51:56-0600',mode:absolute,to:'2017-11-04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4.9500000000000002E-2</v>
      </c>
      <c r="Z47" s="204">
        <f>RIGHT(H47,LEN(H47)-4)/10000</f>
        <v>23.329799999999999</v>
      </c>
      <c r="AA47" s="204">
        <f>ABS(Z47-Y47)</f>
        <v>23.2803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/stypes="app*4046*20171104*"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15"/>
        <v>"%USERPROFILE%\Documents\GitHub\eaglep3\Utilities\RefineRTDCRunTimes.py" --tripid 135-04 --locoid 4046 --swversion DE.1.0.9.0 --startMP 204:495 --initTime 2017-11-04T07:51:56 --startdatetime 2017-11-04T08:00:37 --delay 78 --endMP 204:233298 --enddatetime 2017-11-04T08:35:32 --enforcementcount 0 &gt;&gt;%USERPROFILE%\Documents\GitHub\eaglep3-reporting\EC\2017-11-04-refined-times.txt</v>
      </c>
      <c r="AI4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{"issue":{"subject":"","project_id":79,"tracker_id":40,"status_id":1,"priority_id":2,"assigned_to_id":338,"start_date":"2017-11-04","description":"","custom_fields":[{"id":1,"name":"Subdivision","value":"EC"},{"id":4,"name":"Milepost","value":"23.3298"},{"id":17,"name":"Train ID","value":"135-04"},{"id":16,"name":"Locomotive ID","value":"4046"},{"id":130,"name":"Impact","value":""},{"id":150,"name":"Time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7"/>
        <v>start /low /b %USERPROFILE%\Documents\GitHub\eaglep3\Utilities\DownloadLogsFromS3.py --loco 4046 --day 2017-11-04</v>
      </c>
      <c r="AN4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19"/>
        <v>https://d0f6bd738d7f1b3e5a7ca70fe4ff75f0.us-east-1.aws.found.io/app/kibana#/discover/Steve-Slow-Train-Analysis-(2080s-and-2083s)?_g=(refreshInterval:(display:Off,pause:!f,section:0,value:0),time:(from:'2017-11-04T06:51:56-0600',mode:absolute,to:'2017-11-04T09:35:32-0600'))&amp;_a=(columns:!('Message%20ID',Summary),filters:!(),index:'emp_*',interval:auto,query:(query_string:(analyze_wildcard:!t,query:'%22rtdc.l.rtdc.4046%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733</v>
      </c>
      <c r="B48" s="7">
        <v>4045</v>
      </c>
      <c r="C48" s="21" t="s">
        <v>192</v>
      </c>
      <c r="D48" s="21" t="s">
        <v>906</v>
      </c>
      <c r="E48" s="13">
        <v>43043.359143518515</v>
      </c>
      <c r="F48" s="13">
        <v>43043.373124999998</v>
      </c>
      <c r="G48" s="7">
        <v>56</v>
      </c>
      <c r="H48" s="21" t="s">
        <v>581</v>
      </c>
      <c r="I48" s="13">
        <v>43043.398946759262</v>
      </c>
      <c r="J48" s="7">
        <v>0</v>
      </c>
      <c r="K48" s="89" t="str">
        <f>IF(ISEVEN(B48),(B48-1)&amp;"/"&amp;B48,B48&amp;"/"&amp;(B48+1))</f>
        <v>4045/4046</v>
      </c>
      <c r="L48" s="185" t="str">
        <f>VLOOKUP(A48,'Trips&amp;Operators'!$C$1:$G$99911,5,FALSE)</f>
        <v>GEBRETEKLE DAGNEW</v>
      </c>
      <c r="M48" s="6">
        <f>I48-F48</f>
        <v>2.5821759263635613E-2</v>
      </c>
      <c r="N48" s="7">
        <f>24*60*SUM($M48:$M48)</f>
        <v>37.183333339635283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-04T07:37:10-0600',mode:absolute,to:'2017-11-04T10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23.297000000000001</v>
      </c>
      <c r="Z48" s="204">
        <f>RIGHT(H48,LEN(H48)-4)/10000</f>
        <v>1.67E-2</v>
      </c>
      <c r="AA48" s="204">
        <f>ABS(Z48-Y48)</f>
        <v>23.2803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/stypes="app*4045*20171104*"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15"/>
        <v>"%USERPROFILE%\Documents\GitHub\eaglep3\Utilities\RefineRTDCRunTimes.py" --tripid 136-04 --locoid 4045 --swversion DE.1.0.9.0 --startMP 204:232970 --initTime 2017-11-04T08:37:10 --startdatetime 2017-11-04T08:57:18 --delay 56 --endMP 204:167 --enddatetime 2017-11-04T09:34:29 --enforcementcount 0 &gt;&gt;%USERPROFILE%\Documents\GitHub\eaglep3-reporting\EC\2017-11-04-refined-times.txt</v>
      </c>
      <c r="AI4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{"issue":{"subject":"","project_id":79,"tracker_id":40,"status_id":1,"priority_id":2,"assigned_to_id":338,"start_date":"2017-11-04","description":"","custom_fields":[{"id":1,"name":"Subdivision","value":"EC"},{"id":4,"name":"Milepost","value":"0.0167"},{"id":17,"name":"Train ID","value":"136-04"},{"id":16,"name":"Locomotive ID","value":"4045"},{"id":130,"name":"Impact","value":""},{"id":150,"name":"Time of Event (Mountain Time)","value":"09:34:29"},{"id":151,"name":"Denver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7"/>
        <v>start /low /b %USERPROFILE%\Documents\GitHub\eaglep3\Utilities\DownloadLogsFromS3.py --loco 4045 --day 2017-11-04</v>
      </c>
      <c r="AN4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19"/>
        <v>https://d0f6bd738d7f1b3e5a7ca70fe4ff75f0.us-east-1.aws.found.io/app/kibana#/discover/Steve-Slow-Train-Analysis-(2080s-and-2083s)?_g=(refreshInterval:(display:Off,pause:!f,section:0,value:0),time:(from:'2017-11-04T07:37:10-0600',mode:absolute,to:'2017-11-04T10:34:29-0600'))&amp;_a=(columns:!('Message%20ID',Summary),filters:!(),index:'emp_*',interval:auto,query:(query_string:(analyze_wildcard:!t,query:'%22rtdc.l.rtdc.4045%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728</v>
      </c>
      <c r="B49" s="7">
        <v>4016</v>
      </c>
      <c r="C49" s="21" t="s">
        <v>192</v>
      </c>
      <c r="D49" s="21" t="s">
        <v>907</v>
      </c>
      <c r="E49" s="13">
        <v>43043.340057870373</v>
      </c>
      <c r="F49" s="13">
        <v>43043.343923611108</v>
      </c>
      <c r="G49" s="7">
        <v>108</v>
      </c>
      <c r="H49" s="21" t="s">
        <v>610</v>
      </c>
      <c r="I49" s="13">
        <v>43043.36818287037</v>
      </c>
      <c r="J49" s="7">
        <v>0</v>
      </c>
      <c r="K49" s="89" t="str">
        <f>IF(ISEVEN(B49),(B49-1)&amp;"/"&amp;B49,B49&amp;"/"&amp;(B49+1))</f>
        <v>4015/4016</v>
      </c>
      <c r="L49" s="185" t="str">
        <f>VLOOKUP(A49,'Trips&amp;Operators'!$C$1:$G$99911,5,FALSE)</f>
        <v>BROWN JACOB</v>
      </c>
      <c r="M49" s="6">
        <f>I49-F49</f>
        <v>2.4259259262180422E-2</v>
      </c>
      <c r="N49" s="7">
        <f>24*60*SUM($M49:$M49)</f>
        <v>34.933333337539807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-04T07:09:41-0600',mode:absolute,to:'2017-11-04T09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4.5100000000000001E-2</v>
      </c>
      <c r="Z49" s="204">
        <f>RIGHT(H49,LEN(H49)-4)/10000</f>
        <v>23.321300000000001</v>
      </c>
      <c r="AA49" s="204">
        <f>ABS(Z49-Y49)</f>
        <v>23.276199999999999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/stypes="app*4016*20171104*"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15"/>
        <v>"%USERPROFILE%\Documents\GitHub\eaglep3\Utilities\RefineRTDCRunTimes.py" --tripid 137-04 --locoid 4016 --swversion DE.1.0.9.0 --startMP 204:451 --initTime 2017-11-04T08:09:41 --startdatetime 2017-11-04T08:15:15 --delay 108 --endMP 204:233213 --enddatetime 2017-11-04T08:50:11 --enforcementcount 0 &gt;&gt;%USERPROFILE%\Documents\GitHub\eaglep3-reporting\EC\2017-11-04-refined-times.txt</v>
      </c>
      <c r="AI4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{"issue":{"subject":"","project_id":79,"tracker_id":40,"status_id":1,"priority_id":2,"assigned_to_id":338,"start_date":"2017-11-04","description":"","custom_fields":[{"id":1,"name":"Subdivision","value":"EC"},{"id":4,"name":"Milepost","value":"23.3213"},{"id":17,"name":"Train ID","value":"137-04"},{"id":16,"name":"Locomotive ID","value":"4016"},{"id":130,"name":"Impact","value":""},{"id":150,"name":"Time of Event (Mountain Time)","value":"08:50:11"},{"id":151,"name":"Denver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7"/>
        <v>start /low /b %USERPROFILE%\Documents\GitHub\eaglep3\Utilities\DownloadLogsFromS3.py --loco 4016 --day 2017-11-04</v>
      </c>
      <c r="AN4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19"/>
        <v>https://d0f6bd738d7f1b3e5a7ca70fe4ff75f0.us-east-1.aws.found.io/app/kibana#/discover/Steve-Slow-Train-Analysis-(2080s-and-2083s)?_g=(refreshInterval:(display:Off,pause:!f,section:0,value:0),time:(from:'2017-11-04T07:09:41-0600',mode:absolute,to:'2017-11-04T09:50:11-0600'))&amp;_a=(columns:!('Message%20ID',Summary),filters:!(),index:'emp_*',interval:auto,query:(query_string:(analyze_wildcard:!t,query:'%22rtdc.l.rtdc.4016%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737</v>
      </c>
      <c r="B50" s="7">
        <v>4015</v>
      </c>
      <c r="C50" s="21" t="s">
        <v>192</v>
      </c>
      <c r="D50" s="21" t="s">
        <v>908</v>
      </c>
      <c r="E50" s="13">
        <v>43043.381053240744</v>
      </c>
      <c r="F50" s="13">
        <v>43043.383483796293</v>
      </c>
      <c r="G50" s="7">
        <v>56</v>
      </c>
      <c r="H50" s="21" t="s">
        <v>376</v>
      </c>
      <c r="I50" s="13">
        <v>43043.410104166665</v>
      </c>
      <c r="J50" s="7">
        <v>0</v>
      </c>
      <c r="K50" s="89" t="str">
        <f>IF(ISEVEN(B50),(B50-1)&amp;"/"&amp;B50,B50&amp;"/"&amp;(B50+1))</f>
        <v>4015/4016</v>
      </c>
      <c r="L50" s="185" t="str">
        <f>VLOOKUP(A50,'Trips&amp;Operators'!$C$1:$G$99911,5,FALSE)</f>
        <v>BROWN JACOB</v>
      </c>
      <c r="M50" s="6">
        <f>I50-F50</f>
        <v>2.662037037225673E-2</v>
      </c>
      <c r="N50" s="7">
        <f>24*60*SUM($M50:$M50)</f>
        <v>38.333333336049691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-04T08:08:43-0600',mode:absolute,to:'2017-11-04T10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23.289000000000001</v>
      </c>
      <c r="Z50" s="204">
        <f>RIGHT(H50,LEN(H50)-4)/10000</f>
        <v>1.5599999999999999E-2</v>
      </c>
      <c r="AA50" s="204">
        <f>ABS(Z50-Y50)</f>
        <v>23.273400000000002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/stypes="app*4015*20171104*"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15"/>
        <v>"%USERPROFILE%\Documents\GitHub\eaglep3\Utilities\RefineRTDCRunTimes.py" --tripid 138-04 --locoid 4015 --swversion DE.1.0.9.0 --startMP 204:232890 --initTime 2017-11-04T09:08:43 --startdatetime 2017-11-04T09:12:13 --delay 56 --endMP 204:156 --enddatetime 2017-11-04T09:50:33 --enforcementcount 0 &gt;&gt;%USERPROFILE%\Documents\GitHub\eaglep3-reporting\EC\2017-11-04-refined-times.txt</v>
      </c>
      <c r="AI5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{"issue":{"subject":"","project_id":79,"tracker_id":40,"status_id":1,"priority_id":2,"assigned_to_id":338,"start_date":"2017-11-04","description":"","custom_fields":[{"id":1,"name":"Subdivision","value":"EC"},{"id":4,"name":"Milepost","value":"0.0156"},{"id":17,"name":"Train ID","value":"138-04"},{"id":16,"name":"Locomotive ID","value":"4015"},{"id":130,"name":"Impact","value":""},{"id":150,"name":"Time of Event (Mountain Time)","value":"09:50:33"},{"id":151,"name":"Denver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7"/>
        <v>start /low /b %USERPROFILE%\Documents\GitHub\eaglep3\Utilities\DownloadLogsFromS3.py --loco 4015 --day 2017-11-04</v>
      </c>
      <c r="AN5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19"/>
        <v>https://d0f6bd738d7f1b3e5a7ca70fe4ff75f0.us-east-1.aws.found.io/app/kibana#/discover/Steve-Slow-Train-Analysis-(2080s-and-2083s)?_g=(refreshInterval:(display:Off,pause:!f,section:0,value:0),time:(from:'2017-11-04T08:08:43-0600',mode:absolute,to:'2017-11-04T10:50:33-0600'))&amp;_a=(columns:!('Message%20ID',Summary),filters:!(),index:'emp_*',interval:auto,query:(query_string:(analyze_wildcard:!t,query:'%22rtdc.l.rtdc.4015%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730</v>
      </c>
      <c r="B51" s="7">
        <v>4006</v>
      </c>
      <c r="C51" s="21" t="s">
        <v>192</v>
      </c>
      <c r="D51" s="21" t="s">
        <v>601</v>
      </c>
      <c r="E51" s="13">
        <v>43043.350960648146</v>
      </c>
      <c r="F51" s="13">
        <v>43043.354594907411</v>
      </c>
      <c r="G51" s="7">
        <v>66</v>
      </c>
      <c r="H51" s="21" t="s">
        <v>614</v>
      </c>
      <c r="I51" s="13">
        <v>43043.38008101852</v>
      </c>
      <c r="J51" s="7">
        <v>0</v>
      </c>
      <c r="K51" s="89" t="str">
        <f>IF(ISEVEN(B51),(B51-1)&amp;"/"&amp;B51,B51&amp;"/"&amp;(B51+1))</f>
        <v>4005/4006</v>
      </c>
      <c r="L51" s="185" t="str">
        <f>VLOOKUP(A51,'Trips&amp;Operators'!$C$1:$G$99911,5,FALSE)</f>
        <v>THOMPSON LESTER</v>
      </c>
      <c r="M51" s="6">
        <f>I51-F51</f>
        <v>2.548611110978527E-2</v>
      </c>
      <c r="N51" s="7">
        <f>24*60*SUM($M51:$M51)</f>
        <v>36.699999998090789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-04T07:25:23-0600',mode:absolute,to:'2017-11-04T10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4.82E-2</v>
      </c>
      <c r="Z51" s="204">
        <f>RIGHT(H51,LEN(H51)-4)/10000</f>
        <v>23.327999999999999</v>
      </c>
      <c r="AA51" s="204">
        <f>ABS(Z51-Y51)</f>
        <v>23.279799999999998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/stypes="app*4006*20171104*"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15"/>
        <v>"%USERPROFILE%\Documents\GitHub\eaglep3\Utilities\RefineRTDCRunTimes.py" --tripid 139-04 --locoid 4006 --swversion DE.1.0.9.0 --startMP 204:482 --initTime 2017-11-04T08:25:23 --startdatetime 2017-11-04T08:30:37 --delay 66 --endMP 204:233280 --enddatetime 2017-11-04T09:07:19 --enforcementcount 0 &gt;&gt;%USERPROFILE%\Documents\GitHub\eaglep3-reporting\EC\2017-11-04-refined-times.txt</v>
      </c>
      <c r="AI5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{"issue":{"subject":"","project_id":79,"tracker_id":40,"status_id":1,"priority_id":2,"assigned_to_id":338,"start_date":"2017-11-04","description":"","custom_fields":[{"id":1,"name":"Subdivision","value":"EC"},{"id":4,"name":"Milepost","value":"23.328"},{"id":17,"name":"Train ID","value":"139-04"},{"id":16,"name":"Locomotive ID","value":"4006"},{"id":130,"name":"Impact","value":""},{"id":150,"name":"Time of Event (Mountain Time)","value":"09:07:19"},{"id":151,"name":"Denver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7"/>
        <v>start /low /b %USERPROFILE%\Documents\GitHub\eaglep3\Utilities\DownloadLogsFromS3.py --loco 4006 --day 2017-11-04</v>
      </c>
      <c r="AN5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19"/>
        <v>https://d0f6bd738d7f1b3e5a7ca70fe4ff75f0.us-east-1.aws.found.io/app/kibana#/discover/Steve-Slow-Train-Analysis-(2080s-and-2083s)?_g=(refreshInterval:(display:Off,pause:!f,section:0,value:0),time:(from:'2017-11-04T07:25:23-0600',mode:absolute,to:'2017-11-04T10:07:19-0600'))&amp;_a=(columns:!('Message%20ID',Summary),filters:!(),index:'emp_*',interval:auto,query:(query_string:(analyze_wildcard:!t,query:'%22rtdc.l.rtdc.4006%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738</v>
      </c>
      <c r="B52" s="7">
        <v>4005</v>
      </c>
      <c r="C52" s="21" t="s">
        <v>192</v>
      </c>
      <c r="D52" s="21" t="s">
        <v>597</v>
      </c>
      <c r="E52" s="13">
        <v>43043.390740740739</v>
      </c>
      <c r="F52" s="13">
        <v>43043.39398148148</v>
      </c>
      <c r="G52" s="7">
        <v>62</v>
      </c>
      <c r="H52" s="21" t="s">
        <v>891</v>
      </c>
      <c r="I52" s="13">
        <v>43043.420752314814</v>
      </c>
      <c r="J52" s="7">
        <v>0</v>
      </c>
      <c r="K52" s="89" t="str">
        <f>IF(ISEVEN(B52),(B52-1)&amp;"/"&amp;B52,B52&amp;"/"&amp;(B52+1))</f>
        <v>4005/4006</v>
      </c>
      <c r="L52" s="185" t="str">
        <f>VLOOKUP(A52,'Trips&amp;Operators'!$C$1:$G$99911,5,FALSE)</f>
        <v>THOMPSON LESTER</v>
      </c>
      <c r="M52" s="6">
        <f>I52-F52</f>
        <v>2.6770833334012423E-2</v>
      </c>
      <c r="N52" s="7">
        <f>24*60*SUM($M52:$M52)</f>
        <v>38.550000000977889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-04T08:22:40-0600',mode:absolute,to:'2017-11-04T11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23.2959</v>
      </c>
      <c r="Z52" s="204">
        <f>RIGHT(H52,LEN(H52)-4)/10000</f>
        <v>1.9400000000000001E-2</v>
      </c>
      <c r="AA52" s="204">
        <f>ABS(Z52-Y52)</f>
        <v>23.276499999999999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/stypes="app*4005*20171104*"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15"/>
        <v>"%USERPROFILE%\Documents\GitHub\eaglep3\Utilities\RefineRTDCRunTimes.py" --tripid 140-04 --locoid 4005 --swversion DE.1.0.9.0 --startMP 204:232959 --initTime 2017-11-04T09:22:40 --startdatetime 2017-11-04T09:27:20 --delay 62 --endMP 204:194 --enddatetime 2017-11-04T10:05:53 --enforcementcount 0 &gt;&gt;%USERPROFILE%\Documents\GitHub\eaglep3-reporting\EC\2017-11-04-refined-times.txt</v>
      </c>
      <c r="AI5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{"issue":{"subject":"","project_id":79,"tracker_id":40,"status_id":1,"priority_id":2,"assigned_to_id":338,"start_date":"2017-11-04","description":"","custom_fields":[{"id":1,"name":"Subdivision","value":"EC"},{"id":4,"name":"Milepost","value":"0.0194"},{"id":17,"name":"Train ID","value":"140-04"},{"id":16,"name":"Locomotive ID","value":"4005"},{"id":130,"name":"Impact","value":""},{"id":150,"name":"Time of Event (Mountain Time)","value":"10:05:53"},{"id":151,"name":"Denver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7"/>
        <v>start /low /b %USERPROFILE%\Documents\GitHub\eaglep3\Utilities\DownloadLogsFromS3.py --loco 4005 --day 2017-11-04</v>
      </c>
      <c r="AN5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19"/>
        <v>https://d0f6bd738d7f1b3e5a7ca70fe4ff75f0.us-east-1.aws.found.io/app/kibana#/discover/Steve-Slow-Train-Analysis-(2080s-and-2083s)?_g=(refreshInterval:(display:Off,pause:!f,section:0,value:0),time:(from:'2017-11-04T08:22:40-0600',mode:absolute,to:'2017-11-04T11:05:53-0600'))&amp;_a=(columns:!('Message%20ID',Summary),filters:!(),index:'emp_*',interval:auto,query:(query_string:(analyze_wildcard:!t,query:'%22rtdc.l.rtdc.4005%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734</v>
      </c>
      <c r="B53" s="7">
        <v>4012</v>
      </c>
      <c r="C53" s="21" t="s">
        <v>192</v>
      </c>
      <c r="D53" s="21" t="s">
        <v>909</v>
      </c>
      <c r="E53" s="13">
        <v>43043.3593287037</v>
      </c>
      <c r="F53" s="13">
        <v>43043.364976851852</v>
      </c>
      <c r="G53" s="7">
        <v>59</v>
      </c>
      <c r="H53" s="21" t="s">
        <v>910</v>
      </c>
      <c r="I53" s="13">
        <v>43043.389374999999</v>
      </c>
      <c r="J53" s="7">
        <v>0</v>
      </c>
      <c r="K53" s="89" t="str">
        <f>IF(ISEVEN(B53),(B53-1)&amp;"/"&amp;B53,B53&amp;"/"&amp;(B53+1))</f>
        <v>4011/4012</v>
      </c>
      <c r="L53" s="185" t="str">
        <f>VLOOKUP(A53,'Trips&amp;Operators'!$C$1:$G$99911,5,FALSE)</f>
        <v>MACDONALD THOMAS</v>
      </c>
      <c r="M53" s="6">
        <f>I53-F53</f>
        <v>2.4398148147156462E-2</v>
      </c>
      <c r="N53" s="7">
        <f>24*60*SUM($M53:$M53)</f>
        <v>35.133333331905305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-04T07:37:26-0600',mode:absolute,to:'2017-11-04T10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4.5999999999999999E-2</v>
      </c>
      <c r="Z53" s="204">
        <f>RIGHT(H53,LEN(H53)-4)/10000</f>
        <v>23.320900000000002</v>
      </c>
      <c r="AA53" s="204">
        <f>ABS(Z53-Y53)</f>
        <v>23.274900000000002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/stypes="app*4012*20171104*"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15"/>
        <v>"%USERPROFILE%\Documents\GitHub\eaglep3\Utilities\RefineRTDCRunTimes.py" --tripid 141-04 --locoid 4012 --swversion DE.1.0.9.0 --startMP 204:460 --initTime 2017-11-04T08:37:26 --startdatetime 2017-11-04T08:45:34 --delay 59 --endMP 204:233209 --enddatetime 2017-11-04T09:20:42 --enforcementcount 0 &gt;&gt;%USERPROFILE%\Documents\GitHub\eaglep3-reporting\EC\2017-11-04-refined-times.txt</v>
      </c>
      <c r="AI5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{"issue":{"subject":"","project_id":79,"tracker_id":40,"status_id":1,"priority_id":2,"assigned_to_id":338,"start_date":"2017-11-04","description":"","custom_fields":[{"id":1,"name":"Subdivision","value":"EC"},{"id":4,"name":"Milepost","value":"23.3209"},{"id":17,"name":"Train ID","value":"141-04"},{"id":16,"name":"Locomotive ID","value":"4012"},{"id":130,"name":"Impact","value":""},{"id":150,"name":"Time of Event (Mountain Time)","value":"09:20:42"},{"id":151,"name":"Denver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7"/>
        <v>start /low /b %USERPROFILE%\Documents\GitHub\eaglep3\Utilities\DownloadLogsFromS3.py --loco 4012 --day 2017-11-04</v>
      </c>
      <c r="AN5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19"/>
        <v>https://d0f6bd738d7f1b3e5a7ca70fe4ff75f0.us-east-1.aws.found.io/app/kibana#/discover/Steve-Slow-Train-Analysis-(2080s-and-2083s)?_g=(refreshInterval:(display:Off,pause:!f,section:0,value:0),time:(from:'2017-11-04T07:37:26-0600',mode:absolute,to:'2017-11-04T10:20:42-0600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740</v>
      </c>
      <c r="B54" s="7">
        <v>4011</v>
      </c>
      <c r="C54" s="21" t="s">
        <v>192</v>
      </c>
      <c r="D54" s="21" t="s">
        <v>616</v>
      </c>
      <c r="E54" s="13">
        <v>43043.390370370369</v>
      </c>
      <c r="F54" s="13">
        <v>43043.404386574075</v>
      </c>
      <c r="G54" s="7">
        <v>160</v>
      </c>
      <c r="H54" s="21" t="s">
        <v>911</v>
      </c>
      <c r="I54" s="13">
        <v>43043.43109953704</v>
      </c>
      <c r="J54" s="7">
        <v>0</v>
      </c>
      <c r="K54" s="89" t="str">
        <f>IF(ISEVEN(B54),(B54-1)&amp;"/"&amp;B54,B54&amp;"/"&amp;(B54+1))</f>
        <v>4011/4012</v>
      </c>
      <c r="L54" s="185" t="str">
        <f>VLOOKUP(A54,'Trips&amp;Operators'!$C$1:$G$99911,5,FALSE)</f>
        <v>MACDONALD THOMAS</v>
      </c>
      <c r="M54" s="6">
        <f>I54-F54</f>
        <v>2.6712962964666076E-2</v>
      </c>
      <c r="N54" s="7">
        <f>24*60*SUM($M54:$M54)</f>
        <v>38.466666669119149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-04T08:22:08-0600',mode:absolute,to:'2017-11-04T11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23.289400000000001</v>
      </c>
      <c r="Z54" s="204">
        <f>RIGHT(H54,LEN(H54)-4)/10000</f>
        <v>1.9199999999999998E-2</v>
      </c>
      <c r="AA54" s="204">
        <f>ABS(Z54-Y54)</f>
        <v>23.270199999999999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/stypes="app*4011*20171104*"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15"/>
        <v>"%USERPROFILE%\Documents\GitHub\eaglep3\Utilities\RefineRTDCRunTimes.py" --tripid 142-04 --locoid 4011 --swversion DE.1.0.9.0 --startMP 204:232894 --initTime 2017-11-04T09:22:08 --startdatetime 2017-11-04T09:42:19 --delay 160 --endMP 204:192 --enddatetime 2017-11-04T10:20:47 --enforcementcount 0 &gt;&gt;%USERPROFILE%\Documents\GitHub\eaglep3-reporting\EC\2017-11-04-refined-times.txt</v>
      </c>
      <c r="AI5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{"issue":{"subject":"","project_id":79,"tracker_id":40,"status_id":1,"priority_id":2,"assigned_to_id":338,"start_date":"2017-11-04","description":"","custom_fields":[{"id":1,"name":"Subdivision","value":"EC"},{"id":4,"name":"Milepost","value":"0.0192"},{"id":17,"name":"Train ID","value":"142-04"},{"id":16,"name":"Locomotive ID","value":"4011"},{"id":130,"name":"Impact","value":""},{"id":150,"name":"Time of Event (Mountain Time)","value":"10:20:47"},{"id":151,"name":"Denver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7"/>
        <v>start /low /b %USERPROFILE%\Documents\GitHub\eaglep3\Utilities\DownloadLogsFromS3.py --loco 4011 --day 2017-11-04</v>
      </c>
      <c r="AN5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19"/>
        <v>https://d0f6bd738d7f1b3e5a7ca70fe4ff75f0.us-east-1.aws.found.io/app/kibana#/discover/Steve-Slow-Train-Analysis-(2080s-and-2083s)?_g=(refreshInterval:(display:Off,pause:!f,section:0,value:0),time:(from:'2017-11-04T08:22:08-0600',mode:absolute,to:'2017-11-04T11:20:47-0600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654</v>
      </c>
      <c r="B55" s="7">
        <v>4020</v>
      </c>
      <c r="C55" s="21" t="s">
        <v>192</v>
      </c>
      <c r="D55" s="21" t="s">
        <v>912</v>
      </c>
      <c r="E55" s="13">
        <v>43043.370983796296</v>
      </c>
      <c r="F55" s="13">
        <v>43043.375254629631</v>
      </c>
      <c r="G55" s="7">
        <v>47</v>
      </c>
      <c r="H55" s="21" t="s">
        <v>913</v>
      </c>
      <c r="I55" s="13">
        <v>43043.400393518517</v>
      </c>
      <c r="J55" s="7">
        <v>0</v>
      </c>
      <c r="K55" s="89" t="str">
        <f>IF(ISEVEN(B55),(B55-1)&amp;"/"&amp;B55,B55&amp;"/"&amp;(B55+1))</f>
        <v>4019/4020</v>
      </c>
      <c r="L55" s="185" t="str">
        <f>VLOOKUP(A55,'Trips&amp;Operators'!$C$1:$G$99911,5,FALSE)</f>
        <v>MAELZER KURT</v>
      </c>
      <c r="M55" s="6">
        <f>I55-F55</f>
        <v>2.5138888886431232E-2</v>
      </c>
      <c r="N55" s="7">
        <f>24*60*SUM($M55:$M55)</f>
        <v>36.199999996460974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-04T07:54:13-0600',mode:absolute,to:'2017-11-04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4.1799999999999997E-2</v>
      </c>
      <c r="Z55" s="204">
        <f>RIGHT(H55,LEN(H55)-4)/10000</f>
        <v>23.331900000000001</v>
      </c>
      <c r="AA55" s="204">
        <f>ABS(Z55-Y55)</f>
        <v>23.290100000000002</v>
      </c>
      <c r="AB55" s="54" t="str">
        <f>VLOOKUP(A55,Enforcements!$C$7:$K$10,8,0)</f>
        <v>Bulletin (2)</v>
      </c>
      <c r="AC55" s="51" t="str">
        <f>VLOOKUP(A55,Enforcements!$C$7:$E$10,3,0)</f>
        <v>GRADE CROSSING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/stypes="app*4020*20171104*"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15"/>
        <v>"%USERPROFILE%\Documents\GitHub\eaglep3\Utilities\RefineRTDCRunTimes.py" --tripid 143-04 --locoid 4020 --swversion DE.1.0.9.0 --startMP 204:418 --initTime 2017-11-04T08:54:13 --startdatetime 2017-11-04T09:00:22 --delay 47 --endMP 204:233319 --enddatetime 2017-11-04T09:36:34 --enforcementcount 0 &gt;&gt;%USERPROFILE%\Documents\GitHub\eaglep3-reporting\EC\2017-11-04-refined-times.txt</v>
      </c>
      <c r="AI5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{"issue":{"subject":"","project_id":79,"tracker_id":40,"status_id":1,"priority_id":2,"assigned_to_id":338,"start_date":"2017-11-04","description":"","custom_fields":[{"id":1,"name":"Subdivision","value":"EC"},{"id":4,"name":"Milepost","value":"23.3319"},{"id":17,"name":"Train ID","value":"143-04"},{"id":16,"name":"Locomotive ID","value":"4020"},{"id":130,"name":"Impact","value":""},{"id":150,"name":"Time of Event (Mountain Time)","value":"09:36:34"},{"id":151,"name":"Denver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7"/>
        <v>start /low /b %USERPROFILE%\Documents\GitHub\eaglep3\Utilities\DownloadLogsFromS3.py --loco 4020 --day 2017-11-04</v>
      </c>
      <c r="AN5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19"/>
        <v>https://d0f6bd738d7f1b3e5a7ca70fe4ff75f0.us-east-1.aws.found.io/app/kibana#/discover/Steve-Slow-Train-Analysis-(2080s-and-2083s)?_g=(refreshInterval:(display:Off,pause:!f,section:0,value:0),time:(from:'2017-11-04T07:54:13-0600',mode:absolute,to:'2017-11-04T10:36:34-0600'))&amp;_a=(columns:!('Message%20ID',Summary),filters:!(),index:'emp_*',interval:auto,query:(query_string:(analyze_wildcard:!t,query:'%22rtdc.l.rtdc.4020%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743</v>
      </c>
      <c r="B56" s="7">
        <v>4019</v>
      </c>
      <c r="C56" s="21" t="s">
        <v>192</v>
      </c>
      <c r="D56" s="21" t="s">
        <v>514</v>
      </c>
      <c r="E56" s="13">
        <v>43043.405474537038</v>
      </c>
      <c r="F56" s="13">
        <v>43043.414803240739</v>
      </c>
      <c r="G56" s="7">
        <v>48</v>
      </c>
      <c r="H56" s="21" t="s">
        <v>887</v>
      </c>
      <c r="I56" s="13">
        <v>43043.441423611112</v>
      </c>
      <c r="J56" s="7">
        <v>0</v>
      </c>
      <c r="K56" s="89" t="str">
        <f>IF(ISEVEN(B56),(B56-1)&amp;"/"&amp;B56,B56&amp;"/"&amp;(B56+1))</f>
        <v>4019/4020</v>
      </c>
      <c r="L56" s="185" t="str">
        <f>VLOOKUP(A56,'Trips&amp;Operators'!$C$1:$G$99911,5,FALSE)</f>
        <v>MAELZER KURT</v>
      </c>
      <c r="M56" s="6">
        <f>I56-F56</f>
        <v>2.662037037225673E-2</v>
      </c>
      <c r="N56" s="7">
        <f>24*60*SUM($M56:$M56)</f>
        <v>38.333333336049691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-04T08:43:53-0600',mode:absolute,to:'2017-11-04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23.298300000000001</v>
      </c>
      <c r="Z56" s="204">
        <f>RIGHT(H56,LEN(H56)-4)/10000</f>
        <v>1.34E-2</v>
      </c>
      <c r="AA56" s="204">
        <f>ABS(Z56-Y56)</f>
        <v>23.2849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/stypes="app*4019*20171104*"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15"/>
        <v>"%USERPROFILE%\Documents\GitHub\eaglep3\Utilities\RefineRTDCRunTimes.py" --tripid 144-04 --locoid 4019 --swversion DE.1.0.9.0 --startMP 204:232983 --initTime 2017-11-04T09:43:53 --startdatetime 2017-11-04T09:57:19 --delay 48 --endMP 204:134 --enddatetime 2017-11-04T10:35:39 --enforcementcount 0 &gt;&gt;%USERPROFILE%\Documents\GitHub\eaglep3-reporting\EC\2017-11-04-refined-times.txt</v>
      </c>
      <c r="AI5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{"issue":{"subject":"","project_id":79,"tracker_id":40,"status_id":1,"priority_id":2,"assigned_to_id":338,"start_date":"2017-11-04","description":"","custom_fields":[{"id":1,"name":"Subdivision","value":"EC"},{"id":4,"name":"Milepost","value":"0.0134"},{"id":17,"name":"Train ID","value":"144-04"},{"id":16,"name":"Locomotive ID","value":"4019"},{"id":130,"name":"Impact","value":""},{"id":150,"name":"Time of Event (Mountain Time)","value":"10:35:39"},{"id":151,"name":"Denver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7"/>
        <v>start /low /b %USERPROFILE%\Documents\GitHub\eaglep3\Utilities\DownloadLogsFromS3.py --loco 4019 --day 2017-11-04</v>
      </c>
      <c r="AN5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19"/>
        <v>https://d0f6bd738d7f1b3e5a7ca70fe4ff75f0.us-east-1.aws.found.io/app/kibana#/discover/Steve-Slow-Train-Analysis-(2080s-and-2083s)?_g=(refreshInterval:(display:Off,pause:!f,section:0,value:0),time:(from:'2017-11-04T08:43:53-0600',mode:absolute,to:'2017-11-04T11:35:39-0600'))&amp;_a=(columns:!('Message%20ID',Summary),filters:!(),index:'emp_*',interval:auto,query:(query_string:(analyze_wildcard:!t,query:'%22rtdc.l.rtdc.4019%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736</v>
      </c>
      <c r="B57" s="7">
        <v>4066</v>
      </c>
      <c r="C57" s="21" t="s">
        <v>192</v>
      </c>
      <c r="D57" s="21" t="s">
        <v>511</v>
      </c>
      <c r="E57" s="13">
        <v>43043.379733796297</v>
      </c>
      <c r="F57" s="13">
        <v>43043.385601851849</v>
      </c>
      <c r="G57" s="7">
        <v>103</v>
      </c>
      <c r="H57" s="21" t="s">
        <v>914</v>
      </c>
      <c r="I57" s="13">
        <v>43043.410555555558</v>
      </c>
      <c r="J57" s="7">
        <v>0</v>
      </c>
      <c r="K57" s="89" t="str">
        <f>IF(ISEVEN(B57),(B57-1)&amp;"/"&amp;B57,B57&amp;"/"&amp;(B57+1))</f>
        <v>4065/4066</v>
      </c>
      <c r="L57" s="185" t="str">
        <f>VLOOKUP(A57,'Trips&amp;Operators'!$C$1:$G$99911,5,FALSE)</f>
        <v>WILLIAMS DONTE</v>
      </c>
      <c r="M57" s="6">
        <f>I57-F57</f>
        <v>2.4953703708888497E-2</v>
      </c>
      <c r="N57" s="7">
        <f>24*60*SUM($M57:$M57)</f>
        <v>35.933333340799436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-04T08:06:49-0600',mode:absolute,to:'2017-11-04T10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4.8599999999999997E-2</v>
      </c>
      <c r="Z57" s="204">
        <f>RIGHT(H57,LEN(H57)-4)/10000</f>
        <v>23.327200000000001</v>
      </c>
      <c r="AA57" s="204">
        <f>ABS(Z57-Y57)</f>
        <v>23.278600000000001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/stypes="app*4066*20171104*"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15"/>
        <v>"%USERPROFILE%\Documents\GitHub\eaglep3\Utilities\RefineRTDCRunTimes.py" --tripid 145-04 --locoid 4066 --swversion DE.1.0.9.0 --startMP 204:486 --initTime 2017-11-04T09:06:49 --startdatetime 2017-11-04T09:15:16 --delay 103 --endMP 204:233272 --enddatetime 2017-11-04T09:51:12 --enforcementcount 0 &gt;&gt;%USERPROFILE%\Documents\GitHub\eaglep3-reporting\EC\2017-11-04-refined-times.txt</v>
      </c>
      <c r="AI5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{"issue":{"subject":"","project_id":79,"tracker_id":40,"status_id":1,"priority_id":2,"assigned_to_id":338,"start_date":"2017-11-04","description":"","custom_fields":[{"id":1,"name":"Subdivision","value":"EC"},{"id":4,"name":"Milepost","value":"23.3272"},{"id":17,"name":"Train ID","value":"145-04"},{"id":16,"name":"Locomotive ID","value":"4066"},{"id":130,"name":"Impact","value":""},{"id":150,"name":"Time of Event (Mountain Time)","value":"09:51:12"},{"id":151,"name":"Denver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7"/>
        <v>start /low /b %USERPROFILE%\Documents\GitHub\eaglep3\Utilities\DownloadLogsFromS3.py --loco 4066 --day 2017-11-04</v>
      </c>
      <c r="AN5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19"/>
        <v>https://d0f6bd738d7f1b3e5a7ca70fe4ff75f0.us-east-1.aws.found.io/app/kibana#/discover/Steve-Slow-Train-Analysis-(2080s-and-2083s)?_g=(refreshInterval:(display:Off,pause:!f,section:0,value:0),time:(from:'2017-11-04T08:06:49-0600',mode:absolute,to:'2017-11-04T10:51:12-0600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745</v>
      </c>
      <c r="B58" s="7">
        <v>4065</v>
      </c>
      <c r="C58" s="21" t="s">
        <v>192</v>
      </c>
      <c r="D58" s="21" t="s">
        <v>592</v>
      </c>
      <c r="E58" s="13">
        <v>43043.420185185183</v>
      </c>
      <c r="F58" s="13">
        <v>43043.425219907411</v>
      </c>
      <c r="G58" s="7">
        <v>127</v>
      </c>
      <c r="H58" s="21" t="s">
        <v>528</v>
      </c>
      <c r="I58" s="13">
        <v>43043.451990740738</v>
      </c>
      <c r="J58" s="7">
        <v>0</v>
      </c>
      <c r="K58" s="89" t="str">
        <f>IF(ISEVEN(B58),(B58-1)&amp;"/"&amp;B58,B58&amp;"/"&amp;(B58+1))</f>
        <v>4065/4066</v>
      </c>
      <c r="L58" s="185" t="str">
        <f>VLOOKUP(A58,'Trips&amp;Operators'!$C$1:$G$99911,5,FALSE)</f>
        <v>WILLIAMS DONTE</v>
      </c>
      <c r="M58" s="6">
        <f>I58-F58</f>
        <v>2.6770833326736465E-2</v>
      </c>
      <c r="N58" s="7">
        <f>24*60*SUM($M58:$M58)</f>
        <v>38.54999999050051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-04T09:05:04-0600',mode:absolute,to:'2017-11-04T11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23.296299999999999</v>
      </c>
      <c r="Z58" s="204">
        <f>RIGHT(H58,LEN(H58)-4)/10000</f>
        <v>1.89E-2</v>
      </c>
      <c r="AA58" s="204">
        <f>ABS(Z58-Y58)</f>
        <v>23.2774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/stypes="app*4065*20171104*"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15"/>
        <v>"%USERPROFILE%\Documents\GitHub\eaglep3\Utilities\RefineRTDCRunTimes.py" --tripid 146-04 --locoid 4065 --swversion DE.1.0.9.0 --startMP 204:232963 --initTime 2017-11-04T10:05:04 --startdatetime 2017-11-04T10:12:19 --delay 127 --endMP 204:189 --enddatetime 2017-11-04T10:50:52 --enforcementcount 0 &gt;&gt;%USERPROFILE%\Documents\GitHub\eaglep3-reporting\EC\2017-11-04-refined-times.txt</v>
      </c>
      <c r="AI5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{"issue":{"subject":"","project_id":79,"tracker_id":40,"status_id":1,"priority_id":2,"assigned_to_id":338,"start_date":"2017-11-04","description":"","custom_fields":[{"id":1,"name":"Subdivision","value":"EC"},{"id":4,"name":"Milepost","value":"0.0189"},{"id":17,"name":"Train ID","value":"146-04"},{"id":16,"name":"Locomotive ID","value":"4065"},{"id":130,"name":"Impact","value":""},{"id":150,"name":"Time of Event (Mountain Time)","value":"10:50:52"},{"id":151,"name":"Denver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7"/>
        <v>start /low /b %USERPROFILE%\Documents\GitHub\eaglep3\Utilities\DownloadLogsFromS3.py --loco 4065 --day 2017-11-04</v>
      </c>
      <c r="AN5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19"/>
        <v>https://d0f6bd738d7f1b3e5a7ca70fe4ff75f0.us-east-1.aws.found.io/app/kibana#/discover/Steve-Slow-Train-Analysis-(2080s-and-2083s)?_g=(refreshInterval:(display:Off,pause:!f,section:0,value:0),time:(from:'2017-11-04T09:05:04-0600',mode:absolute,to:'2017-11-04T11:50:52-0600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739</v>
      </c>
      <c r="B59" s="7">
        <v>4036</v>
      </c>
      <c r="C59" s="21" t="s">
        <v>192</v>
      </c>
      <c r="D59" s="21" t="s">
        <v>907</v>
      </c>
      <c r="E59" s="13">
        <v>43043.390821759262</v>
      </c>
      <c r="F59" s="13">
        <v>43043.395995370367</v>
      </c>
      <c r="G59" s="7">
        <v>59</v>
      </c>
      <c r="H59" s="21" t="s">
        <v>915</v>
      </c>
      <c r="I59" s="13">
        <v>43043.420405092591</v>
      </c>
      <c r="J59" s="7">
        <v>0</v>
      </c>
      <c r="K59" s="89" t="str">
        <f>IF(ISEVEN(B59),(B59-1)&amp;"/"&amp;B59,B59&amp;"/"&amp;(B59+1))</f>
        <v>4035/4036</v>
      </c>
      <c r="L59" s="185" t="str">
        <f>VLOOKUP(A59,'Trips&amp;Operators'!$C$1:$G$99911,5,FALSE)</f>
        <v>PAGE MARCUS</v>
      </c>
      <c r="M59" s="6">
        <f>I59-F59</f>
        <v>2.4409722223936114E-2</v>
      </c>
      <c r="N59" s="7">
        <f>24*60*SUM($M59:$M59)</f>
        <v>35.150000002468005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-04T08:22:47-0600',mode:absolute,to:'2017-11-04T11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4.5100000000000001E-2</v>
      </c>
      <c r="Z59" s="204">
        <f>RIGHT(H59,LEN(H59)-4)/10000</f>
        <v>23.3306</v>
      </c>
      <c r="AA59" s="204">
        <f>ABS(Z59-Y59)</f>
        <v>23.285499999999999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/stypes="app*4036*20171104*"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15"/>
        <v>"%USERPROFILE%\Documents\GitHub\eaglep3\Utilities\RefineRTDCRunTimes.py" --tripid 147-04 --locoid 4036 --swversion DE.1.0.9.0 --startMP 204:451 --initTime 2017-11-04T09:22:47 --startdatetime 2017-11-04T09:30:14 --delay 59 --endMP 204:233306 --enddatetime 2017-11-04T10:05:23 --enforcementcount 0 &gt;&gt;%USERPROFILE%\Documents\GitHub\eaglep3-reporting\EC\2017-11-04-refined-times.txt</v>
      </c>
      <c r="AI5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{"issue":{"subject":"","project_id":79,"tracker_id":40,"status_id":1,"priority_id":2,"assigned_to_id":338,"start_date":"2017-11-04","description":"","custom_fields":[{"id":1,"name":"Subdivision","value":"EC"},{"id":4,"name":"Milepost","value":"23.3306"},{"id":17,"name":"Train ID","value":"147-04"},{"id":16,"name":"Locomotive ID","value":"4036"},{"id":130,"name":"Impact","value":""},{"id":150,"name":"Time of Event (Mountain Time)","value":"10:05:23"},{"id":151,"name":"Denver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7"/>
        <v>start /low /b %USERPROFILE%\Documents\GitHub\eaglep3\Utilities\DownloadLogsFromS3.py --loco 4036 --day 2017-11-04</v>
      </c>
      <c r="AN5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19"/>
        <v>https://d0f6bd738d7f1b3e5a7ca70fe4ff75f0.us-east-1.aws.found.io/app/kibana#/discover/Steve-Slow-Train-Analysis-(2080s-and-2083s)?_g=(refreshInterval:(display:Off,pause:!f,section:0,value:0),time:(from:'2017-11-04T08:22:47-0600',mode:absolute,to:'2017-11-04T11:05:23-0600'))&amp;_a=(columns:!('Message%20ID',Summary),filters:!(),index:'emp_*',interval:auto,query:(query_string:(analyze_wildcard:!t,query:'%22rtdc.l.rtdc.4036%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748</v>
      </c>
      <c r="B60" s="7">
        <v>4035</v>
      </c>
      <c r="C60" s="21" t="s">
        <v>192</v>
      </c>
      <c r="D60" s="21" t="s">
        <v>916</v>
      </c>
      <c r="E60" s="13">
        <v>43043.430763888886</v>
      </c>
      <c r="F60" s="13">
        <v>43043.435601851852</v>
      </c>
      <c r="G60" s="7">
        <v>71</v>
      </c>
      <c r="H60" s="21" t="s">
        <v>376</v>
      </c>
      <c r="I60" s="13">
        <v>43043.461296296293</v>
      </c>
      <c r="J60" s="7">
        <v>0</v>
      </c>
      <c r="K60" s="89" t="str">
        <f>IF(ISEVEN(B60),(B60-1)&amp;"/"&amp;B60,B60&amp;"/"&amp;(B60+1))</f>
        <v>4035/4036</v>
      </c>
      <c r="L60" s="185" t="str">
        <f>VLOOKUP(A60,'Trips&amp;Operators'!$C$1:$G$99911,5,FALSE)</f>
        <v>PAGE MARCUS</v>
      </c>
      <c r="M60" s="6">
        <f>I60-F60</f>
        <v>2.569444444088731E-2</v>
      </c>
      <c r="N60" s="7">
        <f>24*60*SUM($M60:$M60)</f>
        <v>36.999999994877726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-04T09:20:18-0600',mode:absolute,to:'2017-11-04T12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23.3</v>
      </c>
      <c r="Z60" s="204">
        <f>RIGHT(H60,LEN(H60)-4)/10000</f>
        <v>1.5599999999999999E-2</v>
      </c>
      <c r="AA60" s="204">
        <f>ABS(Z60-Y60)</f>
        <v>23.284400000000002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/stypes="app*4035*20171104*"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15"/>
        <v>"%USERPROFILE%\Documents\GitHub\eaglep3\Utilities\RefineRTDCRunTimes.py" --tripid 148-04 --locoid 4035 --swversion DE.1.0.9.0 --startMP 204:233000 --initTime 2017-11-04T10:20:18 --startdatetime 2017-11-04T10:27:16 --delay 71 --endMP 204:156 --enddatetime 2017-11-04T11:04:16 --enforcementcount 0 &gt;&gt;%USERPROFILE%\Documents\GitHub\eaglep3-reporting\EC\2017-11-04-refined-times.txt</v>
      </c>
      <c r="AI6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{"issue":{"subject":"","project_id":79,"tracker_id":40,"status_id":1,"priority_id":2,"assigned_to_id":338,"start_date":"2017-11-04","description":"","custom_fields":[{"id":1,"name":"Subdivision","value":"EC"},{"id":4,"name":"Milepost","value":"0.0156"},{"id":17,"name":"Train ID","value":"148-04"},{"id":16,"name":"Locomotive ID","value":"4035"},{"id":130,"name":"Impact","value":""},{"id":150,"name":"Time of Event (Mountain Time)","value":"11:04:16"},{"id":151,"name":"Denver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7"/>
        <v>start /low /b %USERPROFILE%\Documents\GitHub\eaglep3\Utilities\DownloadLogsFromS3.py --loco 4035 --day 2017-11-04</v>
      </c>
      <c r="AN6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19"/>
        <v>https://d0f6bd738d7f1b3e5a7ca70fe4ff75f0.us-east-1.aws.found.io/app/kibana#/discover/Steve-Slow-Train-Analysis-(2080s-and-2083s)?_g=(refreshInterval:(display:Off,pause:!f,section:0,value:0),time:(from:'2017-11-04T09:20:18-0600',mode:absolute,to:'2017-11-04T12:04:16-0600'))&amp;_a=(columns:!('Message%20ID',Summary),filters:!(),index:'emp_*',interval:auto,query:(query_string:(analyze_wildcard:!t,query:'%22rtdc.l.rtdc.4035%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742</v>
      </c>
      <c r="B61" s="7">
        <v>4046</v>
      </c>
      <c r="C61" s="21" t="s">
        <v>192</v>
      </c>
      <c r="D61" s="21" t="s">
        <v>389</v>
      </c>
      <c r="E61" s="13">
        <v>43043.40148148148</v>
      </c>
      <c r="F61" s="13">
        <v>43043.406921296293</v>
      </c>
      <c r="G61" s="7">
        <v>57</v>
      </c>
      <c r="H61" s="21" t="s">
        <v>917</v>
      </c>
      <c r="I61" s="13">
        <v>43043.430578703701</v>
      </c>
      <c r="J61" s="7">
        <v>0</v>
      </c>
      <c r="K61" s="89" t="str">
        <f>IF(ISEVEN(B61),(B61-1)&amp;"/"&amp;B61,B61&amp;"/"&amp;(B61+1))</f>
        <v>4045/4046</v>
      </c>
      <c r="L61" s="185" t="str">
        <f>VLOOKUP(A61,'Trips&amp;Operators'!$C$1:$G$99911,5,FALSE)</f>
        <v>GEBRETEKLE DAGNEW</v>
      </c>
      <c r="M61" s="6">
        <f>I61-F61</f>
        <v>2.3657407407881692E-2</v>
      </c>
      <c r="N61" s="7">
        <f>24*60*SUM($M61:$M61)</f>
        <v>34.066666667349637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-04T08:38:08-0600',mode:absolute,to:'2017-11-04T11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4.5499999999999999E-2</v>
      </c>
      <c r="Z61" s="204">
        <f>RIGHT(H61,LEN(H61)-4)/10000</f>
        <v>23.328600000000002</v>
      </c>
      <c r="AA61" s="204">
        <f>ABS(Z61-Y61)</f>
        <v>23.283100000000001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/stypes="app*4046*20171104*"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15"/>
        <v>"%USERPROFILE%\Documents\GitHub\eaglep3\Utilities\RefineRTDCRunTimes.py" --tripid 149-04 --locoid 4046 --swversion DE.1.0.9.0 --startMP 204:455 --initTime 2017-11-04T09:38:08 --startdatetime 2017-11-04T09:45:58 --delay 57 --endMP 204:233286 --enddatetime 2017-11-04T10:20:02 --enforcementcount 0 &gt;&gt;%USERPROFILE%\Documents\GitHub\eaglep3-reporting\EC\2017-11-04-refined-times.txt</v>
      </c>
      <c r="AI6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{"issue":{"subject":"","project_id":79,"tracker_id":40,"status_id":1,"priority_id":2,"assigned_to_id":338,"start_date":"2017-11-04","description":"","custom_fields":[{"id":1,"name":"Subdivision","value":"EC"},{"id":4,"name":"Milepost","value":"23.3286"},{"id":17,"name":"Train ID","value":"149-04"},{"id":16,"name":"Locomotive ID","value":"4046"},{"id":130,"name":"Impact","value":""},{"id":150,"name":"Time of Event (Mountain Time)","value":"10:20:02"},{"id":151,"name":"Denver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7"/>
        <v>start /low /b %USERPROFILE%\Documents\GitHub\eaglep3\Utilities\DownloadLogsFromS3.py --loco 4046 --day 2017-11-04</v>
      </c>
      <c r="AN6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19"/>
        <v>https://d0f6bd738d7f1b3e5a7ca70fe4ff75f0.us-east-1.aws.found.io/app/kibana#/discover/Steve-Slow-Train-Analysis-(2080s-and-2083s)?_g=(refreshInterval:(display:Off,pause:!f,section:0,value:0),time:(from:'2017-11-04T08:38:08-0600',mode:absolute,to:'2017-11-04T11:20:02-0600'))&amp;_a=(columns:!('Message%20ID',Summary),filters:!(),index:'emp_*',interval:auto,query:(query_string:(analyze_wildcard:!t,query:'%22rtdc.l.rtdc.4046%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749</v>
      </c>
      <c r="B62" s="7">
        <v>4045</v>
      </c>
      <c r="C62" s="21" t="s">
        <v>192</v>
      </c>
      <c r="D62" s="21" t="s">
        <v>487</v>
      </c>
      <c r="E62" s="13">
        <v>43043.431956018518</v>
      </c>
      <c r="F62" s="13">
        <v>43043.446030092593</v>
      </c>
      <c r="G62" s="7">
        <v>51</v>
      </c>
      <c r="H62" s="21" t="s">
        <v>918</v>
      </c>
      <c r="I62" s="13">
        <v>43043.472268518519</v>
      </c>
      <c r="J62" s="7">
        <v>0</v>
      </c>
      <c r="K62" s="89" t="str">
        <f>IF(ISEVEN(B62),(B62-1)&amp;"/"&amp;B62,B62&amp;"/"&amp;(B62+1))</f>
        <v>4045/4046</v>
      </c>
      <c r="L62" s="185" t="str">
        <f>VLOOKUP(A62,'Trips&amp;Operators'!$C$1:$G$99911,5,FALSE)</f>
        <v>GEBRETEKLE DAGNEW</v>
      </c>
      <c r="M62" s="6">
        <f>I62-F62</f>
        <v>2.6238425925839692E-2</v>
      </c>
      <c r="N62" s="7">
        <f>24*60*SUM($M62:$M62)</f>
        <v>37.783333333209157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-04T09:22:01-0600',mode:absolute,to:'2017-11-04T12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23.297699999999999</v>
      </c>
      <c r="Z62" s="204">
        <f>RIGHT(H62,LEN(H62)-4)/10000</f>
        <v>1.8499999999999999E-2</v>
      </c>
      <c r="AA62" s="204">
        <f>ABS(Z62-Y62)</f>
        <v>23.279199999999999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/stypes="app*4045*20171104*"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15"/>
        <v>"%USERPROFILE%\Documents\GitHub\eaglep3\Utilities\RefineRTDCRunTimes.py" --tripid 150-04 --locoid 4045 --swversion DE.1.0.9.0 --startMP 204:232977 --initTime 2017-11-04T10:22:01 --startdatetime 2017-11-04T10:42:17 --delay 51 --endMP 204:185 --enddatetime 2017-11-04T11:20:04 --enforcementcount 0 &gt;&gt;%USERPROFILE%\Documents\GitHub\eaglep3-reporting\EC\2017-11-04-refined-times.txt</v>
      </c>
      <c r="AI6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{"issue":{"subject":"","project_id":79,"tracker_id":40,"status_id":1,"priority_id":2,"assigned_to_id":338,"start_date":"2017-11-04","description":"","custom_fields":[{"id":1,"name":"Subdivision","value":"EC"},{"id":4,"name":"Milepost","value":"0.0185"},{"id":17,"name":"Train ID","value":"150-04"},{"id":16,"name":"Locomotive ID","value":"4045"},{"id":130,"name":"Impact","value":""},{"id":150,"name":"Time of Event (Mountain Time)","value":"11:20:04"},{"id":151,"name":"Denver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7"/>
        <v>start /low /b %USERPROFILE%\Documents\GitHub\eaglep3\Utilities\DownloadLogsFromS3.py --loco 4045 --day 2017-11-04</v>
      </c>
      <c r="AN6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19"/>
        <v>https://d0f6bd738d7f1b3e5a7ca70fe4ff75f0.us-east-1.aws.found.io/app/kibana#/discover/Steve-Slow-Train-Analysis-(2080s-and-2083s)?_g=(refreshInterval:(display:Off,pause:!f,section:0,value:0),time:(from:'2017-11-04T09:22:01-0600',mode:absolute,to:'2017-11-04T12:20:04-0600'))&amp;_a=(columns:!('Message%20ID',Summary),filters:!(),index:'emp_*',interval:auto,query:(query_string:(analyze_wildcard:!t,query:'%22rtdc.l.rtdc.4045%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744</v>
      </c>
      <c r="B63" s="7">
        <v>4016</v>
      </c>
      <c r="C63" s="21" t="s">
        <v>192</v>
      </c>
      <c r="D63" s="21" t="s">
        <v>344</v>
      </c>
      <c r="E63" s="13">
        <v>43043.413738425923</v>
      </c>
      <c r="F63" s="13">
        <v>43043.416817129626</v>
      </c>
      <c r="G63" s="7">
        <v>63</v>
      </c>
      <c r="H63" s="21" t="s">
        <v>635</v>
      </c>
      <c r="I63" s="13">
        <v>43043.441423611112</v>
      </c>
      <c r="J63" s="7">
        <v>0</v>
      </c>
      <c r="K63" s="89" t="str">
        <f>IF(ISEVEN(B63),(B63-1)&amp;"/"&amp;B63,B63&amp;"/"&amp;(B63+1))</f>
        <v>4015/4016</v>
      </c>
      <c r="L63" s="185" t="str">
        <f>VLOOKUP(A63,'Trips&amp;Operators'!$C$1:$G$99911,5,FALSE)</f>
        <v>BROWN JACOB</v>
      </c>
      <c r="M63" s="6">
        <f>I63-F63</f>
        <v>2.4606481485534459E-2</v>
      </c>
      <c r="N63" s="7">
        <f>24*60*SUM($M63:$M63)</f>
        <v>35.433333339169621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-04T08:55:47-0600',mode:absolute,to:'2017-11-04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4.58E-2</v>
      </c>
      <c r="Z63" s="204">
        <f>RIGHT(H63,LEN(H63)-4)/10000</f>
        <v>23.318100000000001</v>
      </c>
      <c r="AA63" s="204">
        <f>ABS(Z63-Y63)</f>
        <v>23.272300000000001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/stypes="app*4016*20171104*"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15"/>
        <v>"%USERPROFILE%\Documents\GitHub\eaglep3\Utilities\RefineRTDCRunTimes.py" --tripid 151-04 --locoid 4016 --swversion DE.1.0.9.0 --startMP 204:458 --initTime 2017-11-04T09:55:47 --startdatetime 2017-11-04T10:00:13 --delay 63 --endMP 204:233181 --enddatetime 2017-11-04T10:35:39 --enforcementcount 0 &gt;&gt;%USERPROFILE%\Documents\GitHub\eaglep3-reporting\EC\2017-11-04-refined-times.txt</v>
      </c>
      <c r="AI6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{"issue":{"subject":"","project_id":79,"tracker_id":40,"status_id":1,"priority_id":2,"assigned_to_id":338,"start_date":"2017-11-04","description":"","custom_fields":[{"id":1,"name":"Subdivision","value":"EC"},{"id":4,"name":"Milepost","value":"23.3181"},{"id":17,"name":"Train ID","value":"151-04"},{"id":16,"name":"Locomotive ID","value":"4016"},{"id":130,"name":"Impact","value":""},{"id":150,"name":"Time of Event (Mountain Time)","value":"10:35:39"},{"id":151,"name":"Denver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7"/>
        <v>start /low /b %USERPROFILE%\Documents\GitHub\eaglep3\Utilities\DownloadLogsFromS3.py --loco 4016 --day 2017-11-04</v>
      </c>
      <c r="AN6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19"/>
        <v>https://d0f6bd738d7f1b3e5a7ca70fe4ff75f0.us-east-1.aws.found.io/app/kibana#/discover/Steve-Slow-Train-Analysis-(2080s-and-2083s)?_g=(refreshInterval:(display:Off,pause:!f,section:0,value:0),time:(from:'2017-11-04T08:55:47-0600',mode:absolute,to:'2017-11-04T11:35:39-0600'))&amp;_a=(columns:!('Message%20ID',Summary),filters:!(),index:'emp_*',interval:auto,query:(query_string:(analyze_wildcard:!t,query:'%22rtdc.l.rtdc.4016%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752</v>
      </c>
      <c r="B64" s="7">
        <v>4015</v>
      </c>
      <c r="C64" s="21" t="s">
        <v>192</v>
      </c>
      <c r="D64" s="21" t="s">
        <v>919</v>
      </c>
      <c r="E64" s="13">
        <v>43043.449513888889</v>
      </c>
      <c r="F64" s="13">
        <v>43043.456388888888</v>
      </c>
      <c r="G64" s="7">
        <v>51</v>
      </c>
      <c r="H64" s="21" t="s">
        <v>920</v>
      </c>
      <c r="I64" s="13">
        <v>43043.482349537036</v>
      </c>
      <c r="J64" s="7">
        <v>0</v>
      </c>
      <c r="K64" s="89" t="str">
        <f>IF(ISEVEN(B64),(B64-1)&amp;"/"&amp;B64,B64&amp;"/"&amp;(B64+1))</f>
        <v>4015/4016</v>
      </c>
      <c r="L64" s="185" t="str">
        <f>VLOOKUP(A64,'Trips&amp;Operators'!$C$1:$G$99911,5,FALSE)</f>
        <v>BROWN JACOB</v>
      </c>
      <c r="M64" s="6">
        <f>I64-F64</f>
        <v>2.5960648148611654E-2</v>
      </c>
      <c r="N64" s="7">
        <f>24*60*SUM($M64:$M64)</f>
        <v>37.383333334000781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-04T09:47:18-0600',mode:absolute,to:'2017-11-04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23.2866</v>
      </c>
      <c r="Z64" s="204">
        <f>RIGHT(H64,LEN(H64)-4)/10000</f>
        <v>2.63E-2</v>
      </c>
      <c r="AA64" s="204">
        <f>ABS(Z64-Y64)</f>
        <v>23.260300000000001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/stypes="app*4015*20171104*"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15"/>
        <v>"%USERPROFILE%\Documents\GitHub\eaglep3\Utilities\RefineRTDCRunTimes.py" --tripid 152-04 --locoid 4015 --swversion DE.1.0.9.0 --startMP 204:232866 --initTime 2017-11-04T10:47:18 --startdatetime 2017-11-04T10:57:12 --delay 51 --endMP 204:263 --enddatetime 2017-11-04T11:34:35 --enforcementcount 0 &gt;&gt;%USERPROFILE%\Documents\GitHub\eaglep3-reporting\EC\2017-11-04-refined-times.txt</v>
      </c>
      <c r="AI6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{"issue":{"subject":"","project_id":79,"tracker_id":40,"status_id":1,"priority_id":2,"assigned_to_id":338,"start_date":"2017-11-04","description":"","custom_fields":[{"id":1,"name":"Subdivision","value":"EC"},{"id":4,"name":"Milepost","value":"0.0263"},{"id":17,"name":"Train ID","value":"152-04"},{"id":16,"name":"Locomotive ID","value":"4015"},{"id":130,"name":"Impact","value":""},{"id":150,"name":"Time of Event (Mountain Time)","value":"11:34:35"},{"id":151,"name":"Denver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7"/>
        <v>start /low /b %USERPROFILE%\Documents\GitHub\eaglep3\Utilities\DownloadLogsFromS3.py --loco 4015 --day 2017-11-04</v>
      </c>
      <c r="AN6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19"/>
        <v>https://d0f6bd738d7f1b3e5a7ca70fe4ff75f0.us-east-1.aws.found.io/app/kibana#/discover/Steve-Slow-Train-Analysis-(2080s-and-2083s)?_g=(refreshInterval:(display:Off,pause:!f,section:0,value:0),time:(from:'2017-11-04T09:47:18-0600',mode:absolute,to:'2017-11-04T12:34:35-0600'))&amp;_a=(columns:!('Message%20ID',Summary),filters:!(),index:'emp_*',interval:auto,query:(query_string:(analyze_wildcard:!t,query:'%22rtdc.l.rtdc.4015%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747</v>
      </c>
      <c r="B65" s="7">
        <v>4006</v>
      </c>
      <c r="C65" s="21" t="s">
        <v>192</v>
      </c>
      <c r="D65" s="21" t="s">
        <v>921</v>
      </c>
      <c r="E65" s="13">
        <v>43043.423159722224</v>
      </c>
      <c r="F65" s="13">
        <v>43043.427245370367</v>
      </c>
      <c r="G65" s="7">
        <v>76</v>
      </c>
      <c r="H65" s="21" t="s">
        <v>922</v>
      </c>
      <c r="I65" s="13">
        <v>43043.452465277776</v>
      </c>
      <c r="J65" s="7">
        <v>0</v>
      </c>
      <c r="K65" s="89" t="str">
        <f>IF(ISEVEN(B65),(B65-1)&amp;"/"&amp;B65,B65&amp;"/"&amp;(B65+1))</f>
        <v>4005/4006</v>
      </c>
      <c r="L65" s="185" t="str">
        <f>VLOOKUP(A65,'Trips&amp;Operators'!$C$1:$G$99911,5,FALSE)</f>
        <v>BADERTSCHER DIANE</v>
      </c>
      <c r="M65" s="6">
        <f>I65-F65</f>
        <v>2.5219907409336884E-2</v>
      </c>
      <c r="N65" s="7">
        <f>24*60*SUM($M65:$M65)</f>
        <v>36.316666669445112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-04T09:09:21-0600',mode:absolute,to:'2017-11-04T11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4.9099999999999998E-2</v>
      </c>
      <c r="Z65" s="204">
        <f>RIGHT(H65,LEN(H65)-4)/10000</f>
        <v>23.3201</v>
      </c>
      <c r="AA65" s="204">
        <f>ABS(Z65-Y65)</f>
        <v>23.271000000000001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/stypes="app*4006*20171104*"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15"/>
        <v>"%USERPROFILE%\Documents\GitHub\eaglep3\Utilities\RefineRTDCRunTimes.py" --tripid 153-04 --locoid 4006 --swversion DE.1.0.9.0 --startMP 204:491 --initTime 2017-11-04T10:09:21 --startdatetime 2017-11-04T10:15:14 --delay 76 --endMP 204:233201 --enddatetime 2017-11-04T10:51:33 --enforcementcount 0 &gt;&gt;%USERPROFILE%\Documents\GitHub\eaglep3-reporting\EC\2017-11-04-refined-times.txt</v>
      </c>
      <c r="AI6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{"issue":{"subject":"","project_id":79,"tracker_id":40,"status_id":1,"priority_id":2,"assigned_to_id":338,"start_date":"2017-11-04","description":"","custom_fields":[{"id":1,"name":"Subdivision","value":"EC"},{"id":4,"name":"Milepost","value":"23.3201"},{"id":17,"name":"Train ID","value":"153-04"},{"id":16,"name":"Locomotive ID","value":"4006"},{"id":130,"name":"Impact","value":""},{"id":150,"name":"Time of Event (Mountain Time)","value":"10:51:33"},{"id":151,"name":"Denver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7"/>
        <v>start /low /b %USERPROFILE%\Documents\GitHub\eaglep3\Utilities\DownloadLogsFromS3.py --loco 4006 --day 2017-11-04</v>
      </c>
      <c r="AN6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19"/>
        <v>https://d0f6bd738d7f1b3e5a7ca70fe4ff75f0.us-east-1.aws.found.io/app/kibana#/discover/Steve-Slow-Train-Analysis-(2080s-and-2083s)?_g=(refreshInterval:(display:Off,pause:!f,section:0,value:0),time:(from:'2017-11-04T09:09:21-0600',mode:absolute,to:'2017-11-04T11:51:33-0600'))&amp;_a=(columns:!('Message%20ID',Summary),filters:!(),index:'emp_*',interval:auto,query:(query_string:(analyze_wildcard:!t,query:'%22rtdc.l.rtdc.4006%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754</v>
      </c>
      <c r="B66" s="7">
        <v>4005</v>
      </c>
      <c r="C66" s="21" t="s">
        <v>192</v>
      </c>
      <c r="D66" s="21" t="s">
        <v>923</v>
      </c>
      <c r="E66" s="13">
        <v>43043.461805555555</v>
      </c>
      <c r="F66" s="13">
        <v>43043.466840277775</v>
      </c>
      <c r="G66" s="7">
        <v>96</v>
      </c>
      <c r="H66" s="21" t="s">
        <v>924</v>
      </c>
      <c r="I66" s="13">
        <v>43043.494826388887</v>
      </c>
      <c r="J66" s="7">
        <v>0</v>
      </c>
      <c r="K66" s="89" t="str">
        <f>IF(ISEVEN(B66),(B66-1)&amp;"/"&amp;B66,B66&amp;"/"&amp;(B66+1))</f>
        <v>4005/4006</v>
      </c>
      <c r="L66" s="185" t="str">
        <f>VLOOKUP(A66,'Trips&amp;Operators'!$C$1:$G$99911,5,FALSE)</f>
        <v>BADERTSCHER DIANE</v>
      </c>
      <c r="M66" s="6">
        <f>I66-F66</f>
        <v>2.7986111112113576E-2</v>
      </c>
      <c r="N66" s="7">
        <f>24*60*SUM($M66:$M66)</f>
        <v>40.30000000144355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-04T10:05:00-0600',mode:absolute,to:'2017-11-04T12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23.288799999999998</v>
      </c>
      <c r="Z66" s="204">
        <f>RIGHT(H66,LEN(H66)-4)/10000</f>
        <v>3.09E-2</v>
      </c>
      <c r="AA66" s="204">
        <f>ABS(Z66-Y66)</f>
        <v>23.257899999999999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/stypes="app*4005*20171104*"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15"/>
        <v>"%USERPROFILE%\Documents\GitHub\eaglep3\Utilities\RefineRTDCRunTimes.py" --tripid 154-04 --locoid 4005 --swversion DE.1.0.9.0 --startMP 204:232888 --initTime 2017-11-04T11:05:00 --startdatetime 2017-11-04T11:12:15 --delay 96 --endMP 204:309 --enddatetime 2017-11-04T11:52:33 --enforcementcount 0 &gt;&gt;%USERPROFILE%\Documents\GitHub\eaglep3-reporting\EC\2017-11-04-refined-times.txt</v>
      </c>
      <c r="AI6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{"issue":{"subject":"","project_id":79,"tracker_id":40,"status_id":1,"priority_id":2,"assigned_to_id":338,"start_date":"2017-11-04","description":"","custom_fields":[{"id":1,"name":"Subdivision","value":"EC"},{"id":4,"name":"Milepost","value":"0.0309"},{"id":17,"name":"Train ID","value":"154-04"},{"id":16,"name":"Locomotive ID","value":"4005"},{"id":130,"name":"Impact","value":""},{"id":150,"name":"Time of Event (Mountain Time)","value":"11:52:33"},{"id":151,"name":"Denver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7"/>
        <v>start /low /b %USERPROFILE%\Documents\GitHub\eaglep3\Utilities\DownloadLogsFromS3.py --loco 4005 --day 2017-11-04</v>
      </c>
      <c r="AN6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19"/>
        <v>https://d0f6bd738d7f1b3e5a7ca70fe4ff75f0.us-east-1.aws.found.io/app/kibana#/discover/Steve-Slow-Train-Analysis-(2080s-and-2083s)?_g=(refreshInterval:(display:Off,pause:!f,section:0,value:0),time:(from:'2017-11-04T10:05:00-0600',mode:absolute,to:'2017-11-04T12:52:33-0600'))&amp;_a=(columns:!('Message%20ID',Summary),filters:!(),index:'emp_*',interval:auto,query:(query_string:(analyze_wildcard:!t,query:'%22rtdc.l.rtdc.4005%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750</v>
      </c>
      <c r="B67" s="7">
        <v>4012</v>
      </c>
      <c r="C67" s="21" t="s">
        <v>192</v>
      </c>
      <c r="D67" s="21" t="s">
        <v>618</v>
      </c>
      <c r="E67" s="13">
        <v>43043.435636574075</v>
      </c>
      <c r="F67" s="13">
        <v>43043.437800925924</v>
      </c>
      <c r="G67" s="7">
        <v>139</v>
      </c>
      <c r="H67" s="21" t="s">
        <v>925</v>
      </c>
      <c r="I67" s="13">
        <v>43043.462060185186</v>
      </c>
      <c r="J67" s="7">
        <v>0</v>
      </c>
      <c r="K67" s="89" t="str">
        <f>IF(ISEVEN(B67),(B67-1)&amp;"/"&amp;B67,B67&amp;"/"&amp;(B67+1))</f>
        <v>4011/4012</v>
      </c>
      <c r="L67" s="185" t="str">
        <f>VLOOKUP(A67,'Trips&amp;Operators'!$C$1:$G$99911,5,FALSE)</f>
        <v>MACDONALD THOMAS</v>
      </c>
      <c r="M67" s="6">
        <f>I67-F67</f>
        <v>2.4259259262180422E-2</v>
      </c>
      <c r="N67" s="7">
        <f>24*60*SUM($M67:$M67)</f>
        <v>34.933333337539807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-04T09:27:19-0600',mode:absolute,to:'2017-11-04T12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5.04E-2</v>
      </c>
      <c r="Z67" s="204">
        <f>RIGHT(H67,LEN(H67)-4)/10000</f>
        <v>23.316099999999999</v>
      </c>
      <c r="AA67" s="204">
        <f>ABS(Z67-Y67)</f>
        <v>23.265699999999999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/stypes="app*4012*20171104*"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15"/>
        <v>"%USERPROFILE%\Documents\GitHub\eaglep3\Utilities\RefineRTDCRunTimes.py" --tripid 155-04 --locoid 4012 --swversion DE.1.0.9.0 --startMP 204:504 --initTime 2017-11-04T10:27:19 --startdatetime 2017-11-04T10:30:26 --delay 139 --endMP 204:233161 --enddatetime 2017-11-04T11:05:22 --enforcementcount 0 &gt;&gt;%USERPROFILE%\Documents\GitHub\eaglep3-reporting\EC\2017-11-04-refined-times.txt</v>
      </c>
      <c r="AI6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{"issue":{"subject":"","project_id":79,"tracker_id":40,"status_id":1,"priority_id":2,"assigned_to_id":338,"start_date":"2017-11-04","description":"","custom_fields":[{"id":1,"name":"Subdivision","value":"EC"},{"id":4,"name":"Milepost","value":"23.3161"},{"id":17,"name":"Train ID","value":"155-04"},{"id":16,"name":"Locomotive ID","value":"4012"},{"id":130,"name":"Impact","value":""},{"id":150,"name":"Time of Event (Mountain Time)","value":"11:05:22"},{"id":151,"name":"Denver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7"/>
        <v>start /low /b %USERPROFILE%\Documents\GitHub\eaglep3\Utilities\DownloadLogsFromS3.py --loco 4012 --day 2017-11-04</v>
      </c>
      <c r="AN6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19"/>
        <v>https://d0f6bd738d7f1b3e5a7ca70fe4ff75f0.us-east-1.aws.found.io/app/kibana#/discover/Steve-Slow-Train-Analysis-(2080s-and-2083s)?_g=(refreshInterval:(display:Off,pause:!f,section:0,value:0),time:(from:'2017-11-04T09:27:19-0600',mode:absolute,to:'2017-11-04T12:05:22-0600'))&amp;_a=(columns:!('Message%20ID',Summary),filters:!(),index:'emp_*',interval:auto,query:(query_string:(analyze_wildcard:!t,query:'%22rtdc.l.rtdc.4012%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656</v>
      </c>
      <c r="B68" s="7">
        <v>4011</v>
      </c>
      <c r="C68" s="21" t="s">
        <v>192</v>
      </c>
      <c r="D68" s="21" t="s">
        <v>926</v>
      </c>
      <c r="E68" s="13">
        <v>43043.474826388891</v>
      </c>
      <c r="F68" s="13">
        <v>43043.47761574074</v>
      </c>
      <c r="G68" s="7">
        <v>55</v>
      </c>
      <c r="H68" s="21" t="s">
        <v>605</v>
      </c>
      <c r="I68" s="13">
        <v>43043.504236111112</v>
      </c>
      <c r="J68" s="7">
        <v>0</v>
      </c>
      <c r="K68" s="89" t="str">
        <f>IF(ISEVEN(B68),(B68-1)&amp;"/"&amp;B68,B68&amp;"/"&amp;(B68+1))</f>
        <v>4011/4012</v>
      </c>
      <c r="L68" s="185" t="str">
        <f>VLOOKUP(A68,'Trips&amp;Operators'!$C$1:$G$99911,5,FALSE)</f>
        <v>MACDONALD THOMAS</v>
      </c>
      <c r="M68" s="6">
        <f>I68-F68</f>
        <v>2.662037037225673E-2</v>
      </c>
      <c r="N68" s="7">
        <f>24*60*SUM($M68:$M68)</f>
        <v>38.333333336049691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-04T10:23:45-0600',mode:absolute,to:'2017-11-04T13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23.283999999999999</v>
      </c>
      <c r="Z68" s="204">
        <f>RIGHT(H68,LEN(H68)-4)/10000</f>
        <v>2.07E-2</v>
      </c>
      <c r="AA68" s="204">
        <f>ABS(Z68-Y68)</f>
        <v>23.263299999999997</v>
      </c>
      <c r="AB68" s="54" t="str">
        <f>VLOOKUP(A68,Enforcements!$C$7:$K$10,8,0)</f>
        <v>Bulletin (2)</v>
      </c>
      <c r="AC68" s="51" t="str">
        <f>VLOOKUP(A68,Enforcements!$C$7:$E$10,3,0)</f>
        <v>GRADE CROSSING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/stypes="app*4011*20171104*"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15"/>
        <v>"%USERPROFILE%\Documents\GitHub\eaglep3\Utilities\RefineRTDCRunTimes.py" --tripid 156-04 --locoid 4011 --swversion DE.1.0.9.0 --startMP 204:232840 --initTime 2017-11-04T11:23:45 --startdatetime 2017-11-04T11:27:46 --delay 55 --endMP 204:207 --enddatetime 2017-11-04T12:06:06 --enforcementcount 0 &gt;&gt;%USERPROFILE%\Documents\GitHub\eaglep3-reporting\EC\2017-11-04-refined-times.txt</v>
      </c>
      <c r="AI6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{"issue":{"subject":"","project_id":79,"tracker_id":40,"status_id":1,"priority_id":2,"assigned_to_id":338,"start_date":"2017-11-04","description":"","custom_fields":[{"id":1,"name":"Subdivision","value":"EC"},{"id":4,"name":"Milepost","value":"0.0207"},{"id":17,"name":"Train ID","value":"156-04"},{"id":16,"name":"Locomotive ID","value":"4011"},{"id":130,"name":"Impact","value":""},{"id":150,"name":"Time of Event (Mountain Time)","value":"12:06:06"},{"id":151,"name":"Denver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7"/>
        <v>start /low /b %USERPROFILE%\Documents\GitHub\eaglep3\Utilities\DownloadLogsFromS3.py --loco 4011 --day 2017-11-04</v>
      </c>
      <c r="AN6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19"/>
        <v>https://d0f6bd738d7f1b3e5a7ca70fe4ff75f0.us-east-1.aws.found.io/app/kibana#/discover/Steve-Slow-Train-Analysis-(2080s-and-2083s)?_g=(refreshInterval:(display:Off,pause:!f,section:0,value:0),time:(from:'2017-11-04T10:23:45-0600',mode:absolute,to:'2017-11-04T13:06:06-0600'))&amp;_a=(columns:!('Message%20ID',Summary),filters:!(),index:'emp_*',interval:auto,query:(query_string:(analyze_wildcard:!t,query:'%22rtdc.l.rtdc.4011%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751</v>
      </c>
      <c r="B69" s="7">
        <v>4020</v>
      </c>
      <c r="C69" s="21" t="s">
        <v>192</v>
      </c>
      <c r="D69" s="21" t="s">
        <v>907</v>
      </c>
      <c r="E69" s="13">
        <v>43043.445023148146</v>
      </c>
      <c r="F69" s="13">
        <v>43043.44809027778</v>
      </c>
      <c r="G69" s="7">
        <v>126</v>
      </c>
      <c r="H69" s="21" t="s">
        <v>910</v>
      </c>
      <c r="I69" s="13">
        <v>43043.472418981481</v>
      </c>
      <c r="J69" s="7">
        <v>0</v>
      </c>
      <c r="K69" s="89" t="str">
        <f>IF(ISEVEN(B69),(B69-1)&amp;"/"&amp;B69,B69&amp;"/"&amp;(B69+1))</f>
        <v>4019/4020</v>
      </c>
      <c r="L69" s="185" t="str">
        <f>VLOOKUP(A69,'Trips&amp;Operators'!$C$1:$G$99911,5,FALSE)</f>
        <v>BRUDER RICHARD</v>
      </c>
      <c r="M69" s="6">
        <f>I69-F69</f>
        <v>2.4328703701030463E-2</v>
      </c>
      <c r="N69" s="7">
        <f>24*60*SUM($M69:$M69)</f>
        <v>35.033333329483867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-04T09:40:50-0600',mode:absolute,to:'2017-11-04T12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4.5100000000000001E-2</v>
      </c>
      <c r="Z69" s="204">
        <f>RIGHT(H69,LEN(H69)-4)/10000</f>
        <v>23.320900000000002</v>
      </c>
      <c r="AA69" s="204">
        <f>ABS(Z69-Y69)</f>
        <v>23.2758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/stypes="app*4020*20171104*"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15"/>
        <v>"%USERPROFILE%\Documents\GitHub\eaglep3\Utilities\RefineRTDCRunTimes.py" --tripid 157-04 --locoid 4020 --swversion DE.1.0.9.0 --startMP 204:451 --initTime 2017-11-04T10:40:50 --startdatetime 2017-11-04T10:45:15 --delay 126 --endMP 204:233209 --enddatetime 2017-11-04T11:20:17 --enforcementcount 0 &gt;&gt;%USERPROFILE%\Documents\GitHub\eaglep3-reporting\EC\2017-11-04-refined-times.txt</v>
      </c>
      <c r="AI6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{"issue":{"subject":"","project_id":79,"tracker_id":40,"status_id":1,"priority_id":2,"assigned_to_id":338,"start_date":"2017-11-04","description":"","custom_fields":[{"id":1,"name":"Subdivision","value":"EC"},{"id":4,"name":"Milepost","value":"23.3209"},{"id":17,"name":"Train ID","value":"157-04"},{"id":16,"name":"Locomotive ID","value":"4020"},{"id":130,"name":"Impact","value":""},{"id":150,"name":"Time of Event (Mountain Time)","value":"11:20:17"},{"id":151,"name":"Denver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7"/>
        <v>start /low /b %USERPROFILE%\Documents\GitHub\eaglep3\Utilities\DownloadLogsFromS3.py --loco 4020 --day 2017-11-04</v>
      </c>
      <c r="AN6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19"/>
        <v>https://d0f6bd738d7f1b3e5a7ca70fe4ff75f0.us-east-1.aws.found.io/app/kibana#/discover/Steve-Slow-Train-Analysis-(2080s-and-2083s)?_g=(refreshInterval:(display:Off,pause:!f,section:0,value:0),time:(from:'2017-11-04T09:40:50-0600',mode:absolute,to:'2017-11-04T12:20:17-0600'))&amp;_a=(columns:!('Message%20ID',Summary),filters:!(),index:'emp_*',interval:auto,query:(query_string:(analyze_wildcard:!t,query:'%22rtdc.l.rtdc.4020%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760</v>
      </c>
      <c r="B70" s="7">
        <v>4019</v>
      </c>
      <c r="C70" s="21" t="s">
        <v>192</v>
      </c>
      <c r="D70" s="21" t="s">
        <v>927</v>
      </c>
      <c r="E70" s="13">
        <v>43043.484583333331</v>
      </c>
      <c r="F70" s="13">
        <v>43043.487673611111</v>
      </c>
      <c r="G70" s="7">
        <v>98</v>
      </c>
      <c r="H70" s="21" t="s">
        <v>619</v>
      </c>
      <c r="I70" s="13">
        <v>43043.514027777775</v>
      </c>
      <c r="J70" s="7">
        <v>0</v>
      </c>
      <c r="K70" s="89" t="str">
        <f>IF(ISEVEN(B70),(B70-1)&amp;"/"&amp;B70,B70&amp;"/"&amp;(B70+1))</f>
        <v>4019/4020</v>
      </c>
      <c r="L70" s="185" t="str">
        <f>VLOOKUP(A70,'Trips&amp;Operators'!$C$1:$G$99911,5,FALSE)</f>
        <v>BRUDER RICHARD</v>
      </c>
      <c r="M70" s="6">
        <f>I70-F70</f>
        <v>2.6354166664532386E-2</v>
      </c>
      <c r="N70" s="7">
        <f>24*60*SUM($M70:$M70)</f>
        <v>37.949999996926636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-04T10:37:48-0600',mode:absolute,to:'2017-11-04T13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23.287500000000001</v>
      </c>
      <c r="Z70" s="204">
        <f>RIGHT(H70,LEN(H70)-4)/10000</f>
        <v>2.2700000000000001E-2</v>
      </c>
      <c r="AA70" s="204">
        <f>ABS(Z70-Y70)</f>
        <v>23.264800000000001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/stypes="app*4019*20171104*"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15"/>
        <v>"%USERPROFILE%\Documents\GitHub\eaglep3\Utilities\RefineRTDCRunTimes.py" --tripid 158-04 --locoid 4019 --swversion DE.1.0.9.0 --startMP 204:232875 --initTime 2017-11-04T11:37:48 --startdatetime 2017-11-04T11:42:15 --delay 98 --endMP 204:227 --enddatetime 2017-11-04T12:20:12 --enforcementcount 0 &gt;&gt;%USERPROFILE%\Documents\GitHub\eaglep3-reporting\EC\2017-11-04-refined-times.txt</v>
      </c>
      <c r="AI70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{"issue":{"subject":"","project_id":79,"tracker_id":40,"status_id":1,"priority_id":2,"assigned_to_id":338,"start_date":"2017-11-04","description":"","custom_fields":[{"id":1,"name":"Subdivision","value":"EC"},{"id":4,"name":"Milepost","value":"0.0227"},{"id":17,"name":"Train ID","value":"158-04"},{"id":16,"name":"Locomotive ID","value":"4019"},{"id":130,"name":"Impact","value":""},{"id":150,"name":"Time of Event (Mountain Time)","value":"12:20:12"},{"id":151,"name":"Denver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7"/>
        <v>start /low /b %USERPROFILE%\Documents\GitHub\eaglep3\Utilities\DownloadLogsFromS3.py --loco 4019 --day 2017-11-04</v>
      </c>
      <c r="AN70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19"/>
        <v>https://d0f6bd738d7f1b3e5a7ca70fe4ff75f0.us-east-1.aws.found.io/app/kibana#/discover/Steve-Slow-Train-Analysis-(2080s-and-2083s)?_g=(refreshInterval:(display:Off,pause:!f,section:0,value:0),time:(from:'2017-11-04T10:37:48-0600',mode:absolute,to:'2017-11-04T13:20:12-0600'))&amp;_a=(columns:!('Message%20ID',Summary),filters:!(),index:'emp_*',interval:auto,query:(query_string:(analyze_wildcard:!t,query:'%22rtdc.l.rtdc.4019%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4066</v>
      </c>
      <c r="C71" s="21" t="s">
        <v>192</v>
      </c>
      <c r="D71" s="21" t="s">
        <v>633</v>
      </c>
      <c r="E71" s="13">
        <v>43043.453831018516</v>
      </c>
      <c r="F71" s="13">
        <v>43043.458483796298</v>
      </c>
      <c r="G71" s="7">
        <v>89</v>
      </c>
      <c r="H71" s="21" t="s">
        <v>928</v>
      </c>
      <c r="I71" s="13">
        <v>43043.483854166669</v>
      </c>
      <c r="J71" s="7">
        <v>0</v>
      </c>
      <c r="K71" s="89" t="str">
        <f>IF(ISEVEN(B71),(B71-1)&amp;"/"&amp;B71,B71&amp;"/"&amp;(B71+1))</f>
        <v>4065/4066</v>
      </c>
      <c r="L71" s="185" t="str">
        <f>VLOOKUP(A71,'Trips&amp;Operators'!$C$1:$G$99911,5,FALSE)</f>
        <v>WILLIAMS DONTE</v>
      </c>
      <c r="M71" s="6">
        <f>I71-F71</f>
        <v>2.5370370371092577E-2</v>
      </c>
      <c r="N71" s="7">
        <f>24*60*SUM($M71:$M71)</f>
        <v>36.53333333437331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-04T09:53:31-0600',mode:absolute,to:'2017-11-04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4.8899999999999999E-2</v>
      </c>
      <c r="Z71" s="204">
        <f>RIGHT(H71,LEN(H71)-4)/10000</f>
        <v>23.322099999999999</v>
      </c>
      <c r="AA71" s="204">
        <f>ABS(Z71-Y71)</f>
        <v>23.273199999999999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/stypes="app*4066*20171104*"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15"/>
        <v>"%USERPROFILE%\Documents\GitHub\eaglep3\Utilities\RefineRTDCRunTimes.py" --tripid 159-04 --locoid 4066 --swversion DE.1.0.9.0 --startMP 204:489 --initTime 2017-11-04T10:53:31 --startdatetime 2017-11-04T11:00:13 --delay 89 --endMP 204:233221 --enddatetime 2017-11-04T11:36:45 --enforcementcount 0 &gt;&gt;%USERPROFILE%\Documents\GitHub\eaglep3-reporting\EC\2017-11-04-refined-times.txt</v>
      </c>
      <c r="AI71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{"issue":{"subject":"","project_id":79,"tracker_id":40,"status_id":1,"priority_id":2,"assigned_to_id":338,"start_date":"2017-11-04","description":"","custom_fields":[{"id":1,"name":"Subdivision","value":"EC"},{"id":4,"name":"Milepost","value":"23.3221"},{"id":17,"name":"Train ID","value":"159-04"},{"id":16,"name":"Locomotive ID","value":"4066"},{"id":130,"name":"Impact","value":""},{"id":150,"name":"Time of Event (Mountain Time)","value":"11:36:45"},{"id":151,"name":"Denver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7"/>
        <v>start /low /b %USERPROFILE%\Documents\GitHub\eaglep3\Utilities\DownloadLogsFromS3.py --loco 4066 --day 2017-11-04</v>
      </c>
      <c r="AN71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19"/>
        <v>https://d0f6bd738d7f1b3e5a7ca70fe4ff75f0.us-east-1.aws.found.io/app/kibana#/discover/Steve-Slow-Train-Analysis-(2080s-and-2083s)?_g=(refreshInterval:(display:Off,pause:!f,section:0,value:0),time:(from:'2017-11-04T09:53:31-0600',mode:absolute,to:'2017-11-04T12:36:45-0600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761</v>
      </c>
      <c r="B72" s="7">
        <v>4065</v>
      </c>
      <c r="C72" s="21" t="s">
        <v>192</v>
      </c>
      <c r="D72" s="21" t="s">
        <v>929</v>
      </c>
      <c r="E72" s="13">
        <v>43043.493402777778</v>
      </c>
      <c r="F72" s="13">
        <v>43043.498136574075</v>
      </c>
      <c r="G72" s="7">
        <v>77</v>
      </c>
      <c r="H72" s="21" t="s">
        <v>930</v>
      </c>
      <c r="I72" s="13">
        <v>43043.524918981479</v>
      </c>
      <c r="J72" s="7">
        <v>0</v>
      </c>
      <c r="K72" s="89" t="str">
        <f>IF(ISEVEN(B72),(B72-1)&amp;"/"&amp;B72,B72&amp;"/"&amp;(B72+1))</f>
        <v>4065/4066</v>
      </c>
      <c r="L72" s="185" t="str">
        <f>VLOOKUP(A72,'Trips&amp;Operators'!$C$1:$G$99911,5,FALSE)</f>
        <v>WILLIAMS DONTE</v>
      </c>
      <c r="M72" s="6">
        <f>I72-F72</f>
        <v>2.6782407403516117E-2</v>
      </c>
      <c r="N72" s="7">
        <f>24*60*SUM($M72:$M72)</f>
        <v>38.566666661063209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-04T10:50:30-0600',mode:absolute,to:'2017-11-04T13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23.2911</v>
      </c>
      <c r="Z72" s="204">
        <f>RIGHT(H72,LEN(H72)-4)/10000</f>
        <v>2.1999999999999999E-2</v>
      </c>
      <c r="AA72" s="204">
        <f>ABS(Z72-Y72)</f>
        <v>23.269100000000002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/stypes="app*4065*20171104*"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15"/>
        <v>"%USERPROFILE%\Documents\GitHub\eaglep3\Utilities\RefineRTDCRunTimes.py" --tripid 160-04 --locoid 4065 --swversion DE.1.0.9.0 --startMP 204:232911 --initTime 2017-11-04T11:50:30 --startdatetime 2017-11-04T11:57:19 --delay 77 --endMP 204:220 --enddatetime 2017-11-04T12:35:53 --enforcementcount 0 &gt;&gt;%USERPROFILE%\Documents\GitHub\eaglep3-reporting\EC\2017-11-04-refined-times.txt</v>
      </c>
      <c r="AI72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{"issue":{"subject":"","project_id":79,"tracker_id":40,"status_id":1,"priority_id":2,"assigned_to_id":338,"start_date":"2017-11-04","description":"","custom_fields":[{"id":1,"name":"Subdivision","value":"EC"},{"id":4,"name":"Milepost","value":"0.022"},{"id":17,"name":"Train ID","value":"160-04"},{"id":16,"name":"Locomotive ID","value":"4065"},{"id":130,"name":"Impact","value":""},{"id":150,"name":"Time of Event (Mountain Time)","value":"12:35:53"},{"id":151,"name":"Denver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7"/>
        <v>start /low /b %USERPROFILE%\Documents\GitHub\eaglep3\Utilities\DownloadLogsFromS3.py --loco 4065 --day 2017-11-04</v>
      </c>
      <c r="AN72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19"/>
        <v>https://d0f6bd738d7f1b3e5a7ca70fe4ff75f0.us-east-1.aws.found.io/app/kibana#/discover/Steve-Slow-Train-Analysis-(2080s-and-2083s)?_g=(refreshInterval:(display:Off,pause:!f,section:0,value:0),time:(from:'2017-11-04T10:50:30-0600',mode:absolute,to:'2017-11-04T13:35:53-0600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756</v>
      </c>
      <c r="B73" s="7">
        <v>4036</v>
      </c>
      <c r="C73" s="21" t="s">
        <v>192</v>
      </c>
      <c r="D73" s="21" t="s">
        <v>397</v>
      </c>
      <c r="E73" s="13">
        <v>43043.463425925926</v>
      </c>
      <c r="F73" s="13">
        <v>43043.468958333331</v>
      </c>
      <c r="G73" s="7">
        <v>93</v>
      </c>
      <c r="H73" s="21" t="s">
        <v>526</v>
      </c>
      <c r="I73" s="13">
        <v>43043.493784722225</v>
      </c>
      <c r="J73" s="7">
        <v>0</v>
      </c>
      <c r="K73" s="89" t="str">
        <f>IF(ISEVEN(B73),(B73-1)&amp;"/"&amp;B73,B73&amp;"/"&amp;(B73+1))</f>
        <v>4035/4036</v>
      </c>
      <c r="L73" s="185" t="str">
        <f>VLOOKUP(A73,'Trips&amp;Operators'!$C$1:$G$99911,5,FALSE)</f>
        <v>DAVIDSON DAVID</v>
      </c>
      <c r="M73" s="6">
        <f>I73-F73</f>
        <v>2.4826388893416151E-2</v>
      </c>
      <c r="N73" s="7">
        <f>24*60*SUM($M73:$M73)</f>
        <v>35.750000006519258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-04T10:07:20-0600',mode:absolute,to:'2017-11-04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4.6600000000000003E-2</v>
      </c>
      <c r="Z73" s="204">
        <f>RIGHT(H73,LEN(H73)-4)/10000</f>
        <v>23.328399999999998</v>
      </c>
      <c r="AA73" s="204">
        <f>ABS(Z73-Y73)</f>
        <v>23.281799999999997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/stypes="app*4036*20171104*"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15"/>
        <v>"%USERPROFILE%\Documents\GitHub\eaglep3\Utilities\RefineRTDCRunTimes.py" --tripid 161-04 --locoid 4036 --swversion DE.1.0.9.0 --startMP 204:466 --initTime 2017-11-04T11:07:20 --startdatetime 2017-11-04T11:15:18 --delay 93 --endMP 204:233284 --enddatetime 2017-11-04T11:51:03 --enforcementcount 0 &gt;&gt;%USERPROFILE%\Documents\GitHub\eaglep3-reporting\EC\2017-11-04-refined-times.txt</v>
      </c>
      <c r="AI73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{"issue":{"subject":"","project_id":79,"tracker_id":40,"status_id":1,"priority_id":2,"assigned_to_id":338,"start_date":"2017-11-04","description":"","custom_fields":[{"id":1,"name":"Subdivision","value":"EC"},{"id":4,"name":"Milepost","value":"23.3284"},{"id":17,"name":"Train ID","value":"161-04"},{"id":16,"name":"Locomotive ID","value":"4036"},{"id":130,"name":"Impact","value":""},{"id":150,"name":"Time of Event (Mountain Time)","value":"11:51:03"},{"id":151,"name":"Denver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7"/>
        <v>start /low /b %USERPROFILE%\Documents\GitHub\eaglep3\Utilities\DownloadLogsFromS3.py --loco 4036 --day 2017-11-04</v>
      </c>
      <c r="AN73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19"/>
        <v>https://d0f6bd738d7f1b3e5a7ca70fe4ff75f0.us-east-1.aws.found.io/app/kibana#/discover/Steve-Slow-Train-Analysis-(2080s-and-2083s)?_g=(refreshInterval:(display:Off,pause:!f,section:0,value:0),time:(from:'2017-11-04T10:07:20-0600',mode:absolute,to:'2017-11-04T12:51:03-0600'))&amp;_a=(columns:!('Message%20ID',Summary),filters:!(),index:'emp_*',interval:auto,query:(query_string:(analyze_wildcard:!t,query:'%22rtdc.l.rtdc.4036%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762</v>
      </c>
      <c r="B74" s="7">
        <v>4035</v>
      </c>
      <c r="C74" s="21" t="s">
        <v>192</v>
      </c>
      <c r="D74" s="21" t="s">
        <v>904</v>
      </c>
      <c r="E74" s="13">
        <v>43043.495706018519</v>
      </c>
      <c r="F74" s="13">
        <v>43043.508553240739</v>
      </c>
      <c r="G74" s="7">
        <v>79</v>
      </c>
      <c r="H74" s="21" t="s">
        <v>920</v>
      </c>
      <c r="I74" s="13">
        <v>43043.535729166666</v>
      </c>
      <c r="J74" s="7">
        <v>0</v>
      </c>
      <c r="K74" s="89" t="str">
        <f>IF(ISEVEN(B74),(B74-1)&amp;"/"&amp;B74,B74&amp;"/"&amp;(B74+1))</f>
        <v>4035/4036</v>
      </c>
      <c r="L74" s="185" t="str">
        <f>VLOOKUP(A74,'Trips&amp;Operators'!$C$1:$G$99911,5,FALSE)</f>
        <v>DAVIDSON DAVID</v>
      </c>
      <c r="M74" s="6">
        <f>I74-F74</f>
        <v>2.7175925926712807E-2</v>
      </c>
      <c r="N74" s="7">
        <f>24*60*SUM($M74:$M74)</f>
        <v>39.133333334466442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-04T10:53:49-0600',mode:absolute,to:'2017-11-04T13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23.296099999999999</v>
      </c>
      <c r="Z74" s="204">
        <f>RIGHT(H74,LEN(H74)-4)/10000</f>
        <v>2.63E-2</v>
      </c>
      <c r="AA74" s="204">
        <f>ABS(Z74-Y74)</f>
        <v>23.2698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/stypes="app*4035*20171104*"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15"/>
        <v>"%USERPROFILE%\Documents\GitHub\eaglep3\Utilities\RefineRTDCRunTimes.py" --tripid 162-04 --locoid 4035 --swversion DE.1.0.9.0 --startMP 204:232961 --initTime 2017-11-04T11:53:49 --startdatetime 2017-11-04T12:12:19 --delay 79 --endMP 204:263 --enddatetime 2017-11-04T12:51:27 --enforcementcount 0 &gt;&gt;%USERPROFILE%\Documents\GitHub\eaglep3-reporting\EC\2017-11-04-refined-times.txt</v>
      </c>
      <c r="AI74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{"issue":{"subject":"","project_id":79,"tracker_id":40,"status_id":1,"priority_id":2,"assigned_to_id":338,"start_date":"2017-11-04","description":"","custom_fields":[{"id":1,"name":"Subdivision","value":"EC"},{"id":4,"name":"Milepost","value":"0.0263"},{"id":17,"name":"Train ID","value":"162-04"},{"id":16,"name":"Locomotive ID","value":"4035"},{"id":130,"name":"Impact","value":""},{"id":150,"name":"Time of Event (Mountain Time)","value":"12:51:27"},{"id":151,"name":"Denver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7"/>
        <v>start /low /b %USERPROFILE%\Documents\GitHub\eaglep3\Utilities\DownloadLogsFromS3.py --loco 4035 --day 2017-11-04</v>
      </c>
      <c r="AN74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19"/>
        <v>https://d0f6bd738d7f1b3e5a7ca70fe4ff75f0.us-east-1.aws.found.io/app/kibana#/discover/Steve-Slow-Train-Analysis-(2080s-and-2083s)?_g=(refreshInterval:(display:Off,pause:!f,section:0,value:0),time:(from:'2017-11-04T10:53:49-0600',mode:absolute,to:'2017-11-04T13:51:27-0600'))&amp;_a=(columns:!('Message%20ID',Summary),filters:!(),index:'emp_*',interval:auto,query:(query_string:(analyze_wildcard:!t,query:'%22rtdc.l.rtdc.4035%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4046</v>
      </c>
      <c r="C75" s="21" t="s">
        <v>192</v>
      </c>
      <c r="D75" s="21" t="s">
        <v>633</v>
      </c>
      <c r="E75" s="13">
        <v>43043.474895833337</v>
      </c>
      <c r="F75" s="13">
        <v>43043.47934027778</v>
      </c>
      <c r="G75" s="7">
        <v>175</v>
      </c>
      <c r="H75" s="21" t="s">
        <v>489</v>
      </c>
      <c r="I75" s="13">
        <v>43043.505127314813</v>
      </c>
      <c r="J75" s="7">
        <v>0</v>
      </c>
      <c r="K75" s="89" t="str">
        <f>IF(ISEVEN(B75),(B75-1)&amp;"/"&amp;B75,B75&amp;"/"&amp;(B75+1))</f>
        <v>4045/4046</v>
      </c>
      <c r="L75" s="185" t="str">
        <f>VLOOKUP(A75,'Trips&amp;Operators'!$C$1:$G$99911,5,FALSE)</f>
        <v>SAFIEF AEIMEN</v>
      </c>
      <c r="M75" s="6">
        <f>I75-F75</f>
        <v>2.5787037033296656E-2</v>
      </c>
      <c r="N75" s="7">
        <f>24*60*SUM($M75:$M75)</f>
        <v>37.133333327947184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-04T10:23:51-0600',mode:absolute,to:'2017-11-04T13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4.8899999999999999E-2</v>
      </c>
      <c r="Z75" s="204">
        <f>RIGHT(H75,LEN(H75)-4)/10000</f>
        <v>23.3293</v>
      </c>
      <c r="AA75" s="204">
        <f>ABS(Z75-Y75)</f>
        <v>23.2804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/stypes="app*4046*20171104*"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15"/>
        <v>"%USERPROFILE%\Documents\GitHub\eaglep3\Utilities\RefineRTDCRunTimes.py" --tripid 163-04 --locoid 4046 --swversion DE.1.0.9.0 --startMP 204:489 --initTime 2017-11-04T11:23:51 --startdatetime 2017-11-04T11:30:15 --delay 175 --endMP 204:233293 --enddatetime 2017-11-04T12:07:23 --enforcementcount 0 &gt;&gt;%USERPROFILE%\Documents\GitHub\eaglep3-reporting\EC\2017-11-04-refined-times.txt</v>
      </c>
      <c r="AI75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{"issue":{"subject":"","project_id":79,"tracker_id":40,"status_id":1,"priority_id":2,"assigned_to_id":338,"start_date":"2017-11-04","description":"","custom_fields":[{"id":1,"name":"Subdivision","value":"EC"},{"id":4,"name":"Milepost","value":"23.3293"},{"id":17,"name":"Train ID","value":"163-04"},{"id":16,"name":"Locomotive ID","value":"4046"},{"id":130,"name":"Impact","value":""},{"id":150,"name":"Time of Event (Mountain Time)","value":"12:07:23"},{"id":151,"name":"Denver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7"/>
        <v>start /low /b %USERPROFILE%\Documents\GitHub\eaglep3\Utilities\DownloadLogsFromS3.py --loco 4046 --day 2017-11-04</v>
      </c>
      <c r="AN75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19"/>
        <v>https://d0f6bd738d7f1b3e5a7ca70fe4ff75f0.us-east-1.aws.found.io/app/kibana#/discover/Steve-Slow-Train-Analysis-(2080s-and-2083s)?_g=(refreshInterval:(display:Off,pause:!f,section:0,value:0),time:(from:'2017-11-04T10:23:51-0600',mode:absolute,to:'2017-11-04T13:07:23-0600'))&amp;_a=(columns:!('Message%20ID',Summary),filters:!(),index:'emp_*',interval:auto,query:(query_string:(analyze_wildcard:!t,query:'%22rtdc.l.rtdc.4046%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765</v>
      </c>
      <c r="B76" s="7">
        <v>4045</v>
      </c>
      <c r="C76" s="21" t="s">
        <v>192</v>
      </c>
      <c r="D76" s="21" t="s">
        <v>594</v>
      </c>
      <c r="E76" s="13">
        <v>43043.509328703702</v>
      </c>
      <c r="F76" s="13">
        <v>43043.519085648149</v>
      </c>
      <c r="G76" s="7">
        <v>135</v>
      </c>
      <c r="H76" s="21" t="s">
        <v>911</v>
      </c>
      <c r="I76" s="13">
        <v>43043.548298611109</v>
      </c>
      <c r="J76" s="7">
        <v>0</v>
      </c>
      <c r="K76" s="89" t="str">
        <f>IF(ISEVEN(B76),(B76-1)&amp;"/"&amp;B76,B76&amp;"/"&amp;(B76+1))</f>
        <v>4045/4046</v>
      </c>
      <c r="L76" s="185" t="str">
        <f>VLOOKUP(A76,'Trips&amp;Operators'!$C$1:$G$99911,5,FALSE)</f>
        <v>SAFIEF AEIMEN</v>
      </c>
      <c r="M76" s="6">
        <f>I76-F76</f>
        <v>2.9212962959718425E-2</v>
      </c>
      <c r="N76" s="7">
        <f>24*60*SUM($M76:$M76)</f>
        <v>42.066666661994532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-04T11:13:26-0600',mode:absolute,to:'2017-11-04T14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23.296199999999999</v>
      </c>
      <c r="Z76" s="204">
        <f>RIGHT(H76,LEN(H76)-4)/10000</f>
        <v>1.9199999999999998E-2</v>
      </c>
      <c r="AA76" s="204">
        <f>ABS(Z76-Y76)</f>
        <v>23.276999999999997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/stypes="app*4045*20171104*"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15"/>
        <v>"%USERPROFILE%\Documents\GitHub\eaglep3\Utilities\RefineRTDCRunTimes.py" --tripid 164-04 --locoid 4045 --swversion DE.1.0.9.0 --startMP 204:232962 --initTime 2017-11-04T12:13:26 --startdatetime 2017-11-04T12:27:29 --delay 135 --endMP 204:192 --enddatetime 2017-11-04T13:09:33 --enforcementcount 0 &gt;&gt;%USERPROFILE%\Documents\GitHub\eaglep3-reporting\EC\2017-11-04-refined-times.txt</v>
      </c>
      <c r="AI76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{"issue":{"subject":"","project_id":79,"tracker_id":40,"status_id":1,"priority_id":2,"assigned_to_id":338,"start_date":"2017-11-04","description":"","custom_fields":[{"id":1,"name":"Subdivision","value":"EC"},{"id":4,"name":"Milepost","value":"0.0192"},{"id":17,"name":"Train ID","value":"164-04"},{"id":16,"name":"Locomotive ID","value":"4045"},{"id":130,"name":"Impact","value":""},{"id":150,"name":"Time of Event (Mountain Time)","value":"13:09:33"},{"id":151,"name":"Denver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7"/>
        <v>start /low /b %USERPROFILE%\Documents\GitHub\eaglep3\Utilities\DownloadLogsFromS3.py --loco 4045 --day 2017-11-04</v>
      </c>
      <c r="AN76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9"/>
        <v>https://d0f6bd738d7f1b3e5a7ca70fe4ff75f0.us-east-1.aws.found.io/app/kibana#/discover/Steve-Slow-Train-Analysis-(2080s-and-2083s)?_g=(refreshInterval:(display:Off,pause:!f,section:0,value:0),time:(from:'2017-11-04T11:13:26-0600',mode:absolute,to:'2017-11-04T14:09:33-0600'))&amp;_a=(columns:!('Message%20ID',Summary),filters:!(),index:'emp_*',interval:auto,query:(query_string:(analyze_wildcard:!t,query:'%22rtdc.l.rtdc.4045%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759</v>
      </c>
      <c r="B77" s="7">
        <v>4016</v>
      </c>
      <c r="C77" s="21" t="s">
        <v>192</v>
      </c>
      <c r="D77" s="21" t="s">
        <v>931</v>
      </c>
      <c r="E77" s="13">
        <v>43043.484201388892</v>
      </c>
      <c r="F77" s="13">
        <v>43043.489756944444</v>
      </c>
      <c r="G77" s="7">
        <v>80</v>
      </c>
      <c r="H77" s="21" t="s">
        <v>932</v>
      </c>
      <c r="I77" s="13">
        <v>43043.513645833336</v>
      </c>
      <c r="J77" s="7">
        <v>0</v>
      </c>
      <c r="K77" s="89" t="str">
        <f>IF(ISEVEN(B77),(B77-1)&amp;"/"&amp;B77,B77&amp;"/"&amp;(B77+1))</f>
        <v>4015/4016</v>
      </c>
      <c r="L77" s="185" t="str">
        <f>VLOOKUP(A77,'Trips&amp;Operators'!$C$1:$G$99911,5,FALSE)</f>
        <v>GUZMAN DANNY</v>
      </c>
      <c r="M77" s="6">
        <f>I77-F77</f>
        <v>2.3888888892543036E-2</v>
      </c>
      <c r="N77" s="7">
        <f>24*60*SUM($M77:$M77)</f>
        <v>34.400000005261973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-04T10:37:15-0600',mode:absolute,to:'2017-11-04T13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5.57E-2</v>
      </c>
      <c r="Z77" s="204">
        <f>RIGHT(H77,LEN(H77)-4)/10000</f>
        <v>23.3232</v>
      </c>
      <c r="AA77" s="204">
        <f>ABS(Z77-Y77)</f>
        <v>23.267499999999998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/stypes="app*4016*20171104*"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15"/>
        <v>"%USERPROFILE%\Documents\GitHub\eaglep3\Utilities\RefineRTDCRunTimes.py" --tripid 165-04 --locoid 4016 --swversion DE.1.0.9.0 --startMP 204:557 --initTime 2017-11-04T11:37:15 --startdatetime 2017-11-04T11:45:15 --delay 80 --endMP 204:233232 --enddatetime 2017-11-04T12:19:39 --enforcementcount 0 &gt;&gt;%USERPROFILE%\Documents\GitHub\eaglep3-reporting\EC\2017-11-04-refined-times.txt</v>
      </c>
      <c r="AI77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{"issue":{"subject":"","project_id":79,"tracker_id":40,"status_id":1,"priority_id":2,"assigned_to_id":338,"start_date":"2017-11-04","description":"","custom_fields":[{"id":1,"name":"Subdivision","value":"EC"},{"id":4,"name":"Milepost","value":"23.3232"},{"id":17,"name":"Train ID","value":"165-04"},{"id":16,"name":"Locomotive ID","value":"4016"},{"id":130,"name":"Impact","value":""},{"id":150,"name":"Time of Event (Mountain Time)","value":"12:19:39"},{"id":151,"name":"Denver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7"/>
        <v>start /low /b %USERPROFILE%\Documents\GitHub\eaglep3\Utilities\DownloadLogsFromS3.py --loco 4016 --day 2017-11-04</v>
      </c>
      <c r="AN77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9"/>
        <v>https://d0f6bd738d7f1b3e5a7ca70fe4ff75f0.us-east-1.aws.found.io/app/kibana#/discover/Steve-Slow-Train-Analysis-(2080s-and-2083s)?_g=(refreshInterval:(display:Off,pause:!f,section:0,value:0),time:(from:'2017-11-04T10:37:15-0600',mode:absolute,to:'2017-11-04T13:19:39-0600'))&amp;_a=(columns:!('Message%20ID',Summary),filters:!(),index:'emp_*',interval:auto,query:(query_string:(analyze_wildcard:!t,query:'%22rtdc.l.rtdc.4016%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766</v>
      </c>
      <c r="B78" s="7">
        <v>4015</v>
      </c>
      <c r="C78" s="21" t="s">
        <v>192</v>
      </c>
      <c r="D78" s="21" t="s">
        <v>621</v>
      </c>
      <c r="E78" s="13">
        <v>43043.516041666669</v>
      </c>
      <c r="F78" s="13">
        <v>43043.529340277775</v>
      </c>
      <c r="G78" s="7">
        <v>60</v>
      </c>
      <c r="H78" s="21" t="s">
        <v>933</v>
      </c>
      <c r="I78" s="13">
        <v>43043.561261574076</v>
      </c>
      <c r="J78" s="7">
        <v>0</v>
      </c>
      <c r="K78" s="89" t="str">
        <f>IF(ISEVEN(B78),(B78-1)&amp;"/"&amp;B78,B78&amp;"/"&amp;(B78+1))</f>
        <v>4015/4016</v>
      </c>
      <c r="L78" s="185" t="str">
        <f>VLOOKUP(A78,'Trips&amp;Operators'!$C$1:$G$99911,5,FALSE)</f>
        <v>GUZMAN DANNY</v>
      </c>
      <c r="M78" s="6">
        <f>I78-F78</f>
        <v>3.1921296300424729E-2</v>
      </c>
      <c r="N78" s="7">
        <f>24*60*SUM($M78:$M78)</f>
        <v>45.966666672611609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-04T11:23:06-0600',mode:absolute,to:'2017-11-04T14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23.291499999999999</v>
      </c>
      <c r="Z78" s="204">
        <f>RIGHT(H78,LEN(H78)-4)/10000</f>
        <v>8.9800000000000005E-2</v>
      </c>
      <c r="AA78" s="204">
        <f>ABS(Z78-Y78)</f>
        <v>23.201699999999999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/stypes="app*4015*20171104*"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5"/>
        <v>"%USERPROFILE%\Documents\GitHub\eaglep3\Utilities\RefineRTDCRunTimes.py" --tripid 166-04 --locoid 4015 --swversion DE.1.0.9.0 --startMP 204:232915 --initTime 2017-11-04T12:23:06 --startdatetime 2017-11-04T12:42:15 --delay 60 --endMP 204:898 --enddatetime 2017-11-04T13:28:13 --enforcementcount 0 &gt;&gt;%USERPROFILE%\Documents\GitHub\eaglep3-reporting\EC\2017-11-04-refined-times.txt</v>
      </c>
      <c r="AI78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{"issue":{"subject":"","project_id":79,"tracker_id":40,"status_id":1,"priority_id":2,"assigned_to_id":338,"start_date":"2017-11-04","description":"","custom_fields":[{"id":1,"name":"Subdivision","value":"EC"},{"id":4,"name":"Milepost","value":"0.0898"},{"id":17,"name":"Train ID","value":"166-04"},{"id":16,"name":"Locomotive ID","value":"4015"},{"id":130,"name":"Impact","value":""},{"id":150,"name":"Time of Event (Mountain Time)","value":"13:28:13"},{"id":151,"name":"Denver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7"/>
        <v>start /low /b %USERPROFILE%\Documents\GitHub\eaglep3\Utilities\DownloadLogsFromS3.py --loco 4015 --day 2017-11-04</v>
      </c>
      <c r="AN78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9"/>
        <v>https://d0f6bd738d7f1b3e5a7ca70fe4ff75f0.us-east-1.aws.found.io/app/kibana#/discover/Steve-Slow-Train-Analysis-(2080s-and-2083s)?_g=(refreshInterval:(display:Off,pause:!f,section:0,value:0),time:(from:'2017-11-04T11:23:06-0600',mode:absolute,to:'2017-11-04T14:28:13-0600'))&amp;_a=(columns:!('Message%20ID',Summary),filters:!(),index:'emp_*',interval:auto,query:(query_string:(analyze_wildcard:!t,query:'%22rtdc.l.rtdc.4015%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763</v>
      </c>
      <c r="B79" s="7">
        <v>4006</v>
      </c>
      <c r="C79" s="21" t="s">
        <v>192</v>
      </c>
      <c r="D79" s="21" t="s">
        <v>934</v>
      </c>
      <c r="E79" s="13">
        <v>43043.496608796297</v>
      </c>
      <c r="F79" s="13">
        <v>43043.500162037039</v>
      </c>
      <c r="G79" s="7">
        <v>81</v>
      </c>
      <c r="H79" s="21" t="s">
        <v>935</v>
      </c>
      <c r="I79" s="13">
        <v>43043.526180555556</v>
      </c>
      <c r="J79" s="7">
        <v>0</v>
      </c>
      <c r="K79" s="89" t="str">
        <f>IF(ISEVEN(B79),(B79-1)&amp;"/"&amp;B79,B79&amp;"/"&amp;(B79+1))</f>
        <v>4005/4006</v>
      </c>
      <c r="L79" s="185" t="str">
        <f>VLOOKUP(A79,'Trips&amp;Operators'!$C$1:$G$99911,5,FALSE)</f>
        <v>BADERTSCHER DIANE</v>
      </c>
      <c r="M79" s="6">
        <f>I79-F79</f>
        <v>2.6018518517958E-2</v>
      </c>
      <c r="N79" s="7">
        <f>24*60*SUM($M79:$M79)</f>
        <v>37.46666666585952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-04T10:55:07-0600',mode:absolute,to:'2017-11-04T13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6.1100000000000002E-2</v>
      </c>
      <c r="Z79" s="204">
        <f>RIGHT(H79,LEN(H79)-4)/10000</f>
        <v>23.3246</v>
      </c>
      <c r="AA79" s="204">
        <f>ABS(Z79-Y79)</f>
        <v>23.263500000000001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/stypes="app*4006*20171104*"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5"/>
        <v>"%USERPROFILE%\Documents\GitHub\eaglep3\Utilities\RefineRTDCRunTimes.py" --tripid 167-04 --locoid 4006 --swversion DE.1.0.9.0 --startMP 204:611 --initTime 2017-11-04T11:55:07 --startdatetime 2017-11-04T12:00:14 --delay 81 --endMP 204:233246 --enddatetime 2017-11-04T12:37:42 --enforcementcount 0 &gt;&gt;%USERPROFILE%\Documents\GitHub\eaglep3-reporting\EC\2017-11-04-refined-times.txt</v>
      </c>
      <c r="AI79" s="96" t="str">
        <f t="shared" si="16"/>
        <v>echo {"issue":{"subject":"","project_id":79,"tracker_id":40,"status_id":1,"priority_id":2,"assigned_to_id":338,"start_date":"2017-11-04","description":"","custom_fields":[{"id":1,"name":"Subdivision","value":"EC"},{"id":4,"name":"Milepost","value":"23.3246"},{"id":17,"name":"Train ID","value":"167-04"},{"id":16,"name":"Locomotive ID","value":"4006"},{"id":130,"name":"Impact","value":""},{"id":150,"name":"Time of Event (Mountain Time)","value":"12:37:42"},{"id":151,"name":"Denver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7"/>
        <v>start /low /b %USERPROFILE%\Documents\GitHub\eaglep3\Utilities\DownloadLogsFromS3.py --loco 4006 --day 2017-11-04</v>
      </c>
      <c r="AN79" s="151" t="str">
        <f t="shared" si="18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9"/>
        <v>https://d0f6bd738d7f1b3e5a7ca70fe4ff75f0.us-east-1.aws.found.io/app/kibana#/discover/Steve-Slow-Train-Analysis-(2080s-and-2083s)?_g=(refreshInterval:(display:Off,pause:!f,section:0,value:0),time:(from:'2017-11-04T10:55:07-0600',mode:absolute,to:'2017-11-04T13:37:42-0600'))&amp;_a=(columns:!('Message%20ID',Summary),filters:!(),index:'emp_*',interval:auto,query:(query_string:(analyze_wildcard:!t,query:'%22rtdc.l.rtdc.4006%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770</v>
      </c>
      <c r="B80" s="7">
        <v>4005</v>
      </c>
      <c r="C80" s="21" t="s">
        <v>192</v>
      </c>
      <c r="D80" s="21" t="s">
        <v>936</v>
      </c>
      <c r="E80" s="13">
        <v>43043.533229166664</v>
      </c>
      <c r="F80" s="13">
        <v>43043.53974537037</v>
      </c>
      <c r="G80" s="7">
        <v>96</v>
      </c>
      <c r="H80" s="21" t="s">
        <v>622</v>
      </c>
      <c r="I80" s="13">
        <v>43043.567175925928</v>
      </c>
      <c r="J80" s="7">
        <v>0</v>
      </c>
      <c r="K80" s="89" t="str">
        <f>IF(ISEVEN(B80),(B80-1)&amp;"/"&amp;B80,B80&amp;"/"&amp;(B80+1))</f>
        <v>4005/4006</v>
      </c>
      <c r="L80" s="185" t="str">
        <f>VLOOKUP(A80,'Trips&amp;Operators'!$C$1:$G$99911,5,FALSE)</f>
        <v>BADERTSCHER DIANE</v>
      </c>
      <c r="M80" s="6">
        <f>I80-F80</f>
        <v>2.7430555557657499E-2</v>
      </c>
      <c r="N80" s="7">
        <f>24*60*SUM($M80:$M80)</f>
        <v>39.500000003026798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-04T11:47:51-0600',mode:absolute,to:'2017-11-04T14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23.292100000000001</v>
      </c>
      <c r="Z80" s="204">
        <f>RIGHT(H80,LEN(H80)-4)/10000</f>
        <v>2.1600000000000001E-2</v>
      </c>
      <c r="AA80" s="204">
        <f>ABS(Z80-Y80)</f>
        <v>23.270500000000002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/stypes="app*4005*20171104*"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ref="AH80:AH146" si="20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168-04 --locoid 4005 --swversion DE.1.0.9.0 --startMP 204:232921 --initTime 2017-11-04T12:47:51 --startdatetime 2017-11-04T12:57:14 --delay 96 --endMP 204:216 --enddatetime 2017-11-04T13:36:44 --enforcementcount 0 &gt;&gt;%USERPROFILE%\Documents\GitHub\eaglep3-reporting\EC\2017-11-04-refined-times.txt</v>
      </c>
      <c r="AI80" s="96" t="str">
        <f t="shared" ref="AI80:AI146" si="21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{"issue":{"subject":"","project_id":79,"tracker_id":40,"status_id":1,"priority_id":2,"assigned_to_id":338,"start_date":"2017-11-04","description":"","custom_fields":[{"id":1,"name":"Subdivision","value":"EC"},{"id":4,"name":"Milepost","value":"0.0216"},{"id":17,"name":"Train ID","value":"168-04"},{"id":16,"name":"Locomotive ID","value":"4005"},{"id":130,"name":"Impact","value":""},{"id":150,"name":"Time of Event (Mountain Time)","value":"13:36:44"},{"id":151,"name":"Denver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ref="AM80:AM146" si="22">"start /low /b "&amp;dls3logs&amp;" --loco "&amp;B80&amp;" --day "&amp;TEXT(F80,"YYYY-MM-DD")</f>
        <v>start /low /b %USERPROFILE%\Documents\GitHub\eaglep3\Utilities\DownloadLogsFromS3.py --loco 4005 --day 2017-11-04</v>
      </c>
      <c r="AN80" s="151" t="str">
        <f t="shared" ref="AN80:AN146" si="23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ref="AO80:AO146" si="24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-04T11:47:51-0600',mode:absolute,to:'2017-11-04T14:36:44-0600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764</v>
      </c>
      <c r="B81" s="7">
        <v>4012</v>
      </c>
      <c r="C81" s="21" t="s">
        <v>192</v>
      </c>
      <c r="D81" s="21" t="s">
        <v>937</v>
      </c>
      <c r="E81" s="13">
        <v>43043.506631944445</v>
      </c>
      <c r="F81" s="13">
        <v>43043.510578703703</v>
      </c>
      <c r="G81" s="7">
        <v>81</v>
      </c>
      <c r="H81" s="21" t="s">
        <v>938</v>
      </c>
      <c r="I81" s="13">
        <v>43043.539988425924</v>
      </c>
      <c r="J81" s="7">
        <v>0</v>
      </c>
      <c r="K81" s="89" t="str">
        <f>IF(ISEVEN(B81),(B81-1)&amp;"/"&amp;B81,B81&amp;"/"&amp;(B81+1))</f>
        <v>4011/4012</v>
      </c>
      <c r="L81" s="185" t="str">
        <f>VLOOKUP(A81,'Trips&amp;Operators'!$C$1:$G$99911,5,FALSE)</f>
        <v>BERLING GARY</v>
      </c>
      <c r="M81" s="6">
        <f>I81-F81</f>
        <v>2.940972222131677E-2</v>
      </c>
      <c r="N81" s="7">
        <f>24*60*SUM($M81:$M81)</f>
        <v>42.349999998696148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-04T11:09:33-0600',mode:absolute,to:'2017-11-04T13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5.0200000000000002E-2</v>
      </c>
      <c r="Z81" s="204">
        <f>RIGHT(H81,LEN(H81)-4)/10000</f>
        <v>23.3249</v>
      </c>
      <c r="AA81" s="204">
        <f>ABS(Z81-Y81)</f>
        <v>23.274699999999999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/stypes="app*4012*20171104*"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20"/>
        <v>"%USERPROFILE%\Documents\GitHub\eaglep3\Utilities\RefineRTDCRunTimes.py" --tripid 169-04 --locoid 4012 --swversion DE.1.0.9.0 --startMP 204:502 --initTime 2017-11-04T12:09:33 --startdatetime 2017-11-04T12:15:14 --delay 81 --endMP 204:233249 --enddatetime 2017-11-04T12:57:35 --enforcementcount 0 &gt;&gt;%USERPROFILE%\Documents\GitHub\eaglep3-reporting\EC\2017-11-04-refined-times.txt</v>
      </c>
      <c r="AI8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{"issue":{"subject":"","project_id":79,"tracker_id":40,"status_id":1,"priority_id":2,"assigned_to_id":338,"start_date":"2017-11-04","description":"","custom_fields":[{"id":1,"name":"Subdivision","value":"EC"},{"id":4,"name":"Milepost","value":"23.3249"},{"id":17,"name":"Train ID","value":"169-04"},{"id":16,"name":"Locomotive ID","value":"4012"},{"id":130,"name":"Impact","value":""},{"id":150,"name":"Time of Event (Mountain Time)","value":"12:57:35"},{"id":151,"name":"Denver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22"/>
        <v>start /low /b %USERPROFILE%\Documents\GitHub\eaglep3\Utilities\DownloadLogsFromS3.py --loco 4012 --day 2017-11-04</v>
      </c>
      <c r="AN81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24"/>
        <v>https://d0f6bd738d7f1b3e5a7ca70fe4ff75f0.us-east-1.aws.found.io/app/kibana#/discover/Steve-Slow-Train-Analysis-(2080s-and-2083s)?_g=(refreshInterval:(display:Off,pause:!f,section:0,value:0),time:(from:'2017-11-04T11:09:33-0600',mode:absolute,to:'2017-11-04T13:57:35-0600'))&amp;_a=(columns:!('Message%20ID',Summary),filters:!(),index:'emp_*',interval:auto,query:(query_string:(analyze_wildcard:!t,query:'%22rtdc.l.rtdc.4012%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773</v>
      </c>
      <c r="B82" s="7">
        <v>4011</v>
      </c>
      <c r="C82" s="21" t="s">
        <v>192</v>
      </c>
      <c r="D82" s="21" t="s">
        <v>491</v>
      </c>
      <c r="E82" s="13">
        <v>43043.548981481479</v>
      </c>
      <c r="F82" s="13">
        <v>43043.550729166665</v>
      </c>
      <c r="G82" s="7">
        <v>96</v>
      </c>
      <c r="H82" s="21" t="s">
        <v>609</v>
      </c>
      <c r="I82" s="13">
        <v>43043.578530092593</v>
      </c>
      <c r="J82" s="7">
        <v>0</v>
      </c>
      <c r="K82" s="89" t="str">
        <f>IF(ISEVEN(B82),(B82-1)&amp;"/"&amp;B82,B82&amp;"/"&amp;(B82+1))</f>
        <v>4011/4012</v>
      </c>
      <c r="L82" s="185" t="str">
        <f>VLOOKUP(A82,'Trips&amp;Operators'!$C$1:$G$99911,5,FALSE)</f>
        <v>BERLING GARY</v>
      </c>
      <c r="M82" s="6">
        <f>I82-F82</f>
        <v>2.7800925927294884E-2</v>
      </c>
      <c r="N82" s="7">
        <f>24*60*SUM($M82:$M82)</f>
        <v>40.033333335304633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-04T12:10:32-0600',mode:absolute,to:'2017-11-04T14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23.295200000000001</v>
      </c>
      <c r="Z82" s="204">
        <f>RIGHT(H82,LEN(H82)-4)/10000</f>
        <v>3.1300000000000001E-2</v>
      </c>
      <c r="AA82" s="204">
        <f>ABS(Z82-Y82)</f>
        <v>23.2639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/stypes="app*4011*20171104*"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20"/>
        <v>"%USERPROFILE%\Documents\GitHub\eaglep3\Utilities\RefineRTDCRunTimes.py" --tripid 170-04 --locoid 4011 --swversion DE.1.0.9.0 --startMP 204:232952 --initTime 2017-11-04T13:10:32 --startdatetime 2017-11-04T13:13:03 --delay 96 --endMP 204:313 --enddatetime 2017-11-04T13:53:05 --enforcementcount 0 &gt;&gt;%USERPROFILE%\Documents\GitHub\eaglep3-reporting\EC\2017-11-04-refined-times.txt</v>
      </c>
      <c r="AI8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{"issue":{"subject":"","project_id":79,"tracker_id":40,"status_id":1,"priority_id":2,"assigned_to_id":338,"start_date":"2017-11-04","description":"","custom_fields":[{"id":1,"name":"Subdivision","value":"EC"},{"id":4,"name":"Milepost","value":"0.0313"},{"id":17,"name":"Train ID","value":"170-04"},{"id":16,"name":"Locomotive ID","value":"4011"},{"id":130,"name":"Impact","value":""},{"id":150,"name":"Time of Event (Mountain Time)","value":"13:53:05"},{"id":151,"name":"Denver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22"/>
        <v>start /low /b %USERPROFILE%\Documents\GitHub\eaglep3\Utilities\DownloadLogsFromS3.py --loco 4011 --day 2017-11-04</v>
      </c>
      <c r="AN82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24"/>
        <v>https://d0f6bd738d7f1b3e5a7ca70fe4ff75f0.us-east-1.aws.found.io/app/kibana#/discover/Steve-Slow-Train-Analysis-(2080s-and-2083s)?_g=(refreshInterval:(display:Off,pause:!f,section:0,value:0),time:(from:'2017-11-04T12:10:32-0600',mode:absolute,to:'2017-11-04T14:53:05-0600'))&amp;_a=(columns:!('Message%20ID',Summary),filters:!(),index:'emp_*',interval:auto,query:(query_string:(analyze_wildcard:!t,query:'%22rtdc.l.rtdc.4011%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767</v>
      </c>
      <c r="B83" s="7">
        <v>4020</v>
      </c>
      <c r="C83" s="21" t="s">
        <v>192</v>
      </c>
      <c r="D83" s="21" t="s">
        <v>527</v>
      </c>
      <c r="E83" s="13">
        <v>43043.516585648147</v>
      </c>
      <c r="F83" s="13">
        <v>43043.521006944444</v>
      </c>
      <c r="G83" s="7">
        <v>74</v>
      </c>
      <c r="H83" s="21" t="s">
        <v>939</v>
      </c>
      <c r="I83" s="13">
        <v>43043.546631944446</v>
      </c>
      <c r="J83" s="7">
        <v>0</v>
      </c>
      <c r="K83" s="89" t="str">
        <f>IF(ISEVEN(B83),(B83-1)&amp;"/"&amp;B83,B83&amp;"/"&amp;(B83+1))</f>
        <v>4019/4020</v>
      </c>
      <c r="L83" s="185" t="str">
        <f>VLOOKUP(A83,'Trips&amp;Operators'!$C$1:$G$99911,5,FALSE)</f>
        <v>BRUDER RICHARD</v>
      </c>
      <c r="M83" s="6">
        <f>I83-F83</f>
        <v>2.5625000002037268E-2</v>
      </c>
      <c r="N83" s="7">
        <f>24*60*SUM($M83:$M83)</f>
        <v>36.900000002933666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-04T11:23:53-0600',mode:absolute,to:'2017-11-04T14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5.2600000000000001E-2</v>
      </c>
      <c r="Z83" s="204">
        <f>RIGHT(H83,LEN(H83)-4)/10000</f>
        <v>23.320599999999999</v>
      </c>
      <c r="AA83" s="204">
        <f>ABS(Z83-Y83)</f>
        <v>23.267999999999997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/stypes="app*4020*20171104*"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20"/>
        <v>"%USERPROFILE%\Documents\GitHub\eaglep3\Utilities\RefineRTDCRunTimes.py" --tripid 171-04 --locoid 4020 --swversion DE.1.0.9.0 --startMP 204:526 --initTime 2017-11-04T12:23:53 --startdatetime 2017-11-04T12:30:15 --delay 74 --endMP 204:233206 --enddatetime 2017-11-04T13:07:09 --enforcementcount 0 &gt;&gt;%USERPROFILE%\Documents\GitHub\eaglep3-reporting\EC\2017-11-04-refined-times.txt</v>
      </c>
      <c r="AI8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{"issue":{"subject":"","project_id":79,"tracker_id":40,"status_id":1,"priority_id":2,"assigned_to_id":338,"start_date":"2017-11-04","description":"","custom_fields":[{"id":1,"name":"Subdivision","value":"EC"},{"id":4,"name":"Milepost","value":"23.3206"},{"id":17,"name":"Train ID","value":"171-04"},{"id":16,"name":"Locomotive ID","value":"4020"},{"id":130,"name":"Impact","value":""},{"id":150,"name":"Time of Event (Mountain Time)","value":"13:07:09"},{"id":151,"name":"Denver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22"/>
        <v>start /low /b %USERPROFILE%\Documents\GitHub\eaglep3\Utilities\DownloadLogsFromS3.py --loco 4020 --day 2017-11-04</v>
      </c>
      <c r="AN83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24"/>
        <v>https://d0f6bd738d7f1b3e5a7ca70fe4ff75f0.us-east-1.aws.found.io/app/kibana#/discover/Steve-Slow-Train-Analysis-(2080s-and-2083s)?_g=(refreshInterval:(display:Off,pause:!f,section:0,value:0),time:(from:'2017-11-04T11:23:53-0600',mode:absolute,to:'2017-11-04T14:07:09-0600'))&amp;_a=(columns:!('Message%20ID',Summary),filters:!(),index:'emp_*',interval:auto,query:(query_string:(analyze_wildcard:!t,query:'%22rtdc.l.rtdc.4020%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776</v>
      </c>
      <c r="B84" s="7">
        <v>4019</v>
      </c>
      <c r="C84" s="21" t="s">
        <v>192</v>
      </c>
      <c r="D84" s="21" t="s">
        <v>520</v>
      </c>
      <c r="E84" s="13">
        <v>43043.557106481479</v>
      </c>
      <c r="F84" s="13">
        <v>43043.560648148145</v>
      </c>
      <c r="G84" s="7">
        <v>68</v>
      </c>
      <c r="H84" s="21" t="s">
        <v>398</v>
      </c>
      <c r="I84" s="13">
        <v>43043.586273148147</v>
      </c>
      <c r="J84" s="7">
        <v>0</v>
      </c>
      <c r="K84" s="89" t="str">
        <f>IF(ISEVEN(B84),(B84-1)&amp;"/"&amp;B84,B84&amp;"/"&amp;(B84+1))</f>
        <v>4019/4020</v>
      </c>
      <c r="L84" s="185" t="str">
        <f>VLOOKUP(A84,'Trips&amp;Operators'!$C$1:$G$99911,5,FALSE)</f>
        <v>BRUDER RICHARD</v>
      </c>
      <c r="M84" s="6">
        <f>I84-F84</f>
        <v>2.5625000002037268E-2</v>
      </c>
      <c r="N84" s="7">
        <f>24*60*SUM($M84:$M84)</f>
        <v>36.900000002933666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-04T12:22:14-0600',mode:absolute,to:'2017-11-04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23.2898</v>
      </c>
      <c r="Z84" s="204">
        <f>RIGHT(H84,LEN(H84)-4)/10000</f>
        <v>2.2499999999999999E-2</v>
      </c>
      <c r="AA84" s="204">
        <f>ABS(Z84-Y84)</f>
        <v>23.267299999999999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/stypes="app*4019*20171104*"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20"/>
        <v>"%USERPROFILE%\Documents\GitHub\eaglep3\Utilities\RefineRTDCRunTimes.py" --tripid 172-04 --locoid 4019 --swversion DE.1.0.9.0 --startMP 204:232898 --initTime 2017-11-04T13:22:14 --startdatetime 2017-11-04T13:27:20 --delay 68 --endMP 204:225 --enddatetime 2017-11-04T14:04:14 --enforcementcount 0 &gt;&gt;%USERPROFILE%\Documents\GitHub\eaglep3-reporting\EC\2017-11-04-refined-times.txt</v>
      </c>
      <c r="AI8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{"issue":{"subject":"","project_id":79,"tracker_id":40,"status_id":1,"priority_id":2,"assigned_to_id":338,"start_date":"2017-11-04","description":"","custom_fields":[{"id":1,"name":"Subdivision","value":"EC"},{"id":4,"name":"Milepost","value":"0.0225"},{"id":17,"name":"Train ID","value":"172-04"},{"id":16,"name":"Locomotive ID","value":"4019"},{"id":130,"name":"Impact","value":""},{"id":150,"name":"Time of Event (Mountain Time)","value":"14:04:14"},{"id":151,"name":"Denver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22"/>
        <v>start /low /b %USERPROFILE%\Documents\GitHub\eaglep3\Utilities\DownloadLogsFromS3.py --loco 4019 --day 2017-11-04</v>
      </c>
      <c r="AN84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24"/>
        <v>https://d0f6bd738d7f1b3e5a7ca70fe4ff75f0.us-east-1.aws.found.io/app/kibana#/discover/Steve-Slow-Train-Analysis-(2080s-and-2083s)?_g=(refreshInterval:(display:Off,pause:!f,section:0,value:0),time:(from:'2017-11-04T12:22:14-0600',mode:absolute,to:'2017-11-04T15:04:14-0600'))&amp;_a=(columns:!('Message%20ID',Summary),filters:!(),index:'emp_*',interval:auto,query:(query_string:(analyze_wildcard:!t,query:'%22rtdc.l.rtdc.4019%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769</v>
      </c>
      <c r="B85" s="7">
        <v>4066</v>
      </c>
      <c r="C85" s="21" t="s">
        <v>192</v>
      </c>
      <c r="D85" s="21" t="s">
        <v>530</v>
      </c>
      <c r="E85" s="13">
        <v>43043.527083333334</v>
      </c>
      <c r="F85" s="13">
        <v>43043.5315162037</v>
      </c>
      <c r="G85" s="7">
        <v>226</v>
      </c>
      <c r="H85" s="21" t="s">
        <v>632</v>
      </c>
      <c r="I85" s="13">
        <v>43043.556273148148</v>
      </c>
      <c r="J85" s="7">
        <v>0</v>
      </c>
      <c r="K85" s="89" t="str">
        <f>IF(ISEVEN(B85),(B85-1)&amp;"/"&amp;B85,B85&amp;"/"&amp;(B85+1))</f>
        <v>4065/4066</v>
      </c>
      <c r="L85" s="185" t="str">
        <f>VLOOKUP(A85,'Trips&amp;Operators'!$C$1:$G$99911,5,FALSE)</f>
        <v>HOLCOMB KAMDEN</v>
      </c>
      <c r="M85" s="6">
        <f>I85-F85</f>
        <v>2.4756944447290152E-2</v>
      </c>
      <c r="N85" s="7">
        <f>24*60*SUM($M85:$M85)</f>
        <v>35.650000004097819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-04T11:39:00-0600',mode:absolute,to:'2017-11-04T14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5.1700000000000003E-2</v>
      </c>
      <c r="Z85" s="204">
        <f>RIGHT(H85,LEN(H85)-4)/10000</f>
        <v>23.315899999999999</v>
      </c>
      <c r="AA85" s="204">
        <f>ABS(Z85-Y85)</f>
        <v>23.264199999999999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/stypes="app*4066*20171104*"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20"/>
        <v>"%USERPROFILE%\Documents\GitHub\eaglep3\Utilities\RefineRTDCRunTimes.py" --tripid 173-04 --locoid 4066 --swversion DE.1.0.9.0 --startMP 204:517 --initTime 2017-11-04T12:39:00 --startdatetime 2017-11-04T12:45:23 --delay 226 --endMP 204:233159 --enddatetime 2017-11-04T13:21:02 --enforcementcount 0 &gt;&gt;%USERPROFILE%\Documents\GitHub\eaglep3-reporting\EC\2017-11-04-refined-times.txt</v>
      </c>
      <c r="AI8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{"issue":{"subject":"","project_id":79,"tracker_id":40,"status_id":1,"priority_id":2,"assigned_to_id":338,"start_date":"2017-11-04","description":"","custom_fields":[{"id":1,"name":"Subdivision","value":"EC"},{"id":4,"name":"Milepost","value":"23.3159"},{"id":17,"name":"Train ID","value":"173-04"},{"id":16,"name":"Locomotive ID","value":"4066"},{"id":130,"name":"Impact","value":""},{"id":150,"name":"Time of Event (Mountain Time)","value":"13:21:02"},{"id":151,"name":"Denver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22"/>
        <v>start /low /b %USERPROFILE%\Documents\GitHub\eaglep3\Utilities\DownloadLogsFromS3.py --loco 4066 --day 2017-11-04</v>
      </c>
      <c r="AN85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24"/>
        <v>https://d0f6bd738d7f1b3e5a7ca70fe4ff75f0.us-east-1.aws.found.io/app/kibana#/discover/Steve-Slow-Train-Analysis-(2080s-and-2083s)?_g=(refreshInterval:(display:Off,pause:!f,section:0,value:0),time:(from:'2017-11-04T11:39:00-0600',mode:absolute,to:'2017-11-04T14:21:02-0600'))&amp;_a=(columns:!('Message%20ID',Summary),filters:!(),index:'emp_*',interval:auto,query:(query_string:(analyze_wildcard:!t,query:'%22rtdc.l.rtdc.4066%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778</v>
      </c>
      <c r="B86" s="7">
        <v>4065</v>
      </c>
      <c r="C86" s="21" t="s">
        <v>192</v>
      </c>
      <c r="D86" s="21" t="s">
        <v>940</v>
      </c>
      <c r="E86" s="13">
        <v>43043.56695601852</v>
      </c>
      <c r="F86" s="13">
        <v>43043.571284722224</v>
      </c>
      <c r="G86" s="7">
        <v>76</v>
      </c>
      <c r="H86" s="21" t="s">
        <v>625</v>
      </c>
      <c r="I86" s="13">
        <v>43043.59815972222</v>
      </c>
      <c r="J86" s="7">
        <v>0</v>
      </c>
      <c r="K86" s="89" t="str">
        <f>IF(ISEVEN(B86),(B86-1)&amp;"/"&amp;B86,B86&amp;"/"&amp;(B86+1))</f>
        <v>4065/4066</v>
      </c>
      <c r="L86" s="185" t="str">
        <f>VLOOKUP(A86,'Trips&amp;Operators'!$C$1:$G$99911,5,FALSE)</f>
        <v>HOLCOMB KAMDEN</v>
      </c>
      <c r="M86" s="6">
        <f>I86-F86</f>
        <v>2.6874999995925464E-2</v>
      </c>
      <c r="N86" s="7">
        <f>24*60*SUM($M86:$M86)</f>
        <v>38.699999994132668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-04T12:36:25-0600',mode:absolute,to:'2017-11-04T15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23.283799999999999</v>
      </c>
      <c r="Z86" s="204">
        <f>RIGHT(H86,LEN(H86)-4)/10000</f>
        <v>2.5399999999999999E-2</v>
      </c>
      <c r="AA86" s="204">
        <f>ABS(Z86-Y86)</f>
        <v>23.258399999999998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/stypes="app*4065*20171104*"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20"/>
        <v>"%USERPROFILE%\Documents\GitHub\eaglep3\Utilities\RefineRTDCRunTimes.py" --tripid 174-04 --locoid 4065 --swversion DE.1.0.9.0 --startMP 204:232838 --initTime 2017-11-04T13:36:25 --startdatetime 2017-11-04T13:42:39 --delay 76 --endMP 204:254 --enddatetime 2017-11-04T14:21:21 --enforcementcount 0 &gt;&gt;%USERPROFILE%\Documents\GitHub\eaglep3-reporting\EC\2017-11-04-refined-times.txt</v>
      </c>
      <c r="AI8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{"issue":{"subject":"","project_id":79,"tracker_id":40,"status_id":1,"priority_id":2,"assigned_to_id":338,"start_date":"2017-11-04","description":"","custom_fields":[{"id":1,"name":"Subdivision","value":"EC"},{"id":4,"name":"Milepost","value":"0.0254"},{"id":17,"name":"Train ID","value":"174-04"},{"id":16,"name":"Locomotive ID","value":"4065"},{"id":130,"name":"Impact","value":""},{"id":150,"name":"Time of Event (Mountain Time)","value":"14:21:21"},{"id":151,"name":"Denver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22"/>
        <v>start /low /b %USERPROFILE%\Documents\GitHub\eaglep3\Utilities\DownloadLogsFromS3.py --loco 4065 --day 2017-11-04</v>
      </c>
      <c r="AN86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24"/>
        <v>https://d0f6bd738d7f1b3e5a7ca70fe4ff75f0.us-east-1.aws.found.io/app/kibana#/discover/Steve-Slow-Train-Analysis-(2080s-and-2083s)?_g=(refreshInterval:(display:Off,pause:!f,section:0,value:0),time:(from:'2017-11-04T12:36:25-0600',mode:absolute,to:'2017-11-04T15:21:21-0600'))&amp;_a=(columns:!('Message%20ID',Summary),filters:!(),index:'emp_*',interval:auto,query:(query_string:(analyze_wildcard:!t,query:'%22rtdc.l.rtdc.4065%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771</v>
      </c>
      <c r="B87" s="7">
        <v>4036</v>
      </c>
      <c r="C87" s="21" t="s">
        <v>192</v>
      </c>
      <c r="D87" s="21" t="s">
        <v>623</v>
      </c>
      <c r="E87" s="13">
        <v>43043.537824074076</v>
      </c>
      <c r="F87" s="13">
        <v>43043.541909722226</v>
      </c>
      <c r="G87" s="7">
        <v>88</v>
      </c>
      <c r="H87" s="21" t="s">
        <v>941</v>
      </c>
      <c r="I87" s="13">
        <v>43043.566331018519</v>
      </c>
      <c r="J87" s="7">
        <v>0</v>
      </c>
      <c r="K87" s="89" t="str">
        <f>IF(ISEVEN(B87),(B87-1)&amp;"/"&amp;B87,B87&amp;"/"&amp;(B87+1))</f>
        <v>4035/4036</v>
      </c>
      <c r="L87" s="185" t="str">
        <f>VLOOKUP(A87,'Trips&amp;Operators'!$C$1:$G$99911,5,FALSE)</f>
        <v>GONZALEZ ARMANDO</v>
      </c>
      <c r="M87" s="6">
        <f>I87-F87</f>
        <v>2.4421296293439809E-2</v>
      </c>
      <c r="N87" s="7">
        <f>24*60*SUM($M87:$M87)</f>
        <v>35.166666662553325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-04T11:54:28-0600',mode:absolute,to:'2017-11-04T14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5.33E-2</v>
      </c>
      <c r="Z87" s="204">
        <f>RIGHT(H87,LEN(H87)-4)/10000</f>
        <v>23.316199999999998</v>
      </c>
      <c r="AA87" s="204">
        <f>ABS(Z87-Y87)</f>
        <v>23.262899999999998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/stypes="app*4036*20171104*"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20"/>
        <v>"%USERPROFILE%\Documents\GitHub\eaglep3\Utilities\RefineRTDCRunTimes.py" --tripid 175-04 --locoid 4036 --swversion DE.1.0.9.0 --startMP 204:533 --initTime 2017-11-04T12:54:28 --startdatetime 2017-11-04T13:00:21 --delay 88 --endMP 204:233162 --enddatetime 2017-11-04T13:35:31 --enforcementcount 0 &gt;&gt;%USERPROFILE%\Documents\GitHub\eaglep3-reporting\EC\2017-11-04-refined-times.txt</v>
      </c>
      <c r="AI87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{"issue":{"subject":"","project_id":79,"tracker_id":40,"status_id":1,"priority_id":2,"assigned_to_id":338,"start_date":"2017-11-04","description":"","custom_fields":[{"id":1,"name":"Subdivision","value":"EC"},{"id":4,"name":"Milepost","value":"23.3162"},{"id":17,"name":"Train ID","value":"175-04"},{"id":16,"name":"Locomotive ID","value":"4036"},{"id":130,"name":"Impact","value":""},{"id":150,"name":"Time of Event (Mountain Time)","value":"13:35:31"},{"id":151,"name":"Denver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22"/>
        <v>start /low /b %USERPROFILE%\Documents\GitHub\eaglep3\Utilities\DownloadLogsFromS3.py --loco 4036 --day 2017-11-04</v>
      </c>
      <c r="AN87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24"/>
        <v>https://d0f6bd738d7f1b3e5a7ca70fe4ff75f0.us-east-1.aws.found.io/app/kibana#/discover/Steve-Slow-Train-Analysis-(2080s-and-2083s)?_g=(refreshInterval:(display:Off,pause:!f,section:0,value:0),time:(from:'2017-11-04T11:54:28-0600',mode:absolute,to:'2017-11-04T14:35:31-0600'))&amp;_a=(columns:!('Message%20ID',Summary),filters:!(),index:'emp_*',interval:auto,query:(query_string:(analyze_wildcard:!t,query:'%22rtdc.l.rtdc.4036%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4035</v>
      </c>
      <c r="C88" s="21" t="s">
        <v>192</v>
      </c>
      <c r="D88" s="21" t="s">
        <v>942</v>
      </c>
      <c r="E88" s="13">
        <v>43043.577673611115</v>
      </c>
      <c r="F88" s="13">
        <v>43043.581574074073</v>
      </c>
      <c r="G88" s="7">
        <v>66</v>
      </c>
      <c r="H88" s="21" t="s">
        <v>943</v>
      </c>
      <c r="I88" s="13">
        <v>43043.607233796298</v>
      </c>
      <c r="J88" s="7">
        <v>0</v>
      </c>
      <c r="K88" s="89" t="str">
        <f>IF(ISEVEN(B88),(B88-1)&amp;"/"&amp;B88,B88&amp;"/"&amp;(B88+1))</f>
        <v>4035/4036</v>
      </c>
      <c r="L88" s="185" t="str">
        <f>VLOOKUP(A88,'Trips&amp;Operators'!$C$1:$G$99911,5,FALSE)</f>
        <v>GONZALEZ ARMANDO</v>
      </c>
      <c r="M88" s="6">
        <f>I88-F88</f>
        <v>2.5659722225100268E-2</v>
      </c>
      <c r="N88" s="7">
        <f>24*60*SUM($M88:$M88)</f>
        <v>36.950000004144385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-04T12:51:51-0600',mode:absolute,to:'2017-11-04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23.2849</v>
      </c>
      <c r="Z88" s="204">
        <f>RIGHT(H88,LEN(H88)-4)/10000</f>
        <v>2.23E-2</v>
      </c>
      <c r="AA88" s="204">
        <f>ABS(Z88-Y88)</f>
        <v>23.262599999999999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/stypes="app*4035*20171104*"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20"/>
        <v>"%USERPROFILE%\Documents\GitHub\eaglep3\Utilities\RefineRTDCRunTimes.py" --tripid 176-04 --locoid 4035 --swversion DE.1.0.9.0 --startMP 204:232849 --initTime 2017-11-04T13:51:51 --startdatetime 2017-11-04T13:57:28 --delay 66 --endMP 204:223 --enddatetime 2017-11-04T14:34:25 --enforcementcount 0 &gt;&gt;%USERPROFILE%\Documents\GitHub\eaglep3-reporting\EC\2017-11-04-refined-times.txt</v>
      </c>
      <c r="AI8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{"issue":{"subject":"","project_id":79,"tracker_id":40,"status_id":1,"priority_id":2,"assigned_to_id":338,"start_date":"2017-11-04","description":"","custom_fields":[{"id":1,"name":"Subdivision","value":"EC"},{"id":4,"name":"Milepost","value":"0.0223"},{"id":17,"name":"Train ID","value":"176-04"},{"id":16,"name":"Locomotive ID","value":"4035"},{"id":130,"name":"Impact","value":""},{"id":150,"name":"Time of Event (Mountain Time)","value":"14:34:25"},{"id":151,"name":"Denver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22"/>
        <v>start /low /b %USERPROFILE%\Documents\GitHub\eaglep3\Utilities\DownloadLogsFromS3.py --loco 4035 --day 2017-11-04</v>
      </c>
      <c r="AN88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24"/>
        <v>https://d0f6bd738d7f1b3e5a7ca70fe4ff75f0.us-east-1.aws.found.io/app/kibana#/discover/Steve-Slow-Train-Analysis-(2080s-and-2083s)?_g=(refreshInterval:(display:Off,pause:!f,section:0,value:0),time:(from:'2017-11-04T12:51:51-0600',mode:absolute,to:'2017-11-04T15:34:25-0600'))&amp;_a=(columns:!('Message%20ID',Summary),filters:!(),index:'emp_*',interval:auto,query:(query_string:(analyze_wildcard:!t,query:'%22rtdc.l.rtdc.4035%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774</v>
      </c>
      <c r="B89" s="7">
        <v>4046</v>
      </c>
      <c r="C89" s="21" t="s">
        <v>192</v>
      </c>
      <c r="D89" s="21" t="s">
        <v>633</v>
      </c>
      <c r="E89" s="13">
        <v>43043.550127314818</v>
      </c>
      <c r="F89" s="13">
        <v>43043.552395833336</v>
      </c>
      <c r="G89" s="7">
        <v>58</v>
      </c>
      <c r="H89" s="21" t="s">
        <v>944</v>
      </c>
      <c r="I89" s="13">
        <v>43043.576319444444</v>
      </c>
      <c r="J89" s="7">
        <v>0</v>
      </c>
      <c r="K89" s="89" t="str">
        <f>IF(ISEVEN(B89),(B89-1)&amp;"/"&amp;B89,B89&amp;"/"&amp;(B89+1))</f>
        <v>4045/4046</v>
      </c>
      <c r="L89" s="185" t="str">
        <f>VLOOKUP(A89,'Trips&amp;Operators'!$C$1:$G$99911,5,FALSE)</f>
        <v>SAFIEF AEIMEN</v>
      </c>
      <c r="M89" s="6">
        <f>I89-F89</f>
        <v>2.3923611108330078E-2</v>
      </c>
      <c r="N89" s="7">
        <f>24*60*SUM($M89:$M89)</f>
        <v>34.449999995995313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-04T12:12:11-0600',mode:absolute,to:'2017-11-04T14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4.8899999999999999E-2</v>
      </c>
      <c r="Z89" s="204">
        <f>RIGHT(H89,LEN(H89)-4)/10000</f>
        <v>23.3218</v>
      </c>
      <c r="AA89" s="204">
        <f>ABS(Z89-Y89)</f>
        <v>23.2729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/stypes="app*4046*20171104*"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20"/>
        <v>"%USERPROFILE%\Documents\GitHub\eaglep3\Utilities\RefineRTDCRunTimes.py" --tripid 177-04 --locoid 4046 --swversion DE.1.0.9.0 --startMP 204:489 --initTime 2017-11-04T13:12:11 --startdatetime 2017-11-04T13:15:27 --delay 58 --endMP 204:233218 --enddatetime 2017-11-04T13:49:54 --enforcementcount 0 &gt;&gt;%USERPROFILE%\Documents\GitHub\eaglep3-reporting\EC\2017-11-04-refined-times.txt</v>
      </c>
      <c r="AI89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{"issue":{"subject":"","project_id":79,"tracker_id":40,"status_id":1,"priority_id":2,"assigned_to_id":338,"start_date":"2017-11-04","description":"","custom_fields":[{"id":1,"name":"Subdivision","value":"EC"},{"id":4,"name":"Milepost","value":"23.3218"},{"id":17,"name":"Train ID","value":"177-04"},{"id":16,"name":"Locomotive ID","value":"4046"},{"id":130,"name":"Impact","value":""},{"id":150,"name":"Time of Event (Mountain Time)","value":"13:49:54"},{"id":151,"name":"Denver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22"/>
        <v>start /low /b %USERPROFILE%\Documents\GitHub\eaglep3\Utilities\DownloadLogsFromS3.py --loco 4046 --day 2017-11-04</v>
      </c>
      <c r="AN89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24"/>
        <v>https://d0f6bd738d7f1b3e5a7ca70fe4ff75f0.us-east-1.aws.found.io/app/kibana#/discover/Steve-Slow-Train-Analysis-(2080s-and-2083s)?_g=(refreshInterval:(display:Off,pause:!f,section:0,value:0),time:(from:'2017-11-04T12:12:11-0600',mode:absolute,to:'2017-11-04T14:49:54-0600'))&amp;_a=(columns:!('Message%20ID',Summary),filters:!(),index:'emp_*',interval:auto,query:(query_string:(analyze_wildcard:!t,query:'%22rtdc.l.rtdc.4046%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782</v>
      </c>
      <c r="B90" s="7">
        <v>4045</v>
      </c>
      <c r="C90" s="21" t="s">
        <v>192</v>
      </c>
      <c r="D90" s="21" t="s">
        <v>945</v>
      </c>
      <c r="E90" s="13">
        <v>43043.581562500003</v>
      </c>
      <c r="F90" s="13">
        <v>43043.592175925929</v>
      </c>
      <c r="G90" s="7">
        <v>71</v>
      </c>
      <c r="H90" s="21" t="s">
        <v>400</v>
      </c>
      <c r="I90" s="13">
        <v>43043.619016203702</v>
      </c>
      <c r="J90" s="7">
        <v>0</v>
      </c>
      <c r="K90" s="89" t="str">
        <f>IF(ISEVEN(B90),(B90-1)&amp;"/"&amp;B90,B90&amp;"/"&amp;(B90+1))</f>
        <v>4045/4046</v>
      </c>
      <c r="L90" s="185" t="str">
        <f>VLOOKUP(A90,'Trips&amp;Operators'!$C$1:$G$99911,5,FALSE)</f>
        <v>SAFIEF AEIMEN</v>
      </c>
      <c r="M90" s="6">
        <f>I90-F90</f>
        <v>2.6840277772862464E-2</v>
      </c>
      <c r="N90" s="7">
        <f>24*60*SUM($M90:$M90)</f>
        <v>38.649999992921948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-04T12:57:27-0600',mode:absolute,to:'2017-11-04T15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204" t="str">
        <f>IF(AA90&lt;VLOOKUP(AG90,Variables!$AC$3:$AD$8,2,FALSE),"Y","N")</f>
        <v>N</v>
      </c>
      <c r="X90" s="204">
        <f t="shared" ref="X90:X93" si="25">VALUE(LEFT(AD90,4))-VALUE(LEFT(AD89,4))</f>
        <v>1</v>
      </c>
      <c r="Y90" s="204">
        <f>RIGHT(D90,LEN(D90)-4)/10000</f>
        <v>23.290199999999999</v>
      </c>
      <c r="Z90" s="204">
        <f>RIGHT(H90,LEN(H90)-4)/10000</f>
        <v>2.6700000000000002E-2</v>
      </c>
      <c r="AA90" s="204">
        <f>ABS(Z90-Y90)</f>
        <v>23.263499999999997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/stypes="app*4045*20171104*"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20"/>
        <v>"%USERPROFILE%\Documents\GitHub\eaglep3\Utilities\RefineRTDCRunTimes.py" --tripid 178-04 --locoid 4045 --swversion DE.1.0.9.0 --startMP 204:232902 --initTime 2017-11-04T13:57:27 --startdatetime 2017-11-04T14:12:44 --delay 71 --endMP 204:267 --enddatetime 2017-11-04T14:51:23 --enforcementcount 0 &gt;&gt;%USERPROFILE%\Documents\GitHub\eaglep3-reporting\EC\2017-11-04-refined-times.txt</v>
      </c>
      <c r="AI90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{"issue":{"subject":"","project_id":79,"tracker_id":40,"status_id":1,"priority_id":2,"assigned_to_id":338,"start_date":"2017-11-04","description":"","custom_fields":[{"id":1,"name":"Subdivision","value":"EC"},{"id":4,"name":"Milepost","value":"0.0267"},{"id":17,"name":"Train ID","value":"178-04"},{"id":16,"name":"Locomotive ID","value":"4045"},{"id":130,"name":"Impact","value":""},{"id":150,"name":"Time of Event (Mountain Time)","value":"14:51:23"},{"id":151,"name":"Denver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22"/>
        <v>start /low /b %USERPROFILE%\Documents\GitHub\eaglep3\Utilities\DownloadLogsFromS3.py --loco 4045 --day 2017-11-04</v>
      </c>
      <c r="AN90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24"/>
        <v>https://d0f6bd738d7f1b3e5a7ca70fe4ff75f0.us-east-1.aws.found.io/app/kibana#/discover/Steve-Slow-Train-Analysis-(2080s-and-2083s)?_g=(refreshInterval:(display:Off,pause:!f,section:0,value:0),time:(from:'2017-11-04T12:57:27-0600',mode:absolute,to:'2017-11-04T15:51:23-0600'))&amp;_a=(columns:!('Message%20ID',Summary),filters:!(),index:'emp_*',interval:auto,query:(query_string:(analyze_wildcard:!t,query:'%22rtdc.l.rtdc.4045%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775</v>
      </c>
      <c r="B91" s="7">
        <v>4052</v>
      </c>
      <c r="C91" s="21" t="s">
        <v>192</v>
      </c>
      <c r="D91" s="21" t="s">
        <v>615</v>
      </c>
      <c r="E91" s="13">
        <v>43043.559398148151</v>
      </c>
      <c r="F91" s="13">
        <v>43043.562685185185</v>
      </c>
      <c r="G91" s="7">
        <v>82</v>
      </c>
      <c r="H91" s="21" t="s">
        <v>947</v>
      </c>
      <c r="I91" s="13">
        <v>43043.587418981479</v>
      </c>
      <c r="J91" s="7">
        <v>0</v>
      </c>
      <c r="K91" s="89" t="str">
        <f>IF(ISEVEN(B91),(B91-1)&amp;"/"&amp;B91,B91&amp;"/"&amp;(B91+1))</f>
        <v>4051/4052</v>
      </c>
      <c r="L91" s="185" t="str">
        <f>VLOOKUP(A91,'Trips&amp;Operators'!$C$1:$G$99911,5,FALSE)</f>
        <v>GUZMAN DANNY</v>
      </c>
      <c r="M91" s="6">
        <f>I91-F91</f>
        <v>2.4733796293730848E-2</v>
      </c>
      <c r="N91" s="7">
        <f>24*60*SUM($M91:$M91)</f>
        <v>35.61666666297242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-04T12:25:32-0600',mode:absolute,to:'2017-11-04T15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204" t="str">
        <f>IF(AA91&lt;VLOOKUP(AG91,Variables!$AC$3:$AD$8,2,FALSE),"Y","N")</f>
        <v>N</v>
      </c>
      <c r="X91" s="204">
        <f t="shared" si="25"/>
        <v>1</v>
      </c>
      <c r="Y91" s="204">
        <f>RIGHT(D91,LEN(D91)-4)/10000</f>
        <v>5.4600000000000003E-2</v>
      </c>
      <c r="Z91" s="204">
        <f>RIGHT(H91,LEN(H91)-4)/10000</f>
        <v>23.334399999999999</v>
      </c>
      <c r="AA91" s="204">
        <f>ABS(Z91-Y91)</f>
        <v>23.279799999999998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/stypes="app*4052*20171104*"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20"/>
        <v>"%USERPROFILE%\Documents\GitHub\eaglep3\Utilities\RefineRTDCRunTimes.py" --tripid 179-04 --locoid 4052 --swversion DE.1.0.9.0 --startMP 204:546 --initTime 2017-11-04T13:25:32 --startdatetime 2017-11-04T13:30:16 --delay 82 --endMP 204:233344 --enddatetime 2017-11-04T14:05:53 --enforcementcount 0 &gt;&gt;%USERPROFILE%\Documents\GitHub\eaglep3-reporting\EC\2017-11-04-refined-times.txt</v>
      </c>
      <c r="AI9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{"issue":{"subject":"","project_id":79,"tracker_id":40,"status_id":1,"priority_id":2,"assigned_to_id":338,"start_date":"2017-11-04","description":"","custom_fields":[{"id":1,"name":"Subdivision","value":"EC"},{"id":4,"name":"Milepost","value":"23.3344"},{"id":17,"name":"Train ID","value":"179-04"},{"id":16,"name":"Locomotive ID","value":"4052"},{"id":130,"name":"Impact","value":""},{"id":150,"name":"Time of Event (Mountain Time)","value":"14:05:53"},{"id":151,"name":"Denver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22"/>
        <v>start /low /b %USERPROFILE%\Documents\GitHub\eaglep3\Utilities\DownloadLogsFromS3.py --loco 4052 --day 2017-11-04</v>
      </c>
      <c r="AN91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24"/>
        <v>https://d0f6bd738d7f1b3e5a7ca70fe4ff75f0.us-east-1.aws.found.io/app/kibana#/discover/Steve-Slow-Train-Analysis-(2080s-and-2083s)?_g=(refreshInterval:(display:Off,pause:!f,section:0,value:0),time:(from:'2017-11-04T12:25:32-0600',mode:absolute,to:'2017-11-04T15:05:53-0600'))&amp;_a=(columns:!('Message%20ID',Summary),filters:!(),index:'emp_*',interval:auto,query:(query_string:(analyze_wildcard:!t,query:'%22rtdc.l.rtdc.4052%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784</v>
      </c>
      <c r="B92" s="7">
        <v>4051</v>
      </c>
      <c r="C92" s="21" t="s">
        <v>192</v>
      </c>
      <c r="D92" s="21" t="s">
        <v>948</v>
      </c>
      <c r="E92" s="13">
        <v>43043.590208333335</v>
      </c>
      <c r="F92" s="13">
        <v>43043.602256944447</v>
      </c>
      <c r="G92" s="7">
        <v>110</v>
      </c>
      <c r="H92" s="21" t="s">
        <v>376</v>
      </c>
      <c r="I92" s="13">
        <v>43043.628020833334</v>
      </c>
      <c r="J92" s="7">
        <v>0</v>
      </c>
      <c r="K92" s="89" t="str">
        <f>IF(ISEVEN(B92),(B92-1)&amp;"/"&amp;B92,B92&amp;"/"&amp;(B92+1))</f>
        <v>4051/4052</v>
      </c>
      <c r="L92" s="185" t="str">
        <f>VLOOKUP(A92,'Trips&amp;Operators'!$C$1:$G$99911,5,FALSE)</f>
        <v>DELGADO DIANAH</v>
      </c>
      <c r="M92" s="6">
        <f>I92-F92</f>
        <v>2.5763888887013309E-2</v>
      </c>
      <c r="N92" s="7">
        <f>24*60*SUM($M92:$M92)</f>
        <v>37.099999997299165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-04T13:09:54-0600',mode:absolute,to:'2017-11-04T16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2" s="204" t="str">
        <f>IF(AA92&lt;VLOOKUP(AG92,Variables!$AC$3:$AD$8,2,FALSE),"Y","N")</f>
        <v>N</v>
      </c>
      <c r="X92" s="204">
        <f t="shared" si="25"/>
        <v>1</v>
      </c>
      <c r="Y92" s="204">
        <f>RIGHT(D92,LEN(D92)-4)/10000</f>
        <v>23.3032</v>
      </c>
      <c r="Z92" s="204">
        <f>RIGHT(H92,LEN(H92)-4)/10000</f>
        <v>1.5599999999999999E-2</v>
      </c>
      <c r="AA92" s="204">
        <f>ABS(Z92-Y92)</f>
        <v>23.287600000000001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 &amp; aws s3 cp s3://rtdc.mdm.uploadarchive.raw/RTDC4051/ "%USERPROFILE%\AppData\Local\Temp\OnboardLogs"\RTDC4051\2017-11-05 --exclude "*" --recursive --include "*20171105*" &amp; "%USERPROFILE%\Documents\GitHub\mrs-test-scripts\Headless Mode &amp; Sideloading\WalkAndUnGZ.bat" "%USERPROFILE%\AppData\Local\Temp\OnboardLogs"\RTDC4051\2017-11-05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/stypes="app*4051*20171104*"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20"/>
        <v>"%USERPROFILE%\Documents\GitHub\eaglep3\Utilities\RefineRTDCRunTimes.py" --tripid 180-04 --locoid 4051 --swversion DE.1.0.9.0 --startMP 204:233032 --initTime 2017-11-04T14:09:54 --startdatetime 2017-11-04T14:27:15 --delay 110 --endMP 204:156 --enddatetime 2017-11-04T15:04:21 --enforcementcount 0 &gt;&gt;%USERPROFILE%\Documents\GitHub\eaglep3-reporting\EC\2017-11-04-refined-times.txt</v>
      </c>
      <c r="AI9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{"issue":{"subject":"","project_id":79,"tracker_id":40,"status_id":1,"priority_id":2,"assigned_to_id":338,"start_date":"2017-11-04","description":"","custom_fields":[{"id":1,"name":"Subdivision","value":"EC"},{"id":4,"name":"Milepost","value":"0.0156"},{"id":17,"name":"Train ID","value":"180-04"},{"id":16,"name":"Locomotive ID","value":"4051"},{"id":130,"name":"Impact","value":""},{"id":150,"name":"Time of Event (Mountain Time)","value":"15:04:21"},{"id":151,"name":"Denver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22"/>
        <v>start /low /b %USERPROFILE%\Documents\GitHub\eaglep3\Utilities\DownloadLogsFromS3.py --loco 4051 --day 2017-11-04</v>
      </c>
      <c r="AN92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24"/>
        <v>https://d0f6bd738d7f1b3e5a7ca70fe4ff75f0.us-east-1.aws.found.io/app/kibana#/discover/Steve-Slow-Train-Analysis-(2080s-and-2083s)?_g=(refreshInterval:(display:Off,pause:!f,section:0,value:0),time:(from:'2017-11-04T13:09:54-0600',mode:absolute,to:'2017-11-04T16:04:21-0600'))&amp;_a=(columns:!('Message%20ID',Summary),filters:!(),index:'emp_*',interval:auto,query:(query_string:(analyze_wildcard:!t,query:'%22rtdc.l.rtdc.4051%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4006</v>
      </c>
      <c r="C93" s="21" t="s">
        <v>192</v>
      </c>
      <c r="D93" s="21" t="s">
        <v>618</v>
      </c>
      <c r="E93" s="13">
        <v>43043.568854166668</v>
      </c>
      <c r="F93" s="13">
        <v>43043.573078703703</v>
      </c>
      <c r="G93" s="7">
        <v>61</v>
      </c>
      <c r="H93" s="21" t="s">
        <v>963</v>
      </c>
      <c r="I93" s="13">
        <v>43043.59784722222</v>
      </c>
      <c r="J93" s="7">
        <v>0</v>
      </c>
      <c r="K93" s="89" t="str">
        <f>IF(ISEVEN(B93),(B93-1)&amp;"/"&amp;B93,B93&amp;"/"&amp;(B93+1))</f>
        <v>4005/4006</v>
      </c>
      <c r="L93" s="185" t="str">
        <f>VLOOKUP(A93,'Trips&amp;Operators'!$C$1:$G$99911,5,FALSE)</f>
        <v>BADERTSCHER DIANE</v>
      </c>
      <c r="M93" s="6">
        <f>I93-F93</f>
        <v>2.4768518516793847E-2</v>
      </c>
      <c r="N93" s="7">
        <f>24*60*SUM($M93:$M93)</f>
        <v>35.66666666418314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-04T12:39:09-0600',mode:absolute,to:'2017-11-04T15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204" t="str">
        <f>IF(AA93&lt;VLOOKUP(AG93,Variables!$AC$3:$AD$8,2,FALSE),"Y","N")</f>
        <v>N</v>
      </c>
      <c r="X93" s="204">
        <f t="shared" si="25"/>
        <v>1</v>
      </c>
      <c r="Y93" s="204">
        <f>RIGHT(D93,LEN(D93)-4)/10000</f>
        <v>5.04E-2</v>
      </c>
      <c r="Z93" s="204">
        <f>RIGHT(H93,LEN(H93)-4)/10000</f>
        <v>23.328199999999999</v>
      </c>
      <c r="AA93" s="204">
        <f>ABS(Z93-Y93)</f>
        <v>23.277799999999999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/stypes="app*4006*20171104*"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20"/>
        <v>"%USERPROFILE%\Documents\GitHub\eaglep3\Utilities\RefineRTDCRunTimes.py" --tripid 181-04 --locoid 4006 --swversion DE.1.0.9.0 --startMP 204:504 --initTime 2017-11-04T13:39:09 --startdatetime 2017-11-04T13:45:14 --delay 61 --endMP 204:233282 --enddatetime 2017-11-04T14:20:54 --enforcementcount 0 &gt;&gt;%USERPROFILE%\Documents\GitHub\eaglep3-reporting\EC\2017-11-04-refined-times.txt</v>
      </c>
      <c r="AI9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{"issue":{"subject":"","project_id":79,"tracker_id":40,"status_id":1,"priority_id":2,"assigned_to_id":338,"start_date":"2017-11-04","description":"","custom_fields":[{"id":1,"name":"Subdivision","value":"EC"},{"id":4,"name":"Milepost","value":"23.3282"},{"id":17,"name":"Train ID","value":"181-04"},{"id":16,"name":"Locomotive ID","value":"4006"},{"id":130,"name":"Impact","value":""},{"id":150,"name":"Time of Event (Mountain Time)","value":"14:20:54"},{"id":151,"name":"Denver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22"/>
        <v>start /low /b %USERPROFILE%\Documents\GitHub\eaglep3\Utilities\DownloadLogsFromS3.py --loco 4006 --day 2017-11-04</v>
      </c>
      <c r="AN93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24"/>
        <v>https://d0f6bd738d7f1b3e5a7ca70fe4ff75f0.us-east-1.aws.found.io/app/kibana#/discover/Steve-Slow-Train-Analysis-(2080s-and-2083s)?_g=(refreshInterval:(display:Off,pause:!f,section:0,value:0),time:(from:'2017-11-04T12:39:09-0600',mode:absolute,to:'2017-11-04T15:20:54-0600'))&amp;_a=(columns:!('Message%20ID',Summary),filters:!(),index:'emp_*',interval:auto,query:(query_string:(analyze_wildcard:!t,query:'%22rtdc.l.rtdc.4006%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787</v>
      </c>
      <c r="B94" s="7">
        <v>4005</v>
      </c>
      <c r="C94" s="21" t="s">
        <v>192</v>
      </c>
      <c r="D94" s="21" t="s">
        <v>974</v>
      </c>
      <c r="E94" s="13">
        <v>43043.609247685185</v>
      </c>
      <c r="F94" s="13">
        <v>43043.612673611111</v>
      </c>
      <c r="G94" s="7">
        <v>65</v>
      </c>
      <c r="H94" s="21" t="s">
        <v>975</v>
      </c>
      <c r="I94" s="13">
        <v>43043.640798611108</v>
      </c>
      <c r="J94" s="7">
        <v>0</v>
      </c>
      <c r="K94" s="89" t="str">
        <f>IF(ISEVEN(B94),(B94-1)&amp;"/"&amp;B94,B94&amp;"/"&amp;(B94+1))</f>
        <v>4005/4006</v>
      </c>
      <c r="L94" s="185" t="str">
        <f>VLOOKUP(A94,'Trips&amp;Operators'!$C$1:$G$99911,5,FALSE)</f>
        <v>BADERTSCHER DIANE</v>
      </c>
      <c r="M94" s="6">
        <f>I94-F94</f>
        <v>2.8124999997089617E-2</v>
      </c>
      <c r="N94" s="7">
        <f>24*60*SUM($M94:$M94)</f>
        <v>40.499999995809048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-04T13:37:19-0600',mode:absolute,to:'2017-11-04T16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23.294</v>
      </c>
      <c r="Z94" s="204">
        <f>RIGHT(H94,LEN(H94)-4)/10000</f>
        <v>2.4199999999999999E-2</v>
      </c>
      <c r="AA94" s="204">
        <f>ABS(Z94-Y94)</f>
        <v>23.2698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/stypes="app*4005*20171104*"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20"/>
        <v>"%USERPROFILE%\Documents\GitHub\eaglep3\Utilities\RefineRTDCRunTimes.py" --tripid 182-04 --locoid 4005 --swversion DE.1.0.9.0 --startMP 204:232940 --initTime 2017-11-04T14:37:19 --startdatetime 2017-11-04T14:42:15 --delay 65 --endMP 204:242 --enddatetime 2017-11-04T15:22:45 --enforcementcount 0 &gt;&gt;%USERPROFILE%\Documents\GitHub\eaglep3-reporting\EC\2017-11-04-refined-times.txt</v>
      </c>
      <c r="AI9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{"issue":{"subject":"","project_id":79,"tracker_id":40,"status_id":1,"priority_id":2,"assigned_to_id":338,"start_date":"2017-11-04","description":"","custom_fields":[{"id":1,"name":"Subdivision","value":"EC"},{"id":4,"name":"Milepost","value":"0.0242"},{"id":17,"name":"Train ID","value":"182-04"},{"id":16,"name":"Locomotive ID","value":"4005"},{"id":130,"name":"Impact","value":""},{"id":150,"name":"Time of Event (Mountain Time)","value":"15:22:45"},{"id":151,"name":"Denver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22"/>
        <v>start /low /b %USERPROFILE%\Documents\GitHub\eaglep3\Utilities\DownloadLogsFromS3.py --loco 4005 --day 2017-11-04</v>
      </c>
      <c r="AN94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24"/>
        <v>https://d0f6bd738d7f1b3e5a7ca70fe4ff75f0.us-east-1.aws.found.io/app/kibana#/discover/Steve-Slow-Train-Analysis-(2080s-and-2083s)?_g=(refreshInterval:(display:Off,pause:!f,section:0,value:0),time:(from:'2017-11-04T13:37:19-0600',mode:absolute,to:'2017-11-04T16:22:45-0600'))&amp;_a=(columns:!('Message%20ID',Summary),filters:!(),index:'emp_*',interval:auto,query:(query_string:(analyze_wildcard:!t,query:'%22rtdc.l.rtdc.4005%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781</v>
      </c>
      <c r="B95" s="7">
        <v>4012</v>
      </c>
      <c r="C95" s="21" t="s">
        <v>192</v>
      </c>
      <c r="D95" s="21" t="s">
        <v>628</v>
      </c>
      <c r="E95" s="13">
        <v>43043.579861111109</v>
      </c>
      <c r="F95" s="13">
        <v>43043.583611111113</v>
      </c>
      <c r="G95" s="7">
        <v>73</v>
      </c>
      <c r="H95" s="21" t="s">
        <v>990</v>
      </c>
      <c r="I95" s="13">
        <v>43043.608611111114</v>
      </c>
      <c r="J95" s="7">
        <v>0</v>
      </c>
      <c r="K95" s="89" t="str">
        <f>IF(ISEVEN(B95),(B95-1)&amp;"/"&amp;B95,B95&amp;"/"&amp;(B95+1))</f>
        <v>4011/4012</v>
      </c>
      <c r="L95" s="185" t="str">
        <f>VLOOKUP(A95,'Trips&amp;Operators'!$C$1:$G$99911,5,FALSE)</f>
        <v>BERLING GARY</v>
      </c>
      <c r="M95" s="6">
        <f>I95-F95</f>
        <v>2.5000000001455192E-2</v>
      </c>
      <c r="N95" s="7">
        <f>24*60*SUM($M95:$M95)</f>
        <v>36.000000002095476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-04T12:55:00-0600',mode:absolute,to:'2017-11-04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5.5300000000000002E-2</v>
      </c>
      <c r="Z95" s="204">
        <f>RIGHT(H95,LEN(H95)-4)/10000</f>
        <v>23.327400000000001</v>
      </c>
      <c r="AA95" s="204">
        <f>ABS(Z95-Y95)</f>
        <v>23.272100000000002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/stypes="app*4012*20171104*"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20"/>
        <v>"%USERPROFILE%\Documents\GitHub\eaglep3\Utilities\RefineRTDCRunTimes.py" --tripid 183-04 --locoid 4012 --swversion DE.1.0.9.0 --startMP 204:553 --initTime 2017-11-04T13:55:00 --startdatetime 2017-11-04T14:00:24 --delay 73 --endMP 204:233274 --enddatetime 2017-11-04T14:36:24 --enforcementcount 0 &gt;&gt;%USERPROFILE%\Documents\GitHub\eaglep3-reporting\EC\2017-11-04-refined-times.txt</v>
      </c>
      <c r="AI9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{"issue":{"subject":"","project_id":79,"tracker_id":40,"status_id":1,"priority_id":2,"assigned_to_id":338,"start_date":"2017-11-04","description":"","custom_fields":[{"id":1,"name":"Subdivision","value":"EC"},{"id":4,"name":"Milepost","value":"23.3274"},{"id":17,"name":"Train ID","value":"183-04"},{"id":16,"name":"Locomotive ID","value":"4012"},{"id":130,"name":"Impact","value":""},{"id":150,"name":"Time of Event (Mountain Time)","value":"14:36:24"},{"id":151,"name":"Denver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22"/>
        <v>start /low /b %USERPROFILE%\Documents\GitHub\eaglep3\Utilities\DownloadLogsFromS3.py --loco 4012 --day 2017-11-04</v>
      </c>
      <c r="AN95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24"/>
        <v>https://d0f6bd738d7f1b3e5a7ca70fe4ff75f0.us-east-1.aws.found.io/app/kibana#/discover/Steve-Slow-Train-Analysis-(2080s-and-2083s)?_g=(refreshInterval:(display:Off,pause:!f,section:0,value:0),time:(from:'2017-11-04T12:55:00-0600',mode:absolute,to:'2017-11-04T15:36:24-0600'))&amp;_a=(columns:!('Message%20ID',Summary),filters:!(),index:'emp_*',interval:auto,query:(query_string:(analyze_wildcard:!t,query:'%22rtdc.l.rtdc.4012%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788</v>
      </c>
      <c r="B96" s="7">
        <v>4011</v>
      </c>
      <c r="C96" s="21" t="s">
        <v>192</v>
      </c>
      <c r="D96" s="21" t="s">
        <v>902</v>
      </c>
      <c r="E96" s="13">
        <v>43043.618125000001</v>
      </c>
      <c r="F96" s="13">
        <v>43043.623101851852</v>
      </c>
      <c r="G96" s="7">
        <v>102</v>
      </c>
      <c r="H96" s="21" t="s">
        <v>998</v>
      </c>
      <c r="I96" s="13">
        <v>43043.649675925924</v>
      </c>
      <c r="J96" s="7">
        <v>0</v>
      </c>
      <c r="K96" s="89" t="str">
        <f>IF(ISEVEN(B96),(B96-1)&amp;"/"&amp;B96,B96&amp;"/"&amp;(B96+1))</f>
        <v>4011/4012</v>
      </c>
      <c r="L96" s="185" t="str">
        <f>VLOOKUP(A96,'Trips&amp;Operators'!$C$1:$G$99911,5,FALSE)</f>
        <v>BERLING GARY</v>
      </c>
      <c r="M96" s="6">
        <f>I96-F96</f>
        <v>2.6574074072414078E-2</v>
      </c>
      <c r="N96" s="7">
        <f>24*60*SUM($M96:$M96)</f>
        <v>38.266666664276272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-04T13:50:06-0600',mode:absolute,to:'2017-11-04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23.295999999999999</v>
      </c>
      <c r="Z96" s="204">
        <f>RIGHT(H96,LEN(H96)-4)/10000</f>
        <v>2.9600000000000001E-2</v>
      </c>
      <c r="AA96" s="204">
        <f>ABS(Z96-Y96)</f>
        <v>23.266400000000001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/stypes="app*4011*20171104*"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20"/>
        <v>"%USERPROFILE%\Documents\GitHub\eaglep3\Utilities\RefineRTDCRunTimes.py" --tripid 184-04 --locoid 4011 --swversion DE.1.0.9.0 --startMP 204:232960 --initTime 2017-11-04T14:50:06 --startdatetime 2017-11-04T14:57:16 --delay 102 --endMP 204:296 --enddatetime 2017-11-04T15:35:32 --enforcementcount 0 &gt;&gt;%USERPROFILE%\Documents\GitHub\eaglep3-reporting\EC\2017-11-04-refined-times.txt</v>
      </c>
      <c r="AI9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{"issue":{"subject":"","project_id":79,"tracker_id":40,"status_id":1,"priority_id":2,"assigned_to_id":338,"start_date":"2017-11-04","description":"","custom_fields":[{"id":1,"name":"Subdivision","value":"EC"},{"id":4,"name":"Milepost","value":"0.0296"},{"id":17,"name":"Train ID","value":"184-04"},{"id":16,"name":"Locomotive ID","value":"4011"},{"id":130,"name":"Impact","value":""},{"id":150,"name":"Time of Event (Mountain Time)","value":"15:35:32"},{"id":151,"name":"Denver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22"/>
        <v>start /low /b %USERPROFILE%\Documents\GitHub\eaglep3\Utilities\DownloadLogsFromS3.py --loco 4011 --day 2017-11-04</v>
      </c>
      <c r="AN96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24"/>
        <v>https://d0f6bd738d7f1b3e5a7ca70fe4ff75f0.us-east-1.aws.found.io/app/kibana#/discover/Steve-Slow-Train-Analysis-(2080s-and-2083s)?_g=(refreshInterval:(display:Off,pause:!f,section:0,value:0),time:(from:'2017-11-04T13:50:06-0600',mode:absolute,to:'2017-11-04T16:35:32-0600'))&amp;_a=(columns:!('Message%20ID',Summary),filters:!(),index:'emp_*',interval:auto,query:(query_string:(analyze_wildcard:!t,query:'%22rtdc.l.rtdc.4011%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783</v>
      </c>
      <c r="B97" s="7">
        <v>4020</v>
      </c>
      <c r="C97" s="21" t="s">
        <v>192</v>
      </c>
      <c r="D97" s="21" t="s">
        <v>587</v>
      </c>
      <c r="E97" s="13">
        <v>43043.590428240743</v>
      </c>
      <c r="F97" s="13">
        <v>43043.593923611108</v>
      </c>
      <c r="G97" s="7">
        <v>49</v>
      </c>
      <c r="H97" s="21" t="s">
        <v>999</v>
      </c>
      <c r="I97" s="13">
        <v>43043.617384259262</v>
      </c>
      <c r="J97" s="7">
        <v>0</v>
      </c>
      <c r="K97" s="89" t="str">
        <f>IF(ISEVEN(B97),(B97-1)&amp;"/"&amp;B97,B97&amp;"/"&amp;(B97+1))</f>
        <v>4019/4020</v>
      </c>
      <c r="L97" s="185" t="str">
        <f>VLOOKUP(A97,'Trips&amp;Operators'!$C$1:$G$99911,5,FALSE)</f>
        <v>BRUDER RICHARD</v>
      </c>
      <c r="M97" s="6">
        <f>I97-F97</f>
        <v>2.3460648153559305E-2</v>
      </c>
      <c r="N97" s="7">
        <f>24*60*SUM($M97:$M97)</f>
        <v>33.783333341125399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-04T13:10:13-0600',mode:absolute,to:'2017-11-04T15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5.2400000000000002E-2</v>
      </c>
      <c r="Z97" s="204">
        <f>RIGHT(H97,LEN(H97)-4)/10000</f>
        <v>23.319500000000001</v>
      </c>
      <c r="AA97" s="204">
        <f>ABS(Z97-Y97)</f>
        <v>23.267100000000003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/stypes="app*4020*20171104*"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20"/>
        <v>"%USERPROFILE%\Documents\GitHub\eaglep3\Utilities\RefineRTDCRunTimes.py" --tripid 185-04 --locoid 4020 --swversion DE.1.0.9.0 --startMP 204:524 --initTime 2017-11-04T14:10:13 --startdatetime 2017-11-04T14:15:15 --delay 49 --endMP 204:233195 --enddatetime 2017-11-04T14:49:02 --enforcementcount 0 &gt;&gt;%USERPROFILE%\Documents\GitHub\eaglep3-reporting\EC\2017-11-04-refined-times.txt</v>
      </c>
      <c r="AI97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{"issue":{"subject":"","project_id":79,"tracker_id":40,"status_id":1,"priority_id":2,"assigned_to_id":338,"start_date":"2017-11-04","description":"","custom_fields":[{"id":1,"name":"Subdivision","value":"EC"},{"id":4,"name":"Milepost","value":"23.3195"},{"id":17,"name":"Train ID","value":"185-04"},{"id":16,"name":"Locomotive ID","value":"4020"},{"id":130,"name":"Impact","value":""},{"id":150,"name":"Time of Event (Mountain Time)","value":"14:49:02"},{"id":151,"name":"Denver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22"/>
        <v>start /low /b %USERPROFILE%\Documents\GitHub\eaglep3\Utilities\DownloadLogsFromS3.py --loco 4020 --day 2017-11-04</v>
      </c>
      <c r="AN97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24"/>
        <v>https://d0f6bd738d7f1b3e5a7ca70fe4ff75f0.us-east-1.aws.found.io/app/kibana#/discover/Steve-Slow-Train-Analysis-(2080s-and-2083s)?_g=(refreshInterval:(display:Off,pause:!f,section:0,value:0),time:(from:'2017-11-04T13:10:13-0600',mode:absolute,to:'2017-11-04T15:49:02-0600'))&amp;_a=(columns:!('Message%20ID',Summary),filters:!(),index:'emp_*',interval:auto,query:(query_string:(analyze_wildcard:!t,query:'%22rtdc.l.rtdc.4020%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792</v>
      </c>
      <c r="B98" s="7">
        <v>4019</v>
      </c>
      <c r="C98" s="21" t="s">
        <v>192</v>
      </c>
      <c r="D98" s="21" t="s">
        <v>923</v>
      </c>
      <c r="E98" s="13">
        <v>43043.63008101852</v>
      </c>
      <c r="F98" s="13">
        <v>43043.633530092593</v>
      </c>
      <c r="G98" s="7">
        <v>59</v>
      </c>
      <c r="H98" s="21" t="s">
        <v>975</v>
      </c>
      <c r="I98" s="13">
        <v>43043.659502314818</v>
      </c>
      <c r="J98" s="7">
        <v>0</v>
      </c>
      <c r="K98" s="89" t="str">
        <f>IF(ISEVEN(B98),(B98-1)&amp;"/"&amp;B98,B98&amp;"/"&amp;(B98+1))</f>
        <v>4019/4020</v>
      </c>
      <c r="L98" s="185" t="str">
        <f>VLOOKUP(A98,'Trips&amp;Operators'!$C$1:$G$99911,5,FALSE)</f>
        <v>BRUDER RICHARD</v>
      </c>
      <c r="M98" s="6">
        <f>I98-F98</f>
        <v>2.5972222225391306E-2</v>
      </c>
      <c r="N98" s="7">
        <f>24*60*SUM($M98:$M98)</f>
        <v>37.400000004563481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-04T14:07:19-0600',mode:absolute,to:'2017-11-04T16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23.288799999999998</v>
      </c>
      <c r="Z98" s="204">
        <f>RIGHT(H98,LEN(H98)-4)/10000</f>
        <v>2.4199999999999999E-2</v>
      </c>
      <c r="AA98" s="204">
        <f>ABS(Z98-Y98)</f>
        <v>23.264599999999998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/stypes="app*4019*20171104*"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20"/>
        <v>"%USERPROFILE%\Documents\GitHub\eaglep3\Utilities\RefineRTDCRunTimes.py" --tripid 186-04 --locoid 4019 --swversion DE.1.0.9.0 --startMP 204:232888 --initTime 2017-11-04T15:07:19 --startdatetime 2017-11-04T15:12:17 --delay 59 --endMP 204:242 --enddatetime 2017-11-04T15:49:41 --enforcementcount 0 &gt;&gt;%USERPROFILE%\Documents\GitHub\eaglep3-reporting\EC\2017-11-04-refined-times.txt</v>
      </c>
      <c r="AI9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{"issue":{"subject":"","project_id":79,"tracker_id":40,"status_id":1,"priority_id":2,"assigned_to_id":338,"start_date":"2017-11-04","description":"","custom_fields":[{"id":1,"name":"Subdivision","value":"EC"},{"id":4,"name":"Milepost","value":"0.0242"},{"id":17,"name":"Train ID","value":"186-04"},{"id":16,"name":"Locomotive ID","value":"4019"},{"id":130,"name":"Impact","value":""},{"id":150,"name":"Time of Event (Mountain Time)","value":"15:49:41"},{"id":151,"name":"Denver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22"/>
        <v>start /low /b %USERPROFILE%\Documents\GitHub\eaglep3\Utilities\DownloadLogsFromS3.py --loco 4019 --day 2017-11-04</v>
      </c>
      <c r="AN98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24"/>
        <v>https://d0f6bd738d7f1b3e5a7ca70fe4ff75f0.us-east-1.aws.found.io/app/kibana#/discover/Steve-Slow-Train-Analysis-(2080s-and-2083s)?_g=(refreshInterval:(display:Off,pause:!f,section:0,value:0),time:(from:'2017-11-04T14:07:19-0600',mode:absolute,to:'2017-11-04T16:49:41-0600'))&amp;_a=(columns:!('Message%20ID',Summary),filters:!(),index:'emp_*',interval:auto,query:(query_string:(analyze_wildcard:!t,query:'%22rtdc.l.rtdc.4019%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661</v>
      </c>
      <c r="B99" s="7">
        <v>4066</v>
      </c>
      <c r="C99" s="21" t="s">
        <v>192</v>
      </c>
      <c r="D99" s="21" t="s">
        <v>1000</v>
      </c>
      <c r="E99" s="13">
        <v>43043.600057870368</v>
      </c>
      <c r="F99" s="13">
        <v>43043.604421296295</v>
      </c>
      <c r="G99" s="7">
        <v>96</v>
      </c>
      <c r="H99" s="21" t="s">
        <v>939</v>
      </c>
      <c r="I99" s="13">
        <v>43043.629861111112</v>
      </c>
      <c r="J99" s="7">
        <v>0</v>
      </c>
      <c r="K99" s="89" t="str">
        <f>IF(ISEVEN(B99),(B99-1)&amp;"/"&amp;B99,B99&amp;"/"&amp;(B99+1))</f>
        <v>4065/4066</v>
      </c>
      <c r="L99" s="185" t="str">
        <f>VLOOKUP(A99,'Trips&amp;Operators'!$C$1:$G$99911,5,FALSE)</f>
        <v>STRICKLAND EVAN</v>
      </c>
      <c r="M99" s="6">
        <f>I99-F99</f>
        <v>2.5439814817218576E-2</v>
      </c>
      <c r="N99" s="7">
        <f>24*60*SUM($M99:$M99)</f>
        <v>36.633333336794749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-04T13:24:05-0600',mode:absolute,to:'2017-11-04T16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5.6800000000000003E-2</v>
      </c>
      <c r="Z99" s="204">
        <f>RIGHT(H99,LEN(H99)-4)/10000</f>
        <v>23.320599999999999</v>
      </c>
      <c r="AA99" s="204">
        <f>ABS(Z99-Y99)</f>
        <v>23.2638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/stypes="app*4066*20171104*"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20"/>
        <v>"%USERPROFILE%\Documents\GitHub\eaglep3\Utilities\RefineRTDCRunTimes.py" --tripid 187-04 --locoid 4066 --swversion DE.1.0.9.0 --startMP 204:568 --initTime 2017-11-04T14:24:05 --startdatetime 2017-11-04T14:30:22 --delay 96 --endMP 204:233206 --enddatetime 2017-11-04T15:07:00 --enforcementcount 0 &gt;&gt;%USERPROFILE%\Documents\GitHub\eaglep3-reporting\EC\2017-11-04-refined-times.txt</v>
      </c>
      <c r="AI99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{"issue":{"subject":"","project_id":79,"tracker_id":40,"status_id":1,"priority_id":2,"assigned_to_id":338,"start_date":"2017-11-04","description":"","custom_fields":[{"id":1,"name":"Subdivision","value":"EC"},{"id":4,"name":"Milepost","value":"23.3206"},{"id":17,"name":"Train ID","value":"187-04"},{"id":16,"name":"Locomotive ID","value":"4066"},{"id":130,"name":"Impact","value":""},{"id":150,"name":"Time of Event (Mountain Time)","value":"15:07:00"},{"id":151,"name":"Denver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22"/>
        <v>start /low /b %USERPROFILE%\Documents\GitHub\eaglep3\Utilities\DownloadLogsFromS3.py --loco 4066 --day 2017-11-04</v>
      </c>
      <c r="AN99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24"/>
        <v>https://d0f6bd738d7f1b3e5a7ca70fe4ff75f0.us-east-1.aws.found.io/app/kibana#/discover/Steve-Slow-Train-Analysis-(2080s-and-2083s)?_g=(refreshInterval:(display:Off,pause:!f,section:0,value:0),time:(from:'2017-11-04T13:24:05-0600',mode:absolute,to:'2017-11-04T16:07:00-0600'))&amp;_a=(columns:!('Message%20ID',Summary),filters:!(),index:'emp_*',interval:auto,query:(query_string:(analyze_wildcard:!t,query:'%22rtdc.l.rtdc.4066%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793</v>
      </c>
      <c r="B100" s="7">
        <v>4065</v>
      </c>
      <c r="C100" s="21" t="s">
        <v>192</v>
      </c>
      <c r="D100" s="21" t="s">
        <v>1000</v>
      </c>
      <c r="E100" s="13">
        <v>43043.600057870368</v>
      </c>
      <c r="F100" s="13">
        <v>43043.644120370373</v>
      </c>
      <c r="G100" s="7">
        <v>96</v>
      </c>
      <c r="H100" s="21" t="s">
        <v>939</v>
      </c>
      <c r="I100" s="13">
        <v>43043.670763888891</v>
      </c>
      <c r="J100" s="7">
        <v>0</v>
      </c>
      <c r="K100" s="89" t="str">
        <f>IF(ISEVEN(B100),(B100-1)&amp;"/"&amp;B100,B100&amp;"/"&amp;(B100+1))</f>
        <v>4065/4066</v>
      </c>
      <c r="L100" s="185" t="str">
        <f>VLOOKUP(A100,'Trips&amp;Operators'!$C$1:$G$99911,5,FALSE)</f>
        <v>STRICKLAND EVAN</v>
      </c>
      <c r="M100" s="6">
        <f>I100-F100</f>
        <v>2.6643518518540077E-2</v>
      </c>
      <c r="N100" s="7">
        <f>24*60*SUM($M100:$M100)</f>
        <v>38.366666666697711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-04T13:24:05-0600',mode:absolute,to:'2017-11-04T17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v>23.288799999999998</v>
      </c>
      <c r="Z100" s="204">
        <v>2.4199999999999999E-2</v>
      </c>
      <c r="AA100" s="204">
        <f>ABS(Z100-Y100)</f>
        <v>23.264599999999998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/stypes="app*4065*20171104*"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ref="AH100" si="26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188-04 --locoid 4065 --swversion DE.1.0.9.0 --startMP 204:568 --initTime 2017-11-04T14:24:05 --startdatetime 2017-11-04T15:27:32 --delay 96 --endMP 204:233206 --enddatetime 2017-11-04T16:05:54 --enforcementcount 0 &gt;&gt;%USERPROFILE%\Documents\GitHub\eaglep3-reporting\EC\2017-11-04-refined-times.txt</v>
      </c>
      <c r="AI100" s="96" t="str">
        <f t="shared" ref="AI100" si="27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{"issue":{"subject":"","project_id":79,"tracker_id":40,"status_id":1,"priority_id":2,"assigned_to_id":338,"start_date":"2017-11-04","description":"","custom_fields":[{"id":1,"name":"Subdivision","value":"EC"},{"id":4,"name":"Milepost","value":"0.0242"},{"id":17,"name":"Train ID","value":"188-04"},{"id":16,"name":"Locomotive ID","value":"4065"},{"id":130,"name":"Impact","value":""},{"id":150,"name":"Time of Event (Mountain Time)","value":"16:05:54"},{"id":151,"name":"Denver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ref="AM100" si="28">"start /low /b "&amp;dls3logs&amp;" --loco "&amp;B100&amp;" --day "&amp;TEXT(F100,"YYYY-MM-DD")</f>
        <v>start /low /b %USERPROFILE%\Documents\GitHub\eaglep3\Utilities\DownloadLogsFromS3.py --loco 4065 --day 2017-11-04</v>
      </c>
      <c r="AN100" s="151" t="str">
        <f t="shared" ref="AN100" si="29"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ref="AO100" si="30"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-04T13:24:05-0600',mode:absolute,to:'2017-11-04T17:05:54-0600'))&amp;_a=(columns:!('Message%20ID',Summary),filters:!(),index:'emp_*',interval:auto,query:(query_string:(analyze_wildcard:!t,query:'%22rtdc.l.rtdc.4065%22')),sort:!(Time.ISO8601,asc))</v>
      </c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</row>
    <row r="101" spans="1:91" s="1" customFormat="1" x14ac:dyDescent="0.25">
      <c r="A101" s="32" t="s">
        <v>786</v>
      </c>
      <c r="B101" s="7">
        <v>4036</v>
      </c>
      <c r="C101" s="21" t="s">
        <v>192</v>
      </c>
      <c r="D101" s="21" t="s">
        <v>527</v>
      </c>
      <c r="E101" s="13">
        <v>43043.608796296299</v>
      </c>
      <c r="F101" s="13">
        <v>43043.614791666667</v>
      </c>
      <c r="G101" s="7">
        <v>82</v>
      </c>
      <c r="H101" s="21" t="s">
        <v>944</v>
      </c>
      <c r="I101" s="13">
        <v>43043.639618055553</v>
      </c>
      <c r="J101" s="7">
        <v>0</v>
      </c>
      <c r="K101" s="89" t="str">
        <f>IF(ISEVEN(B101),(B101-1)&amp;"/"&amp;B101,B101&amp;"/"&amp;(B101+1))</f>
        <v>4035/4036</v>
      </c>
      <c r="L101" s="185" t="str">
        <f>VLOOKUP(A101,'Trips&amp;Operators'!$C$1:$G$99911,5,FALSE)</f>
        <v>DAVIDSON DAVID</v>
      </c>
      <c r="M101" s="6">
        <f>I101-F101</f>
        <v>2.4826388886140194E-2</v>
      </c>
      <c r="N101" s="7">
        <f>24*60*SUM($M101:$M101)</f>
        <v>35.749999996041879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-04T13:36:40-0600',mode:absolute,to:'2017-11-04T16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5.2600000000000001E-2</v>
      </c>
      <c r="Z101" s="204">
        <f>RIGHT(H101,LEN(H101)-4)/10000</f>
        <v>23.3218</v>
      </c>
      <c r="AA101" s="204">
        <f>ABS(Z101-Y101)</f>
        <v>23.269199999999998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/stypes="app*4036*20171104*"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20"/>
        <v>"%USERPROFILE%\Documents\GitHub\eaglep3\Utilities\RefineRTDCRunTimes.py" --tripid 189-04 --locoid 4036 --swversion DE.1.0.9.0 --startMP 204:526 --initTime 2017-11-04T14:36:40 --startdatetime 2017-11-04T14:45:18 --delay 82 --endMP 204:233218 --enddatetime 2017-11-04T15:21:03 --enforcementcount 0 &gt;&gt;%USERPROFILE%\Documents\GitHub\eaglep3-reporting\EC\2017-11-04-refined-times.txt</v>
      </c>
      <c r="AI10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{"issue":{"subject":"","project_id":79,"tracker_id":40,"status_id":1,"priority_id":2,"assigned_to_id":338,"start_date":"2017-11-04","description":"","custom_fields":[{"id":1,"name":"Subdivision","value":"EC"},{"id":4,"name":"Milepost","value":"23.3218"},{"id":17,"name":"Train ID","value":"189-04"},{"id":16,"name":"Locomotive ID","value":"4036"},{"id":130,"name":"Impact","value":""},{"id":150,"name":"Time of Event (Mountain Time)","value":"15:21:03"},{"id":151,"name":"Denver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22"/>
        <v>start /low /b %USERPROFILE%\Documents\GitHub\eaglep3\Utilities\DownloadLogsFromS3.py --loco 4036 --day 2017-11-04</v>
      </c>
      <c r="AN101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24"/>
        <v>https://d0f6bd738d7f1b3e5a7ca70fe4ff75f0.us-east-1.aws.found.io/app/kibana#/discover/Steve-Slow-Train-Analysis-(2080s-and-2083s)?_g=(refreshInterval:(display:Off,pause:!f,section:0,value:0),time:(from:'2017-11-04T13:36:40-0600',mode:absolute,to:'2017-11-04T16:21:03-0600'))&amp;_a=(columns:!('Message%20ID',Summary),filters:!(),index:'emp_*',interval:auto,query:(query_string:(analyze_wildcard:!t,query:'%22rtdc.l.rtdc.4036%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32" t="s">
        <v>794</v>
      </c>
      <c r="B102" s="7">
        <v>4035</v>
      </c>
      <c r="C102" s="21" t="s">
        <v>192</v>
      </c>
      <c r="D102" s="21" t="s">
        <v>527</v>
      </c>
      <c r="E102" s="13">
        <v>43043.608796296299</v>
      </c>
      <c r="F102" s="13">
        <v>43043.654432870368</v>
      </c>
      <c r="G102" s="7">
        <v>82</v>
      </c>
      <c r="H102" s="21" t="s">
        <v>944</v>
      </c>
      <c r="I102" s="13">
        <v>43043.681273148148</v>
      </c>
      <c r="J102" s="7">
        <v>0</v>
      </c>
      <c r="K102" s="89" t="str">
        <f>IF(ISEVEN(B102),(B102-1)&amp;"/"&amp;B102,B102&amp;"/"&amp;(B102+1))</f>
        <v>4035/4036</v>
      </c>
      <c r="L102" s="185" t="str">
        <f>VLOOKUP(A102,'Trips&amp;Operators'!$C$1:$G$99911,5,FALSE)</f>
        <v>DAVIDSON DAVID</v>
      </c>
      <c r="M102" s="6">
        <f>I102-F102</f>
        <v>2.6840277780138422E-2</v>
      </c>
      <c r="N102" s="7">
        <f>24*60*SUM($M102:$M102)</f>
        <v>38.650000003399327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-04T13:36:40-0600',mode:absolute,to:'2017-11-04T17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v>23.288799999999998</v>
      </c>
      <c r="Z102" s="204">
        <v>2.4199999999999999E-2</v>
      </c>
      <c r="AA102" s="204">
        <f>ABS(Z102-Y102)</f>
        <v>23.264599999999998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/stypes="app*4035*20171104*"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ref="AH102" si="31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190-04 --locoid 4035 --swversion DE.1.0.9.0 --startMP 204:526 --initTime 2017-11-04T14:36:40 --startdatetime 2017-11-04T15:42:23 --delay 82 --endMP 204:233218 --enddatetime 2017-11-04T16:21:02 --enforcementcount 0 &gt;&gt;%USERPROFILE%\Documents\GitHub\eaglep3-reporting\EC\2017-11-04-refined-times.txt</v>
      </c>
      <c r="AI102" s="96" t="str">
        <f t="shared" ref="AI102" si="32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{"issue":{"subject":"","project_id":79,"tracker_id":40,"status_id":1,"priority_id":2,"assigned_to_id":338,"start_date":"2017-11-04","description":"","custom_fields":[{"id":1,"name":"Subdivision","value":"EC"},{"id":4,"name":"Milepost","value":"0.0242"},{"id":17,"name":"Train ID","value":"190-04"},{"id":16,"name":"Locomotive ID","value":"4035"},{"id":130,"name":"Impact","value":""},{"id":150,"name":"Time of Event (Mountain Time)","value":"16:21:02"},{"id":151,"name":"Denver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ref="AM102" si="33">"start /low /b "&amp;dls3logs&amp;" --loco "&amp;B102&amp;" --day "&amp;TEXT(F102,"YYYY-MM-DD")</f>
        <v>start /low /b %USERPROFILE%\Documents\GitHub\eaglep3\Utilities\DownloadLogsFromS3.py --loco 4035 --day 2017-11-04</v>
      </c>
      <c r="AN102" s="151" t="str">
        <f t="shared" ref="AN102" si="34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35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-04T13:36:40-0600',mode:absolute,to:'2017-11-04T17:21:02-0600'))&amp;_a=(columns:!('Message%20ID',Summary),filters:!(),index:'emp_*',interval:auto,query:(query_string:(analyze_wildcard:!t,query:'%22rtdc.l.rtdc.4035%22')),sort:!(Time.ISO8601,asc))</v>
      </c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</row>
    <row r="103" spans="1:91" s="1" customFormat="1" x14ac:dyDescent="0.25">
      <c r="A103" s="32" t="s">
        <v>789</v>
      </c>
      <c r="B103" s="7">
        <v>4046</v>
      </c>
      <c r="C103" s="21" t="s">
        <v>192</v>
      </c>
      <c r="D103" s="21" t="s">
        <v>1003</v>
      </c>
      <c r="E103" s="13">
        <v>43043.621354166666</v>
      </c>
      <c r="F103" s="13">
        <v>43043.625254629631</v>
      </c>
      <c r="G103" s="7">
        <v>64</v>
      </c>
      <c r="H103" s="21" t="s">
        <v>1004</v>
      </c>
      <c r="I103" s="13">
        <v>43043.651400462964</v>
      </c>
      <c r="J103" s="7">
        <v>0</v>
      </c>
      <c r="K103" s="89" t="str">
        <f>IF(ISEVEN(B103),(B103-1)&amp;"/"&amp;B103,B103&amp;"/"&amp;(B103+1))</f>
        <v>4045/4046</v>
      </c>
      <c r="L103" s="185" t="str">
        <f>VLOOKUP(A103,'Trips&amp;Operators'!$C$1:$G$99911,5,FALSE)</f>
        <v>SAFIEF AEIMEN</v>
      </c>
      <c r="M103" s="6">
        <f>I103-F103</f>
        <v>2.6145833333430346E-2</v>
      </c>
      <c r="N103" s="7">
        <f>24*60*SUM($M103:$M103)</f>
        <v>37.650000000139698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-04T13:54:45-0600',mode:absolute,to:'2017-11-04T16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5.7099999999999998E-2</v>
      </c>
      <c r="Z103" s="204">
        <f>RIGHT(H103,LEN(H103)-4)/10000</f>
        <v>23.318300000000001</v>
      </c>
      <c r="AA103" s="204">
        <f>ABS(Z103-Y103)</f>
        <v>23.261200000000002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/stypes="app*4046*20171104*"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20"/>
        <v>"%USERPROFILE%\Documents\GitHub\eaglep3\Utilities\RefineRTDCRunTimes.py" --tripid 191-04 --locoid 4046 --swversion DE.1.0.9.0 --startMP 204:571 --initTime 2017-11-04T14:54:45 --startdatetime 2017-11-04T15:00:22 --delay 64 --endMP 204:233183 --enddatetime 2017-11-04T15:38:01 --enforcementcount 0 &gt;&gt;%USERPROFILE%\Documents\GitHub\eaglep3-reporting\EC\2017-11-04-refined-times.txt</v>
      </c>
      <c r="AI10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{"issue":{"subject":"","project_id":79,"tracker_id":40,"status_id":1,"priority_id":2,"assigned_to_id":338,"start_date":"2017-11-04","description":"","custom_fields":[{"id":1,"name":"Subdivision","value":"EC"},{"id":4,"name":"Milepost","value":"23.3183"},{"id":17,"name":"Train ID","value":"191-04"},{"id":16,"name":"Locomotive ID","value":"4046"},{"id":130,"name":"Impact","value":""},{"id":150,"name":"Time of Event (Mountain Time)","value":"15:38:01"},{"id":151,"name":"Denver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22"/>
        <v>start /low /b %USERPROFILE%\Documents\GitHub\eaglep3\Utilities\DownloadLogsFromS3.py --loco 4046 --day 2017-11-04</v>
      </c>
      <c r="AN103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24"/>
        <v>https://d0f6bd738d7f1b3e5a7ca70fe4ff75f0.us-east-1.aws.found.io/app/kibana#/discover/Steve-Slow-Train-Analysis-(2080s-and-2083s)?_g=(refreshInterval:(display:Off,pause:!f,section:0,value:0),time:(from:'2017-11-04T13:54:45-0600',mode:absolute,to:'2017-11-04T16:38:01-0600'))&amp;_a=(columns:!('Message%20ID',Summary),filters:!(),index:'emp_*',interval:auto,query:(query_string:(analyze_wildcard:!t,query:'%22rtdc.l.rtdc.4046%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32" t="s">
        <v>798</v>
      </c>
      <c r="B104" s="7">
        <v>4045</v>
      </c>
      <c r="C104" s="21" t="s">
        <v>192</v>
      </c>
      <c r="D104" s="21" t="s">
        <v>1005</v>
      </c>
      <c r="E104" s="13">
        <v>43043.655624999999</v>
      </c>
      <c r="F104" s="13">
        <v>43043.664756944447</v>
      </c>
      <c r="G104" s="7">
        <v>68</v>
      </c>
      <c r="H104" s="21" t="s">
        <v>606</v>
      </c>
      <c r="I104" s="13">
        <v>43043.69085648148</v>
      </c>
      <c r="J104" s="7">
        <v>0</v>
      </c>
      <c r="K104" s="89" t="str">
        <f>IF(ISEVEN(B104),(B104-1)&amp;"/"&amp;B104,B104&amp;"/"&amp;(B104+1))</f>
        <v>4045/4046</v>
      </c>
      <c r="L104" s="185" t="str">
        <f>VLOOKUP(A104,'Trips&amp;Operators'!$C$1:$G$99911,5,FALSE)</f>
        <v>SAFIEF AEIMEN</v>
      </c>
      <c r="M104" s="6">
        <f>I104-F104</f>
        <v>2.6099537033587694E-2</v>
      </c>
      <c r="N104" s="7">
        <f>24*60*SUM($M104:$M104)</f>
        <v>37.58333332836628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-04T14:44:06-0600',mode:absolute,to:'2017-11-04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23.286999999999999</v>
      </c>
      <c r="Z104" s="204">
        <f>RIGHT(H104,LEN(H104)-4)/10000</f>
        <v>2.4E-2</v>
      </c>
      <c r="AA104" s="204">
        <f>ABS(Z104-Y104)</f>
        <v>23.262999999999998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/stypes="app*4045*20171104*"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20"/>
        <v>"%USERPROFILE%\Documents\GitHub\eaglep3\Utilities\RefineRTDCRunTimes.py" --tripid 192-04 --locoid 4045 --swversion DE.1.0.9.0 --startMP 204:232870 --initTime 2017-11-04T15:44:06 --startdatetime 2017-11-04T15:57:15 --delay 68 --endMP 204:240 --enddatetime 2017-11-04T16:34:50 --enforcementcount 0 &gt;&gt;%USERPROFILE%\Documents\GitHub\eaglep3-reporting\EC\2017-11-04-refined-times.txt</v>
      </c>
      <c r="AI10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{"issue":{"subject":"","project_id":79,"tracker_id":40,"status_id":1,"priority_id":2,"assigned_to_id":338,"start_date":"2017-11-04","description":"","custom_fields":[{"id":1,"name":"Subdivision","value":"EC"},{"id":4,"name":"Milepost","value":"0.024"},{"id":17,"name":"Train ID","value":"192-04"},{"id":16,"name":"Locomotive ID","value":"4045"},{"id":130,"name":"Impact","value":""},{"id":150,"name":"Time of Event (Mountain Time)","value":"16:34:50"},{"id":151,"name":"Denver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0"/>
      <c r="AK104" s="47"/>
      <c r="AL104" s="47"/>
      <c r="AM104" s="142" t="str">
        <f t="shared" si="22"/>
        <v>start /low /b %USERPROFILE%\Documents\GitHub\eaglep3\Utilities\DownloadLogsFromS3.py --loco 4045 --day 2017-11-04</v>
      </c>
      <c r="AN104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24"/>
        <v>https://d0f6bd738d7f1b3e5a7ca70fe4ff75f0.us-east-1.aws.found.io/app/kibana#/discover/Steve-Slow-Train-Analysis-(2080s-and-2083s)?_g=(refreshInterval:(display:Off,pause:!f,section:0,value:0),time:(from:'2017-11-04T14:44:06-0600',mode:absolute,to:'2017-11-04T17:34:50-0600'))&amp;_a=(columns:!('Message%20ID',Summary),filters:!(),index:'emp_*',interval:auto,query:(query_string:(analyze_wildcard:!t,query:'%22rtdc.l.rtdc.4045%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32" t="s">
        <v>791</v>
      </c>
      <c r="B105" s="7">
        <v>4052</v>
      </c>
      <c r="C105" s="21" t="s">
        <v>192</v>
      </c>
      <c r="D105" s="21" t="s">
        <v>1006</v>
      </c>
      <c r="E105" s="13">
        <v>43043.62976851852</v>
      </c>
      <c r="F105" s="13">
        <v>43043.63559027778</v>
      </c>
      <c r="G105" s="7">
        <v>70</v>
      </c>
      <c r="H105" s="21" t="s">
        <v>1007</v>
      </c>
      <c r="I105" s="13">
        <v>43043.659490740742</v>
      </c>
      <c r="J105" s="7">
        <v>0</v>
      </c>
      <c r="K105" s="89" t="str">
        <f>IF(ISEVEN(B105),(B105-1)&amp;"/"&amp;B105,B105&amp;"/"&amp;(B105+1))</f>
        <v>4051/4052</v>
      </c>
      <c r="L105" s="185" t="str">
        <f>VLOOKUP(A105,'Trips&amp;Operators'!$C$1:$G$99911,5,FALSE)</f>
        <v>GUZMAN DANNY</v>
      </c>
      <c r="M105" s="6">
        <f>I105-F105</f>
        <v>2.3900462962046731E-2</v>
      </c>
      <c r="N105" s="7">
        <f>24*60*SUM($M105:$M105)</f>
        <v>34.416666665347293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-04T14:06:52-0600',mode:absolute,to:'2017-11-04T16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4.6399999999999997E-2</v>
      </c>
      <c r="Z105" s="204">
        <f>RIGHT(H105,LEN(H105)-4)/10000</f>
        <v>23.317399999999999</v>
      </c>
      <c r="AA105" s="204">
        <f>ABS(Z105-Y105)</f>
        <v>23.271000000000001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/stypes="app*4052*20171104*"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20"/>
        <v>"%USERPROFILE%\Documents\GitHub\eaglep3\Utilities\RefineRTDCRunTimes.py" --tripid 193-04 --locoid 4052 --swversion DE.1.0.9.0 --startMP 204:464 --initTime 2017-11-04T15:06:52 --startdatetime 2017-11-04T15:15:15 --delay 70 --endMP 204:233174 --enddatetime 2017-11-04T15:49:40 --enforcementcount 0 &gt;&gt;%USERPROFILE%\Documents\GitHub\eaglep3-reporting\EC\2017-11-04-refined-times.txt</v>
      </c>
      <c r="AI10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{"issue":{"subject":"","project_id":79,"tracker_id":40,"status_id":1,"priority_id":2,"assigned_to_id":338,"start_date":"2017-11-04","description":"","custom_fields":[{"id":1,"name":"Subdivision","value":"EC"},{"id":4,"name":"Milepost","value":"23.3174"},{"id":17,"name":"Train ID","value":"193-04"},{"id":16,"name":"Locomotive ID","value":"4052"},{"id":130,"name":"Impact","value":""},{"id":150,"name":"Time of Event (Mountain Time)","value":"15:49:40"},{"id":151,"name":"Denver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0"/>
      <c r="AK105" s="47"/>
      <c r="AL105" s="47"/>
      <c r="AM105" s="142" t="str">
        <f t="shared" si="22"/>
        <v>start /low /b %USERPROFILE%\Documents\GitHub\eaglep3\Utilities\DownloadLogsFromS3.py --loco 4052 --day 2017-11-04</v>
      </c>
      <c r="AN105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24"/>
        <v>https://d0f6bd738d7f1b3e5a7ca70fe4ff75f0.us-east-1.aws.found.io/app/kibana#/discover/Steve-Slow-Train-Analysis-(2080s-and-2083s)?_g=(refreshInterval:(display:Off,pause:!f,section:0,value:0),time:(from:'2017-11-04T14:06:52-0600',mode:absolute,to:'2017-11-04T16:49:40-0600'))&amp;_a=(columns:!('Message%20ID',Summary),filters:!(),index:'emp_*',interval:auto,query:(query_string:(analyze_wildcard:!t,query:'%22rtdc.l.rtdc.4052%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799</v>
      </c>
      <c r="B106" s="7">
        <v>4051</v>
      </c>
      <c r="C106" s="21" t="s">
        <v>192</v>
      </c>
      <c r="D106" s="21" t="s">
        <v>1008</v>
      </c>
      <c r="E106" s="13">
        <v>43043.66065972222</v>
      </c>
      <c r="F106" s="13">
        <v>43043.675162037034</v>
      </c>
      <c r="G106" s="7">
        <v>63</v>
      </c>
      <c r="H106" s="21" t="s">
        <v>624</v>
      </c>
      <c r="I106" s="13">
        <v>43043.701898148145</v>
      </c>
      <c r="J106" s="7">
        <v>0</v>
      </c>
      <c r="K106" s="89" t="str">
        <f>IF(ISEVEN(B106),(B106-1)&amp;"/"&amp;B106,B106&amp;"/"&amp;(B106+1))</f>
        <v>4051/4052</v>
      </c>
      <c r="L106" s="185" t="str">
        <f>VLOOKUP(A106,'Trips&amp;Operators'!$C$1:$G$99911,5,FALSE)</f>
        <v>GUZMAN DANNY</v>
      </c>
      <c r="M106" s="6">
        <f>I106-F106</f>
        <v>2.6736111110949423E-2</v>
      </c>
      <c r="N106" s="7">
        <f>24*60*SUM($M106:$M106)</f>
        <v>38.499999999767169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-04T14:51:21-0600',mode:absolute,to:'2017-11-04T17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23.2852</v>
      </c>
      <c r="Z106" s="204">
        <f>RIGHT(H106,LEN(H106)-4)/10000</f>
        <v>2.8199999999999999E-2</v>
      </c>
      <c r="AA106" s="204">
        <f>ABS(Z106-Y106)</f>
        <v>23.257000000000001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 &amp; aws s3 cp s3://rtdc.mdm.uploadarchive.raw/RTDC4051/ "%USERPROFILE%\AppData\Local\Temp\OnboardLogs"\RTDC4051\2017-11-05 --exclude "*" --recursive --include "*20171105*" &amp; "%USERPROFILE%\Documents\GitHub\mrs-test-scripts\Headless Mode &amp; Sideloading\WalkAndUnGZ.bat" "%USERPROFILE%\AppData\Local\Temp\OnboardLogs"\RTDC4051\2017-11-05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/stypes="app*4051*20171104*"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20"/>
        <v>"%USERPROFILE%\Documents\GitHub\eaglep3\Utilities\RefineRTDCRunTimes.py" --tripid 194-04 --locoid 4051 --swversion DE.1.0.9.0 --startMP 204:232852 --initTime 2017-11-04T15:51:21 --startdatetime 2017-11-04T16:12:14 --delay 63 --endMP 204:282 --enddatetime 2017-11-04T16:50:44 --enforcementcount 0 &gt;&gt;%USERPROFILE%\Documents\GitHub\eaglep3-reporting\EC\2017-11-04-refined-times.txt</v>
      </c>
      <c r="AI10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{"issue":{"subject":"","project_id":79,"tracker_id":40,"status_id":1,"priority_id":2,"assigned_to_id":338,"start_date":"2017-11-04","description":"","custom_fields":[{"id":1,"name":"Subdivision","value":"EC"},{"id":4,"name":"Milepost","value":"0.0282"},{"id":17,"name":"Train ID","value":"194-04"},{"id":16,"name":"Locomotive ID","value":"4051"},{"id":130,"name":"Impact","value":""},{"id":150,"name":"Time of Event (Mountain Time)","value":"16:50:44"},{"id":151,"name":"Denver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0"/>
      <c r="AK106" s="47"/>
      <c r="AL106" s="47"/>
      <c r="AM106" s="142" t="str">
        <f t="shared" si="22"/>
        <v>start /low /b %USERPROFILE%\Documents\GitHub\eaglep3\Utilities\DownloadLogsFromS3.py --loco 4051 --day 2017-11-04</v>
      </c>
      <c r="AN106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24"/>
        <v>https://d0f6bd738d7f1b3e5a7ca70fe4ff75f0.us-east-1.aws.found.io/app/kibana#/discover/Steve-Slow-Train-Analysis-(2080s-and-2083s)?_g=(refreshInterval:(display:Off,pause:!f,section:0,value:0),time:(from:'2017-11-04T14:51:21-0600',mode:absolute,to:'2017-11-04T17:50:44-0600'))&amp;_a=(columns:!('Message%20ID',Summary),filters:!(),index:'emp_*',interval:auto,query:(query_string:(analyze_wildcard:!t,query:'%22rtdc.l.rtdc.4051%22')),sort:!(Time.ISO8601,asc))</v>
      </c>
    </row>
    <row r="107" spans="1:91" s="20" customFormat="1" x14ac:dyDescent="0.25">
      <c r="A107" s="32" t="s">
        <v>795</v>
      </c>
      <c r="B107" s="7">
        <v>4006</v>
      </c>
      <c r="C107" s="21" t="s">
        <v>192</v>
      </c>
      <c r="D107" s="21" t="s">
        <v>1008</v>
      </c>
      <c r="E107" s="13">
        <v>43043.66065972222</v>
      </c>
      <c r="F107" s="13">
        <v>43043.645995370367</v>
      </c>
      <c r="G107" s="7">
        <v>63</v>
      </c>
      <c r="H107" s="21" t="s">
        <v>624</v>
      </c>
      <c r="I107" s="13">
        <v>43043.671365740738</v>
      </c>
      <c r="J107" s="7">
        <v>0</v>
      </c>
      <c r="K107" s="89" t="str">
        <f>IF(ISEVEN(B107),(B107-1)&amp;"/"&amp;B107,B107&amp;"/"&amp;(B107+1))</f>
        <v>4005/4006</v>
      </c>
      <c r="L107" s="185" t="str">
        <f>VLOOKUP(A107,'Trips&amp;Operators'!$C$1:$G$99911,5,FALSE)</f>
        <v>BADERTSCHER DIANE</v>
      </c>
      <c r="M107" s="6">
        <f>I107-F107</f>
        <v>2.5370370371092577E-2</v>
      </c>
      <c r="N107" s="7">
        <f>24*60*SUM($M107:$M107)</f>
        <v>36.53333333437331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-04T14:51:21-0600',mode:absolute,to:'2017-11-04T17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v>4.6399999999999997E-2</v>
      </c>
      <c r="Z107" s="204">
        <v>23.317399999999999</v>
      </c>
      <c r="AA107" s="204">
        <f>ABS(Z107-Y107)</f>
        <v>23.271000000000001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/stypes="app*4006*20171104*"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ref="AH107" si="36"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195-04 --locoid 4006 --swversion DE.1.0.9.0 --startMP 204:232852 --initTime 2017-11-04T15:51:21 --startdatetime 2017-11-04T15:30:14 --delay 63 --endMP 204:282 --enddatetime 2017-11-04T16:06:46 --enforcementcount 0 &gt;&gt;%USERPROFILE%\Documents\GitHub\eaglep3-reporting\EC\2017-11-04-refined-times.txt</v>
      </c>
      <c r="AI107" s="96" t="str">
        <f t="shared" ref="AI107" si="37"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{"issue":{"subject":"","project_id":79,"tracker_id":40,"status_id":1,"priority_id":2,"assigned_to_id":338,"start_date":"2017-11-04","description":"","custom_fields":[{"id":1,"name":"Subdivision","value":"EC"},{"id":4,"name":"Milepost","value":"23.3174"},{"id":17,"name":"Train ID","value":"195-04"},{"id":16,"name":"Locomotive ID","value":"4006"},{"id":130,"name":"Impact","value":""},{"id":150,"name":"Time of Event (Mountain Time)","value":"16:06:46"},{"id":151,"name":"Denver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ref="AM107" si="38">"start /low /b "&amp;dls3logs&amp;" --loco "&amp;B107&amp;" --day "&amp;TEXT(F107,"YYYY-MM-DD")</f>
        <v>start /low /b %USERPROFILE%\Documents\GitHub\eaglep3\Utilities\DownloadLogsFromS3.py --loco 4006 --day 2017-11-04</v>
      </c>
      <c r="AN107" s="151" t="str">
        <f t="shared" ref="AN107" si="39"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ref="AO107" si="40"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-04T14:51:21-0600',mode:absolute,to:'2017-11-04T17:06:46-0600'))&amp;_a=(columns:!('Message%20ID',Summary),filters:!(),index:'emp_*',interval:auto,query:(query_string:(analyze_wildcard:!t,query:'%22rtdc.l.rtdc.4006%22')),sort:!(Time.ISO8601,asc))</v>
      </c>
    </row>
    <row r="108" spans="1:91" s="20" customFormat="1" x14ac:dyDescent="0.25">
      <c r="A108" s="32" t="s">
        <v>803</v>
      </c>
      <c r="B108" s="7">
        <v>4005</v>
      </c>
      <c r="C108" s="21" t="s">
        <v>192</v>
      </c>
      <c r="D108" s="21" t="s">
        <v>607</v>
      </c>
      <c r="E108" s="13">
        <v>43043.677557870367</v>
      </c>
      <c r="F108" s="13">
        <v>43043.685671296298</v>
      </c>
      <c r="G108" s="7">
        <v>52</v>
      </c>
      <c r="H108" s="21" t="s">
        <v>634</v>
      </c>
      <c r="I108" s="13">
        <v>43043.713437500002</v>
      </c>
      <c r="J108" s="7">
        <v>0</v>
      </c>
      <c r="K108" s="89" t="str">
        <f>IF(ISEVEN(B108),(B108-1)&amp;"/"&amp;B108,B108&amp;"/"&amp;(B108+1))</f>
        <v>4005/4006</v>
      </c>
      <c r="L108" s="185" t="str">
        <f>VLOOKUP(A108,'Trips&amp;Operators'!$C$1:$G$99911,5,FALSE)</f>
        <v>BADERTSCHER DIANE</v>
      </c>
      <c r="M108" s="6">
        <f>I108-F108</f>
        <v>2.7766203704231884E-2</v>
      </c>
      <c r="N108" s="7">
        <f>24*60*SUM($M108:$M108)</f>
        <v>39.983333334093913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-04T15:15:41-0600',mode:absolute,to:'2017-11-04T18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23.290900000000001</v>
      </c>
      <c r="Z108" s="204">
        <f>RIGHT(H108,LEN(H108)-4)/10000</f>
        <v>2.12E-2</v>
      </c>
      <c r="AA108" s="204">
        <f>ABS(Z108-Y108)</f>
        <v>23.2697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/stypes="app*4005*20171104*"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20"/>
        <v>"%USERPROFILE%\Documents\GitHub\eaglep3\Utilities\RefineRTDCRunTimes.py" --tripid 196-04 --locoid 4005 --swversion DE.1.0.9.0 --startMP 204:232909 --initTime 2017-11-04T16:15:41 --startdatetime 2017-11-04T16:27:22 --delay 52 --endMP 204:212 --enddatetime 2017-11-04T17:07:21 --enforcementcount 0 &gt;&gt;%USERPROFILE%\Documents\GitHub\eaglep3-reporting\EC\2017-11-04-refined-times.txt</v>
      </c>
      <c r="AI10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{"issue":{"subject":"","project_id":79,"tracker_id":40,"status_id":1,"priority_id":2,"assigned_to_id":338,"start_date":"2017-11-04","description":"","custom_fields":[{"id":1,"name":"Subdivision","value":"EC"},{"id":4,"name":"Milepost","value":"0.0212"},{"id":17,"name":"Train ID","value":"196-04"},{"id":16,"name":"Locomotive ID","value":"4005"},{"id":130,"name":"Impact","value":""},{"id":150,"name":"Time of Event (Mountain Time)","value":"17:07:21"},{"id":151,"name":"Denver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22"/>
        <v>start /low /b %USERPROFILE%\Documents\GitHub\eaglep3\Utilities\DownloadLogsFromS3.py --loco 4005 --day 2017-11-04</v>
      </c>
      <c r="AN108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24"/>
        <v>https://d0f6bd738d7f1b3e5a7ca70fe4ff75f0.us-east-1.aws.found.io/app/kibana#/discover/Steve-Slow-Train-Analysis-(2080s-and-2083s)?_g=(refreshInterval:(display:Off,pause:!f,section:0,value:0),time:(from:'2017-11-04T15:15:41-0600',mode:absolute,to:'2017-11-04T18:07:21-0600'))&amp;_a=(columns:!('Message%20ID',Summary),filters:!(),index:'emp_*',interval:auto,query:(query_string:(analyze_wildcard:!t,query:'%22rtdc.l.rtdc.4005%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797</v>
      </c>
      <c r="B109" s="7">
        <v>4012</v>
      </c>
      <c r="C109" s="21" t="s">
        <v>192</v>
      </c>
      <c r="D109" s="21" t="s">
        <v>607</v>
      </c>
      <c r="E109" s="13">
        <v>43043.677557870367</v>
      </c>
      <c r="F109" s="13">
        <v>43043.656550925924</v>
      </c>
      <c r="G109" s="7">
        <v>52</v>
      </c>
      <c r="H109" s="21" t="s">
        <v>634</v>
      </c>
      <c r="I109" s="13">
        <v>43043.681481481479</v>
      </c>
      <c r="J109" s="7">
        <v>0</v>
      </c>
      <c r="K109" s="89" t="str">
        <f>IF(ISEVEN(B109),(B109-1)&amp;"/"&amp;B109,B109&amp;"/"&amp;(B109+1))</f>
        <v>4011/4012</v>
      </c>
      <c r="L109" s="185" t="str">
        <f>VLOOKUP(A109,'Trips&amp;Operators'!$C$1:$G$99911,5,FALSE)</f>
        <v>BERLING GARY</v>
      </c>
      <c r="M109" s="6">
        <f>I109-F109</f>
        <v>2.4930555555329192E-2</v>
      </c>
      <c r="N109" s="7">
        <f>24*60*SUM($M109:$M109)</f>
        <v>35.899999999674037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-04T15:15:41-0600',mode:absolute,to:'2017-11-04T17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v>4.6399999999999997E-2</v>
      </c>
      <c r="Z109" s="204">
        <v>23.317399999999999</v>
      </c>
      <c r="AA109" s="204">
        <f>ABS(Z109-Y109)</f>
        <v>23.271000000000001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/stypes="app*4012*20171104*"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ref="AH109" si="41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197-04 --locoid 4012 --swversion DE.1.0.9.0 --startMP 204:232909 --initTime 2017-11-04T16:15:41 --startdatetime 2017-11-04T15:45:26 --delay 52 --endMP 204:212 --enddatetime 2017-11-04T16:21:20 --enforcementcount 0 &gt;&gt;%USERPROFILE%\Documents\GitHub\eaglep3-reporting\EC\2017-11-04-refined-times.txt</v>
      </c>
      <c r="AI109" s="96" t="str">
        <f t="shared" ref="AI109" si="42"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{"issue":{"subject":"","project_id":79,"tracker_id":40,"status_id":1,"priority_id":2,"assigned_to_id":338,"start_date":"2017-11-04","description":"","custom_fields":[{"id":1,"name":"Subdivision","value":"EC"},{"id":4,"name":"Milepost","value":"23.3174"},{"id":17,"name":"Train ID","value":"197-04"},{"id":16,"name":"Locomotive ID","value":"4012"},{"id":130,"name":"Impact","value":""},{"id":150,"name":"Time of Event (Mountain Time)","value":"16:21:20"},{"id":151,"name":"Denver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ref="AM109" si="43">"start /low /b "&amp;dls3logs&amp;" --loco "&amp;B109&amp;" --day "&amp;TEXT(F109,"YYYY-MM-DD")</f>
        <v>start /low /b %USERPROFILE%\Documents\GitHub\eaglep3\Utilities\DownloadLogsFromS3.py --loco 4012 --day 2017-11-04</v>
      </c>
      <c r="AN109" s="151" t="str">
        <f t="shared" ref="AN109" si="44"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ref="AO109" si="45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-04T15:15:41-0600',mode:absolute,to:'2017-11-04T17:21:20-0600'))&amp;_a=(columns:!('Message%20ID',Summary),filters:!(),index:'emp_*',interval:auto,query:(query_string:(analyze_wildcard:!t,query:'%22rtdc.l.rtdc.4012%22')),sort:!(Time.ISO8601,asc))</v>
      </c>
    </row>
    <row r="110" spans="1:91" s="20" customFormat="1" x14ac:dyDescent="0.25">
      <c r="A110" s="32" t="s">
        <v>806</v>
      </c>
      <c r="B110" s="7">
        <v>4011</v>
      </c>
      <c r="C110" s="21" t="s">
        <v>192</v>
      </c>
      <c r="D110" s="21" t="s">
        <v>908</v>
      </c>
      <c r="E110" s="13">
        <v>43043.689004629632</v>
      </c>
      <c r="F110" s="13">
        <v>43043.69599537037</v>
      </c>
      <c r="G110" s="7">
        <v>94</v>
      </c>
      <c r="H110" s="21" t="s">
        <v>1009</v>
      </c>
      <c r="I110" s="13">
        <v>43043.723599537036</v>
      </c>
      <c r="J110" s="7">
        <v>0</v>
      </c>
      <c r="K110" s="89" t="str">
        <f>IF(ISEVEN(B110),(B110-1)&amp;"/"&amp;B110,B110&amp;"/"&amp;(B110+1))</f>
        <v>4011/4012</v>
      </c>
      <c r="L110" s="185" t="str">
        <f>VLOOKUP(A110,'Trips&amp;Operators'!$C$1:$G$99911,5,FALSE)</f>
        <v>BERLING GARY</v>
      </c>
      <c r="M110" s="6">
        <f>I110-F110</f>
        <v>2.7604166665696539E-2</v>
      </c>
      <c r="N110" s="7">
        <f>24*60*SUM($M110:$M110)</f>
        <v>39.749999998603016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-04T15:32:10-0600',mode:absolute,to:'2017-11-04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23.289000000000001</v>
      </c>
      <c r="Z110" s="204">
        <f>RIGHT(H110,LEN(H110)-4)/10000</f>
        <v>3.2399999999999998E-2</v>
      </c>
      <c r="AA110" s="204">
        <f>ABS(Z110-Y110)</f>
        <v>23.256600000000002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/stypes="app*4011*20171104*"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20"/>
        <v>"%USERPROFILE%\Documents\GitHub\eaglep3\Utilities\RefineRTDCRunTimes.py" --tripid 198-04 --locoid 4011 --swversion DE.1.0.9.0 --startMP 204:232890 --initTime 2017-11-04T16:32:10 --startdatetime 2017-11-04T16:42:14 --delay 94 --endMP 204:324 --enddatetime 2017-11-04T17:21:59 --enforcementcount 0 &gt;&gt;%USERPROFILE%\Documents\GitHub\eaglep3-reporting\EC\2017-11-04-refined-times.txt</v>
      </c>
      <c r="AI110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{"issue":{"subject":"","project_id":79,"tracker_id":40,"status_id":1,"priority_id":2,"assigned_to_id":338,"start_date":"2017-11-04","description":"","custom_fields":[{"id":1,"name":"Subdivision","value":"EC"},{"id":4,"name":"Milepost","value":"0.0324"},{"id":17,"name":"Train ID","value":"198-04"},{"id":16,"name":"Locomotive ID","value":"4011"},{"id":130,"name":"Impact","value":""},{"id":150,"name":"Time of Event (Mountain Time)","value":"17:21:59"},{"id":151,"name":"Denver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22"/>
        <v>start /low /b %USERPROFILE%\Documents\GitHub\eaglep3\Utilities\DownloadLogsFromS3.py --loco 4011 --day 2017-11-04</v>
      </c>
      <c r="AN110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24"/>
        <v>https://d0f6bd738d7f1b3e5a7ca70fe4ff75f0.us-east-1.aws.found.io/app/kibana#/discover/Steve-Slow-Train-Analysis-(2080s-and-2083s)?_g=(refreshInterval:(display:Off,pause:!f,section:0,value:0),time:(from:'2017-11-04T15:32:10-0600',mode:absolute,to:'2017-11-04T18:21:59-0600'))&amp;_a=(columns:!('Message%20ID',Summary),filters:!(),index:'emp_*',interval:auto,query:(query_string:(analyze_wildcard:!t,query:'%22rtdc.l.rtdc.4011%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800</v>
      </c>
      <c r="B111" s="7">
        <v>4020</v>
      </c>
      <c r="C111" s="21" t="s">
        <v>192</v>
      </c>
      <c r="D111" s="21" t="s">
        <v>623</v>
      </c>
      <c r="E111" s="13">
        <v>43043.663321759261</v>
      </c>
      <c r="F111" s="13">
        <v>43043.66684027778</v>
      </c>
      <c r="G111" s="7">
        <v>52</v>
      </c>
      <c r="H111" s="21" t="s">
        <v>1010</v>
      </c>
      <c r="I111" s="13">
        <v>43043.691261574073</v>
      </c>
      <c r="J111" s="7">
        <v>0</v>
      </c>
      <c r="K111" s="89" t="str">
        <f>IF(ISEVEN(B111),(B111-1)&amp;"/"&amp;B111,B111&amp;"/"&amp;(B111+1))</f>
        <v>4019/4020</v>
      </c>
      <c r="L111" s="185" t="str">
        <f>VLOOKUP(A111,'Trips&amp;Operators'!$C$1:$G$99911,5,FALSE)</f>
        <v>BRUDER RICHARD</v>
      </c>
      <c r="M111" s="6">
        <f>I111-F111</f>
        <v>2.4421296293439809E-2</v>
      </c>
      <c r="N111" s="7">
        <f>24*60*SUM($M111:$M111)</f>
        <v>35.166666662553325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-04T14:55:11-0600',mode:absolute,to:'2017-11-04T17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5.33E-2</v>
      </c>
      <c r="Z111" s="204">
        <f>RIGHT(H111,LEN(H111)-4)/10000</f>
        <v>23.3202</v>
      </c>
      <c r="AA111" s="204">
        <f>ABS(Z111-Y111)</f>
        <v>23.2669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/stypes="app*4020*20171104*"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20"/>
        <v>"%USERPROFILE%\Documents\GitHub\eaglep3\Utilities\RefineRTDCRunTimes.py" --tripid 199-04 --locoid 4020 --swversion DE.1.0.9.0 --startMP 204:533 --initTime 2017-11-04T15:55:11 --startdatetime 2017-11-04T16:00:15 --delay 52 --endMP 204:233202 --enddatetime 2017-11-04T16:35:25 --enforcementcount 0 &gt;&gt;%USERPROFILE%\Documents\GitHub\eaglep3-reporting\EC\2017-11-04-refined-times.txt</v>
      </c>
      <c r="AI11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{"issue":{"subject":"","project_id":79,"tracker_id":40,"status_id":1,"priority_id":2,"assigned_to_id":338,"start_date":"2017-11-04","description":"","custom_fields":[{"id":1,"name":"Subdivision","value":"EC"},{"id":4,"name":"Milepost","value":"23.3202"},{"id":17,"name":"Train ID","value":"199-04"},{"id":16,"name":"Locomotive ID","value":"4020"},{"id":130,"name":"Impact","value":""},{"id":150,"name":"Time of Event (Mountain Time)","value":"16:35:25"},{"id":151,"name":"Denver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22"/>
        <v>start /low /b %USERPROFILE%\Documents\GitHub\eaglep3\Utilities\DownloadLogsFromS3.py --loco 4020 --day 2017-11-04</v>
      </c>
      <c r="AN111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24"/>
        <v>https://d0f6bd738d7f1b3e5a7ca70fe4ff75f0.us-east-1.aws.found.io/app/kibana#/discover/Steve-Slow-Train-Analysis-(2080s-and-2083s)?_g=(refreshInterval:(display:Off,pause:!f,section:0,value:0),time:(from:'2017-11-04T14:55:11-0600',mode:absolute,to:'2017-11-04T17:35:25-0600'))&amp;_a=(columns:!('Message%20ID',Summary),filters:!(),index:'emp_*',interval:auto,query:(query_string:(analyze_wildcard:!t,query:'%22rtdc.l.rtdc.4020%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808</v>
      </c>
      <c r="B112" s="7">
        <v>4019</v>
      </c>
      <c r="C112" s="21" t="s">
        <v>192</v>
      </c>
      <c r="D112" s="21" t="s">
        <v>1011</v>
      </c>
      <c r="E112" s="13">
        <v>43043.703182870369</v>
      </c>
      <c r="F112" s="13">
        <v>43043.706423611111</v>
      </c>
      <c r="G112" s="7">
        <v>62</v>
      </c>
      <c r="H112" s="21" t="s">
        <v>629</v>
      </c>
      <c r="I112" s="13">
        <v>43043.732719907406</v>
      </c>
      <c r="J112" s="7">
        <v>0</v>
      </c>
      <c r="K112" s="89" t="str">
        <f>IF(ISEVEN(B112),(B112-1)&amp;"/"&amp;B112,B112&amp;"/"&amp;(B112+1))</f>
        <v>4019/4020</v>
      </c>
      <c r="L112" s="185" t="str">
        <f>VLOOKUP(A112,'Trips&amp;Operators'!$C$1:$G$99911,5,FALSE)</f>
        <v>BRUDER RICHARD</v>
      </c>
      <c r="M112" s="6">
        <f>I112-F112</f>
        <v>2.6296296295186039E-2</v>
      </c>
      <c r="N112" s="7">
        <f>24*60*SUM($M112:$M112)</f>
        <v>37.866666665067896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-04T15:52:35-0600',mode:absolute,to:'2017-11-04T18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23.288699999999999</v>
      </c>
      <c r="Z112" s="204">
        <f>RIGHT(H112,LEN(H112)-4)/10000</f>
        <v>2.29E-2</v>
      </c>
      <c r="AA112" s="204">
        <f>ABS(Z112-Y112)</f>
        <v>23.265799999999999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/stypes="app*4019*20171104*"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20"/>
        <v>"%USERPROFILE%\Documents\GitHub\eaglep3\Utilities\RefineRTDCRunTimes.py" --tripid 200-04 --locoid 4019 --swversion DE.1.0.9.0 --startMP 204:232887 --initTime 2017-11-04T16:52:35 --startdatetime 2017-11-04T16:57:15 --delay 62 --endMP 204:229 --enddatetime 2017-11-04T17:35:07 --enforcementcount 0 &gt;&gt;%USERPROFILE%\Documents\GitHub\eaglep3-reporting\EC\2017-11-04-refined-times.txt</v>
      </c>
      <c r="AI11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{"issue":{"subject":"","project_id":79,"tracker_id":40,"status_id":1,"priority_id":2,"assigned_to_id":338,"start_date":"2017-11-04","description":"","custom_fields":[{"id":1,"name":"Subdivision","value":"EC"},{"id":4,"name":"Milepost","value":"0.0229"},{"id":17,"name":"Train ID","value":"200-04"},{"id":16,"name":"Locomotive ID","value":"4019"},{"id":130,"name":"Impact","value":""},{"id":150,"name":"Time of Event (Mountain Time)","value":"17:35:07"},{"id":151,"name":"Denver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22"/>
        <v>start /low /b %USERPROFILE%\Documents\GitHub\eaglep3\Utilities\DownloadLogsFromS3.py --loco 4019 --day 2017-11-04</v>
      </c>
      <c r="AN112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24"/>
        <v>https://d0f6bd738d7f1b3e5a7ca70fe4ff75f0.us-east-1.aws.found.io/app/kibana#/discover/Steve-Slow-Train-Analysis-(2080s-and-2083s)?_g=(refreshInterval:(display:Off,pause:!f,section:0,value:0),time:(from:'2017-11-04T15:52:35-0600',mode:absolute,to:'2017-11-04T18:35:07-0600'))&amp;_a=(columns:!('Message%20ID',Summary),filters:!(),index:'emp_*',interval:auto,query:(query_string:(analyze_wildcard:!t,query:'%22rtdc.l.rtdc.4019%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802</v>
      </c>
      <c r="B113" s="7">
        <v>4066</v>
      </c>
      <c r="C113" s="21" t="s">
        <v>192</v>
      </c>
      <c r="D113" s="21" t="s">
        <v>946</v>
      </c>
      <c r="E113" s="13">
        <v>43043.672569444447</v>
      </c>
      <c r="F113" s="13">
        <v>43043.677384259259</v>
      </c>
      <c r="G113" s="7">
        <v>83</v>
      </c>
      <c r="H113" s="21" t="s">
        <v>522</v>
      </c>
      <c r="I113" s="13">
        <v>43043.702222222222</v>
      </c>
      <c r="J113" s="7">
        <v>0</v>
      </c>
      <c r="K113" s="89" t="str">
        <f>IF(ISEVEN(B113),(B113-1)&amp;"/"&amp;B113,B113&amp;"/"&amp;(B113+1))</f>
        <v>4065/4066</v>
      </c>
      <c r="L113" s="185" t="str">
        <f>VLOOKUP(A113,'Trips&amp;Operators'!$C$1:$G$99911,5,FALSE)</f>
        <v>STRICKLAND EVAN</v>
      </c>
      <c r="M113" s="6">
        <f>I113-F113</f>
        <v>2.4837962962919846E-2</v>
      </c>
      <c r="N113" s="7">
        <f>24*60*SUM($M113:$M113)</f>
        <v>35.766666666604578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-04T15:08:30-0600',mode:absolute,to:'2017-11-04T17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5.3699999999999998E-2</v>
      </c>
      <c r="Z113" s="204">
        <f>RIGHT(H113,LEN(H113)-4)/10000</f>
        <v>23.3215</v>
      </c>
      <c r="AA113" s="204">
        <f>ABS(Z113-Y113)</f>
        <v>23.267800000000001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/stypes="app*4066*20171104*"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20"/>
        <v>"%USERPROFILE%\Documents\GitHub\eaglep3\Utilities\RefineRTDCRunTimes.py" --tripid 201-04 --locoid 4066 --swversion DE.1.0.9.0 --startMP 204:537 --initTime 2017-11-04T16:08:30 --startdatetime 2017-11-04T16:15:26 --delay 83 --endMP 204:233215 --enddatetime 2017-11-04T16:51:12 --enforcementcount 0 &gt;&gt;%USERPROFILE%\Documents\GitHub\eaglep3-reporting\EC\2017-11-04-refined-times.txt</v>
      </c>
      <c r="AI11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{"issue":{"subject":"","project_id":79,"tracker_id":40,"status_id":1,"priority_id":2,"assigned_to_id":338,"start_date":"2017-11-04","description":"","custom_fields":[{"id":1,"name":"Subdivision","value":"EC"},{"id":4,"name":"Milepost","value":"23.3215"},{"id":17,"name":"Train ID","value":"201-04"},{"id":16,"name":"Locomotive ID","value":"4066"},{"id":130,"name":"Impact","value":""},{"id":150,"name":"Time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22"/>
        <v>start /low /b %USERPROFILE%\Documents\GitHub\eaglep3\Utilities\DownloadLogsFromS3.py --loco 4066 --day 2017-11-04</v>
      </c>
      <c r="AN113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24"/>
        <v>https://d0f6bd738d7f1b3e5a7ca70fe4ff75f0.us-east-1.aws.found.io/app/kibana#/discover/Steve-Slow-Train-Analysis-(2080s-and-2083s)?_g=(refreshInterval:(display:Off,pause:!f,section:0,value:0),time:(from:'2017-11-04T15:08:30-0600',mode:absolute,to:'2017-11-04T17:51:12-0600'))&amp;_a=(columns:!('Message%20ID',Summary),filters:!(),index:'emp_*',interval:auto,query:(query_string:(analyze_wildcard:!t,query:'%22rtdc.l.rtdc.4066%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812</v>
      </c>
      <c r="B114" s="7">
        <v>4065</v>
      </c>
      <c r="C114" s="21" t="s">
        <v>192</v>
      </c>
      <c r="D114" s="21" t="s">
        <v>1012</v>
      </c>
      <c r="E114" s="13">
        <v>43043.712604166663</v>
      </c>
      <c r="F114" s="13">
        <v>43043.71702546296</v>
      </c>
      <c r="G114" s="7">
        <v>80</v>
      </c>
      <c r="H114" s="21" t="s">
        <v>606</v>
      </c>
      <c r="I114" s="13">
        <v>43043.747233796297</v>
      </c>
      <c r="J114" s="7">
        <v>0</v>
      </c>
      <c r="K114" s="89" t="str">
        <f>IF(ISEVEN(B114),(B114-1)&amp;"/"&amp;B114,B114&amp;"/"&amp;(B114+1))</f>
        <v>4065/4066</v>
      </c>
      <c r="L114" s="185" t="str">
        <f>VLOOKUP(A114,'Trips&amp;Operators'!$C$1:$G$99911,5,FALSE)</f>
        <v>STRICKLAND EVAN</v>
      </c>
      <c r="M114" s="6">
        <f>I114-F114</f>
        <v>3.0208333337213844E-2</v>
      </c>
      <c r="N114" s="7">
        <f>24*60*SUM($M114:$M114)</f>
        <v>43.500000005587935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-04T16:06:09-0600',mode:absolute,to:'2017-11-04T18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23.288599999999999</v>
      </c>
      <c r="Z114" s="204">
        <f>RIGHT(H114,LEN(H114)-4)/10000</f>
        <v>2.4E-2</v>
      </c>
      <c r="AA114" s="204">
        <f>ABS(Z114-Y114)</f>
        <v>23.264599999999998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/stypes="app*4065*20171104*"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20"/>
        <v>"%USERPROFILE%\Documents\GitHub\eaglep3\Utilities\RefineRTDCRunTimes.py" --tripid 202-04 --locoid 4065 --swversion DE.1.0.9.0 --startMP 204:232886 --initTime 2017-11-04T17:06:09 --startdatetime 2017-11-04T17:12:31 --delay 80 --endMP 204:240 --enddatetime 2017-11-04T17:56:01 --enforcementcount 0 &gt;&gt;%USERPROFILE%\Documents\GitHub\eaglep3-reporting\EC\2017-11-04-refined-times.txt</v>
      </c>
      <c r="AI11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{"issue":{"subject":"","project_id":79,"tracker_id":40,"status_id":1,"priority_id":2,"assigned_to_id":338,"start_date":"2017-11-04","description":"","custom_fields":[{"id":1,"name":"Subdivision","value":"EC"},{"id":4,"name":"Milepost","value":"0.024"},{"id":17,"name":"Train ID","value":"202-04"},{"id":16,"name":"Locomotive ID","value":"4065"},{"id":130,"name":"Impact","value":""},{"id":150,"name":"Time of Event (Mountain Time)","value":"17:56:01"},{"id":151,"name":"Denver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22"/>
        <v>start /low /b %USERPROFILE%\Documents\GitHub\eaglep3\Utilities\DownloadLogsFromS3.py --loco 4065 --day 2017-11-04</v>
      </c>
      <c r="AN114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24"/>
        <v>https://d0f6bd738d7f1b3e5a7ca70fe4ff75f0.us-east-1.aws.found.io/app/kibana#/discover/Steve-Slow-Train-Analysis-(2080s-and-2083s)?_g=(refreshInterval:(display:Off,pause:!f,section:0,value:0),time:(from:'2017-11-04T16:06:09-0600',mode:absolute,to:'2017-11-04T18:56:01-0600'))&amp;_a=(columns:!('Message%20ID',Summary),filters:!(),index:'emp_*',interval:auto,query:(query_string:(analyze_wildcard:!t,query:'%22rtdc.l.rtdc.4065%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804</v>
      </c>
      <c r="B115" s="7">
        <v>4036</v>
      </c>
      <c r="C115" s="21" t="s">
        <v>192</v>
      </c>
      <c r="D115" s="21" t="s">
        <v>612</v>
      </c>
      <c r="E115" s="13">
        <v>43043.682766203703</v>
      </c>
      <c r="F115" s="13">
        <v>43043.687708333331</v>
      </c>
      <c r="G115" s="7">
        <v>54</v>
      </c>
      <c r="H115" s="21" t="s">
        <v>897</v>
      </c>
      <c r="I115" s="13">
        <v>43043.712627314817</v>
      </c>
      <c r="J115" s="7">
        <v>0</v>
      </c>
      <c r="K115" s="89" t="str">
        <f>IF(ISEVEN(B115),(B115-1)&amp;"/"&amp;B115,B115&amp;"/"&amp;(B115+1))</f>
        <v>4035/4036</v>
      </c>
      <c r="L115" s="185" t="str">
        <f>VLOOKUP(A115,'Trips&amp;Operators'!$C$1:$G$99911,5,FALSE)</f>
        <v>DAVIDSON DAVID</v>
      </c>
      <c r="M115" s="6">
        <f>I115-F115</f>
        <v>2.4918981485825498E-2</v>
      </c>
      <c r="N115" s="7">
        <f>24*60*SUM($M115:$M115)</f>
        <v>35.883333339588717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-04T15:23:11-0600',mode:absolute,to:'2017-11-04T18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5.28E-2</v>
      </c>
      <c r="Z115" s="204">
        <f>RIGHT(H115,LEN(H115)-4)/10000</f>
        <v>23.325500000000002</v>
      </c>
      <c r="AA115" s="204">
        <f>ABS(Z115-Y115)</f>
        <v>23.2727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/stypes="app*4036*20171104*"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20"/>
        <v>"%USERPROFILE%\Documents\GitHub\eaglep3\Utilities\RefineRTDCRunTimes.py" --tripid 203-04 --locoid 4036 --swversion DE.1.0.9.0 --startMP 204:528 --initTime 2017-11-04T16:23:11 --startdatetime 2017-11-04T16:30:18 --delay 54 --endMP 204:233255 --enddatetime 2017-11-04T17:06:11 --enforcementcount 0 &gt;&gt;%USERPROFILE%\Documents\GitHub\eaglep3-reporting\EC\2017-11-04-refined-times.txt</v>
      </c>
      <c r="AI11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{"issue":{"subject":"","project_id":79,"tracker_id":40,"status_id":1,"priority_id":2,"assigned_to_id":338,"start_date":"2017-11-04","description":"","custom_fields":[{"id":1,"name":"Subdivision","value":"EC"},{"id":4,"name":"Milepost","value":"23.3255"},{"id":17,"name":"Train ID","value":"203-04"},{"id":16,"name":"Locomotive ID","value":"4036"},{"id":130,"name":"Impact","value":""},{"id":150,"name":"Time of Event (Mountain Time)","value":"17:06:11"},{"id":151,"name":"Denver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22"/>
        <v>start /low /b %USERPROFILE%\Documents\GitHub\eaglep3\Utilities\DownloadLogsFromS3.py --loco 4036 --day 2017-11-04</v>
      </c>
      <c r="AN115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24"/>
        <v>https://d0f6bd738d7f1b3e5a7ca70fe4ff75f0.us-east-1.aws.found.io/app/kibana#/discover/Steve-Slow-Train-Analysis-(2080s-and-2083s)?_g=(refreshInterval:(display:Off,pause:!f,section:0,value:0),time:(from:'2017-11-04T15:23:11-0600',mode:absolute,to:'2017-11-04T18:06:11-0600'))&amp;_a=(columns:!('Message%20ID',Summary),filters:!(),index:'emp_*',interval:auto,query:(query_string:(analyze_wildcard:!t,query:'%22rtdc.l.rtdc.4036%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813</v>
      </c>
      <c r="B116" s="7">
        <v>4035</v>
      </c>
      <c r="C116" s="21" t="s">
        <v>192</v>
      </c>
      <c r="D116" s="21" t="s">
        <v>898</v>
      </c>
      <c r="E116" s="13">
        <v>43043.713761574072</v>
      </c>
      <c r="F116" s="13">
        <v>43043.727303240739</v>
      </c>
      <c r="G116" s="7">
        <v>57</v>
      </c>
      <c r="H116" s="21" t="s">
        <v>943</v>
      </c>
      <c r="I116" s="13">
        <v>43043.753969907404</v>
      </c>
      <c r="J116" s="7">
        <v>0</v>
      </c>
      <c r="K116" s="89" t="str">
        <f>IF(ISEVEN(B116),(B116-1)&amp;"/"&amp;B116,B116&amp;"/"&amp;(B116+1))</f>
        <v>4035/4036</v>
      </c>
      <c r="L116" s="185" t="str">
        <f>VLOOKUP(A116,'Trips&amp;Operators'!$C$1:$G$99911,5,FALSE)</f>
        <v>DAVIDSON DAVID</v>
      </c>
      <c r="M116" s="6">
        <f>I116-F116</f>
        <v>2.6666666664823424E-2</v>
      </c>
      <c r="N116" s="7">
        <f>24*60*SUM($M116:$M116)</f>
        <v>38.399999997345731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-04T16:07:49-0600',mode:absolute,to:'2017-11-04T19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23.294499999999999</v>
      </c>
      <c r="Z116" s="204">
        <f>RIGHT(H116,LEN(H116)-4)/10000</f>
        <v>2.23E-2</v>
      </c>
      <c r="AA116" s="204">
        <f>ABS(Z116-Y116)</f>
        <v>23.272199999999998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/stypes="app*4035*20171105*"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20"/>
        <v>"%USERPROFILE%\Documents\GitHub\eaglep3\Utilities\RefineRTDCRunTimes.py" --tripid 204-04 --locoid 4035 --swversion DE.1.0.9.0 --startMP 204:232945 --initTime 2017-11-04T17:07:49 --startdatetime 2017-11-04T17:27:19 --delay 57 --endMP 204:223 --enddatetime 2017-11-04T18:05:43 --enforcementcount 0 &gt;&gt;%USERPROFILE%\Documents\GitHub\eaglep3-reporting\EC\2017-11-04-refined-times.txt</v>
      </c>
      <c r="AI11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{"issue":{"subject":"","project_id":79,"tracker_id":40,"status_id":1,"priority_id":2,"assigned_to_id":338,"start_date":"2017-11-04","description":"","custom_fields":[{"id":1,"name":"Subdivision","value":"EC"},{"id":4,"name":"Milepost","value":"0.0223"},{"id":17,"name":"Train ID","value":"204-04"},{"id":16,"name":"Locomotive ID","value":"4035"},{"id":130,"name":"Impact","value":""},{"id":150,"name":"Time of Event (Mountain Time)","value":"18:05:43"},{"id":151,"name":"Denver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22"/>
        <v>start /low /b %USERPROFILE%\Documents\GitHub\eaglep3\Utilities\DownloadLogsFromS3.py --loco 4035 --day 2017-11-04</v>
      </c>
      <c r="AN116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24"/>
        <v>https://d0f6bd738d7f1b3e5a7ca70fe4ff75f0.us-east-1.aws.found.io/app/kibana#/discover/Steve-Slow-Train-Analysis-(2080s-and-2083s)?_g=(refreshInterval:(display:Off,pause:!f,section:0,value:0),time:(from:'2017-11-04T16:07:49-0600',mode:absolute,to:'2017-11-04T19:05:43-0600'))&amp;_a=(columns:!('Message%20ID',Summary),filters:!(),index:'emp_*',interval:auto,query:(query_string:(analyze_wildcard:!t,query:'%22rtdc.l.rtdc.4035%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807</v>
      </c>
      <c r="B117" s="7">
        <v>4046</v>
      </c>
      <c r="C117" s="21" t="s">
        <v>192</v>
      </c>
      <c r="D117" s="21" t="s">
        <v>1013</v>
      </c>
      <c r="E117" s="13">
        <v>43043.692476851851</v>
      </c>
      <c r="F117" s="13">
        <v>43043.698101851849</v>
      </c>
      <c r="G117" s="7">
        <v>71</v>
      </c>
      <c r="H117" s="21" t="s">
        <v>1014</v>
      </c>
      <c r="I117" s="13">
        <v>43043.728530092594</v>
      </c>
      <c r="J117" s="7">
        <v>0</v>
      </c>
      <c r="K117" s="89" t="str">
        <f>IF(ISEVEN(B117),(B117-1)&amp;"/"&amp;B117,B117&amp;"/"&amp;(B117+1))</f>
        <v>4045/4046</v>
      </c>
      <c r="L117" s="185" t="str">
        <f>VLOOKUP(A117,'Trips&amp;Operators'!$C$1:$G$99911,5,FALSE)</f>
        <v>SAFIEF AEIMEN</v>
      </c>
      <c r="M117" s="6">
        <f>I117-F117</f>
        <v>3.0428240745095536E-2</v>
      </c>
      <c r="N117" s="7">
        <f>24*60*SUM($M117:$M117)</f>
        <v>43.816666672937572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-04T15:37:10-0600',mode:absolute,to:'2017-11-04T18:29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5.3100000000000001E-2</v>
      </c>
      <c r="Z117" s="204">
        <f>RIGHT(H117,LEN(H117)-4)/10000</f>
        <v>23.311499999999999</v>
      </c>
      <c r="AA117" s="204">
        <f>ABS(Z117-Y117)</f>
        <v>23.258399999999998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/stypes="app*4046*20171104*"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20"/>
        <v>"%USERPROFILE%\Documents\GitHub\eaglep3\Utilities\RefineRTDCRunTimes.py" --tripid 205-04 --locoid 4046 --swversion DE.1.0.9.0 --startMP 204:531 --initTime 2017-11-04T16:37:10 --startdatetime 2017-11-04T16:45:16 --delay 71 --endMP 204:233115 --enddatetime 2017-11-04T17:29:05 --enforcementcount 0 &gt;&gt;%USERPROFILE%\Documents\GitHub\eaglep3-reporting\EC\2017-11-04-refined-times.txt</v>
      </c>
      <c r="AI117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{"issue":{"subject":"","project_id":79,"tracker_id":40,"status_id":1,"priority_id":2,"assigned_to_id":338,"start_date":"2017-11-04","description":"","custom_fields":[{"id":1,"name":"Subdivision","value":"EC"},{"id":4,"name":"Milepost","value":"23.3115"},{"id":17,"name":"Train ID","value":"205-04"},{"id":16,"name":"Locomotive ID","value":"4046"},{"id":130,"name":"Impact","value":""},{"id":150,"name":"Time of Event (Mountain Time)","value":"17:29:05"},{"id":151,"name":"Denver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22"/>
        <v>start /low /b %USERPROFILE%\Documents\GitHub\eaglep3\Utilities\DownloadLogsFromS3.py --loco 4046 --day 2017-11-04</v>
      </c>
      <c r="AN117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23:29:05"},{"id":29,"name":"Sharepoint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24"/>
        <v>https://d0f6bd738d7f1b3e5a7ca70fe4ff75f0.us-east-1.aws.found.io/app/kibana#/discover/Steve-Slow-Train-Analysis-(2080s-and-2083s)?_g=(refreshInterval:(display:Off,pause:!f,section:0,value:0),time:(from:'2017-11-04T15:37:10-0600',mode:absolute,to:'2017-11-04T18:29:05-0600'))&amp;_a=(columns:!('Message%20ID',Summary),filters:!(),index:'emp_*',interval:auto,query:(query_string:(analyze_wildcard:!t,query:'%22rtdc.l.rtdc.4046%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820</v>
      </c>
      <c r="B118" s="7">
        <v>4045</v>
      </c>
      <c r="C118" s="21" t="s">
        <v>192</v>
      </c>
      <c r="D118" s="21" t="s">
        <v>1015</v>
      </c>
      <c r="E118" s="13">
        <v>43043.734918981485</v>
      </c>
      <c r="F118" s="13">
        <v>43043.737824074073</v>
      </c>
      <c r="G118" s="7">
        <v>90</v>
      </c>
      <c r="H118" s="21" t="s">
        <v>1016</v>
      </c>
      <c r="I118" s="13">
        <v>43043.767395833333</v>
      </c>
      <c r="J118" s="7">
        <v>0</v>
      </c>
      <c r="K118" s="89" t="str">
        <f>IF(ISEVEN(B118),(B118-1)&amp;"/"&amp;B118,B118&amp;"/"&amp;(B118+1))</f>
        <v>4045/4046</v>
      </c>
      <c r="L118" s="185" t="str">
        <f>VLOOKUP(A118,'Trips&amp;Operators'!$C$1:$G$99911,5,FALSE)</f>
        <v>SAFIEF AEIMEN</v>
      </c>
      <c r="M118" s="6">
        <f>I118-F118</f>
        <v>2.9571759259852115E-2</v>
      </c>
      <c r="N118" s="7">
        <f>24*60*SUM($M118:$M118)</f>
        <v>42.583333334187046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-04T16:38:17-0600',mode:absolute,to:'2017-11-04T19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23.278500000000001</v>
      </c>
      <c r="Z118" s="204">
        <f>RIGHT(H118,LEN(H118)-4)/10000</f>
        <v>1.5100000000000001E-2</v>
      </c>
      <c r="AA118" s="204">
        <f>ABS(Z118-Y118)</f>
        <v>23.263400000000001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/stypes="app*4045*20171105*"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20"/>
        <v>"%USERPROFILE%\Documents\GitHub\eaglep3\Utilities\RefineRTDCRunTimes.py" --tripid 206-04 --locoid 4045 --swversion DE.1.0.9.0 --startMP 204:232785 --initTime 2017-11-04T17:38:17 --startdatetime 2017-11-04T17:42:28 --delay 90 --endMP 204:151 --enddatetime 2017-11-04T18:25:03 --enforcementcount 0 &gt;&gt;%USERPROFILE%\Documents\GitHub\eaglep3-reporting\EC\2017-11-04-refined-times.txt</v>
      </c>
      <c r="AI11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{"issue":{"subject":"","project_id":79,"tracker_id":40,"status_id":1,"priority_id":2,"assigned_to_id":338,"start_date":"2017-11-04","description":"","custom_fields":[{"id":1,"name":"Subdivision","value":"EC"},{"id":4,"name":"Milepost","value":"0.0151"},{"id":17,"name":"Train ID","value":"206-04"},{"id":16,"name":"Locomotive ID","value":"4045"},{"id":130,"name":"Impact","value":""},{"id":150,"name":"Time of Event (Mountain Time)","value":"18:25:03"},{"id":151,"name":"Denver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22"/>
        <v>start /low /b %USERPROFILE%\Documents\GitHub\eaglep3\Utilities\DownloadLogsFromS3.py --loco 4045 --day 2017-11-04</v>
      </c>
      <c r="AN118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24"/>
        <v>https://d0f6bd738d7f1b3e5a7ca70fe4ff75f0.us-east-1.aws.found.io/app/kibana#/discover/Steve-Slow-Train-Analysis-(2080s-and-2083s)?_g=(refreshInterval:(display:Off,pause:!f,section:0,value:0),time:(from:'2017-11-04T16:38:17-0600',mode:absolute,to:'2017-11-04T19:25:03-0600'))&amp;_a=(columns:!('Message%20ID',Summary),filters:!(),index:'emp_*',interval:auto,query:(query_string:(analyze_wildcard:!t,query:'%22rtdc.l.rtdc.4045%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810</v>
      </c>
      <c r="B119" s="7">
        <v>4052</v>
      </c>
      <c r="C119" s="21" t="s">
        <v>192</v>
      </c>
      <c r="D119" s="21" t="s">
        <v>931</v>
      </c>
      <c r="E119" s="13">
        <v>43043.706226851849</v>
      </c>
      <c r="F119" s="13">
        <v>43043.708506944444</v>
      </c>
      <c r="G119" s="7">
        <v>46</v>
      </c>
      <c r="H119" s="21" t="s">
        <v>1017</v>
      </c>
      <c r="I119" s="13">
        <v>43043.734143518515</v>
      </c>
      <c r="J119" s="7">
        <v>0</v>
      </c>
      <c r="K119" s="89" t="str">
        <f>IF(ISEVEN(B119),(B119-1)&amp;"/"&amp;B119,B119&amp;"/"&amp;(B119+1))</f>
        <v>4051/4052</v>
      </c>
      <c r="L119" s="185" t="str">
        <f>VLOOKUP(A119,'Trips&amp;Operators'!$C$1:$G$99911,5,FALSE)</f>
        <v>GUZMAN DANNY</v>
      </c>
      <c r="M119" s="6">
        <f>I119-F119</f>
        <v>2.5636574071540963E-2</v>
      </c>
      <c r="N119" s="7">
        <f>24*60*SUM($M119:$M119)</f>
        <v>36.916666663018987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-04T15:56:58-0600',mode:absolute,to:'2017-11-04T18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5.57E-2</v>
      </c>
      <c r="Z119" s="204">
        <f>RIGHT(H119,LEN(H119)-4)/10000</f>
        <v>23.311900000000001</v>
      </c>
      <c r="AA119" s="204">
        <f>ABS(Z119-Y119)</f>
        <v>23.2562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/stypes="app*4052*20171104*"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20"/>
        <v>"%USERPROFILE%\Documents\GitHub\eaglep3\Utilities\RefineRTDCRunTimes.py" --tripid 207-04 --locoid 4052 --swversion DE.1.0.9.0 --startMP 204:557 --initTime 2017-11-04T16:56:58 --startdatetime 2017-11-04T17:00:15 --delay 46 --endMP 204:233119 --enddatetime 2017-11-04T17:37:10 --enforcementcount 0 &gt;&gt;%USERPROFILE%\Documents\GitHub\eaglep3-reporting\EC\2017-11-04-refined-times.txt</v>
      </c>
      <c r="AI119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{"issue":{"subject":"","project_id":79,"tracker_id":40,"status_id":1,"priority_id":2,"assigned_to_id":338,"start_date":"2017-11-04","description":"","custom_fields":[{"id":1,"name":"Subdivision","value":"EC"},{"id":4,"name":"Milepost","value":"23.3119"},{"id":17,"name":"Train ID","value":"207-04"},{"id":16,"name":"Locomotive ID","value":"4052"},{"id":130,"name":"Impact","value":""},{"id":150,"name":"Time of Event (Mountain Time)","value":"17:37:10"},{"id":151,"name":"Denver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22"/>
        <v>start /low /b %USERPROFILE%\Documents\GitHub\eaglep3\Utilities\DownloadLogsFromS3.py --loco 4052 --day 2017-11-04</v>
      </c>
      <c r="AN119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24"/>
        <v>https://d0f6bd738d7f1b3e5a7ca70fe4ff75f0.us-east-1.aws.found.io/app/kibana#/discover/Steve-Slow-Train-Analysis-(2080s-and-2083s)?_g=(refreshInterval:(display:Off,pause:!f,section:0,value:0),time:(from:'2017-11-04T15:56:58-0600',mode:absolute,to:'2017-11-04T18:37:10-0600'))&amp;_a=(columns:!('Message%20ID',Summary),filters:!(),index:'emp_*',interval:auto,query:(query_string:(analyze_wildcard:!t,query:'%22rtdc.l.rtdc.4052%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821</v>
      </c>
      <c r="B120" s="7">
        <v>4051</v>
      </c>
      <c r="C120" s="21" t="s">
        <v>192</v>
      </c>
      <c r="D120" s="21" t="s">
        <v>1018</v>
      </c>
      <c r="E120" s="13">
        <v>43043.735856481479</v>
      </c>
      <c r="F120" s="13">
        <v>43043.748090277775</v>
      </c>
      <c r="G120" s="7">
        <v>45</v>
      </c>
      <c r="H120" s="21" t="s">
        <v>1019</v>
      </c>
      <c r="I120" s="13">
        <v>43043.774247685185</v>
      </c>
      <c r="J120" s="7">
        <v>0</v>
      </c>
      <c r="K120" s="89" t="str">
        <f>IF(ISEVEN(B120),(B120-1)&amp;"/"&amp;B120,B120&amp;"/"&amp;(B120+1))</f>
        <v>4051/4052</v>
      </c>
      <c r="L120" s="185" t="str">
        <f>VLOOKUP(A120,'Trips&amp;Operators'!$C$1:$G$99911,5,FALSE)</f>
        <v>GUZMAN DANNY</v>
      </c>
      <c r="M120" s="6">
        <f>I120-F120</f>
        <v>2.6157407410209998E-2</v>
      </c>
      <c r="N120" s="7">
        <f>24*60*SUM($M120:$M120)</f>
        <v>37.666666670702398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-04T16:39:38-0600',mode:absolute,to:'2017-11-04T19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23.2807</v>
      </c>
      <c r="Z120" s="204">
        <f>RIGHT(H120,LEN(H120)-4)/10000</f>
        <v>2.6200000000000001E-2</v>
      </c>
      <c r="AA120" s="204">
        <f>ABS(Z120-Y120)</f>
        <v>23.2545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 &amp; aws s3 cp s3://rtdc.mdm.uploadarchive.raw/RTDC4051/ "%USERPROFILE%\AppData\Local\Temp\OnboardLogs"\RTDC4051\2017-11-05 --exclude "*" --recursive --include "*20171105*" &amp; "%USERPROFILE%\Documents\GitHub\mrs-test-scripts\Headless Mode &amp; Sideloading\WalkAndUnGZ.bat" "%USERPROFILE%\AppData\Local\Temp\OnboardLogs"\RTDC4051\2017-11-05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/stypes="app*4051*20171105*"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20"/>
        <v>"%USERPROFILE%\Documents\GitHub\eaglep3\Utilities\RefineRTDCRunTimes.py" --tripid 208-04 --locoid 4051 --swversion DE.1.0.9.0 --startMP 204:232807 --initTime 2017-11-04T17:39:38 --startdatetime 2017-11-04T17:57:15 --delay 45 --endMP 204:262 --enddatetime 2017-11-04T18:34:55 --enforcementcount 0 &gt;&gt;%USERPROFILE%\Documents\GitHub\eaglep3-reporting\EC\2017-11-04-refined-times.txt</v>
      </c>
      <c r="AI120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{"issue":{"subject":"","project_id":79,"tracker_id":40,"status_id":1,"priority_id":2,"assigned_to_id":338,"start_date":"2017-11-04","description":"","custom_fields":[{"id":1,"name":"Subdivision","value":"EC"},{"id":4,"name":"Milepost","value":"0.0262"},{"id":17,"name":"Train ID","value":"208-04"},{"id":16,"name":"Locomotive ID","value":"4051"},{"id":130,"name":"Impact","value":""},{"id":150,"name":"Time of Event (Mountain Time)","value":"18:34:55"},{"id":151,"name":"Denver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22"/>
        <v>start /low /b %USERPROFILE%\Documents\GitHub\eaglep3\Utilities\DownloadLogsFromS3.py --loco 4051 --day 2017-11-04</v>
      </c>
      <c r="AN120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24"/>
        <v>https://d0f6bd738d7f1b3e5a7ca70fe4ff75f0.us-east-1.aws.found.io/app/kibana#/discover/Steve-Slow-Train-Analysis-(2080s-and-2083s)?_g=(refreshInterval:(display:Off,pause:!f,section:0,value:0),time:(from:'2017-11-04T16:39:38-0600',mode:absolute,to:'2017-11-04T19:34:55-0600'))&amp;_a=(columns:!('Message%20ID',Summary),filters:!(),index:'emp_*',interval:auto,query:(query_string:(analyze_wildcard:!t,query:'%22rtdc.l.rtdc.4051%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814</v>
      </c>
      <c r="B121" s="7">
        <v>4006</v>
      </c>
      <c r="C121" s="21" t="s">
        <v>192</v>
      </c>
      <c r="D121" s="21" t="s">
        <v>603</v>
      </c>
      <c r="E121" s="13">
        <v>43043.715196759258</v>
      </c>
      <c r="F121" s="13">
        <v>43043.719004629631</v>
      </c>
      <c r="G121" s="7">
        <v>69</v>
      </c>
      <c r="H121" s="21" t="s">
        <v>925</v>
      </c>
      <c r="I121" s="13">
        <v>43043.744872685187</v>
      </c>
      <c r="J121" s="7">
        <v>0</v>
      </c>
      <c r="K121" s="89" t="str">
        <f>IF(ISEVEN(B121),(B121-1)&amp;"/"&amp;B121,B121&amp;"/"&amp;(B121+1))</f>
        <v>4005/4006</v>
      </c>
      <c r="L121" s="185" t="str">
        <f>VLOOKUP(A121,'Trips&amp;Operators'!$C$1:$G$99911,5,FALSE)</f>
        <v>BADERTSCHER DIANE</v>
      </c>
      <c r="M121" s="6">
        <f>I121-F121</f>
        <v>2.5868055556202307E-2</v>
      </c>
      <c r="N121" s="7">
        <f>24*60*SUM($M121:$M121)</f>
        <v>37.250000000931323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-04T16:09:53-0600',mode:absolute,to:'2017-11-04T18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5.1999999999999998E-2</v>
      </c>
      <c r="Z121" s="204">
        <f>RIGHT(H121,LEN(H121)-4)/10000</f>
        <v>23.316099999999999</v>
      </c>
      <c r="AA121" s="204">
        <f>ABS(Z121-Y121)</f>
        <v>23.264099999999999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/stypes="app*4006*20171104*"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20"/>
        <v>"%USERPROFILE%\Documents\GitHub\eaglep3\Utilities\RefineRTDCRunTimes.py" --tripid 209-04 --locoid 4006 --swversion DE.1.0.9.0 --startMP 204:520 --initTime 2017-11-04T17:09:53 --startdatetime 2017-11-04T17:15:22 --delay 69 --endMP 204:233161 --enddatetime 2017-11-04T17:52:37 --enforcementcount 0 &gt;&gt;%USERPROFILE%\Documents\GitHub\eaglep3-reporting\EC\2017-11-04-refined-times.txt</v>
      </c>
      <c r="AI12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{"issue":{"subject":"","project_id":79,"tracker_id":40,"status_id":1,"priority_id":2,"assigned_to_id":338,"start_date":"2017-11-04","description":"","custom_fields":[{"id":1,"name":"Subdivision","value":"EC"},{"id":4,"name":"Milepost","value":"23.3161"},{"id":17,"name":"Train ID","value":"209-04"},{"id":16,"name":"Locomotive ID","value":"4006"},{"id":130,"name":"Impact","value":""},{"id":150,"name":"Time of Event (Mountain Time)","value":"17:52:37"},{"id":151,"name":"Denver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22"/>
        <v>start /low /b %USERPROFILE%\Documents\GitHub\eaglep3\Utilities\DownloadLogsFromS3.py --loco 4006 --day 2017-11-04</v>
      </c>
      <c r="AN121" s="151" t="str">
        <f t="shared" si="23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24"/>
        <v>https://d0f6bd738d7f1b3e5a7ca70fe4ff75f0.us-east-1.aws.found.io/app/kibana#/discover/Steve-Slow-Train-Analysis-(2080s-and-2083s)?_g=(refreshInterval:(display:Off,pause:!f,section:0,value:0),time:(from:'2017-11-04T16:09:53-0600',mode:absolute,to:'2017-11-04T18:52:37-0600'))&amp;_a=(columns:!('Message%20ID',Summary),filters:!(),index:'emp_*',interval:auto,query:(query_string:(analyze_wildcard:!t,query:'%22rtdc.l.rtdc.4006%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826</v>
      </c>
      <c r="B122" s="7">
        <v>4005</v>
      </c>
      <c r="C122" s="21" t="s">
        <v>192</v>
      </c>
      <c r="D122" s="21" t="s">
        <v>1020</v>
      </c>
      <c r="E122" s="13">
        <v>43043.751851851855</v>
      </c>
      <c r="F122" s="13">
        <v>43043.758576388886</v>
      </c>
      <c r="G122" s="7">
        <v>58</v>
      </c>
      <c r="H122" s="21" t="s">
        <v>1021</v>
      </c>
      <c r="I122" s="13">
        <v>43043.786921296298</v>
      </c>
      <c r="J122" s="7">
        <v>0</v>
      </c>
      <c r="K122" s="89" t="str">
        <f>IF(ISEVEN(B122),(B122-1)&amp;"/"&amp;B122,B122&amp;"/"&amp;(B122+1))</f>
        <v>4005/4006</v>
      </c>
      <c r="L122" s="185" t="str">
        <f>VLOOKUP(A122,'Trips&amp;Operators'!$C$1:$G$99911,5,FALSE)</f>
        <v>BADERTSCHER DIANE</v>
      </c>
      <c r="M122" s="6">
        <f>I122-F122</f>
        <v>2.8344907412247267E-2</v>
      </c>
      <c r="N122" s="7">
        <f>24*60*SUM($M122:$M122)</f>
        <v>40.816666673636064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-04T17:02:40-0600',mode:absolute,to:'2017-11-04T19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23.284199999999998</v>
      </c>
      <c r="Z122" s="204">
        <f>RIGHT(H122,LEN(H122)-4)/10000</f>
        <v>0.03</v>
      </c>
      <c r="AA122" s="204">
        <f>ABS(Z122-Y122)</f>
        <v>23.254199999999997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/stypes="app*4005*20171105*"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20"/>
        <v>"%USERPROFILE%\Documents\GitHub\eaglep3\Utilities\RefineRTDCRunTimes.py" --tripid 210-04 --locoid 4005 --swversion DE.1.0.9.0 --startMP 204:232842 --initTime 2017-11-04T18:02:40 --startdatetime 2017-11-04T18:12:21 --delay 58 --endMP 204:300 --enddatetime 2017-11-04T18:53:10 --enforcementcount 0 &gt;&gt;%USERPROFILE%\Documents\GitHub\eaglep3-reporting\EC\2017-11-04-refined-times.txt</v>
      </c>
      <c r="AI12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{"issue":{"subject":"","project_id":79,"tracker_id":40,"status_id":1,"priority_id":2,"assigned_to_id":338,"start_date":"2017-11-04","description":"","custom_fields":[{"id":1,"name":"Subdivision","value":"EC"},{"id":4,"name":"Milepost","value":"0.03"},{"id":17,"name":"Train ID","value":"210-04"},{"id":16,"name":"Locomotive ID","value":"4005"},{"id":130,"name":"Impact","value":""},{"id":150,"name":"Time of Event (Mountain Time)","value":"18:53:10"},{"id":151,"name":"Denver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22"/>
        <v>start /low /b %USERPROFILE%\Documents\GitHub\eaglep3\Utilities\DownloadLogsFromS3.py --loco 4005 --day 2017-11-04</v>
      </c>
      <c r="AN122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24"/>
        <v>https://d0f6bd738d7f1b3e5a7ca70fe4ff75f0.us-east-1.aws.found.io/app/kibana#/discover/Steve-Slow-Train-Analysis-(2080s-and-2083s)?_g=(refreshInterval:(display:Off,pause:!f,section:0,value:0),time:(from:'2017-11-04T17:02:40-0600',mode:absolute,to:'2017-11-04T19:53:10-0600'))&amp;_a=(columns:!('Message%20ID',Summary),filters:!(),index:'emp_*',interval:auto,query:(query_string:(analyze_wildcard:!t,query:'%22rtdc.l.rtdc.4005%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4012</v>
      </c>
      <c r="C123" s="21" t="s">
        <v>192</v>
      </c>
      <c r="D123" s="21" t="s">
        <v>1022</v>
      </c>
      <c r="E123" s="13">
        <v>43043.725046296298</v>
      </c>
      <c r="F123" s="13">
        <v>43043.729375000003</v>
      </c>
      <c r="G123" s="7">
        <v>96</v>
      </c>
      <c r="H123" s="21" t="s">
        <v>620</v>
      </c>
      <c r="I123" s="13">
        <v>43043.754386574074</v>
      </c>
      <c r="J123" s="7">
        <v>0</v>
      </c>
      <c r="K123" s="89" t="str">
        <f>IF(ISEVEN(B123),(B123-1)&amp;"/"&amp;B123,B123&amp;"/"&amp;(B123+1))</f>
        <v>4011/4012</v>
      </c>
      <c r="L123" s="185" t="str">
        <f>VLOOKUP(A123,'Trips&amp;Operators'!$C$1:$G$99911,5,FALSE)</f>
        <v>BERLING GARY</v>
      </c>
      <c r="M123" s="6">
        <f>I123-F123</f>
        <v>2.5011574070958886E-2</v>
      </c>
      <c r="N123" s="7">
        <f>24*60*SUM($M123:$M123)</f>
        <v>36.016666662180796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-04T16:24:04-0600',mode:absolute,to:'2017-11-04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5.8799999999999998E-2</v>
      </c>
      <c r="Z123" s="204">
        <f>RIGHT(H123,LEN(H123)-4)/10000</f>
        <v>23.323399999999999</v>
      </c>
      <c r="AA123" s="204">
        <f>ABS(Z123-Y123)</f>
        <v>23.264599999999998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/stypes="app*4012*20171105*"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20"/>
        <v>"%USERPROFILE%\Documents\GitHub\eaglep3\Utilities\RefineRTDCRunTimes.py" --tripid 211-04 --locoid 4012 --swversion DE.1.0.9.0 --startMP 204:588 --initTime 2017-11-04T17:24:04 --startdatetime 2017-11-04T17:30:18 --delay 96 --endMP 204:233234 --enddatetime 2017-11-04T18:06:19 --enforcementcount 0 &gt;&gt;%USERPROFILE%\Documents\GitHub\eaglep3-reporting\EC\2017-11-04-refined-times.txt</v>
      </c>
      <c r="AI12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{"issue":{"subject":"","project_id":79,"tracker_id":40,"status_id":1,"priority_id":2,"assigned_to_id":338,"start_date":"2017-11-04","description":"","custom_fields":[{"id":1,"name":"Subdivision","value":"EC"},{"id":4,"name":"Milepost","value":"23.3234"},{"id":17,"name":"Train ID","value":"211-04"},{"id":16,"name":"Locomotive ID","value":"4012"},{"id":130,"name":"Impact","value":""},{"id":150,"name":"Time of Event (Mountain Time)","value":"18:06:19"},{"id":151,"name":"Denver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22"/>
        <v>start /low /b %USERPROFILE%\Documents\GitHub\eaglep3\Utilities\DownloadLogsFromS3.py --loco 4012 --day 2017-11-04</v>
      </c>
      <c r="AN123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24"/>
        <v>https://d0f6bd738d7f1b3e5a7ca70fe4ff75f0.us-east-1.aws.found.io/app/kibana#/discover/Steve-Slow-Train-Analysis-(2080s-and-2083s)?_g=(refreshInterval:(display:Off,pause:!f,section:0,value:0),time:(from:'2017-11-04T16:24:04-0600',mode:absolute,to:'2017-11-04T19:06:19-0600'))&amp;_a=(columns:!('Message%20ID',Summary),filters:!(),index:'emp_*',interval:auto,query:(query_string:(analyze_wildcard:!t,query:'%22rtdc.l.rtdc.4012%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828</v>
      </c>
      <c r="B124" s="7">
        <v>4011</v>
      </c>
      <c r="C124" s="21" t="s">
        <v>192</v>
      </c>
      <c r="D124" s="21" t="s">
        <v>1023</v>
      </c>
      <c r="E124" s="13">
        <v>43043.762303240743</v>
      </c>
      <c r="F124" s="13">
        <v>43043.768900462965</v>
      </c>
      <c r="G124" s="7">
        <v>57</v>
      </c>
      <c r="H124" s="21" t="s">
        <v>1024</v>
      </c>
      <c r="I124" s="13">
        <v>43043.795798611114</v>
      </c>
      <c r="J124" s="7">
        <v>0</v>
      </c>
      <c r="K124" s="89" t="str">
        <f>IF(ISEVEN(B124),(B124-1)&amp;"/"&amp;B124,B124&amp;"/"&amp;(B124+1))</f>
        <v>4011/4012</v>
      </c>
      <c r="L124" s="185" t="str">
        <f>VLOOKUP(A124,'Trips&amp;Operators'!$C$1:$G$99911,5,FALSE)</f>
        <v>BERLING GARY</v>
      </c>
      <c r="M124" s="6">
        <f>I124-F124</f>
        <v>2.6898148149484769E-2</v>
      </c>
      <c r="N124" s="7">
        <f>24*60*SUM($M124:$M124)</f>
        <v>38.733333335258067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-04T17:17:43-0600',mode:absolute,to:'2017-11-04T20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23.2925</v>
      </c>
      <c r="Z124" s="204">
        <f>RIGHT(H124,LEN(H124)-4)/10000</f>
        <v>3.1399999999999997E-2</v>
      </c>
      <c r="AA124" s="204">
        <f>ABS(Z124-Y124)</f>
        <v>23.261099999999999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/stypes="app*4011*20171105*"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20"/>
        <v>"%USERPROFILE%\Documents\GitHub\eaglep3\Utilities\RefineRTDCRunTimes.py" --tripid 212-04 --locoid 4011 --swversion DE.1.0.9.0 --startMP 204:232925 --initTime 2017-11-04T18:17:43 --startdatetime 2017-11-04T18:27:13 --delay 57 --endMP 204:314 --enddatetime 2017-11-04T19:05:57 --enforcementcount 0 &gt;&gt;%USERPROFILE%\Documents\GitHub\eaglep3-reporting\EC\2017-11-04-refined-times.txt</v>
      </c>
      <c r="AI12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{"issue":{"subject":"","project_id":79,"tracker_id":40,"status_id":1,"priority_id":2,"assigned_to_id":338,"start_date":"2017-11-04","description":"","custom_fields":[{"id":1,"name":"Subdivision","value":"EC"},{"id":4,"name":"Milepost","value":"0.0314"},{"id":17,"name":"Train ID","value":"212-04"},{"id":16,"name":"Locomotive ID","value":"4011"},{"id":130,"name":"Impact","value":""},{"id":150,"name":"Time of Event (Mountain Time)","value":"19:05:57"},{"id":151,"name":"Denver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22"/>
        <v>start /low /b %USERPROFILE%\Documents\GitHub\eaglep3\Utilities\DownloadLogsFromS3.py --loco 4011 --day 2017-11-04</v>
      </c>
      <c r="AN124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24"/>
        <v>https://d0f6bd738d7f1b3e5a7ca70fe4ff75f0.us-east-1.aws.found.io/app/kibana#/discover/Steve-Slow-Train-Analysis-(2080s-and-2083s)?_g=(refreshInterval:(display:Off,pause:!f,section:0,value:0),time:(from:'2017-11-04T17:17:43-0600',mode:absolute,to:'2017-11-04T20:05:57-0600'))&amp;_a=(columns:!('Message%20ID',Summary),filters:!(),index:'emp_*',interval:auto,query:(query_string:(analyze_wildcard:!t,query:'%22rtdc.l.rtdc.4011%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817</v>
      </c>
      <c r="B125" s="7">
        <v>4020</v>
      </c>
      <c r="C125" s="21" t="s">
        <v>192</v>
      </c>
      <c r="D125" s="21" t="s">
        <v>1025</v>
      </c>
      <c r="E125" s="13">
        <v>43043.734525462962</v>
      </c>
      <c r="F125" s="13">
        <v>43043.73978009259</v>
      </c>
      <c r="G125" s="7">
        <v>70</v>
      </c>
      <c r="H125" s="21" t="s">
        <v>925</v>
      </c>
      <c r="I125" s="13">
        <v>43043.764143518521</v>
      </c>
      <c r="J125" s="7">
        <v>0</v>
      </c>
      <c r="K125" s="89" t="str">
        <f>IF(ISEVEN(B125),(B125-1)&amp;"/"&amp;B125,B125&amp;"/"&amp;(B125+1))</f>
        <v>4019/4020</v>
      </c>
      <c r="L125" s="185" t="str">
        <f>VLOOKUP(A125,'Trips&amp;Operators'!$C$1:$G$99911,5,FALSE)</f>
        <v>FORTUNATO FRANK</v>
      </c>
      <c r="M125" s="6">
        <f>I125-F125</f>
        <v>2.436342593136942E-2</v>
      </c>
      <c r="N125" s="7">
        <f>24*60*SUM($M125:$M125)</f>
        <v>35.083333341171965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-04T16:37:43-0600',mode:absolute,to:'2017-11-04T19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5.6399999999999999E-2</v>
      </c>
      <c r="Z125" s="204">
        <f>RIGHT(H125,LEN(H125)-4)/10000</f>
        <v>23.316099999999999</v>
      </c>
      <c r="AA125" s="204">
        <f>ABS(Z125-Y125)</f>
        <v>23.259699999999999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/stypes="app*4020*20171105*"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20"/>
        <v>"%USERPROFILE%\Documents\GitHub\eaglep3\Utilities\RefineRTDCRunTimes.py" --tripid 213-04 --locoid 4020 --swversion DE.1.0.9.0 --startMP 204:564 --initTime 2017-11-04T17:37:43 --startdatetime 2017-11-04T17:45:17 --delay 70 --endMP 204:233161 --enddatetime 2017-11-04T18:20:22 --enforcementcount 0 &gt;&gt;%USERPROFILE%\Documents\GitHub\eaglep3-reporting\EC\2017-11-04-refined-times.txt</v>
      </c>
      <c r="AI12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{"issue":{"subject":"","project_id":79,"tracker_id":40,"status_id":1,"priority_id":2,"assigned_to_id":338,"start_date":"2017-11-04","description":"","custom_fields":[{"id":1,"name":"Subdivision","value":"EC"},{"id":4,"name":"Milepost","value":"23.3161"},{"id":17,"name":"Train ID","value":"213-04"},{"id":16,"name":"Locomotive ID","value":"4020"},{"id":130,"name":"Impact","value":""},{"id":150,"name":"Time of Event (Mountain Time)","value":"18:20:22"},{"id":151,"name":"Denver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22"/>
        <v>start /low /b %USERPROFILE%\Documents\GitHub\eaglep3\Utilities\DownloadLogsFromS3.py --loco 4020 --day 2017-11-04</v>
      </c>
      <c r="AN125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24"/>
        <v>https://d0f6bd738d7f1b3e5a7ca70fe4ff75f0.us-east-1.aws.found.io/app/kibana#/discover/Steve-Slow-Train-Analysis-(2080s-and-2083s)?_g=(refreshInterval:(display:Off,pause:!f,section:0,value:0),time:(from:'2017-11-04T16:37:43-0600',mode:absolute,to:'2017-11-04T19:20:22-0600'))&amp;_a=(columns:!('Message%20ID',Summary),filters:!(),index:'emp_*',interval:auto,query:(query_string:(analyze_wildcard:!t,query:'%22rtdc.l.rtdc.4020%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830</v>
      </c>
      <c r="B126" s="7">
        <v>4019</v>
      </c>
      <c r="C126" s="21" t="s">
        <v>192</v>
      </c>
      <c r="D126" s="21" t="s">
        <v>630</v>
      </c>
      <c r="E126" s="13">
        <v>43043.767465277779</v>
      </c>
      <c r="F126" s="13">
        <v>43043.779421296298</v>
      </c>
      <c r="G126" s="7">
        <v>73</v>
      </c>
      <c r="H126" s="21" t="s">
        <v>524</v>
      </c>
      <c r="I126" s="13">
        <v>43043.806562500002</v>
      </c>
      <c r="J126" s="7">
        <v>0</v>
      </c>
      <c r="K126" s="89" t="str">
        <f>IF(ISEVEN(B126),(B126-1)&amp;"/"&amp;B126,B126&amp;"/"&amp;(B126+1))</f>
        <v>4019/4020</v>
      </c>
      <c r="L126" s="185" t="str">
        <f>VLOOKUP(A126,'Trips&amp;Operators'!$C$1:$G$99911,5,FALSE)</f>
        <v>FORTUNATO FRANK</v>
      </c>
      <c r="M126" s="6">
        <f>I126-F126</f>
        <v>2.7141203703649808E-2</v>
      </c>
      <c r="N126" s="7">
        <f>24*60*SUM($M126:$M126)</f>
        <v>39.083333333255723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-04T17:25:09-0600',mode:absolute,to:'2017-11-04T20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23.286300000000001</v>
      </c>
      <c r="Z126" s="204">
        <f>RIGHT(H126,LEN(H126)-4)/10000</f>
        <v>2.1399999999999999E-2</v>
      </c>
      <c r="AA126" s="204">
        <f>ABS(Z126-Y126)</f>
        <v>23.264900000000001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/stypes="app*4019*20171105*"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20"/>
        <v>"%USERPROFILE%\Documents\GitHub\eaglep3\Utilities\RefineRTDCRunTimes.py" --tripid 214-04 --locoid 4019 --swversion DE.1.0.9.0 --startMP 204:232863 --initTime 2017-11-04T18:25:09 --startdatetime 2017-11-04T18:42:22 --delay 73 --endMP 204:214 --enddatetime 2017-11-04T19:21:27 --enforcementcount 0 &gt;&gt;%USERPROFILE%\Documents\GitHub\eaglep3-reporting\EC\2017-11-04-refined-times.txt</v>
      </c>
      <c r="AI12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{"issue":{"subject":"","project_id":79,"tracker_id":40,"status_id":1,"priority_id":2,"assigned_to_id":338,"start_date":"2017-11-04","description":"","custom_fields":[{"id":1,"name":"Subdivision","value":"EC"},{"id":4,"name":"Milepost","value":"0.0214"},{"id":17,"name":"Train ID","value":"214-04"},{"id":16,"name":"Locomotive ID","value":"4019"},{"id":130,"name":"Impact","value":""},{"id":150,"name":"Time of Event (Mountain Time)","value":"19:21:27"},{"id":151,"name":"Denver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22"/>
        <v>start /low /b %USERPROFILE%\Documents\GitHub\eaglep3\Utilities\DownloadLogsFromS3.py --loco 4019 --day 2017-11-04</v>
      </c>
      <c r="AN126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24"/>
        <v>https://d0f6bd738d7f1b3e5a7ca70fe4ff75f0.us-east-1.aws.found.io/app/kibana#/discover/Steve-Slow-Train-Analysis-(2080s-and-2083s)?_g=(refreshInterval:(display:Off,pause:!f,section:0,value:0),time:(from:'2017-11-04T17:25:09-0600',mode:absolute,to:'2017-11-04T20:21:27-0600'))&amp;_a=(columns:!('Message%20ID',Summary),filters:!(),index:'emp_*',interval:auto,query:(query_string:(analyze_wildcard:!t,query:'%22rtdc.l.rtdc.4019%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824</v>
      </c>
      <c r="B127" s="7">
        <v>4066</v>
      </c>
      <c r="C127" s="21" t="s">
        <v>192</v>
      </c>
      <c r="D127" s="21" t="s">
        <v>1026</v>
      </c>
      <c r="E127" s="13">
        <v>43043.748495370368</v>
      </c>
      <c r="F127" s="13">
        <v>43043.750358796293</v>
      </c>
      <c r="G127" s="7">
        <v>68</v>
      </c>
      <c r="H127" s="21" t="s">
        <v>999</v>
      </c>
      <c r="I127" s="13">
        <v>43043.775949074072</v>
      </c>
      <c r="J127" s="7">
        <v>0</v>
      </c>
      <c r="K127" s="89" t="str">
        <f>IF(ISEVEN(B127),(B127-1)&amp;"/"&amp;B127,B127&amp;"/"&amp;(B127+1))</f>
        <v>4065/4066</v>
      </c>
      <c r="L127" s="185" t="str">
        <f>VLOOKUP(A127,'Trips&amp;Operators'!$C$1:$G$99911,5,FALSE)</f>
        <v>STRICKLAND EVAN</v>
      </c>
      <c r="M127" s="6">
        <f>I127-F127</f>
        <v>2.5590277778974269E-2</v>
      </c>
      <c r="N127" s="7">
        <f>24*60*SUM($M127:$M127)</f>
        <v>36.850000001722947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-04T16:57:50-0600',mode:absolute,to:'2017-11-04T19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5.7500000000000002E-2</v>
      </c>
      <c r="Z127" s="204">
        <f>RIGHT(H127,LEN(H127)-4)/10000</f>
        <v>23.319500000000001</v>
      </c>
      <c r="AA127" s="204">
        <f>ABS(Z127-Y127)</f>
        <v>23.262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/stypes="app*4066*20171105*"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20"/>
        <v>"%USERPROFILE%\Documents\GitHub\eaglep3\Utilities\RefineRTDCRunTimes.py" --tripid 215-04 --locoid 4066 --swversion DE.1.0.9.0 --startMP 204:575 --initTime 2017-11-04T17:57:50 --startdatetime 2017-11-04T18:00:31 --delay 68 --endMP 204:233195 --enddatetime 2017-11-04T18:37:22 --enforcementcount 0 &gt;&gt;%USERPROFILE%\Documents\GitHub\eaglep3-reporting\EC\2017-11-04-refined-times.txt</v>
      </c>
      <c r="AI127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{"issue":{"subject":"","project_id":79,"tracker_id":40,"status_id":1,"priority_id":2,"assigned_to_id":338,"start_date":"2017-11-04","description":"","custom_fields":[{"id":1,"name":"Subdivision","value":"EC"},{"id":4,"name":"Milepost","value":"23.3195"},{"id":17,"name":"Train ID","value":"215-04"},{"id":16,"name":"Locomotive ID","value":"4066"},{"id":130,"name":"Impact","value":""},{"id":150,"name":"Time of Event (Mountain Time)","value":"18:37:22"},{"id":151,"name":"Denver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22"/>
        <v>start /low /b %USERPROFILE%\Documents\GitHub\eaglep3\Utilities\DownloadLogsFromS3.py --loco 4066 --day 2017-11-04</v>
      </c>
      <c r="AN127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24"/>
        <v>https://d0f6bd738d7f1b3e5a7ca70fe4ff75f0.us-east-1.aws.found.io/app/kibana#/discover/Steve-Slow-Train-Analysis-(2080s-and-2083s)?_g=(refreshInterval:(display:Off,pause:!f,section:0,value:0),time:(from:'2017-11-04T16:57:50-0600',mode:absolute,to:'2017-11-04T19:37:22-0600'))&amp;_a=(columns:!('Message%20ID',Summary),filters:!(),index:'emp_*',interval:auto,query:(query_string:(analyze_wildcard:!t,query:'%22rtdc.l.rtdc.4066%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835</v>
      </c>
      <c r="B128" s="7">
        <v>4065</v>
      </c>
      <c r="C128" s="21" t="s">
        <v>192</v>
      </c>
      <c r="D128" s="21" t="s">
        <v>518</v>
      </c>
      <c r="E128" s="13">
        <v>43043.784687500003</v>
      </c>
      <c r="F128" s="13">
        <v>43043.790046296293</v>
      </c>
      <c r="G128" s="7">
        <v>86</v>
      </c>
      <c r="H128" s="21" t="s">
        <v>625</v>
      </c>
      <c r="I128" s="13">
        <v>43043.817129629628</v>
      </c>
      <c r="J128" s="7">
        <v>0</v>
      </c>
      <c r="K128" s="89" t="str">
        <f>IF(ISEVEN(B128),(B128-1)&amp;"/"&amp;B128,B128&amp;"/"&amp;(B128+1))</f>
        <v>4065/4066</v>
      </c>
      <c r="L128" s="185" t="str">
        <f>VLOOKUP(A128,'Trips&amp;Operators'!$C$1:$G$99911,5,FALSE)</f>
        <v>STRICKLAND EVAN</v>
      </c>
      <c r="M128" s="6">
        <f>I128-F128</f>
        <v>2.7083333334303461E-2</v>
      </c>
      <c r="N128" s="7">
        <f>24*60*SUM($M128:$M128)</f>
        <v>39.000000001396984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-04T17:49:57-0600',mode:absolute,to:'2017-11-04T20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23.2883</v>
      </c>
      <c r="Z128" s="204">
        <f>RIGHT(H128,LEN(H128)-4)/10000</f>
        <v>2.5399999999999999E-2</v>
      </c>
      <c r="AA128" s="204">
        <f>ABS(Z128-Y128)</f>
        <v>23.262899999999998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/stypes="app*4065*20171105*"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20"/>
        <v>"%USERPROFILE%\Documents\GitHub\eaglep3\Utilities\RefineRTDCRunTimes.py" --tripid 216-04 --locoid 4065 --swversion DE.1.0.9.0 --startMP 204:232883 --initTime 2017-11-04T18:49:57 --startdatetime 2017-11-04T18:57:40 --delay 86 --endMP 204:254 --enddatetime 2017-11-04T19:36:40 --enforcementcount 0 &gt;&gt;%USERPROFILE%\Documents\GitHub\eaglep3-reporting\EC\2017-11-04-refined-times.txt</v>
      </c>
      <c r="AI12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{"issue":{"subject":"","project_id":79,"tracker_id":40,"status_id":1,"priority_id":2,"assigned_to_id":338,"start_date":"2017-11-04","description":"","custom_fields":[{"id":1,"name":"Subdivision","value":"EC"},{"id":4,"name":"Milepost","value":"0.0254"},{"id":17,"name":"Train ID","value":"216-04"},{"id":16,"name":"Locomotive ID","value":"4065"},{"id":130,"name":"Impact","value":""},{"id":150,"name":"Time of Event (Mountain Time)","value":"19:36:40"},{"id":151,"name":"Denver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22"/>
        <v>start /low /b %USERPROFILE%\Documents\GitHub\eaglep3\Utilities\DownloadLogsFromS3.py --loco 4065 --day 2017-11-04</v>
      </c>
      <c r="AN128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24"/>
        <v>https://d0f6bd738d7f1b3e5a7ca70fe4ff75f0.us-east-1.aws.found.io/app/kibana#/discover/Steve-Slow-Train-Analysis-(2080s-and-2083s)?_g=(refreshInterval:(display:Off,pause:!f,section:0,value:0),time:(from:'2017-11-04T17:49:57-0600',mode:absolute,to:'2017-11-04T20:36:40-0600'))&amp;_a=(columns:!('Message%20ID',Summary),filters:!(),index:'emp_*',interval:auto,query:(query_string:(analyze_wildcard:!t,query:'%22rtdc.l.rtdc.4065%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827</v>
      </c>
      <c r="B129" s="7">
        <v>4036</v>
      </c>
      <c r="C129" s="21" t="s">
        <v>192</v>
      </c>
      <c r="D129" s="21" t="s">
        <v>1027</v>
      </c>
      <c r="E129" s="13">
        <v>43043.755416666667</v>
      </c>
      <c r="F129" s="13">
        <v>43043.760567129626</v>
      </c>
      <c r="G129" s="7">
        <v>94</v>
      </c>
      <c r="H129" s="21" t="s">
        <v>1028</v>
      </c>
      <c r="I129" s="13">
        <v>43043.784398148149</v>
      </c>
      <c r="J129" s="7">
        <v>0</v>
      </c>
      <c r="K129" s="89" t="str">
        <f>IF(ISEVEN(B129),(B129-1)&amp;"/"&amp;B129,B129&amp;"/"&amp;(B129+1))</f>
        <v>4035/4036</v>
      </c>
      <c r="L129" s="185" t="str">
        <f>VLOOKUP(A129,'Trips&amp;Operators'!$C$1:$G$99911,5,FALSE)</f>
        <v>ELBAUM MIKE</v>
      </c>
      <c r="M129" s="6">
        <f>I129-F129</f>
        <v>2.383101852319669E-2</v>
      </c>
      <c r="N129" s="7">
        <f>24*60*SUM($M129:$M129)</f>
        <v>34.316666673403233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-04T17:07:48-0600',mode:absolute,to:'2017-11-04T19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5.4800000000000001E-2</v>
      </c>
      <c r="Z129" s="204">
        <f>RIGHT(H129,LEN(H129)-4)/10000</f>
        <v>23.3245</v>
      </c>
      <c r="AA129" s="204">
        <f>ABS(Z129-Y129)</f>
        <v>23.2697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/stypes="app*4036*20171105*"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20"/>
        <v>"%USERPROFILE%\Documents\GitHub\eaglep3\Utilities\RefineRTDCRunTimes.py" --tripid 217-04 --locoid 4036 --swversion DE.1.0.9.0 --startMP 204:548 --initTime 2017-11-04T18:07:48 --startdatetime 2017-11-04T18:15:13 --delay 94 --endMP 204:233245 --enddatetime 2017-11-04T18:49:32 --enforcementcount 0 &gt;&gt;%USERPROFILE%\Documents\GitHub\eaglep3-reporting\EC\2017-11-04-refined-times.txt</v>
      </c>
      <c r="AI129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{"issue":{"subject":"","project_id":79,"tracker_id":40,"status_id":1,"priority_id":2,"assigned_to_id":338,"start_date":"2017-11-04","description":"","custom_fields":[{"id":1,"name":"Subdivision","value":"EC"},{"id":4,"name":"Milepost","value":"23.3245"},{"id":17,"name":"Train ID","value":"217-04"},{"id":16,"name":"Locomotive ID","value":"4036"},{"id":130,"name":"Impact","value":""},{"id":150,"name":"Time of Event (Mountain Time)","value":"18:49:32"},{"id":151,"name":"Denver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22"/>
        <v>start /low /b %USERPROFILE%\Documents\GitHub\eaglep3\Utilities\DownloadLogsFromS3.py --loco 4036 --day 2017-11-04</v>
      </c>
      <c r="AN129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24"/>
        <v>https://d0f6bd738d7f1b3e5a7ca70fe4ff75f0.us-east-1.aws.found.io/app/kibana#/discover/Steve-Slow-Train-Analysis-(2080s-and-2083s)?_g=(refreshInterval:(display:Off,pause:!f,section:0,value:0),time:(from:'2017-11-04T17:07:48-0600',mode:absolute,to:'2017-11-04T19:49:32-0600'))&amp;_a=(columns:!('Message%20ID',Summary),filters:!(),index:'emp_*',interval:auto,query:(query_string:(analyze_wildcard:!t,query:'%22rtdc.l.rtdc.4036%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836</v>
      </c>
      <c r="B130" s="7">
        <v>4035</v>
      </c>
      <c r="C130" s="21" t="s">
        <v>192</v>
      </c>
      <c r="D130" s="21" t="s">
        <v>519</v>
      </c>
      <c r="E130" s="13">
        <v>43043.785497685189</v>
      </c>
      <c r="F130" s="13">
        <v>43043.800150462965</v>
      </c>
      <c r="G130" s="7">
        <v>82</v>
      </c>
      <c r="H130" s="21" t="s">
        <v>1029</v>
      </c>
      <c r="I130" s="13">
        <v>43043.825520833336</v>
      </c>
      <c r="J130" s="7">
        <v>0</v>
      </c>
      <c r="K130" s="89" t="str">
        <f>IF(ISEVEN(B130),(B130-1)&amp;"/"&amp;B130,B130&amp;"/"&amp;(B130+1))</f>
        <v>4035/4036</v>
      </c>
      <c r="L130" s="185" t="str">
        <f>VLOOKUP(A130,'Trips&amp;Operators'!$C$1:$G$99911,5,FALSE)</f>
        <v>ELBAUM MIKE</v>
      </c>
      <c r="M130" s="6">
        <f>I130-F130</f>
        <v>2.5370370371092577E-2</v>
      </c>
      <c r="N130" s="7">
        <f>24*60*SUM($M130:$M130)</f>
        <v>36.53333333437331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-04T17:51:07-0600',mode:absolute,to:'2017-11-04T20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23.2942</v>
      </c>
      <c r="Z130" s="204">
        <f>RIGHT(H130,LEN(H130)-4)/10000</f>
        <v>2.6499999999999999E-2</v>
      </c>
      <c r="AA130" s="204">
        <f>ABS(Z130-Y130)</f>
        <v>23.267700000000001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/stypes="app*4035*20171105*"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20"/>
        <v>"%USERPROFILE%\Documents\GitHub\eaglep3\Utilities\RefineRTDCRunTimes.py" --tripid 218-04 --locoid 4035 --swversion DE.1.0.9.0 --startMP 204:232942 --initTime 2017-11-04T18:51:07 --startdatetime 2017-11-04T19:12:13 --delay 82 --endMP 204:265 --enddatetime 2017-11-04T19:48:45 --enforcementcount 0 &gt;&gt;%USERPROFILE%\Documents\GitHub\eaglep3-reporting\EC\2017-11-04-refined-times.txt</v>
      </c>
      <c r="AI130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{"issue":{"subject":"","project_id":79,"tracker_id":40,"status_id":1,"priority_id":2,"assigned_to_id":338,"start_date":"2017-11-04","description":"","custom_fields":[{"id":1,"name":"Subdivision","value":"EC"},{"id":4,"name":"Milepost","value":"0.0265"},{"id":17,"name":"Train ID","value":"218-04"},{"id":16,"name":"Locomotive ID","value":"4035"},{"id":130,"name":"Impact","value":""},{"id":150,"name":"Time of Event (Mountain Time)","value":"19:48:45"},{"id":151,"name":"Denver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22"/>
        <v>start /low /b %USERPROFILE%\Documents\GitHub\eaglep3\Utilities\DownloadLogsFromS3.py --loco 4035 --day 2017-11-04</v>
      </c>
      <c r="AN130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24"/>
        <v>https://d0f6bd738d7f1b3e5a7ca70fe4ff75f0.us-east-1.aws.found.io/app/kibana#/discover/Steve-Slow-Train-Analysis-(2080s-and-2083s)?_g=(refreshInterval:(display:Off,pause:!f,section:0,value:0),time:(from:'2017-11-04T17:51:07-0600',mode:absolute,to:'2017-11-04T20:48:45-0600'))&amp;_a=(columns:!('Message%20ID',Summary),filters:!(),index:'emp_*',interval:auto,query:(query_string:(analyze_wildcard:!t,query:'%22rtdc.l.rtdc.4035%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829</v>
      </c>
      <c r="B131" s="7">
        <v>4022</v>
      </c>
      <c r="C131" s="21" t="s">
        <v>192</v>
      </c>
      <c r="D131" s="21" t="s">
        <v>1030</v>
      </c>
      <c r="E131" s="13">
        <v>43043.764189814814</v>
      </c>
      <c r="F131" s="13">
        <v>43043.771018518521</v>
      </c>
      <c r="G131" s="7">
        <v>77</v>
      </c>
      <c r="H131" s="21" t="s">
        <v>1031</v>
      </c>
      <c r="I131" s="13">
        <v>43043.797048611108</v>
      </c>
      <c r="J131" s="7">
        <v>0</v>
      </c>
      <c r="K131" s="89" t="str">
        <f>IF(ISEVEN(B131),(B131-1)&amp;"/"&amp;B131,B131&amp;"/"&amp;(B131+1))</f>
        <v>4021/4022</v>
      </c>
      <c r="L131" s="185" t="str">
        <f>VLOOKUP(A131,'Trips&amp;Operators'!$C$1:$G$99911,5,FALSE)</f>
        <v>NICHOLSON WESLEY</v>
      </c>
      <c r="M131" s="6">
        <f>I131-F131</f>
        <v>2.6030092587461695E-2</v>
      </c>
      <c r="N131" s="7">
        <f>24*60*SUM($M131:$M131)</f>
        <v>37.483333325944841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-04T17:20:26-0600',mode:absolute,to:'2017-11-04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5.5500000000000001E-2</v>
      </c>
      <c r="Z131" s="204">
        <f>RIGHT(H131,LEN(H131)-4)/10000</f>
        <v>23.319600000000001</v>
      </c>
      <c r="AA131" s="204">
        <f>ABS(Z131-Y131)</f>
        <v>23.264100000000003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s3://rtdc.mdm.uploadarchive.raw/RTDC4022/ "%USERPROFILE%\AppData\Local\Temp\OnboardLogs"\RTDC4022\2017-11-04 --exclude "*" --recursive --include "*20171104*" &amp; "%USERPROFILE%\Documents\GitHub\mrs-test-scripts\Headless Mode &amp; Sideloading\WalkAndUnGZ.bat" "%USERPROFILE%\AppData\Local\Temp\OnboardLogs"\RTDC4022\2017-11-04 &amp; 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/stypes="app*4022*20171105*"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20"/>
        <v>"%USERPROFILE%\Documents\GitHub\eaglep3\Utilities\RefineRTDCRunTimes.py" --tripid 219-04 --locoid 4022 --swversion DE.1.0.9.0 --startMP 204:555 --initTime 2017-11-04T18:20:26 --startdatetime 2017-11-04T18:30:16 --delay 77 --endMP 204:233196 --enddatetime 2017-11-04T19:07:45 --enforcementcount 0 &gt;&gt;%USERPROFILE%\Documents\GitHub\eaglep3-reporting\EC\2017-11-04-refined-times.txt</v>
      </c>
      <c r="AI13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{"issue":{"subject":"","project_id":79,"tracker_id":40,"status_id":1,"priority_id":2,"assigned_to_id":338,"start_date":"2017-11-04","description":"","custom_fields":[{"id":1,"name":"Subdivision","value":"EC"},{"id":4,"name":"Milepost","value":"23.3196"},{"id":17,"name":"Train ID","value":"219-04"},{"id":16,"name":"Locomotive ID","value":"4022"},{"id":130,"name":"Impact","value":""},{"id":150,"name":"Time of Event (Mountain Time)","value":"19:07:45"},{"id":151,"name":"Denver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22"/>
        <v>start /low /b %USERPROFILE%\Documents\GitHub\eaglep3\Utilities\DownloadLogsFromS3.py --loco 4022 --day 2017-11-04</v>
      </c>
      <c r="AN131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24"/>
        <v>https://d0f6bd738d7f1b3e5a7ca70fe4ff75f0.us-east-1.aws.found.io/app/kibana#/discover/Steve-Slow-Train-Analysis-(2080s-and-2083s)?_g=(refreshInterval:(display:Off,pause:!f,section:0,value:0),time:(from:'2017-11-04T17:20:26-0600',mode:absolute,to:'2017-11-04T20:07:45-0600'))&amp;_a=(columns:!('Message%20ID',Summary),filters:!(),index:'emp_*',interval:auto,query:(query_string:(analyze_wildcard:!t,query:'%22rtdc.l.rtdc.4022%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842</v>
      </c>
      <c r="B132" s="7">
        <v>4021</v>
      </c>
      <c r="C132" s="21" t="s">
        <v>192</v>
      </c>
      <c r="D132" s="21" t="s">
        <v>1032</v>
      </c>
      <c r="E132" s="13">
        <v>43043.801145833335</v>
      </c>
      <c r="F132" s="13">
        <v>43043.810925925929</v>
      </c>
      <c r="G132" s="7">
        <v>142</v>
      </c>
      <c r="H132" s="21" t="s">
        <v>1033</v>
      </c>
      <c r="I132" s="13">
        <v>43043.838148148148</v>
      </c>
      <c r="J132" s="7">
        <v>0</v>
      </c>
      <c r="K132" s="89" t="str">
        <f>IF(ISEVEN(B132),(B132-1)&amp;"/"&amp;B132,B132&amp;"/"&amp;(B132+1))</f>
        <v>4021/4022</v>
      </c>
      <c r="L132" s="185" t="str">
        <f>VLOOKUP(A132,'Trips&amp;Operators'!$C$1:$G$99911,5,FALSE)</f>
        <v>NICHOLSON WESLEY</v>
      </c>
      <c r="M132" s="6">
        <f>I132-F132</f>
        <v>2.7222222219279502E-2</v>
      </c>
      <c r="N132" s="7">
        <f>24*60*SUM($M132:$M132)</f>
        <v>39.199999995762482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-04T18:13:39-0600',mode:absolute,to:'2017-11-04T21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23.285699999999999</v>
      </c>
      <c r="Z132" s="204">
        <f>RIGHT(H132,LEN(H132)-4)/10000</f>
        <v>3.44E-2</v>
      </c>
      <c r="AA132" s="204">
        <f>ABS(Z132-Y132)</f>
        <v>23.251299999999997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"%USERPROFILE%\AppData\Local\Temp\OnboardLogs"\RTDC4021\2017-11-04 --exclude "*" --recursive --include "*20171104*" &amp; "%USERPROFILE%\Documents\GitHub\mrs-test-scripts\Headless Mode &amp; Sideloading\WalkAndUnGZ.bat" "%USERPROFILE%\AppData\Local\Temp\OnboardLogs"\RTDC4021\2017-11-04 &amp; aws s3 cp s3://rtdc.mdm.uploadarchive.raw/RTDC4021/ "%USERPROFILE%\AppData\Local\Temp\OnboardLogs"\RTDC4021\2017-11-05 --exclude "*" --recursive --include "*20171105*" &amp; "%USERPROFILE%\Documents\GitHub\mrs-test-scripts\Headless Mode &amp; Sideloading\WalkAndUnGZ.bat" "%USERPROFILE%\AppData\Local\Temp\OnboardLogs"\RTDC4021\2017-11-05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/stypes="app*4021*20171105*"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20"/>
        <v>"%USERPROFILE%\Documents\GitHub\eaglep3\Utilities\RefineRTDCRunTimes.py" --tripid 220-04 --locoid 4021 --swversion DE.1.0.9.0 --startMP 204:232857 --initTime 2017-11-04T19:13:39 --startdatetime 2017-11-04T19:27:44 --delay 142 --endMP 204:344 --enddatetime 2017-11-04T20:06:56 --enforcementcount 0 &gt;&gt;%USERPROFILE%\Documents\GitHub\eaglep3-reporting\EC\2017-11-04-refined-times.txt</v>
      </c>
      <c r="AI13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{"issue":{"subject":"","project_id":79,"tracker_id":40,"status_id":1,"priority_id":2,"assigned_to_id":338,"start_date":"2017-11-04","description":"","custom_fields":[{"id":1,"name":"Subdivision","value":"EC"},{"id":4,"name":"Milepost","value":"0.0344"},{"id":17,"name":"Train ID","value":"220-04"},{"id":16,"name":"Locomotive ID","value":"4021"},{"id":130,"name":"Impact","value":""},{"id":150,"name":"Time of Event (Mountain Time)","value":"20:06:56"},{"id":151,"name":"Denver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22"/>
        <v>start /low /b %USERPROFILE%\Documents\GitHub\eaglep3\Utilities\DownloadLogsFromS3.py --loco 4021 --day 2017-11-04</v>
      </c>
      <c r="AN132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24"/>
        <v>https://d0f6bd738d7f1b3e5a7ca70fe4ff75f0.us-east-1.aws.found.io/app/kibana#/discover/Steve-Slow-Train-Analysis-(2080s-and-2083s)?_g=(refreshInterval:(display:Off,pause:!f,section:0,value:0),time:(from:'2017-11-04T18:13:39-0600',mode:absolute,to:'2017-11-04T21:06:56-0600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837</v>
      </c>
      <c r="B133" s="7">
        <v>4006</v>
      </c>
      <c r="C133" s="21" t="s">
        <v>192</v>
      </c>
      <c r="D133" s="21" t="s">
        <v>1034</v>
      </c>
      <c r="E133" s="13">
        <v>43043.788900462961</v>
      </c>
      <c r="F133" s="13">
        <v>43043.792129629626</v>
      </c>
      <c r="G133" s="7">
        <v>83</v>
      </c>
      <c r="H133" s="21" t="s">
        <v>990</v>
      </c>
      <c r="I133" s="13">
        <v>43043.816828703704</v>
      </c>
      <c r="J133" s="7">
        <v>0</v>
      </c>
      <c r="K133" s="89" t="str">
        <f>IF(ISEVEN(B133),(B133-1)&amp;"/"&amp;B133,B133&amp;"/"&amp;(B133+1))</f>
        <v>4005/4006</v>
      </c>
      <c r="L133" s="185" t="str">
        <f>VLOOKUP(A133,'Trips&amp;Operators'!$C$1:$G$99911,5,FALSE)</f>
        <v>WEST BRYAN</v>
      </c>
      <c r="M133" s="6">
        <f>I133-F133</f>
        <v>2.4699074077943806E-2</v>
      </c>
      <c r="N133" s="7">
        <f>24*60*SUM($M133:$M133)</f>
        <v>35.56666667223908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-04T17:56:01-0600',mode:absolute,to:'2017-11-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6.0100000000000001E-2</v>
      </c>
      <c r="Z133" s="204">
        <f>RIGHT(H133,LEN(H133)-4)/10000</f>
        <v>23.327400000000001</v>
      </c>
      <c r="AA133" s="204">
        <f>ABS(Z133-Y133)</f>
        <v>23.267300000000002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/stypes="app*4006*20171105*"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20"/>
        <v>"%USERPROFILE%\Documents\GitHub\eaglep3\Utilities\RefineRTDCRunTimes.py" --tripid 221-04 --locoid 4006 --swversion DE.1.0.9.0 --startMP 204:601 --initTime 2017-11-04T18:56:01 --startdatetime 2017-11-04T19:00:40 --delay 83 --endMP 204:233274 --enddatetime 2017-11-04T19:36:14 --enforcementcount 0 &gt;&gt;%USERPROFILE%\Documents\GitHub\eaglep3-reporting\EC\2017-11-04-refined-times.txt</v>
      </c>
      <c r="AI13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{"issue":{"subject":"","project_id":79,"tracker_id":40,"status_id":1,"priority_id":2,"assigned_to_id":338,"start_date":"2017-11-04","description":"","custom_fields":[{"id":1,"name":"Subdivision","value":"EC"},{"id":4,"name":"Milepost","value":"23.3274"},{"id":17,"name":"Train ID","value":"221-04"},{"id":16,"name":"Locomotive ID","value":"4006"},{"id":130,"name":"Impact","value":""},{"id":150,"name":"Time of Event (Mountain Time)","value":"19:36:14"},{"id":151,"name":"Denver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22"/>
        <v>start /low /b %USERPROFILE%\Documents\GitHub\eaglep3\Utilities\DownloadLogsFromS3.py --loco 4006 --day 2017-11-04</v>
      </c>
      <c r="AN133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24"/>
        <v>https://d0f6bd738d7f1b3e5a7ca70fe4ff75f0.us-east-1.aws.found.io/app/kibana#/discover/Steve-Slow-Train-Analysis-(2080s-and-2083s)?_g=(refreshInterval:(display:Off,pause:!f,section:0,value:0),time:(from:'2017-11-04T17:56:01-0600',mode:absolute,to:'2017-11-04T20:36:14-0600'))&amp;_a=(columns:!('Message%20ID',Summary),filters:!(),index:'emp_*',interval:auto,query:(query_string:(analyze_wildcard:!t,query:'%22rtdc.l.rtdc.4006%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846</v>
      </c>
      <c r="B134" s="7">
        <v>4005</v>
      </c>
      <c r="C134" s="21" t="s">
        <v>192</v>
      </c>
      <c r="D134" s="21" t="s">
        <v>595</v>
      </c>
      <c r="E134" s="13">
        <v>43043.823622685188</v>
      </c>
      <c r="F134" s="13">
        <v>43043.83152777778</v>
      </c>
      <c r="G134" s="7">
        <v>80</v>
      </c>
      <c r="H134" s="21" t="s">
        <v>1035</v>
      </c>
      <c r="I134" s="13">
        <v>43043.857407407406</v>
      </c>
      <c r="J134" s="7">
        <v>0</v>
      </c>
      <c r="K134" s="89" t="str">
        <f>IF(ISEVEN(B134),(B134-1)&amp;"/"&amp;B134,B134&amp;"/"&amp;(B134+1))</f>
        <v>4005/4006</v>
      </c>
      <c r="L134" s="185" t="str">
        <f>VLOOKUP(A134,'Trips&amp;Operators'!$C$1:$G$99911,5,FALSE)</f>
        <v>WEST BRYAN</v>
      </c>
      <c r="M134" s="6">
        <f>I134-F134</f>
        <v>2.5879629625706002E-2</v>
      </c>
      <c r="N134" s="7">
        <f>24*60*SUM($M134:$M134)</f>
        <v>37.266666661016643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-04T18:46:01-0600',mode:absolute,to:'2017-11-04T21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23.295500000000001</v>
      </c>
      <c r="Z134" s="204">
        <f>RIGHT(H134,LEN(H134)-4)/10000</f>
        <v>1.7000000000000001E-2</v>
      </c>
      <c r="AA134" s="204">
        <f>ABS(Z134-Y134)</f>
        <v>23.278500000000001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/stypes="app*4005*20171105*"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20"/>
        <v>"%USERPROFILE%\Documents\GitHub\eaglep3\Utilities\RefineRTDCRunTimes.py" --tripid 222-04 --locoid 4005 --swversion DE.1.0.9.0 --startMP 204:232955 --initTime 2017-11-04T19:46:01 --startdatetime 2017-11-04T19:57:24 --delay 80 --endMP 204:170 --enddatetime 2017-11-04T20:34:40 --enforcementcount 0 &gt;&gt;%USERPROFILE%\Documents\GitHub\eaglep3-reporting\EC\2017-11-04-refined-times.txt</v>
      </c>
      <c r="AI13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{"issue":{"subject":"","project_id":79,"tracker_id":40,"status_id":1,"priority_id":2,"assigned_to_id":338,"start_date":"2017-11-04","description":"","custom_fields":[{"id":1,"name":"Subdivision","value":"EC"},{"id":4,"name":"Milepost","value":"0.017"},{"id":17,"name":"Train ID","value":"222-04"},{"id":16,"name":"Locomotive ID","value":"4005"},{"id":130,"name":"Impact","value":""},{"id":150,"name":"Time of Event (Mountain Time)","value":"20:34:40"},{"id":151,"name":"Denver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22"/>
        <v>start /low /b %USERPROFILE%\Documents\GitHub\eaglep3\Utilities\DownloadLogsFromS3.py --loco 4005 --day 2017-11-04</v>
      </c>
      <c r="AN134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24"/>
        <v>https://d0f6bd738d7f1b3e5a7ca70fe4ff75f0.us-east-1.aws.found.io/app/kibana#/discover/Steve-Slow-Train-Analysis-(2080s-and-2083s)?_g=(refreshInterval:(display:Off,pause:!f,section:0,value:0),time:(from:'2017-11-04T18:46:01-0600',mode:absolute,to:'2017-11-04T21:34:40-0600'))&amp;_a=(columns:!('Message%20ID',Summary),filters:!(),index:'emp_*',interval:auto,query:(query_string:(analyze_wildcard:!t,query:'%22rtdc.l.rtdc.4005%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843</v>
      </c>
      <c r="B135" s="7">
        <v>4020</v>
      </c>
      <c r="C135" s="21" t="s">
        <v>192</v>
      </c>
      <c r="D135" s="21" t="s">
        <v>1036</v>
      </c>
      <c r="E135" s="13">
        <v>43043.808831018519</v>
      </c>
      <c r="F135" s="13">
        <v>43043.812696759262</v>
      </c>
      <c r="G135" s="7">
        <v>48</v>
      </c>
      <c r="H135" s="21" t="s">
        <v>1037</v>
      </c>
      <c r="I135" s="13">
        <v>43043.83798611111</v>
      </c>
      <c r="J135" s="7">
        <v>0</v>
      </c>
      <c r="K135" s="89" t="str">
        <f>IF(ISEVEN(B135),(B135-1)&amp;"/"&amp;B135,B135&amp;"/"&amp;(B135+1))</f>
        <v>4019/4020</v>
      </c>
      <c r="L135" s="185" t="str">
        <f>VLOOKUP(A135,'Trips&amp;Operators'!$C$1:$G$99911,5,FALSE)</f>
        <v>FORTUNATO FRANK</v>
      </c>
      <c r="M135" s="6">
        <f>I135-F135</f>
        <v>2.5289351848186925E-2</v>
      </c>
      <c r="N135" s="7">
        <f>24*60*SUM($M135:$M135)</f>
        <v>36.416666661389172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-04T18:24:43-0600',mode:absolute,to:'2017-11-04T21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5.1900000000000002E-2</v>
      </c>
      <c r="Z135" s="204">
        <f>RIGHT(H135,LEN(H135)-4)/10000</f>
        <v>23.318000000000001</v>
      </c>
      <c r="AA135" s="204">
        <f>ABS(Z135-Y135)</f>
        <v>23.266100000000002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/stypes="app*4020*20171105*"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20"/>
        <v>"%USERPROFILE%\Documents\GitHub\eaglep3\Utilities\RefineRTDCRunTimes.py" --tripid 223-04 --locoid 4020 --swversion DE.1.0.9.0 --startMP 204:519 --initTime 2017-11-04T19:24:43 --startdatetime 2017-11-04T19:30:17 --delay 48 --endMP 204:233180 --enddatetime 2017-11-04T20:06:42 --enforcementcount 0 &gt;&gt;%USERPROFILE%\Documents\GitHub\eaglep3-reporting\EC\2017-11-04-refined-times.txt</v>
      </c>
      <c r="AI13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{"issue":{"subject":"","project_id":79,"tracker_id":40,"status_id":1,"priority_id":2,"assigned_to_id":338,"start_date":"2017-11-04","description":"","custom_fields":[{"id":1,"name":"Subdivision","value":"EC"},{"id":4,"name":"Milepost","value":"23.318"},{"id":17,"name":"Train ID","value":"223-04"},{"id":16,"name":"Locomotive ID","value":"4020"},{"id":130,"name":"Impact","value":""},{"id":150,"name":"Time of Event (Mountain Time)","value":"20:06:42"},{"id":151,"name":"Denver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22"/>
        <v>start /low /b %USERPROFILE%\Documents\GitHub\eaglep3\Utilities\DownloadLogsFromS3.py --loco 4020 --day 2017-11-04</v>
      </c>
      <c r="AN135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24"/>
        <v>https://d0f6bd738d7f1b3e5a7ca70fe4ff75f0.us-east-1.aws.found.io/app/kibana#/discover/Steve-Slow-Train-Analysis-(2080s-and-2083s)?_g=(refreshInterval:(display:Off,pause:!f,section:0,value:0),time:(from:'2017-11-04T18:24:43-0600',mode:absolute,to:'2017-11-04T21:06:42-0600'))&amp;_a=(columns:!('Message%20ID',Summary),filters:!(),index:'emp_*',interval:auto,query:(query_string:(analyze_wildcard:!t,query:'%22rtdc.l.rtdc.4020%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849</v>
      </c>
      <c r="B136" s="7">
        <v>4019</v>
      </c>
      <c r="C136" s="21" t="s">
        <v>192</v>
      </c>
      <c r="D136" s="21" t="s">
        <v>630</v>
      </c>
      <c r="E136" s="13">
        <v>43043.839618055557</v>
      </c>
      <c r="F136" s="13">
        <v>43043.852280092593</v>
      </c>
      <c r="G136" s="7">
        <v>71</v>
      </c>
      <c r="H136" s="21" t="s">
        <v>911</v>
      </c>
      <c r="I136" s="13">
        <v>43043.878969907404</v>
      </c>
      <c r="J136" s="7">
        <v>0</v>
      </c>
      <c r="K136" s="89" t="str">
        <f>IF(ISEVEN(B136),(B136-1)&amp;"/"&amp;B136,B136&amp;"/"&amp;(B136+1))</f>
        <v>4019/4020</v>
      </c>
      <c r="L136" s="185" t="str">
        <f>VLOOKUP(A136,'Trips&amp;Operators'!$C$1:$G$99911,5,FALSE)</f>
        <v>FORTUNATO FRANK</v>
      </c>
      <c r="M136" s="6">
        <f>I136-F136</f>
        <v>2.6689814811106771E-2</v>
      </c>
      <c r="N136" s="7">
        <f>24*60*SUM($M136:$M136)</f>
        <v>38.433333327993751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-04T19:09:03-0600',mode:absolute,to:'2017-11-04T22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23.286300000000001</v>
      </c>
      <c r="Z136" s="204">
        <f>RIGHT(H136,LEN(H136)-4)/10000</f>
        <v>1.9199999999999998E-2</v>
      </c>
      <c r="AA136" s="204">
        <f>ABS(Z136-Y136)</f>
        <v>23.267099999999999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/stypes="app*4019*20171105*"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20"/>
        <v>"%USERPROFILE%\Documents\GitHub\eaglep3\Utilities\RefineRTDCRunTimes.py" --tripid 224-04 --locoid 4019 --swversion DE.1.0.9.0 --startMP 204:232863 --initTime 2017-11-04T20:09:03 --startdatetime 2017-11-04T20:27:17 --delay 71 --endMP 204:192 --enddatetime 2017-11-04T21:05:43 --enforcementcount 0 &gt;&gt;%USERPROFILE%\Documents\GitHub\eaglep3-reporting\EC\2017-11-04-refined-times.txt</v>
      </c>
      <c r="AI13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{"issue":{"subject":"","project_id":79,"tracker_id":40,"status_id":1,"priority_id":2,"assigned_to_id":338,"start_date":"2017-11-04","description":"","custom_fields":[{"id":1,"name":"Subdivision","value":"EC"},{"id":4,"name":"Milepost","value":"0.0192"},{"id":17,"name":"Train ID","value":"224-04"},{"id":16,"name":"Locomotive ID","value":"4019"},{"id":130,"name":"Impact","value":""},{"id":150,"name":"Time of Event (Mountain Time)","value":"21:05:43"},{"id":151,"name":"Denver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22"/>
        <v>start /low /b %USERPROFILE%\Documents\GitHub\eaglep3\Utilities\DownloadLogsFromS3.py --loco 4019 --day 2017-11-04</v>
      </c>
      <c r="AN136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24"/>
        <v>https://d0f6bd738d7f1b3e5a7ca70fe4ff75f0.us-east-1.aws.found.io/app/kibana#/discover/Steve-Slow-Train-Analysis-(2080s-and-2083s)?_g=(refreshInterval:(display:Off,pause:!f,section:0,value:0),time:(from:'2017-11-04T19:09:03-0600',mode:absolute,to:'2017-11-04T22:05:43-0600'))&amp;_a=(columns:!('Message%20ID',Summary),filters:!(),index:'emp_*',interval:auto,query:(query_string:(analyze_wildcard:!t,query:'%22rtdc.l.rtdc.4019%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847</v>
      </c>
      <c r="B137" s="7">
        <v>4036</v>
      </c>
      <c r="C137" s="21" t="s">
        <v>192</v>
      </c>
      <c r="D137" s="21" t="s">
        <v>1038</v>
      </c>
      <c r="E137" s="13">
        <v>43043.826701388891</v>
      </c>
      <c r="F137" s="13">
        <v>43043.833483796298</v>
      </c>
      <c r="G137" s="7">
        <v>54</v>
      </c>
      <c r="H137" s="21" t="s">
        <v>1039</v>
      </c>
      <c r="I137" s="13">
        <v>43043.858148148145</v>
      </c>
      <c r="J137" s="7">
        <v>0</v>
      </c>
      <c r="K137" s="89" t="str">
        <f>IF(ISEVEN(B137),(B137-1)&amp;"/"&amp;B137,B137&amp;"/"&amp;(B137+1))</f>
        <v>4035/4036</v>
      </c>
      <c r="L137" s="185" t="str">
        <f>VLOOKUP(A137,'Trips&amp;Operators'!$C$1:$G$99911,5,FALSE)</f>
        <v>ELBAUM MIKE</v>
      </c>
      <c r="M137" s="6">
        <f>I137-F137</f>
        <v>2.4664351847604848E-2</v>
      </c>
      <c r="N137" s="7">
        <f>24*60*SUM($M137:$M137)</f>
        <v>35.516666660550982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-04T18:50:27-0600',mode:absolute,to:'2017-11-04T21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5.6000000000000001E-2</v>
      </c>
      <c r="Z137" s="204">
        <f>RIGHT(H137,LEN(H137)-4)/10000</f>
        <v>23.3264</v>
      </c>
      <c r="AA137" s="204">
        <f>ABS(Z137-Y137)</f>
        <v>23.270399999999999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/stypes="app*4036*20171105*"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20"/>
        <v>"%USERPROFILE%\Documents\GitHub\eaglep3\Utilities\RefineRTDCRunTimes.py" --tripid 225-04 --locoid 4036 --swversion DE.1.0.9.0 --startMP 204:560 --initTime 2017-11-04T19:50:27 --startdatetime 2017-11-04T20:00:13 --delay 54 --endMP 204:233264 --enddatetime 2017-11-04T20:35:44 --enforcementcount 0 &gt;&gt;%USERPROFILE%\Documents\GitHub\eaglep3-reporting\EC\2017-11-04-refined-times.txt</v>
      </c>
      <c r="AI137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{"issue":{"subject":"","project_id":79,"tracker_id":40,"status_id":1,"priority_id":2,"assigned_to_id":338,"start_date":"2017-11-04","description":"","custom_fields":[{"id":1,"name":"Subdivision","value":"EC"},{"id":4,"name":"Milepost","value":"23.3264"},{"id":17,"name":"Train ID","value":"225-04"},{"id":16,"name":"Locomotive ID","value":"4036"},{"id":130,"name":"Impact","value":""},{"id":150,"name":"Time of Event (Mountain Time)","value":"20:35:44"},{"id":151,"name":"Denver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22"/>
        <v>start /low /b %USERPROFILE%\Documents\GitHub\eaglep3\Utilities\DownloadLogsFromS3.py --loco 4036 --day 2017-11-04</v>
      </c>
      <c r="AN137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24"/>
        <v>https://d0f6bd738d7f1b3e5a7ca70fe4ff75f0.us-east-1.aws.found.io/app/kibana#/discover/Steve-Slow-Train-Analysis-(2080s-and-2083s)?_g=(refreshInterval:(display:Off,pause:!f,section:0,value:0),time:(from:'2017-11-04T18:50:27-0600',mode:absolute,to:'2017-11-04T21:35:44-0600'))&amp;_a=(columns:!('Message%20ID',Summary),filters:!(),index:'emp_*',interval:auto,query:(query_string:(analyze_wildcard:!t,query:'%22rtdc.l.rtdc.4036%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852</v>
      </c>
      <c r="B138" s="7">
        <v>4035</v>
      </c>
      <c r="C138" s="21" t="s">
        <v>192</v>
      </c>
      <c r="D138" s="21" t="s">
        <v>519</v>
      </c>
      <c r="E138" s="13">
        <v>43043.859432870369</v>
      </c>
      <c r="F138" s="13">
        <v>43043.873113425929</v>
      </c>
      <c r="G138" s="7">
        <v>53</v>
      </c>
      <c r="H138" s="21" t="s">
        <v>1040</v>
      </c>
      <c r="I138" s="13">
        <v>43043.898460648146</v>
      </c>
      <c r="J138" s="7">
        <v>0</v>
      </c>
      <c r="K138" s="89" t="str">
        <f>IF(ISEVEN(B138),(B138-1)&amp;"/"&amp;B138,B138&amp;"/"&amp;(B138+1))</f>
        <v>4035/4036</v>
      </c>
      <c r="L138" s="185" t="str">
        <f>VLOOKUP(A138,'Trips&amp;Operators'!$C$1:$G$99911,5,FALSE)</f>
        <v>ELBAUM MIKE</v>
      </c>
      <c r="M138" s="6">
        <f>I138-F138</f>
        <v>2.5347222217533272E-2</v>
      </c>
      <c r="N138" s="7">
        <f>24*60*SUM($M138:$M138)</f>
        <v>36.499999993247911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-04T19:37:35-0600',mode:absolute,to:'2017-11-04T22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23.2942</v>
      </c>
      <c r="Z138" s="204">
        <f>RIGHT(H138,LEN(H138)-4)/10000</f>
        <v>2.7300000000000001E-2</v>
      </c>
      <c r="AA138" s="204">
        <f>ABS(Z138-Y138)</f>
        <v>23.2669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/stypes="app*4035*20171105*"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20"/>
        <v>"%USERPROFILE%\Documents\GitHub\eaglep3\Utilities\RefineRTDCRunTimes.py" --tripid 226-04 --locoid 4035 --swversion DE.1.0.9.0 --startMP 204:232942 --initTime 2017-11-04T20:37:35 --startdatetime 2017-11-04T20:57:17 --delay 53 --endMP 204:273 --enddatetime 2017-11-04T21:33:47 --enforcementcount 0 &gt;&gt;%USERPROFILE%\Documents\GitHub\eaglep3-reporting\EC\2017-11-04-refined-times.txt</v>
      </c>
      <c r="AI138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{"issue":{"subject":"","project_id":79,"tracker_id":40,"status_id":1,"priority_id":2,"assigned_to_id":338,"start_date":"2017-11-04","description":"","custom_fields":[{"id":1,"name":"Subdivision","value":"EC"},{"id":4,"name":"Milepost","value":"0.0273"},{"id":17,"name":"Train ID","value":"226-04"},{"id":16,"name":"Locomotive ID","value":"4035"},{"id":130,"name":"Impact","value":""},{"id":150,"name":"Time of Event (Mountain Time)","value":"21:33:47"},{"id":151,"name":"Denver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22"/>
        <v>start /low /b %USERPROFILE%\Documents\GitHub\eaglep3\Utilities\DownloadLogsFromS3.py --loco 4035 --day 2017-11-04</v>
      </c>
      <c r="AN138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24"/>
        <v>https://d0f6bd738d7f1b3e5a7ca70fe4ff75f0.us-east-1.aws.found.io/app/kibana#/discover/Steve-Slow-Train-Analysis-(2080s-and-2083s)?_g=(refreshInterval:(display:Off,pause:!f,section:0,value:0),time:(from:'2017-11-04T19:37:35-0600',mode:absolute,to:'2017-11-04T22:33:47-0600'))&amp;_a=(columns:!('Message%20ID',Summary),filters:!(),index:'emp_*',interval:auto,query:(query_string:(analyze_wildcard:!t,query:'%22rtdc.l.rtdc.4035%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850</v>
      </c>
      <c r="B139" s="7">
        <v>4022</v>
      </c>
      <c r="C139" s="21" t="s">
        <v>192</v>
      </c>
      <c r="D139" s="21" t="s">
        <v>1041</v>
      </c>
      <c r="E139" s="13">
        <v>43043.842870370368</v>
      </c>
      <c r="F139" s="13">
        <v>43043.854409722226</v>
      </c>
      <c r="G139" s="7">
        <v>78</v>
      </c>
      <c r="H139" s="21" t="s">
        <v>1042</v>
      </c>
      <c r="I139" s="13">
        <v>43043.88</v>
      </c>
      <c r="J139" s="7">
        <v>0</v>
      </c>
      <c r="K139" s="89" t="str">
        <f>IF(ISEVEN(B139),(B139-1)&amp;"/"&amp;B139,B139&amp;"/"&amp;(B139+1))</f>
        <v>4021/4022</v>
      </c>
      <c r="L139" s="185" t="str">
        <f>VLOOKUP(A139,'Trips&amp;Operators'!$C$1:$G$99911,5,FALSE)</f>
        <v>NICHOLSON WESLEY</v>
      </c>
      <c r="M139" s="6">
        <f>I139-F139</f>
        <v>2.5590277771698311E-2</v>
      </c>
      <c r="N139" s="7">
        <f>24*60*SUM($M139:$M139)</f>
        <v>36.849999991245568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-04T19:13:44-0600',mode:absolute,to:'2017-11-04T22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6.5000000000000002E-2</v>
      </c>
      <c r="Z139" s="204">
        <f>RIGHT(H139,LEN(H139)-4)/10000</f>
        <v>23.317599999999999</v>
      </c>
      <c r="AA139" s="204">
        <f>ABS(Z139-Y139)</f>
        <v>23.252599999999997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"%USERPROFILE%\AppData\Local\Temp\OnboardLogs"\RTDC4022\2017-11-04 --exclude "*" --recursive --include "*20171104*" &amp; "%USERPROFILE%\Documents\GitHub\mrs-test-scripts\Headless Mode &amp; Sideloading\WalkAndUnGZ.bat" "%USERPROFILE%\AppData\Local\Temp\OnboardLogs"\RTDC4022\2017-11-04 &amp; 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/stypes="app*4022*20171105*"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20"/>
        <v>"%USERPROFILE%\Documents\GitHub\eaglep3\Utilities\RefineRTDCRunTimes.py" --tripid 227-04 --locoid 4022 --swversion DE.1.0.9.0 --startMP 204:650 --initTime 2017-11-04T20:13:44 --startdatetime 2017-11-04T20:30:21 --delay 78 --endMP 204:233176 --enddatetime 2017-11-04T21:07:12 --enforcementcount 0 &gt;&gt;%USERPROFILE%\Documents\GitHub\eaglep3-reporting\EC\2017-11-04-refined-times.txt</v>
      </c>
      <c r="AI139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{"issue":{"subject":"","project_id":79,"tracker_id":40,"status_id":1,"priority_id":2,"assigned_to_id":338,"start_date":"2017-11-04","description":"","custom_fields":[{"id":1,"name":"Subdivision","value":"EC"},{"id":4,"name":"Milepost","value":"23.3176"},{"id":17,"name":"Train ID","value":"227-04"},{"id":16,"name":"Locomotive ID","value":"4022"},{"id":130,"name":"Impact","value":""},{"id":150,"name":"Time of Event (Mountain Time)","value":"21:07:12"},{"id":151,"name":"Denver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22"/>
        <v>start /low /b %USERPROFILE%\Documents\GitHub\eaglep3\Utilities\DownloadLogsFromS3.py --loco 4022 --day 2017-11-04</v>
      </c>
      <c r="AN139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24"/>
        <v>https://d0f6bd738d7f1b3e5a7ca70fe4ff75f0.us-east-1.aws.found.io/app/kibana#/discover/Steve-Slow-Train-Analysis-(2080s-and-2083s)?_g=(refreshInterval:(display:Off,pause:!f,section:0,value:0),time:(from:'2017-11-04T19:13:44-0600',mode:absolute,to:'2017-11-04T22:07:12-0600'))&amp;_a=(columns:!('Message%20ID',Summary),filters:!(),index:'emp_*',interval:auto,query:(query_string:(analyze_wildcard:!t,query:'%22rtdc.l.rtdc.4022%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856</v>
      </c>
      <c r="B140" s="7">
        <v>4021</v>
      </c>
      <c r="C140" s="21" t="s">
        <v>192</v>
      </c>
      <c r="D140" s="21" t="s">
        <v>1043</v>
      </c>
      <c r="E140" s="13">
        <v>43043.885972222219</v>
      </c>
      <c r="F140" s="13">
        <v>43043.893993055557</v>
      </c>
      <c r="G140" s="7">
        <v>74</v>
      </c>
      <c r="H140" s="21" t="s">
        <v>1044</v>
      </c>
      <c r="I140" s="13">
        <v>43043.921226851853</v>
      </c>
      <c r="J140" s="7">
        <v>0</v>
      </c>
      <c r="K140" s="89" t="str">
        <f>IF(ISEVEN(B140),(B140-1)&amp;"/"&amp;B140,B140&amp;"/"&amp;(B140+1))</f>
        <v>4021/4022</v>
      </c>
      <c r="L140" s="185" t="str">
        <f>VLOOKUP(A140,'Trips&amp;Operators'!$C$1:$G$99911,5,FALSE)</f>
        <v>NICHOLSON WESLEY</v>
      </c>
      <c r="M140" s="6">
        <f>I140-F140</f>
        <v>2.7233796296059154E-2</v>
      </c>
      <c r="N140" s="7">
        <f>24*60*SUM($M140:$M140)</f>
        <v>39.216666666325182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-04T20:15:48-0600',mode:absolute,to:'2017-11-04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23.285599999999999</v>
      </c>
      <c r="Z140" s="204">
        <f>RIGHT(H140,LEN(H140)-4)/10000</f>
        <v>2.5600000000000001E-2</v>
      </c>
      <c r="AA140" s="204">
        <f>ABS(Z140-Y140)</f>
        <v>23.259999999999998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s3://rtdc.mdm.uploadarchive.raw/RTDC4021/ "%USERPROFILE%\AppData\Local\Temp\OnboardLogs"\RTDC4021\2017-11-04 --exclude "*" --recursive --include "*20171104*" &amp; "%USERPROFILE%\Documents\GitHub\mrs-test-scripts\Headless Mode &amp; Sideloading\WalkAndUnGZ.bat" "%USERPROFILE%\AppData\Local\Temp\OnboardLogs"\RTDC4021\2017-11-04 &amp; aws s3 cp s3://rtdc.mdm.uploadarchive.raw/RTDC4021/ "%USERPROFILE%\AppData\Local\Temp\OnboardLogs"\RTDC4021\2017-11-05 --exclude "*" --recursive --include "*20171105*" &amp; "%USERPROFILE%\Documents\GitHub\mrs-test-scripts\Headless Mode &amp; Sideloading\WalkAndUnGZ.bat" "%USERPROFILE%\AppData\Local\Temp\OnboardLogs"\RTDC4021\2017-11-05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/stypes="app*4021*20171105*"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20"/>
        <v>"%USERPROFILE%\Documents\GitHub\eaglep3\Utilities\RefineRTDCRunTimes.py" --tripid 228-04 --locoid 4021 --swversion DE.1.0.9.0 --startMP 204:232856 --initTime 2017-11-04T21:15:48 --startdatetime 2017-11-04T21:27:21 --delay 74 --endMP 204:256 --enddatetime 2017-11-04T22:06:34 --enforcementcount 0 &gt;&gt;%USERPROFILE%\Documents\GitHub\eaglep3-reporting\EC\2017-11-04-refined-times.txt</v>
      </c>
      <c r="AI140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{"issue":{"subject":"","project_id":79,"tracker_id":40,"status_id":1,"priority_id":2,"assigned_to_id":338,"start_date":"2017-11-04","description":"","custom_fields":[{"id":1,"name":"Subdivision","value":"EC"},{"id":4,"name":"Milepost","value":"0.0256"},{"id":17,"name":"Train ID","value":"228-04"},{"id":16,"name":"Locomotive ID","value":"4021"},{"id":130,"name":"Impact","value":""},{"id":150,"name":"Time of Event (Mountain Time)","value":"22:06:34"},{"id":151,"name":"Denver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22"/>
        <v>start /low /b %USERPROFILE%\Documents\GitHub\eaglep3\Utilities\DownloadLogsFromS3.py --loco 4021 --day 2017-11-04</v>
      </c>
      <c r="AN140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24"/>
        <v>https://d0f6bd738d7f1b3e5a7ca70fe4ff75f0.us-east-1.aws.found.io/app/kibana#/discover/Steve-Slow-Train-Analysis-(2080s-and-2083s)?_g=(refreshInterval:(display:Off,pause:!f,section:0,value:0),time:(from:'2017-11-04T20:15:48-0600',mode:absolute,to:'2017-11-04T23:06:34-0600'))&amp;_a=(columns:!('Message%20ID',Summary),filters:!(),index:'emp_*',interval:auto,query:(query_string:(analyze_wildcard:!t,query:'%22rtdc.l.rtdc.4021%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853</v>
      </c>
      <c r="B141" s="7">
        <v>4006</v>
      </c>
      <c r="C141" s="21" t="s">
        <v>192</v>
      </c>
      <c r="D141" s="21" t="s">
        <v>397</v>
      </c>
      <c r="E141" s="13">
        <v>43043.863368055558</v>
      </c>
      <c r="F141" s="13">
        <v>43043.875196759262</v>
      </c>
      <c r="G141" s="7">
        <v>63</v>
      </c>
      <c r="H141" s="21" t="s">
        <v>489</v>
      </c>
      <c r="I141" s="13">
        <v>43043.900671296295</v>
      </c>
      <c r="J141" s="7">
        <v>0</v>
      </c>
      <c r="K141" s="89" t="str">
        <f>IF(ISEVEN(B141),(B141-1)&amp;"/"&amp;B141,B141&amp;"/"&amp;(B141+1))</f>
        <v>4005/4006</v>
      </c>
      <c r="L141" s="185" t="str">
        <f>VLOOKUP(A141,'Trips&amp;Operators'!$C$1:$G$99911,5,FALSE)</f>
        <v>WEST BRYAN</v>
      </c>
      <c r="M141" s="6">
        <f>I141-F141</f>
        <v>2.5474537033005618E-2</v>
      </c>
      <c r="N141" s="7">
        <f>24*60*SUM($M141:$M141)</f>
        <v>36.683333327528089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-04T19:43:15-0600',mode:absolute,to:'2017-11-04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4.6600000000000003E-2</v>
      </c>
      <c r="Z141" s="204">
        <f>RIGHT(H141,LEN(H141)-4)/10000</f>
        <v>23.3293</v>
      </c>
      <c r="AA141" s="204">
        <f>ABS(Z141-Y141)</f>
        <v>23.282699999999998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/stypes="app*4006*20171105*"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20"/>
        <v>"%USERPROFILE%\Documents\GitHub\eaglep3\Utilities\RefineRTDCRunTimes.py" --tripid 229-04 --locoid 4006 --swversion DE.1.0.9.0 --startMP 204:466 --initTime 2017-11-04T20:43:15 --startdatetime 2017-11-04T21:00:17 --delay 63 --endMP 204:233293 --enddatetime 2017-11-04T21:36:58 --enforcementcount 0 &gt;&gt;%USERPROFILE%\Documents\GitHub\eaglep3-reporting\EC\2017-11-04-refined-times.txt</v>
      </c>
      <c r="AI141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{"issue":{"subject":"","project_id":79,"tracker_id":40,"status_id":1,"priority_id":2,"assigned_to_id":338,"start_date":"2017-11-04","description":"","custom_fields":[{"id":1,"name":"Subdivision","value":"EC"},{"id":4,"name":"Milepost","value":"23.3293"},{"id":17,"name":"Train ID","value":"229-04"},{"id":16,"name":"Locomotive ID","value":"4006"},{"id":130,"name":"Impact","value":""},{"id":150,"name":"Time of Event (Mountain Time)","value":"21:36:58"},{"id":151,"name":"Denver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22"/>
        <v>start /low /b %USERPROFILE%\Documents\GitHub\eaglep3\Utilities\DownloadLogsFromS3.py --loco 4006 --day 2017-11-04</v>
      </c>
      <c r="AN141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4"/>
        <v>https://d0f6bd738d7f1b3e5a7ca70fe4ff75f0.us-east-1.aws.found.io/app/kibana#/discover/Steve-Slow-Train-Analysis-(2080s-and-2083s)?_g=(refreshInterval:(display:Off,pause:!f,section:0,value:0),time:(from:'2017-11-04T19:43:15-0600',mode:absolute,to:'2017-11-04T22:36:58-0600'))&amp;_a=(columns:!('Message%20ID',Summary),filters:!(),index:'emp_*',interval:auto,query:(query_string:(analyze_wildcard:!t,query:'%22rtdc.l.rtdc.4006%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662</v>
      </c>
      <c r="B142" s="7">
        <v>4005</v>
      </c>
      <c r="C142" s="21" t="s">
        <v>192</v>
      </c>
      <c r="D142" s="21" t="s">
        <v>600</v>
      </c>
      <c r="E142" s="13">
        <v>43043.90425925926</v>
      </c>
      <c r="F142" s="13">
        <v>43043.914884259262</v>
      </c>
      <c r="G142" s="7">
        <v>56</v>
      </c>
      <c r="H142" s="21" t="s">
        <v>1035</v>
      </c>
      <c r="I142" s="13">
        <v>43043.941608796296</v>
      </c>
      <c r="J142" s="7">
        <v>0</v>
      </c>
      <c r="K142" s="89" t="str">
        <f>IF(ISEVEN(B142),(B142-1)&amp;"/"&amp;B142,B142&amp;"/"&amp;(B142+1))</f>
        <v>4005/4006</v>
      </c>
      <c r="L142" s="185" t="str">
        <f>VLOOKUP(A142,'Trips&amp;Operators'!$C$1:$G$99911,5,FALSE)</f>
        <v>WEST BRYAN</v>
      </c>
      <c r="M142" s="6">
        <f>I142-F142</f>
        <v>2.6724537034169771E-2</v>
      </c>
      <c r="N142" s="7">
        <f>24*60*SUM($M142:$M142)</f>
        <v>38.48333332920447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-04T20:42:08-0600',mode:absolute,to:'2017-11-04T23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23.2971</v>
      </c>
      <c r="Z142" s="204">
        <f>RIGHT(H142,LEN(H142)-4)/10000</f>
        <v>1.7000000000000001E-2</v>
      </c>
      <c r="AA142" s="204">
        <f>ABS(Z142-Y142)</f>
        <v>23.280100000000001</v>
      </c>
      <c r="AB142" s="54" t="str">
        <f>VLOOKUP(A142,Enforcements!$C$7:$K$10,8,0)</f>
        <v>Bulletin (2)</v>
      </c>
      <c r="AC142" s="51" t="str">
        <f>VLOOKUP(A142,Enforcements!$C$7:$E$10,3,0)</f>
        <v>GRADE CROSSING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/stypes="app*4005*20171105*"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20"/>
        <v>"%USERPROFILE%\Documents\GitHub\eaglep3\Utilities\RefineRTDCRunTimes.py" --tripid 230-04 --locoid 4005 --swversion DE.1.0.9.0 --startMP 204:232971 --initTime 2017-11-04T21:42:08 --startdatetime 2017-11-04T21:57:26 --delay 56 --endMP 204:170 --enddatetime 2017-11-04T22:35:55 --enforcementcount 0 &gt;&gt;%USERPROFILE%\Documents\GitHub\eaglep3-reporting\EC\2017-11-04-refined-times.txt</v>
      </c>
      <c r="AI142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{"issue":{"subject":"","project_id":79,"tracker_id":40,"status_id":1,"priority_id":2,"assigned_to_id":338,"start_date":"2017-11-04","description":"","custom_fields":[{"id":1,"name":"Subdivision","value":"EC"},{"id":4,"name":"Milepost","value":"0.017"},{"id":17,"name":"Train ID","value":"230-04"},{"id":16,"name":"Locomotive ID","value":"4005"},{"id":130,"name":"Impact","value":""},{"id":150,"name":"Time of Event (Mountain Time)","value":"22:35:55"},{"id":151,"name":"Denver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22"/>
        <v>start /low /b %USERPROFILE%\Documents\GitHub\eaglep3\Utilities\DownloadLogsFromS3.py --loco 4005 --day 2017-11-04</v>
      </c>
      <c r="AN142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4"/>
        <v>https://d0f6bd738d7f1b3e5a7ca70fe4ff75f0.us-east-1.aws.found.io/app/kibana#/discover/Steve-Slow-Train-Analysis-(2080s-and-2083s)?_g=(refreshInterval:(display:Off,pause:!f,section:0,value:0),time:(from:'2017-11-04T20:42:08-0600',mode:absolute,to:'2017-11-04T23:35:55-0600'))&amp;_a=(columns:!('Message%20ID',Summary),filters:!(),index:'emp_*',interval:auto,query:(query_string:(analyze_wildcard:!t,query:'%22rtdc.l.rtdc.4005%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855</v>
      </c>
      <c r="B143" s="7">
        <v>4020</v>
      </c>
      <c r="C143" s="21" t="s">
        <v>192</v>
      </c>
      <c r="D143" s="21" t="s">
        <v>1045</v>
      </c>
      <c r="E143" s="13">
        <v>43043.880162037036</v>
      </c>
      <c r="F143" s="13">
        <v>43043.89603009259</v>
      </c>
      <c r="G143" s="7">
        <v>63</v>
      </c>
      <c r="H143" s="21" t="s">
        <v>627</v>
      </c>
      <c r="I143" s="13">
        <v>43043.921770833331</v>
      </c>
      <c r="J143" s="7">
        <v>0</v>
      </c>
      <c r="K143" s="89" t="str">
        <f>IF(ISEVEN(B143),(B143-1)&amp;"/"&amp;B143,B143&amp;"/"&amp;(B143+1))</f>
        <v>4019/4020</v>
      </c>
      <c r="L143" s="185" t="str">
        <f>VLOOKUP(A143,'Trips&amp;Operators'!$C$1:$G$99911,5,FALSE)</f>
        <v>FORTUNATO FRANK</v>
      </c>
      <c r="M143" s="6">
        <f>I143-F143</f>
        <v>2.5740740740729962E-2</v>
      </c>
      <c r="N143" s="7">
        <f>24*60*SUM($M143:$M143)</f>
        <v>37.066666666651145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-04T20:07:26-0600',mode:absolute,to:'2017-11-04T23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5.0900000000000001E-2</v>
      </c>
      <c r="Z143" s="204">
        <f>RIGHT(H143,LEN(H143)-4)/10000</f>
        <v>23.317799999999998</v>
      </c>
      <c r="AA143" s="204">
        <f>ABS(Z143-Y143)</f>
        <v>23.2669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/stypes="app*4020*20171105*"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20"/>
        <v>"%USERPROFILE%\Documents\GitHub\eaglep3\Utilities\RefineRTDCRunTimes.py" --tripid 231-04 --locoid 4020 --swversion DE.1.0.9.0 --startMP 204:509 --initTime 2017-11-04T21:07:26 --startdatetime 2017-11-04T21:30:17 --delay 63 --endMP 204:233178 --enddatetime 2017-11-04T22:07:21 --enforcementcount 0 &gt;&gt;%USERPROFILE%\Documents\GitHub\eaglep3-reporting\EC\2017-11-04-refined-times.txt</v>
      </c>
      <c r="AI143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{"issue":{"subject":"","project_id":79,"tracker_id":40,"status_id":1,"priority_id":2,"assigned_to_id":338,"start_date":"2017-11-04","description":"","custom_fields":[{"id":1,"name":"Subdivision","value":"EC"},{"id":4,"name":"Milepost","value":"23.3178"},{"id":17,"name":"Train ID","value":"231-04"},{"id":16,"name":"Locomotive ID","value":"4020"},{"id":130,"name":"Impact","value":""},{"id":150,"name":"Time of Event (Mountain Time)","value":"22:07:21"},{"id":151,"name":"Denver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22"/>
        <v>start /low /b %USERPROFILE%\Documents\GitHub\eaglep3\Utilities\DownloadLogsFromS3.py --loco 4020 --day 2017-11-04</v>
      </c>
      <c r="AN143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24"/>
        <v>https://d0f6bd738d7f1b3e5a7ca70fe4ff75f0.us-east-1.aws.found.io/app/kibana#/discover/Steve-Slow-Train-Analysis-(2080s-and-2083s)?_g=(refreshInterval:(display:Off,pause:!f,section:0,value:0),time:(from:'2017-11-04T20:07:26-0600',mode:absolute,to:'2017-11-04T23:07:21-0600'))&amp;_a=(columns:!('Message%20ID',Summary),filters:!(),index:'emp_*',interval:auto,query:(query_string:(analyze_wildcard:!t,query:'%22rtdc.l.rtdc.4020%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860</v>
      </c>
      <c r="B144" s="7">
        <v>4019</v>
      </c>
      <c r="C144" s="21" t="s">
        <v>192</v>
      </c>
      <c r="D144" s="21" t="s">
        <v>1032</v>
      </c>
      <c r="E144" s="13">
        <v>43043.923425925925</v>
      </c>
      <c r="F144" s="13">
        <v>43043.935648148145</v>
      </c>
      <c r="G144" s="7">
        <v>47</v>
      </c>
      <c r="H144" s="21" t="s">
        <v>1046</v>
      </c>
      <c r="I144" s="13">
        <v>43043.961689814816</v>
      </c>
      <c r="J144" s="7">
        <v>0</v>
      </c>
      <c r="K144" s="89" t="str">
        <f>IF(ISEVEN(B144),(B144-1)&amp;"/"&amp;B144,B144&amp;"/"&amp;(B144+1))</f>
        <v>4019/4020</v>
      </c>
      <c r="L144" s="185" t="str">
        <f>VLOOKUP(A144,'Trips&amp;Operators'!$C$1:$G$99911,5,FALSE)</f>
        <v>FORTUNATO FRANK</v>
      </c>
      <c r="M144" s="6">
        <f>I144-F144</f>
        <v>2.6041666671517305E-2</v>
      </c>
      <c r="N144" s="7">
        <f>24*60*SUM($M144:$M144)</f>
        <v>37.500000006984919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-04T21:09:44-0600',mode:absolute,to:'2017-11-05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23.285699999999999</v>
      </c>
      <c r="Z144" s="204">
        <f>RIGHT(H144,LEN(H144)-4)/10000</f>
        <v>2.01E-2</v>
      </c>
      <c r="AA144" s="204">
        <f>ABS(Z144-Y144)</f>
        <v>23.265599999999999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s3://rtdc.mdm.uploadarchive.raw/RTDC4019/ "%USERPROFILE%\AppData\Local\Temp\OnboardLogs"\RTDC4019\2017-11-04 --exclude "*" --recursive --include "*20171104*" &amp; "%USERPROFILE%\Documents\GitHub\mrs-test-scripts\Headless Mode &amp; Sideloading\WalkAndUnGZ.bat" "%USERPROFILE%\AppData\Local\Temp\OnboardLogs"\RTDC4019\2017-11-04 &amp; 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/stypes="app*4019*20171105*"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0"/>
        <v>"%USERPROFILE%\Documents\GitHub\eaglep3\Utilities\RefineRTDCRunTimes.py" --tripid 232-04 --locoid 4019 --swversion DE.1.0.9.0 --startMP 204:232857 --initTime 2017-11-04T22:09:44 --startdatetime 2017-11-04T22:27:20 --delay 47 --endMP 204:201 --enddatetime 2017-11-04T23:04:50 --enforcementcount 0 &gt;&gt;%USERPROFILE%\Documents\GitHub\eaglep3-reporting\EC\2017-11-04-refined-times.txt</v>
      </c>
      <c r="AI144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{"issue":{"subject":"","project_id":79,"tracker_id":40,"status_id":1,"priority_id":2,"assigned_to_id":338,"start_date":"2017-11-04","description":"","custom_fields":[{"id":1,"name":"Subdivision","value":"EC"},{"id":4,"name":"Milepost","value":"0.0201"},{"id":17,"name":"Train ID","value":"232-04"},{"id":16,"name":"Locomotive ID","value":"4019"},{"id":130,"name":"Impact","value":""},{"id":150,"name":"Time of Event (Mountain Time)","value":"23:04:50"},{"id":151,"name":"Denver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2"/>
        <v>start /low /b %USERPROFILE%\Documents\GitHub\eaglep3\Utilities\DownloadLogsFromS3.py --loco 4019 --day 2017-11-04</v>
      </c>
      <c r="AN144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4"/>
        <v>https://d0f6bd738d7f1b3e5a7ca70fe4ff75f0.us-east-1.aws.found.io/app/kibana#/discover/Steve-Slow-Train-Analysis-(2080s-and-2083s)?_g=(refreshInterval:(display:Off,pause:!f,section:0,value:0),time:(from:'2017-11-04T21:09:44-0600',mode:absolute,to:'2017-11-05T00:04:50-0600'))&amp;_a=(columns:!('Message%20ID',Summary),filters:!(),index:'emp_*',interval:auto,query:(query_string:(analyze_wildcard:!t,query:'%22rtdc.l.rtdc.4019%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858</v>
      </c>
      <c r="B145" s="7">
        <v>4036</v>
      </c>
      <c r="C145" s="21" t="s">
        <v>192</v>
      </c>
      <c r="D145" s="21" t="s">
        <v>1047</v>
      </c>
      <c r="E145" s="13">
        <v>43043.899502314816</v>
      </c>
      <c r="F145" s="13">
        <v>43043.916805555556</v>
      </c>
      <c r="G145" s="7">
        <v>168</v>
      </c>
      <c r="H145" s="21" t="s">
        <v>399</v>
      </c>
      <c r="I145" s="13">
        <v>43043.941400462965</v>
      </c>
      <c r="J145" s="7">
        <v>0</v>
      </c>
      <c r="K145" s="89" t="str">
        <f>IF(ISEVEN(B145),(B145-1)&amp;"/"&amp;B145,B145&amp;"/"&amp;(B145+1))</f>
        <v>4035/4036</v>
      </c>
      <c r="L145" s="185" t="str">
        <f>VLOOKUP(A145,'Trips&amp;Operators'!$C$1:$G$99911,5,FALSE)</f>
        <v>ELBAUM MIKE</v>
      </c>
      <c r="M145" s="6">
        <f>I145-F145</f>
        <v>2.4594907408754807E-2</v>
      </c>
      <c r="N145" s="7">
        <f>24*60*SUM($M145:$M145)</f>
        <v>35.416666668606922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-04T20:35:17-0600',mode:absolute,to:'2017-11-04T23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5.91E-2</v>
      </c>
      <c r="Z145" s="204">
        <f>RIGHT(H145,LEN(H145)-4)/10000</f>
        <v>23.326599999999999</v>
      </c>
      <c r="AA145" s="204">
        <f>ABS(Z145-Y145)</f>
        <v>23.267499999999998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 &amp; 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/stypes="app*4036*20171105*"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0"/>
        <v>"%USERPROFILE%\Documents\GitHub\eaglep3\Utilities\RefineRTDCRunTimes.py" --tripid 233-04 --locoid 4036 --swversion DE.1.0.9.0 --startMP 204:591 --initTime 2017-11-04T21:35:17 --startdatetime 2017-11-04T22:00:12 --delay 168 --endMP 204:233266 --enddatetime 2017-11-04T22:35:37 --enforcementcount 0 &gt;&gt;%USERPROFILE%\Documents\GitHub\eaglep3-reporting\EC\2017-11-04-refined-times.txt</v>
      </c>
      <c r="AI145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{"issue":{"subject":"","project_id":79,"tracker_id":40,"status_id":1,"priority_id":2,"assigned_to_id":338,"start_date":"2017-11-04","description":"","custom_fields":[{"id":1,"name":"Subdivision","value":"EC"},{"id":4,"name":"Milepost","value":"23.3266"},{"id":17,"name":"Train ID","value":"233-04"},{"id":16,"name":"Locomotive ID","value":"4036"},{"id":130,"name":"Impact","value":""},{"id":150,"name":"Time of Event (Mountain Time)","value":"22:35:37"},{"id":151,"name":"Denver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2"/>
        <v>start /low /b %USERPROFILE%\Documents\GitHub\eaglep3\Utilities\DownloadLogsFromS3.py --loco 4036 --day 2017-11-04</v>
      </c>
      <c r="AN145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4"/>
        <v>https://d0f6bd738d7f1b3e5a7ca70fe4ff75f0.us-east-1.aws.found.io/app/kibana#/discover/Steve-Slow-Train-Analysis-(2080s-and-2083s)?_g=(refreshInterval:(display:Off,pause:!f,section:0,value:0),time:(from:'2017-11-04T20:35:17-0600',mode:absolute,to:'2017-11-04T23:35:37-0600'))&amp;_a=(columns:!('Message%20ID',Summary),filters:!(),index:'emp_*',interval:auto,query:(query_string:(analyze_wildcard:!t,query:'%22rtdc.l.rtdc.4036%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864</v>
      </c>
      <c r="B146" s="7">
        <v>4035</v>
      </c>
      <c r="C146" s="21" t="s">
        <v>192</v>
      </c>
      <c r="D146" s="21" t="s">
        <v>591</v>
      </c>
      <c r="E146" s="13">
        <v>43043.945023148146</v>
      </c>
      <c r="F146" s="13">
        <v>43043.956400462965</v>
      </c>
      <c r="G146" s="7">
        <v>54</v>
      </c>
      <c r="H146" s="21" t="s">
        <v>1048</v>
      </c>
      <c r="I146" s="13">
        <v>43043.982256944444</v>
      </c>
      <c r="J146" s="7">
        <v>0</v>
      </c>
      <c r="K146" s="89" t="str">
        <f>IF(ISEVEN(B146),(B146-1)&amp;"/"&amp;B146,B146&amp;"/"&amp;(B146+1))</f>
        <v>4035/4036</v>
      </c>
      <c r="L146" s="185" t="str">
        <f>VLOOKUP(A146,'Trips&amp;Operators'!$C$1:$G$99911,5,FALSE)</f>
        <v>ELBAUM MIKE</v>
      </c>
      <c r="M146" s="6">
        <f>I146-F146</f>
        <v>2.5856481479422655E-2</v>
      </c>
      <c r="N146" s="7">
        <f>24*60*SUM($M146:$M146)</f>
        <v>37.233333330368623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-04T21:40:50-0600',mode:absolute,to:'2017-11-05T00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23.292999999999999</v>
      </c>
      <c r="Z146" s="204">
        <f>RIGHT(H146,LEN(H146)-4)/10000</f>
        <v>2.69E-2</v>
      </c>
      <c r="AA146" s="204">
        <f>ABS(Z146-Y146)</f>
        <v>23.266099999999998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/stypes="app*4035*20171105*"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0"/>
        <v>"%USERPROFILE%\Documents\GitHub\eaglep3\Utilities\RefineRTDCRunTimes.py" --tripid 234-04 --locoid 4035 --swversion DE.1.0.9.0 --startMP 204:232930 --initTime 2017-11-04T22:40:50 --startdatetime 2017-11-04T22:57:13 --delay 54 --endMP 204:269 --enddatetime 2017-11-04T23:34:27 --enforcementcount 0 &gt;&gt;%USERPROFILE%\Documents\GitHub\eaglep3-reporting\EC\2017-11-04-refined-times.txt</v>
      </c>
      <c r="AI146" s="96" t="str">
        <f t="shared" si="21"/>
        <v>echo {"issue":{"subject":"","project_id":79,"tracker_id":40,"status_id":1,"priority_id":2,"assigned_to_id":338,"start_date":"2017-11-04","description":"","custom_fields":[{"id":1,"name":"Subdivision","value":"EC"},{"id":4,"name":"Milepost","value":"0.0269"},{"id":17,"name":"Train ID","value":"234-04"},{"id":16,"name":"Locomotive ID","value":"4035"},{"id":130,"name":"Impact","value":""},{"id":150,"name":"Time of Event (Mountain Time)","value":"23:34:27"},{"id":151,"name":"Denver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2"/>
        <v>start /low /b %USERPROFILE%\Documents\GitHub\eaglep3\Utilities\DownloadLogsFromS3.py --loco 4035 --day 2017-11-04</v>
      </c>
      <c r="AN146" s="151" t="str">
        <f t="shared" si="2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4"/>
        <v>https://d0f6bd738d7f1b3e5a7ca70fe4ff75f0.us-east-1.aws.found.io/app/kibana#/discover/Steve-Slow-Train-Analysis-(2080s-and-2083s)?_g=(refreshInterval:(display:Off,pause:!f,section:0,value:0),time:(from:'2017-11-04T21:40:50-0600',mode:absolute,to:'2017-11-05T00:34:27-0600'))&amp;_a=(columns:!('Message%20ID',Summary),filters:!(),index:'emp_*',interval:auto,query:(query_string:(analyze_wildcard:!t,query:'%22rtdc.l.rtdc.4035%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861</v>
      </c>
      <c r="B147" s="7">
        <v>4022</v>
      </c>
      <c r="C147" s="21" t="s">
        <v>192</v>
      </c>
      <c r="D147" s="21" t="s">
        <v>401</v>
      </c>
      <c r="E147" s="13">
        <v>43043.927893518521</v>
      </c>
      <c r="F147" s="13">
        <v>43043.937881944446</v>
      </c>
      <c r="G147" s="7">
        <v>57</v>
      </c>
      <c r="H147" s="21" t="s">
        <v>1049</v>
      </c>
      <c r="I147" s="13">
        <v>43043.963472222225</v>
      </c>
      <c r="J147" s="7">
        <v>0</v>
      </c>
      <c r="K147" s="89" t="str">
        <f>IF(ISEVEN(B147),(B147-1)&amp;"/"&amp;B147,B147&amp;"/"&amp;(B147+1))</f>
        <v>4021/4022</v>
      </c>
      <c r="L147" s="185" t="str">
        <f>VLOOKUP(A147,'Trips&amp;Operators'!$C$1:$G$99911,5,FALSE)</f>
        <v>NICHOLSON WESLEY</v>
      </c>
      <c r="M147" s="6">
        <f>I147-F147</f>
        <v>2.5590277778974269E-2</v>
      </c>
      <c r="N147" s="7">
        <f>24*60*SUM($M147:$M147)</f>
        <v>36.850000001722947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-04T21:16:10-0600',mode:absolute,to:'2017-11-05T00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5.4199999999999998E-2</v>
      </c>
      <c r="Z147" s="204">
        <f>RIGHT(H147,LEN(H147)-4)/10000</f>
        <v>23.316800000000001</v>
      </c>
      <c r="AA147" s="204">
        <f>ABS(Z147-Y147)</f>
        <v>23.262599999999999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"%USERPROFILE%\AppData\Local\Temp\OnboardLogs"\RTDC4022\2017-11-04 --exclude "*" --recursive --include "*20171104*" &amp; "%USERPROFILE%\Documents\GitHub\mrs-test-scripts\Headless Mode &amp; Sideloading\WalkAndUnGZ.bat" "%USERPROFILE%\AppData\Local\Temp\OnboardLogs"\RTDC4022\2017-11-04 &amp; 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/stypes="app*4022*20171105*"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ref="AH147:AH212" si="46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235-04 --locoid 4022 --swversion DE.1.0.9.0 --startMP 204:542 --initTime 2017-11-04T22:16:10 --startdatetime 2017-11-04T22:30:33 --delay 57 --endMP 204:233168 --enddatetime 2017-11-04T23:07:24 --enforcementcount 0 &gt;&gt;%USERPROFILE%\Documents\GitHub\eaglep3-reporting\EC\2017-11-04-refined-times.txt</v>
      </c>
      <c r="AI147" s="96" t="str">
        <f t="shared" ref="AI147:AI212" si="47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{"issue":{"subject":"","project_id":79,"tracker_id":40,"status_id":1,"priority_id":2,"assigned_to_id":338,"start_date":"2017-11-04","description":"","custom_fields":[{"id":1,"name":"Subdivision","value":"EC"},{"id":4,"name":"Milepost","value":"23.3168"},{"id":17,"name":"Train ID","value":"235-04"},{"id":16,"name":"Locomotive ID","value":"4022"},{"id":130,"name":"Impact","value":""},{"id":150,"name":"Time of Event (Mountain Time)","value":"23:07:24"},{"id":151,"name":"Denver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:AM212" si="48">"start /low /b "&amp;dls3logs&amp;" --loco "&amp;B147&amp;" --day "&amp;TEXT(F147,"YYYY-MM-DD")</f>
        <v>start /low /b %USERPROFILE%\Documents\GitHub\eaglep3\Utilities\DownloadLogsFromS3.py --loco 4022 --day 2017-11-04</v>
      </c>
      <c r="AN147" s="151" t="str">
        <f t="shared" ref="AN147:AN212" si="49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:AO212" si="50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-04T21:16:10-0600',mode:absolute,to:'2017-11-05T00:07:24-0600'))&amp;_a=(columns:!('Message%20ID',Summary),filters:!(),index:'emp_*',interval:auto,query:(query_string:(analyze_wildcard:!t,query:'%22rtdc.l.rtdc.4022%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867</v>
      </c>
      <c r="B148" s="7">
        <v>4021</v>
      </c>
      <c r="C148" s="21" t="s">
        <v>192</v>
      </c>
      <c r="D148" s="21" t="s">
        <v>1050</v>
      </c>
      <c r="E148" s="13">
        <v>43043.97378472222</v>
      </c>
      <c r="F148" s="13">
        <v>43043.977384259262</v>
      </c>
      <c r="G148" s="7">
        <v>85</v>
      </c>
      <c r="H148" s="21" t="s">
        <v>617</v>
      </c>
      <c r="I148" s="13">
        <v>43044.004895833335</v>
      </c>
      <c r="J148" s="7">
        <v>0</v>
      </c>
      <c r="K148" s="89" t="str">
        <f>IF(ISEVEN(B148),(B148-1)&amp;"/"&amp;B148,B148&amp;"/"&amp;(B148+1))</f>
        <v>4021/4022</v>
      </c>
      <c r="L148" s="185" t="str">
        <f>VLOOKUP(A148,'Trips&amp;Operators'!$C$1:$G$99911,5,FALSE)</f>
        <v>NICHOLSON WESLEY</v>
      </c>
      <c r="M148" s="6">
        <f>I148-F148</f>
        <v>2.7511574073287193E-2</v>
      </c>
      <c r="N148" s="7">
        <f>24*60*SUM($M148:$M148)</f>
        <v>39.616666665533558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-04T22:22:15-0600',mode:absolute,to:'2017-11-05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23.286799999999999</v>
      </c>
      <c r="Z148" s="204">
        <f>RIGHT(H148,LEN(H148)-4)/10000</f>
        <v>1.8700000000000001E-2</v>
      </c>
      <c r="AA148" s="204">
        <f>ABS(Z148-Y148)</f>
        <v>23.2681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s3://rtdc.mdm.uploadarchive.raw/RTDC4021/ "%USERPROFILE%\AppData\Local\Temp\OnboardLogs"\RTDC4021\2017-11-04 --exclude "*" --recursive --include "*20171104*" &amp; "%USERPROFILE%\Documents\GitHub\mrs-test-scripts\Headless Mode &amp; Sideloading\WalkAndUnGZ.bat" "%USERPROFILE%\AppData\Local\Temp\OnboardLogs"\RTDC4021\2017-11-04 &amp; aws s3 cp s3://rtdc.mdm.uploadarchive.raw/RTDC4021/ "%USERPROFILE%\AppData\Local\Temp\OnboardLogs"\RTDC4021\2017-11-05 --exclude "*" --recursive --include "*20171105*" &amp; "%USERPROFILE%\Documents\GitHub\mrs-test-scripts\Headless Mode &amp; Sideloading\WalkAndUnGZ.bat" "%USERPROFILE%\AppData\Local\Temp\OnboardLogs"\RTDC4021\2017-11-05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/stypes="app*4021*20171105*"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46"/>
        <v>"%USERPROFILE%\Documents\GitHub\eaglep3\Utilities\RefineRTDCRunTimes.py" --tripid 236-04 --locoid 4021 --swversion DE.1.0.9.0 --startMP 204:232868 --initTime 2017-11-04T23:22:15 --startdatetime 2017-11-04T23:27:26 --delay 85 --endMP 204:187 --enddatetime 2017-11-05T00:07:03 --enforcementcount 0 &gt;&gt;%USERPROFILE%\Documents\GitHub\eaglep3-reporting\EC\2017-11-04-refined-times.txt</v>
      </c>
      <c r="AI148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{"issue":{"subject":"","project_id":79,"tracker_id":40,"status_id":1,"priority_id":2,"assigned_to_id":338,"start_date":"2017-11-05","description":"","custom_fields":[{"id":1,"name":"Subdivision","value":"EC"},{"id":4,"name":"Milepost","value":"0.0187"},{"id":17,"name":"Train ID","value":"236-04"},{"id":16,"name":"Locomotive ID","value":"4021"},{"id":130,"name":"Impact","value":""},{"id":150,"name":"Time of Event (Mountain Time)","value":"00:07:03"},{"id":151,"name":"Denver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48"/>
        <v>start /low /b %USERPROFILE%\Documents\GitHub\eaglep3\Utilities\DownloadLogsFromS3.py --loco 4021 --day 2017-11-04</v>
      </c>
      <c r="AN148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50"/>
        <v>https://d0f6bd738d7f1b3e5a7ca70fe4ff75f0.us-east-1.aws.found.io/app/kibana#/discover/Steve-Slow-Train-Analysis-(2080s-and-2083s)?_g=(refreshInterval:(display:Off,pause:!f,section:0,value:0),time:(from:'2017-11-04T22:22:15-0600',mode:absolute,to:'2017-11-05T01:07:03-0600'))&amp;_a=(columns:!('Message%20ID',Summary),filters:!(),index:'emp_*',interval:auto,query:(query_string:(analyze_wildcard:!t,query:'%22rtdc.l.rtdc.4021%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863</v>
      </c>
      <c r="B149" s="7">
        <v>4006</v>
      </c>
      <c r="C149" s="21" t="s">
        <v>192</v>
      </c>
      <c r="D149" s="21" t="s">
        <v>516</v>
      </c>
      <c r="E149" s="13">
        <v>43043.944641203707</v>
      </c>
      <c r="F149" s="13">
        <v>43043.958564814813</v>
      </c>
      <c r="G149" s="7">
        <v>51</v>
      </c>
      <c r="H149" s="21" t="s">
        <v>1051</v>
      </c>
      <c r="I149" s="13">
        <v>43043.983425925922</v>
      </c>
      <c r="J149" s="7">
        <v>0</v>
      </c>
      <c r="K149" s="89" t="str">
        <f>IF(ISEVEN(B149),(B149-1)&amp;"/"&amp;B149,B149&amp;"/"&amp;(B149+1))</f>
        <v>4005/4006</v>
      </c>
      <c r="L149" s="185" t="str">
        <f>VLOOKUP(A149,'Trips&amp;Operators'!$C$1:$G$99911,5,FALSE)</f>
        <v>WEST BRYAN</v>
      </c>
      <c r="M149" s="6">
        <f>I149-F149</f>
        <v>2.4861111109203193E-2</v>
      </c>
      <c r="N149" s="7">
        <f>24*60*SUM($M149:$M149)</f>
        <v>35.799999997252598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-04T21:40:17-0600',mode:absolute,to:'2017-11-05T00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4.6899999999999997E-2</v>
      </c>
      <c r="Z149" s="204">
        <f>RIGHT(H149,LEN(H149)-4)/10000</f>
        <v>23.328800000000001</v>
      </c>
      <c r="AA149" s="204">
        <f>ABS(Z149-Y149)</f>
        <v>23.2819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s3://rtdc.mdm.uploadarchive.raw/RTDC4006/ "%USERPROFILE%\AppData\Local\Temp\OnboardLogs"\RTDC4006\2017-11-04 --exclude "*" --recursive --include "*20171104*" &amp; "%USERPROFILE%\Documents\GitHub\mrs-test-scripts\Headless Mode &amp; Sideloading\WalkAndUnGZ.bat" "%USERPROFILE%\AppData\Local\Temp\OnboardLogs"\RTDC4006\2017-11-04 &amp; 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/stypes="app*4006*20171105*"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46"/>
        <v>"%USERPROFILE%\Documents\GitHub\eaglep3\Utilities\RefineRTDCRunTimes.py" --tripid 237-04 --locoid 4006 --swversion DE.1.0.9.0 --startMP 204:469 --initTime 2017-11-04T22:40:17 --startdatetime 2017-11-04T23:00:20 --delay 51 --endMP 204:233288 --enddatetime 2017-11-04T23:36:08 --enforcementcount 0 &gt;&gt;%USERPROFILE%\Documents\GitHub\eaglep3-reporting\EC\2017-11-04-refined-times.txt</v>
      </c>
      <c r="AI149" s="96" t="str">
        <f t="shared" si="47"/>
        <v>echo {"issue":{"subject":"","project_id":79,"tracker_id":40,"status_id":1,"priority_id":2,"assigned_to_id":338,"start_date":"2017-11-04","description":"","custom_fields":[{"id":1,"name":"Subdivision","value":"EC"},{"id":4,"name":"Milepost","value":"23.3288"},{"id":17,"name":"Train ID","value":"237-04"},{"id":16,"name":"Locomotive ID","value":"4006"},{"id":130,"name":"Impact","value":""},{"id":150,"name":"Time of Event (Mountain Time)","value":"23:36:08"},{"id":151,"name":"Denver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48"/>
        <v>start /low /b %USERPROFILE%\Documents\GitHub\eaglep3\Utilities\DownloadLogsFromS3.py --loco 4006 --day 2017-11-04</v>
      </c>
      <c r="AN149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50"/>
        <v>https://d0f6bd738d7f1b3e5a7ca70fe4ff75f0.us-east-1.aws.found.io/app/kibana#/discover/Steve-Slow-Train-Analysis-(2080s-and-2083s)?_g=(refreshInterval:(display:Off,pause:!f,section:0,value:0),time:(from:'2017-11-04T21:40:17-0600',mode:absolute,to:'2017-11-05T00:36:08-0600'))&amp;_a=(columns:!('Message%20ID',Summary),filters:!(),index:'emp_*',interval:auto,query:(query_string:(analyze_wildcard:!t,query:'%22rtdc.l.rtdc.4006%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869</v>
      </c>
      <c r="B150" s="7">
        <v>4005</v>
      </c>
      <c r="C150" s="21" t="s">
        <v>192</v>
      </c>
      <c r="D150" s="21" t="s">
        <v>1052</v>
      </c>
      <c r="E150" s="13">
        <v>43043.986261574071</v>
      </c>
      <c r="F150" s="13">
        <v>43043.998124999998</v>
      </c>
      <c r="G150" s="7">
        <v>82</v>
      </c>
      <c r="H150" s="21" t="s">
        <v>513</v>
      </c>
      <c r="I150" s="13">
        <v>43044.024189814816</v>
      </c>
      <c r="J150" s="7">
        <v>0</v>
      </c>
      <c r="K150" s="89" t="str">
        <f>IF(ISEVEN(B150),(B150-1)&amp;"/"&amp;B150,B150&amp;"/"&amp;(B150+1))</f>
        <v>4005/4006</v>
      </c>
      <c r="L150" s="185" t="str">
        <f>VLOOKUP(A150,'Trips&amp;Operators'!$C$1:$G$99911,5,FALSE)</f>
        <v>WEST BRYAN</v>
      </c>
      <c r="M150" s="6">
        <f>I150-F150</f>
        <v>2.6064814817800652E-2</v>
      </c>
      <c r="N150" s="7">
        <f>24*60*SUM($M150:$M150)</f>
        <v>37.533333337632939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-04T22:40:13-0600',mode:absolute,to:'2017-11-05T01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23.2973</v>
      </c>
      <c r="Z150" s="204">
        <f>RIGHT(H150,LEN(H150)-4)/10000</f>
        <v>1.49E-2</v>
      </c>
      <c r="AA150" s="204">
        <f>ABS(Z150-Y150)</f>
        <v>23.282399999999999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/stypes="app*4005*20171105*"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46"/>
        <v>"%USERPROFILE%\Documents\GitHub\eaglep3\Utilities\RefineRTDCRunTimes.py" --tripid 238-04 --locoid 4005 --swversion DE.1.0.9.0 --startMP 204:232973 --initTime 2017-11-04T23:40:13 --startdatetime 2017-11-04T23:57:18 --delay 82 --endMP 204:149 --enddatetime 2017-11-05T00:34:50 --enforcementcount 0 &gt;&gt;%USERPROFILE%\Documents\GitHub\eaglep3-reporting\EC\2017-11-04-refined-times.txt</v>
      </c>
      <c r="AI150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{"issue":{"subject":"","project_id":79,"tracker_id":40,"status_id":1,"priority_id":2,"assigned_to_id":338,"start_date":"2017-11-05","description":"","custom_fields":[{"id":1,"name":"Subdivision","value":"EC"},{"id":4,"name":"Milepost","value":"0.0149"},{"id":17,"name":"Train ID","value":"238-04"},{"id":16,"name":"Locomotive ID","value":"4005"},{"id":130,"name":"Impact","value":""},{"id":150,"name":"Time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48"/>
        <v>start /low /b %USERPROFILE%\Documents\GitHub\eaglep3\Utilities\DownloadLogsFromS3.py --loco 4005 --day 2017-11-04</v>
      </c>
      <c r="AN150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50"/>
        <v>https://d0f6bd738d7f1b3e5a7ca70fe4ff75f0.us-east-1.aws.found.io/app/kibana#/discover/Steve-Slow-Train-Analysis-(2080s-and-2083s)?_g=(refreshInterval:(display:Off,pause:!f,section:0,value:0),time:(from:'2017-11-04T22:40:13-0600',mode:absolute,to:'2017-11-05T01:34:50-0600'))&amp;_a=(columns:!('Message%20ID',Summary),filters:!(),index:'emp_*',interval:auto,query:(query_string:(analyze_wildcard:!t,query:'%22rtdc.l.rtdc.4005%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866</v>
      </c>
      <c r="B151" s="7">
        <v>4020</v>
      </c>
      <c r="C151" s="21" t="s">
        <v>192</v>
      </c>
      <c r="D151" s="21" t="s">
        <v>1045</v>
      </c>
      <c r="E151" s="13">
        <v>43043.964583333334</v>
      </c>
      <c r="F151" s="13">
        <v>43043.97934027778</v>
      </c>
      <c r="G151" s="7">
        <v>50</v>
      </c>
      <c r="H151" s="21" t="s">
        <v>1010</v>
      </c>
      <c r="I151" s="13">
        <v>43044.004548611112</v>
      </c>
      <c r="J151" s="7">
        <v>0</v>
      </c>
      <c r="K151" s="89" t="str">
        <f>IF(ISEVEN(B151),(B151-1)&amp;"/"&amp;B151,B151&amp;"/"&amp;(B151+1))</f>
        <v>4019/4020</v>
      </c>
      <c r="L151" s="185" t="str">
        <f>VLOOKUP(A151,'Trips&amp;Operators'!$C$1:$G$99911,5,FALSE)</f>
        <v>FORTUNATO FRANK</v>
      </c>
      <c r="M151" s="6">
        <f>I151-F151</f>
        <v>2.5208333332557231E-2</v>
      </c>
      <c r="N151" s="7">
        <f>24*60*SUM($M151:$M151)</f>
        <v>36.299999998882413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-04T22:09:00-0600',mode:absolute,to:'2017-11-05T01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5.0900000000000001E-2</v>
      </c>
      <c r="Z151" s="204">
        <f>RIGHT(H151,LEN(H151)-4)/10000</f>
        <v>23.3202</v>
      </c>
      <c r="AA151" s="204">
        <f>ABS(Z151-Y151)</f>
        <v>23.269300000000001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/stypes="app*4020*20171105*"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46"/>
        <v>"%USERPROFILE%\Documents\GitHub\eaglep3\Utilities\RefineRTDCRunTimes.py" --tripid 239-04 --locoid 4020 --swversion DE.1.0.9.0 --startMP 204:509 --initTime 2017-11-04T23:09:00 --startdatetime 2017-11-04T23:30:15 --delay 50 --endMP 204:233202 --enddatetime 2017-11-05T00:06:33 --enforcementcount 0 &gt;&gt;%USERPROFILE%\Documents\GitHub\eaglep3-reporting\EC\2017-11-04-refined-times.txt</v>
      </c>
      <c r="AI151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{"issue":{"subject":"","project_id":79,"tracker_id":40,"status_id":1,"priority_id":2,"assigned_to_id":338,"start_date":"2017-11-05","description":"","custom_fields":[{"id":1,"name":"Subdivision","value":"EC"},{"id":4,"name":"Milepost","value":"23.3202"},{"id":17,"name":"Train ID","value":"239-04"},{"id":16,"name":"Locomotive ID","value":"4020"},{"id":130,"name":"Impact","value":""},{"id":150,"name":"Time of Event (Mountain Time)","value":"00:06:33"},{"id":151,"name":"Denver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48"/>
        <v>start /low /b %USERPROFILE%\Documents\GitHub\eaglep3\Utilities\DownloadLogsFromS3.py --loco 4020 --day 2017-11-04</v>
      </c>
      <c r="AN151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50"/>
        <v>https://d0f6bd738d7f1b3e5a7ca70fe4ff75f0.us-east-1.aws.found.io/app/kibana#/discover/Steve-Slow-Train-Analysis-(2080s-and-2083s)?_g=(refreshInterval:(display:Off,pause:!f,section:0,value:0),time:(from:'2017-11-04T22:09:00-0600',mode:absolute,to:'2017-11-05T01:06:33-0600'))&amp;_a=(columns:!('Message%20ID',Summary),filters:!(),index:'emp_*',interval:auto,query:(query_string:(analyze_wildcard:!t,query:'%22rtdc.l.rtdc.4020%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871</v>
      </c>
      <c r="B152" s="7">
        <v>4019</v>
      </c>
      <c r="C152" s="21" t="s">
        <v>192</v>
      </c>
      <c r="D152" s="21" t="s">
        <v>1053</v>
      </c>
      <c r="E152" s="13">
        <v>43044.006099537037</v>
      </c>
      <c r="F152" s="13">
        <v>43044.018900462965</v>
      </c>
      <c r="G152" s="7">
        <v>49</v>
      </c>
      <c r="H152" s="21" t="s">
        <v>598</v>
      </c>
      <c r="I152" s="13">
        <v>43044.044791666667</v>
      </c>
      <c r="J152" s="7">
        <v>0</v>
      </c>
      <c r="K152" s="89" t="str">
        <f>IF(ISEVEN(B152),(B152-1)&amp;"/"&amp;B152,B152&amp;"/"&amp;(B152+1))</f>
        <v>4019/4020</v>
      </c>
      <c r="L152" s="185" t="str">
        <f>VLOOKUP(A152,'Trips&amp;Operators'!$C$1:$G$99911,5,FALSE)</f>
        <v>FORTUNATO FRANK</v>
      </c>
      <c r="M152" s="6">
        <f>I152-F152</f>
        <v>2.5891203702485655E-2</v>
      </c>
      <c r="N152" s="7">
        <f>24*60*SUM($M152:$M152)</f>
        <v>37.283333331579342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-04T23:08:47-0600',mode:absolute,to:'2017-11-05T02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23.287199999999999</v>
      </c>
      <c r="Z152" s="204">
        <f>RIGHT(H152,LEN(H152)-4)/10000</f>
        <v>2.0500000000000001E-2</v>
      </c>
      <c r="AA152" s="204">
        <f>ABS(Z152-Y152)</f>
        <v>23.2667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s3://rtdc.mdm.uploadarchive.raw/RTDC4019/ "%USERPROFILE%\AppData\Local\Temp\OnboardLogs"\RTDC4019\2017-11-05 --exclude "*" --recursive --include "*20171105*" &amp; "%USERPROFILE%\Documents\GitHub\mrs-test-scripts\Headless Mode &amp; Sideloading\WalkAndUnGZ.bat" "%USERPROFILE%\AppData\Local\Temp\OnboardLogs"\RTDC4019\2017-11-05 &amp; aws s3 cp s3://rtdc.mdm.uploadarchive.raw/RTDC4019/ "%USERPROFILE%\AppData\Local\Temp\OnboardLogs"\RTDC4019\2017-11-06 --exclude "*" --recursive --include "*20171106*" &amp; "%USERPROFILE%\Documents\GitHub\mrs-test-scripts\Headless Mode &amp; Sideloading\WalkAndUnGZ.bat" "%USERPROFILE%\AppData\Local\Temp\OnboardLogs"\RTDC4019\2017-11-06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/stypes="app*4019*20171105*"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46"/>
        <v>"%USERPROFILE%\Documents\GitHub\eaglep3\Utilities\RefineRTDCRunTimes.py" --tripid 240-04 --locoid 4019 --swversion DE.1.0.9.0 --startMP 204:232872 --initTime 2017-11-05T00:08:47 --startdatetime 2017-11-05T00:27:13 --delay 49 --endMP 204:205 --enddatetime 2017-11-05T01:04:30 --enforcementcount 0 &gt;&gt;%USERPROFILE%\Documents\GitHub\eaglep3-reporting\EC\2017-11-04-refined-times.txt</v>
      </c>
      <c r="AI152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{"issue":{"subject":"","project_id":79,"tracker_id":40,"status_id":1,"priority_id":2,"assigned_to_id":338,"start_date":"2017-11-05","description":"","custom_fields":[{"id":1,"name":"Subdivision","value":"EC"},{"id":4,"name":"Milepost","value":"0.0205"},{"id":17,"name":"Train ID","value":"240-04"},{"id":16,"name":"Locomotive ID","value":"4019"},{"id":130,"name":"Impact","value":""},{"id":150,"name":"Time of Event (Mountain Time)","value":"01:04:30"},{"id":151,"name":"Denver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48"/>
        <v>start /low /b %USERPROFILE%\Documents\GitHub\eaglep3\Utilities\DownloadLogsFromS3.py --loco 4019 --day 2017-11-05</v>
      </c>
      <c r="AN152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50"/>
        <v>https://d0f6bd738d7f1b3e5a7ca70fe4ff75f0.us-east-1.aws.found.io/app/kibana#/discover/Steve-Slow-Train-Analysis-(2080s-and-2083s)?_g=(refreshInterval:(display:Off,pause:!f,section:0,value:0),time:(from:'2017-11-04T23:08:47-0600',mode:absolute,to:'2017-11-05T02:04:30-0600'))&amp;_a=(columns:!('Message%20ID',Summary),filters:!(),index:'emp_*',interval:auto,query:(query_string:(analyze_wildcard:!t,query:'%22rtdc.l.rtdc.4019%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870</v>
      </c>
      <c r="B153" s="7">
        <v>4036</v>
      </c>
      <c r="C153" s="21" t="s">
        <v>192</v>
      </c>
      <c r="D153" s="21" t="s">
        <v>1038</v>
      </c>
      <c r="E153" s="13">
        <v>43043.998229166667</v>
      </c>
      <c r="F153" s="13">
        <v>43044.000138888892</v>
      </c>
      <c r="G153" s="7">
        <v>51</v>
      </c>
      <c r="H153" s="21" t="s">
        <v>584</v>
      </c>
      <c r="I153" s="13">
        <v>43044.023993055554</v>
      </c>
      <c r="J153" s="7">
        <v>0</v>
      </c>
      <c r="K153" s="89" t="str">
        <f>IF(ISEVEN(B153),(B153-1)&amp;"/"&amp;B153,B153&amp;"/"&amp;(B153+1))</f>
        <v>4035/4036</v>
      </c>
      <c r="L153" s="185" t="str">
        <f>VLOOKUP(A153,'Trips&amp;Operators'!$C$1:$G$99911,5,FALSE)</f>
        <v>ELBAUM MIKE</v>
      </c>
      <c r="M153" s="6">
        <f>I153-F153</f>
        <v>2.3854166662204079E-2</v>
      </c>
      <c r="N153" s="7">
        <f>24*60*SUM($M153:$M153)</f>
        <v>34.349999993573874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-04T22:57:27-0600',mode:absolute,to:'2017-11-05T01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3" s="204" t="str">
        <f>IF(AA153&lt;VLOOKUP(AG153,Variables!$AC$3:$AD$8,2,FALSE),"Y","N")</f>
        <v>N</v>
      </c>
      <c r="X153" s="204">
        <f t="shared" ref="X153:X154" si="51">VALUE(LEFT(AD153,4))-VALUE(LEFT(AD152,4))</f>
        <v>1</v>
      </c>
      <c r="Y153" s="204">
        <f>RIGHT(D153,LEN(D153)-4)/10000</f>
        <v>5.6000000000000001E-2</v>
      </c>
      <c r="Z153" s="204">
        <f>RIGHT(H153,LEN(H153)-4)/10000</f>
        <v>23.3261</v>
      </c>
      <c r="AA153" s="204">
        <f>ABS(Z153-Y153)</f>
        <v>23.270099999999999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s3://rtdc.mdm.uploadarchive.raw/RTDC4036/ "%USERPROFILE%\AppData\Local\Temp\OnboardLogs"\RTDC4036\2017-11-05 --exclude "*" --recursive --include "*20171105*" &amp; "%USERPROFILE%\Documents\GitHub\mrs-test-scripts\Headless Mode &amp; Sideloading\WalkAndUnGZ.bat" "%USERPROFILE%\AppData\Local\Temp\OnboardLogs"\RTDC4036\2017-11-05 &amp; 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/stypes="app*4036*20171105*"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46"/>
        <v>"%USERPROFILE%\Documents\GitHub\eaglep3\Utilities\RefineRTDCRunTimes.py" --tripid 241-04 --locoid 4036 --swversion DE.1.0.9.0 --startMP 204:560 --initTime 2017-11-04T23:57:27 --startdatetime 2017-11-05T00:00:12 --delay 51 --endMP 204:233261 --enddatetime 2017-11-05T00:34:33 --enforcementcount 0 &gt;&gt;%USERPROFILE%\Documents\GitHub\eaglep3-reporting\EC\2017-11-04-refined-times.txt</v>
      </c>
      <c r="AI153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{"issue":{"subject":"","project_id":79,"tracker_id":40,"status_id":1,"priority_id":2,"assigned_to_id":338,"start_date":"2017-11-05","description":"","custom_fields":[{"id":1,"name":"Subdivision","value":"EC"},{"id":4,"name":"Milepost","value":"23.3261"},{"id":17,"name":"Train ID","value":"241-04"},{"id":16,"name":"Locomotive ID","value":"4036"},{"id":130,"name":"Impact","value":""},{"id":150,"name":"Time of Event (Mountain Time)","value":"00:34:33"},{"id":151,"name":"Denver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48"/>
        <v>start /low /b %USERPROFILE%\Documents\GitHub\eaglep3\Utilities\DownloadLogsFromS3.py --loco 4036 --day 2017-11-05</v>
      </c>
      <c r="AN153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50"/>
        <v>https://d0f6bd738d7f1b3e5a7ca70fe4ff75f0.us-east-1.aws.found.io/app/kibana#/discover/Steve-Slow-Train-Analysis-(2080s-and-2083s)?_g=(refreshInterval:(display:Off,pause:!f,section:0,value:0),time:(from:'2017-11-04T22:57:27-0600',mode:absolute,to:'2017-11-05T01:34:33-0600'))&amp;_a=(columns:!('Message%20ID',Summary),filters:!(),index:'emp_*',interval:auto,query:(query_string:(analyze_wildcard:!t,query:'%22rtdc.l.rtdc.4036%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873</v>
      </c>
      <c r="B154" s="7">
        <v>4035</v>
      </c>
      <c r="C154" s="21" t="s">
        <v>192</v>
      </c>
      <c r="D154" s="21" t="s">
        <v>493</v>
      </c>
      <c r="E154" s="13">
        <v>43044.02542824074</v>
      </c>
      <c r="F154" s="13">
        <v>43044.039722222224</v>
      </c>
      <c r="G154" s="7">
        <v>54</v>
      </c>
      <c r="H154" s="21" t="s">
        <v>1044</v>
      </c>
      <c r="I154" s="13">
        <v>43044.064976851849</v>
      </c>
      <c r="J154" s="7">
        <v>0</v>
      </c>
      <c r="K154" s="89" t="str">
        <f>IF(ISEVEN(B154),(B154-1)&amp;"/"&amp;B154,B154&amp;"/"&amp;(B154+1))</f>
        <v>4035/4036</v>
      </c>
      <c r="L154" s="185" t="str">
        <f>VLOOKUP(A154,'Trips&amp;Operators'!$C$1:$G$99911,5,FALSE)</f>
        <v>ELBAUM MIKE</v>
      </c>
      <c r="M154" s="6">
        <f>I154-F154</f>
        <v>2.5254629625123926E-2</v>
      </c>
      <c r="N154" s="7">
        <f>24*60*SUM($M154:$M154)</f>
        <v>36.366666660178453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-04T23:36:37-0600',mode:absolute,to:'2017-11-05T02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4" s="204" t="str">
        <f>IF(AA154&lt;VLOOKUP(AG154,Variables!$AC$3:$AD$8,2,FALSE),"Y","N")</f>
        <v>N</v>
      </c>
      <c r="X154" s="204">
        <f t="shared" si="51"/>
        <v>1</v>
      </c>
      <c r="Y154" s="204">
        <f>RIGHT(D154,LEN(D154)-4)/10000</f>
        <v>23.293399999999998</v>
      </c>
      <c r="Z154" s="204">
        <f>RIGHT(H154,LEN(H154)-4)/10000</f>
        <v>2.5600000000000001E-2</v>
      </c>
      <c r="AA154" s="204">
        <f>ABS(Z154-Y154)</f>
        <v>23.267799999999998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 &amp; 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/stypes="app*4035*20171105*"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46"/>
        <v>"%USERPROFILE%\Documents\GitHub\eaglep3\Utilities\RefineRTDCRunTimes.py" --tripid 242-04 --locoid 4035 --swversion DE.1.0.9.0 --startMP 204:232934 --initTime 2017-11-05T00:36:37 --startdatetime 2017-11-05T00:57:12 --delay 54 --endMP 204:256 --enddatetime 2017-11-05T01:33:34 --enforcementcount 0 &gt;&gt;%USERPROFILE%\Documents\GitHub\eaglep3-reporting\EC\2017-11-04-refined-times.txt</v>
      </c>
      <c r="AI154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{"issue":{"subject":"","project_id":79,"tracker_id":40,"status_id":1,"priority_id":2,"assigned_to_id":338,"start_date":"2017-11-05","description":"","custom_fields":[{"id":1,"name":"Subdivision","value":"EC"},{"id":4,"name":"Milepost","value":"0.0256"},{"id":17,"name":"Train ID","value":"242-04"},{"id":16,"name":"Locomotive ID","value":"4035"},{"id":130,"name":"Impact","value":""},{"id":150,"name":"Time of Event (Mountain Time)","value":"01:33:34"},{"id":151,"name":"Denver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48"/>
        <v>start /low /b %USERPROFILE%\Documents\GitHub\eaglep3\Utilities\DownloadLogsFromS3.py --loco 4035 --day 2017-11-05</v>
      </c>
      <c r="AN154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50"/>
        <v>https://d0f6bd738d7f1b3e5a7ca70fe4ff75f0.us-east-1.aws.found.io/app/kibana#/discover/Steve-Slow-Train-Analysis-(2080s-and-2083s)?_g=(refreshInterval:(display:Off,pause:!f,section:0,value:0),time:(from:'2017-11-04T23:36:37-0600',mode:absolute,to:'2017-11-05T02:33:34-0600'))&amp;_a=(columns:!('Message%20ID',Summary),filters:!(),index:'emp_*',interval:auto,query:(query_string:(analyze_wildcard:!t,query:'%22rtdc.l.rtdc.4035%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872</v>
      </c>
      <c r="B155" s="7">
        <v>4022</v>
      </c>
      <c r="C155" s="21" t="s">
        <v>192</v>
      </c>
      <c r="D155" s="21" t="s">
        <v>1054</v>
      </c>
      <c r="E155" s="13">
        <v>43044.011099537034</v>
      </c>
      <c r="F155" s="13">
        <v>43044.021145833336</v>
      </c>
      <c r="G155" s="7">
        <v>68</v>
      </c>
      <c r="H155" s="21" t="s">
        <v>1055</v>
      </c>
      <c r="I155" s="13">
        <v>43044.046759259261</v>
      </c>
      <c r="J155" s="7">
        <v>0</v>
      </c>
      <c r="K155" s="89" t="str">
        <f>IF(ISEVEN(B155),(B155-1)&amp;"/"&amp;B155,B155&amp;"/"&amp;(B155+1))</f>
        <v>4021/4022</v>
      </c>
      <c r="L155" s="185" t="str">
        <f>VLOOKUP(A155,'Trips&amp;Operators'!$C$1:$G$99911,5,FALSE)</f>
        <v>NICHOLSON WESLEY</v>
      </c>
      <c r="M155" s="6">
        <f>I155-F155</f>
        <v>2.5613425925257616E-2</v>
      </c>
      <c r="N155" s="7">
        <f>24*60*SUM($M155:$M155)</f>
        <v>36.883333332370967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-04T23:15:59-0600',mode:absolute,to:'2017-11-05T02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4.8800000000000003E-2</v>
      </c>
      <c r="Z155" s="204">
        <f>RIGHT(H155,LEN(H155)-4)/10000</f>
        <v>23.317900000000002</v>
      </c>
      <c r="AA155" s="204">
        <f>ABS(Z155-Y155)</f>
        <v>23.269100000000002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 &amp; aws s3 cp s3://rtdc.mdm.uploadarchive.raw/RTDC4022/ "%USERPROFILE%\AppData\Local\Temp\OnboardLogs"\RTDC4022\2017-11-06 --exclude "*" --recursive --include "*20171106*" &amp; "%USERPROFILE%\Documents\GitHub\mrs-test-scripts\Headless Mode &amp; Sideloading\WalkAndUnGZ.bat" "%USERPROFILE%\AppData\Local\Temp\OnboardLogs"\RTDC4022\2017-11-06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/stypes="app*4022*20171105*"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46"/>
        <v>"%USERPROFILE%\Documents\GitHub\eaglep3\Utilities\RefineRTDCRunTimes.py" --tripid 243-04 --locoid 4022 --swversion DE.1.0.9.0 --startMP 204:488 --initTime 2017-11-05T00:15:59 --startdatetime 2017-11-05T00:30:27 --delay 68 --endMP 204:233179 --enddatetime 2017-11-05T01:07:20 --enforcementcount 0 &gt;&gt;%USERPROFILE%\Documents\GitHub\eaglep3-reporting\EC\2017-11-04-refined-times.txt</v>
      </c>
      <c r="AI155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{"issue":{"subject":"","project_id":79,"tracker_id":40,"status_id":1,"priority_id":2,"assigned_to_id":338,"start_date":"2017-11-05","description":"","custom_fields":[{"id":1,"name":"Subdivision","value":"EC"},{"id":4,"name":"Milepost","value":"23.3179"},{"id":17,"name":"Train ID","value":"243-04"},{"id":16,"name":"Locomotive ID","value":"4022"},{"id":130,"name":"Impact","value":""},{"id":150,"name":"Time of Event (Mountain Time)","value":"01:07:20"},{"id":151,"name":"Denver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48"/>
        <v>start /low /b %USERPROFILE%\Documents\GitHub\eaglep3\Utilities\DownloadLogsFromS3.py --loco 4022 --day 2017-11-05</v>
      </c>
      <c r="AN155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50"/>
        <v>https://d0f6bd738d7f1b3e5a7ca70fe4ff75f0.us-east-1.aws.found.io/app/kibana#/discover/Steve-Slow-Train-Analysis-(2080s-and-2083s)?_g=(refreshInterval:(display:Off,pause:!f,section:0,value:0),time:(from:'2017-11-04T23:15:59-0600',mode:absolute,to:'2017-11-05T02:07:20-0600'))&amp;_a=(columns:!('Message%20ID',Summary),filters:!(),index:'emp_*',interval:auto,query:(query_string:(analyze_wildcard:!t,query:'%22rtdc.l.rtdc.4022%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1092</v>
      </c>
      <c r="B156" s="7">
        <v>4045</v>
      </c>
      <c r="C156" s="21" t="s">
        <v>192</v>
      </c>
      <c r="D156" s="21" t="s">
        <v>1054</v>
      </c>
      <c r="E156" s="13">
        <v>43044.011099537034</v>
      </c>
      <c r="F156" s="13">
        <v>43044.061111111114</v>
      </c>
      <c r="G156" s="7">
        <v>68</v>
      </c>
      <c r="H156" s="21" t="s">
        <v>1055</v>
      </c>
      <c r="I156" s="13">
        <v>43044.061805555553</v>
      </c>
      <c r="J156" s="7">
        <v>0</v>
      </c>
      <c r="K156" s="89" t="str">
        <f>IF(ISEVEN(B156),(B156-1)&amp;"/"&amp;B156,B156&amp;"/"&amp;(B156+1))</f>
        <v>4045/4046</v>
      </c>
      <c r="L156" s="185" t="e">
        <f>VLOOKUP(A156,'Trips&amp;Operators'!$C$1:$G$99911,5,FALSE)</f>
        <v>#N/A</v>
      </c>
      <c r="M156" s="6">
        <f>I156-F156</f>
        <v>6.9444443943211809E-4</v>
      </c>
      <c r="N156" s="7"/>
      <c r="O156" s="7"/>
      <c r="P156" s="7">
        <v>1</v>
      </c>
      <c r="Q156" s="22"/>
      <c r="R156" s="174" t="s">
        <v>1093</v>
      </c>
      <c r="S156" s="221">
        <f>1/IF(AG156="EC",12,1)*SUM(U156:U156)</f>
        <v>0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-04T23:15:59-0600',mode:absolute,to:'2017-11-05T02:29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204" t="str">
        <f>IF(AA156&lt;VLOOKUP(AG156,Variables!$AC$3:$AD$8,2,FALSE),"Y","N")</f>
        <v>Y</v>
      </c>
      <c r="X156" s="204">
        <f>VALUE(LEFT(AD156,4))-VALUE(LEFT(AD155,4))</f>
        <v>1</v>
      </c>
      <c r="Y156" s="204">
        <v>0</v>
      </c>
      <c r="Z156" s="204">
        <v>0</v>
      </c>
      <c r="AA156" s="204">
        <f>ABS(Z156-Y156)</f>
        <v>0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 &amp; aws s3 cp s3://rtdc.mdm.uploadarchive.raw/RTDC4045/ "%USERPROFILE%\AppData\Local\Temp\OnboardLogs"\RTDC4045\2017-11-06 --exclude "*" --recursive --include "*20171106*" &amp; "%USERPROFILE%\Documents\GitHub\mrs-test-scripts\Headless Mode &amp; Sideloading\WalkAndUnGZ.bat" "%USERPROFILE%\AppData\Local\Temp\OnboardLogs"\RTDC4045\2017-11-06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/stypes="app*4045*20171105*"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52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244-04 --locoid 4045 --swversion DE.1.0.9.0 --startMP 204:488 --initTime 2017-11-05T00:15:59 --startdatetime 2017-11-05T01:28:00 --delay 68 --endMP 204:233179 --enddatetime 2017-11-05T01:29:00 --enforcementcount 0 &gt;&gt;%USERPROFILE%\Documents\GitHub\eaglep3-reporting\EC\2017-11-04-refined-times.txt</v>
      </c>
      <c r="AI156" s="96" t="str">
        <f t="shared" ref="AI156" si="53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outage","project_id":79,"tracker_id":40,"status_id":1,"priority_id":2,"assigned_to_id":338,"start_date":"2017-11-05","description":"","custom_fields":[{"id":1,"name":"Subdivision","value":"EC"},{"id":4,"name":"Milepost","value":"0"},{"id":17,"name":"Train ID","value":"244-04"},{"id":16,"name":"Locomotive ID","value":"4045"},{"id":130,"name":"Impact","value":""},{"id":150,"name":"Time of Event (Mountain Time)","value":"01:29:00"},{"id":151,"name":"Denver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54">"start /low /b "&amp;dls3logs&amp;" --loco "&amp;B156&amp;" --day "&amp;TEXT(F156,"YYYY-MM-DD")</f>
        <v>start /low /b %USERPROFILE%\Documents\GitHub\eaglep3\Utilities\DownloadLogsFromS3.py --loco 4045 --day 2017-11-05</v>
      </c>
      <c r="AN156" s="151" t="str">
        <f t="shared" ref="AN156" si="55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07:29:00"},{"id":29,"name":"Sharepoint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56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-04T23:15:59-0600',mode:absolute,to:'2017-11-05T02:29:00-0600'))&amp;_a=(columns:!('Message%20ID',Summary),filters:!(),index:'emp_*',interval:auto,query:(query_string:(analyze_wildcard:!t,query:'%22rtdc.l.rtdc.4045%22')),sort:!(Time.ISO8601,asc))</v>
      </c>
    </row>
    <row r="157" spans="1:91" s="20" customFormat="1" x14ac:dyDescent="0.25">
      <c r="A157" s="32" t="s">
        <v>874</v>
      </c>
      <c r="B157" s="7">
        <v>4006</v>
      </c>
      <c r="C157" s="21" t="s">
        <v>192</v>
      </c>
      <c r="D157" s="21" t="s">
        <v>1054</v>
      </c>
      <c r="E157" s="13">
        <v>43044.011099537034</v>
      </c>
      <c r="F157" s="13">
        <v>43044.042511574073</v>
      </c>
      <c r="G157" s="7">
        <v>68</v>
      </c>
      <c r="H157" s="21" t="s">
        <v>1055</v>
      </c>
      <c r="I157" s="13">
        <v>43044.068449074075</v>
      </c>
      <c r="J157" s="7">
        <v>0</v>
      </c>
      <c r="K157" s="89" t="str">
        <f>IF(ISEVEN(B157),(B157-1)&amp;"/"&amp;B157,B157&amp;"/"&amp;(B157+1))</f>
        <v>4005/4006</v>
      </c>
      <c r="L157" s="185" t="str">
        <f>VLOOKUP(A157,'Trips&amp;Operators'!$C$1:$G$99911,5,FALSE)</f>
        <v>WEST BRYAN</v>
      </c>
      <c r="M157" s="6">
        <f>I157-F157</f>
        <v>2.5937500002328306E-2</v>
      </c>
      <c r="N157" s="7">
        <f>24*60*SUM($M157:$M157)</f>
        <v>37.350000003352761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-04T23:15:59-0600',mode:absolute,to:'2017-11-05T02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4.8800000000000003E-2</v>
      </c>
      <c r="Z157" s="204">
        <f>RIGHT(H157,LEN(H157)-4)/10000</f>
        <v>23.317900000000002</v>
      </c>
      <c r="AA157" s="204">
        <f>ABS(Z157-Y157)</f>
        <v>23.269100000000002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245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 &amp; 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/stypes="app*4006*20171105*"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ref="AH157" si="57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245-04 --locoid 4006 --swversion DE.1.0.9.0 --startMP 204:488 --initTime 2017-11-05T00:15:59 --startdatetime 2017-11-05T01:01:13 --delay 68 --endMP 204:233179 --enddatetime 2017-11-05T01:38:34 --enforcementcount 0 &gt;&gt;%USERPROFILE%\Documents\GitHub\eaglep3-reporting\EC\2017-11-04-refined-times.txt</v>
      </c>
      <c r="AI157" s="96" t="str">
        <f t="shared" ref="AI157" si="58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{"issue":{"subject":"","project_id":79,"tracker_id":40,"status_id":1,"priority_id":2,"assigned_to_id":338,"start_date":"2017-11-05","description":"","custom_fields":[{"id":1,"name":"Subdivision","value":"EC"},{"id":4,"name":"Milepost","value":"23.3179"},{"id":17,"name":"Train ID","value":"245-04"},{"id":16,"name":"Locomotive ID","value":"4006"},{"id":130,"name":"Impact","value":""},{"id":150,"name":"Time of Event (Mountain Time)","value":"01:38:34"},{"id":151,"name":"Denver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ref="AM157" si="59">"start /low /b "&amp;dls3logs&amp;" --loco "&amp;B157&amp;" --day "&amp;TEXT(F157,"YYYY-MM-DD")</f>
        <v>start /low /b %USERPROFILE%\Documents\GitHub\eaglep3\Utilities\DownloadLogsFromS3.py --loco 4006 --day 2017-11-05</v>
      </c>
      <c r="AN157" s="151" t="str">
        <f t="shared" ref="AN157" si="60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61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-04T23:15:59-0600',mode:absolute,to:'2017-11-05T02:38:34-0600'))&amp;_a=(columns:!('Message%20ID',Summary),filters:!(),index:'emp_*',interval:auto,query:(query_string:(analyze_wildcard:!t,query:'%22rtdc.l.rtdc.4006%22')),sort:!(Time.ISO8601,asc))</v>
      </c>
    </row>
    <row r="158" spans="1:91" s="20" customFormat="1" x14ac:dyDescent="0.25">
      <c r="A158" s="32" t="s">
        <v>877</v>
      </c>
      <c r="B158" s="7">
        <v>4005</v>
      </c>
      <c r="C158" s="21" t="s">
        <v>192</v>
      </c>
      <c r="D158" s="21" t="s">
        <v>1056</v>
      </c>
      <c r="E158" s="13">
        <v>43044.070937500001</v>
      </c>
      <c r="F158" s="13">
        <v>43044.08152777778</v>
      </c>
      <c r="G158" s="7">
        <v>65</v>
      </c>
      <c r="H158" s="21" t="s">
        <v>396</v>
      </c>
      <c r="I158" s="13">
        <v>43044.069907407407</v>
      </c>
      <c r="J158" s="7">
        <v>0</v>
      </c>
      <c r="K158" s="89" t="str">
        <f>IF(ISEVEN(B158),(B158-1)&amp;"/"&amp;B158,B158&amp;"/"&amp;(B158+1))</f>
        <v>4005/4006</v>
      </c>
      <c r="L158" s="185" t="str">
        <f>VLOOKUP(A158,'Trips&amp;Operators'!$C$1:$G$99911,5,FALSE)</f>
        <v>WEST BRYAN</v>
      </c>
      <c r="M158" s="6">
        <v>2.9861111111111113E-2</v>
      </c>
      <c r="N158" s="7">
        <f>24*60*SUM($M158:$M158)</f>
        <v>43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-05T00:42:09-0600',mode:absolute,to:'2017-11-05T02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23.295100000000001</v>
      </c>
      <c r="Z158" s="204">
        <f>RIGHT(H158,LEN(H158)-4)/10000</f>
        <v>1.6899999999999998E-2</v>
      </c>
      <c r="AA158" s="204">
        <f>ABS(Z158-Y158)</f>
        <v>23.278200000000002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246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 &amp; 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/stypes="app*4005*20171105*" /stext=" 07:.+((SYSTEM_STATE.+slice.+state.+changed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46"/>
        <v>"%USERPROFILE%\Documents\GitHub\eaglep3\Utilities\RefineRTDCRunTimes.py" --tripid 246-04 --locoid 4005 --swversion DE.1.0.9.0 --startMP 204:232951 --initTime 2017-11-05T01:42:09 --startdatetime 2017-11-05T01:57:24 --delay 65 --endMP 204:169 --enddatetime 2017-11-05T01:40:40 --enforcementcount 0 &gt;&gt;%USERPROFILE%\Documents\GitHub\eaglep3-reporting\EC\2017-11-04-refined-times.txt</v>
      </c>
      <c r="AI158" s="96" t="str">
        <f t="shared" si="47"/>
        <v>echo {"issue":{"subject":"","project_id":79,"tracker_id":40,"status_id":1,"priority_id":2,"assigned_to_id":338,"start_date":"2017-11-05","description":"","custom_fields":[{"id":1,"name":"Subdivision","value":"EC"},{"id":4,"name":"Milepost","value":"0.0169"},{"id":17,"name":"Train ID","value":"246-04"},{"id":16,"name":"Locomotive ID","value":"4005"},{"id":130,"name":"Impact","value":""},{"id":150,"name":"Time of Event (Mountain Time)","value":"01:40:40"},{"id":151,"name":"Denver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48"/>
        <v>start /low /b %USERPROFILE%\Documents\GitHub\eaglep3\Utilities\DownloadLogsFromS3.py --loco 4005 --day 2017-11-05</v>
      </c>
      <c r="AN158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07:40:40"},{"id":29,"name":"Sharepoint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50"/>
        <v>https://d0f6bd738d7f1b3e5a7ca70fe4ff75f0.us-east-1.aws.found.io/app/kibana#/discover/Steve-Slow-Train-Analysis-(2080s-and-2083s)?_g=(refreshInterval:(display:Off,pause:!f,section:0,value:0),time:(from:'2017-11-05T00:42:09-0600',mode:absolute,to:'2017-11-05T02:40:40-0600'))&amp;_a=(columns:!('Message%20ID',Summary),filters:!(),index:'emp_*',interval:auto,query:(query_string:(analyze_wildcard:!t,query:'%22rtdc.l.rtdc.4005%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701</v>
      </c>
      <c r="B159" s="7">
        <v>4027</v>
      </c>
      <c r="C159" s="21" t="s">
        <v>192</v>
      </c>
      <c r="D159" s="21" t="s">
        <v>532</v>
      </c>
      <c r="E159" s="13">
        <v>43043.231111111112</v>
      </c>
      <c r="F159" s="13">
        <v>43043.232824074075</v>
      </c>
      <c r="G159" s="7">
        <v>87</v>
      </c>
      <c r="H159" s="21" t="s">
        <v>949</v>
      </c>
      <c r="I159" s="13">
        <v>43043.246631944443</v>
      </c>
      <c r="J159" s="7">
        <v>0</v>
      </c>
      <c r="K159" s="89" t="str">
        <f>IF(ISEVEN(B159),(B159-1)&amp;"/"&amp;B159,B159&amp;"/"&amp;(B159+1))</f>
        <v>4027/4028</v>
      </c>
      <c r="L159" s="185" t="str">
        <f>VLOOKUP(A159,'Trips&amp;Operators'!$C$1:$G$99911,5,FALSE)</f>
        <v>LAMAR NEKESHA</v>
      </c>
      <c r="M159" s="6">
        <f>I159-F159</f>
        <v>1.3807870367600117E-2</v>
      </c>
      <c r="N159" s="7">
        <f>24*60*SUM($M159:$M159)</f>
        <v>19.883333329344168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-04T04:32:48-0600',mode:absolute,to:'2017-11-04T06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1554</v>
      </c>
      <c r="Y159" s="204">
        <f>RIGHT(D159,LEN(D159)-4)/10000</f>
        <v>5.8662000000000001</v>
      </c>
      <c r="Z159" s="204">
        <f>RIGHT(H159,LEN(H159)-4)/10000</f>
        <v>6.9099999999999995E-2</v>
      </c>
      <c r="AA159" s="204">
        <f>ABS(Z159-Y159)</f>
        <v>5.7971000000000004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1800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/stypes="app*4027*20171104*"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46"/>
        <v>"%USERPROFILE%\Documents\GitHub\eaglep3\Utilities\RefineRTDCRunTimes.py" --tripid 1800-04 --locoid 4027 --swversion DE.1.0.9.0 --startMP 300:58662 --initTime 2017-11-04T05:32:48 --startdatetime 2017-11-04T05:35:16 --delay 87 --endMP 204:691 --enddatetime 2017-11-04T05:55:09 --enforcementcount 0 &gt;&gt;%USERPROFILE%\Documents\GitHub\eaglep3-reporting\EC\2017-11-04-refined-times.txt</v>
      </c>
      <c r="AI159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{"issue":{"subject":"","project_id":79,"tracker_id":40,"status_id":1,"priority_id":2,"assigned_to_id":338,"start_date":"2017-11-04","description":"","custom_fields":[{"id":1,"name":"Subdivision","value":"NW"},{"id":4,"name":"Milepost","value":"0.0691"},{"id":17,"name":"Train ID","value":"1800-04"},{"id":16,"name":"Locomotive ID","value":"4027"},{"id":130,"name":"Impact","value":""},{"id":150,"name":"Time of Event (Mountain Time)","value":"05:55:09"},{"id":151,"name":"Denver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48"/>
        <v>start /low /b %USERPROFILE%\Documents\GitHub\eaglep3\Utilities\DownloadLogsFromS3.py --loco 4027 --day 2017-11-04</v>
      </c>
      <c r="AN159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50"/>
        <v>https://d0f6bd738d7f1b3e5a7ca70fe4ff75f0.us-east-1.aws.found.io/app/kibana#/discover/Steve-Slow-Train-Analysis-(2080s-and-2083s)?_g=(refreshInterval:(display:Off,pause:!f,section:0,value:0),time:(from:'2017-11-04T04:32:48-0600',mode:absolute,to:'2017-11-04T06:55:09-0600'))&amp;_a=(columns:!('Message%20ID',Summary),filters:!(),index:'emp_*',interval:auto,query:(query_string:(analyze_wildcard:!t,query:'%22rtdc.l.rtdc.4027%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651</v>
      </c>
      <c r="B160" s="7">
        <v>4028</v>
      </c>
      <c r="C160" s="21" t="s">
        <v>192</v>
      </c>
      <c r="D160" s="21" t="s">
        <v>950</v>
      </c>
      <c r="E160" s="13">
        <v>43043.254918981482</v>
      </c>
      <c r="F160" s="13">
        <v>43043.256967592592</v>
      </c>
      <c r="G160" s="7">
        <v>62</v>
      </c>
      <c r="H160" s="21" t="s">
        <v>951</v>
      </c>
      <c r="I160" s="13">
        <v>43043.257106481484</v>
      </c>
      <c r="J160" s="7">
        <v>0</v>
      </c>
      <c r="K160" s="89" t="str">
        <f>IF(ISEVEN(B160),(B160-1)&amp;"/"&amp;B160,B160&amp;"/"&amp;(B160+1))</f>
        <v>4027/4028</v>
      </c>
      <c r="L160" s="185" t="str">
        <f>VLOOKUP(A160,'Trips&amp;Operators'!$C$1:$G$99911,5,FALSE)</f>
        <v>LAMAR NEKESHA</v>
      </c>
      <c r="M160" s="6">
        <f>I160-F160</f>
        <v>1.3888889225199819E-4</v>
      </c>
      <c r="N160" s="7"/>
      <c r="O160" s="7"/>
      <c r="P160" s="7">
        <v>1</v>
      </c>
      <c r="Q160" s="22"/>
      <c r="R160" s="174" t="s">
        <v>647</v>
      </c>
      <c r="S160" s="221">
        <f>1/IF(AG160="EC",12,1)*SUM(U160:U160)</f>
        <v>0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-04T05:07:05-0600',mode:absolute,to:'2017-11-04T07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04" t="str">
        <f>IF(AA160&lt;VLOOKUP(AG160,Variables!$AC$3:$AD$8,2,FALSE),"Y","N")</f>
        <v>Y</v>
      </c>
      <c r="X160" s="204">
        <f>VALUE(LEFT(AD160,4))-VALUE(LEFT(AD159,4))</f>
        <v>1</v>
      </c>
      <c r="Y160" s="204">
        <f>RIGHT(D160,LEN(D160)-4)/10000</f>
        <v>0.1396</v>
      </c>
      <c r="Z160" s="204">
        <f>RIGHT(H160,LEN(H160)-4)/10000</f>
        <v>0.187</v>
      </c>
      <c r="AA160" s="204">
        <f>ABS(Z160-Y160)</f>
        <v>4.7399999999999998E-2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1801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/stypes="app*4028*20171104*"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46"/>
        <v>"%USERPROFILE%\Documents\GitHub\eaglep3\Utilities\RefineRTDCRunTimes.py" --tripid 1801-04 --locoid 4028 --swversion DE.1.0.9.0 --startMP 204:1396 --initTime 2017-11-04T06:07:05 --startdatetime 2017-11-04T06:10:02 --delay 62 --endMP 204:1870 --enddatetime 2017-11-04T06:10:14 --enforcementcount 0 &gt;&gt;%USERPROFILE%\Documents\GitHub\eaglep3-reporting\EC\2017-11-04-refined-times.txt</v>
      </c>
      <c r="AI160" s="96" t="str">
        <f t="shared" si="47"/>
        <v>echo {"issue":{"subject":"Poor GPS at DUS","project_id":79,"tracker_id":40,"status_id":1,"priority_id":2,"assigned_to_id":338,"start_date":"2017-11-04","description":"","custom_fields":[{"id":1,"name":"Subdivision","value":"NW"},{"id":4,"name":"Milepost","value":"0.187"},{"id":17,"name":"Train ID","value":"1801-04"},{"id":16,"name":"Locomotive ID","value":"4028"},{"id":130,"name":"Impact","value":""},{"id":150,"name":"Time of Event (Mountain Time)","value":"06:10:14"},{"id":151,"name":"Denver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48"/>
        <v>start /low /b %USERPROFILE%\Documents\GitHub\eaglep3\Utilities\DownloadLogsFromS3.py --loco 4028 --day 2017-11-04</v>
      </c>
      <c r="AN160" s="151" t="str">
        <f t="shared" si="49"/>
        <v>echo {"issue":{"subject":"Poor GPS at DUS","project_id":30,"tracker_id":4,"status_id":1,"priority_id":1,"assigned_to_id":10,"start_date":"2017-11-04","description":"","custom_fields":[{"id":30,"name":"Category","value":"Issue"},{"id":3,"name":"Functional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50"/>
        <v>https://d0f6bd738d7f1b3e5a7ca70fe4ff75f0.us-east-1.aws.found.io/app/kibana#/discover/Steve-Slow-Train-Analysis-(2080s-and-2083s)?_g=(refreshInterval:(display:Off,pause:!f,section:0,value:0),time:(from:'2017-11-04T05:07:05-0600',mode:absolute,to:'2017-11-04T07:10:14-0600'))&amp;_a=(columns:!('Message%20ID',Summary),filters:!(),index:'emp_*',interval:auto,query:(query_string:(analyze_wildcard:!t,query:'%22rtdc.l.rtdc.4028%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712</v>
      </c>
      <c r="B161" s="7">
        <v>4027</v>
      </c>
      <c r="C161" s="21" t="s">
        <v>192</v>
      </c>
      <c r="D161" s="21" t="s">
        <v>952</v>
      </c>
      <c r="E161" s="13">
        <v>43043.26939814815</v>
      </c>
      <c r="F161" s="13">
        <v>43043.279861111114</v>
      </c>
      <c r="G161" s="7">
        <v>53</v>
      </c>
      <c r="H161" s="21" t="s">
        <v>533</v>
      </c>
      <c r="I161" s="13">
        <v>43043.288101851853</v>
      </c>
      <c r="J161" s="7">
        <v>0</v>
      </c>
      <c r="K161" s="89" t="str">
        <f>IF(ISEVEN(B161),(B161-1)&amp;"/"&amp;B161,B161&amp;"/"&amp;(B161+1))</f>
        <v>4027/4028</v>
      </c>
      <c r="L161" s="185" t="str">
        <f>VLOOKUP(A161,'Trips&amp;Operators'!$C$1:$G$99911,5,FALSE)</f>
        <v>LAMAR NEKESHA</v>
      </c>
      <c r="M161" s="6">
        <f>I161-F161</f>
        <v>8.2407407389837317E-3</v>
      </c>
      <c r="N161" s="7">
        <f>24*60*SUM($M161:$M161)</f>
        <v>11.866666664136574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-04T05:27:56-0600',mode:absolute,to:'2017-11-04T07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5.8695000000000004</v>
      </c>
      <c r="Z161" s="204">
        <f>RIGHT(H161,LEN(H161)-4)/10000</f>
        <v>7.1199999999999999E-2</v>
      </c>
      <c r="AA161" s="204">
        <f>ABS(Z161-Y161)</f>
        <v>5.7983000000000002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1802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/stypes="app*4027*20171104*"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46"/>
        <v>"%USERPROFILE%\Documents\GitHub\eaglep3\Utilities\RefineRTDCRunTimes.py" --tripid 1802-04 --locoid 4027 --swversion DE.1.0.9.0 --startMP 300:58695 --initTime 2017-11-04T06:27:56 --startdatetime 2017-11-04T06:43:00 --delay 53 --endMP 204:712 --enddatetime 2017-11-04T06:54:52 --enforcementcount 0 &gt;&gt;%USERPROFILE%\Documents\GitHub\eaglep3-reporting\EC\2017-11-04-refined-times.txt</v>
      </c>
      <c r="AI161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{"issue":{"subject":"","project_id":79,"tracker_id":40,"status_id":1,"priority_id":2,"assigned_to_id":338,"start_date":"2017-11-04","description":"","custom_fields":[{"id":1,"name":"Subdivision","value":"NW"},{"id":4,"name":"Milepost","value":"0.0712"},{"id":17,"name":"Train ID","value":"1802-04"},{"id":16,"name":"Locomotive ID","value":"4027"},{"id":130,"name":"Impact","value":""},{"id":150,"name":"Time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48"/>
        <v>start /low /b %USERPROFILE%\Documents\GitHub\eaglep3\Utilities\DownloadLogsFromS3.py --loco 4027 --day 2017-11-04</v>
      </c>
      <c r="AN161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50"/>
        <v>https://d0f6bd738d7f1b3e5a7ca70fe4ff75f0.us-east-1.aws.found.io/app/kibana#/discover/Steve-Slow-Train-Analysis-(2080s-and-2083s)?_g=(refreshInterval:(display:Off,pause:!f,section:0,value:0),time:(from:'2017-11-04T05:27:56-0600',mode:absolute,to:'2017-11-04T07:54:52-0600'))&amp;_a=(columns:!('Message%20ID',Summary),filters:!(),index:'emp_*',interval:auto,query:(query_string:(analyze_wildcard:!t,query:'%22rtdc.l.rtdc.4027%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652</v>
      </c>
      <c r="B162" s="7">
        <v>4028</v>
      </c>
      <c r="C162" s="21" t="s">
        <v>192</v>
      </c>
      <c r="D162" s="21" t="s">
        <v>953</v>
      </c>
      <c r="E162" s="13">
        <v>43043.290879629632</v>
      </c>
      <c r="F162" s="13">
        <v>43043.298784722225</v>
      </c>
      <c r="G162" s="7">
        <v>110</v>
      </c>
      <c r="H162" s="21" t="s">
        <v>954</v>
      </c>
      <c r="I162" s="13">
        <v>43043.308449074073</v>
      </c>
      <c r="J162" s="7">
        <v>0</v>
      </c>
      <c r="K162" s="89" t="str">
        <f>IF(ISEVEN(B162),(B162-1)&amp;"/"&amp;B162,B162&amp;"/"&amp;(B162+1))</f>
        <v>4027/4028</v>
      </c>
      <c r="L162" s="185" t="str">
        <f>VLOOKUP(A162,'Trips&amp;Operators'!$C$1:$G$99911,5,FALSE)</f>
        <v>LAMAR NEKESHA</v>
      </c>
      <c r="M162" s="6">
        <f>I162-F162</f>
        <v>9.6643518481869251E-3</v>
      </c>
      <c r="N162" s="7">
        <f>24*60*SUM($M162:$M162)</f>
        <v>13.916666661389172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-04T05:58:52-0600',mode:absolute,to:'2017-11-04T08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0.13569999999999999</v>
      </c>
      <c r="Z162" s="204">
        <f>RIGHT(H162,LEN(H162)-4)/10000</f>
        <v>5.899</v>
      </c>
      <c r="AA162" s="204">
        <f>ABS(Z162-Y162)</f>
        <v>5.7633000000000001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1803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/stypes="app*4028*20171104*"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46"/>
        <v>"%USERPROFILE%\Documents\GitHub\eaglep3\Utilities\RefineRTDCRunTimes.py" --tripid 1803-04 --locoid 4028 --swversion DE.1.0.9.0 --startMP 204:1357 --initTime 2017-11-04T06:58:52 --startdatetime 2017-11-04T07:10:15 --delay 110 --endMP 300:58990 --enddatetime 2017-11-04T07:24:10 --enforcementcount 0 &gt;&gt;%USERPROFILE%\Documents\GitHub\eaglep3-reporting\EC\2017-11-04-refined-times.txt</v>
      </c>
      <c r="AI162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{"issue":{"subject":"","project_id":79,"tracker_id":40,"status_id":1,"priority_id":2,"assigned_to_id":338,"start_date":"2017-11-04","description":"","custom_fields":[{"id":1,"name":"Subdivision","value":"NW"},{"id":4,"name":"Milepost","value":"5.899"},{"id":17,"name":"Train ID","value":"1803-04"},{"id":16,"name":"Locomotive ID","value":"4028"},{"id":130,"name":"Impact","value":""},{"id":150,"name":"Time of Event (Mountain Time)","value":"07:24:10"},{"id":151,"name":"Denver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48"/>
        <v>start /low /b %USERPROFILE%\Documents\GitHub\eaglep3\Utilities\DownloadLogsFromS3.py --loco 4028 --day 2017-11-04</v>
      </c>
      <c r="AN162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50"/>
        <v>https://d0f6bd738d7f1b3e5a7ca70fe4ff75f0.us-east-1.aws.found.io/app/kibana#/discover/Steve-Slow-Train-Analysis-(2080s-and-2083s)?_g=(refreshInterval:(display:Off,pause:!f,section:0,value:0),time:(from:'2017-11-04T05:58:52-0600',mode:absolute,to:'2017-11-04T08:24:10-0600'))&amp;_a=(columns:!('Message%20ID',Summary),filters:!(),index:'emp_*',interval:auto,query:(query_string:(analyze_wildcard:!t,query:'%22rtdc.l.rtdc.4028%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720</v>
      </c>
      <c r="B163" s="7">
        <v>4027</v>
      </c>
      <c r="C163" s="21" t="s">
        <v>192</v>
      </c>
      <c r="D163" s="21" t="s">
        <v>955</v>
      </c>
      <c r="E163" s="13">
        <v>43043.309328703705</v>
      </c>
      <c r="F163" s="13">
        <v>43043.320833333331</v>
      </c>
      <c r="G163" s="7">
        <v>56</v>
      </c>
      <c r="H163" s="21" t="s">
        <v>956</v>
      </c>
      <c r="I163" s="13">
        <v>43043.329791666663</v>
      </c>
      <c r="J163" s="7">
        <v>0</v>
      </c>
      <c r="K163" s="89" t="str">
        <f>IF(ISEVEN(B163),(B163-1)&amp;"/"&amp;B163,B163&amp;"/"&amp;(B163+1))</f>
        <v>4027/4028</v>
      </c>
      <c r="L163" s="185" t="str">
        <f>VLOOKUP(A163,'Trips&amp;Operators'!$C$1:$G$99911,5,FALSE)</f>
        <v>LAMAR NEKESHA</v>
      </c>
      <c r="M163" s="6">
        <f>I163-F163</f>
        <v>8.9583333319751546E-3</v>
      </c>
      <c r="N163" s="7">
        <f>24*60*SUM($M163:$M163)</f>
        <v>12.899999998044223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-04T06:25:26-0600',mode:absolute,to:'2017-11-04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5.8672000000000004</v>
      </c>
      <c r="Z163" s="204">
        <f>RIGHT(H163,LEN(H163)-4)/10000</f>
        <v>7.4300000000000005E-2</v>
      </c>
      <c r="AA163" s="204">
        <f>ABS(Z163-Y163)</f>
        <v>5.7929000000000004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1804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/stypes="app*4027*20171104*"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46"/>
        <v>"%USERPROFILE%\Documents\GitHub\eaglep3\Utilities\RefineRTDCRunTimes.py" --tripid 1804-04 --locoid 4027 --swversion DE.1.0.9.0 --startMP 300:58672 --initTime 2017-11-04T07:25:26 --startdatetime 2017-11-04T07:42:00 --delay 56 --endMP 204:743 --enddatetime 2017-11-04T07:54:54 --enforcementcount 0 &gt;&gt;%USERPROFILE%\Documents\GitHub\eaglep3-reporting\EC\2017-11-04-refined-times.txt</v>
      </c>
      <c r="AI163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{"issue":{"subject":"","project_id":79,"tracker_id":40,"status_id":1,"priority_id":2,"assigned_to_id":338,"start_date":"2017-11-04","description":"","custom_fields":[{"id":1,"name":"Subdivision","value":"NW"},{"id":4,"name":"Milepost","value":"0.0743"},{"id":17,"name":"Train ID","value":"1804-04"},{"id":16,"name":"Locomotive ID","value":"4027"},{"id":130,"name":"Impact","value":""},{"id":150,"name":"Time of Event (Mountain Time)","value":"07:54:54"},{"id":151,"name":"Denver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48"/>
        <v>start /low /b %USERPROFILE%\Documents\GitHub\eaglep3\Utilities\DownloadLogsFromS3.py --loco 4027 --day 2017-11-04</v>
      </c>
      <c r="AN163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50"/>
        <v>https://d0f6bd738d7f1b3e5a7ca70fe4ff75f0.us-east-1.aws.found.io/app/kibana#/discover/Steve-Slow-Train-Analysis-(2080s-and-2083s)?_g=(refreshInterval:(display:Off,pause:!f,section:0,value:0),time:(from:'2017-11-04T06:25:26-0600',mode:absolute,to:'2017-11-04T08:54:54-0600'))&amp;_a=(columns:!('Message%20ID',Summary),filters:!(),index:'emp_*',interval:auto,query:(query_string:(analyze_wildcard:!t,query:'%22rtdc.l.rtdc.4027%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727</v>
      </c>
      <c r="B164" s="7">
        <v>4028</v>
      </c>
      <c r="C164" s="21" t="s">
        <v>192</v>
      </c>
      <c r="D164" s="21" t="s">
        <v>957</v>
      </c>
      <c r="E164" s="13">
        <v>43043.337326388886</v>
      </c>
      <c r="F164" s="13">
        <v>43043.340046296296</v>
      </c>
      <c r="G164" s="7">
        <v>78</v>
      </c>
      <c r="H164" s="21" t="s">
        <v>639</v>
      </c>
      <c r="I164" s="13">
        <v>43043.34915509259</v>
      </c>
      <c r="J164" s="7">
        <v>0</v>
      </c>
      <c r="K164" s="89" t="str">
        <f>IF(ISEVEN(B164),(B164-1)&amp;"/"&amp;B164,B164&amp;"/"&amp;(B164+1))</f>
        <v>4027/4028</v>
      </c>
      <c r="L164" s="185" t="str">
        <f>VLOOKUP(A164,'Trips&amp;Operators'!$C$1:$G$99911,5,FALSE)</f>
        <v>LAMAR NEKESHA</v>
      </c>
      <c r="M164" s="6">
        <f>I164-F164</f>
        <v>9.1087962937308475E-3</v>
      </c>
      <c r="N164" s="7">
        <f>24*60*SUM($M164:$M164)</f>
        <v>13.11666666297242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-04T07:05:45-0600',mode:absolute,to:'2017-11-04T09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0.1002</v>
      </c>
      <c r="Z164" s="204">
        <f>RIGHT(H164,LEN(H164)-4)/10000</f>
        <v>5.8971</v>
      </c>
      <c r="AA164" s="204">
        <f>ABS(Z164-Y164)</f>
        <v>5.7968999999999999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1805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/stypes="app*4028*20171104*" /stext=" 14:.+((SYSTEM_STATE.+slice.+state.+changed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46"/>
        <v>"%USERPROFILE%\Documents\GitHub\eaglep3\Utilities\RefineRTDCRunTimes.py" --tripid 1805-04 --locoid 4028 --swversion DE.1.0.9.0 --startMP 204:1002 --initTime 2017-11-04T08:05:45 --startdatetime 2017-11-04T08:09:40 --delay 78 --endMP 300:58971 --enddatetime 2017-11-04T08:22:47 --enforcementcount 0 &gt;&gt;%USERPROFILE%\Documents\GitHub\eaglep3-reporting\EC\2017-11-04-refined-times.txt</v>
      </c>
      <c r="AI164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{"issue":{"subject":"","project_id":79,"tracker_id":40,"status_id":1,"priority_id":2,"assigned_to_id":338,"start_date":"2017-11-04","description":"","custom_fields":[{"id":1,"name":"Subdivision","value":"NW"},{"id":4,"name":"Milepost","value":"5.8971"},{"id":17,"name":"Train ID","value":"1805-04"},{"id":16,"name":"Locomotive ID","value":"4028"},{"id":130,"name":"Impact","value":""},{"id":150,"name":"Time of Event (Mountain Time)","value":"08:22:47"},{"id":151,"name":"Denver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48"/>
        <v>start /low /b %USERPROFILE%\Documents\GitHub\eaglep3\Utilities\DownloadLogsFromS3.py --loco 4028 --day 2017-11-04</v>
      </c>
      <c r="AN164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50"/>
        <v>https://d0f6bd738d7f1b3e5a7ca70fe4ff75f0.us-east-1.aws.found.io/app/kibana#/discover/Steve-Slow-Train-Analysis-(2080s-and-2083s)?_g=(refreshInterval:(display:Off,pause:!f,section:0,value:0),time:(from:'2017-11-04T07:05:45-0600',mode:absolute,to:'2017-11-04T09:22:47-0600'))&amp;_a=(columns:!('Message%20ID',Summary),filters:!(),index:'emp_*',interval:auto,query:(query_string:(analyze_wildcard:!t,query:'%22rtdc.l.rtdc.4028%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731</v>
      </c>
      <c r="B165" s="7">
        <v>4027</v>
      </c>
      <c r="C165" s="21" t="s">
        <v>192</v>
      </c>
      <c r="D165" s="21" t="s">
        <v>640</v>
      </c>
      <c r="E165" s="13">
        <v>43043.350578703707</v>
      </c>
      <c r="F165" s="13">
        <v>43043.363194444442</v>
      </c>
      <c r="G165" s="7">
        <v>98</v>
      </c>
      <c r="H165" s="21" t="s">
        <v>958</v>
      </c>
      <c r="I165" s="13">
        <v>43043.371458333335</v>
      </c>
      <c r="J165" s="7">
        <v>0</v>
      </c>
      <c r="K165" s="89" t="str">
        <f>IF(ISEVEN(B165),(B165-1)&amp;"/"&amp;B165,B165&amp;"/"&amp;(B165+1))</f>
        <v>4027/4028</v>
      </c>
      <c r="L165" s="185" t="str">
        <f>VLOOKUP(A165,'Trips&amp;Operators'!$C$1:$G$99911,5,FALSE)</f>
        <v>LAMAR NEKESHA</v>
      </c>
      <c r="M165" s="6">
        <f>I165-F165</f>
        <v>8.2638888925430365E-3</v>
      </c>
      <c r="N165" s="7">
        <f>24*60*SUM($M165:$M165)</f>
        <v>11.900000005261973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-04T07:24:50-0600',mode:absolute,to:'2017-11-04T09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5.8653000000000004</v>
      </c>
      <c r="Z165" s="204">
        <f>RIGHT(H165,LEN(H165)-4)/10000</f>
        <v>7.0499999999999993E-2</v>
      </c>
      <c r="AA165" s="204">
        <f>ABS(Z165-Y165)</f>
        <v>5.7948000000000004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1806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/stypes="app*4027*20171104*" /stext=" 14:.+((SYSTEM_STATE.+slice.+state.+changed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46"/>
        <v>"%USERPROFILE%\Documents\GitHub\eaglep3\Utilities\RefineRTDCRunTimes.py" --tripid 1806-04 --locoid 4027 --swversion DE.1.0.9.0 --startMP 300:58653 --initTime 2017-11-04T08:24:50 --startdatetime 2017-11-04T08:43:00 --delay 98 --endMP 204:705 --enddatetime 2017-11-04T08:54:54 --enforcementcount 0 &gt;&gt;%USERPROFILE%\Documents\GitHub\eaglep3-reporting\EC\2017-11-04-refined-times.txt</v>
      </c>
      <c r="AI165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{"issue":{"subject":"","project_id":79,"tracker_id":40,"status_id":1,"priority_id":2,"assigned_to_id":338,"start_date":"2017-11-04","description":"","custom_fields":[{"id":1,"name":"Subdivision","value":"NW"},{"id":4,"name":"Milepost","value":"0.0705"},{"id":17,"name":"Train ID","value":"1806-04"},{"id":16,"name":"Locomotive ID","value":"4027"},{"id":130,"name":"Impact","value":""},{"id":150,"name":"Time of Event (Mountain Time)","value":"08:54:54"},{"id":151,"name":"Denver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48"/>
        <v>start /low /b %USERPROFILE%\Documents\GitHub\eaglep3\Utilities\DownloadLogsFromS3.py --loco 4027 --day 2017-11-04</v>
      </c>
      <c r="AN165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14:54:54"},{"id":29,"name":"Sharepoint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50"/>
        <v>https://d0f6bd738d7f1b3e5a7ca70fe4ff75f0.us-east-1.aws.found.io/app/kibana#/discover/Steve-Slow-Train-Analysis-(2080s-and-2083s)?_g=(refreshInterval:(display:Off,pause:!f,section:0,value:0),time:(from:'2017-11-04T07:24:50-0600',mode:absolute,to:'2017-11-04T09:54:54-0600'))&amp;_a=(columns:!('Message%20ID',Summary),filters:!(),index:'emp_*',interval:auto,query:(query_string:(analyze_wildcard:!t,query:'%22rtdc.l.rtdc.4027%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735</v>
      </c>
      <c r="B166" s="7">
        <v>4028</v>
      </c>
      <c r="C166" s="21" t="s">
        <v>192</v>
      </c>
      <c r="D166" s="21" t="s">
        <v>959</v>
      </c>
      <c r="E166" s="13">
        <v>43043.378912037035</v>
      </c>
      <c r="F166" s="13">
        <v>43043.381805555553</v>
      </c>
      <c r="G166" s="7">
        <v>53</v>
      </c>
      <c r="H166" s="21" t="s">
        <v>960</v>
      </c>
      <c r="I166" s="13">
        <v>43043.391087962962</v>
      </c>
      <c r="J166" s="7">
        <v>0</v>
      </c>
      <c r="K166" s="89" t="str">
        <f>IF(ISEVEN(B166),(B166-1)&amp;"/"&amp;B166,B166&amp;"/"&amp;(B166+1))</f>
        <v>4027/4028</v>
      </c>
      <c r="L166" s="185" t="str">
        <f>VLOOKUP(A166,'Trips&amp;Operators'!$C$1:$G$99911,5,FALSE)</f>
        <v>LAMAR NEKESHA</v>
      </c>
      <c r="M166" s="6">
        <f>I166-F166</f>
        <v>9.2824074090458453E-3</v>
      </c>
      <c r="N166" s="7">
        <f>24*60*SUM($M166:$M166)</f>
        <v>13.366666669026017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-04T08:05:38-0600',mode:absolute,to:'2017-11-04T10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9.8299999999999998E-2</v>
      </c>
      <c r="Z166" s="204">
        <f>RIGHT(H166,LEN(H166)-4)/10000</f>
        <v>5.8963000000000001</v>
      </c>
      <c r="AA166" s="204">
        <f>ABS(Z166-Y166)</f>
        <v>5.798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1807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/stypes="app*4028*20171104*" /stext=" 15:.+((SYSTEM_STATE.+slice.+state.+changed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46"/>
        <v>"%USERPROFILE%\Documents\GitHub\eaglep3\Utilities\RefineRTDCRunTimes.py" --tripid 1807-04 --locoid 4028 --swversion DE.1.0.9.0 --startMP 204:983 --initTime 2017-11-04T09:05:38 --startdatetime 2017-11-04T09:09:48 --delay 53 --endMP 300:58963 --enddatetime 2017-11-04T09:23:10 --enforcementcount 0 &gt;&gt;%USERPROFILE%\Documents\GitHub\eaglep3-reporting\EC\2017-11-04-refined-times.txt</v>
      </c>
      <c r="AI166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{"issue":{"subject":"","project_id":79,"tracker_id":40,"status_id":1,"priority_id":2,"assigned_to_id":338,"start_date":"2017-11-04","description":"","custom_fields":[{"id":1,"name":"Subdivision","value":"NW"},{"id":4,"name":"Milepost","value":"5.8963"},{"id":17,"name":"Train ID","value":"1807-04"},{"id":16,"name":"Locomotive ID","value":"4028"},{"id":130,"name":"Impact","value":""},{"id":150,"name":"Time of Event (Mountain Time)","value":"09:23:10"},{"id":151,"name":"Denver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48"/>
        <v>start /low /b %USERPROFILE%\Documents\GitHub\eaglep3\Utilities\DownloadLogsFromS3.py --loco 4028 --day 2017-11-04</v>
      </c>
      <c r="AN166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15:23:10"},{"id":29,"name":"Sharepoint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50"/>
        <v>https://d0f6bd738d7f1b3e5a7ca70fe4ff75f0.us-east-1.aws.found.io/app/kibana#/discover/Steve-Slow-Train-Analysis-(2080s-and-2083s)?_g=(refreshInterval:(display:Off,pause:!f,section:0,value:0),time:(from:'2017-11-04T08:05:38-0600',mode:absolute,to:'2017-11-04T10:23:10-0600'))&amp;_a=(columns:!('Message%20ID',Summary),filters:!(),index:'emp_*',interval:auto,query:(query_string:(analyze_wildcard:!t,query:'%22rtdc.l.rtdc.4028%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741</v>
      </c>
      <c r="B167" s="7">
        <v>4027</v>
      </c>
      <c r="C167" s="21" t="s">
        <v>192</v>
      </c>
      <c r="D167" s="21" t="s">
        <v>532</v>
      </c>
      <c r="E167" s="13">
        <v>43043.39303240741</v>
      </c>
      <c r="F167" s="13">
        <v>43043.423391203702</v>
      </c>
      <c r="G167" s="7">
        <v>65</v>
      </c>
      <c r="H167" s="21" t="s">
        <v>961</v>
      </c>
      <c r="I167" s="13">
        <v>43043.432523148149</v>
      </c>
      <c r="J167" s="7">
        <v>0</v>
      </c>
      <c r="K167" s="89" t="str">
        <f>IF(ISEVEN(B167),(B167-1)&amp;"/"&amp;B167,B167&amp;"/"&amp;(B167+1))</f>
        <v>4027/4028</v>
      </c>
      <c r="L167" s="185" t="str">
        <f>VLOOKUP(A167,'Trips&amp;Operators'!$C$1:$G$99911,5,FALSE)</f>
        <v>LAMAR NEKESHA</v>
      </c>
      <c r="M167" s="6">
        <f>I167-F167</f>
        <v>9.1319444472901523E-3</v>
      </c>
      <c r="N167" s="7">
        <f>24*60*SUM($M167:$M167)</f>
        <v>13.150000004097819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-04T08:25:58-0600',mode:absolute,to:'2017-11-04T11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5.8662000000000001</v>
      </c>
      <c r="Z167" s="204">
        <f>RIGHT(H167,LEN(H167)-4)/10000</f>
        <v>7.2400000000000006E-2</v>
      </c>
      <c r="AA167" s="204">
        <f>ABS(Z167-Y167)</f>
        <v>5.7938000000000001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1808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/stypes="app*4027*20171104*" /stext=" 16:.+((SYSTEM_STATE.+slice.+state.+changed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46"/>
        <v>"%USERPROFILE%\Documents\GitHub\eaglep3\Utilities\RefineRTDCRunTimes.py" --tripid 1808-04 --locoid 4027 --swversion DE.1.0.9.0 --startMP 300:58662 --initTime 2017-11-04T09:25:58 --startdatetime 2017-11-04T10:09:41 --delay 65 --endMP 204:724 --enddatetime 2017-11-04T10:22:50 --enforcementcount 0 &gt;&gt;%USERPROFILE%\Documents\GitHub\eaglep3-reporting\EC\2017-11-04-refined-times.txt</v>
      </c>
      <c r="AI167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{"issue":{"subject":"","project_id":79,"tracker_id":40,"status_id":1,"priority_id":2,"assigned_to_id":338,"start_date":"2017-11-04","description":"","custom_fields":[{"id":1,"name":"Subdivision","value":"NW"},{"id":4,"name":"Milepost","value":"0.0724"},{"id":17,"name":"Train ID","value":"1808-04"},{"id":16,"name":"Locomotive ID","value":"4027"},{"id":130,"name":"Impact","value":""},{"id":150,"name":"Time of Event (Mountain Time)","value":"10:22:50"},{"id":151,"name":"Denver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48"/>
        <v>start /low /b %USERPROFILE%\Documents\GitHub\eaglep3\Utilities\DownloadLogsFromS3.py --loco 4027 --day 2017-11-04</v>
      </c>
      <c r="AN167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50"/>
        <v>https://d0f6bd738d7f1b3e5a7ca70fe4ff75f0.us-east-1.aws.found.io/app/kibana#/discover/Steve-Slow-Train-Analysis-(2080s-and-2083s)?_g=(refreshInterval:(display:Off,pause:!f,section:0,value:0),time:(from:'2017-11-04T08:25:58-0600',mode:absolute,to:'2017-11-04T11:22:50-0600'))&amp;_a=(columns:!('Message%20ID',Summary),filters:!(),index:'emp_*',interval:auto,query:(query_string:(analyze_wildcard:!t,query:'%22rtdc.l.rtdc.4027%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746</v>
      </c>
      <c r="B168" s="7">
        <v>4028</v>
      </c>
      <c r="C168" s="21" t="s">
        <v>192</v>
      </c>
      <c r="D168" s="21" t="s">
        <v>962</v>
      </c>
      <c r="E168" s="13">
        <v>43043.422314814816</v>
      </c>
      <c r="F168" s="13">
        <v>43043.423391203702</v>
      </c>
      <c r="G168" s="7">
        <v>53</v>
      </c>
      <c r="H168" s="21" t="s">
        <v>531</v>
      </c>
      <c r="I168" s="13">
        <v>43043.432523148149</v>
      </c>
      <c r="J168" s="7">
        <v>0</v>
      </c>
      <c r="K168" s="89" t="str">
        <f>IF(ISEVEN(B168),(B168-1)&amp;"/"&amp;B168,B168&amp;"/"&amp;(B168+1))</f>
        <v>4027/4028</v>
      </c>
      <c r="L168" s="185" t="str">
        <f>VLOOKUP(A168,'Trips&amp;Operators'!$C$1:$G$99911,5,FALSE)</f>
        <v>LAMAR NEKESHA</v>
      </c>
      <c r="M168" s="6">
        <f>I168-F168</f>
        <v>9.1319444472901523E-3</v>
      </c>
      <c r="N168" s="7">
        <f>24*60*SUM($M168:$M168)</f>
        <v>13.150000004097819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-04T09:08:08-0600',mode:absolute,to:'2017-11-04T11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0.10059999999999999</v>
      </c>
      <c r="Z168" s="204">
        <f>RIGHT(H168,LEN(H168)-4)/10000</f>
        <v>5.8967000000000001</v>
      </c>
      <c r="AA168" s="204">
        <f>ABS(Z168-Y168)</f>
        <v>5.7961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1809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/stypes="app*4028*20171104*" /stext=" 16:.+((SYSTEM_STATE.+slice.+state.+changed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46"/>
        <v>"%USERPROFILE%\Documents\GitHub\eaglep3\Utilities\RefineRTDCRunTimes.py" --tripid 1809-04 --locoid 4028 --swversion DE.1.0.9.0 --startMP 204:1006 --initTime 2017-11-04T10:08:08 --startdatetime 2017-11-04T10:09:41 --delay 53 --endMP 300:58967 --enddatetime 2017-11-04T10:22:50 --enforcementcount 0 &gt;&gt;%USERPROFILE%\Documents\GitHub\eaglep3-reporting\EC\2017-11-04-refined-times.txt</v>
      </c>
      <c r="AI168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{"issue":{"subject":"","project_id":79,"tracker_id":40,"status_id":1,"priority_id":2,"assigned_to_id":338,"start_date":"2017-11-04","description":"","custom_fields":[{"id":1,"name":"Subdivision","value":"NW"},{"id":4,"name":"Milepost","value":"5.8967"},{"id":17,"name":"Train ID","value":"1809-04"},{"id":16,"name":"Locomotive ID","value":"4028"},{"id":130,"name":"Impact","value":""},{"id":150,"name":"Time of Event (Mountain Time)","value":"10:22:50"},{"id":151,"name":"Denver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48"/>
        <v>start /low /b %USERPROFILE%\Documents\GitHub\eaglep3\Utilities\DownloadLogsFromS3.py --loco 4028 --day 2017-11-04</v>
      </c>
      <c r="AN168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50"/>
        <v>https://d0f6bd738d7f1b3e5a7ca70fe4ff75f0.us-east-1.aws.found.io/app/kibana#/discover/Steve-Slow-Train-Analysis-(2080s-and-2083s)?_g=(refreshInterval:(display:Off,pause:!f,section:0,value:0),time:(from:'2017-11-04T09:08:08-0600',mode:absolute,to:'2017-11-04T11:22:50-0600'))&amp;_a=(columns:!('Message%20ID',Summary),filters:!(),index:'emp_*',interval:auto,query:(query_string:(analyze_wildcard:!t,query:'%22rtdc.l.rtdc.4028%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655</v>
      </c>
      <c r="B169" s="7">
        <v>4027</v>
      </c>
      <c r="C169" s="21" t="s">
        <v>192</v>
      </c>
      <c r="D169" s="21" t="s">
        <v>534</v>
      </c>
      <c r="E169" s="13">
        <v>43043.434687499997</v>
      </c>
      <c r="F169" s="13">
        <v>43043.436365740738</v>
      </c>
      <c r="G169" s="7">
        <v>78</v>
      </c>
      <c r="H169" s="21" t="s">
        <v>964</v>
      </c>
      <c r="I169" s="13">
        <v>43043.453564814816</v>
      </c>
      <c r="J169" s="7">
        <v>0</v>
      </c>
      <c r="K169" s="89" t="str">
        <f>IF(ISEVEN(B169),(B169-1)&amp;"/"&amp;B169,B169&amp;"/"&amp;(B169+1))</f>
        <v>4027/4028</v>
      </c>
      <c r="L169" s="185" t="str">
        <f>VLOOKUP(A169,'Trips&amp;Operators'!$C$1:$G$99911,5,FALSE)</f>
        <v>LAMAR NEKESHA</v>
      </c>
      <c r="M169" s="6">
        <f>I169-F169</f>
        <v>1.7199074078234844E-2</v>
      </c>
      <c r="N169" s="7">
        <f>24*60*SUM($M169:$M169)</f>
        <v>24.766666672658175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-04T09:25:57-0600',mode:absolute,to:'2017-11-04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204" t="str">
        <f>IF(AA169&lt;VLOOKUP(AG169,Variables!$AC$3:$AD$8,2,FALSE),"Y","N")</f>
        <v>Y</v>
      </c>
      <c r="X169" s="204">
        <f>VALUE(LEFT(AD169,4))-VALUE(LEFT(AD168,4))</f>
        <v>1</v>
      </c>
      <c r="Y169" s="204">
        <f>RIGHT(D169,LEN(D169)-4)/10000</f>
        <v>5.8651</v>
      </c>
      <c r="Z169" s="204">
        <f>RIGHT(H169,LEN(H169)-4)/10000</f>
        <v>0.45169999999999999</v>
      </c>
      <c r="AA169" s="204">
        <f>ABS(Z169-Y169)</f>
        <v>5.4134000000000002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1810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/stypes="app*4027*20171104*" /stext=" 16:.+((SYSTEM_STATE.+slice.+state.+changed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46"/>
        <v>"%USERPROFILE%\Documents\GitHub\eaglep3\Utilities\RefineRTDCRunTimes.py" --tripid 1810-04 --locoid 4027 --swversion DE.1.0.9.0 --startMP 300:58651 --initTime 2017-11-04T10:25:57 --startdatetime 2017-11-04T10:28:22 --delay 78 --endMP 204:4517 --enddatetime 2017-11-04T10:53:08 --enforcementcount 0 &gt;&gt;%USERPROFILE%\Documents\GitHub\eaglep3-reporting\EC\2017-11-04-refined-times.txt</v>
      </c>
      <c r="AI169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{"issue":{"subject":"","project_id":79,"tracker_id":40,"status_id":1,"priority_id":2,"assigned_to_id":338,"start_date":"2017-11-04","description":"","custom_fields":[{"id":1,"name":"Subdivision","value":"NW"},{"id":4,"name":"Milepost","value":"0.4517"},{"id":17,"name":"Train ID","value":"1810-04"},{"id":16,"name":"Locomotive ID","value":"4027"},{"id":130,"name":"Impact","value":""},{"id":150,"name":"Time of Event (Mountain Time)","value":"10:53:08"},{"id":151,"name":"Denver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48"/>
        <v>start /low /b %USERPROFILE%\Documents\GitHub\eaglep3\Utilities\DownloadLogsFromS3.py --loco 4027 --day 2017-11-04</v>
      </c>
      <c r="AN169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16:53:08"},{"id":29,"name":"Sharepoint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50"/>
        <v>https://d0f6bd738d7f1b3e5a7ca70fe4ff75f0.us-east-1.aws.found.io/app/kibana#/discover/Steve-Slow-Train-Analysis-(2080s-and-2083s)?_g=(refreshInterval:(display:Off,pause:!f,section:0,value:0),time:(from:'2017-11-04T09:25:57-0600',mode:absolute,to:'2017-11-04T11:53:08-0600'))&amp;_a=(columns:!('Message%20ID',Summary),filters:!(),index:'emp_*',interval:auto,query:(query_string:(analyze_wildcard:!t,query:'%22rtdc.l.rtdc.4027%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755</v>
      </c>
      <c r="B170" s="7">
        <v>4028</v>
      </c>
      <c r="C170" s="21" t="s">
        <v>192</v>
      </c>
      <c r="D170" s="21" t="s">
        <v>965</v>
      </c>
      <c r="E170" s="13">
        <v>43043.462905092594</v>
      </c>
      <c r="F170" s="13">
        <v>43043.464768518519</v>
      </c>
      <c r="G170" s="7">
        <v>74</v>
      </c>
      <c r="H170" s="21" t="s">
        <v>531</v>
      </c>
      <c r="I170" s="13">
        <v>43043.474178240744</v>
      </c>
      <c r="J170" s="7">
        <v>0</v>
      </c>
      <c r="K170" s="89" t="str">
        <f>IF(ISEVEN(B170),(B170-1)&amp;"/"&amp;B170,B170&amp;"/"&amp;(B170+1))</f>
        <v>4027/4028</v>
      </c>
      <c r="L170" s="185" t="str">
        <f>VLOOKUP(A170,'Trips&amp;Operators'!$C$1:$G$99911,5,FALSE)</f>
        <v>LAMAR NEKESHA</v>
      </c>
      <c r="M170" s="6">
        <f>I170-F170</f>
        <v>9.4097222245181911E-3</v>
      </c>
      <c r="N170" s="7">
        <f>24*60*SUM($M170:$M170)</f>
        <v>13.550000003306195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-04T10:06:35-0600',mode:absolute,to:'2017-11-04T12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0.1041</v>
      </c>
      <c r="Z170" s="204">
        <f>RIGHT(H170,LEN(H170)-4)/10000</f>
        <v>5.8967000000000001</v>
      </c>
      <c r="AA170" s="204">
        <f>ABS(Z170-Y170)</f>
        <v>5.7926000000000002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1811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/stypes="app*4028*20171104*" /stext=" 17:.+((SYSTEM_STATE.+slice.+state.+changed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46"/>
        <v>"%USERPROFILE%\Documents\GitHub\eaglep3\Utilities\RefineRTDCRunTimes.py" --tripid 1811-04 --locoid 4028 --swversion DE.1.0.9.0 --startMP 204:1041 --initTime 2017-11-04T11:06:35 --startdatetime 2017-11-04T11:09:16 --delay 74 --endMP 300:58967 --enddatetime 2017-11-04T11:22:49 --enforcementcount 0 &gt;&gt;%USERPROFILE%\Documents\GitHub\eaglep3-reporting\EC\2017-11-04-refined-times.txt</v>
      </c>
      <c r="AI170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{"issue":{"subject":"","project_id":79,"tracker_id":40,"status_id":1,"priority_id":2,"assigned_to_id":338,"start_date":"2017-11-04","description":"","custom_fields":[{"id":1,"name":"Subdivision","value":"NW"},{"id":4,"name":"Milepost","value":"5.8967"},{"id":17,"name":"Train ID","value":"1811-04"},{"id":16,"name":"Locomotive ID","value":"4028"},{"id":130,"name":"Impact","value":""},{"id":150,"name":"Time of Event (Mountain Time)","value":"11:22:49"},{"id":151,"name":"Denver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48"/>
        <v>start /low /b %USERPROFILE%\Documents\GitHub\eaglep3\Utilities\DownloadLogsFromS3.py --loco 4028 --day 2017-11-04</v>
      </c>
      <c r="AN170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50"/>
        <v>https://d0f6bd738d7f1b3e5a7ca70fe4ff75f0.us-east-1.aws.found.io/app/kibana#/discover/Steve-Slow-Train-Analysis-(2080s-and-2083s)?_g=(refreshInterval:(display:Off,pause:!f,section:0,value:0),time:(from:'2017-11-04T10:06:35-0600',mode:absolute,to:'2017-11-04T12:22:49-0600'))&amp;_a=(columns:!('Message%20ID',Summary),filters:!(),index:'emp_*',interval:auto,query:(query_string:(analyze_wildcard:!t,query:'%22rtdc.l.rtdc.4028%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757</v>
      </c>
      <c r="B171" s="7">
        <v>4027</v>
      </c>
      <c r="C171" s="21" t="s">
        <v>192</v>
      </c>
      <c r="D171" s="21" t="s">
        <v>640</v>
      </c>
      <c r="E171" s="13">
        <v>43043.476180555554</v>
      </c>
      <c r="F171" s="13">
        <v>43043.487500000003</v>
      </c>
      <c r="G171" s="7">
        <v>57</v>
      </c>
      <c r="H171" s="21" t="s">
        <v>961</v>
      </c>
      <c r="I171" s="13">
        <v>43043.496365740742</v>
      </c>
      <c r="J171" s="7">
        <v>0</v>
      </c>
      <c r="K171" s="89" t="str">
        <f>IF(ISEVEN(B171),(B171-1)&amp;"/"&amp;B171,B171&amp;"/"&amp;(B171+1))</f>
        <v>4027/4028</v>
      </c>
      <c r="L171" s="185" t="str">
        <f>VLOOKUP(A171,'Trips&amp;Operators'!$C$1:$G$99911,5,FALSE)</f>
        <v>LAMAR NEKESHA</v>
      </c>
      <c r="M171" s="6">
        <f>I171-F171</f>
        <v>8.8657407395658083E-3</v>
      </c>
      <c r="N171" s="7">
        <f>24*60*SUM($M171:$M171)</f>
        <v>12.766666664974764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-04T10:25:42-0600',mode:absolute,to:'2017-11-04T12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5.8653000000000004</v>
      </c>
      <c r="Z171" s="204">
        <f>RIGHT(H171,LEN(H171)-4)/10000</f>
        <v>7.2400000000000006E-2</v>
      </c>
      <c r="AA171" s="204">
        <f>ABS(Z171-Y171)</f>
        <v>5.7929000000000004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1812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/stypes="app*4027*20171104*" /stext=" 17:.+((SYSTEM_STATE.+slice.+state.+changed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46"/>
        <v>"%USERPROFILE%\Documents\GitHub\eaglep3\Utilities\RefineRTDCRunTimes.py" --tripid 1812-04 --locoid 4027 --swversion DE.1.0.9.0 --startMP 300:58653 --initTime 2017-11-04T11:25:42 --startdatetime 2017-11-04T11:42:00 --delay 57 --endMP 204:724 --enddatetime 2017-11-04T11:54:46 --enforcementcount 0 &gt;&gt;%USERPROFILE%\Documents\GitHub\eaglep3-reporting\EC\2017-11-04-refined-times.txt</v>
      </c>
      <c r="AI171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{"issue":{"subject":"","project_id":79,"tracker_id":40,"status_id":1,"priority_id":2,"assigned_to_id":338,"start_date":"2017-11-04","description":"","custom_fields":[{"id":1,"name":"Subdivision","value":"NW"},{"id":4,"name":"Milepost","value":"0.0724"},{"id":17,"name":"Train ID","value":"1812-04"},{"id":16,"name":"Locomotive ID","value":"4027"},{"id":130,"name":"Impact","value":""},{"id":150,"name":"Time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48"/>
        <v>start /low /b %USERPROFILE%\Documents\GitHub\eaglep3\Utilities\DownloadLogsFromS3.py --loco 4027 --day 2017-11-04</v>
      </c>
      <c r="AN171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50"/>
        <v>https://d0f6bd738d7f1b3e5a7ca70fe4ff75f0.us-east-1.aws.found.io/app/kibana#/discover/Steve-Slow-Train-Analysis-(2080s-and-2083s)?_g=(refreshInterval:(display:Off,pause:!f,section:0,value:0),time:(from:'2017-11-04T10:25:42-0600',mode:absolute,to:'2017-11-04T12:54:46-0600'))&amp;_a=(columns:!('Message%20ID',Summary),filters:!(),index:'emp_*',interval:auto,query:(query_string:(analyze_wildcard:!t,query:'%22rtdc.l.rtdc.4027%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657</v>
      </c>
      <c r="B172" s="7">
        <v>4028</v>
      </c>
      <c r="C172" s="21" t="s">
        <v>192</v>
      </c>
      <c r="D172" s="21" t="s">
        <v>966</v>
      </c>
      <c r="E172" s="13">
        <v>43043.50403935185</v>
      </c>
      <c r="F172" s="13">
        <v>43043.507106481484</v>
      </c>
      <c r="G172" s="7">
        <v>63</v>
      </c>
      <c r="H172" s="21" t="s">
        <v>967</v>
      </c>
      <c r="I172" s="13">
        <v>43043.507291666669</v>
      </c>
      <c r="J172" s="7">
        <v>0</v>
      </c>
      <c r="K172" s="89" t="str">
        <f>IF(ISEVEN(B172),(B172-1)&amp;"/"&amp;B172,B172&amp;"/"&amp;(B172+1))</f>
        <v>4027/4028</v>
      </c>
      <c r="L172" s="185" t="str">
        <f>VLOOKUP(A172,'Trips&amp;Operators'!$C$1:$G$99911,5,FALSE)</f>
        <v>LAMAR NEKESHA</v>
      </c>
      <c r="M172" s="6">
        <f>I172-F172</f>
        <v>1.8518518481869251E-4</v>
      </c>
      <c r="N172" s="7"/>
      <c r="O172" s="7"/>
      <c r="P172" s="7">
        <v>1</v>
      </c>
      <c r="Q172" s="22"/>
      <c r="R172" s="174" t="s">
        <v>647</v>
      </c>
      <c r="S172" s="221">
        <f>1/IF(AG172="EC",12,1)*SUM(U172:U172)</f>
        <v>0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-04T11:05:49-0600',mode:absolute,to:'2017-11-04T13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204" t="str">
        <f>IF(AA172&lt;VLOOKUP(AG172,Variables!$AC$3:$AD$8,2,FALSE),"Y","N")</f>
        <v>Y</v>
      </c>
      <c r="X172" s="204">
        <f>VALUE(LEFT(AD172,4))-VALUE(LEFT(AD171,4))</f>
        <v>1</v>
      </c>
      <c r="Y172" s="204">
        <f>RIGHT(D172,LEN(D172)-4)/10000</f>
        <v>0.14099999999999999</v>
      </c>
      <c r="Z172" s="204">
        <f>RIGHT(H172,LEN(H172)-4)/10000</f>
        <v>0.2006</v>
      </c>
      <c r="AA172" s="204">
        <f>ABS(Z172-Y172)</f>
        <v>5.9600000000000014E-2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1813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/stypes="app*4028*20171104*" /stext=" 18:.+((SYSTEM_STATE.+slice.+state.+changed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46"/>
        <v>"%USERPROFILE%\Documents\GitHub\eaglep3\Utilities\RefineRTDCRunTimes.py" --tripid 1813-04 --locoid 4028 --swversion DE.1.0.9.0 --startMP 204:1410 --initTime 2017-11-04T12:05:49 --startdatetime 2017-11-04T12:10:14 --delay 63 --endMP 204:2006 --enddatetime 2017-11-04T12:10:30 --enforcementcount 0 &gt;&gt;%USERPROFILE%\Documents\GitHub\eaglep3-reporting\EC\2017-11-04-refined-times.txt</v>
      </c>
      <c r="AI172" s="96" t="str">
        <f t="shared" si="47"/>
        <v>echo {"issue":{"subject":"Poor GPS at DUS","project_id":79,"tracker_id":40,"status_id":1,"priority_id":2,"assigned_to_id":338,"start_date":"2017-11-04","description":"","custom_fields":[{"id":1,"name":"Subdivision","value":"NW"},{"id":4,"name":"Milepost","value":"0.2006"},{"id":17,"name":"Train ID","value":"1813-04"},{"id":16,"name":"Locomotive ID","value":"4028"},{"id":130,"name":"Impact","value":""},{"id":150,"name":"Time of Event (Mountain Time)","value":"12:10:30"},{"id":151,"name":"Denver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48"/>
        <v>start /low /b %USERPROFILE%\Documents\GitHub\eaglep3\Utilities\DownloadLogsFromS3.py --loco 4028 --day 2017-11-04</v>
      </c>
      <c r="AN172" s="151" t="str">
        <f t="shared" si="49"/>
        <v>echo {"issue":{"subject":"Poor GPS at DUS","project_id":30,"tracker_id":4,"status_id":1,"priority_id":1,"assigned_to_id":10,"start_date":"2017-11-04","description":"","custom_fields":[{"id":30,"name":"Category","value":"Issue"},{"id":3,"name":"Functional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50"/>
        <v>https://d0f6bd738d7f1b3e5a7ca70fe4ff75f0.us-east-1.aws.found.io/app/kibana#/discover/Steve-Slow-Train-Analysis-(2080s-and-2083s)?_g=(refreshInterval:(display:Off,pause:!f,section:0,value:0),time:(from:'2017-11-04T11:05:49-0600',mode:absolute,to:'2017-11-04T13:10:30-0600'))&amp;_a=(columns:!('Message%20ID',Summary),filters:!(),index:'emp_*',interval:auto,query:(query_string:(analyze_wildcard:!t,query:'%22rtdc.l.rtdc.4028%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768</v>
      </c>
      <c r="B173" s="7">
        <v>4027</v>
      </c>
      <c r="C173" s="21" t="s">
        <v>192</v>
      </c>
      <c r="D173" s="21" t="s">
        <v>643</v>
      </c>
      <c r="E173" s="13">
        <v>43043.518125000002</v>
      </c>
      <c r="F173" s="13">
        <v>43043.529166666667</v>
      </c>
      <c r="G173" s="7">
        <v>55</v>
      </c>
      <c r="H173" s="21" t="s">
        <v>968</v>
      </c>
      <c r="I173" s="13">
        <v>43043.537986111114</v>
      </c>
      <c r="J173" s="7">
        <v>0</v>
      </c>
      <c r="K173" s="89" t="str">
        <f>IF(ISEVEN(B173),(B173-1)&amp;"/"&amp;B173,B173&amp;"/"&amp;(B173+1))</f>
        <v>4027/4028</v>
      </c>
      <c r="L173" s="185" t="str">
        <f>VLOOKUP(A173,'Trips&amp;Operators'!$C$1:$G$99911,5,FALSE)</f>
        <v>LAMAR NEKESHA</v>
      </c>
      <c r="M173" s="6">
        <f>I173-F173</f>
        <v>8.819444446999114E-3</v>
      </c>
      <c r="N173" s="7">
        <f>24*60*SUM($M173:$M173)</f>
        <v>12.700000003678724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-04T11:26:06-0600',mode:absolute,to:'2017-11-04T13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5.8667999999999996</v>
      </c>
      <c r="Z173" s="204">
        <f>RIGHT(H173,LEN(H173)-4)/10000</f>
        <v>7.17E-2</v>
      </c>
      <c r="AA173" s="204">
        <f>ABS(Z173-Y173)</f>
        <v>5.7950999999999997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1814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/stypes="app*4027*20171104*" /stext=" 18:.+((SYSTEM_STATE.+slice.+state.+changed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46"/>
        <v>"%USERPROFILE%\Documents\GitHub\eaglep3\Utilities\RefineRTDCRunTimes.py" --tripid 1814-04 --locoid 4027 --swversion DE.1.0.9.0 --startMP 300:58668 --initTime 2017-11-04T12:26:06 --startdatetime 2017-11-04T12:42:00 --delay 55 --endMP 204:717 --enddatetime 2017-11-04T12:54:42 --enforcementcount 0 &gt;&gt;%USERPROFILE%\Documents\GitHub\eaglep3-reporting\EC\2017-11-04-refined-times.txt</v>
      </c>
      <c r="AI173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{"issue":{"subject":"","project_id":79,"tracker_id":40,"status_id":1,"priority_id":2,"assigned_to_id":338,"start_date":"2017-11-04","description":"","custom_fields":[{"id":1,"name":"Subdivision","value":"NW"},{"id":4,"name":"Milepost","value":"0.0717"},{"id":17,"name":"Train ID","value":"1814-04"},{"id":16,"name":"Locomotive ID","value":"4027"},{"id":130,"name":"Impact","value":""},{"id":150,"name":"Time of Event (Mountain Time)","value":"12:54:42"},{"id":151,"name":"Denver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48"/>
        <v>start /low /b %USERPROFILE%\Documents\GitHub\eaglep3\Utilities\DownloadLogsFromS3.py --loco 4027 --day 2017-11-04</v>
      </c>
      <c r="AN173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18:54:42"},{"id":29,"name":"Sharepoint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50"/>
        <v>https://d0f6bd738d7f1b3e5a7ca70fe4ff75f0.us-east-1.aws.found.io/app/kibana#/discover/Steve-Slow-Train-Analysis-(2080s-and-2083s)?_g=(refreshInterval:(display:Off,pause:!f,section:0,value:0),time:(from:'2017-11-04T11:26:06-0600',mode:absolute,to:'2017-11-04T13:54:42-0600'))&amp;_a=(columns:!('Message%20ID',Summary),filters:!(),index:'emp_*',interval:auto,query:(query_string:(analyze_wildcard:!t,query:'%22rtdc.l.rtdc.4027%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772</v>
      </c>
      <c r="B174" s="7">
        <v>4028</v>
      </c>
      <c r="C174" s="21" t="s">
        <v>192</v>
      </c>
      <c r="D174" s="21" t="s">
        <v>957</v>
      </c>
      <c r="E174" s="13">
        <v>43043.545949074076</v>
      </c>
      <c r="F174" s="13">
        <v>43043.548414351855</v>
      </c>
      <c r="G174" s="7">
        <v>55</v>
      </c>
      <c r="H174" s="21" t="s">
        <v>969</v>
      </c>
      <c r="I174" s="13">
        <v>43043.557685185187</v>
      </c>
      <c r="J174" s="7">
        <v>0</v>
      </c>
      <c r="K174" s="89" t="str">
        <f>IF(ISEVEN(B174),(B174-1)&amp;"/"&amp;B174,B174&amp;"/"&amp;(B174+1))</f>
        <v>4027/4028</v>
      </c>
      <c r="L174" s="185" t="str">
        <f>VLOOKUP(A174,'Trips&amp;Operators'!$C$1:$G$99911,5,FALSE)</f>
        <v>LAMAR NEKESHA</v>
      </c>
      <c r="M174" s="6">
        <f>I174-F174</f>
        <v>9.2708333322661929E-3</v>
      </c>
      <c r="N174" s="7">
        <f>24*60*SUM($M174:$M174)</f>
        <v>13.349999998463318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-04T12:06:10-0600',mode:absolute,to:'2017-11-04T14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0.1002</v>
      </c>
      <c r="Z174" s="204">
        <f>RIGHT(H174,LEN(H174)-4)/10000</f>
        <v>5.8986000000000001</v>
      </c>
      <c r="AA174" s="204">
        <f>ABS(Z174-Y174)</f>
        <v>5.7984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1815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/stypes="app*4028*20171104*" /stext=" 19:.+((SYSTEM_STATE.+slice.+state.+changed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46"/>
        <v>"%USERPROFILE%\Documents\GitHub\eaglep3\Utilities\RefineRTDCRunTimes.py" --tripid 1815-04 --locoid 4028 --swversion DE.1.0.9.0 --startMP 204:1002 --initTime 2017-11-04T13:06:10 --startdatetime 2017-11-04T13:09:43 --delay 55 --endMP 300:58986 --enddatetime 2017-11-04T13:23:04 --enforcementcount 0 &gt;&gt;%USERPROFILE%\Documents\GitHub\eaglep3-reporting\EC\2017-11-04-refined-times.txt</v>
      </c>
      <c r="AI174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{"issue":{"subject":"","project_id":79,"tracker_id":40,"status_id":1,"priority_id":2,"assigned_to_id":338,"start_date":"2017-11-04","description":"","custom_fields":[{"id":1,"name":"Subdivision","value":"NW"},{"id":4,"name":"Milepost","value":"5.8986"},{"id":17,"name":"Train ID","value":"1815-04"},{"id":16,"name":"Locomotive ID","value":"4028"},{"id":130,"name":"Impact","value":""},{"id":150,"name":"Time of Event (Mountain Time)","value":"13:23:04"},{"id":151,"name":"Denver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48"/>
        <v>start /low /b %USERPROFILE%\Documents\GitHub\eaglep3\Utilities\DownloadLogsFromS3.py --loco 4028 --day 2017-11-04</v>
      </c>
      <c r="AN174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50"/>
        <v>https://d0f6bd738d7f1b3e5a7ca70fe4ff75f0.us-east-1.aws.found.io/app/kibana#/discover/Steve-Slow-Train-Analysis-(2080s-and-2083s)?_g=(refreshInterval:(display:Off,pause:!f,section:0,value:0),time:(from:'2017-11-04T12:06:10-0600',mode:absolute,to:'2017-11-04T14:23:04-0600'))&amp;_a=(columns:!('Message%20ID',Summary),filters:!(),index:'emp_*',interval:auto,query:(query_string:(analyze_wildcard:!t,query:'%22rtdc.l.rtdc.4028%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777</v>
      </c>
      <c r="B175" s="7">
        <v>4027</v>
      </c>
      <c r="C175" s="21" t="s">
        <v>192</v>
      </c>
      <c r="D175" s="21" t="s">
        <v>970</v>
      </c>
      <c r="E175" s="13">
        <v>43043.559525462966</v>
      </c>
      <c r="F175" s="13">
        <v>43043.570833333331</v>
      </c>
      <c r="G175" s="7">
        <v>59</v>
      </c>
      <c r="H175" s="21" t="s">
        <v>968</v>
      </c>
      <c r="I175" s="13">
        <v>43043.579756944448</v>
      </c>
      <c r="J175" s="7">
        <v>0</v>
      </c>
      <c r="K175" s="89" t="str">
        <f>IF(ISEVEN(B175),(B175-1)&amp;"/"&amp;B175,B175&amp;"/"&amp;(B175+1))</f>
        <v>4027/4028</v>
      </c>
      <c r="L175" s="185" t="str">
        <f>VLOOKUP(A175,'Trips&amp;Operators'!$C$1:$G$99911,5,FALSE)</f>
        <v>LAMAR NEKESHA</v>
      </c>
      <c r="M175" s="6">
        <f>I175-F175</f>
        <v>8.9236111161881126E-3</v>
      </c>
      <c r="N175" s="7">
        <f>24*60*SUM($M175:$M175)</f>
        <v>12.850000007310882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-04T12:25:43-0600',mode:absolute,to:'2017-11-04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5.867</v>
      </c>
      <c r="Z175" s="204">
        <f>RIGHT(H175,LEN(H175)-4)/10000</f>
        <v>7.17E-2</v>
      </c>
      <c r="AA175" s="204">
        <f>ABS(Z175-Y175)</f>
        <v>5.7953000000000001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1816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/stypes="app*4027*20171104*" /stext=" 19:.+((SYSTEM_STATE.+slice.+state.+changed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46"/>
        <v>"%USERPROFILE%\Documents\GitHub\eaglep3\Utilities\RefineRTDCRunTimes.py" --tripid 1816-04 --locoid 4027 --swversion DE.1.0.9.0 --startMP 300:58670 --initTime 2017-11-04T13:25:43 --startdatetime 2017-11-04T13:42:00 --delay 59 --endMP 204:717 --enddatetime 2017-11-04T13:54:51 --enforcementcount 0 &gt;&gt;%USERPROFILE%\Documents\GitHub\eaglep3-reporting\EC\2017-11-04-refined-times.txt</v>
      </c>
      <c r="AI175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{"issue":{"subject":"","project_id":79,"tracker_id":40,"status_id":1,"priority_id":2,"assigned_to_id":338,"start_date":"2017-11-04","description":"","custom_fields":[{"id":1,"name":"Subdivision","value":"NW"},{"id":4,"name":"Milepost","value":"0.0717"},{"id":17,"name":"Train ID","value":"1816-04"},{"id":16,"name":"Locomotive ID","value":"4027"},{"id":130,"name":"Impact","value":""},{"id":150,"name":"Time of Event (Mountain Time)","value":"13:54:51"},{"id":151,"name":"Denver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48"/>
        <v>start /low /b %USERPROFILE%\Documents\GitHub\eaglep3\Utilities\DownloadLogsFromS3.py --loco 4027 --day 2017-11-04</v>
      </c>
      <c r="AN175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50"/>
        <v>https://d0f6bd738d7f1b3e5a7ca70fe4ff75f0.us-east-1.aws.found.io/app/kibana#/discover/Steve-Slow-Train-Analysis-(2080s-and-2083s)?_g=(refreshInterval:(display:Off,pause:!f,section:0,value:0),time:(from:'2017-11-04T12:25:43-0600',mode:absolute,to:'2017-11-04T14:54:51-0600'))&amp;_a=(columns:!('Message%20ID',Summary),filters:!(),index:'emp_*',interval:auto,query:(query_string:(analyze_wildcard:!t,query:'%22rtdc.l.rtdc.4027%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660</v>
      </c>
      <c r="B176" s="7">
        <v>4028</v>
      </c>
      <c r="C176" s="21" t="s">
        <v>192</v>
      </c>
      <c r="D176" s="21" t="s">
        <v>495</v>
      </c>
      <c r="E176" s="13">
        <v>43043.583599537036</v>
      </c>
      <c r="F176" s="13">
        <v>43043.589803240742</v>
      </c>
      <c r="G176" s="7">
        <v>76</v>
      </c>
      <c r="H176" s="21" t="s">
        <v>645</v>
      </c>
      <c r="I176" s="13">
        <v>43043.600069444445</v>
      </c>
      <c r="J176" s="7">
        <v>0</v>
      </c>
      <c r="K176" s="89" t="str">
        <f>IF(ISEVEN(B176),(B176-1)&amp;"/"&amp;B176,B176&amp;"/"&amp;(B176+1))</f>
        <v>4027/4028</v>
      </c>
      <c r="L176" s="185" t="str">
        <f>VLOOKUP(A176,'Trips&amp;Operators'!$C$1:$G$99911,5,FALSE)</f>
        <v>SMITH MICHAEL</v>
      </c>
      <c r="M176" s="6">
        <f>I176-F176</f>
        <v>1.0266203702485655E-2</v>
      </c>
      <c r="N176" s="7">
        <f>24*60*SUM($M176:$M176)</f>
        <v>14.783333331579342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-04T13:00:23-0600',mode:absolute,to:'2017-11-04T15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9.7600000000000006E-2</v>
      </c>
      <c r="Z176" s="204">
        <f>RIGHT(H176,LEN(H176)-4)/10000</f>
        <v>5.8925999999999998</v>
      </c>
      <c r="AA176" s="204">
        <f>ABS(Z176-Y176)</f>
        <v>5.7949999999999999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1817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/stypes="app*4028*20171104*" /stext=" 20:.+((SYSTEM_STATE.+slice.+state.+changed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46"/>
        <v>"%USERPROFILE%\Documents\GitHub\eaglep3\Utilities\RefineRTDCRunTimes.py" --tripid 1817-04 --locoid 4028 --swversion DE.1.0.9.0 --startMP 204:976 --initTime 2017-11-04T14:00:23 --startdatetime 2017-11-04T14:09:19 --delay 76 --endMP 300:58926 --enddatetime 2017-11-04T14:24:06 --enforcementcount 0 &gt;&gt;%USERPROFILE%\Documents\GitHub\eaglep3-reporting\EC\2017-11-04-refined-times.txt</v>
      </c>
      <c r="AI176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{"issue":{"subject":"","project_id":79,"tracker_id":40,"status_id":1,"priority_id":2,"assigned_to_id":338,"start_date":"2017-11-04","description":"","custom_fields":[{"id":1,"name":"Subdivision","value":"NW"},{"id":4,"name":"Milepost","value":"5.8926"},{"id":17,"name":"Train ID","value":"1817-04"},{"id":16,"name":"Locomotive ID","value":"4028"},{"id":130,"name":"Impact","value":""},{"id":150,"name":"Time of Event (Mountain Time)","value":"14:24:06"},{"id":151,"name":"Denver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48"/>
        <v>start /low /b %USERPROFILE%\Documents\GitHub\eaglep3\Utilities\DownloadLogsFromS3.py --loco 4028 --day 2017-11-04</v>
      </c>
      <c r="AN176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50"/>
        <v>https://d0f6bd738d7f1b3e5a7ca70fe4ff75f0.us-east-1.aws.found.io/app/kibana#/discover/Steve-Slow-Train-Analysis-(2080s-and-2083s)?_g=(refreshInterval:(display:Off,pause:!f,section:0,value:0),time:(from:'2017-11-04T13:00:23-0600',mode:absolute,to:'2017-11-04T15:24:06-0600'))&amp;_a=(columns:!('Message%20ID',Summary),filters:!(),index:'emp_*',interval:auto,query:(query_string:(analyze_wildcard:!t,query:'%22rtdc.l.rtdc.4028%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785</v>
      </c>
      <c r="B177" s="7">
        <v>4027</v>
      </c>
      <c r="C177" s="21" t="s">
        <v>192</v>
      </c>
      <c r="D177" s="21" t="s">
        <v>402</v>
      </c>
      <c r="E177" s="13">
        <v>43043.604039351849</v>
      </c>
      <c r="F177" s="13">
        <v>43043.612500000003</v>
      </c>
      <c r="G177" s="7">
        <v>103</v>
      </c>
      <c r="H177" s="21" t="s">
        <v>971</v>
      </c>
      <c r="I177" s="13">
        <v>43043.62228009259</v>
      </c>
      <c r="J177" s="7">
        <v>0</v>
      </c>
      <c r="K177" s="89" t="str">
        <f>IF(ISEVEN(B177),(B177-1)&amp;"/"&amp;B177,B177&amp;"/"&amp;(B177+1))</f>
        <v>4027/4028</v>
      </c>
      <c r="L177" s="185" t="str">
        <f>VLOOKUP(A177,'Trips&amp;Operators'!$C$1:$G$99911,5,FALSE)</f>
        <v>SMITH MICHAEL</v>
      </c>
      <c r="M177" s="6">
        <f>I177-F177</f>
        <v>9.7800925868796185E-3</v>
      </c>
      <c r="N177" s="7">
        <f>24*60*SUM($M177:$M177)</f>
        <v>14.083333325106651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-04T13:29:49-0600',mode:absolute,to:'2017-11-04T15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5.8615000000000004</v>
      </c>
      <c r="Z177" s="204">
        <f>RIGHT(H177,LEN(H177)-4)/10000</f>
        <v>6.8400000000000002E-2</v>
      </c>
      <c r="AA177" s="204">
        <f>ABS(Z177-Y177)</f>
        <v>5.7931000000000008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1818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/stypes="app*4027*20171104*" /stext=" 20:.+((SYSTEM_STATE.+slice.+state.+changed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46"/>
        <v>"%USERPROFILE%\Documents\GitHub\eaglep3\Utilities\RefineRTDCRunTimes.py" --tripid 1818-04 --locoid 4027 --swversion DE.1.0.9.0 --startMP 300:58615 --initTime 2017-11-04T14:29:49 --startdatetime 2017-11-04T14:42:00 --delay 103 --endMP 204:684 --enddatetime 2017-11-04T14:56:05 --enforcementcount 0 &gt;&gt;%USERPROFILE%\Documents\GitHub\eaglep3-reporting\EC\2017-11-04-refined-times.txt</v>
      </c>
      <c r="AI177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{"issue":{"subject":"","project_id":79,"tracker_id":40,"status_id":1,"priority_id":2,"assigned_to_id":338,"start_date":"2017-11-04","description":"","custom_fields":[{"id":1,"name":"Subdivision","value":"NW"},{"id":4,"name":"Milepost","value":"0.0684"},{"id":17,"name":"Train ID","value":"1818-04"},{"id":16,"name":"Locomotive ID","value":"4027"},{"id":130,"name":"Impact","value":""},{"id":150,"name":"Time of Event (Mountain Time)","value":"14:56:05"},{"id":151,"name":"Denver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48"/>
        <v>start /low /b %USERPROFILE%\Documents\GitHub\eaglep3\Utilities\DownloadLogsFromS3.py --loco 4027 --day 2017-11-04</v>
      </c>
      <c r="AN177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50"/>
        <v>https://d0f6bd738d7f1b3e5a7ca70fe4ff75f0.us-east-1.aws.found.io/app/kibana#/discover/Steve-Slow-Train-Analysis-(2080s-and-2083s)?_g=(refreshInterval:(display:Off,pause:!f,section:0,value:0),time:(from:'2017-11-04T13:29:49-0600',mode:absolute,to:'2017-11-04T15:56:05-0600'))&amp;_a=(columns:!('Message%20ID',Summary),filters:!(),index:'emp_*',interval:auto,query:(query_string:(analyze_wildcard:!t,query:'%22rtdc.l.rtdc.4027%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790</v>
      </c>
      <c r="B178" s="7">
        <v>4028</v>
      </c>
      <c r="C178" s="21" t="s">
        <v>192</v>
      </c>
      <c r="D178" s="21" t="s">
        <v>972</v>
      </c>
      <c r="E178" s="13">
        <v>43043.626817129632</v>
      </c>
      <c r="F178" s="13">
        <v>43043.631469907406</v>
      </c>
      <c r="G178" s="7">
        <v>70</v>
      </c>
      <c r="H178" s="21" t="s">
        <v>973</v>
      </c>
      <c r="I178" s="13">
        <v>43043.64099537037</v>
      </c>
      <c r="J178" s="7">
        <v>0</v>
      </c>
      <c r="K178" s="89" t="str">
        <f>IF(ISEVEN(B178),(B178-1)&amp;"/"&amp;B178,B178&amp;"/"&amp;(B178+1))</f>
        <v>4027/4028</v>
      </c>
      <c r="L178" s="185" t="str">
        <f>VLOOKUP(A178,'Trips&amp;Operators'!$C$1:$G$99911,5,FALSE)</f>
        <v>SMITH MICHAEL</v>
      </c>
      <c r="M178" s="6">
        <f>I178-F178</f>
        <v>9.5254629632108845E-3</v>
      </c>
      <c r="N178" s="7">
        <f>24*60*SUM($M178:$M178)</f>
        <v>13.716666667023674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-04T14:02:37-0600',mode:absolute,to:'2017-11-04T16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9.6500000000000002E-2</v>
      </c>
      <c r="Z178" s="204">
        <f>RIGHT(H178,LEN(H178)-4)/10000</f>
        <v>5.8968999999999996</v>
      </c>
      <c r="AA178" s="204">
        <f>ABS(Z178-Y178)</f>
        <v>5.8003999999999998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1819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/stypes="app*4028*20171104*" /stext=" 21:.+((SYSTEM_STATE.+slice.+state.+changed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46"/>
        <v>"%USERPROFILE%\Documents\GitHub\eaglep3\Utilities\RefineRTDCRunTimes.py" --tripid 1819-04 --locoid 4028 --swversion DE.1.0.9.0 --startMP 204:965 --initTime 2017-11-04T15:02:37 --startdatetime 2017-11-04T15:09:19 --delay 70 --endMP 300:58969 --enddatetime 2017-11-04T15:23:02 --enforcementcount 0 &gt;&gt;%USERPROFILE%\Documents\GitHub\eaglep3-reporting\EC\2017-11-04-refined-times.txt</v>
      </c>
      <c r="AI178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{"issue":{"subject":"","project_id":79,"tracker_id":40,"status_id":1,"priority_id":2,"assigned_to_id":338,"start_date":"2017-11-04","description":"","custom_fields":[{"id":1,"name":"Subdivision","value":"NW"},{"id":4,"name":"Milepost","value":"5.8969"},{"id":17,"name":"Train ID","value":"1819-04"},{"id":16,"name":"Locomotive ID","value":"4028"},{"id":130,"name":"Impact","value":""},{"id":150,"name":"Time of Event (Mountain Time)","value":"15:23:02"},{"id":151,"name":"Denver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48"/>
        <v>start /low /b %USERPROFILE%\Documents\GitHub\eaglep3\Utilities\DownloadLogsFromS3.py --loco 4028 --day 2017-11-04</v>
      </c>
      <c r="AN178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50"/>
        <v>https://d0f6bd738d7f1b3e5a7ca70fe4ff75f0.us-east-1.aws.found.io/app/kibana#/discover/Steve-Slow-Train-Analysis-(2080s-and-2083s)?_g=(refreshInterval:(display:Off,pause:!f,section:0,value:0),time:(from:'2017-11-04T14:02:37-0600',mode:absolute,to:'2017-11-04T16:23:02-0600'))&amp;_a=(columns:!('Message%20ID',Summary),filters:!(),index:'emp_*',interval:auto,query:(query_string:(analyze_wildcard:!t,query:'%22rtdc.l.rtdc.4028%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796</v>
      </c>
      <c r="B179" s="7">
        <v>4027</v>
      </c>
      <c r="C179" s="21" t="s">
        <v>192</v>
      </c>
      <c r="D179" s="21" t="s">
        <v>972</v>
      </c>
      <c r="E179" s="13">
        <v>43043.626817129632</v>
      </c>
      <c r="F179" s="13">
        <v>43043.655671296299</v>
      </c>
      <c r="G179" s="7">
        <v>70</v>
      </c>
      <c r="H179" s="21" t="s">
        <v>973</v>
      </c>
      <c r="I179" s="13">
        <v>43043.663888888892</v>
      </c>
      <c r="J179" s="7">
        <v>0</v>
      </c>
      <c r="K179" s="89" t="str">
        <f>IF(ISEVEN(B179),(B179-1)&amp;"/"&amp;B179,B179&amp;"/"&amp;(B179+1))</f>
        <v>4027/4028</v>
      </c>
      <c r="L179" s="185" t="str">
        <f>VLOOKUP(A179,'Trips&amp;Operators'!$C$1:$G$99911,5,FALSE)</f>
        <v>SMITH MICHAEL</v>
      </c>
      <c r="M179" s="6">
        <f>I179-F179</f>
        <v>8.2175925927003846E-3</v>
      </c>
      <c r="N179" s="7">
        <f>24*60*SUM($M179:$M179)</f>
        <v>11.833333333488554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-04T14:02:37-0600',mode:absolute,to:'2017-11-04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v>5.8615000000000004</v>
      </c>
      <c r="Z179" s="204">
        <v>6.8400000000000002E-2</v>
      </c>
      <c r="AA179" s="204">
        <f>ABS(Z179-Y179)</f>
        <v>5.7931000000000008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1820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/stypes="app*4027*20171104*" /stext=" 21:.+((SYSTEM_STATE.+slice.+state.+changed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ref="AH179" si="62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1820-04 --locoid 4027 --swversion DE.1.0.9.0 --startMP 204:965 --initTime 2017-11-04T15:02:37 --startdatetime 2017-11-04T15:44:10 --delay 70 --endMP 300:58969 --enddatetime 2017-11-04T15:56:00 --enforcementcount 0 &gt;&gt;%USERPROFILE%\Documents\GitHub\eaglep3-reporting\EC\2017-11-04-refined-times.txt</v>
      </c>
      <c r="AI179" s="96" t="str">
        <f t="shared" ref="AI179" si="63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{"issue":{"subject":"","project_id":79,"tracker_id":40,"status_id":1,"priority_id":2,"assigned_to_id":338,"start_date":"2017-11-04","description":"","custom_fields":[{"id":1,"name":"Subdivision","value":"NW"},{"id":4,"name":"Milepost","value":"0.0684"},{"id":17,"name":"Train ID","value":"1820-04"},{"id":16,"name":"Locomotive ID","value":"4027"},{"id":130,"name":"Impact","value":""},{"id":150,"name":"Time of Event (Mountain Time)","value":"15:56:00"},{"id":151,"name":"Denver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ref="AM179" si="64">"start /low /b "&amp;dls3logs&amp;" --loco "&amp;B179&amp;" --day "&amp;TEXT(F179,"YYYY-MM-DD")</f>
        <v>start /low /b %USERPROFILE%\Documents\GitHub\eaglep3\Utilities\DownloadLogsFromS3.py --loco 4027 --day 2017-11-04</v>
      </c>
      <c r="AN179" s="151" t="str">
        <f t="shared" ref="AN179" si="65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ref="AO179" si="66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-04T14:02:37-0600',mode:absolute,to:'2017-11-04T16:56:00-0600'))&amp;_a=(columns:!('Message%20ID',Summary),filters:!(),index:'emp_*',interval:auto,query:(query_string:(analyze_wildcard:!t,query:'%22rtdc.l.rtdc.4027%22')),sort:!(Time.ISO8601,asc))</v>
      </c>
    </row>
    <row r="180" spans="1:91" s="20" customFormat="1" x14ac:dyDescent="0.25">
      <c r="A180" s="32" t="s">
        <v>801</v>
      </c>
      <c r="B180" s="7">
        <v>4028</v>
      </c>
      <c r="C180" s="21" t="s">
        <v>192</v>
      </c>
      <c r="D180" s="21" t="s">
        <v>976</v>
      </c>
      <c r="E180" s="13">
        <v>43043.66611111111</v>
      </c>
      <c r="F180" s="13">
        <v>43043.673159722224</v>
      </c>
      <c r="G180" s="7">
        <v>74</v>
      </c>
      <c r="H180" s="21" t="s">
        <v>403</v>
      </c>
      <c r="I180" s="13">
        <v>43043.682719907411</v>
      </c>
      <c r="J180" s="7">
        <v>0</v>
      </c>
      <c r="K180" s="89" t="str">
        <f>IF(ISEVEN(B180),(B180-1)&amp;"/"&amp;B180,B180&amp;"/"&amp;(B180+1))</f>
        <v>4027/4028</v>
      </c>
      <c r="L180" s="185" t="str">
        <f>VLOOKUP(A180,'Trips&amp;Operators'!$C$1:$G$99911,5,FALSE)</f>
        <v>SMITH MICHAEL</v>
      </c>
      <c r="M180" s="6">
        <f>I180-F180</f>
        <v>9.560185186273884E-3</v>
      </c>
      <c r="N180" s="7">
        <f>24*60*SUM($M180:$M180)</f>
        <v>13.766666668234393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-04T14:59:12-0600',mode:absolute,to:'2017-11-04T17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204" t="str">
        <f>IF(AA180&lt;VLOOKUP(AG180,Variables!$AC$3:$AD$8,2,FALSE),"Y","N")</f>
        <v>N</v>
      </c>
      <c r="X180" s="204">
        <f t="shared" ref="X180:X181" si="67">VALUE(LEFT(AD180,4))-VALUE(LEFT(AD179,4))</f>
        <v>1</v>
      </c>
      <c r="Y180" s="204">
        <f>RIGHT(D180,LEN(D180)-4)/10000</f>
        <v>9.7199999999999995E-2</v>
      </c>
      <c r="Z180" s="204">
        <f>RIGHT(H180,LEN(H180)-4)/10000</f>
        <v>5.8954000000000004</v>
      </c>
      <c r="AA180" s="204">
        <f>ABS(Z180-Y180)</f>
        <v>5.7982000000000005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1821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/stypes="app*4028*20171104*" /stext=" 22:.+((SYSTEM_STATE.+slice.+state.+changed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46"/>
        <v>"%USERPROFILE%\Documents\GitHub\eaglep3\Utilities\RefineRTDCRunTimes.py" --tripid 1821-04 --locoid 4028 --swversion DE.1.0.9.0 --startMP 204:972 --initTime 2017-11-04T15:59:12 --startdatetime 2017-11-04T16:09:21 --delay 74 --endMP 300:58954 --enddatetime 2017-11-04T16:23:07 --enforcementcount 0 &gt;&gt;%USERPROFILE%\Documents\GitHub\eaglep3-reporting\EC\2017-11-04-refined-times.txt</v>
      </c>
      <c r="AI180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{"issue":{"subject":"","project_id":79,"tracker_id":40,"status_id":1,"priority_id":2,"assigned_to_id":338,"start_date":"2017-11-04","description":"","custom_fields":[{"id":1,"name":"Subdivision","value":"NW"},{"id":4,"name":"Milepost","value":"5.8954"},{"id":17,"name":"Train ID","value":"1821-04"},{"id":16,"name":"Locomotive ID","value":"4028"},{"id":130,"name":"Impact","value":""},{"id":150,"name":"Time of Event (Mountain Time)","value":"16:23:07"},{"id":151,"name":"Denver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48"/>
        <v>start /low /b %USERPROFILE%\Documents\GitHub\eaglep3\Utilities\DownloadLogsFromS3.py --loco 4028 --day 2017-11-04</v>
      </c>
      <c r="AN180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50"/>
        <v>https://d0f6bd738d7f1b3e5a7ca70fe4ff75f0.us-east-1.aws.found.io/app/kibana#/discover/Steve-Slow-Train-Analysis-(2080s-and-2083s)?_g=(refreshInterval:(display:Off,pause:!f,section:0,value:0),time:(from:'2017-11-04T14:59:12-0600',mode:absolute,to:'2017-11-04T17:23:07-0600'))&amp;_a=(columns:!('Message%20ID',Summary),filters:!(),index:'emp_*',interval:auto,query:(query_string:(analyze_wildcard:!t,query:'%22rtdc.l.rtdc.4028%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805</v>
      </c>
      <c r="B181" s="7">
        <v>4027</v>
      </c>
      <c r="C181" s="21" t="s">
        <v>192</v>
      </c>
      <c r="D181" s="21" t="s">
        <v>977</v>
      </c>
      <c r="E181" s="13">
        <v>43043.684756944444</v>
      </c>
      <c r="F181" s="13">
        <v>43043.695833333331</v>
      </c>
      <c r="G181" s="7">
        <v>91</v>
      </c>
      <c r="H181" s="21" t="s">
        <v>978</v>
      </c>
      <c r="I181" s="13">
        <v>43043.705393518518</v>
      </c>
      <c r="J181" s="7">
        <v>0</v>
      </c>
      <c r="K181" s="89" t="str">
        <f>IF(ISEVEN(B181),(B181-1)&amp;"/"&amp;B181,B181&amp;"/"&amp;(B181+1))</f>
        <v>4027/4028</v>
      </c>
      <c r="L181" s="185" t="str">
        <f>VLOOKUP(A181,'Trips&amp;Operators'!$C$1:$G$99911,5,FALSE)</f>
        <v>SMITH MICHAEL</v>
      </c>
      <c r="M181" s="6">
        <f>I181-F181</f>
        <v>9.560185186273884E-3</v>
      </c>
      <c r="N181" s="7">
        <f>24*60*SUM($M181:$M181)</f>
        <v>13.766666668234393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-04T15:26:03-0600',mode:absolute,to:'2017-11-04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204" t="str">
        <f>IF(AA181&lt;VLOOKUP(AG181,Variables!$AC$3:$AD$8,2,FALSE),"Y","N")</f>
        <v>N</v>
      </c>
      <c r="X181" s="204">
        <f t="shared" si="67"/>
        <v>1</v>
      </c>
      <c r="Y181" s="204">
        <f>RIGHT(D181,LEN(D181)-4)/10000</f>
        <v>5.8643000000000001</v>
      </c>
      <c r="Z181" s="204">
        <f>RIGHT(H181,LEN(H181)-4)/10000</f>
        <v>6.9400000000000003E-2</v>
      </c>
      <c r="AA181" s="204">
        <f>ABS(Z181-Y181)</f>
        <v>5.7949000000000002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1822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/stypes="app*4027*20171104*" /stext=" 22:.+((SYSTEM_STATE.+slice.+state.+changed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46"/>
        <v>"%USERPROFILE%\Documents\GitHub\eaglep3\Utilities\RefineRTDCRunTimes.py" --tripid 1822-04 --locoid 4027 --swversion DE.1.0.9.0 --startMP 300:58643 --initTime 2017-11-04T16:26:03 --startdatetime 2017-11-04T16:42:00 --delay 91 --endMP 204:694 --enddatetime 2017-11-04T16:55:46 --enforcementcount 0 &gt;&gt;%USERPROFILE%\Documents\GitHub\eaglep3-reporting\EC\2017-11-04-refined-times.txt</v>
      </c>
      <c r="AI181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{"issue":{"subject":"","project_id":79,"tracker_id":40,"status_id":1,"priority_id":2,"assigned_to_id":338,"start_date":"2017-11-04","description":"","custom_fields":[{"id":1,"name":"Subdivision","value":"NW"},{"id":4,"name":"Milepost","value":"0.0694"},{"id":17,"name":"Train ID","value":"1822-04"},{"id":16,"name":"Locomotive ID","value":"4027"},{"id":130,"name":"Impact","value":""},{"id":150,"name":"Time of Event (Mountain Time)","value":"16:55:46"},{"id":151,"name":"Denver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48"/>
        <v>start /low /b %USERPROFILE%\Documents\GitHub\eaglep3\Utilities\DownloadLogsFromS3.py --loco 4027 --day 2017-11-04</v>
      </c>
      <c r="AN181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50"/>
        <v>https://d0f6bd738d7f1b3e5a7ca70fe4ff75f0.us-east-1.aws.found.io/app/kibana#/discover/Steve-Slow-Train-Analysis-(2080s-and-2083s)?_g=(refreshInterval:(display:Off,pause:!f,section:0,value:0),time:(from:'2017-11-04T15:26:03-0600',mode:absolute,to:'2017-11-04T17:55:46-0600'))&amp;_a=(columns:!('Message%20ID',Summary),filters:!(),index:'emp_*',interval:auto,query:(query_string:(analyze_wildcard:!t,query:'%22rtdc.l.rtdc.4027%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811</v>
      </c>
      <c r="B182" s="7">
        <v>4028</v>
      </c>
      <c r="C182" s="21" t="s">
        <v>192</v>
      </c>
      <c r="D182" s="21" t="s">
        <v>979</v>
      </c>
      <c r="E182" s="13">
        <v>43043.707754629628</v>
      </c>
      <c r="F182" s="13">
        <v>43043.714826388888</v>
      </c>
      <c r="G182" s="7">
        <v>65</v>
      </c>
      <c r="H182" s="21" t="s">
        <v>980</v>
      </c>
      <c r="I182" s="13">
        <v>43043.725763888891</v>
      </c>
      <c r="J182" s="7">
        <v>0</v>
      </c>
      <c r="K182" s="89" t="str">
        <f>IF(ISEVEN(B182),(B182-1)&amp;"/"&amp;B182,B182&amp;"/"&amp;(B182+1))</f>
        <v>4027/4028</v>
      </c>
      <c r="L182" s="185" t="str">
        <f>VLOOKUP(A182,'Trips&amp;Operators'!$C$1:$G$99911,5,FALSE)</f>
        <v>SMITH MICHAEL</v>
      </c>
      <c r="M182" s="6">
        <f>I182-F182</f>
        <v>1.0937500002910383E-2</v>
      </c>
      <c r="N182" s="7">
        <f>24*60*SUM($M182:$M182)</f>
        <v>15.750000004190952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-04T15:59:10-0600',mode:absolute,to:'2017-11-04T18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9.69E-2</v>
      </c>
      <c r="Z182" s="204">
        <f>RIGHT(H182,LEN(H182)-4)/10000</f>
        <v>5.8979999999999997</v>
      </c>
      <c r="AA182" s="204">
        <f>ABS(Z182-Y182)</f>
        <v>5.8010999999999999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1823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/stypes="app*4028*20171104*" /stext=" 23:.+((SYSTEM_STATE.+slice.+state.+changed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46"/>
        <v>"%USERPROFILE%\Documents\GitHub\eaglep3\Utilities\RefineRTDCRunTimes.py" --tripid 1823-04 --locoid 4028 --swversion DE.1.0.9.0 --startMP 204:969 --initTime 2017-11-04T16:59:10 --startdatetime 2017-11-04T17:09:21 --delay 65 --endMP 300:58980 --enddatetime 2017-11-04T17:25:06 --enforcementcount 0 &gt;&gt;%USERPROFILE%\Documents\GitHub\eaglep3-reporting\EC\2017-11-04-refined-times.txt</v>
      </c>
      <c r="AI182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{"issue":{"subject":"","project_id":79,"tracker_id":40,"status_id":1,"priority_id":2,"assigned_to_id":338,"start_date":"2017-11-04","description":"","custom_fields":[{"id":1,"name":"Subdivision","value":"NW"},{"id":4,"name":"Milepost","value":"5.898"},{"id":17,"name":"Train ID","value":"1823-04"},{"id":16,"name":"Locomotive ID","value":"4028"},{"id":130,"name":"Impact","value":""},{"id":150,"name":"Time of Event (Mountain Time)","value":"17:25:06"},{"id":151,"name":"Denver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48"/>
        <v>start /low /b %USERPROFILE%\Documents\GitHub\eaglep3\Utilities\DownloadLogsFromS3.py --loco 4028 --day 2017-11-04</v>
      </c>
      <c r="AN182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50"/>
        <v>https://d0f6bd738d7f1b3e5a7ca70fe4ff75f0.us-east-1.aws.found.io/app/kibana#/discover/Steve-Slow-Train-Analysis-(2080s-and-2083s)?_g=(refreshInterval:(display:Off,pause:!f,section:0,value:0),time:(from:'2017-11-04T15:59:10-0600',mode:absolute,to:'2017-11-04T18:25:06-0600'))&amp;_a=(columns:!('Message%20ID',Summary),filters:!(),index:'emp_*',interval:auto,query:(query_string:(analyze_wildcard:!t,query:'%22rtdc.l.rtdc.4028%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816</v>
      </c>
      <c r="B183" s="7">
        <v>4027</v>
      </c>
      <c r="C183" s="21" t="s">
        <v>192</v>
      </c>
      <c r="D183" s="21" t="s">
        <v>532</v>
      </c>
      <c r="E183" s="13">
        <v>43043.728148148148</v>
      </c>
      <c r="F183" s="13">
        <v>43043.737500000003</v>
      </c>
      <c r="G183" s="7">
        <v>83</v>
      </c>
      <c r="H183" s="21" t="s">
        <v>981</v>
      </c>
      <c r="I183" s="13">
        <v>43043.748738425929</v>
      </c>
      <c r="J183" s="7">
        <v>0</v>
      </c>
      <c r="K183" s="89" t="str">
        <f>IF(ISEVEN(B183),(B183-1)&amp;"/"&amp;B183,B183&amp;"/"&amp;(B183+1))</f>
        <v>4027/4028</v>
      </c>
      <c r="L183" s="185" t="str">
        <f>VLOOKUP(A183,'Trips&amp;Operators'!$C$1:$G$99911,5,FALSE)</f>
        <v>SMITH MICHAEL</v>
      </c>
      <c r="M183" s="6">
        <f>I183-F183</f>
        <v>1.1238425926421769E-2</v>
      </c>
      <c r="N183" s="7">
        <f>24*60*SUM($M183:$M183)</f>
        <v>16.183333334047347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-04T16:28:32-0600',mode:absolute,to:'2017-11-04T18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5.8662000000000001</v>
      </c>
      <c r="Z183" s="204">
        <f>RIGHT(H183,LEN(H183)-4)/10000</f>
        <v>7.1300000000000002E-2</v>
      </c>
      <c r="AA183" s="204">
        <f>ABS(Z183-Y183)</f>
        <v>5.7949000000000002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1824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/stypes="app*4027*20171104*" /stext=" 23:.+((SYSTEM_STATE.+slice.+state.+changed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46"/>
        <v>"%USERPROFILE%\Documents\GitHub\eaglep3\Utilities\RefineRTDCRunTimes.py" --tripid 1824-04 --locoid 4027 --swversion DE.1.0.9.0 --startMP 300:58662 --initTime 2017-11-04T17:28:32 --startdatetime 2017-11-04T17:42:00 --delay 83 --endMP 204:713 --enddatetime 2017-11-04T17:58:11 --enforcementcount 0 &gt;&gt;%USERPROFILE%\Documents\GitHub\eaglep3-reporting\EC\2017-11-04-refined-times.txt</v>
      </c>
      <c r="AI183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{"issue":{"subject":"","project_id":79,"tracker_id":40,"status_id":1,"priority_id":2,"assigned_to_id":338,"start_date":"2017-11-04","description":"","custom_fields":[{"id":1,"name":"Subdivision","value":"NW"},{"id":4,"name":"Milepost","value":"0.0713"},{"id":17,"name":"Train ID","value":"1824-04"},{"id":16,"name":"Locomotive ID","value":"4027"},{"id":130,"name":"Impact","value":""},{"id":150,"name":"Time of Event (Mountain Time)","value":"17:58:11"},{"id":151,"name":"Denver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48"/>
        <v>start /low /b %USERPROFILE%\Documents\GitHub\eaglep3\Utilities\DownloadLogsFromS3.py --loco 4027 --day 2017-11-04</v>
      </c>
      <c r="AN183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50"/>
        <v>https://d0f6bd738d7f1b3e5a7ca70fe4ff75f0.us-east-1.aws.found.io/app/kibana#/discover/Steve-Slow-Train-Analysis-(2080s-and-2083s)?_g=(refreshInterval:(display:Off,pause:!f,section:0,value:0),time:(from:'2017-11-04T16:28:32-0600',mode:absolute,to:'2017-11-04T18:58:11-0600'))&amp;_a=(columns:!('Message%20ID',Summary),filters:!(),index:'emp_*',interval:auto,query:(query_string:(analyze_wildcard:!t,query:'%22rtdc.l.rtdc.4027%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825</v>
      </c>
      <c r="B184" s="7">
        <v>4028</v>
      </c>
      <c r="C184" s="21" t="s">
        <v>192</v>
      </c>
      <c r="D184" s="21" t="s">
        <v>982</v>
      </c>
      <c r="E184" s="13">
        <v>43043.750706018516</v>
      </c>
      <c r="F184" s="13">
        <v>43043.751817129632</v>
      </c>
      <c r="G184" s="7">
        <v>85</v>
      </c>
      <c r="H184" s="21" t="s">
        <v>982</v>
      </c>
      <c r="I184" s="13">
        <v>43043.75277777778</v>
      </c>
      <c r="J184" s="7">
        <v>0</v>
      </c>
      <c r="K184" s="89" t="str">
        <f>IF(ISEVEN(B184),(B184-1)&amp;"/"&amp;B184,B184&amp;"/"&amp;(B184+1))</f>
        <v>4027/4028</v>
      </c>
      <c r="L184" s="185" t="str">
        <f>VLOOKUP(A184,'Trips&amp;Operators'!$C$1:$G$99911,5,FALSE)</f>
        <v>SMITH MICHAEL</v>
      </c>
      <c r="M184" s="6">
        <f>I184-F184</f>
        <v>9.6064814715646207E-4</v>
      </c>
      <c r="N184" s="7"/>
      <c r="O184" s="7"/>
      <c r="P184" s="7">
        <f>24*60*SUM($M184:$M184)</f>
        <v>1.3833333319053054</v>
      </c>
      <c r="Q184" s="22"/>
      <c r="R184" s="174" t="s">
        <v>1094</v>
      </c>
      <c r="S184" s="221">
        <f>1/IF(AG184="EC",12,1)*SUM(U184:U184)</f>
        <v>0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-04T17:01:01-0600',mode:absolute,to:'2017-11-04T19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204" t="str">
        <f>IF(AA184&lt;VLOOKUP(AG184,Variables!$AC$3:$AD$8,2,FALSE),"Y","N")</f>
        <v>Y</v>
      </c>
      <c r="X184" s="204">
        <f>VALUE(LEFT(AD184,4))-VALUE(LEFT(AD183,4))</f>
        <v>1</v>
      </c>
      <c r="Y184" s="204">
        <f>RIGHT(D184,LEN(D184)-4)/10000</f>
        <v>9.8100000000000007E-2</v>
      </c>
      <c r="Z184" s="204">
        <f>RIGHT(H184,LEN(H184)-4)/10000</f>
        <v>9.8100000000000007E-2</v>
      </c>
      <c r="AA184" s="204">
        <f>ABS(Z184-Y184)</f>
        <v>0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1825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/stypes="app*4028*20171105*" /stext=" 00:.+((SYSTEM_STATE.+slice.+state.+changed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46"/>
        <v>"%USERPROFILE%\Documents\GitHub\eaglep3\Utilities\RefineRTDCRunTimes.py" --tripid 1825-04 --locoid 4028 --swversion DE.1.0.9.0 --startMP 204:981 --initTime 2017-11-04T18:01:01 --startdatetime 2017-11-04T18:02:37 --delay 85 --endMP 204:981 --enddatetime 2017-11-04T18:04:00 --enforcementcount 0 &gt;&gt;%USERPROFILE%\Documents\GitHub\eaglep3-reporting\EC\2017-11-04-refined-times.txt</v>
      </c>
      <c r="AI184" s="96" t="str">
        <f t="shared" si="47"/>
        <v>echo {"issue":{"subject":"Onboard in-route failure","project_id":79,"tracker_id":40,"status_id":1,"priority_id":2,"assigned_to_id":338,"start_date":"2017-11-04","description":"","custom_fields":[{"id":1,"name":"Subdivision","value":"NW"},{"id":4,"name":"Milepost","value":"0.0981"},{"id":17,"name":"Train ID","value":"1825-04"},{"id":16,"name":"Locomotive ID","value":"4028"},{"id":130,"name":"Impact","value":""},{"id":150,"name":"Time of Event (Mountain Time)","value":"18:04:00"},{"id":151,"name":"Denver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48"/>
        <v>start /low /b %USERPROFILE%\Documents\GitHub\eaglep3\Utilities\DownloadLogsFromS3.py --loco 4028 --day 2017-11-04</v>
      </c>
      <c r="AN184" s="151" t="str">
        <f t="shared" si="49"/>
        <v>echo {"issue":{"subject":"Onboard in-route failure","project_id":30,"tracker_id":4,"status_id":1,"priority_id":1,"assigned_to_id":10,"start_date":"2017-11-05","description":"","custom_fields":[{"id":30,"name":"Category","value":"Issue"},{"id":3,"name":"Functional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50"/>
        <v>https://d0f6bd738d7f1b3e5a7ca70fe4ff75f0.us-east-1.aws.found.io/app/kibana#/discover/Steve-Slow-Train-Analysis-(2080s-and-2083s)?_g=(refreshInterval:(display:Off,pause:!f,section:0,value:0),time:(from:'2017-11-04T17:01:01-0600',mode:absolute,to:'2017-11-04T19:04:00-0600'))&amp;_a=(columns:!('Message%20ID',Summary),filters:!(),index:'emp_*',interval:auto,query:(query_string:(analyze_wildcard:!t,query:'%22rtdc.l.rtdc.4028%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831</v>
      </c>
      <c r="B185" s="7">
        <v>4027</v>
      </c>
      <c r="C185" s="21" t="s">
        <v>192</v>
      </c>
      <c r="D185" s="21" t="s">
        <v>983</v>
      </c>
      <c r="E185" s="13">
        <v>43043.769965277781</v>
      </c>
      <c r="F185" s="13">
        <v>43043.779166666667</v>
      </c>
      <c r="G185" s="7">
        <v>80</v>
      </c>
      <c r="H185" s="21" t="s">
        <v>984</v>
      </c>
      <c r="I185" s="13">
        <v>43043.788715277777</v>
      </c>
      <c r="J185" s="7">
        <v>0</v>
      </c>
      <c r="K185" s="89" t="str">
        <f>IF(ISEVEN(B185),(B185-1)&amp;"/"&amp;B185,B185&amp;"/"&amp;(B185+1))</f>
        <v>4027/4028</v>
      </c>
      <c r="L185" s="185" t="str">
        <f>VLOOKUP(A185,'Trips&amp;Operators'!$C$1:$G$99911,5,FALSE)</f>
        <v>SMITH MICHAEL</v>
      </c>
      <c r="M185" s="6">
        <f>I185-F185</f>
        <v>9.5486111094942316E-3</v>
      </c>
      <c r="N185" s="7">
        <f>24*60*SUM($M185:$M185)</f>
        <v>13.749999997671694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-04T17:28:45-0600',mode:absolute,to:'2017-11-04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5.8663999999999996</v>
      </c>
      <c r="Z185" s="204">
        <f>RIGHT(H185,LEN(H185)-4)/10000</f>
        <v>7.8700000000000006E-2</v>
      </c>
      <c r="AA185" s="204">
        <f>ABS(Z185-Y185)</f>
        <v>5.7876999999999992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1826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/stypes="app*4027*20171105*" /stext=" 00:.+((SYSTEM_STATE.+slice.+state.+changed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46"/>
        <v>"%USERPROFILE%\Documents\GitHub\eaglep3\Utilities\RefineRTDCRunTimes.py" --tripid 1826-04 --locoid 4027 --swversion DE.1.0.9.0 --startMP 300:58664 --initTime 2017-11-04T18:28:45 --startdatetime 2017-11-04T18:42:00 --delay 80 --endMP 204:787 --enddatetime 2017-11-04T18:55:45 --enforcementcount 0 &gt;&gt;%USERPROFILE%\Documents\GitHub\eaglep3-reporting\EC\2017-11-04-refined-times.txt</v>
      </c>
      <c r="AI185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{"issue":{"subject":"","project_id":79,"tracker_id":40,"status_id":1,"priority_id":2,"assigned_to_id":338,"start_date":"2017-11-04","description":"","custom_fields":[{"id":1,"name":"Subdivision","value":"NW"},{"id":4,"name":"Milepost","value":"0.0787"},{"id":17,"name":"Train ID","value":"1826-04"},{"id":16,"name":"Locomotive ID","value":"4027"},{"id":130,"name":"Impact","value":""},{"id":150,"name":"Time of Event (Mountain Time)","value":"18:55:45"},{"id":151,"name":"Denver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48"/>
        <v>start /low /b %USERPROFILE%\Documents\GitHub\eaglep3\Utilities\DownloadLogsFromS3.py --loco 4027 --day 2017-11-04</v>
      </c>
      <c r="AN185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50"/>
        <v>https://d0f6bd738d7f1b3e5a7ca70fe4ff75f0.us-east-1.aws.found.io/app/kibana#/discover/Steve-Slow-Train-Analysis-(2080s-and-2083s)?_g=(refreshInterval:(display:Off,pause:!f,section:0,value:0),time:(from:'2017-11-04T17:28:45-0600',mode:absolute,to:'2017-11-04T19:55:45-0600'))&amp;_a=(columns:!('Message%20ID',Summary),filters:!(),index:'emp_*',interval:auto,query:(query_string:(analyze_wildcard:!t,query:'%22rtdc.l.rtdc.4027%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840</v>
      </c>
      <c r="B186" s="7">
        <v>4028</v>
      </c>
      <c r="C186" s="21" t="s">
        <v>192</v>
      </c>
      <c r="D186" s="21" t="s">
        <v>985</v>
      </c>
      <c r="E186" s="13">
        <v>43043.791956018518</v>
      </c>
      <c r="F186" s="13">
        <v>43043.798136574071</v>
      </c>
      <c r="G186" s="7">
        <v>70</v>
      </c>
      <c r="H186" s="21" t="s">
        <v>986</v>
      </c>
      <c r="I186" s="13">
        <v>43043.80877314815</v>
      </c>
      <c r="J186" s="7">
        <v>0</v>
      </c>
      <c r="K186" s="89" t="str">
        <f>IF(ISEVEN(B186),(B186-1)&amp;"/"&amp;B186,B186&amp;"/"&amp;(B186+1))</f>
        <v>4027/4028</v>
      </c>
      <c r="L186" s="185" t="str">
        <f>VLOOKUP(A186,'Trips&amp;Operators'!$C$1:$G$99911,5,FALSE)</f>
        <v>SMITH MICHAEL</v>
      </c>
      <c r="M186" s="6">
        <f>I186-F186</f>
        <v>1.0636574079398997E-2</v>
      </c>
      <c r="N186" s="7">
        <f>24*60*SUM($M186:$M186)</f>
        <v>15.316666674334556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-04T18:00:25-0600',mode:absolute,to:'2017-11-04T20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0.10580000000000001</v>
      </c>
      <c r="Z186" s="204">
        <f>RIGHT(H186,LEN(H186)-4)/10000</f>
        <v>5.8929</v>
      </c>
      <c r="AA186" s="204">
        <f>ABS(Z186-Y186)</f>
        <v>5.7870999999999997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1827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/stypes="app*4028*20171105*" /stext=" 01:.+((SYSTEM_STATE.+slice.+state.+changed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46"/>
        <v>"%USERPROFILE%\Documents\GitHub\eaglep3\Utilities\RefineRTDCRunTimes.py" --tripid 1827-04 --locoid 4028 --swversion DE.1.0.9.0 --startMP 204:1058 --initTime 2017-11-04T19:00:25 --startdatetime 2017-11-04T19:09:19 --delay 70 --endMP 300:58929 --enddatetime 2017-11-04T19:24:38 --enforcementcount 0 &gt;&gt;%USERPROFILE%\Documents\GitHub\eaglep3-reporting\EC\2017-11-04-refined-times.txt</v>
      </c>
      <c r="AI186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{"issue":{"subject":"","project_id":79,"tracker_id":40,"status_id":1,"priority_id":2,"assigned_to_id":338,"start_date":"2017-11-04","description":"","custom_fields":[{"id":1,"name":"Subdivision","value":"NW"},{"id":4,"name":"Milepost","value":"5.8929"},{"id":17,"name":"Train ID","value":"1827-04"},{"id":16,"name":"Locomotive ID","value":"4028"},{"id":130,"name":"Impact","value":""},{"id":150,"name":"Time of Event (Mountain Time)","value":"19:24:38"},{"id":151,"name":"Denver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48"/>
        <v>start /low /b %USERPROFILE%\Documents\GitHub\eaglep3\Utilities\DownloadLogsFromS3.py --loco 4028 --day 2017-11-04</v>
      </c>
      <c r="AN186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50"/>
        <v>https://d0f6bd738d7f1b3e5a7ca70fe4ff75f0.us-east-1.aws.found.io/app/kibana#/discover/Steve-Slow-Train-Analysis-(2080s-and-2083s)?_g=(refreshInterval:(display:Off,pause:!f,section:0,value:0),time:(from:'2017-11-04T18:00:25-0600',mode:absolute,to:'2017-11-04T20:24:38-0600'))&amp;_a=(columns:!('Message%20ID',Summary),filters:!(),index:'emp_*',interval:auto,query:(query_string:(analyze_wildcard:!t,query:'%22rtdc.l.rtdc.4028%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844</v>
      </c>
      <c r="B187" s="7">
        <v>4027</v>
      </c>
      <c r="C187" s="21" t="s">
        <v>192</v>
      </c>
      <c r="D187" s="21" t="s">
        <v>987</v>
      </c>
      <c r="E187" s="13">
        <v>43043.810104166667</v>
      </c>
      <c r="F187" s="13">
        <v>43043.820833333331</v>
      </c>
      <c r="G187" s="7">
        <v>72</v>
      </c>
      <c r="H187" s="21" t="s">
        <v>988</v>
      </c>
      <c r="I187" s="13">
        <v>43043.83016203704</v>
      </c>
      <c r="J187" s="7">
        <v>0</v>
      </c>
      <c r="K187" s="89" t="str">
        <f>IF(ISEVEN(B187),(B187-1)&amp;"/"&amp;B187,B187&amp;"/"&amp;(B187+1))</f>
        <v>4027/4028</v>
      </c>
      <c r="L187" s="185" t="str">
        <f>VLOOKUP(A187,'Trips&amp;Operators'!$C$1:$G$99911,5,FALSE)</f>
        <v>SMITH MICHAEL</v>
      </c>
      <c r="M187" s="6">
        <f>I187-F187</f>
        <v>9.3287037088884972E-3</v>
      </c>
      <c r="N187" s="7">
        <f>24*60*SUM($M187:$M187)</f>
        <v>13.433333340799436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-04T18:26:33-0600',mode:absolute,to:'2017-11-04T20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5.8613</v>
      </c>
      <c r="Z187" s="204">
        <f>RIGHT(H187,LEN(H187)-4)/10000</f>
        <v>7.8899999999999998E-2</v>
      </c>
      <c r="AA187" s="204">
        <f>ABS(Z187-Y187)</f>
        <v>5.7824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1828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/stypes="app*4027*20171105*" /stext=" 01:.+((SYSTEM_STATE.+slice.+state.+changed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46"/>
        <v>"%USERPROFILE%\Documents\GitHub\eaglep3\Utilities\RefineRTDCRunTimes.py" --tripid 1828-04 --locoid 4027 --swversion DE.1.0.9.0 --startMP 300:58613 --initTime 2017-11-04T19:26:33 --startdatetime 2017-11-04T19:42:00 --delay 72 --endMP 204:789 --enddatetime 2017-11-04T19:55:26 --enforcementcount 0 &gt;&gt;%USERPROFILE%\Documents\GitHub\eaglep3-reporting\EC\2017-11-04-refined-times.txt</v>
      </c>
      <c r="AI187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{"issue":{"subject":"","project_id":79,"tracker_id":40,"status_id":1,"priority_id":2,"assigned_to_id":338,"start_date":"2017-11-04","description":"","custom_fields":[{"id":1,"name":"Subdivision","value":"NW"},{"id":4,"name":"Milepost","value":"0.0789"},{"id":17,"name":"Train ID","value":"1828-04"},{"id":16,"name":"Locomotive ID","value":"4027"},{"id":130,"name":"Impact","value":""},{"id":150,"name":"Time of Event (Mountain Time)","value":"19:55:26"},{"id":151,"name":"Denver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48"/>
        <v>start /low /b %USERPROFILE%\Documents\GitHub\eaglep3\Utilities\DownloadLogsFromS3.py --loco 4027 --day 2017-11-04</v>
      </c>
      <c r="AN187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50"/>
        <v>https://d0f6bd738d7f1b3e5a7ca70fe4ff75f0.us-east-1.aws.found.io/app/kibana#/discover/Steve-Slow-Train-Analysis-(2080s-and-2083s)?_g=(refreshInterval:(display:Off,pause:!f,section:0,value:0),time:(from:'2017-11-04T18:26:33-0600',mode:absolute,to:'2017-11-04T20:55:26-0600'))&amp;_a=(columns:!('Message%20ID',Summary),filters:!(),index:'emp_*',interval:auto,query:(query_string:(analyze_wildcard:!t,query:'%22rtdc.l.rtdc.4027%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848</v>
      </c>
      <c r="B188" s="7">
        <v>4028</v>
      </c>
      <c r="C188" s="21" t="s">
        <v>192</v>
      </c>
      <c r="D188" s="21" t="s">
        <v>989</v>
      </c>
      <c r="E188" s="13">
        <v>43043.832037037035</v>
      </c>
      <c r="F188" s="13">
        <v>43043.839803240742</v>
      </c>
      <c r="G188" s="7">
        <v>72</v>
      </c>
      <c r="H188" s="21" t="s">
        <v>973</v>
      </c>
      <c r="I188" s="13">
        <v>43043.849560185183</v>
      </c>
      <c r="J188" s="7">
        <v>0</v>
      </c>
      <c r="K188" s="89" t="str">
        <f>IF(ISEVEN(B188),(B188-1)&amp;"/"&amp;B188,B188&amp;"/"&amp;(B188+1))</f>
        <v>4027/4028</v>
      </c>
      <c r="L188" s="185" t="str">
        <f>VLOOKUP(A188,'Trips&amp;Operators'!$C$1:$G$99911,5,FALSE)</f>
        <v>SMITH MICHAEL</v>
      </c>
      <c r="M188" s="6">
        <f>I188-F188</f>
        <v>9.7569444405962713E-3</v>
      </c>
      <c r="N188" s="7">
        <f>24*60*SUM($M188:$M188)</f>
        <v>14.049999994458631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-04T18:58:08-0600',mode:absolute,to:'2017-11-04T21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0.1079</v>
      </c>
      <c r="Z188" s="204">
        <f>RIGHT(H188,LEN(H188)-4)/10000</f>
        <v>5.8968999999999996</v>
      </c>
      <c r="AA188" s="204">
        <f>ABS(Z188-Y188)</f>
        <v>5.7889999999999997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1829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/stypes="app*4028*20171105*" /stext=" 02:.+((SYSTEM_STATE.+slice.+state.+changed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46"/>
        <v>"%USERPROFILE%\Documents\GitHub\eaglep3\Utilities\RefineRTDCRunTimes.py" --tripid 1829-04 --locoid 4028 --swversion DE.1.0.9.0 --startMP 204:1079 --initTime 2017-11-04T19:58:08 --startdatetime 2017-11-04T20:09:19 --delay 72 --endMP 300:58969 --enddatetime 2017-11-04T20:23:22 --enforcementcount 0 &gt;&gt;%USERPROFILE%\Documents\GitHub\eaglep3-reporting\EC\2017-11-04-refined-times.txt</v>
      </c>
      <c r="AI188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{"issue":{"subject":"","project_id":79,"tracker_id":40,"status_id":1,"priority_id":2,"assigned_to_id":338,"start_date":"2017-11-04","description":"","custom_fields":[{"id":1,"name":"Subdivision","value":"NW"},{"id":4,"name":"Milepost","value":"5.8969"},{"id":17,"name":"Train ID","value":"1829-04"},{"id":16,"name":"Locomotive ID","value":"4028"},{"id":130,"name":"Impact","value":""},{"id":150,"name":"Time of Event (Mountain Time)","value":"20:23:22"},{"id":151,"name":"Denver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48"/>
        <v>start /low /b %USERPROFILE%\Documents\GitHub\eaglep3\Utilities\DownloadLogsFromS3.py --loco 4028 --day 2017-11-04</v>
      </c>
      <c r="AN188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50"/>
        <v>https://d0f6bd738d7f1b3e5a7ca70fe4ff75f0.us-east-1.aws.found.io/app/kibana#/discover/Steve-Slow-Train-Analysis-(2080s-and-2083s)?_g=(refreshInterval:(display:Off,pause:!f,section:0,value:0),time:(from:'2017-11-04T18:58:08-0600',mode:absolute,to:'2017-11-04T21:23:22-0600'))&amp;_a=(columns:!('Message%20ID',Summary),filters:!(),index:'emp_*',interval:auto,query:(query_string:(analyze_wildcard:!t,query:'%22rtdc.l.rtdc.4028%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851</v>
      </c>
      <c r="B189" s="7">
        <v>4027</v>
      </c>
      <c r="C189" s="21" t="s">
        <v>192</v>
      </c>
      <c r="D189" s="21" t="s">
        <v>991</v>
      </c>
      <c r="E189" s="13">
        <v>43043.851493055554</v>
      </c>
      <c r="F189" s="13">
        <v>43043.862500000003</v>
      </c>
      <c r="G189" s="7">
        <v>77</v>
      </c>
      <c r="H189" s="21" t="s">
        <v>992</v>
      </c>
      <c r="I189" s="13">
        <v>43043.871782407405</v>
      </c>
      <c r="J189" s="7">
        <v>0</v>
      </c>
      <c r="K189" s="89" t="str">
        <f>IF(ISEVEN(B189),(B189-1)&amp;"/"&amp;B189,B189&amp;"/"&amp;(B189+1))</f>
        <v>4027/4028</v>
      </c>
      <c r="L189" s="185" t="str">
        <f>VLOOKUP(A189,'Trips&amp;Operators'!$C$1:$G$99911,5,FALSE)</f>
        <v>SMITH MICHAEL</v>
      </c>
      <c r="M189" s="6">
        <f>I189-F189</f>
        <v>9.2824074017698877E-3</v>
      </c>
      <c r="N189" s="7">
        <f>24*60*SUM($M189:$M189)</f>
        <v>13.366666658548638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-04T19:26:09-0600',mode:absolute,to:'2017-11-04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5.8658000000000001</v>
      </c>
      <c r="Z189" s="204">
        <f>RIGHT(H189,LEN(H189)-4)/10000</f>
        <v>7.7499999999999999E-2</v>
      </c>
      <c r="AA189" s="204">
        <f>ABS(Z189-Y189)</f>
        <v>5.7883000000000004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1830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/stypes="app*4027*20171105*" /stext=" 02:.+((SYSTEM_STATE.+slice.+state.+changed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46"/>
        <v>"%USERPROFILE%\Documents\GitHub\eaglep3\Utilities\RefineRTDCRunTimes.py" --tripid 1830-04 --locoid 4027 --swversion DE.1.0.9.0 --startMP 300:58658 --initTime 2017-11-04T20:26:09 --startdatetime 2017-11-04T20:42:00 --delay 77 --endMP 204:775 --enddatetime 2017-11-04T20:55:22 --enforcementcount 0 &gt;&gt;%USERPROFILE%\Documents\GitHub\eaglep3-reporting\EC\2017-11-04-refined-times.txt</v>
      </c>
      <c r="AI189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{"issue":{"subject":"","project_id":79,"tracker_id":40,"status_id":1,"priority_id":2,"assigned_to_id":338,"start_date":"2017-11-04","description":"","custom_fields":[{"id":1,"name":"Subdivision","value":"NW"},{"id":4,"name":"Milepost","value":"0.0775"},{"id":17,"name":"Train ID","value":"1830-04"},{"id":16,"name":"Locomotive ID","value":"4027"},{"id":130,"name":"Impact","value":""},{"id":150,"name":"Time of Event (Mountain Time)","value":"20:55:22"},{"id":151,"name":"Denver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48"/>
        <v>start /low /b %USERPROFILE%\Documents\GitHub\eaglep3\Utilities\DownloadLogsFromS3.py --loco 4027 --day 2017-11-04</v>
      </c>
      <c r="AN189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50"/>
        <v>https://d0f6bd738d7f1b3e5a7ca70fe4ff75f0.us-east-1.aws.found.io/app/kibana#/discover/Steve-Slow-Train-Analysis-(2080s-and-2083s)?_g=(refreshInterval:(display:Off,pause:!f,section:0,value:0),time:(from:'2017-11-04T19:26:09-0600',mode:absolute,to:'2017-11-04T21:55:22-0600'))&amp;_a=(columns:!('Message%20ID',Summary),filters:!(),index:'emp_*',interval:auto,query:(query_string:(analyze_wildcard:!t,query:'%22rtdc.l.rtdc.4027%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854</v>
      </c>
      <c r="B190" s="7">
        <v>4028</v>
      </c>
      <c r="C190" s="21" t="s">
        <v>192</v>
      </c>
      <c r="D190" s="21" t="s">
        <v>993</v>
      </c>
      <c r="E190" s="13">
        <v>43043.874988425923</v>
      </c>
      <c r="F190" s="13">
        <v>43043.881643518522</v>
      </c>
      <c r="G190" s="7">
        <v>75</v>
      </c>
      <c r="H190" s="21" t="s">
        <v>994</v>
      </c>
      <c r="I190" s="13">
        <v>43043.891631944447</v>
      </c>
      <c r="J190" s="7">
        <v>0</v>
      </c>
      <c r="K190" s="89" t="str">
        <f>IF(ISEVEN(B190),(B190-1)&amp;"/"&amp;B190,B190&amp;"/"&amp;(B190+1))</f>
        <v>4027/4028</v>
      </c>
      <c r="L190" s="185" t="str">
        <f>VLOOKUP(A190,'Trips&amp;Operators'!$C$1:$G$99911,5,FALSE)</f>
        <v>SMITH MICHAEL</v>
      </c>
      <c r="M190" s="6">
        <f>I190-F190</f>
        <v>9.9884259252576157E-3</v>
      </c>
      <c r="N190" s="7">
        <f>24*60*SUM($M190:$M190)</f>
        <v>14.383333332370967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-04T19:59:59-0600',mode:absolute,to:'2017-11-04T22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0.109</v>
      </c>
      <c r="Z190" s="204">
        <f>RIGHT(H190,LEN(H190)-4)/10000</f>
        <v>5.8940999999999999</v>
      </c>
      <c r="AA190" s="204">
        <f>ABS(Z190-Y190)</f>
        <v>5.7850999999999999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1831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/stypes="app*4028*20171105*" /stext=" 03:.+((SYSTEM_STATE.+slice.+state.+changed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46"/>
        <v>"%USERPROFILE%\Documents\GitHub\eaglep3\Utilities\RefineRTDCRunTimes.py" --tripid 1831-04 --locoid 4028 --swversion DE.1.0.9.0 --startMP 204:1090 --initTime 2017-11-04T20:59:59 --startdatetime 2017-11-04T21:09:34 --delay 75 --endMP 300:58941 --enddatetime 2017-11-04T21:23:57 --enforcementcount 0 &gt;&gt;%USERPROFILE%\Documents\GitHub\eaglep3-reporting\EC\2017-11-04-refined-times.txt</v>
      </c>
      <c r="AI190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{"issue":{"subject":"","project_id":79,"tracker_id":40,"status_id":1,"priority_id":2,"assigned_to_id":338,"start_date":"2017-11-04","description":"","custom_fields":[{"id":1,"name":"Subdivision","value":"NW"},{"id":4,"name":"Milepost","value":"5.8941"},{"id":17,"name":"Train ID","value":"1831-04"},{"id":16,"name":"Locomotive ID","value":"4028"},{"id":130,"name":"Impact","value":""},{"id":150,"name":"Time of Event (Mountain Time)","value":"21:23:57"},{"id":151,"name":"Denver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48"/>
        <v>start /low /b %USERPROFILE%\Documents\GitHub\eaglep3\Utilities\DownloadLogsFromS3.py --loco 4028 --day 2017-11-04</v>
      </c>
      <c r="AN190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50"/>
        <v>https://d0f6bd738d7f1b3e5a7ca70fe4ff75f0.us-east-1.aws.found.io/app/kibana#/discover/Steve-Slow-Train-Analysis-(2080s-and-2083s)?_g=(refreshInterval:(display:Off,pause:!f,section:0,value:0),time:(from:'2017-11-04T19:59:59-0600',mode:absolute,to:'2017-11-04T22:23:57-0600'))&amp;_a=(columns:!('Message%20ID',Summary),filters:!(),index:'emp_*',interval:auto,query:(query_string:(analyze_wildcard:!t,query:'%22rtdc.l.rtdc.4028%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857</v>
      </c>
      <c r="B191" s="7">
        <v>4027</v>
      </c>
      <c r="C191" s="21" t="s">
        <v>192</v>
      </c>
      <c r="D191" s="21" t="s">
        <v>497</v>
      </c>
      <c r="E191" s="13">
        <v>43043.892881944441</v>
      </c>
      <c r="F191" s="13">
        <v>43043.904166666667</v>
      </c>
      <c r="G191" s="7">
        <v>89</v>
      </c>
      <c r="H191" s="21" t="s">
        <v>641</v>
      </c>
      <c r="I191" s="13">
        <v>43043.91337962963</v>
      </c>
      <c r="J191" s="7">
        <v>0</v>
      </c>
      <c r="K191" s="89" t="str">
        <f>IF(ISEVEN(B191),(B191-1)&amp;"/"&amp;B191,B191&amp;"/"&amp;(B191+1))</f>
        <v>4027/4028</v>
      </c>
      <c r="L191" s="185" t="str">
        <f>VLOOKUP(A191,'Trips&amp;Operators'!$C$1:$G$99911,5,FALSE)</f>
        <v>SMITH MICHAEL</v>
      </c>
      <c r="M191" s="6">
        <f>I191-F191</f>
        <v>9.2129629629198462E-3</v>
      </c>
      <c r="N191" s="7">
        <f>24*60*SUM($M191:$M191)</f>
        <v>13.266666666604578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-04T20:25:45-0600',mode:absolute,to:'2017-11-04T22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5.8628</v>
      </c>
      <c r="Z191" s="204">
        <f>RIGHT(H191,LEN(H191)-4)/10000</f>
        <v>7.7600000000000002E-2</v>
      </c>
      <c r="AA191" s="204">
        <f>ABS(Z191-Y191)</f>
        <v>5.7851999999999997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1832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/stypes="app*4027*20171105*" /stext=" 03:.+((SYSTEM_STATE.+slice.+state.+changed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46"/>
        <v>"%USERPROFILE%\Documents\GitHub\eaglep3\Utilities\RefineRTDCRunTimes.py" --tripid 1832-04 --locoid 4027 --swversion DE.1.0.9.0 --startMP 300:58628 --initTime 2017-11-04T21:25:45 --startdatetime 2017-11-04T21:42:00 --delay 89 --endMP 204:776 --enddatetime 2017-11-04T21:55:16 --enforcementcount 0 &gt;&gt;%USERPROFILE%\Documents\GitHub\eaglep3-reporting\EC\2017-11-04-refined-times.txt</v>
      </c>
      <c r="AI191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{"issue":{"subject":"","project_id":79,"tracker_id":40,"status_id":1,"priority_id":2,"assigned_to_id":338,"start_date":"2017-11-04","description":"","custom_fields":[{"id":1,"name":"Subdivision","value":"NW"},{"id":4,"name":"Milepost","value":"0.0776"},{"id":17,"name":"Train ID","value":"1832-04"},{"id":16,"name":"Locomotive ID","value":"4027"},{"id":130,"name":"Impact","value":""},{"id":150,"name":"Time of Event (Mountain Time)","value":"21:55:16"},{"id":151,"name":"Denver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48"/>
        <v>start /low /b %USERPROFILE%\Documents\GitHub\eaglep3\Utilities\DownloadLogsFromS3.py --loco 4027 --day 2017-11-04</v>
      </c>
      <c r="AN191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50"/>
        <v>https://d0f6bd738d7f1b3e5a7ca70fe4ff75f0.us-east-1.aws.found.io/app/kibana#/discover/Steve-Slow-Train-Analysis-(2080s-and-2083s)?_g=(refreshInterval:(display:Off,pause:!f,section:0,value:0),time:(from:'2017-11-04T20:25:45-0600',mode:absolute,to:'2017-11-04T22:55:16-0600'))&amp;_a=(columns:!('Message%20ID',Summary),filters:!(),index:'emp_*',interval:auto,query:(query_string:(analyze_wildcard:!t,query:'%22rtdc.l.rtdc.4027%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859</v>
      </c>
      <c r="B192" s="7">
        <v>4028</v>
      </c>
      <c r="C192" s="21" t="s">
        <v>192</v>
      </c>
      <c r="D192" s="21" t="s">
        <v>642</v>
      </c>
      <c r="E192" s="13">
        <v>43043.915312500001</v>
      </c>
      <c r="F192" s="13">
        <v>43043.923356481479</v>
      </c>
      <c r="G192" s="7">
        <v>66</v>
      </c>
      <c r="H192" s="21" t="s">
        <v>496</v>
      </c>
      <c r="I192" s="13">
        <v>43043.933749999997</v>
      </c>
      <c r="J192" s="7">
        <v>0</v>
      </c>
      <c r="K192" s="89" t="str">
        <f>IF(ISEVEN(B192),(B192-1)&amp;"/"&amp;B192,B192&amp;"/"&amp;(B192+1))</f>
        <v>4027/4028</v>
      </c>
      <c r="L192" s="185" t="str">
        <f>VLOOKUP(A192,'Trips&amp;Operators'!$C$1:$G$99911,5,FALSE)</f>
        <v>SMITH MICHAEL</v>
      </c>
      <c r="M192" s="6">
        <f>I192-F192</f>
        <v>1.0393518517958E-2</v>
      </c>
      <c r="N192" s="7">
        <f>24*60*SUM($M192:$M192)</f>
        <v>14.96666666585952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-04T20:58:03-0600',mode:absolute,to:'2017-11-04T23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0.1069</v>
      </c>
      <c r="Z192" s="204">
        <f>RIGHT(H192,LEN(H192)-4)/10000</f>
        <v>5.8944000000000001</v>
      </c>
      <c r="AA192" s="204">
        <f>ABS(Z192-Y192)</f>
        <v>5.7874999999999996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1833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/stypes="app*4028*20171105*" /stext=" 04:.+((SYSTEM_STATE.+slice.+state.+changed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46"/>
        <v>"%USERPROFILE%\Documents\GitHub\eaglep3\Utilities\RefineRTDCRunTimes.py" --tripid 1833-04 --locoid 4028 --swversion DE.1.0.9.0 --startMP 204:1069 --initTime 2017-11-04T21:58:03 --startdatetime 2017-11-04T22:09:38 --delay 66 --endMP 300:58944 --enddatetime 2017-11-04T22:24:36 --enforcementcount 0 &gt;&gt;%USERPROFILE%\Documents\GitHub\eaglep3-reporting\EC\2017-11-04-refined-times.txt</v>
      </c>
      <c r="AI192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{"issue":{"subject":"","project_id":79,"tracker_id":40,"status_id":1,"priority_id":2,"assigned_to_id":338,"start_date":"2017-11-04","description":"","custom_fields":[{"id":1,"name":"Subdivision","value":"NW"},{"id":4,"name":"Milepost","value":"5.8944"},{"id":17,"name":"Train ID","value":"1833-04"},{"id":16,"name":"Locomotive ID","value":"4028"},{"id":130,"name":"Impact","value":""},{"id":150,"name":"Time of Event (Mountain Time)","value":"22:24:36"},{"id":151,"name":"Denver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48"/>
        <v>start /low /b %USERPROFILE%\Documents\GitHub\eaglep3\Utilities\DownloadLogsFromS3.py --loco 4028 --day 2017-11-04</v>
      </c>
      <c r="AN192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50"/>
        <v>https://d0f6bd738d7f1b3e5a7ca70fe4ff75f0.us-east-1.aws.found.io/app/kibana#/discover/Steve-Slow-Train-Analysis-(2080s-and-2083s)?_g=(refreshInterval:(display:Off,pause:!f,section:0,value:0),time:(from:'2017-11-04T20:58:03-0600',mode:absolute,to:'2017-11-04T23:24:36-0600'))&amp;_a=(columns:!('Message%20ID',Summary),filters:!(),index:'emp_*',interval:auto,query:(query_string:(analyze_wildcard:!t,query:'%22rtdc.l.rtdc.4028%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862</v>
      </c>
      <c r="B193" s="7">
        <v>4027</v>
      </c>
      <c r="C193" s="21" t="s">
        <v>192</v>
      </c>
      <c r="D193" s="21" t="s">
        <v>535</v>
      </c>
      <c r="E193" s="13">
        <v>43043.934988425928</v>
      </c>
      <c r="F193" s="13">
        <v>43043.945833333331</v>
      </c>
      <c r="G193" s="7">
        <v>84</v>
      </c>
      <c r="H193" s="21" t="s">
        <v>995</v>
      </c>
      <c r="I193" s="13">
        <v>43043.955972222226</v>
      </c>
      <c r="J193" s="7">
        <v>0</v>
      </c>
      <c r="K193" s="89" t="str">
        <f>IF(ISEVEN(B193),(B193-1)&amp;"/"&amp;B193,B193&amp;"/"&amp;(B193+1))</f>
        <v>4027/4028</v>
      </c>
      <c r="L193" s="185" t="str">
        <f>VLOOKUP(A193,'Trips&amp;Operators'!$C$1:$G$99911,5,FALSE)</f>
        <v>SMITH MICHAEL</v>
      </c>
      <c r="M193" s="6">
        <f>I193-F193</f>
        <v>1.0138888894289266E-2</v>
      </c>
      <c r="N193" s="7">
        <f>24*60*SUM($M193:$M193)</f>
        <v>14.600000007776543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-04T21:26:23-0600',mode:absolute,to:'2017-11-04T23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5.8625999999999996</v>
      </c>
      <c r="Z193" s="204">
        <f>RIGHT(H193,LEN(H193)-4)/10000</f>
        <v>7.9699999999999993E-2</v>
      </c>
      <c r="AA193" s="204">
        <f>ABS(Z193-Y193)</f>
        <v>5.7828999999999997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1834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/stypes="app*4027*20171105*" /stext=" 04:.+((SYSTEM_STATE.+slice.+state.+changed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46"/>
        <v>"%USERPROFILE%\Documents\GitHub\eaglep3\Utilities\RefineRTDCRunTimes.py" --tripid 1834-04 --locoid 4027 --swversion DE.1.0.9.0 --startMP 300:58626 --initTime 2017-11-04T22:26:23 --startdatetime 2017-11-04T22:42:00 --delay 84 --endMP 204:797 --enddatetime 2017-11-04T22:56:36 --enforcementcount 0 &gt;&gt;%USERPROFILE%\Documents\GitHub\eaglep3-reporting\EC\2017-11-04-refined-times.txt</v>
      </c>
      <c r="AI193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{"issue":{"subject":"","project_id":79,"tracker_id":40,"status_id":1,"priority_id":2,"assigned_to_id":338,"start_date":"2017-11-04","description":"","custom_fields":[{"id":1,"name":"Subdivision","value":"NW"},{"id":4,"name":"Milepost","value":"0.0797"},{"id":17,"name":"Train ID","value":"1834-04"},{"id":16,"name":"Locomotive ID","value":"4027"},{"id":130,"name":"Impact","value":""},{"id":150,"name":"Time of Event (Mountain Time)","value":"22:56:36"},{"id":151,"name":"Denver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48"/>
        <v>start /low /b %USERPROFILE%\Documents\GitHub\eaglep3\Utilities\DownloadLogsFromS3.py --loco 4027 --day 2017-11-04</v>
      </c>
      <c r="AN193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04:56:36"},{"id":29,"name":"Sharepoint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50"/>
        <v>https://d0f6bd738d7f1b3e5a7ca70fe4ff75f0.us-east-1.aws.found.io/app/kibana#/discover/Steve-Slow-Train-Analysis-(2080s-and-2083s)?_g=(refreshInterval:(display:Off,pause:!f,section:0,value:0),time:(from:'2017-11-04T21:26:23-0600',mode:absolute,to:'2017-11-04T23:56:36-0600'))&amp;_a=(columns:!('Message%20ID',Summary),filters:!(),index:'emp_*',interval:auto,query:(query_string:(analyze_wildcard:!t,query:'%22rtdc.l.rtdc.4027%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865</v>
      </c>
      <c r="B194" s="7">
        <v>4028</v>
      </c>
      <c r="C194" s="21" t="s">
        <v>192</v>
      </c>
      <c r="D194" s="21" t="s">
        <v>996</v>
      </c>
      <c r="E194" s="13">
        <v>43043.959016203706</v>
      </c>
      <c r="F194" s="13">
        <v>43043.964884259258</v>
      </c>
      <c r="G194" s="7">
        <v>56</v>
      </c>
      <c r="H194" s="21" t="s">
        <v>997</v>
      </c>
      <c r="I194" s="13">
        <v>43043.976041666669</v>
      </c>
      <c r="J194" s="7">
        <v>0</v>
      </c>
      <c r="K194" s="89" t="str">
        <f>IF(ISEVEN(B194),(B194-1)&amp;"/"&amp;B194,B194&amp;"/"&amp;(B194+1))</f>
        <v>4027/4028</v>
      </c>
      <c r="L194" s="185" t="str">
        <f>VLOOKUP(A194,'Trips&amp;Operators'!$C$1:$G$99911,5,FALSE)</f>
        <v>SMITH MICHAEL</v>
      </c>
      <c r="M194" s="6">
        <f>I194-F194</f>
        <v>1.1157407410792075E-2</v>
      </c>
      <c r="N194" s="7">
        <f>24*60*SUM($M194:$M194)</f>
        <v>16.066666671540588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-04T22:00:59-0600',mode:absolute,to:'2017-11-05T00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0.1067</v>
      </c>
      <c r="Z194" s="204">
        <f>RIGHT(H194,LEN(H194)-4)/10000</f>
        <v>5.8977000000000004</v>
      </c>
      <c r="AA194" s="204">
        <f>ABS(Z194-Y194)</f>
        <v>5.7910000000000004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1835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/stypes="app*4028*20171105*" /stext=" 05:.+((SYSTEM_STATE.+slice.+state.+changed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46"/>
        <v>"%USERPROFILE%\Documents\GitHub\eaglep3\Utilities\RefineRTDCRunTimes.py" --tripid 1835-04 --locoid 4028 --swversion DE.1.0.9.0 --startMP 204:1067 --initTime 2017-11-04T23:00:59 --startdatetime 2017-11-04T23:09:26 --delay 56 --endMP 300:58977 --enddatetime 2017-11-04T23:25:30 --enforcementcount 0 &gt;&gt;%USERPROFILE%\Documents\GitHub\eaglep3-reporting\EC\2017-11-04-refined-times.txt</v>
      </c>
      <c r="AI194" s="96" t="str">
        <f t="shared" si="47"/>
        <v>echo {"issue":{"subject":"","project_id":79,"tracker_id":40,"status_id":1,"priority_id":2,"assigned_to_id":338,"start_date":"2017-11-04","description":"","custom_fields":[{"id":1,"name":"Subdivision","value":"NW"},{"id":4,"name":"Milepost","value":"5.8977"},{"id":17,"name":"Train ID","value":"1835-04"},{"id":16,"name":"Locomotive ID","value":"4028"},{"id":130,"name":"Impact","value":""},{"id":150,"name":"Time of Event (Mountain Time)","value":"23:25:30"},{"id":151,"name":"Denver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48"/>
        <v>start /low /b %USERPROFILE%\Documents\GitHub\eaglep3\Utilities\DownloadLogsFromS3.py --loco 4028 --day 2017-11-04</v>
      </c>
      <c r="AN194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50"/>
        <v>https://d0f6bd738d7f1b3e5a7ca70fe4ff75f0.us-east-1.aws.found.io/app/kibana#/discover/Steve-Slow-Train-Analysis-(2080s-and-2083s)?_g=(refreshInterval:(display:Off,pause:!f,section:0,value:0),time:(from:'2017-11-04T22:00:59-0600',mode:absolute,to:'2017-11-05T00:25:30-0600'))&amp;_a=(columns:!('Message%20ID',Summary),filters:!(),index:'emp_*',interval:auto,query:(query_string:(analyze_wildcard:!t,query:'%22rtdc.l.rtdc.4028%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834</v>
      </c>
      <c r="B195" s="7">
        <v>4052</v>
      </c>
      <c r="C195" s="21" t="s">
        <v>192</v>
      </c>
      <c r="D195" s="21" t="s">
        <v>1025</v>
      </c>
      <c r="E195" s="13">
        <v>43043.776550925926</v>
      </c>
      <c r="F195" s="13">
        <v>43043.782465277778</v>
      </c>
      <c r="G195" s="7">
        <v>48</v>
      </c>
      <c r="H195" s="21" t="s">
        <v>1057</v>
      </c>
      <c r="I195" s="13">
        <v>43043.789386574077</v>
      </c>
      <c r="J195" s="7">
        <v>0</v>
      </c>
      <c r="K195" s="89" t="str">
        <f>IF(ISEVEN(B195),(B195-1)&amp;"/"&amp;B195,B195&amp;"/"&amp;(B195+1))</f>
        <v>4051/4052</v>
      </c>
      <c r="L195" s="185" t="str">
        <f>VLOOKUP(A195,'Trips&amp;Operators'!$C$1:$G$99911,5,FALSE)</f>
        <v>GUZMAN DANNY</v>
      </c>
      <c r="M195" s="6">
        <f>I195-F195</f>
        <v>6.921296298969537E-3</v>
      </c>
      <c r="N195" s="7">
        <f>24*60*SUM($M195:$M195)</f>
        <v>9.9666666705161333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-04T17:38:14-0600',mode:absolute,to:'2017-11-04T19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204" t="str">
        <f>IF(AA195&lt;VLOOKUP(AG195,Variables!$AC$3:$AD$8,2,FALSE),"Y","N")</f>
        <v>Y</v>
      </c>
      <c r="X195" s="204">
        <f>VALUE(LEFT(AD195,4))-VALUE(LEFT(AD194,4))</f>
        <v>-1534</v>
      </c>
      <c r="Y195" s="204">
        <f>RIGHT(D195,LEN(D195)-4)/10000</f>
        <v>5.6399999999999999E-2</v>
      </c>
      <c r="Z195" s="204">
        <f>RIGHT(H195,LEN(H195)-4)/10000</f>
        <v>2.3302</v>
      </c>
      <c r="AA195" s="204">
        <f>ABS(Z195-Y195)</f>
        <v>2.2738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301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/stypes="app*4052*20171105*"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Other</v>
      </c>
      <c r="AH195" s="78" t="str">
        <f t="shared" si="46"/>
        <v>"%USERPROFILE%\Documents\GitHub\eaglep3\Utilities\RefineRTDCRunTimes.py" --tripid 301-04 --locoid 4052 --swversion DE.1.0.9.0 --startMP 204:564 --initTime 2017-11-04T18:38:14 --startdatetime 2017-11-04T18:46:45 --delay 48 --endMP 300:23302 --enddatetime 2017-11-04T18:56:43 --enforcementcount 0 &gt;&gt;%USERPROFILE%\Documents\GitHub\eaglep3-reporting\EC\2017-11-04-refined-times.txt</v>
      </c>
      <c r="AI195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{"issue":{"subject":"","project_id":79,"tracker_id":40,"status_id":1,"priority_id":2,"assigned_to_id":338,"start_date":"2017-11-04","description":"","custom_fields":[{"id":1,"name":"Subdivision","value":"Other"},{"id":4,"name":"Milepost","value":"2.3302"},{"id":17,"name":"Train ID","value":"301-04"},{"id":16,"name":"Locomotive ID","value":"4052"},{"id":130,"name":"Impact","value":""},{"id":150,"name":"Time of Event (Mountain Time)","value":"18:56:43"},{"id":151,"name":"Denver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48"/>
        <v>start /low /b %USERPROFILE%\Documents\GitHub\eaglep3\Utilities\DownloadLogsFromS3.py --loco 4052 --day 2017-11-04</v>
      </c>
      <c r="AN195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50"/>
        <v>https://d0f6bd738d7f1b3e5a7ca70fe4ff75f0.us-east-1.aws.found.io/app/kibana#/discover/Steve-Slow-Train-Analysis-(2080s-and-2083s)?_g=(refreshInterval:(display:Off,pause:!f,section:0,value:0),time:(from:'2017-11-04T17:38:14-0600',mode:absolute,to:'2017-11-04T19:56:43-0600'))&amp;_a=(columns:!('Message%20ID',Summary),filters:!(),index:'emp_*',interval:auto,query:(query_string:(analyze_wildcard:!t,query:'%22rtdc.l.rtdc.4052%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841</v>
      </c>
      <c r="B196" s="7">
        <v>4012</v>
      </c>
      <c r="C196" s="21" t="s">
        <v>192</v>
      </c>
      <c r="D196" s="21" t="s">
        <v>613</v>
      </c>
      <c r="E196" s="13">
        <v>43043.797743055555</v>
      </c>
      <c r="F196" s="13">
        <v>43043.798958333333</v>
      </c>
      <c r="G196" s="7">
        <v>55</v>
      </c>
      <c r="H196" s="21" t="s">
        <v>494</v>
      </c>
      <c r="I196" s="13">
        <v>43043.804803240739</v>
      </c>
      <c r="J196" s="7">
        <v>0</v>
      </c>
      <c r="K196" s="89" t="str">
        <f>IF(ISEVEN(B196),(B196-1)&amp;"/"&amp;B196,B196&amp;"/"&amp;(B196+1))</f>
        <v>4011/4012</v>
      </c>
      <c r="L196" s="185" t="str">
        <f>VLOOKUP(A196,'Trips&amp;Operators'!$C$1:$G$99911,5,FALSE)</f>
        <v>BERLING GARY</v>
      </c>
      <c r="M196" s="6">
        <f>I196-F196</f>
        <v>5.8449074058444239E-3</v>
      </c>
      <c r="N196" s="7">
        <f>24*60*SUM($M196:$M196)</f>
        <v>8.4166666644159704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-04T18:08:45-0600',mode:absolute,to:'2017-11-04T20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204" t="str">
        <f>IF(AA196&lt;VLOOKUP(AG196,Variables!$AC$3:$AD$8,2,FALSE),"Y","N")</f>
        <v>Y</v>
      </c>
      <c r="X196" s="204">
        <f>VALUE(LEFT(AD196,4))-VALUE(LEFT(AD195,4))</f>
        <v>2</v>
      </c>
      <c r="Y196" s="204">
        <f>RIGHT(D196,LEN(D196)-4)/10000</f>
        <v>6.08E-2</v>
      </c>
      <c r="Z196" s="204">
        <f>RIGHT(H196,LEN(H196)-4)/10000</f>
        <v>2.3346</v>
      </c>
      <c r="AA196" s="204">
        <f>ABS(Z196-Y196)</f>
        <v>2.2738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303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/stypes="app*4012*20171105*" /stext=" 01:.+((SYSTEM_STATE.+slice.+state.+changed )|(ment ac)|(multiple cpu faults)|(system.+state.+changed )|(\[timeout)|(PRM\|1\|D)|(kpr)|(kdp)|(train st.+moving)|(\|lc)|(penalty))"</v>
      </c>
      <c r="AG196" s="182" t="str">
        <f>DetSubdiv(A196)</f>
        <v>Other</v>
      </c>
      <c r="AH196" s="78" t="str">
        <f t="shared" si="46"/>
        <v>"%USERPROFILE%\Documents\GitHub\eaglep3\Utilities\RefineRTDCRunTimes.py" --tripid 303-04 --locoid 4012 --swversion DE.1.0.9.0 --startMP 204:608 --initTime 2017-11-04T19:08:45 --startdatetime 2017-11-04T19:10:30 --delay 55 --endMP 300:23346 --enddatetime 2017-11-04T19:18:55 --enforcementcount 0 &gt;&gt;%USERPROFILE%\Documents\GitHub\eaglep3-reporting\EC\2017-11-04-refined-times.txt</v>
      </c>
      <c r="AI196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{"issue":{"subject":"","project_id":79,"tracker_id":40,"status_id":1,"priority_id":2,"assigned_to_id":338,"start_date":"2017-11-04","description":"","custom_fields":[{"id":1,"name":"Subdivision","value":"Other"},{"id":4,"name":"Milepost","value":"2.3346"},{"id":17,"name":"Train ID","value":"303-04"},{"id":16,"name":"Locomotive ID","value":"4012"},{"id":130,"name":"Impact","value":""},{"id":150,"name":"Time of Event (Mountain Time)","value":"19:18:55"},{"id":151,"name":"Denver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48"/>
        <v>start /low /b %USERPROFILE%\Documents\GitHub\eaglep3\Utilities\DownloadLogsFromS3.py --loco 4012 --day 2017-11-04</v>
      </c>
      <c r="AN196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50"/>
        <v>https://d0f6bd738d7f1b3e5a7ca70fe4ff75f0.us-east-1.aws.found.io/app/kibana#/discover/Steve-Slow-Train-Analysis-(2080s-and-2083s)?_g=(refreshInterval:(display:Off,pause:!f,section:0,value:0),time:(from:'2017-11-04T18:08:45-0600',mode:absolute,to:'2017-11-04T20:18:55-0600'))&amp;_a=(columns:!('Message%20ID',Summary),filters:!(),index:'emp_*',interval:auto,query:(query_string:(analyze_wildcard:!t,query:'%22rtdc.l.rtdc.4012%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677</v>
      </c>
      <c r="B197" s="7">
        <v>4035</v>
      </c>
      <c r="C197" s="21" t="s">
        <v>192</v>
      </c>
      <c r="D197" s="21" t="s">
        <v>1058</v>
      </c>
      <c r="E197" s="13">
        <v>43043.161990740744</v>
      </c>
      <c r="F197" s="13">
        <v>43043.167592592596</v>
      </c>
      <c r="G197" s="7">
        <v>273</v>
      </c>
      <c r="H197" s="21" t="s">
        <v>900</v>
      </c>
      <c r="I197" s="13">
        <v>43043.173414351855</v>
      </c>
      <c r="J197" s="7">
        <v>0</v>
      </c>
      <c r="K197" s="89" t="str">
        <f>IF(ISEVEN(B197),(B197-1)&amp;"/"&amp;B197,B197&amp;"/"&amp;(B197+1))</f>
        <v>4035/4036</v>
      </c>
      <c r="L197" s="185" t="str">
        <f>VLOOKUP(A197,'Trips&amp;Operators'!$C$1:$G$99911,5,FALSE)</f>
        <v>PAGE MARCUS</v>
      </c>
      <c r="M197" s="6">
        <f>I197-F197</f>
        <v>5.8217592595610768E-3</v>
      </c>
      <c r="N197" s="7">
        <f>24*60*SUM($M197:$M197)</f>
        <v>8.3833333337679505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-04T02:53:16-0600',mode:absolute,to:'2017-11-04T05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2.3285999999999998</v>
      </c>
      <c r="Z197" s="204">
        <f>RIGHT(H197,LEN(H197)-4)/10000</f>
        <v>1.41E-2</v>
      </c>
      <c r="AA197" s="204">
        <f>ABS(Z197-Y197)</f>
        <v>2.3144999999999998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304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 &amp; aws s3 cp s3://rtdc.mdm.uploadarchive.raw/RTDC4035/ "%USERPROFILE%\AppData\Local\Temp\OnboardLogs"\RTDC4035\2017-11-05 --exclude "*" --recursive --include "*20171105*" &amp; "%USERPROFILE%\Documents\GitHub\mrs-test-scripts\Headless Mode &amp; Sideloading\WalkAndUnGZ.bat" "%USERPROFILE%\AppData\Local\Temp\OnboardLogs"\RTDC4035\2017-11-05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/stypes="app*4035*20171104*" /stext=" 10:.+((SYSTEM_STATE.+slice.+state.+changed )|(ment ac)|(multiple cpu faults)|(system.+state.+changed )|(\[timeout)|(PRM\|1\|D)|(kpr)|(kdp)|(train st.+moving)|(\|lc)|(penalty))"</v>
      </c>
      <c r="AG197" s="182" t="str">
        <f>DetSubdiv(A197)</f>
        <v>Other</v>
      </c>
      <c r="AH197" s="78" t="str">
        <f t="shared" si="46"/>
        <v>"%USERPROFILE%\Documents\GitHub\eaglep3\Utilities\RefineRTDCRunTimes.py" --tripid 304-04 --locoid 4035 --swversion DE.1.0.9.0 --startMP 300:23286 --initTime 2017-11-04T03:53:16 --startdatetime 2017-11-04T04:01:20 --delay 273 --endMP 204:141 --enddatetime 2017-11-04T04:09:43 --enforcementcount 0 &gt;&gt;%USERPROFILE%\Documents\GitHub\eaglep3-reporting\EC\2017-11-04-refined-times.txt</v>
      </c>
      <c r="AI197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{"issue":{"subject":"","project_id":79,"tracker_id":40,"status_id":1,"priority_id":2,"assigned_to_id":338,"start_date":"2017-11-04","description":"","custom_fields":[{"id":1,"name":"Subdivision","value":"Other"},{"id":4,"name":"Milepost","value":"0.0141"},{"id":17,"name":"Train ID","value":"304-04"},{"id":16,"name":"Locomotive ID","value":"4035"},{"id":130,"name":"Impact","value":""},{"id":150,"name":"Time of Event (Mountain Time)","value":"04:09:43"},{"id":151,"name":"Denver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48"/>
        <v>start /low /b %USERPROFILE%\Documents\GitHub\eaglep3\Utilities\DownloadLogsFromS3.py --loco 4035 --day 2017-11-04</v>
      </c>
      <c r="AN197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50"/>
        <v>https://d0f6bd738d7f1b3e5a7ca70fe4ff75f0.us-east-1.aws.found.io/app/kibana#/discover/Steve-Slow-Train-Analysis-(2080s-and-2083s)?_g=(refreshInterval:(display:Off,pause:!f,section:0,value:0),time:(from:'2017-11-04T02:53:16-0600',mode:absolute,to:'2017-11-04T05:09:43-0600'))&amp;_a=(columns:!('Message%20ID',Summary),filters:!(),index:'emp_*',interval:auto,query:(query_string:(analyze_wildcard:!t,query:'%22rtdc.l.rtdc.4035%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845</v>
      </c>
      <c r="B198" s="7">
        <v>4066</v>
      </c>
      <c r="C198" s="21" t="s">
        <v>192</v>
      </c>
      <c r="D198" s="21" t="s">
        <v>492</v>
      </c>
      <c r="E198" s="13">
        <v>43043.819421296299</v>
      </c>
      <c r="F198" s="13">
        <v>43043.821122685185</v>
      </c>
      <c r="G198" s="7">
        <v>61</v>
      </c>
      <c r="H198" s="21" t="s">
        <v>494</v>
      </c>
      <c r="I198" s="13">
        <v>43043.830312500002</v>
      </c>
      <c r="J198" s="7">
        <v>0</v>
      </c>
      <c r="K198" s="89" t="str">
        <f>IF(ISEVEN(B198),(B198-1)&amp;"/"&amp;B198,B198&amp;"/"&amp;(B198+1))</f>
        <v>4065/4066</v>
      </c>
      <c r="L198" s="185" t="str">
        <f>VLOOKUP(A198,'Trips&amp;Operators'!$C$1:$G$99911,5,FALSE)</f>
        <v>STRICKLAND EVAN</v>
      </c>
      <c r="M198" s="6">
        <f>I198-F198</f>
        <v>9.189814816636499E-3</v>
      </c>
      <c r="N198" s="7">
        <f>24*60*SUM($M198:$M198)</f>
        <v>13.233333335956559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-04T18:39:58-0600',mode:absolute,to:'2017-11-04T20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8" s="204" t="str">
        <f>IF(AA198&lt;VLOOKUP(AG198,Variables!$AC$3:$AD$8,2,FALSE),"Y","N")</f>
        <v>Y</v>
      </c>
      <c r="X198" s="204">
        <f>VALUE(LEFT(AD198,4))-VALUE(LEFT(AD197,4))</f>
        <v>1</v>
      </c>
      <c r="Y198" s="204">
        <f>RIGHT(D198,LEN(D198)-4)/10000</f>
        <v>5.5899999999999998E-2</v>
      </c>
      <c r="Z198" s="204">
        <f>RIGHT(H198,LEN(H198)-4)/10000</f>
        <v>2.3346</v>
      </c>
      <c r="AA198" s="204">
        <f>ABS(Z198-Y198)</f>
        <v>2.2787000000000002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305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/stypes="app*4066*20171105*"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Other</v>
      </c>
      <c r="AH198" s="78" t="str">
        <f t="shared" si="46"/>
        <v>"%USERPROFILE%\Documents\GitHub\eaglep3\Utilities\RefineRTDCRunTimes.py" --tripid 305-04 --locoid 4066 --swversion DE.1.0.9.0 --startMP 204:559 --initTime 2017-11-04T19:39:58 --startdatetime 2017-11-04T19:42:25 --delay 61 --endMP 300:23346 --enddatetime 2017-11-04T19:55:39 --enforcementcount 0 &gt;&gt;%USERPROFILE%\Documents\GitHub\eaglep3-reporting\EC\2017-11-04-refined-times.txt</v>
      </c>
      <c r="AI198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{"issue":{"subject":"","project_id":79,"tracker_id":40,"status_id":1,"priority_id":2,"assigned_to_id":338,"start_date":"2017-11-04","description":"","custom_fields":[{"id":1,"name":"Subdivision","value":"Other"},{"id":4,"name":"Milepost","value":"2.3346"},{"id":17,"name":"Train ID","value":"305-04"},{"id":16,"name":"Locomotive ID","value":"4066"},{"id":130,"name":"Impact","value":""},{"id":150,"name":"Time of Event (Mountain Time)","value":"19:55:39"},{"id":151,"name":"Denver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48"/>
        <v>start /low /b %USERPROFILE%\Documents\GitHub\eaglep3\Utilities\DownloadLogsFromS3.py --loco 4066 --day 2017-11-04</v>
      </c>
      <c r="AN198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50"/>
        <v>https://d0f6bd738d7f1b3e5a7ca70fe4ff75f0.us-east-1.aws.found.io/app/kibana#/discover/Steve-Slow-Train-Analysis-(2080s-and-2083s)?_g=(refreshInterval:(display:Off,pause:!f,section:0,value:0),time:(from:'2017-11-04T18:39:58-0600',mode:absolute,to:'2017-11-04T20:55:39-0600'))&amp;_a=(columns:!('Message%20ID',Summary),filters:!(),index:'emp_*',interval:auto,query:(query_string:(analyze_wildcard:!t,query:'%22rtdc.l.rtdc.4066%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680</v>
      </c>
      <c r="B199" s="7">
        <v>4045</v>
      </c>
      <c r="C199" s="21" t="s">
        <v>192</v>
      </c>
      <c r="D199" s="21" t="s">
        <v>1059</v>
      </c>
      <c r="E199" s="13">
        <v>43043.172662037039</v>
      </c>
      <c r="F199" s="13">
        <v>43043.177164351851</v>
      </c>
      <c r="G199" s="7">
        <v>83</v>
      </c>
      <c r="H199" s="21" t="s">
        <v>911</v>
      </c>
      <c r="I199" s="13">
        <v>43043.184583333335</v>
      </c>
      <c r="J199" s="7">
        <v>0</v>
      </c>
      <c r="K199" s="89" t="str">
        <f>IF(ISEVEN(B199),(B199-1)&amp;"/"&amp;B199,B199&amp;"/"&amp;(B199+1))</f>
        <v>4045/4046</v>
      </c>
      <c r="L199" s="185" t="str">
        <f>VLOOKUP(A199,'Trips&amp;Operators'!$C$1:$G$99911,5,FALSE)</f>
        <v>GEBRETEKLE DAGNEW</v>
      </c>
      <c r="M199" s="6">
        <f>I199-F199</f>
        <v>7.4189814840792678E-3</v>
      </c>
      <c r="N199" s="7">
        <f>24*60*SUM($M199:$M199)</f>
        <v>10.683333337074146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-04T03:08:38-0600',mode:absolute,to:'2017-11-04T05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2.3656000000000001</v>
      </c>
      <c r="Z199" s="204">
        <f>RIGHT(H199,LEN(H199)-4)/10000</f>
        <v>1.9199999999999998E-2</v>
      </c>
      <c r="AA199" s="204">
        <f>ABS(Z199-Y199)</f>
        <v>2.3464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306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 &amp; aws s3 cp s3://rtdc.mdm.uploadarchive.raw/RTDC4045/ "%USERPROFILE%\AppData\Local\Temp\OnboardLogs"\RTDC4045\2017-11-05 --exclude "*" --recursive --include "*20171105*" &amp; "%USERPROFILE%\Documents\GitHub\mrs-test-scripts\Headless Mode &amp; Sideloading\WalkAndUnGZ.bat" "%USERPROFILE%\AppData\Local\Temp\OnboardLogs"\RTDC4045\2017-11-05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/stypes="app*4045*20171104*" /stext=" 10:.+((SYSTEM_STATE.+slice.+state.+changed )|(ment ac)|(multiple cpu faults)|(system.+state.+changed )|(\[timeout)|(PRM\|1\|D)|(kpr)|(kdp)|(train st.+moving)|(\|lc)|(penalty))"</v>
      </c>
      <c r="AG199" s="182" t="str">
        <f>DetSubdiv(A199)</f>
        <v>Other</v>
      </c>
      <c r="AH199" s="78" t="str">
        <f t="shared" si="46"/>
        <v>"%USERPROFILE%\Documents\GitHub\eaglep3\Utilities\RefineRTDCRunTimes.py" --tripid 306-04 --locoid 4045 --swversion DE.1.0.9.0 --startMP 300:23656 --initTime 2017-11-04T04:08:38 --startdatetime 2017-11-04T04:15:07 --delay 83 --endMP 204:192 --enddatetime 2017-11-04T04:25:48 --enforcementcount 0 &gt;&gt;%USERPROFILE%\Documents\GitHub\eaglep3-reporting\EC\2017-11-04-refined-times.txt</v>
      </c>
      <c r="AI199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{"issue":{"subject":"","project_id":79,"tracker_id":40,"status_id":1,"priority_id":2,"assigned_to_id":338,"start_date":"2017-11-04","description":"","custom_fields":[{"id":1,"name":"Subdivision","value":"Other"},{"id":4,"name":"Milepost","value":"0.0192"},{"id":17,"name":"Train ID","value":"306-04"},{"id":16,"name":"Locomotive ID","value":"4045"},{"id":130,"name":"Impact","value":""},{"id":150,"name":"Time of Event (Mountain Time)","value":"04:25:48"},{"id":151,"name":"Denver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48"/>
        <v>start /low /b %USERPROFILE%\Documents\GitHub\eaglep3\Utilities\DownloadLogsFromS3.py --loco 4045 --day 2017-11-04</v>
      </c>
      <c r="AN199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50"/>
        <v>https://d0f6bd738d7f1b3e5a7ca70fe4ff75f0.us-east-1.aws.found.io/app/kibana#/discover/Steve-Slow-Train-Analysis-(2080s-and-2083s)?_g=(refreshInterval:(display:Off,pause:!f,section:0,value:0),time:(from:'2017-11-04T03:08:38-0600',mode:absolute,to:'2017-11-04T05:25:48-0600'))&amp;_a=(columns:!('Message%20ID',Summary),filters:!(),index:'emp_*',interval:auto,query:(query_string:(analyze_wildcard:!t,query:'%22rtdc.l.rtdc.4045%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875</v>
      </c>
      <c r="B200" s="7">
        <v>4020</v>
      </c>
      <c r="C200" s="21" t="s">
        <v>192</v>
      </c>
      <c r="D200" s="21" t="s">
        <v>590</v>
      </c>
      <c r="E200" s="13">
        <v>43044.046041666668</v>
      </c>
      <c r="F200" s="13">
        <v>25568.708333333332</v>
      </c>
      <c r="G200" s="7">
        <v>68</v>
      </c>
      <c r="H200" s="21" t="s">
        <v>1060</v>
      </c>
      <c r="I200" s="13">
        <v>25568.708333333332</v>
      </c>
      <c r="J200" s="7">
        <v>0</v>
      </c>
      <c r="K200" s="89" t="str">
        <f>IF(ISEVEN(B200),(B200-1)&amp;"/"&amp;B200,B200&amp;"/"&amp;(B200+1))</f>
        <v>4019/4020</v>
      </c>
      <c r="L200" s="185" t="str">
        <f>VLOOKUP(A200,'Trips&amp;Operators'!$C$1:$G$99911,5,FALSE)</f>
        <v>FORTUNATO FRANK</v>
      </c>
      <c r="M200" s="6">
        <f>I200-F200</f>
        <v>0</v>
      </c>
      <c r="N200" s="7">
        <f>24*60*SUM($M200:$M200)</f>
        <v>0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-05T00:06:18-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204" t="str">
        <f>IF(AA200&lt;VLOOKUP(AG200,Variables!$AC$3:$AD$8,2,FALSE),"Y","N")</f>
        <v>Y</v>
      </c>
      <c r="X200" s="204">
        <f>VALUE(LEFT(AD200,4))-VALUE(LEFT(AD199,4))</f>
        <v>1</v>
      </c>
      <c r="Y200" s="204">
        <f>RIGHT(D200,LEN(D200)-4)/10000</f>
        <v>5.0799999999999998E-2</v>
      </c>
      <c r="Z200" s="204">
        <f>RIGHT(H200,LEN(H200)-4)/10000</f>
        <v>2.6876000000000002</v>
      </c>
      <c r="AA200" s="204">
        <f>ABS(Z200-Y200)</f>
        <v>2.6368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307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)|(\[timeout)|(PRM\|1\|D)|(kpr)|(kdp)|(train st.+moving)|(\|lc)|(penalty))"</v>
      </c>
      <c r="AG200" s="182" t="str">
        <f>DetSubdiv(A200)</f>
        <v>Other</v>
      </c>
      <c r="AH200" s="78" t="str">
        <f t="shared" si="46"/>
        <v>"%USERPROFILE%\Documents\GitHub\eaglep3\Utilities\RefineRTDCRunTimes.py" --tripid 307-04 --locoid 4020 --swversion DE.1.0.9.0 --startMP 204:508 --initTime 2017-11-05T01:06:18 --startdatetime 1969-12-31T17:00:00 --delay 68 --endMP 300:26876 --enddatetime 1969-12-31T17:00:00 --enforcementcount 0 &gt;&gt;%USERPROFILE%\Documents\GitHub\eaglep3-reporting\EC\2017-11-04-refined-times.txt</v>
      </c>
      <c r="AI200" s="96" t="str">
        <f t="shared" si="47"/>
        <v>echo {"issue":{"subject":"","project_id":79,"tracker_id":40,"status_id":1,"priority_id":2,"assigned_to_id":338,"start_date":"1969-12-31","description":"","custom_fields":[{"id":1,"name":"Subdivision","value":"Other"},{"id":4,"name":"Milepost","value":"2.6876"},{"id":17,"name":"Train ID","value":"307-04"},{"id":16,"name":"Locomotive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48"/>
        <v>start /low /b %USERPROFILE%\Documents\GitHub\eaglep3\Utilities\DownloadLogsFromS3.py --loco 4020 --day 1969-12-31</v>
      </c>
      <c r="AN200" s="151" t="str">
        <f t="shared" si="4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50"/>
        <v>https://d0f6bd738d7f1b3e5a7ca70fe4ff75f0.us-east-1.aws.found.io/app/kibana#/discover/Steve-Slow-Train-Analysis-(2080s-and-2083s)?_g=(refreshInterval:(display:Off,pause:!f,section:0,value:0),time:(from:'2017-11-05T00:06:18-0600',mode:absolute,to:'1969-12-31T18:00:00-0600'))&amp;_a=(columns:!('Message%20ID',Summary),filters:!(),index:'emp_*',interval:auto,query:(query_string:(analyze_wildcard:!t,query:'%22rtdc.l.rtdc.4020%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648</v>
      </c>
      <c r="B201" s="7">
        <v>4015</v>
      </c>
      <c r="C201" s="21" t="s">
        <v>192</v>
      </c>
      <c r="D201" s="21" t="s">
        <v>1061</v>
      </c>
      <c r="E201" s="13">
        <v>43043.175451388888</v>
      </c>
      <c r="F201" s="13">
        <v>43043.1797337963</v>
      </c>
      <c r="G201" s="7">
        <v>98</v>
      </c>
      <c r="H201" s="21" t="s">
        <v>1062</v>
      </c>
      <c r="I201" s="13">
        <v>43043.185532407406</v>
      </c>
      <c r="J201" s="7">
        <v>0</v>
      </c>
      <c r="K201" s="89" t="str">
        <f>IF(ISEVEN(B201),(B201-1)&amp;"/"&amp;B201,B201&amp;"/"&amp;(B201+1))</f>
        <v>4015/4016</v>
      </c>
      <c r="L201" s="185" t="str">
        <f>VLOOKUP(A201,'Trips&amp;Operators'!$C$1:$G$99911,5,FALSE)</f>
        <v>BROWN JACOB</v>
      </c>
      <c r="M201" s="6">
        <f>I201-F201</f>
        <v>5.798611106001772E-3</v>
      </c>
      <c r="N201" s="7">
        <f>24*60*SUM($M201:$M201)</f>
        <v>8.3499999926425517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-04T03:12:39-0600',mode:absolute,to:'2017-11-04T05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>IF(AA201&lt;VLOOKUP(AG201,Variables!$AC$3:$AD$8,2,FALSE),"Y","N")</f>
        <v>Y</v>
      </c>
      <c r="X201" s="204">
        <f>VALUE(LEFT(AD201,4))-VALUE(LEFT(AD200,4))</f>
        <v>1</v>
      </c>
      <c r="Y201" s="204">
        <f>RIGHT(D201,LEN(D201)-4)/10000</f>
        <v>2.3380999999999998</v>
      </c>
      <c r="Z201" s="204">
        <f>RIGHT(H201,LEN(H201)-4)/10000</f>
        <v>0.45760000000000001</v>
      </c>
      <c r="AA201" s="204">
        <f>ABS(Z201-Y201)</f>
        <v>1.8804999999999998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308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/stypes="app*4015*20171104*" /stext=" 10:.+((SYSTEM_STATE.+slice.+state.+changed )|(ment ac)|(multiple cpu faults)|(system.+state.+changed )|(\[timeout)|(PRM\|1\|D)|(kpr)|(kdp)|(train st.+moving)|(\|lc)|(penalty))"</v>
      </c>
      <c r="AG201" s="182" t="str">
        <f>DetSubdiv(A201)</f>
        <v>Other</v>
      </c>
      <c r="AH201" s="78" t="str">
        <f t="shared" si="46"/>
        <v>"%USERPROFILE%\Documents\GitHub\eaglep3\Utilities\RefineRTDCRunTimes.py" --tripid 308-04 --locoid 4015 --swversion DE.1.0.9.0 --startMP 300:23381 --initTime 2017-11-04T04:12:39 --startdatetime 2017-11-04T04:18:49 --delay 98 --endMP 204:4576 --enddatetime 2017-11-04T04:27:10 --enforcementcount 0 &gt;&gt;%USERPROFILE%\Documents\GitHub\eaglep3-reporting\EC\2017-11-04-refined-times.txt</v>
      </c>
      <c r="AI201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{"issue":{"subject":"","project_id":79,"tracker_id":40,"status_id":1,"priority_id":2,"assigned_to_id":338,"start_date":"2017-11-04","description":"","custom_fields":[{"id":1,"name":"Subdivision","value":"Other"},{"id":4,"name":"Milepost","value":"0.4576"},{"id":17,"name":"Train ID","value":"308-04"},{"id":16,"name":"Locomotive ID","value":"4015"},{"id":130,"name":"Impact","value":""},{"id":150,"name":"Time of Event (Mountain Time)","value":"04:27:10"},{"id":151,"name":"Denver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48"/>
        <v>start /low /b %USERPROFILE%\Documents\GitHub\eaglep3\Utilities\DownloadLogsFromS3.py --loco 4015 --day 2017-11-04</v>
      </c>
      <c r="AN201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50"/>
        <v>https://d0f6bd738d7f1b3e5a7ca70fe4ff75f0.us-east-1.aws.found.io/app/kibana#/discover/Steve-Slow-Train-Analysis-(2080s-and-2083s)?_g=(refreshInterval:(display:Off,pause:!f,section:0,value:0),time:(from:'2017-11-04T03:12:39-0600',mode:absolute,to:'2017-11-04T05:27:10-0600'))&amp;_a=(columns:!('Message%20ID',Summary),filters:!(),index:'emp_*',interval:auto,query:(query_string:(analyze_wildcard:!t,query:'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876</v>
      </c>
      <c r="B202" s="7">
        <v>4036</v>
      </c>
      <c r="C202" s="21" t="s">
        <v>192</v>
      </c>
      <c r="D202" s="21" t="s">
        <v>525</v>
      </c>
      <c r="E202" s="13">
        <v>43044.065648148149</v>
      </c>
      <c r="F202" s="13">
        <v>25568.708333333332</v>
      </c>
      <c r="G202" s="7">
        <v>68</v>
      </c>
      <c r="H202" s="21" t="s">
        <v>1063</v>
      </c>
      <c r="I202" s="13">
        <v>25568.708333333332</v>
      </c>
      <c r="J202" s="7">
        <v>0</v>
      </c>
      <c r="K202" s="89" t="str">
        <f>IF(ISEVEN(B202),(B202-1)&amp;"/"&amp;B202,B202&amp;"/"&amp;(B202+1))</f>
        <v>4035/4036</v>
      </c>
      <c r="L202" s="185" t="str">
        <f>VLOOKUP(A202,'Trips&amp;Operators'!$C$1:$G$99911,5,FALSE)</f>
        <v>ELBAUM MIKE</v>
      </c>
      <c r="M202" s="6">
        <f>I202-F202</f>
        <v>0</v>
      </c>
      <c r="N202" s="7">
        <f>24*60*SUM($M202:$M202)</f>
        <v>0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-05T00:34:32-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2" s="204" t="str">
        <f>IF(AA202&lt;VLOOKUP(AG202,Variables!$AC$3:$AD$8,2,FALSE),"Y","N")</f>
        <v>Y</v>
      </c>
      <c r="X202" s="204">
        <f>VALUE(LEFT(AD202,4))-VALUE(LEFT(AD201,4))</f>
        <v>1</v>
      </c>
      <c r="Y202" s="204">
        <f>RIGHT(D202,LEN(D202)-4)/10000</f>
        <v>5.3999999999999999E-2</v>
      </c>
      <c r="Z202" s="204">
        <f>RIGHT(H202,LEN(H202)-4)/10000</f>
        <v>2.3311999999999999</v>
      </c>
      <c r="AA202" s="204">
        <f>ABS(Z202-Y202)</f>
        <v>2.2772000000000001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309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s3://rtdc.mdm.uploadarchive.raw/RTDC4036/ "%USERPROFILE%\AppData\Local\Temp\OnboardLogs"\RTDC4036\1969-12-31 --exclude "*" --recursive --include "*19691231*" &amp; "%USERPROFILE%\Documents\GitHub\mrs-test-scripts\Headless Mode &amp; Sideloading\WalkAndUnGZ.bat" "%USERPROFILE%\AppData\Local\Temp\OnboardLogs"\RTDC4036\1969-12-31 &amp; aws s3 cp s3://rtdc.mdm.uploadarchive.raw/RTDC4036/ "%USERPROFILE%\AppData\Local\Temp\OnboardLogs"\RTDC4036\1970-01-01 --exclude "*" --recursive --include "*19700101*" &amp; "%USERPROFILE%\Documents\GitHub\mrs-test-scripts\Headless Mode &amp; Sideloading\WalkAndUnGZ.bat" "%USERPROFILE%\AppData\Local\Temp\OnboardLogs"\RTDC4036\1970-01-01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/stypes="app*4036*19691231*" /stext=" 23:.+((SYSTEM_STATE.+slice.+state.+changed )|(ment ac)|(multiple cpu faults)|(system.+state.+changed )|(\[timeout)|(PRM\|1\|D)|(kpr)|(kdp)|(train st.+moving)|(\|lc)|(penalty))"</v>
      </c>
      <c r="AG202" s="182" t="str">
        <f>DetSubdiv(A202)</f>
        <v>Other</v>
      </c>
      <c r="AH202" s="78" t="str">
        <f t="shared" si="46"/>
        <v>"%USERPROFILE%\Documents\GitHub\eaglep3\Utilities\RefineRTDCRunTimes.py" --tripid 309-04 --locoid 4036 --swversion DE.1.0.9.0 --startMP 204:540 --initTime 2017-11-05T01:34:32 --startdatetime 1969-12-31T17:00:00 --delay 68 --endMP 300:23312 --enddatetime 1969-12-31T17:00:00 --enforcementcount 0 &gt;&gt;%USERPROFILE%\Documents\GitHub\eaglep3-reporting\EC\2017-11-04-refined-times.txt</v>
      </c>
      <c r="AI202" s="96" t="str">
        <f t="shared" si="47"/>
        <v>echo {"issue":{"subject":"","project_id":79,"tracker_id":40,"status_id":1,"priority_id":2,"assigned_to_id":338,"start_date":"1969-12-31","description":"","custom_fields":[{"id":1,"name":"Subdivision","value":"Other"},{"id":4,"name":"Milepost","value":"2.3312"},{"id":17,"name":"Train ID","value":"309-04"},{"id":16,"name":"Locomotive ID","value":"4036"},{"id":130,"name":"Impact","value":""},{"id":150,"name":"Time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48"/>
        <v>start /low /b %USERPROFILE%\Documents\GitHub\eaglep3\Utilities\DownloadLogsFromS3.py --loco 4036 --day 1969-12-31</v>
      </c>
      <c r="AN202" s="151" t="str">
        <f t="shared" si="4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50"/>
        <v>https://d0f6bd738d7f1b3e5a7ca70fe4ff75f0.us-east-1.aws.found.io/app/kibana#/discover/Steve-Slow-Train-Analysis-(2080s-and-2083s)?_g=(refreshInterval:(display:Off,pause:!f,section:0,value:0),time:(from:'2017-11-05T00:34:32-0600',mode:absolute,to:'1969-12-31T18:00:00-0600'))&amp;_a=(columns:!('Message%20ID',Summary),filters:!(),index:'emp_*',interval:auto,query:(query_string:(analyze_wildcard:!t,query:'%22rtdc.l.rtdc.4036%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691</v>
      </c>
      <c r="B203" s="7">
        <v>4011</v>
      </c>
      <c r="C203" s="21" t="s">
        <v>192</v>
      </c>
      <c r="D203" s="21" t="s">
        <v>636</v>
      </c>
      <c r="E203" s="13">
        <v>43043.199467592596</v>
      </c>
      <c r="F203" s="13">
        <v>43043.201921296299</v>
      </c>
      <c r="G203" s="7">
        <v>75</v>
      </c>
      <c r="H203" s="21" t="s">
        <v>611</v>
      </c>
      <c r="I203" s="13">
        <v>43043.208171296297</v>
      </c>
      <c r="J203" s="7">
        <v>0</v>
      </c>
      <c r="K203" s="89" t="str">
        <f>IF(ISEVEN(B203),(B203-1)&amp;"/"&amp;B203,B203&amp;"/"&amp;(B203+1))</f>
        <v>4011/4012</v>
      </c>
      <c r="L203" s="185" t="str">
        <f>VLOOKUP(A203,'Trips&amp;Operators'!$C$1:$G$99911,5,FALSE)</f>
        <v>MACDONALD THOMAS</v>
      </c>
      <c r="M203" s="6">
        <f>I203-F203</f>
        <v>6.2499999985448085E-3</v>
      </c>
      <c r="N203" s="7">
        <f>24*60*SUM($M203:$M203)</f>
        <v>8.9999999979045242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-04T03:47:14-0600',mode:absolute,to:'2017-11-04T05:59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204" t="str">
        <f>IF(AA203&lt;VLOOKUP(AG203,Variables!$AC$3:$AD$8,2,FALSE),"Y","N")</f>
        <v>Y</v>
      </c>
      <c r="X203" s="204">
        <f>VALUE(LEFT(AD203,4))-VALUE(LEFT(AD202,4))</f>
        <v>1</v>
      </c>
      <c r="Y203" s="204">
        <f>RIGHT(D203,LEN(D203)-4)/10000</f>
        <v>2.3454999999999999</v>
      </c>
      <c r="Z203" s="204">
        <f>RIGHT(H203,LEN(H203)-4)/10000</f>
        <v>2.1100000000000001E-2</v>
      </c>
      <c r="AA203" s="204">
        <f>ABS(Z203-Y203)</f>
        <v>2.3243999999999998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310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/stypes="app*4011*20171104*" /stext=" 10:.+((SYSTEM_STATE.+slice.+state.+changed )|(ment ac)|(multiple cpu faults)|(system.+state.+changed )|(\[timeout)|(PRM\|1\|D)|(kpr)|(kdp)|(train st.+moving)|(\|lc)|(penalty))"</v>
      </c>
      <c r="AG203" s="182" t="str">
        <f>DetSubdiv(A203)</f>
        <v>Other</v>
      </c>
      <c r="AH203" s="78" t="str">
        <f t="shared" si="46"/>
        <v>"%USERPROFILE%\Documents\GitHub\eaglep3\Utilities\RefineRTDCRunTimes.py" --tripid 310-04 --locoid 4011 --swversion DE.1.0.9.0 --startMP 300:23455 --initTime 2017-11-04T04:47:14 --startdatetime 2017-11-04T04:50:46 --delay 75 --endMP 204:211 --enddatetime 2017-11-04T04:59:46 --enforcementcount 0 &gt;&gt;%USERPROFILE%\Documents\GitHub\eaglep3-reporting\EC\2017-11-04-refined-times.txt</v>
      </c>
      <c r="AI203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{"issue":{"subject":"","project_id":79,"tracker_id":40,"status_id":1,"priority_id":2,"assigned_to_id":338,"start_date":"2017-11-04","description":"","custom_fields":[{"id":1,"name":"Subdivision","value":"Other"},{"id":4,"name":"Milepost","value":"0.0211"},{"id":17,"name":"Train ID","value":"310-04"},{"id":16,"name":"Locomotive ID","value":"4011"},{"id":130,"name":"Impact","value":""},{"id":150,"name":"Time of Event (Mountain Time)","value":"04:59:46"},{"id":151,"name":"Denver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48"/>
        <v>start /low /b %USERPROFILE%\Documents\GitHub\eaglep3\Utilities\DownloadLogsFromS3.py --loco 4011 --day 2017-11-04</v>
      </c>
      <c r="AN203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10:59:46"},{"id":29,"name":"Sharepoint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50"/>
        <v>https://d0f6bd738d7f1b3e5a7ca70fe4ff75f0.us-east-1.aws.found.io/app/kibana#/discover/Steve-Slow-Train-Analysis-(2080s-and-2083s)?_g=(refreshInterval:(display:Off,pause:!f,section:0,value:0),time:(from:'2017-11-04T03:47:14-0600',mode:absolute,to:'2017-11-04T05:59:46-0600'))&amp;_a=(columns:!('Message%20ID',Summary),filters:!(),index:'emp_*',interval:auto,query:(query_string:(analyze_wildcard:!t,query:'%22rtdc.l.rtdc.4011%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878</v>
      </c>
      <c r="B204" s="7">
        <v>4022</v>
      </c>
      <c r="C204" s="21" t="s">
        <v>192</v>
      </c>
      <c r="D204" s="21" t="s">
        <v>603</v>
      </c>
      <c r="E204" s="13">
        <v>43044.050092592595</v>
      </c>
      <c r="F204" s="13">
        <v>43044.066990740743</v>
      </c>
      <c r="G204" s="7">
        <v>105</v>
      </c>
      <c r="H204" s="21" t="s">
        <v>529</v>
      </c>
      <c r="I204" s="13">
        <v>25568.708333333332</v>
      </c>
      <c r="J204" s="7">
        <v>0</v>
      </c>
      <c r="K204" s="89" t="str">
        <f>IF(ISEVEN(B204),(B204-1)&amp;"/"&amp;B204,B204&amp;"/"&amp;(B204+1))</f>
        <v>4021/4022</v>
      </c>
      <c r="L204" s="185" t="str">
        <f>VLOOKUP(A204,'Trips&amp;Operators'!$C$1:$G$99911,5,FALSE)</f>
        <v>NICHOLSON WESLEY</v>
      </c>
      <c r="M204" s="6">
        <f>I204-F204</f>
        <v>-17475.358657407411</v>
      </c>
      <c r="N204" s="7">
        <f>24*60*SUM($M204:$M204)</f>
        <v>-25164516.466666672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-05T00:12:08-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204" t="str">
        <f>IF(AA204&lt;VLOOKUP(AG204,Variables!$AC$3:$AD$8,2,FALSE),"Y","N")</f>
        <v>Y</v>
      </c>
      <c r="X204" s="204">
        <f>VALUE(LEFT(AD204,4))-VALUE(LEFT(AD203,4))</f>
        <v>1</v>
      </c>
      <c r="Y204" s="204">
        <f>RIGHT(D204,LEN(D204)-4)/10000</f>
        <v>5.1999999999999998E-2</v>
      </c>
      <c r="Z204" s="204">
        <f>RIGHT(H204,LEN(H204)-4)/10000</f>
        <v>2.3308</v>
      </c>
      <c r="AA204" s="204">
        <f>ABS(Z204-Y204)</f>
        <v>2.2787999999999999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311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 &amp; aws s3 cp s3://rtdc.mdm.uploadarchive.raw/RTDC4022/ "%USERPROFILE%\AppData\Local\Temp\OnboardLogs"\RTDC4022\2017-11-06 --exclude "*" --recursive --include "*20171106*" &amp; "%USERPROFILE%\Documents\GitHub\mrs-test-scripts\Headless Mode &amp; Sideloading\WalkAndUnGZ.bat" "%USERPROFILE%\AppData\Local\Temp\OnboardLogs"\RTDC4022\2017-11-06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/stypes="app*4022*19691231*" /stext=" 23:.+((SYSTEM_STATE.+slice.+state.+changed )|(ment ac)|(multiple cpu faults)|(system.+state.+changed )|(\[timeout)|(PRM\|1\|D)|(kpr)|(kdp)|(train st.+moving)|(\|lc)|(penalty))"</v>
      </c>
      <c r="AG204" s="182" t="str">
        <f>DetSubdiv(A204)</f>
        <v>Other</v>
      </c>
      <c r="AH204" s="78" t="str">
        <f t="shared" si="46"/>
        <v>"%USERPROFILE%\Documents\GitHub\eaglep3\Utilities\RefineRTDCRunTimes.py" --tripid 311-04 --locoid 4022 --swversion DE.1.0.9.0 --startMP 204:520 --initTime 2017-11-05T01:12:08 --startdatetime 2017-11-05T01:36:28 --delay 105 --endMP 300:23308 --enddatetime 1969-12-31T17:00:00 --enforcementcount 0 &gt;&gt;%USERPROFILE%\Documents\GitHub\eaglep3-reporting\EC\2017-11-04-refined-times.txt</v>
      </c>
      <c r="AI204" s="96" t="str">
        <f t="shared" si="47"/>
        <v>echo {"issue":{"subject":"","project_id":79,"tracker_id":40,"status_id":1,"priority_id":2,"assigned_to_id":338,"start_date":"1969-12-31","description":"","custom_fields":[{"id":1,"name":"Subdivision","value":"Other"},{"id":4,"name":"Milepost","value":"2.3308"},{"id":17,"name":"Train ID","value":"311-04"},{"id":16,"name":"Locomotive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48"/>
        <v>start /low /b %USERPROFILE%\Documents\GitHub\eaglep3\Utilities\DownloadLogsFromS3.py --loco 4022 --day 2017-11-05</v>
      </c>
      <c r="AN204" s="151" t="str">
        <f t="shared" si="4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50"/>
        <v>https://d0f6bd738d7f1b3e5a7ca70fe4ff75f0.us-east-1.aws.found.io/app/kibana#/discover/Steve-Slow-Train-Analysis-(2080s-and-2083s)?_g=(refreshInterval:(display:Off,pause:!f,section:0,value:0),time:(from:'2017-11-05T00:12:08-0600',mode:absolute,to:'1969-12-31T18:00:00-0600'))&amp;_a=(columns:!('Message%20ID',Summary),filters:!(),index:'emp_*',interval:auto,query:(query_string:(analyze_wildcard:!t,query:'%22rtdc.l.rtdc.4022%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697</v>
      </c>
      <c r="B205" s="7">
        <v>4065</v>
      </c>
      <c r="C205" s="21" t="s">
        <v>192</v>
      </c>
      <c r="D205" s="21" t="s">
        <v>1061</v>
      </c>
      <c r="E205" s="13">
        <v>43043.215798611112</v>
      </c>
      <c r="F205" s="13">
        <v>43043.219421296293</v>
      </c>
      <c r="G205" s="7">
        <v>83</v>
      </c>
      <c r="H205" s="21" t="s">
        <v>1064</v>
      </c>
      <c r="I205" s="13">
        <v>43043.2262962963</v>
      </c>
      <c r="J205" s="7">
        <v>0</v>
      </c>
      <c r="K205" s="89" t="str">
        <f>IF(ISEVEN(B205),(B205-1)&amp;"/"&amp;B205,B205&amp;"/"&amp;(B205+1))</f>
        <v>4065/4066</v>
      </c>
      <c r="L205" s="185" t="str">
        <f>VLOOKUP(A205,'Trips&amp;Operators'!$C$1:$G$99911,5,FALSE)</f>
        <v>WILLIAMS DONTE</v>
      </c>
      <c r="M205" s="6">
        <f>I205-F205</f>
        <v>6.8750000064028427E-3</v>
      </c>
      <c r="N205" s="7">
        <f>24*60*SUM($M205:$M205)</f>
        <v>9.9000000092200935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-04T04:10:45-0600',mode:absolute,to:'2017-11-04T06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2.3380999999999998</v>
      </c>
      <c r="Z205" s="204">
        <f>RIGHT(H205,LEN(H205)-4)/10000</f>
        <v>1.83E-2</v>
      </c>
      <c r="AA205" s="204">
        <f>ABS(Z205-Y205)</f>
        <v>2.3197999999999999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312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s3://rtdc.mdm.uploadarchive.raw/RTDC4065/ "%USERPROFILE%\AppData\Local\Temp\OnboardLogs"\RTDC4065\2017-11-04 --exclude "*" --recursive --include "*20171104*" &amp; "%USERPROFILE%\Documents\GitHub\mrs-test-scripts\Headless Mode &amp; Sideloading\WalkAndUnGZ.bat" "%USERPROFILE%\AppData\Local\Temp\OnboardLogs"\RTDC4065\2017-11-04 &amp; 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/stypes="app*4065*20171104*" /stext=" 11:.+((SYSTEM_STATE.+slice.+state.+changed )|(ment ac)|(multiple cpu faults)|(system.+state.+changed )|(\[timeout)|(PRM\|1\|D)|(kpr)|(kdp)|(train st.+moving)|(\|lc)|(penalty))"</v>
      </c>
      <c r="AG205" s="182" t="str">
        <f>DetSubdiv(A205)</f>
        <v>Other</v>
      </c>
      <c r="AH205" s="78" t="str">
        <f t="shared" si="46"/>
        <v>"%USERPROFILE%\Documents\GitHub\eaglep3\Utilities\RefineRTDCRunTimes.py" --tripid 312-04 --locoid 4065 --swversion DE.1.0.9.0 --startMP 300:23381 --initTime 2017-11-04T05:10:45 --startdatetime 2017-11-04T05:15:58 --delay 83 --endMP 204:183 --enddatetime 2017-11-04T05:25:52 --enforcementcount 0 &gt;&gt;%USERPROFILE%\Documents\GitHub\eaglep3-reporting\EC\2017-11-04-refined-times.txt</v>
      </c>
      <c r="AI205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{"issue":{"subject":"","project_id":79,"tracker_id":40,"status_id":1,"priority_id":2,"assigned_to_id":338,"start_date":"2017-11-04","description":"","custom_fields":[{"id":1,"name":"Subdivision","value":"Other"},{"id":4,"name":"Milepost","value":"0.0183"},{"id":17,"name":"Train ID","value":"312-04"},{"id":16,"name":"Locomotive ID","value":"4065"},{"id":130,"name":"Impact","value":""},{"id":150,"name":"Time of Event (Mountain Time)","value":"05:25:52"},{"id":151,"name":"Denver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48"/>
        <v>start /low /b %USERPROFILE%\Documents\GitHub\eaglep3\Utilities\DownloadLogsFromS3.py --loco 4065 --day 2017-11-04</v>
      </c>
      <c r="AN205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50"/>
        <v>https://d0f6bd738d7f1b3e5a7ca70fe4ff75f0.us-east-1.aws.found.io/app/kibana#/discover/Steve-Slow-Train-Analysis-(2080s-and-2083s)?_g=(refreshInterval:(display:Off,pause:!f,section:0,value:0),time:(from:'2017-11-04T04:10:45-0600',mode:absolute,to:'2017-11-04T06:25:52-0600'))&amp;_a=(columns:!('Message%20ID',Summary),filters:!(),index:'emp_*',interval:auto,query:(query_string:(analyze_wildcard:!t,query:'%22rtdc.l.rtdc.4065%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879</v>
      </c>
      <c r="B206" s="7">
        <v>4006</v>
      </c>
      <c r="C206" s="21" t="s">
        <v>192</v>
      </c>
      <c r="D206" s="21" t="s">
        <v>633</v>
      </c>
      <c r="E206" s="13">
        <v>43044.071631944447</v>
      </c>
      <c r="F206" s="13">
        <v>43044.073206018518</v>
      </c>
      <c r="G206" s="7">
        <v>65</v>
      </c>
      <c r="H206" s="21" t="s">
        <v>1065</v>
      </c>
      <c r="I206" s="13">
        <v>25568.708333333332</v>
      </c>
      <c r="J206" s="7">
        <v>0</v>
      </c>
      <c r="K206" s="89" t="str">
        <f>IF(ISEVEN(B206),(B206-1)&amp;"/"&amp;B206,B206&amp;"/"&amp;(B206+1))</f>
        <v>4005/4006</v>
      </c>
      <c r="L206" s="185" t="str">
        <f>VLOOKUP(A206,'Trips&amp;Operators'!$C$1:$G$99911,5,FALSE)</f>
        <v>WEST BRYAN</v>
      </c>
      <c r="M206" s="6">
        <f>I206-F206</f>
        <v>-17475.364872685186</v>
      </c>
      <c r="N206" s="7">
        <f>24*60*SUM($M206:$M206)</f>
        <v>-25164525.416666668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-05T00:43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204" t="str">
        <f>IF(AA206&lt;VLOOKUP(AG206,Variables!$AC$3:$AD$8,2,FALSE),"Y","N")</f>
        <v>Y</v>
      </c>
      <c r="X206" s="204">
        <f>VALUE(LEFT(AD206,4))-VALUE(LEFT(AD205,4))</f>
        <v>1</v>
      </c>
      <c r="Y206" s="204">
        <f>RIGHT(D206,LEN(D206)-4)/10000</f>
        <v>4.8899999999999999E-2</v>
      </c>
      <c r="Z206" s="204">
        <f>RIGHT(H206,LEN(H206)-4)/10000</f>
        <v>2.3304</v>
      </c>
      <c r="AA206" s="204">
        <f>ABS(Z206-Y206)</f>
        <v>2.2814999999999999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313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s3://rtdc.mdm.uploadarchive.raw/RTDC4006/ "%USERPROFILE%\AppData\Local\Temp\OnboardLogs"\RTDC4006\2017-11-05 --exclude "*" --recursive --include "*20171105*" &amp; "%USERPROFILE%\Documents\GitHub\mrs-test-scripts\Headless Mode &amp; Sideloading\WalkAndUnGZ.bat" "%USERPROFILE%\AppData\Local\Temp\OnboardLogs"\RTDC4006\2017-11-05 &amp; 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/stypes="app*4006*19691231*" /stext=" 23:.+((SYSTEM_STATE.+slice.+state.+changed )|(ment ac)|(multiple cpu faults)|(system.+state.+changed )|(\[timeout)|(PRM\|1\|D)|(kpr)|(kdp)|(train st.+moving)|(\|lc)|(penalty))"</v>
      </c>
      <c r="AG206" s="182" t="str">
        <f>DetSubdiv(A206)</f>
        <v>Other</v>
      </c>
      <c r="AH206" s="78" t="str">
        <f t="shared" si="46"/>
        <v>"%USERPROFILE%\Documents\GitHub\eaglep3\Utilities\RefineRTDCRunTimes.py" --tripid 313-04 --locoid 4006 --swversion DE.1.0.9.0 --startMP 204:489 --initTime 2017-11-05T01:43:09 --startdatetime 2017-11-05T01:45:25 --delay 65 --endMP 300:23304 --enddatetime 1969-12-31T17:00:00 --enforcementcount 0 &gt;&gt;%USERPROFILE%\Documents\GitHub\eaglep3-reporting\EC\2017-11-04-refined-times.txt</v>
      </c>
      <c r="AI206" s="96" t="str">
        <f t="shared" si="47"/>
        <v>echo {"issue":{"subject":"","project_id":79,"tracker_id":40,"status_id":1,"priority_id":2,"assigned_to_id":338,"start_date":"1969-12-31","description":"","custom_fields":[{"id":1,"name":"Subdivision","value":"Other"},{"id":4,"name":"Milepost","value":"2.3304"},{"id":17,"name":"Train ID","value":"313-04"},{"id":16,"name":"Locomotive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48"/>
        <v>start /low /b %USERPROFILE%\Documents\GitHub\eaglep3\Utilities\DownloadLogsFromS3.py --loco 4006 --day 2017-11-05</v>
      </c>
      <c r="AN206" s="151" t="str">
        <f t="shared" si="4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50"/>
        <v>https://d0f6bd738d7f1b3e5a7ca70fe4ff75f0.us-east-1.aws.found.io/app/kibana#/discover/Steve-Slow-Train-Analysis-(2080s-and-2083s)?_g=(refreshInterval:(display:Off,pause:!f,section:0,value:0),time:(from:'2017-11-05T00:43:09-0600',mode:absolute,to:'1969-12-31T18:00:00-0600'))&amp;_a=(columns:!('Message%20ID',Summary),filters:!(),index:'emp_*',interval:auto,query:(query_string:(analyze_wildcard:!t,query:'%22rtdc.l.rtdc.4006%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649</v>
      </c>
      <c r="B207" s="7">
        <v>4028</v>
      </c>
      <c r="C207" s="21" t="s">
        <v>192</v>
      </c>
      <c r="D207" s="21" t="s">
        <v>1001</v>
      </c>
      <c r="E207" s="13">
        <v>43043.219837962963</v>
      </c>
      <c r="F207" s="13">
        <v>43043.22388888889</v>
      </c>
      <c r="G207" s="7">
        <v>86</v>
      </c>
      <c r="H207" s="21" t="s">
        <v>646</v>
      </c>
      <c r="I207" s="13">
        <v>43043.229074074072</v>
      </c>
      <c r="J207" s="7">
        <v>0</v>
      </c>
      <c r="K207" s="89" t="str">
        <f>IF(ISEVEN(B207),(B207-1)&amp;"/"&amp;B207,B207&amp;"/"&amp;(B207+1))</f>
        <v>4027/4028</v>
      </c>
      <c r="L207" s="185" t="str">
        <f>VLOOKUP(A207,'Trips&amp;Operators'!$C$1:$G$99911,5,FALSE)</f>
        <v>LAMAR NEKESHA</v>
      </c>
      <c r="M207" s="6">
        <f>I207-F207</f>
        <v>5.1851851821993478E-3</v>
      </c>
      <c r="N207" s="7">
        <f>24*60*SUM($M207:$M207)</f>
        <v>7.4666666623670608</v>
      </c>
      <c r="O207" s="7"/>
      <c r="P207" s="7"/>
      <c r="Q207" s="22"/>
      <c r="R207" s="174"/>
      <c r="S207" s="221">
        <f>1/IF(AG207="EC",12,1)*SUM(U207:U207)</f>
        <v>0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-04T04:16:34-0600',mode:absolute,to:'2017-11-04T06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1588</v>
      </c>
      <c r="Y207" s="204">
        <f>RIGHT(D207,LEN(D207)-4)/10000</f>
        <v>2.9809999999999999</v>
      </c>
      <c r="Z207" s="204">
        <f>RIGHT(H207,LEN(H207)-4)/10000</f>
        <v>5.8982000000000001</v>
      </c>
      <c r="AA207" s="204">
        <f>ABS(Z207-Y207)</f>
        <v>2.9172000000000002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1901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/stypes="app*4028*20171104*" /stext=" 11:.+((SYSTEM_STATE.+slice.+state.+changed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46"/>
        <v>"%USERPROFILE%\Documents\GitHub\eaglep3\Utilities\RefineRTDCRunTimes.py" --tripid 1901-04 --locoid 4028 --swversion DE.1.0.9.0 --startMP 300:29810 --initTime 2017-11-04T05:16:34 --startdatetime 2017-11-04T05:22:24 --delay 86 --endMP 300:58982 --enddatetime 2017-11-04T05:29:52 --enforcementcount 0 &gt;&gt;%USERPROFILE%\Documents\GitHub\eaglep3-reporting\EC\2017-11-04-refined-times.txt</v>
      </c>
      <c r="AI207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{"issue":{"subject":"","project_id":79,"tracker_id":40,"status_id":1,"priority_id":2,"assigned_to_id":338,"start_date":"2017-11-04","description":"","custom_fields":[{"id":1,"name":"Subdivision","value":"Other"},{"id":4,"name":"Milepost","value":"5.8982"},{"id":17,"name":"Train ID","value":"1901-04"},{"id":16,"name":"Locomotive ID","value":"4028"},{"id":130,"name":"Impact","value":""},{"id":150,"name":"Time of Event (Mountain Time)","value":"05:29:52"},{"id":151,"name":"Denver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48"/>
        <v>start /low /b %USERPROFILE%\Documents\GitHub\eaglep3\Utilities\DownloadLogsFromS3.py --loco 4028 --day 2017-11-04</v>
      </c>
      <c r="AN207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11:29:52"},{"id":29,"name":"Sharepoint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50"/>
        <v>https://d0f6bd738d7f1b3e5a7ca70fe4ff75f0.us-east-1.aws.found.io/app/kibana#/discover/Steve-Slow-Train-Analysis-(2080s-and-2083s)?_g=(refreshInterval:(display:Off,pause:!f,section:0,value:0),time:(from:'2017-11-04T04:16:34-0600',mode:absolute,to:'2017-11-04T06:29:52-0600'))&amp;_a=(columns:!('Message%20ID',Summary),filters:!(),index:'emp_*',interval:auto,query:(query_string:(analyze_wildcard:!t,query:'%22rtdc.l.rtdc.4028%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868</v>
      </c>
      <c r="B208" s="7">
        <v>4027</v>
      </c>
      <c r="C208" s="21" t="s">
        <v>192</v>
      </c>
      <c r="D208" s="21" t="s">
        <v>532</v>
      </c>
      <c r="E208" s="13">
        <v>43043.97724537037</v>
      </c>
      <c r="F208" s="13">
        <v>43043.978935185187</v>
      </c>
      <c r="G208" s="7">
        <v>57</v>
      </c>
      <c r="H208" s="21" t="s">
        <v>1002</v>
      </c>
      <c r="I208" s="13">
        <v>43043.985578703701</v>
      </c>
      <c r="J208" s="7">
        <v>0</v>
      </c>
      <c r="K208" s="89" t="str">
        <f>IF(ISEVEN(B208),(B208-1)&amp;"/"&amp;B208,B208&amp;"/"&amp;(B208+1))</f>
        <v>4027/4028</v>
      </c>
      <c r="L208" s="185" t="str">
        <f>VLOOKUP(A208,'Trips&amp;Operators'!$C$1:$G$99911,5,FALSE)</f>
        <v>SMITH MICHAEL</v>
      </c>
      <c r="M208" s="6">
        <f>I208-F208</f>
        <v>6.6435185144655406E-3</v>
      </c>
      <c r="N208" s="7">
        <f>24*60*SUM($M208:$M208)</f>
        <v>9.5666666608303785</v>
      </c>
      <c r="O208" s="7"/>
      <c r="P208" s="7"/>
      <c r="Q208" s="22"/>
      <c r="R208" s="174"/>
      <c r="S208" s="221">
        <f>1/IF(AG208="EC",12,1)*SUM(U208:U208)</f>
        <v>0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-04T22:27:14-0600',mode:absolute,to:'2017-11-05T00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5.8662000000000001</v>
      </c>
      <c r="Z208" s="204">
        <f>RIGHT(H208,LEN(H208)-4)/10000</f>
        <v>2.8786</v>
      </c>
      <c r="AA208" s="204">
        <f>ABS(Z208-Y208)</f>
        <v>2.9876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1902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/stypes="app*4027*20171105*" /stext=" 05:.+((SYSTEM_STATE.+slice.+state.+changed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46"/>
        <v>"%USERPROFILE%\Documents\GitHub\eaglep3\Utilities\RefineRTDCRunTimes.py" --tripid 1902-04 --locoid 4027 --swversion DE.1.0.9.0 --startMP 300:58662 --initTime 2017-11-04T23:27:14 --startdatetime 2017-11-04T23:29:40 --delay 57 --endMP 300:28786 --enddatetime 2017-11-04T23:39:14 --enforcementcount 0 &gt;&gt;%USERPROFILE%\Documents\GitHub\eaglep3-reporting\EC\2017-11-04-refined-times.txt</v>
      </c>
      <c r="AI208" s="96" t="str">
        <f t="shared" si="47"/>
        <v>echo {"issue":{"subject":"","project_id":79,"tracker_id":40,"status_id":1,"priority_id":2,"assigned_to_id":338,"start_date":"2017-11-04","description":"","custom_fields":[{"id":1,"name":"Subdivision","value":"Other"},{"id":4,"name":"Milepost","value":"2.8786"},{"id":17,"name":"Train ID","value":"1902-04"},{"id":16,"name":"Locomotive ID","value":"4027"},{"id":130,"name":"Impact","value":""},{"id":150,"name":"Time of Event (Mountain Time)","value":"23:39:14"},{"id":151,"name":"Denver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48"/>
        <v>start /low /b %USERPROFILE%\Documents\GitHub\eaglep3\Utilities\DownloadLogsFromS3.py --loco 4027 --day 2017-11-04</v>
      </c>
      <c r="AN208" s="151" t="str">
        <f t="shared" si="49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05:39:14"},{"id":29,"name":"Sharepoint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50"/>
        <v>https://d0f6bd738d7f1b3e5a7ca70fe4ff75f0.us-east-1.aws.found.io/app/kibana#/discover/Steve-Slow-Train-Analysis-(2080s-and-2083s)?_g=(refreshInterval:(display:Off,pause:!f,section:0,value:0),time:(from:'2017-11-04T22:27:14-0600',mode:absolute,to:'2017-11-05T00:39:14-0600'))&amp;_a=(columns:!('Message%20ID',Summary),filters:!(),index:'emp_*',interval:auto,query:(query_string:(analyze_wildcard:!t,query:'%22rtdc.l.rtdc.4027%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659</v>
      </c>
      <c r="B209" s="7">
        <v>4052</v>
      </c>
      <c r="C209" s="21" t="s">
        <v>192</v>
      </c>
      <c r="D209" s="21" t="s">
        <v>1066</v>
      </c>
      <c r="E209" s="13">
        <v>43043.537291666667</v>
      </c>
      <c r="F209" s="13">
        <v>43043.547881944447</v>
      </c>
      <c r="G209" s="7">
        <v>58</v>
      </c>
      <c r="H209" s="21" t="s">
        <v>1067</v>
      </c>
      <c r="I209" s="13">
        <v>43043.549178240741</v>
      </c>
      <c r="J209" s="7">
        <v>0</v>
      </c>
      <c r="K209" s="89" t="str">
        <f>IF(ISEVEN(B209),(B209-1)&amp;"/"&amp;B209,B209&amp;"/"&amp;(B209+1))</f>
        <v>4051/4052</v>
      </c>
      <c r="L209" s="185" t="str">
        <f>VLOOKUP(A209,'Trips&amp;Operators'!$C$1:$G$99911,5,FALSE)</f>
        <v>MCREYNOLDS KYLE</v>
      </c>
      <c r="M209" s="6">
        <f>I209-F209</f>
        <v>1.2962962937308475E-3</v>
      </c>
      <c r="N209" s="7">
        <f>24*60*SUM($M209:$M209)</f>
        <v>1.8666666629724205</v>
      </c>
      <c r="O209" s="7"/>
      <c r="P209" s="7"/>
      <c r="Q209" s="22"/>
      <c r="R209" s="174"/>
      <c r="S209" s="221">
        <f>1/IF(AG209="EC",12,1)*SUM(U209:U209)</f>
        <v>0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-04T11:53:42-0600',mode:absolute,to:'2017-11-04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-1851</v>
      </c>
      <c r="Y209" s="204">
        <f>RIGHT(D209,LEN(D209)-4)/10000</f>
        <v>0.14829999999999999</v>
      </c>
      <c r="Z209" s="204">
        <f>RIGHT(H209,LEN(H209)-4)/10000</f>
        <v>0.18010000000000001</v>
      </c>
      <c r="AA209" s="204">
        <f>ABS(Z209-Y209)</f>
        <v>3.1800000000000023E-2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51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/stypes="app*4052*20171104*" /stext=" 19:.+((SYSTEM_STATE.+slice.+state.+changed )|(ment ac)|(multiple cpu faults)|(system.+state.+changed )|(\[timeout)|(PRM\|1\|D)|(kpr)|(kdp)|(train st.+moving)|(\|lc)|(penalty))"</v>
      </c>
      <c r="AG209" s="182" t="str">
        <f>DetSubdiv(A209)</f>
        <v>Shuttle/Test</v>
      </c>
      <c r="AH209" s="78" t="str">
        <f t="shared" si="46"/>
        <v>"%USERPROFILE%\Documents\GitHub\eaglep3\Utilities\RefineRTDCRunTimes.py" --tripid 51-04 --locoid 4052 --swversion DE.1.0.9.0 --startMP 204:1483 --initTime 2017-11-04T12:53:42 --startdatetime 2017-11-04T13:08:57 --delay 58 --endMP 204:1801 --enddatetime 2017-11-04T13:10:49 --enforcementcount 0 &gt;&gt;%USERPROFILE%\Documents\GitHub\eaglep3-reporting\EC\2017-11-04-refined-times.txt</v>
      </c>
      <c r="AI209" s="96" t="str">
        <f t="shared" si="47"/>
        <v>echo {"issue":{"subject":"","project_id":79,"tracker_id":40,"status_id":1,"priority_id":2,"assigned_to_id":338,"start_date":"2017-11-04","description":"","custom_fields":[{"id":1,"name":"Subdivision","value":"Shuttle/Test"},{"id":4,"name":"Milepost","value":"0.1801"},{"id":17,"name":"Train ID","value":"51-04"},{"id":16,"name":"Locomotive ID","value":"4052"},{"id":130,"name":"Impact","value":""},{"id":150,"name":"Time of Event (Mountain Time)","value":"13:10:49"},{"id":151,"name":"Denver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48"/>
        <v>start /low /b %USERPROFILE%\Documents\GitHub\eaglep3\Utilities\DownloadLogsFromS3.py --loco 4052 --day 2017-11-04</v>
      </c>
      <c r="AN209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19:10:49"},{"id":29,"name":"Sharepoint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50"/>
        <v>https://d0f6bd738d7f1b3e5a7ca70fe4ff75f0.us-east-1.aws.found.io/app/kibana#/discover/Steve-Slow-Train-Analysis-(2080s-and-2083s)?_g=(refreshInterval:(display:Off,pause:!f,section:0,value:0),time:(from:'2017-11-04T11:53:42-0600',mode:absolute,to:'2017-11-04T14:10:49-0600'))&amp;_a=(columns:!('Message%20ID',Summary),filters:!(),index:'emp_*',interval:auto,query:(query_string:(analyze_wildcard:!t,query:'%22rtdc.l.rtdc.4052%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659</v>
      </c>
      <c r="B210" s="7">
        <v>4051</v>
      </c>
      <c r="C210" s="21" t="s">
        <v>192</v>
      </c>
      <c r="D210" s="21" t="s">
        <v>1068</v>
      </c>
      <c r="E210" s="13">
        <v>43043.5466087963</v>
      </c>
      <c r="F210" s="13">
        <v>43043.547881944447</v>
      </c>
      <c r="G210" s="7">
        <v>47</v>
      </c>
      <c r="H210" s="21" t="s">
        <v>1069</v>
      </c>
      <c r="I210" s="13">
        <v>43043.549178240741</v>
      </c>
      <c r="J210" s="7">
        <v>0</v>
      </c>
      <c r="K210" s="89" t="str">
        <f>IF(ISEVEN(B210),(B210-1)&amp;"/"&amp;B210,B210&amp;"/"&amp;(B210+1))</f>
        <v>4051/4052</v>
      </c>
      <c r="L210" s="185" t="str">
        <f>VLOOKUP(A210,'Trips&amp;Operators'!$C$1:$G$99911,5,FALSE)</f>
        <v>MCREYNOLDS KYLE</v>
      </c>
      <c r="M210" s="6">
        <f>I210-F210</f>
        <v>1.2962962937308475E-3</v>
      </c>
      <c r="N210" s="7">
        <f>24*60*SUM($M210:$M210)</f>
        <v>1.8666666629724205</v>
      </c>
      <c r="O210" s="7"/>
      <c r="P210" s="7"/>
      <c r="Q210" s="22"/>
      <c r="R210" s="174"/>
      <c r="S210" s="221">
        <f>1/IF(AG210="EC",12,1)*SUM(U210:U210)</f>
        <v>0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-04T12:07:07-0600',mode:absolute,to:'2017-11-04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0</v>
      </c>
      <c r="Y210" s="204">
        <f>RIGHT(D210,LEN(D210)-4)/10000</f>
        <v>0.30859999999999999</v>
      </c>
      <c r="Z210" s="204">
        <f>RIGHT(H210,LEN(H210)-4)/10000</f>
        <v>2.52E-2</v>
      </c>
      <c r="AA210" s="204">
        <f>ABS(Z210-Y210)</f>
        <v>0.28339999999999999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51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 &amp; aws s3 cp s3://rtdc.mdm.uploadarchive.raw/RTDC4051/ "%USERPROFILE%\AppData\Local\Temp\OnboardLogs"\RTDC4051\2017-11-05 --exclude "*" --recursive --include "*20171105*" &amp; "%USERPROFILE%\Documents\GitHub\mrs-test-scripts\Headless Mode &amp; Sideloading\WalkAndUnGZ.bat" "%USERPROFILE%\AppData\Local\Temp\OnboardLogs"\RTDC4051\2017-11-05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/stypes="app*4051*20171104*" /stext=" 19:.+((SYSTEM_STATE.+slice.+state.+changed )|(ment ac)|(multiple cpu faults)|(system.+state.+changed )|(\[timeout)|(PRM\|1\|D)|(kpr)|(kdp)|(train st.+moving)|(\|lc)|(penalty))"</v>
      </c>
      <c r="AG210" s="182" t="str">
        <f>DetSubdiv(A210)</f>
        <v>Shuttle/Test</v>
      </c>
      <c r="AH210" s="78" t="str">
        <f t="shared" si="46"/>
        <v>"%USERPROFILE%\Documents\GitHub\eaglep3\Utilities\RefineRTDCRunTimes.py" --tripid 51-04 --locoid 4051 --swversion DE.1.0.9.0 --startMP 204:3086 --initTime 2017-11-04T13:07:07 --startdatetime 2017-11-04T13:08:57 --delay 47 --endMP 204:252 --enddatetime 2017-11-04T13:10:49 --enforcementcount 0 &gt;&gt;%USERPROFILE%\Documents\GitHub\eaglep3-reporting\EC\2017-11-04-refined-times.txt</v>
      </c>
      <c r="AI210" s="96" t="str">
        <f t="shared" si="47"/>
        <v>echo {"issue":{"subject":"","project_id":79,"tracker_id":40,"status_id":1,"priority_id":2,"assigned_to_id":338,"start_date":"2017-11-04","description":"","custom_fields":[{"id":1,"name":"Subdivision","value":"Shuttle/Test"},{"id":4,"name":"Milepost","value":"0.0252"},{"id":17,"name":"Train ID","value":"51-04"},{"id":16,"name":"Locomotive ID","value":"4051"},{"id":130,"name":"Impact","value":""},{"id":150,"name":"Time of Event (Mountain Time)","value":"13:10:49"},{"id":151,"name":"Denver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48"/>
        <v>start /low /b %USERPROFILE%\Documents\GitHub\eaglep3\Utilities\DownloadLogsFromS3.py --loco 4051 --day 2017-11-04</v>
      </c>
      <c r="AN210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19:10:49"},{"id":29,"name":"Sharepoint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50"/>
        <v>https://d0f6bd738d7f1b3e5a7ca70fe4ff75f0.us-east-1.aws.found.io/app/kibana#/discover/Steve-Slow-Train-Analysis-(2080s-and-2083s)?_g=(refreshInterval:(display:Off,pause:!f,section:0,value:0),time:(from:'2017-11-04T12:07:07-0600',mode:absolute,to:'2017-11-04T14:10:49-0600'))&amp;_a=(columns:!('Message%20ID',Summary),filters:!(),index:'emp_*',interval:auto,query:(query_string:(analyze_wildcard:!t,query:'%22rtdc.l.rtdc.4051%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687</v>
      </c>
      <c r="B211" s="7">
        <v>4052</v>
      </c>
      <c r="C211" s="21" t="s">
        <v>192</v>
      </c>
      <c r="D211" s="21" t="s">
        <v>1070</v>
      </c>
      <c r="E211" s="13">
        <v>43043.187268518515</v>
      </c>
      <c r="F211" s="13">
        <v>43043.189097222225</v>
      </c>
      <c r="G211" s="7">
        <v>103</v>
      </c>
      <c r="H211" s="21" t="s">
        <v>1071</v>
      </c>
      <c r="I211" s="13">
        <v>43043.190381944441</v>
      </c>
      <c r="J211" s="7">
        <v>0</v>
      </c>
      <c r="K211" s="89" t="str">
        <f>IF(ISEVEN(B211),(B211-1)&amp;"/"&amp;B211,B211&amp;"/"&amp;(B211+1))</f>
        <v>4051/4052</v>
      </c>
      <c r="L211" s="185" t="str">
        <f>VLOOKUP(A211,'Trips&amp;Operators'!$C$1:$G$99911,5,FALSE)</f>
        <v>NEWELL JAMES</v>
      </c>
      <c r="M211" s="6">
        <f>I211-F211</f>
        <v>1.2847222169511952E-3</v>
      </c>
      <c r="N211" s="7">
        <f>24*60*SUM($M211:$M211)</f>
        <v>1.849999992409721</v>
      </c>
      <c r="O211" s="7"/>
      <c r="P211" s="7"/>
      <c r="Q211" s="22"/>
      <c r="R211" s="174"/>
      <c r="S211" s="221">
        <f>1/IF(AG211="EC",12,1)*SUM(U211:U211)</f>
        <v>0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-04T03:29:40-0600',mode:absolute,to:'2017-11-04T05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2</v>
      </c>
      <c r="Y211" s="204">
        <f>RIGHT(D211,LEN(D211)-4)/10000</f>
        <v>0.1197</v>
      </c>
      <c r="Z211" s="204">
        <f>RIGHT(H211,LEN(H211)-4)/10000</f>
        <v>0.5282</v>
      </c>
      <c r="AA211" s="204">
        <f>ABS(Z211-Y211)</f>
        <v>0.40849999999999997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53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/stypes="app*4052*20171104*" /stext=" 10:.+((SYSTEM_STATE.+slice.+state.+changed )|(ment ac)|(multiple cpu faults)|(system.+state.+changed )|(\[timeout)|(PRM\|1\|D)|(kpr)|(kdp)|(train st.+moving)|(\|lc)|(penalty))"</v>
      </c>
      <c r="AG211" s="182" t="str">
        <f>DetSubdiv(A211)</f>
        <v>Shuttle/Test</v>
      </c>
      <c r="AH211" s="78" t="str">
        <f t="shared" si="46"/>
        <v>"%USERPROFILE%\Documents\GitHub\eaglep3\Utilities\RefineRTDCRunTimes.py" --tripid 53-04 --locoid 4052 --swversion DE.1.0.9.0 --startMP 204:1197 --initTime 2017-11-04T04:29:40 --startdatetime 2017-11-04T04:32:18 --delay 103 --endMP 300:5282 --enddatetime 2017-11-04T04:34:09 --enforcementcount 0 &gt;&gt;%USERPROFILE%\Documents\GitHub\eaglep3-reporting\EC\2017-11-04-refined-times.txt</v>
      </c>
      <c r="AI211" s="96" t="str">
        <f t="shared" si="47"/>
        <v>echo {"issue":{"subject":"","project_id":79,"tracker_id":40,"status_id":1,"priority_id":2,"assigned_to_id":338,"start_date":"2017-11-04","description":"","custom_fields":[{"id":1,"name":"Subdivision","value":"Shuttle/Test"},{"id":4,"name":"Milepost","value":"0.5282"},{"id":17,"name":"Train ID","value":"53-04"},{"id":16,"name":"Locomotive ID","value":"4052"},{"id":130,"name":"Impact","value":""},{"id":150,"name":"Time of Event (Mountain Time)","value":"04:34:09"},{"id":151,"name":"Denver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48"/>
        <v>start /low /b %USERPROFILE%\Documents\GitHub\eaglep3\Utilities\DownloadLogsFromS3.py --loco 4052 --day 2017-11-04</v>
      </c>
      <c r="AN211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50"/>
        <v>https://d0f6bd738d7f1b3e5a7ca70fe4ff75f0.us-east-1.aws.found.io/app/kibana#/discover/Steve-Slow-Train-Analysis-(2080s-and-2083s)?_g=(refreshInterval:(display:Off,pause:!f,section:0,value:0),time:(from:'2017-11-04T03:29:40-0600',mode:absolute,to:'2017-11-04T05:34:09-0600'))&amp;_a=(columns:!('Message%20ID',Summary),filters:!(),index:'emp_*',interval:auto,query:(query_string:(analyze_wildcard:!t,query:'%22rtdc.l.rtdc.4052%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689</v>
      </c>
      <c r="B212" s="7">
        <v>4051</v>
      </c>
      <c r="C212" s="21" t="s">
        <v>192</v>
      </c>
      <c r="D212" s="21" t="s">
        <v>1072</v>
      </c>
      <c r="E212" s="13">
        <v>43043.190798611111</v>
      </c>
      <c r="F212" s="13">
        <v>43043.192685185182</v>
      </c>
      <c r="G212" s="7">
        <v>82</v>
      </c>
      <c r="H212" s="21" t="s">
        <v>1073</v>
      </c>
      <c r="I212" s="13">
        <v>43043.194212962961</v>
      </c>
      <c r="J212" s="7">
        <v>0</v>
      </c>
      <c r="K212" s="89" t="str">
        <f>IF(ISEVEN(B212),(B212-1)&amp;"/"&amp;B212,B212&amp;"/"&amp;(B212+1))</f>
        <v>4051/4052</v>
      </c>
      <c r="L212" s="185" t="str">
        <f>VLOOKUP(A212,'Trips&amp;Operators'!$C$1:$G$99911,5,FALSE)</f>
        <v>NEWELL JAMES</v>
      </c>
      <c r="M212" s="6">
        <f>I212-F212</f>
        <v>1.527777778392192E-3</v>
      </c>
      <c r="N212" s="7">
        <f>24*60*SUM($M212:$M212)</f>
        <v>2.2000000008847564</v>
      </c>
      <c r="O212" s="7"/>
      <c r="P212" s="7"/>
      <c r="Q212" s="22"/>
      <c r="R212" s="174"/>
      <c r="S212" s="221">
        <f>1/IF(AG212="EC",12,1)*SUM(U212:U212)</f>
        <v>0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-04T03:34:45-0600',mode:absolute,to:'2017-11-04T05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0.49440000000000001</v>
      </c>
      <c r="Z212" s="204">
        <f>RIGHT(H212,LEN(H212)-4)/10000</f>
        <v>0.1162</v>
      </c>
      <c r="AA212" s="204">
        <f>ABS(Z212-Y212)</f>
        <v>0.37819999999999998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54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 &amp; aws s3 cp s3://rtdc.mdm.uploadarchive.raw/RTDC4051/ "%USERPROFILE%\AppData\Local\Temp\OnboardLogs"\RTDC4051\2017-11-05 --exclude "*" --recursive --include "*20171105*" &amp; "%USERPROFILE%\Documents\GitHub\mrs-test-scripts\Headless Mode &amp; Sideloading\WalkAndUnGZ.bat" "%USERPROFILE%\AppData\Local\Temp\OnboardLogs"\RTDC4051\2017-11-05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/stypes="app*4051*20171104*" /stext=" 10:.+((SYSTEM_STATE.+slice.+state.+changed )|(ment ac)|(multiple cpu faults)|(system.+state.+changed )|(\[timeout)|(PRM\|1\|D)|(kpr)|(kdp)|(train st.+moving)|(\|lc)|(penalty))"</v>
      </c>
      <c r="AG212" s="182" t="str">
        <f>DetSubdiv(A212)</f>
        <v>Shuttle/Test</v>
      </c>
      <c r="AH212" s="78" t="str">
        <f t="shared" si="46"/>
        <v>"%USERPROFILE%\Documents\GitHub\eaglep3\Utilities\RefineRTDCRunTimes.py" --tripid 54-04 --locoid 4051 --swversion DE.1.0.9.0 --startMP 300:4944 --initTime 2017-11-04T04:34:45 --startdatetime 2017-11-04T04:37:28 --delay 82 --endMP 204:1162 --enddatetime 2017-11-04T04:39:40 --enforcementcount 0 &gt;&gt;%USERPROFILE%\Documents\GitHub\eaglep3-reporting\EC\2017-11-04-refined-times.txt</v>
      </c>
      <c r="AI212" s="96" t="str">
        <f t="shared" si="47"/>
        <v>echo {"issue":{"subject":"","project_id":79,"tracker_id":40,"status_id":1,"priority_id":2,"assigned_to_id":338,"start_date":"2017-11-04","description":"","custom_fields":[{"id":1,"name":"Subdivision","value":"Shuttle/Test"},{"id":4,"name":"Milepost","value":"0.1162"},{"id":17,"name":"Train ID","value":"54-04"},{"id":16,"name":"Locomotive ID","value":"4051"},{"id":130,"name":"Impact","value":""},{"id":150,"name":"Time of Event (Mountain Time)","value":"04:39:40"},{"id":151,"name":"Denver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48"/>
        <v>start /low /b %USERPROFILE%\Documents\GitHub\eaglep3\Utilities\DownloadLogsFromS3.py --loco 4051 --day 2017-11-04</v>
      </c>
      <c r="AN212" s="151" t="str">
        <f t="shared" si="4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10:39:40"},{"id":29,"name":"Sharepoint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50"/>
        <v>https://d0f6bd738d7f1b3e5a7ca70fe4ff75f0.us-east-1.aws.found.io/app/kibana#/discover/Steve-Slow-Train-Analysis-(2080s-and-2083s)?_g=(refreshInterval:(display:Off,pause:!f,section:0,value:0),time:(from:'2017-11-04T03:34:45-0600',mode:absolute,to:'2017-11-04T05:39:40-0600'))&amp;_a=(columns:!('Message%20ID',Summary),filters:!(),index:'emp_*',interval:auto,query:(query_string:(analyze_wildcard:!t,query:'%22rtdc.l.rtdc.4051%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822</v>
      </c>
      <c r="B213" s="7">
        <v>4017</v>
      </c>
      <c r="C213" s="21" t="s">
        <v>192</v>
      </c>
      <c r="D213" s="21" t="s">
        <v>1074</v>
      </c>
      <c r="E213" s="13">
        <v>43043.73641203704</v>
      </c>
      <c r="F213" s="13">
        <v>43043.741377314815</v>
      </c>
      <c r="G213" s="7">
        <v>209</v>
      </c>
      <c r="H213" s="21" t="s">
        <v>1075</v>
      </c>
      <c r="I213" s="13">
        <v>43043.74722222222</v>
      </c>
      <c r="J213" s="7">
        <v>0</v>
      </c>
      <c r="K213" s="89" t="str">
        <f>IF(ISEVEN(B213),(B213-1)&amp;"/"&amp;B213,B213&amp;"/"&amp;(B213+1))</f>
        <v>4017/4018</v>
      </c>
      <c r="L213" s="185" t="str">
        <f>VLOOKUP(A213,'Trips&amp;Operators'!$C$1:$G$99911,5,FALSE)</f>
        <v>GUNTHIER ERIC</v>
      </c>
      <c r="M213" s="6">
        <f>I213-F213</f>
        <v>5.8449074058444239E-3</v>
      </c>
      <c r="N213" s="7">
        <f>24*60*SUM($M213:$M213)</f>
        <v>8.4166666644159704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-04T16:40:26-0600',mode:absolute,to:'2017-11-04T18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12</v>
      </c>
      <c r="Y213" s="204">
        <f>RIGHT(D213,LEN(D213)-4)/10000</f>
        <v>2.3580000000000001</v>
      </c>
      <c r="Z213" s="204">
        <f>RIGHT(H213,LEN(H213)-4)/10000</f>
        <v>9.9299999999999999E-2</v>
      </c>
      <c r="AA213" s="204">
        <f>ABS(Z213-Y213)</f>
        <v>2.2587000000000002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66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s3://rtdc.mdm.uploadarchive.raw/RTDC4017/ "%USERPROFILE%\AppData\Local\Temp\OnboardLogs"\RTDC4017\2017-11-04 --exclude "*" --recursive --include "*20171104*" &amp; "%USERPROFILE%\Documents\GitHub\mrs-test-scripts\Headless Mode &amp; Sideloading\WalkAndUnGZ.bat" "%USERPROFILE%\AppData\Local\Temp\OnboardLogs"\RTDC4017\2017-11-04 &amp; aws s3 cp s3://rtdc.mdm.uploadarchive.raw/RTDC4017/ "%USERPROFILE%\AppData\Local\Temp\OnboardLogs"\RTDC4017\2017-11-05 --exclude "*" --recursive --include "*20171105*" &amp; "%USERPROFILE%\Documents\GitHub\mrs-test-scripts\Headless Mode &amp; Sideloading\WalkAndUnGZ.bat" "%USERPROFILE%\AppData\Local\Temp\OnboardLogs"\RTDC4017\2017-11-05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/stypes="app*4017*20171104*" /stext=" 23:.+((SYSTEM_STATE.+slice.+state.+changed )|(ment ac)|(multiple cpu faults)|(system.+state.+changed )|(\[timeout)|(PRM\|1\|D)|(kpr)|(kdp)|(train st.+moving)|(\|lc)|(penalty))"</v>
      </c>
      <c r="AG213" s="182" t="str">
        <f>DetSubdiv(A213)</f>
        <v>Shuttle/Test</v>
      </c>
      <c r="AH213" s="78" t="str">
        <f t="shared" ref="AH213:AH219" si="68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66-04 --locoid 4017 --swversion DE.1.0.9.0 --startMP 300:23580 --initTime 2017-11-04T17:40:26 --startdatetime 2017-11-04T17:47:35 --delay 209 --endMP 204:993 --enddatetime 2017-11-04T17:56:00 --enforcementcount 0 &gt;&gt;%USERPROFILE%\Documents\GitHub\eaglep3-reporting\EC\2017-11-04-refined-times.txt</v>
      </c>
      <c r="AI213" s="96" t="str">
        <f t="shared" ref="AI213:AI219" si="69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Shuttle/Test"},{"id":4,"name":"Milepost","value":"0.0993"},{"id":17,"name":"Train ID","value":"66-04"},{"id":16,"name":"Locomotive ID","value":"4017"},{"id":130,"name":"Impact","value":""},{"id":150,"name":"Time of Event (Mountain Time)","value":"17:56:00"},{"id":151,"name":"Denver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19" si="70">"start /low /b "&amp;dls3logs&amp;" --loco "&amp;B213&amp;" --day "&amp;TEXT(F213,"YYYY-MM-DD")</f>
        <v>start /low /b %USERPROFILE%\Documents\GitHub\eaglep3\Utilities\DownloadLogsFromS3.py --loco 4017 --day 2017-11-04</v>
      </c>
      <c r="AN213" s="151" t="str">
        <f t="shared" ref="AN213:AN219" si="71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19" si="72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-04T16:40:26-0600',mode:absolute,to:'2017-11-04T18:56:00-0600'))&amp;_a=(columns:!('Message%20ID',Summary),filters:!(),index:'emp_*',interval:auto,query:(query_string:(analyze_wildcard:!t,query:'%22rtdc.l.rtdc.4017%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832</v>
      </c>
      <c r="B214" s="7">
        <v>4046</v>
      </c>
      <c r="C214" s="21" t="s">
        <v>192</v>
      </c>
      <c r="D214" s="21" t="s">
        <v>589</v>
      </c>
      <c r="E214" s="13">
        <v>43043.771678240744</v>
      </c>
      <c r="F214" s="13">
        <v>43043.773472222223</v>
      </c>
      <c r="G214" s="7">
        <v>73</v>
      </c>
      <c r="H214" s="21" t="s">
        <v>1076</v>
      </c>
      <c r="I214" s="13">
        <v>43043.782870370371</v>
      </c>
      <c r="J214" s="7">
        <v>0</v>
      </c>
      <c r="K214" s="89" t="str">
        <f>IF(ISEVEN(B214),(B214-1)&amp;"/"&amp;B214,B214&amp;"/"&amp;(B214+1))</f>
        <v>4045/4046</v>
      </c>
      <c r="L214" s="185" t="str">
        <f>VLOOKUP(A214,'Trips&amp;Operators'!$C$1:$G$99911,5,FALSE)</f>
        <v>GONZALEZ ARMANDO</v>
      </c>
      <c r="M214" s="6">
        <f>I214-F214</f>
        <v>9.3981481477385387E-3</v>
      </c>
      <c r="N214" s="7">
        <f>24*60*SUM($M214:$M214)</f>
        <v>13.533333332743496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-04T17:31:13-0600',mode:absolute,to:'2017-11-04T19:47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3</v>
      </c>
      <c r="Y214" s="204">
        <f>RIGHT(D214,LEN(D214)-4)/10000</f>
        <v>4.3299999999999998E-2</v>
      </c>
      <c r="Z214" s="204">
        <f>RIGHT(H214,LEN(H214)-4)/10000</f>
        <v>2.3292999999999999</v>
      </c>
      <c r="AA214" s="204">
        <f>ABS(Z214-Y214)</f>
        <v>2.286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69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 &amp; aws s3 cp s3://rtdc.mdm.uploadarchive.raw/RTDC4046/ "%USERPROFILE%\AppData\Local\Temp\OnboardLogs"\RTDC4046\2017-11-05 --exclude "*" --recursive --include "*20171105*" &amp; "%USERPROFILE%\Documents\GitHub\mrs-test-scripts\Headless Mode &amp; Sideloading\WalkAndUnGZ.bat" "%USERPROFILE%\AppData\Local\Temp\OnboardLogs"\RTDC4046\2017-11-05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/stypes="app*4046*20171105*" /stext=" 00:.+((SYSTEM_STATE.+slice.+state.+changed )|(ment ac)|(multiple cpu faults)|(system.+state.+changed )|(\[timeout)|(PRM\|1\|D)|(kpr)|(kdp)|(train st.+moving)|(\|lc)|(penalty))"</v>
      </c>
      <c r="AG214" s="182" t="str">
        <f>DetSubdiv(A214)</f>
        <v>Shuttle/Test</v>
      </c>
      <c r="AH214" s="78" t="str">
        <f t="shared" si="68"/>
        <v>"%USERPROFILE%\Documents\GitHub\eaglep3\Utilities\RefineRTDCRunTimes.py" --tripid 69-04 --locoid 4046 --swversion DE.1.0.9.0 --startMP 204:433 --initTime 2017-11-04T18:31:13 --startdatetime 2017-11-04T18:33:48 --delay 73 --endMP 300:23293 --enddatetime 2017-11-04T18:47:20 --enforcementcount 0 &gt;&gt;%USERPROFILE%\Documents\GitHub\eaglep3-reporting\EC\2017-11-04-refined-times.txt</v>
      </c>
      <c r="AI214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2.3293"},{"id":17,"name":"Train ID","value":"69-04"},{"id":16,"name":"Locomotive ID","value":"4046"},{"id":130,"name":"Impact","value":""},{"id":150,"name":"Time of Event (Mountain Time)","value":"18:47:20"},{"id":151,"name":"Denver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70"/>
        <v>start /low /b %USERPROFILE%\Documents\GitHub\eaglep3\Utilities\DownloadLogsFromS3.py --loco 4046 --day 2017-11-04</v>
      </c>
      <c r="AN214" s="151" t="str">
        <f t="shared" si="7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72"/>
        <v>https://d0f6bd738d7f1b3e5a7ca70fe4ff75f0.us-east-1.aws.found.io/app/kibana#/discover/Steve-Slow-Train-Analysis-(2080s-and-2083s)?_g=(refreshInterval:(display:Off,pause:!f,section:0,value:0),time:(from:'2017-11-04T17:31:13-0600',mode:absolute,to:'2017-11-04T19:47:20-0600'))&amp;_a=(columns:!('Message%20ID',Summary),filters:!(),index:'emp_*',interval:auto,query:(query_string:(analyze_wildcard:!t,query:'%22rtdc.l.rtdc.4046%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809</v>
      </c>
      <c r="B215" s="7">
        <v>4016</v>
      </c>
      <c r="C215" s="21" t="s">
        <v>192</v>
      </c>
      <c r="D215" s="21" t="s">
        <v>1077</v>
      </c>
      <c r="E215" s="13">
        <v>43043.706111111111</v>
      </c>
      <c r="F215" s="13">
        <v>43043.707002314812</v>
      </c>
      <c r="G215" s="7">
        <v>47</v>
      </c>
      <c r="H215" s="21" t="s">
        <v>529</v>
      </c>
      <c r="I215" s="13">
        <v>43043.721412037034</v>
      </c>
      <c r="J215" s="7">
        <v>0</v>
      </c>
      <c r="K215" s="89" t="str">
        <f>IF(ISEVEN(B215),(B215-1)&amp;"/"&amp;B215,B215&amp;"/"&amp;(B215+1))</f>
        <v>4015/4016</v>
      </c>
      <c r="L215" s="185" t="str">
        <f>VLOOKUP(A215,'Trips&amp;Operators'!$C$1:$G$99911,5,FALSE)</f>
        <v>DELGADO DIANAH</v>
      </c>
      <c r="M215" s="6">
        <f>I215-F215</f>
        <v>1.4409722221898846E-2</v>
      </c>
      <c r="N215" s="7">
        <f>24*60*SUM($M215:$M215)</f>
        <v>20.749999999534339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-04T15:56:48-0600',mode:absolute,to:'2017-11-04T18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6</v>
      </c>
      <c r="Y215" s="204">
        <f>RIGHT(D215,LEN(D215)-4)/10000</f>
        <v>0.1225</v>
      </c>
      <c r="Z215" s="204">
        <f>RIGHT(H215,LEN(H215)-4)/10000</f>
        <v>2.3308</v>
      </c>
      <c r="AA215" s="204">
        <f>ABS(Z215-Y215)</f>
        <v>2.2082999999999999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75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 &amp; aws s3 cp s3://rtdc.mdm.uploadarchive.raw/RTDC4016/ "%USERPROFILE%\AppData\Local\Temp\OnboardLogs"\RTDC4016\2017-11-05 --exclude "*" --recursive --include "*20171105*" &amp; "%USERPROFILE%\Documents\GitHub\mrs-test-scripts\Headless Mode &amp; Sideloading\WalkAndUnGZ.bat" "%USERPROFILE%\AppData\Local\Temp\OnboardLogs"\RTDC4016\2017-11-05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/stypes="app*4016*20171104*" /stext=" 23:.+((SYSTEM_STATE.+slice.+state.+changed )|(ment ac)|(multiple cpu faults)|(system.+state.+changed )|(\[timeout)|(PRM\|1\|D)|(kpr)|(kdp)|(train st.+moving)|(\|lc)|(penalty))"</v>
      </c>
      <c r="AG215" s="182" t="str">
        <f>DetSubdiv(A215)</f>
        <v>Shuttle/Test</v>
      </c>
      <c r="AH215" s="78" t="str">
        <f t="shared" si="68"/>
        <v>"%USERPROFILE%\Documents\GitHub\eaglep3\Utilities\RefineRTDCRunTimes.py" --tripid 75-04 --locoid 4016 --swversion DE.1.0.9.0 --startMP 204:1225 --initTime 2017-11-04T16:56:48 --startdatetime 2017-11-04T16:58:05 --delay 47 --endMP 300:23308 --enddatetime 2017-11-04T17:18:50 --enforcementcount 0 &gt;&gt;%USERPROFILE%\Documents\GitHub\eaglep3-reporting\EC\2017-11-04-refined-times.txt</v>
      </c>
      <c r="AI215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2.3308"},{"id":17,"name":"Train ID","value":"75-04"},{"id":16,"name":"Locomotive ID","value":"4016"},{"id":130,"name":"Impact","value":""},{"id":150,"name":"Time of Event (Mountain Time)","value":"17:18:50"},{"id":151,"name":"Denver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70"/>
        <v>start /low /b %USERPROFILE%\Documents\GitHub\eaglep3\Utilities\DownloadLogsFromS3.py --loco 4016 --day 2017-11-04</v>
      </c>
      <c r="AN215" s="151" t="str">
        <f t="shared" si="71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23:18:50"},{"id":29,"name":"Sharepoint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72"/>
        <v>https://d0f6bd738d7f1b3e5a7ca70fe4ff75f0.us-east-1.aws.found.io/app/kibana#/discover/Steve-Slow-Train-Analysis-(2080s-and-2083s)?_g=(refreshInterval:(display:Off,pause:!f,section:0,value:0),time:(from:'2017-11-04T15:56:48-0600',mode:absolute,to:'2017-11-04T18:18:50-0600'))&amp;_a=(columns:!('Message%20ID',Summary),filters:!(),index:'emp_*',interval:auto,query:(query_string:(analyze_wildcard:!t,query:'%22rtdc.l.rtdc.4016%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833</v>
      </c>
      <c r="B216" s="7">
        <v>4018</v>
      </c>
      <c r="C216" s="21" t="s">
        <v>192</v>
      </c>
      <c r="D216" s="21" t="s">
        <v>1078</v>
      </c>
      <c r="E216" s="13">
        <v>43043.773136574076</v>
      </c>
      <c r="F216" s="13">
        <v>43043.78025462963</v>
      </c>
      <c r="G216" s="7">
        <v>69</v>
      </c>
      <c r="H216" s="21" t="s">
        <v>1079</v>
      </c>
      <c r="I216" s="13">
        <v>43043.781273148146</v>
      </c>
      <c r="J216" s="7">
        <v>0</v>
      </c>
      <c r="K216" s="89" t="str">
        <f>IF(ISEVEN(B216),(B216-1)&amp;"/"&amp;B216,B216&amp;"/"&amp;(B216+1))</f>
        <v>4017/4018</v>
      </c>
      <c r="L216" s="185" t="str">
        <f>VLOOKUP(A216,'Trips&amp;Operators'!$C$1:$G$99911,5,FALSE)</f>
        <v>GUNTHIER ERIC</v>
      </c>
      <c r="M216" s="6">
        <f>I216-F216</f>
        <v>1.0185185165028088E-3</v>
      </c>
      <c r="N216" s="7">
        <f>24*60*SUM($M216:$M216)</f>
        <v>1.4666666637640446</v>
      </c>
      <c r="O216" s="7"/>
      <c r="P216" s="7"/>
      <c r="Q216" s="22"/>
      <c r="R216" s="174"/>
      <c r="S216" s="221">
        <f>1/IF(AG216="EC",12,1)*SUM(U216:U216)</f>
        <v>0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-04T17:33:19-0600',mode:absolute,to:'2017-11-04T19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0.1305</v>
      </c>
      <c r="Z216" s="204">
        <f>RIGHT(H216,LEN(H216)-4)/10000</f>
        <v>0.53790000000000004</v>
      </c>
      <c r="AA216" s="204">
        <f>ABS(Z216-Y216)</f>
        <v>0.40740000000000004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76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s3://rtdc.mdm.uploadarchive.raw/RTDC4018/ "%USERPROFILE%\AppData\Local\Temp\OnboardLogs"\RTDC4018\2017-11-04 --exclude "*" --recursive --include "*20171104*" &amp; "%USERPROFILE%\Documents\GitHub\mrs-test-scripts\Headless Mode &amp; Sideloading\WalkAndUnGZ.bat" "%USERPROFILE%\AppData\Local\Temp\OnboardLogs"\RTDC4018\2017-11-04 &amp; aws s3 cp s3://rtdc.mdm.uploadarchive.raw/RTDC4018/ "%USERPROFILE%\AppData\Local\Temp\OnboardLogs"\RTDC4018\2017-11-05 --exclude "*" --recursive --include "*20171105*" &amp; "%USERPROFILE%\Documents\GitHub\mrs-test-scripts\Headless Mode &amp; Sideloading\WalkAndUnGZ.bat" "%USERPROFILE%\AppData\Local\Temp\OnboardLogs"\RTDC4018\2017-11-05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/stypes="app*4018*20171105*" /stext=" 00:.+((SYSTEM_STATE.+slice.+state.+changed )|(ment ac)|(multiple cpu faults)|(system.+state.+changed )|(\[timeout)|(PRM\|1\|D)|(kpr)|(kdp)|(train st.+moving)|(\|lc)|(penalty))"</v>
      </c>
      <c r="AG216" s="182" t="str">
        <f>DetSubdiv(A216)</f>
        <v>Shuttle/Test</v>
      </c>
      <c r="AH216" s="78" t="str">
        <f t="shared" si="68"/>
        <v>"%USERPROFILE%\Documents\GitHub\eaglep3\Utilities\RefineRTDCRunTimes.py" --tripid 76-04 --locoid 4018 --swversion DE.1.0.9.0 --startMP 204:1305 --initTime 2017-11-04T18:33:19 --startdatetime 2017-11-04T18:43:34 --delay 69 --endMP 300:5379 --enddatetime 2017-11-04T18:45:02 --enforcementcount 0 &gt;&gt;%USERPROFILE%\Documents\GitHub\eaglep3-reporting\EC\2017-11-04-refined-times.txt</v>
      </c>
      <c r="AI216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0.5379"},{"id":17,"name":"Train ID","value":"76-04"},{"id":16,"name":"Locomotive ID","value":"4018"},{"id":130,"name":"Impact","value":""},{"id":150,"name":"Time of Event (Mountain Time)","value":"18:45:02"},{"id":151,"name":"Denver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70"/>
        <v>start /low /b %USERPROFILE%\Documents\GitHub\eaglep3\Utilities\DownloadLogsFromS3.py --loco 4018 --day 2017-11-04</v>
      </c>
      <c r="AN216" s="151" t="str">
        <f t="shared" si="7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72"/>
        <v>https://d0f6bd738d7f1b3e5a7ca70fe4ff75f0.us-east-1.aws.found.io/app/kibana#/discover/Steve-Slow-Train-Analysis-(2080s-and-2083s)?_g=(refreshInterval:(display:Off,pause:!f,section:0,value:0),time:(from:'2017-11-04T17:33:19-0600',mode:absolute,to:'2017-11-04T19:45:02-0600'))&amp;_a=(columns:!('Message%20ID',Summary),filters:!(),index:'emp_*',interval:auto,query:(query_string:(analyze_wildcard:!t,query:'%22rtdc.l.rtdc.4018%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833</v>
      </c>
      <c r="B217" s="7">
        <v>4017</v>
      </c>
      <c r="C217" s="21" t="s">
        <v>192</v>
      </c>
      <c r="D217" s="21" t="s">
        <v>1080</v>
      </c>
      <c r="E217" s="13">
        <v>43043.779120370367</v>
      </c>
      <c r="F217" s="13">
        <v>43043.78025462963</v>
      </c>
      <c r="G217" s="7">
        <v>50</v>
      </c>
      <c r="H217" s="21" t="s">
        <v>1081</v>
      </c>
      <c r="I217" s="13">
        <v>43043.781273148146</v>
      </c>
      <c r="J217" s="7">
        <v>0</v>
      </c>
      <c r="K217" s="89" t="str">
        <f>IF(ISEVEN(B217),(B217-1)&amp;"/"&amp;B217,B217&amp;"/"&amp;(B217+1))</f>
        <v>4017/4018</v>
      </c>
      <c r="L217" s="185" t="str">
        <f>VLOOKUP(A217,'Trips&amp;Operators'!$C$1:$G$99911,5,FALSE)</f>
        <v>GUNTHIER ERIC</v>
      </c>
      <c r="M217" s="6">
        <f>I217-F217</f>
        <v>1.0185185165028088E-3</v>
      </c>
      <c r="N217" s="7">
        <f>24*60*SUM($M217:$M217)</f>
        <v>1.4666666637640446</v>
      </c>
      <c r="O217" s="7"/>
      <c r="P217" s="7"/>
      <c r="Q217" s="22"/>
      <c r="R217" s="174"/>
      <c r="S217" s="221">
        <f>1/IF(AG217="EC",12,1)*SUM(U217:U217)</f>
        <v>0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-04T17:41:56-0600',mode:absolute,to:'2017-11-04T19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0</v>
      </c>
      <c r="Y217" s="204">
        <f>RIGHT(D217,LEN(D217)-4)/10000</f>
        <v>0.50429999999999997</v>
      </c>
      <c r="Z217" s="204">
        <f>RIGHT(H217,LEN(H217)-4)/10000</f>
        <v>0.1709</v>
      </c>
      <c r="AA217" s="204">
        <f>ABS(Z217-Y217)</f>
        <v>0.33339999999999997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76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s3://rtdc.mdm.uploadarchive.raw/RTDC4017/ "%USERPROFILE%\AppData\Local\Temp\OnboardLogs"\RTDC4017\2017-11-04 --exclude "*" --recursive --include "*20171104*" &amp; "%USERPROFILE%\Documents\GitHub\mrs-test-scripts\Headless Mode &amp; Sideloading\WalkAndUnGZ.bat" "%USERPROFILE%\AppData\Local\Temp\OnboardLogs"\RTDC4017\2017-11-04 &amp; aws s3 cp s3://rtdc.mdm.uploadarchive.raw/RTDC4017/ "%USERPROFILE%\AppData\Local\Temp\OnboardLogs"\RTDC4017\2017-11-05 --exclude "*" --recursive --include "*20171105*" &amp; "%USERPROFILE%\Documents\GitHub\mrs-test-scripts\Headless Mode &amp; Sideloading\WalkAndUnGZ.bat" "%USERPROFILE%\AppData\Local\Temp\OnboardLogs"\RTDC4017\2017-11-05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/stypes="app*4017*20171105*" /stext=" 00:.+((SYSTEM_STATE.+slice.+state.+changed )|(ment ac)|(multiple cpu faults)|(system.+state.+changed )|(\[timeout)|(PRM\|1\|D)|(kpr)|(kdp)|(train st.+moving)|(\|lc)|(penalty))"</v>
      </c>
      <c r="AG217" s="182" t="str">
        <f>DetSubdiv(A217)</f>
        <v>Shuttle/Test</v>
      </c>
      <c r="AH217" s="78" t="str">
        <f t="shared" si="68"/>
        <v>"%USERPROFILE%\Documents\GitHub\eaglep3\Utilities\RefineRTDCRunTimes.py" --tripid 76-04 --locoid 4017 --swversion DE.1.0.9.0 --startMP 300:5043 --initTime 2017-11-04T18:41:56 --startdatetime 2017-11-04T18:43:34 --delay 50 --endMP 204:1709 --enddatetime 2017-11-04T18:45:02 --enforcementcount 0 &gt;&gt;%USERPROFILE%\Documents\GitHub\eaglep3-reporting\EC\2017-11-04-refined-times.txt</v>
      </c>
      <c r="AI217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0.1709"},{"id":17,"name":"Train ID","value":"76-04"},{"id":16,"name":"Locomotive ID","value":"4017"},{"id":130,"name":"Impact","value":""},{"id":150,"name":"Time of Event (Mountain Time)","value":"18:45:02"},{"id":151,"name":"Denver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70"/>
        <v>start /low /b %USERPROFILE%\Documents\GitHub\eaglep3\Utilities\DownloadLogsFromS3.py --loco 4017 --day 2017-11-04</v>
      </c>
      <c r="AN217" s="151" t="str">
        <f t="shared" si="7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72"/>
        <v>https://d0f6bd738d7f1b3e5a7ca70fe4ff75f0.us-east-1.aws.found.io/app/kibana#/discover/Steve-Slow-Train-Analysis-(2080s-and-2083s)?_g=(refreshInterval:(display:Off,pause:!f,section:0,value:0),time:(from:'2017-11-04T17:41:56-0600',mode:absolute,to:'2017-11-04T19:45:02-0600'))&amp;_a=(columns:!('Message%20ID',Summary),filters:!(),index:'emp_*',interval:auto,query:(query_string:(analyze_wildcard:!t,query:'%22rtdc.l.rtdc.4017%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823</v>
      </c>
      <c r="B218" s="7">
        <v>4022</v>
      </c>
      <c r="C218" s="21" t="s">
        <v>192</v>
      </c>
      <c r="D218" s="21" t="s">
        <v>638</v>
      </c>
      <c r="E218" s="13">
        <v>43043.747847222221</v>
      </c>
      <c r="F218" s="13">
        <v>43043.757974537039</v>
      </c>
      <c r="G218" s="7">
        <v>120</v>
      </c>
      <c r="H218" s="21" t="s">
        <v>637</v>
      </c>
      <c r="I218" s="13">
        <v>43043.759259259263</v>
      </c>
      <c r="J218" s="7">
        <v>0</v>
      </c>
      <c r="K218" s="89" t="str">
        <f>IF(ISEVEN(B218),(B218-1)&amp;"/"&amp;B218,B218&amp;"/"&amp;(B218+1))</f>
        <v>4021/4022</v>
      </c>
      <c r="L218" s="185" t="str">
        <f>VLOOKUP(A218,'Trips&amp;Operators'!$C$1:$G$99911,5,FALSE)</f>
        <v>GONZALEZ ARMANDO</v>
      </c>
      <c r="M218" s="6">
        <f>I218-F218</f>
        <v>1.2847222242271528E-3</v>
      </c>
      <c r="N218" s="7">
        <f>24*60*SUM($M218:$M218)</f>
        <v>1.8500000028871</v>
      </c>
      <c r="O218" s="7"/>
      <c r="P218" s="7"/>
      <c r="Q218" s="22"/>
      <c r="R218" s="174"/>
      <c r="S218" s="221">
        <f>1/IF(AG218="EC",12,1)*SUM(U218:U218)</f>
        <v>0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-04T16:56:54-0600',mode:absolute,to:'2017-11-04T19:13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0.1158</v>
      </c>
      <c r="Z218" s="204">
        <f>RIGHT(H218,LEN(H218)-4)/10000</f>
        <v>0.34749999999999998</v>
      </c>
      <c r="AA218" s="204">
        <f>ABS(Z218-Y218)</f>
        <v>0.23169999999999996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77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s3://rtdc.mdm.uploadarchive.raw/RTDC4022/ "%USERPROFILE%\AppData\Local\Temp\OnboardLogs"\RTDC4022\2017-11-04 --exclude "*" --recursive --include "*20171104*" &amp; "%USERPROFILE%\Documents\GitHub\mrs-test-scripts\Headless Mode &amp; Sideloading\WalkAndUnGZ.bat" "%USERPROFILE%\AppData\Local\Temp\OnboardLogs"\RTDC4022\2017-11-04 &amp; aws s3 cp s3://rtdc.mdm.uploadarchive.raw/RTDC4022/ "%USERPROFILE%\AppData\Local\Temp\OnboardLogs"\RTDC4022\2017-11-05 --exclude "*" --recursive --include "*20171105*" &amp; "%USERPROFILE%\Documents\GitHub\mrs-test-scripts\Headless Mode &amp; Sideloading\WalkAndUnGZ.bat" "%USERPROFILE%\AppData\Local\Temp\OnboardLogs"\RTDC4022\2017-11-05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/stypes="app*4022*20171105*" /stext=" 00:.+((SYSTEM_STATE.+slice.+state.+changed )|(ment ac)|(multiple cpu faults)|(system.+state.+changed )|(\[timeout)|(PRM\|1\|D)|(kpr)|(kdp)|(train st.+moving)|(\|lc)|(penalty))"</v>
      </c>
      <c r="AG218" s="182" t="str">
        <f>DetSubdiv(A218)</f>
        <v>Shuttle/Test</v>
      </c>
      <c r="AH218" s="78" t="str">
        <f t="shared" si="68"/>
        <v>"%USERPROFILE%\Documents\GitHub\eaglep3\Utilities\RefineRTDCRunTimes.py" --tripid 77-04 --locoid 4022 --swversion DE.1.0.9.0 --startMP 204:1158 --initTime 2017-11-04T17:56:54 --startdatetime 2017-11-04T18:11:29 --delay 120 --endMP 204:3475 --enddatetime 2017-11-04T18:13:20 --enforcementcount 0 &gt;&gt;%USERPROFILE%\Documents\GitHub\eaglep3-reporting\EC\2017-11-04-refined-times.txt</v>
      </c>
      <c r="AI218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0.3475"},{"id":17,"name":"Train ID","value":"77-04"},{"id":16,"name":"Locomotive ID","value":"4022"},{"id":130,"name":"Impact","value":""},{"id":150,"name":"Time of Event (Mountain Time)","value":"18:13:20"},{"id":151,"name":"Denver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70"/>
        <v>start /low /b %USERPROFILE%\Documents\GitHub\eaglep3\Utilities\DownloadLogsFromS3.py --loco 4022 --day 2017-11-04</v>
      </c>
      <c r="AN218" s="151" t="str">
        <f t="shared" si="7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00:13:20"},{"id":29,"name":"Sharepoint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72"/>
        <v>https://d0f6bd738d7f1b3e5a7ca70fe4ff75f0.us-east-1.aws.found.io/app/kibana#/discover/Steve-Slow-Train-Analysis-(2080s-and-2083s)?_g=(refreshInterval:(display:Off,pause:!f,section:0,value:0),time:(from:'2017-11-04T16:56:54-0600',mode:absolute,to:'2017-11-04T19:13:20-0600'))&amp;_a=(columns:!('Message%20ID',Summary),filters:!(),index:'emp_*',interval:auto,query:(query_string:(analyze_wildcard:!t,query:'%22rtdc.l.rtdc.4022%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823</v>
      </c>
      <c r="B219" s="7">
        <v>4021</v>
      </c>
      <c r="C219" s="21" t="s">
        <v>192</v>
      </c>
      <c r="D219" s="21" t="s">
        <v>1082</v>
      </c>
      <c r="E219" s="13">
        <v>43043.756249999999</v>
      </c>
      <c r="F219" s="13">
        <v>43043.757974537039</v>
      </c>
      <c r="G219" s="7">
        <v>76</v>
      </c>
      <c r="H219" s="21" t="s">
        <v>626</v>
      </c>
      <c r="I219" s="13">
        <v>43043.759259259263</v>
      </c>
      <c r="J219" s="7">
        <v>0</v>
      </c>
      <c r="K219" s="89" t="str">
        <f>IF(ISEVEN(B219),(B219-1)&amp;"/"&amp;B219,B219&amp;"/"&amp;(B219+1))</f>
        <v>4021/4022</v>
      </c>
      <c r="L219" s="185" t="str">
        <f>VLOOKUP(A219,'Trips&amp;Operators'!$C$1:$G$99911,5,FALSE)</f>
        <v>GONZALEZ ARMANDO</v>
      </c>
      <c r="M219" s="6">
        <f>I219-F219</f>
        <v>1.2847222242271528E-3</v>
      </c>
      <c r="N219" s="7">
        <f>24*60*SUM($M219:$M219)</f>
        <v>1.8500000028871</v>
      </c>
      <c r="O219" s="7"/>
      <c r="P219" s="7"/>
      <c r="Q219" s="22"/>
      <c r="R219" s="174"/>
      <c r="S219" s="221">
        <f>1/IF(AG219="EC",12,1)*SUM(U219:U219)</f>
        <v>0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-04T17:09:00-0600',mode:absolute,to:'2017-11-04T19:13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0</v>
      </c>
      <c r="Y219" s="204">
        <f>RIGHT(D219,LEN(D219)-4)/10000</f>
        <v>0.31490000000000001</v>
      </c>
      <c r="Z219" s="204">
        <f>RIGHT(H219,LEN(H219)-4)/10000</f>
        <v>2.5999999999999999E-2</v>
      </c>
      <c r="AA219" s="204">
        <f>ABS(Z219-Y219)</f>
        <v>0.28889999999999999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77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s3://rtdc.mdm.uploadarchive.raw/RTDC4021/ "%USERPROFILE%\AppData\Local\Temp\OnboardLogs"\RTDC4021\2017-11-04 --exclude "*" --recursive --include "*20171104*" &amp; "%USERPROFILE%\Documents\GitHub\mrs-test-scripts\Headless Mode &amp; Sideloading\WalkAndUnGZ.bat" "%USERPROFILE%\AppData\Local\Temp\OnboardLogs"\RTDC4021\2017-11-04 &amp; aws s3 cp s3://rtdc.mdm.uploadarchive.raw/RTDC4021/ "%USERPROFILE%\AppData\Local\Temp\OnboardLogs"\RTDC4021\2017-11-05 --exclude "*" --recursive --include "*20171105*" &amp; "%USERPROFILE%\Documents\GitHub\mrs-test-scripts\Headless Mode &amp; Sideloading\WalkAndUnGZ.bat" "%USERPROFILE%\AppData\Local\Temp\OnboardLogs"\RTDC4021\2017-11-05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/stypes="app*4021*20171105*" /stext=" 00:.+((SYSTEM_STATE.+slice.+state.+changed )|(ment ac)|(multiple cpu faults)|(system.+state.+changed )|(\[timeout)|(PRM\|1\|D)|(kpr)|(kdp)|(train st.+moving)|(\|lc)|(penalty))"</v>
      </c>
      <c r="AG219" s="182" t="str">
        <f>DetSubdiv(A219)</f>
        <v>Shuttle/Test</v>
      </c>
      <c r="AH219" s="78" t="str">
        <f t="shared" si="68"/>
        <v>"%USERPROFILE%\Documents\GitHub\eaglep3\Utilities\RefineRTDCRunTimes.py" --tripid 77-04 --locoid 4021 --swversion DE.1.0.9.0 --startMP 204:3149 --initTime 2017-11-04T18:09:00 --startdatetime 2017-11-04T18:11:29 --delay 76 --endMP 204:260 --enddatetime 2017-11-04T18:13:20 --enforcementcount 0 &gt;&gt;%USERPROFILE%\Documents\GitHub\eaglep3-reporting\EC\2017-11-04-refined-times.txt</v>
      </c>
      <c r="AI219" s="96" t="str">
        <f t="shared" si="69"/>
        <v>echo {"issue":{"subject":"","project_id":79,"tracker_id":40,"status_id":1,"priority_id":2,"assigned_to_id":338,"start_date":"2017-11-04","description":"","custom_fields":[{"id":1,"name":"Subdivision","value":"Shuttle/Test"},{"id":4,"name":"Milepost","value":"0.026"},{"id":17,"name":"Train ID","value":"77-04"},{"id":16,"name":"Locomotive ID","value":"4021"},{"id":130,"name":"Impact","value":""},{"id":150,"name":"Time of Event (Mountain Time)","value":"18:13:20"},{"id":151,"name":"Denver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70"/>
        <v>start /low /b %USERPROFILE%\Documents\GitHub\eaglep3\Utilities\DownloadLogsFromS3.py --loco 4021 --day 2017-11-04</v>
      </c>
      <c r="AN219" s="151" t="str">
        <f t="shared" si="7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00:13:20"},{"id":29,"name":"Sharepoint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72"/>
        <v>https://d0f6bd738d7f1b3e5a7ca70fe4ff75f0.us-east-1.aws.found.io/app/kibana#/discover/Steve-Slow-Train-Analysis-(2080s-and-2083s)?_g=(refreshInterval:(display:Off,pause:!f,section:0,value:0),time:(from:'2017-11-04T17:09:00-0600',mode:absolute,to:'2017-11-04T19:13:20-0600'))&amp;_a=(columns:!('Message%20ID',Summary),filters:!(),index:'emp_*',interval:auto,query:(query_string:(analyze_wildcard:!t,query:'%22rtdc.l.rtdc.4021%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4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4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4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4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4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4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4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4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</sheetData>
  <autoFilter ref="A12:AG456">
    <sortState ref="A13:AG456">
      <sortCondition ref="AG13:AG219"/>
      <sortCondition ref="AD13:AD219"/>
    </sortState>
  </autoFilter>
  <sortState ref="A13:AN361">
    <sortCondition ref="AG13:AG361"/>
    <sortCondition ref="AD13:AD361"/>
  </sortState>
  <mergeCells count="1">
    <mergeCell ref="A11:P11"/>
  </mergeCells>
  <conditionalFormatting sqref="W11:W12 W462:X1048576 W13:X219">
    <cfRule type="cellIs" dxfId="10" priority="457" operator="equal">
      <formula>"Y"</formula>
    </cfRule>
  </conditionalFormatting>
  <conditionalFormatting sqref="X462:X1048576 X13:X219">
    <cfRule type="cellIs" dxfId="9" priority="440" operator="greaterThan">
      <formula>1</formula>
    </cfRule>
  </conditionalFormatting>
  <conditionalFormatting sqref="X462:X1048576 X12:X219">
    <cfRule type="cellIs" dxfId="8" priority="437" operator="equal">
      <formula>0</formula>
    </cfRule>
  </conditionalFormatting>
  <conditionalFormatting sqref="A13:S219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COUNTIF($O$7:$O$233,"=Y")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COUNTA($O$7:$O$233)-O2</f>
        <v>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- 2017-11-04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43043.379513888889</v>
      </c>
      <c r="B7" s="30" t="s">
        <v>653</v>
      </c>
      <c r="C7" s="30" t="s">
        <v>654</v>
      </c>
      <c r="D7" s="30" t="s">
        <v>49</v>
      </c>
      <c r="E7" s="30" t="s">
        <v>183</v>
      </c>
      <c r="F7" s="42">
        <v>0</v>
      </c>
      <c r="G7" s="42">
        <v>223</v>
      </c>
      <c r="H7" s="42">
        <v>26889</v>
      </c>
      <c r="I7" s="42">
        <v>27172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-62.832000000000001</v>
      </c>
      <c r="N7" s="133" t="str">
        <f>VLOOKUP(C7,'Trips&amp;Operators'!$C$1:$G$99911,5,FALSE)</f>
        <v>MAELZER KURT</v>
      </c>
      <c r="O7" s="176" t="s">
        <v>178</v>
      </c>
      <c r="P7" s="134" t="s">
        <v>345</v>
      </c>
      <c r="Q7" s="30"/>
      <c r="R7" s="81" t="str">
        <f>VLOOKUP(C7,'Train Runs'!$A$13:$AE$10115,31,0)</f>
        <v>aws s3 cp s3://rtdc.mdm.uploadarchive.raw/RTDC4020/ "%USERPROFILE%\AppData\Local\Temp\OnboardLogs"\RTDC4020\2017-11-04 --exclude "*" --recursive --include "*20171104*" &amp; "%USERPROFILE%\Documents\GitHub\mrs-test-scripts\Headless Mode &amp; Sideloading\WalkAndUnGZ.bat" "%USERPROFILE%\AppData\Local\Temp\OnboardLogs"\RTDC4020\2017-11-04 &amp; aws s3 cp s3://rtdc.mdm.uploadarchive.raw/RTDC4020/ "%USERPROFILE%\AppData\Local\Temp\OnboardLogs"\RTDC4020\2017-11-05 --exclude "*" --recursive --include "*20171105*" &amp; "%USERPROFILE%\Documents\GitHub\mrs-test-scripts\Headless Mode &amp; Sideloading\WalkAndUnGZ.bat" "%USERPROFILE%\AppData\Local\Temp\OnboardLogs"\RTDC4020\2017-11-05</v>
      </c>
      <c r="S7" s="84" t="str">
        <f>VLOOKUP(C7,'Train Runs'!$A$13:$AE$10115,22,0)</f>
        <v>https://d0f6bd738d7f1b3e5a7ca70fe4ff75f0.us-east-1.aws.found.io/app/kibana#/discover/Steve-Slow-Train-Analysis-(2080s-and-2083s)?_g=(refreshInterval:(display:Off,pause:!f,section:0,value:0),time:(from:'2017-11-04T07:54:13-0600',mode:absolute,to:'2017-11-04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/stypes="*4020*201711041*" /stext=" 15:.+((SYSTEM_STATE.+slice.+state.+changed )|(ment ac)|(multiple cpu faults)|(system.+state.+changed )|(\[timeout)|(PRM\|1\|D)|(kpr)|(kdp)|(train st.+moving)|(\|lc)|(penalty))"</v>
      </c>
      <c r="U7" s="9" t="str">
        <f>MID(B7,13,4)</f>
        <v>4020</v>
      </c>
      <c r="V7" s="31">
        <f>A7-utc_offset/24</f>
        <v>43043.629513888889</v>
      </c>
      <c r="W7" s="45" t="str">
        <f>DetSubdiv(C7)</f>
        <v>EC</v>
      </c>
      <c r="X7" s="22">
        <f>VALUE(LEFT(C7,LEN(C7)-3))</f>
        <v>143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Arrival","project_id":79,"tracker_id":40,"status_id":1,"priority_id":2,"assigned_to_id":338,"start_date":"2017-11-04","description":"","custom_fields":[{"id":1,"name":"Subdivision","value":"EC"},{"id":4,"name":"Milepost","value":"2.7053"},{"id":17,"name":"Train ID","value":"143-04"},{"id":16,"name":"Locomotive ID","value":"4020"},{"id":130,"name":"Impact","value":""},{"id":150,"name":"Time of Event (Mountain Time)","value":"09:06:30"},{"id":151,"name":"Denver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/c/Users/stu/AppData/Local/Temp/OnboardLogs/RTDC4020 --include="*4020*201711041*"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"%USERPROFILE%\AppData\Local\Temp\OnboardLogs"\RTDC4020\*4020*201711041* &gt;&gt; 2017-11-04-SliceDisagreementCheck.txt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4020 --day 2017-11-04</v>
      </c>
    </row>
    <row r="8" spans="1:32" s="1" customFormat="1" x14ac:dyDescent="0.25">
      <c r="A8" s="31">
        <v>43043.93172453704</v>
      </c>
      <c r="B8" s="30" t="s">
        <v>543</v>
      </c>
      <c r="C8" s="30" t="s">
        <v>662</v>
      </c>
      <c r="D8" s="30" t="s">
        <v>49</v>
      </c>
      <c r="E8" s="30" t="s">
        <v>183</v>
      </c>
      <c r="F8" s="42">
        <v>250</v>
      </c>
      <c r="G8" s="42">
        <v>308</v>
      </c>
      <c r="H8" s="42">
        <v>58464</v>
      </c>
      <c r="I8" s="42">
        <v>57822</v>
      </c>
      <c r="J8" s="30" t="s">
        <v>184</v>
      </c>
      <c r="K8" s="42">
        <v>58301</v>
      </c>
      <c r="L8" s="131" t="s">
        <v>51</v>
      </c>
      <c r="M8" s="132">
        <f>CONVERT((I8-K8)/10000,"mi","ft")*IF(L8="Increasing Mileposts (1)",-1,1)</f>
        <v>-252.91200000000001</v>
      </c>
      <c r="N8" s="133" t="str">
        <f>VLOOKUP(C8,'Trips&amp;Operators'!$C$1:$G$99911,5,FALSE)</f>
        <v>WEST BRYAN</v>
      </c>
      <c r="O8" s="176" t="s">
        <v>178</v>
      </c>
      <c r="P8" s="134" t="s">
        <v>345</v>
      </c>
      <c r="Q8" s="30"/>
      <c r="R8" s="81" t="str">
        <f>VLOOKUP(C8,'Train Runs'!$A$13:$AE$10115,31,0)</f>
        <v>aws s3 cp s3://rtdc.mdm.uploadarchive.raw/RTDC4005/ "%USERPROFILE%\AppData\Local\Temp\OnboardLogs"\RTDC4005\2017-11-04 --exclude "*" --recursive --include "*20171104*" &amp; "%USERPROFILE%\Documents\GitHub\mrs-test-scripts\Headless Mode &amp; Sideloading\WalkAndUnGZ.bat" "%USERPROFILE%\AppData\Local\Temp\OnboardLogs"\RTDC4005\2017-11-04 &amp; aws s3 cp s3://rtdc.mdm.uploadarchive.raw/RTDC4005/ "%USERPROFILE%\AppData\Local\Temp\OnboardLogs"\RTDC4005\2017-11-05 --exclude "*" --recursive --include "*20171105*" &amp; "%USERPROFILE%\Documents\GitHub\mrs-test-scripts\Headless Mode &amp; Sideloading\WalkAndUnGZ.bat" "%USERPROFILE%\AppData\Local\Temp\OnboardLogs"\RTDC4005\2017-11-05</v>
      </c>
      <c r="S8" s="84" t="str">
        <f>VLOOKUP(C8,'Train Runs'!$A$13:$AE$10115,22,0)</f>
        <v>https://d0f6bd738d7f1b3e5a7ca70fe4ff75f0.us-east-1.aws.found.io/app/kibana#/discover/Steve-Slow-Train-Analysis-(2080s-and-2083s)?_g=(refreshInterval:(display:Off,pause:!f,section:0,value:0),time:(from:'2017-11-04T20:42:08-0600',mode:absolute,to:'2017-11-04T23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/stypes="*4005*201711050*" /stext=" 04:.+((SYSTEM_STATE.+slice.+state.+changed )|(ment ac)|(multiple cpu faults)|(system.+state.+changed )|(\[timeout)|(PRM\|1\|D)|(kpr)|(kdp)|(train st.+moving)|(\|lc)|(penalty))"</v>
      </c>
      <c r="U8" s="9" t="str">
        <f>MID(B8,13,4)</f>
        <v>4005</v>
      </c>
      <c r="V8" s="31">
        <f>A8-utc_offset/24</f>
        <v>43044.18172453704</v>
      </c>
      <c r="W8" s="45" t="str">
        <f>DetSubdiv(C8)</f>
        <v>EC</v>
      </c>
      <c r="X8" s="22">
        <f>VALUE(LEFT(C8,LEN(C8)-3))</f>
        <v>230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Arrival","project_id":79,"tracker_id":40,"status_id":1,"priority_id":2,"assigned_to_id":338,"start_date":"2017-11-04","description":"","custom_fields":[{"id":1,"name":"Subdivision","value":"EC"},{"id":4,"name":"Milepost","value":"5.8301"},{"id":17,"name":"Train ID","value":"230-04"},{"id":16,"name":"Locomotive ID","value":"4005"},{"id":130,"name":"Impact","value":""},{"id":150,"name":"Time of Event (Mountain Time)","value":"22:21:41"},{"id":151,"name":"Denver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/c/Users/stu/AppData/Local/Temp/OnboardLogs/RTDC4005 --include="*4005*201711050*"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"%USERPROFILE%\AppData\Local\Temp\OnboardLogs"\RTDC4005\*4005*201711050* &gt;&gt; 2017-11-04-SliceDisagreementCheck.txt</v>
      </c>
      <c r="AE8" s="145" t="str">
        <f t="shared" ref="AE8:AE18" si="1">"start /low /b "&amp;dls3logs&amp;" --loco "&amp;U8&amp;" --day "&amp;TEXT(V8,"YYYY-MM-DD")</f>
        <v>start /low /b %USERPROFILE%\Documents\GitHub\eaglep3\Utilities\DownloadLogsFromS3.py --loco 4005 --day 2017-11-05</v>
      </c>
    </row>
    <row r="9" spans="1:32" s="1" customFormat="1" x14ac:dyDescent="0.25">
      <c r="A9" s="31">
        <v>43043.49386574074</v>
      </c>
      <c r="B9" s="30" t="s">
        <v>380</v>
      </c>
      <c r="C9" s="30" t="s">
        <v>656</v>
      </c>
      <c r="D9" s="30" t="s">
        <v>95</v>
      </c>
      <c r="E9" s="30" t="s">
        <v>183</v>
      </c>
      <c r="F9" s="42">
        <v>0</v>
      </c>
      <c r="G9" s="42">
        <v>79</v>
      </c>
      <c r="H9" s="42">
        <v>63286</v>
      </c>
      <c r="I9" s="42">
        <v>63200</v>
      </c>
      <c r="J9" s="30" t="s">
        <v>184</v>
      </c>
      <c r="K9" s="42">
        <v>63309</v>
      </c>
      <c r="L9" s="131" t="s">
        <v>51</v>
      </c>
      <c r="M9" s="132">
        <f>CONVERT((I9-K9)/10000,"mi","ft")*IF(L9="Increasing Mileposts (1)",-1,1)</f>
        <v>-57.552</v>
      </c>
      <c r="N9" s="133" t="str">
        <f>VLOOKUP(C9,'Trips&amp;Operators'!$C$1:$G$99911,5,FALSE)</f>
        <v>MACDONALD THOMAS</v>
      </c>
      <c r="O9" s="176" t="s">
        <v>178</v>
      </c>
      <c r="P9" s="134" t="s">
        <v>345</v>
      </c>
      <c r="Q9" s="30"/>
      <c r="R9" s="81" t="str">
        <f>VLOOKUP(C9,'Train Runs'!$A$13:$AE$10115,31,0)</f>
        <v>aws s3 cp s3://rtdc.mdm.uploadarchive.raw/RTDC4011/ "%USERPROFILE%\AppData\Local\Temp\OnboardLogs"\RTDC4011\2017-11-04 --exclude "*" --recursive --include "*20171104*" &amp; "%USERPROFILE%\Documents\GitHub\mrs-test-scripts\Headless Mode &amp; Sideloading\WalkAndUnGZ.bat" "%USERPROFILE%\AppData\Local\Temp\OnboardLogs"\RTDC4011\2017-11-04 &amp; aws s3 cp s3://rtdc.mdm.uploadarchive.raw/RTDC4011/ "%USERPROFILE%\AppData\Local\Temp\OnboardLogs"\RTDC4011\2017-11-05 --exclude "*" --recursive --include "*20171105*" &amp; "%USERPROFILE%\Documents\GitHub\mrs-test-scripts\Headless Mode &amp; Sideloading\WalkAndUnGZ.bat" "%USERPROFILE%\AppData\Local\Temp\OnboardLogs"\RTDC4011\2017-11-05</v>
      </c>
      <c r="S9" s="84" t="str">
        <f>VLOOKUP(C9,'Train Runs'!$A$13:$AE$10115,22,0)</f>
        <v>https://d0f6bd738d7f1b3e5a7ca70fe4ff75f0.us-east-1.aws.found.io/app/kibana#/discover/Steve-Slow-Train-Analysis-(2080s-and-2083s)?_g=(refreshInterval:(display:Off,pause:!f,section:0,value:0),time:(from:'2017-11-04T10:23:45-0600',mode:absolute,to:'2017-11-04T13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/stypes="*4011*201711041*" /stext=" 17:.+((SYSTEM_STATE.+slice.+state.+changed )|(ment ac)|(multiple cpu faults)|(system.+state.+changed )|(\[timeout)|(PRM\|1\|D)|(kpr)|(kdp)|(train st.+moving)|(\|lc)|(penalty))"</v>
      </c>
      <c r="U9" s="9" t="str">
        <f>MID(B9,13,4)</f>
        <v>4011</v>
      </c>
      <c r="V9" s="31">
        <f>A9-utc_offset/24</f>
        <v>43043.74386574074</v>
      </c>
      <c r="W9" s="45" t="str">
        <f>DetSubdiv(C9)</f>
        <v>EC</v>
      </c>
      <c r="X9" s="22">
        <f>VALUE(LEFT(C9,LEN(C9)-3))</f>
        <v>156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Arrival","project_id":79,"tracker_id":40,"status_id":1,"priority_id":2,"assigned_to_id":338,"start_date":"2017-11-04","description":"","custom_fields":[{"id":1,"name":"Subdivision","value":"EC"},{"id":4,"name":"Milepost","value":"6.3309"},{"id":17,"name":"Train ID","value":"156-04"},{"id":16,"name":"Locomotive ID","value":"4011"},{"id":130,"name":"Impact","value":""},{"id":150,"name":"Time of Event (Mountain Time)","value":"11:51:10"},{"id":151,"name":"Denver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/c/Users/stu/AppData/Local/Temp/OnboardLogs/RTDC4011 --include="*4011*201711041*"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"%USERPROFILE%\AppData\Local\Temp\OnboardLogs"\RTDC4011\*4011*201711041* &gt;&gt; 2017-11-04-SliceDisagreementCheck.txt</v>
      </c>
      <c r="AE9" s="145" t="str">
        <f t="shared" si="1"/>
        <v>start /low /b %USERPROFILE%\Documents\GitHub\eaglep3\Utilities\DownloadLogsFromS3.py --loco 4011 --day 2017-11-04</v>
      </c>
    </row>
    <row r="10" spans="1:32" s="1" customFormat="1" x14ac:dyDescent="0.25">
      <c r="A10" s="31">
        <v>43043.233368055553</v>
      </c>
      <c r="B10" s="30" t="s">
        <v>379</v>
      </c>
      <c r="C10" s="30" t="s">
        <v>650</v>
      </c>
      <c r="D10" s="30" t="s">
        <v>49</v>
      </c>
      <c r="E10" s="30" t="s">
        <v>190</v>
      </c>
      <c r="F10" s="42">
        <v>400</v>
      </c>
      <c r="G10" s="42">
        <v>585</v>
      </c>
      <c r="H10" s="42">
        <v>115388</v>
      </c>
      <c r="I10" s="42">
        <v>117219</v>
      </c>
      <c r="J10" s="30" t="s">
        <v>191</v>
      </c>
      <c r="K10" s="42">
        <v>116838</v>
      </c>
      <c r="L10" s="131" t="s">
        <v>50</v>
      </c>
      <c r="M10" s="132">
        <f>CONVERT((I10-K10)/10000,"mi","ft")*IF(L10="Increasing Mileposts (1)",-1,1)</f>
        <v>-201.16800000000001</v>
      </c>
      <c r="N10" s="133" t="str">
        <f>VLOOKUP(C10,'Trips&amp;Operators'!$C$1:$G$99911,5,FALSE)</f>
        <v>MACDONALD THOMAS</v>
      </c>
      <c r="O10" s="176" t="s">
        <v>178</v>
      </c>
      <c r="P10" s="134"/>
      <c r="Q10" s="30"/>
      <c r="R10" s="81" t="str">
        <f>VLOOKUP(C10,'Train Runs'!$A$13:$AE$10115,31,0)</f>
        <v>aws s3 cp s3://rtdc.mdm.uploadarchive.raw/RTDC4012/ "%USERPROFILE%\AppData\Local\Temp\OnboardLogs"\RTDC4012\2017-11-04 --exclude "*" --recursive --include "*20171104*" &amp; "%USERPROFILE%\Documents\GitHub\mrs-test-scripts\Headless Mode &amp; Sideloading\WalkAndUnGZ.bat" "%USERPROFILE%\AppData\Local\Temp\OnboardLogs"\RTDC4012\2017-11-04 &amp; aws s3 cp s3://rtdc.mdm.uploadarchive.raw/RTDC4012/ "%USERPROFILE%\AppData\Local\Temp\OnboardLogs"\RTDC4012\2017-11-05 --exclude "*" --recursive --include "*20171105*" &amp; "%USERPROFILE%\Documents\GitHub\mrs-test-scripts\Headless Mode &amp; Sideloading\WalkAndUnGZ.bat" "%USERPROFILE%\AppData\Local\Temp\OnboardLogs"\RTDC4012\2017-11-05</v>
      </c>
      <c r="S10" s="84" t="str">
        <f>VLOOKUP(C10,'Train Runs'!$A$13:$AE$10115,22,0)</f>
        <v>https://d0f6bd738d7f1b3e5a7ca70fe4ff75f0.us-east-1.aws.found.io/app/kibana#/discover/Steve-Slow-Train-Analysis-(2080s-and-2083s)?_g=(refreshInterval:(display:Off,pause:!f,section:0,value:0),time:(from:'2017-11-04T04:02:05-0600',mode:absolute,to:'2017-11-04T06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/stypes="*4012*201711041*" /stext=" 11:.+((SYSTEM_STATE.+slice.+state.+changed )|(ment ac)|(multiple cpu faults)|(system.+state.+changed )|(\[timeout)|(PRM\|1\|D)|(kpr)|(kdp)|(train st.+moving)|(\|lc)|(penalty))"</v>
      </c>
      <c r="U10" s="9" t="str">
        <f>MID(B10,13,4)</f>
        <v>4012</v>
      </c>
      <c r="V10" s="31">
        <f>A10-utc_offset/24</f>
        <v>43043.483368055553</v>
      </c>
      <c r="W10" s="45" t="str">
        <f>DetSubdiv(C10)</f>
        <v>EC</v>
      </c>
      <c r="X10" s="22">
        <f>VALUE(LEFT(C10,LEN(C10)-3))</f>
        <v>113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{"issue":{"subject":"","project_id":79,"tracker_id":40,"status_id":1,"priority_id":2,"assigned_to_id":338,"start_date":"2017-11-04","description":"","custom_fields":[{"id":1,"name":"Subdivision","value":"EC"},{"id":4,"name":"Milepost","value":"11.6838"},{"id":17,"name":"Train ID","value":"113-04"},{"id":16,"name":"Locomotive ID","value":"4012"},{"id":130,"name":"Impact","value":""},{"id":150,"name":"Time of Event (Mountain Time)","value":"05:36:03"},{"id":151,"name":"Denver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/c/Users/stu/AppData/Local/Temp/OnboardLogs/RTDC4012 --include="*4012*201711041*"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"%USERPROFILE%\AppData\Local\Temp\OnboardLogs"\RTDC4012\*4012*201711041* &gt;&gt; 2017-11-04-SliceDisagreementCheck.txt</v>
      </c>
      <c r="AE10" s="145" t="str">
        <f t="shared" si="1"/>
        <v>start /low /b %USERPROFILE%\Documents\GitHub\eaglep3\Utilities\DownloadLogsFromS3.py --loco 4012 --day 2017-11-04</v>
      </c>
    </row>
    <row r="11" spans="1:32" x14ac:dyDescent="0.25">
      <c r="A11" s="31">
        <v>43043.624641203707</v>
      </c>
      <c r="B11" s="30" t="s">
        <v>536</v>
      </c>
      <c r="C11" s="30" t="s">
        <v>661</v>
      </c>
      <c r="D11" s="30" t="s">
        <v>49</v>
      </c>
      <c r="E11" s="30" t="s">
        <v>190</v>
      </c>
      <c r="F11" s="42">
        <v>600</v>
      </c>
      <c r="G11" s="42">
        <v>712</v>
      </c>
      <c r="H11" s="42">
        <v>181610</v>
      </c>
      <c r="I11" s="42">
        <v>184434</v>
      </c>
      <c r="J11" s="30" t="s">
        <v>191</v>
      </c>
      <c r="K11" s="42">
        <v>183829</v>
      </c>
      <c r="L11" s="131" t="s">
        <v>50</v>
      </c>
      <c r="M11" s="132">
        <f>CONVERT((I11-K11)/10000,"mi","ft")*IF(L11="Increasing Mileposts (1)",-1,1)</f>
        <v>-319.44</v>
      </c>
      <c r="N11" s="133" t="str">
        <f>VLOOKUP(C11,'Trips&amp;Operators'!$C$1:$G$99911,5,FALSE)</f>
        <v>STRICKLAND EVAN</v>
      </c>
      <c r="O11" s="176" t="s">
        <v>178</v>
      </c>
      <c r="P11" s="134"/>
      <c r="Q11" s="30"/>
      <c r="R11" s="81" t="str">
        <f>VLOOKUP(C11,'Train Runs'!$A$13:$AE$10115,31,0)</f>
        <v>aws s3 cp s3://rtdc.mdm.uploadarchive.raw/RTDC4066/ "%USERPROFILE%\AppData\Local\Temp\OnboardLogs"\RTDC4066\2017-11-04 --exclude "*" --recursive --include "*20171104*" &amp; "%USERPROFILE%\Documents\GitHub\mrs-test-scripts\Headless Mode &amp; Sideloading\WalkAndUnGZ.bat" "%USERPROFILE%\AppData\Local\Temp\OnboardLogs"\RTDC4066\2017-11-04 &amp; aws s3 cp s3://rtdc.mdm.uploadarchive.raw/RTDC4066/ "%USERPROFILE%\AppData\Local\Temp\OnboardLogs"\RTDC4066\2017-11-05 --exclude "*" --recursive --include "*20171105*" &amp; "%USERPROFILE%\Documents\GitHub\mrs-test-scripts\Headless Mode &amp; Sideloading\WalkAndUnGZ.bat" "%USERPROFILE%\AppData\Local\Temp\OnboardLogs"\RTDC4066\2017-11-05</v>
      </c>
      <c r="S11" s="84" t="str">
        <f>VLOOKUP(C11,'Train Runs'!$A$13:$AE$10115,22,0)</f>
        <v>https://d0f6bd738d7f1b3e5a7ca70fe4ff75f0.us-east-1.aws.found.io/app/kibana#/discover/Steve-Slow-Train-Analysis-(2080s-and-2083s)?_g=(refreshInterval:(display:Off,pause:!f,section:0,value:0),time:(from:'2017-11-04T13:24:05-0600',mode:absolute,to:'2017-11-04T16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/stypes="*4066*201711042*" /stext=" 20:.+((SYSTEM_STATE.+slice.+state.+changed )|(ment ac)|(multiple cpu faults)|(system.+state.+changed )|(\[timeout)|(PRM\|1\|D)|(kpr)|(kdp)|(train st.+moving)|(\|lc)|(penalty))"</v>
      </c>
      <c r="U11" s="9" t="str">
        <f>MID(B11,13,4)</f>
        <v>4066</v>
      </c>
      <c r="V11" s="31">
        <f>A11-utc_offset/24</f>
        <v>43043.874641203707</v>
      </c>
      <c r="W11" s="45" t="str">
        <f>DetSubdiv(C11)</f>
        <v>EC</v>
      </c>
      <c r="X11" s="22">
        <f>VALUE(LEFT(C11,LEN(C11)-3))</f>
        <v>187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{"issue":{"subject":"","project_id":79,"tracker_id":40,"status_id":1,"priority_id":2,"assigned_to_id":338,"start_date":"2017-11-04","description":"","custom_fields":[{"id":1,"name":"Subdivision","value":"EC"},{"id":4,"name":"Milepost","value":"18.3829"},{"id":17,"name":"Train ID","value":"187-04"},{"id":16,"name":"Locomotive ID","value":"4066"},{"id":130,"name":"Impact","value":""},{"id":150,"name":"Time of Event (Mountain Time)","value":"14:59:29"},{"id":151,"name":"Denver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/c/Users/stu/AppData/Local/Temp/OnboardLogs/RTDC4066 --include="*4066*201711042*"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"%USERPROFILE%\AppData\Local\Temp\OnboardLogs"\RTDC4066\*4066*201711042* &gt;&gt; 2017-11-04-SliceDisagreementCheck.txt</v>
      </c>
      <c r="AE11" s="145" t="str">
        <f t="shared" si="1"/>
        <v>start /low /b %USERPROFILE%\Documents\GitHub\eaglep3\Utilities\DownloadLogsFromS3.py --loco 4066 --day 2017-11-04</v>
      </c>
      <c r="AF11" s="1"/>
    </row>
    <row r="12" spans="1:32" x14ac:dyDescent="0.25">
      <c r="A12" s="31">
        <v>43043.303969907407</v>
      </c>
      <c r="B12" s="30" t="s">
        <v>416</v>
      </c>
      <c r="C12" s="30" t="s">
        <v>652</v>
      </c>
      <c r="D12" s="30" t="s">
        <v>49</v>
      </c>
      <c r="E12" s="30" t="s">
        <v>190</v>
      </c>
      <c r="F12" s="42">
        <v>400</v>
      </c>
      <c r="G12" s="42">
        <v>480</v>
      </c>
      <c r="H12" s="42">
        <v>35340</v>
      </c>
      <c r="I12" s="42">
        <v>39621</v>
      </c>
      <c r="J12" s="30" t="s">
        <v>191</v>
      </c>
      <c r="K12" s="42">
        <v>38172</v>
      </c>
      <c r="L12" s="131" t="s">
        <v>50</v>
      </c>
      <c r="M12" s="132">
        <f>CONVERT((I12-K12)/10000,"mi","ft")*IF(L12="Increasing Mileposts (1)",-1,1)</f>
        <v>-765.072</v>
      </c>
      <c r="N12" s="133" t="str">
        <f>VLOOKUP(C12,'Trips&amp;Operators'!$C$1:$G$99911,5,FALSE)</f>
        <v>LAMAR NEKESHA</v>
      </c>
      <c r="O12" s="176" t="s">
        <v>178</v>
      </c>
      <c r="P12" s="134"/>
      <c r="Q12" s="30"/>
      <c r="R12" s="81" t="str">
        <f>VLOOKUP(C12,'Train Runs'!$A$13:$AE$10115,31,0)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S12" s="84" t="str">
        <f>VLOOKUP(C12,'Train Runs'!$A$13:$AE$10115,22,0)</f>
        <v>https://d0f6bd738d7f1b3e5a7ca70fe4ff75f0.us-east-1.aws.found.io/app/kibana#/discover/Steve-Slow-Train-Analysis-(2080s-and-2083s)?_g=(refreshInterval:(display:Off,pause:!f,section:0,value:0),time:(from:'2017-11-04T05:58:52-0600',mode:absolute,to:'2017-11-04T08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/stypes="*4028*201711041*" /stext=" 13:.+((SYSTEM_STATE.+slice.+state.+changed )|(ment ac)|(multiple cpu faults)|(system.+state.+changed )|(\[timeout)|(PRM\|1\|D)|(kpr)|(kdp)|(train st.+moving)|(\|lc)|(penalty))"</v>
      </c>
      <c r="U12" s="9" t="str">
        <f>MID(B12,13,4)</f>
        <v>4028</v>
      </c>
      <c r="V12" s="31">
        <f>A12-utc_offset/24</f>
        <v>43043.553969907407</v>
      </c>
      <c r="W12" s="45" t="str">
        <f>DetSubdiv(C12)</f>
        <v>NW</v>
      </c>
      <c r="X12" s="22">
        <f>VALUE(LEFT(C12,LEN(C12)-3))</f>
        <v>1803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{"issue":{"subject":"","project_id":79,"tracker_id":40,"status_id":1,"priority_id":2,"assigned_to_id":338,"start_date":"2017-11-04","description":"","custom_fields":[{"id":1,"name":"Subdivision","value":"NW"},{"id":4,"name":"Milepost","value":"3.8172"},{"id":17,"name":"Train ID","value":"1803-04"},{"id":16,"name":"Locomotive ID","value":"4028"},{"id":130,"name":"Impact","value":""},{"id":150,"name":"Time of Event (Mountain Time)","value":"07:17:43"},{"id":151,"name":"Denver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/c/Users/stu/AppData/Local/Temp/OnboardLogs/RTDC4028 --include="*4028*201711041*"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"%USERPROFILE%\AppData\Local\Temp\OnboardLogs"\RTDC4028\*4028*201711041* &gt;&gt; 2017-11-04-SliceDisagreementCheck.txt</v>
      </c>
      <c r="AE12" s="145" t="str">
        <f t="shared" si="1"/>
        <v>start /low /b %USERPROFILE%\Documents\GitHub\eaglep3\Utilities\DownloadLogsFromS3.py --loco 4028 --day 2017-11-04</v>
      </c>
      <c r="AF12" s="1"/>
    </row>
    <row r="13" spans="1:32" x14ac:dyDescent="0.25">
      <c r="A13" s="31">
        <v>43043.597511574073</v>
      </c>
      <c r="B13" s="30" t="s">
        <v>416</v>
      </c>
      <c r="C13" s="30" t="s">
        <v>660</v>
      </c>
      <c r="D13" s="30" t="s">
        <v>49</v>
      </c>
      <c r="E13" s="30" t="s">
        <v>190</v>
      </c>
      <c r="F13" s="42">
        <v>150</v>
      </c>
      <c r="G13" s="42">
        <v>326</v>
      </c>
      <c r="H13" s="42">
        <v>55583</v>
      </c>
      <c r="I13" s="42">
        <v>56221</v>
      </c>
      <c r="J13" s="30" t="s">
        <v>191</v>
      </c>
      <c r="K13" s="42">
        <v>57008</v>
      </c>
      <c r="L13" s="131" t="s">
        <v>50</v>
      </c>
      <c r="M13" s="132">
        <f>CONVERT((I13-K13)/10000,"mi","ft")*IF(L13="Increasing Mileposts (1)",-1,1)</f>
        <v>415.536</v>
      </c>
      <c r="N13" s="133" t="str">
        <f>VLOOKUP(C13,'Trips&amp;Operators'!$C$1:$G$99911,5,FALSE)</f>
        <v>SMITH MICHAEL</v>
      </c>
      <c r="O13" s="176" t="s">
        <v>178</v>
      </c>
      <c r="P13" s="134"/>
      <c r="Q13" s="30"/>
      <c r="R13" s="81" t="str">
        <f>VLOOKUP(C13,'Train Runs'!$A$13:$AE$10115,31,0)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S13" s="84" t="str">
        <f>VLOOKUP(C13,'Train Runs'!$A$13:$AE$10115,22,0)</f>
        <v>https://d0f6bd738d7f1b3e5a7ca70fe4ff75f0.us-east-1.aws.found.io/app/kibana#/discover/Steve-Slow-Train-Analysis-(2080s-and-2083s)?_g=(refreshInterval:(display:Off,pause:!f,section:0,value:0),time:(from:'2017-11-04T13:00:23-0600',mode:absolute,to:'2017-11-04T15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/stypes="*4028*201711042*" /stext=" 20:.+((SYSTEM_STATE.+slice.+state.+changed )|(ment ac)|(multiple cpu faults)|(system.+state.+changed )|(\[timeout)|(PRM\|1\|D)|(kpr)|(kdp)|(train st.+moving)|(\|lc)|(penalty))"</v>
      </c>
      <c r="U13" s="9" t="str">
        <f>MID(B13,13,4)</f>
        <v>4028</v>
      </c>
      <c r="V13" s="31">
        <f>A13-utc_offset/24</f>
        <v>43043.847511574073</v>
      </c>
      <c r="W13" s="45" t="str">
        <f>DetSubdiv(C13)</f>
        <v>NW</v>
      </c>
      <c r="X13" s="22">
        <f>VALUE(LEFT(C13,LEN(C13)-3))</f>
        <v>1817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{"issue":{"subject":"","project_id":79,"tracker_id":40,"status_id":1,"priority_id":2,"assigned_to_id":338,"start_date":"2017-11-04","description":"","custom_fields":[{"id":1,"name":"Subdivision","value":"NW"},{"id":4,"name":"Milepost","value":"5.7008"},{"id":17,"name":"Train ID","value":"1817-04"},{"id":16,"name":"Locomotive ID","value":"4028"},{"id":130,"name":"Impact","value":""},{"id":150,"name":"Time of Event (Mountain Time)","value":"14:20:25"},{"id":151,"name":"Denver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/c/Users/stu/AppData/Local/Temp/OnboardLogs/RTDC4028 --include="*4028*201711042*"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"%USERPROFILE%\AppData\Local\Temp\OnboardLogs"\RTDC4028\*4028*201711042* &gt;&gt; 2017-11-04-SliceDisagreementCheck.txt</v>
      </c>
      <c r="AE13" s="145" t="str">
        <f t="shared" si="1"/>
        <v>start /low /b %USERPROFILE%\Documents\GitHub\eaglep3\Utilities\DownloadLogsFromS3.py --loco 4028 --day 2017-11-04</v>
      </c>
      <c r="AF13" s="1"/>
    </row>
    <row r="14" spans="1:32" x14ac:dyDescent="0.25">
      <c r="A14" s="31">
        <v>43043.257094907407</v>
      </c>
      <c r="B14" s="30" t="s">
        <v>416</v>
      </c>
      <c r="C14" s="30" t="s">
        <v>651</v>
      </c>
      <c r="D14" s="30" t="s">
        <v>95</v>
      </c>
      <c r="E14" s="30" t="s">
        <v>357</v>
      </c>
      <c r="F14" s="42">
        <v>0</v>
      </c>
      <c r="G14" s="42">
        <v>108</v>
      </c>
      <c r="H14" s="42">
        <v>1821</v>
      </c>
      <c r="I14" s="42">
        <v>1905</v>
      </c>
      <c r="J14" s="30" t="s">
        <v>358</v>
      </c>
      <c r="K14" s="42">
        <v>1725</v>
      </c>
      <c r="L14" s="131" t="s">
        <v>50</v>
      </c>
      <c r="M14" s="132">
        <f>CONVERT((I14-K14)/10000,"mi","ft")*IF(L14="Increasing Mileposts (1)",-1,1)</f>
        <v>-95.04</v>
      </c>
      <c r="N14" s="133" t="str">
        <f>VLOOKUP(C14,'Trips&amp;Operators'!$C$1:$G$99911,5,FALSE)</f>
        <v>LAMAR NEKESHA</v>
      </c>
      <c r="O14" s="176" t="s">
        <v>351</v>
      </c>
      <c r="P14" s="134" t="s">
        <v>647</v>
      </c>
      <c r="Q14" s="30"/>
      <c r="R14" s="81" t="str">
        <f>VLOOKUP(C14,'Train Runs'!$A$13:$AE$10115,31,0)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S14" s="84" t="str">
        <f>VLOOKUP(C14,'Train Runs'!$A$13:$AE$10115,22,0)</f>
        <v>https://d0f6bd738d7f1b3e5a7ca70fe4ff75f0.us-east-1.aws.found.io/app/kibana#/discover/Steve-Slow-Train-Analysis-(2080s-and-2083s)?_g=(refreshInterval:(display:Off,pause:!f,section:0,value:0),time:(from:'2017-11-04T05:07:05-0600',mode:absolute,to:'2017-11-04T07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/stypes="*4028*201711041*" /stext=" 12:.+((SYSTEM_STATE.+slice.+state.+changed )|(ment ac)|(multiple cpu faults)|(system.+state.+changed )|(\[timeout)|(PRM\|1\|D)|(kpr)|(kdp)|(train st.+moving)|(\|lc)|(penalty))"</v>
      </c>
      <c r="U14" s="9" t="str">
        <f>MID(B14,13,4)</f>
        <v>4028</v>
      </c>
      <c r="V14" s="31">
        <f>A14-utc_offset/24</f>
        <v>43043.507094907407</v>
      </c>
      <c r="W14" s="45" t="str">
        <f>DetSubdiv(C14)</f>
        <v>NW</v>
      </c>
      <c r="X14" s="22">
        <f>VALUE(LEFT(C14,LEN(C14)-3))</f>
        <v>1801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DUS","project_id":79,"tracker_id":40,"status_id":1,"priority_id":2,"assigned_to_id":338,"start_date":"2017-11-04","description":"","custom_fields":[{"id":1,"name":"Subdivision","value":"NW"},{"id":4,"name":"Milepost","value":"0.1725"},{"id":17,"name":"Train ID","value":"1801-04"},{"id":16,"name":"Locomotive ID","value":"4028"},{"id":130,"name":"Impact","value":""},{"id":150,"name":"Time of Event (Mountain Time)","value":"06:10:13"},{"id":151,"name":"Denver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/c/Users/stu/AppData/Local/Temp/OnboardLogs/RTDC4028 --include="*4028*201711041*"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"%USERPROFILE%\AppData\Local\Temp\OnboardLogs"\RTDC4028\*4028*201711041* &gt;&gt; 2017-11-04-SliceDisagreementCheck.txt</v>
      </c>
      <c r="AE14" s="145" t="str">
        <f t="shared" si="1"/>
        <v>start /low /b %USERPROFILE%\Documents\GitHub\eaglep3\Utilities\DownloadLogsFromS3.py --loco 4028 --day 2017-11-04</v>
      </c>
      <c r="AF14" s="1"/>
    </row>
    <row r="15" spans="1:32" x14ac:dyDescent="0.25">
      <c r="A15" s="31">
        <v>43043.507291666669</v>
      </c>
      <c r="B15" s="30" t="s">
        <v>416</v>
      </c>
      <c r="C15" s="30" t="s">
        <v>657</v>
      </c>
      <c r="D15" s="30" t="s">
        <v>95</v>
      </c>
      <c r="E15" s="30" t="s">
        <v>357</v>
      </c>
      <c r="F15" s="42">
        <v>0</v>
      </c>
      <c r="G15" s="42">
        <v>107</v>
      </c>
      <c r="H15" s="42">
        <v>1799</v>
      </c>
      <c r="I15" s="42">
        <v>2039</v>
      </c>
      <c r="J15" s="30" t="s">
        <v>358</v>
      </c>
      <c r="K15" s="42">
        <v>1725</v>
      </c>
      <c r="L15" s="131" t="s">
        <v>50</v>
      </c>
      <c r="M15" s="132">
        <f>CONVERT((I15-K15)/10000,"mi","ft")*IF(L15="Increasing Mileposts (1)",-1,1)</f>
        <v>-165.79199999999997</v>
      </c>
      <c r="N15" s="133" t="str">
        <f>VLOOKUP(C15,'Trips&amp;Operators'!$C$1:$G$99911,5,FALSE)</f>
        <v>LAMAR NEKESHA</v>
      </c>
      <c r="O15" s="176" t="s">
        <v>351</v>
      </c>
      <c r="P15" s="134" t="s">
        <v>647</v>
      </c>
      <c r="Q15" s="30"/>
      <c r="R15" s="81" t="str">
        <f>VLOOKUP(C15,'Train Runs'!$A$13:$AE$10115,31,0)</f>
        <v>aws s3 cp s3://rtdc.mdm.uploadarchive.raw/RTDC4028/ "%USERPROFILE%\AppData\Local\Temp\OnboardLogs"\RTDC4028\2017-11-04 --exclude "*" --recursive --include "*20171104*" &amp; "%USERPROFILE%\Documents\GitHub\mrs-test-scripts\Headless Mode &amp; Sideloading\WalkAndUnGZ.bat" "%USERPROFILE%\AppData\Local\Temp\OnboardLogs"\RTDC4028\2017-11-04 &amp; 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</v>
      </c>
      <c r="S15" s="84" t="str">
        <f>VLOOKUP(C15,'Train Runs'!$A$13:$AE$10115,22,0)</f>
        <v>https://d0f6bd738d7f1b3e5a7ca70fe4ff75f0.us-east-1.aws.found.io/app/kibana#/discover/Steve-Slow-Train-Analysis-(2080s-and-2083s)?_g=(refreshInterval:(display:Off,pause:!f,section:0,value:0),time:(from:'2017-11-04T11:05:49-0600',mode:absolute,to:'2017-11-04T13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/stypes="*4028*201711041*"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4028</v>
      </c>
      <c r="V15" s="31">
        <f>A15-utc_offset/24</f>
        <v>43043.757291666669</v>
      </c>
      <c r="W15" s="45" t="str">
        <f>DetSubdiv(C15)</f>
        <v>NW</v>
      </c>
      <c r="X15" s="22">
        <f>VALUE(LEFT(C15,LEN(C15)-3))</f>
        <v>1813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DUS","project_id":79,"tracker_id":40,"status_id":1,"priority_id":2,"assigned_to_id":338,"start_date":"2017-11-04","description":"","custom_fields":[{"id":1,"name":"Subdivision","value":"NW"},{"id":4,"name":"Milepost","value":"0.1725"},{"id":17,"name":"Train ID","value":"1813-04"},{"id":16,"name":"Locomotive ID","value":"4028"},{"id":130,"name":"Impact","value":""},{"id":150,"name":"Time of Event (Mountain Time)","value":"12:10:30"},{"id":151,"name":"Denver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/c/Users/stu/AppData/Local/Temp/OnboardLogs/RTDC4028 --include="*4028*201711041*"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"%USERPROFILE%\AppData\Local\Temp\OnboardLogs"\RTDC4028\*4028*201711041* &gt;&gt; 2017-11-04-SliceDisagreementCheck.txt</v>
      </c>
      <c r="AE15" s="145" t="str">
        <f t="shared" si="1"/>
        <v>start /low /b %USERPROFILE%\Documents\GitHub\eaglep3\Utilities\DownloadLogsFromS3.py --loco 4028 --day 2017-11-04</v>
      </c>
      <c r="AF15" s="1"/>
    </row>
    <row r="16" spans="1:32" x14ac:dyDescent="0.25">
      <c r="A16" s="31">
        <v>43043.453576388885</v>
      </c>
      <c r="B16" s="30" t="s">
        <v>407</v>
      </c>
      <c r="C16" s="30" t="s">
        <v>655</v>
      </c>
      <c r="D16" s="30" t="s">
        <v>49</v>
      </c>
      <c r="E16" s="30" t="s">
        <v>357</v>
      </c>
      <c r="F16" s="42">
        <v>0</v>
      </c>
      <c r="G16" s="42">
        <v>110</v>
      </c>
      <c r="H16" s="42">
        <v>4826</v>
      </c>
      <c r="I16" s="42">
        <v>4615</v>
      </c>
      <c r="J16" s="30" t="s">
        <v>358</v>
      </c>
      <c r="K16" s="42">
        <v>4798</v>
      </c>
      <c r="L16" s="131" t="s">
        <v>51</v>
      </c>
      <c r="M16" s="132">
        <f>CONVERT((I16-K16)/10000,"mi","ft")*IF(L16="Increasing Mileposts (1)",-1,1)</f>
        <v>-96.623999999999995</v>
      </c>
      <c r="N16" s="133" t="str">
        <f>VLOOKUP(C16,'Trips&amp;Operators'!$C$1:$G$99911,5,FALSE)</f>
        <v>LAMAR NEKESHA</v>
      </c>
      <c r="O16" s="176" t="s">
        <v>351</v>
      </c>
      <c r="P16" s="134" t="s">
        <v>1095</v>
      </c>
      <c r="Q16" s="30"/>
      <c r="R16" s="81" t="str">
        <f>VLOOKUP(C16,'Train Runs'!$A$13:$AE$10115,31,0)</f>
        <v>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 &amp; 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</v>
      </c>
      <c r="S16" s="84" t="str">
        <f>VLOOKUP(C16,'Train Runs'!$A$13:$AE$10115,22,0)</f>
        <v>https://d0f6bd738d7f1b3e5a7ca70fe4ff75f0.us-east-1.aws.found.io/app/kibana#/discover/Steve-Slow-Train-Analysis-(2080s-and-2083s)?_g=(refreshInterval:(display:Off,pause:!f,section:0,value:0),time:(from:'2017-11-04T09:25:57-0600',mode:absolute,to:'2017-11-04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/stypes="*4027*201711041*" /stext=" 16:.+((SYSTEM_STATE.+slice.+state.+changed )|(ment ac)|(multiple cpu faults)|(system.+state.+changed )|(\[timeout)|(PRM\|1\|D)|(kpr)|(kdp)|(train st.+moving)|(\|lc)|(penalty))"</v>
      </c>
      <c r="U16" s="9" t="str">
        <f>MID(B16,13,4)</f>
        <v>4027</v>
      </c>
      <c r="V16" s="31">
        <f>A16-utc_offset/24</f>
        <v>43043.703576388885</v>
      </c>
      <c r="W16" s="45" t="str">
        <f>DetSubdiv(C16)</f>
        <v>NW</v>
      </c>
      <c r="X16" s="22">
        <f>VALUE(LEFT(C16,LEN(C16)-3))</f>
        <v>1810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{"issue":{"subject":"Poor GPS under Wewatta St bridge","project_id":79,"tracker_id":40,"status_id":1,"priority_id":2,"assigned_to_id":338,"start_date":"2017-11-04","description":"","custom_fields":[{"id":1,"name":"Subdivision","value":"NW"},{"id":4,"name":"Milepost","value":"0.4798"},{"id":17,"name":"Train ID","value":"1810-04"},{"id":16,"name":"Locomotive ID","value":"4027"},{"id":130,"name":"Impact","value":""},{"id":150,"name":"Time of Event (Mountain Time)","value":"10:53:09"},{"id":151,"name":"Denver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/c/Users/stu/AppData/Local/Temp/OnboardLogs/RTDC4027 --include="*4027*201711041*"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"%USERPROFILE%\AppData\Local\Temp\OnboardLogs"\RTDC4027\*4027*201711041* &gt;&gt; 2017-11-04-SliceDisagreementCheck.txt</v>
      </c>
      <c r="AE16" s="145" t="str">
        <f t="shared" si="1"/>
        <v>start /low /b %USERPROFILE%\Documents\GitHub\eaglep3\Utilities\DownloadLogsFromS3.py --loco 4027 --day 2017-11-04</v>
      </c>
      <c r="AF16" s="1"/>
    </row>
    <row r="17" spans="1:32" x14ac:dyDescent="0.25">
      <c r="A17" s="31">
        <v>43043.185532407406</v>
      </c>
      <c r="B17" s="30" t="s">
        <v>539</v>
      </c>
      <c r="C17" s="30" t="s">
        <v>648</v>
      </c>
      <c r="D17" s="30" t="s">
        <v>49</v>
      </c>
      <c r="E17" s="30" t="s">
        <v>357</v>
      </c>
      <c r="F17" s="42">
        <v>0</v>
      </c>
      <c r="G17" s="42">
        <v>85</v>
      </c>
      <c r="H17" s="42">
        <v>4823</v>
      </c>
      <c r="I17" s="42">
        <v>4705</v>
      </c>
      <c r="J17" s="30" t="s">
        <v>358</v>
      </c>
      <c r="K17" s="42">
        <v>4798</v>
      </c>
      <c r="L17" s="131" t="s">
        <v>51</v>
      </c>
      <c r="M17" s="132">
        <f>CONVERT((I17-K17)/10000,"mi","ft")*IF(L17="Increasing Mileposts (1)",-1,1)</f>
        <v>-49.103999999999999</v>
      </c>
      <c r="N17" s="133" t="str">
        <f>VLOOKUP(C17,'Trips&amp;Operators'!$C$1:$G$99911,5,FALSE)</f>
        <v>BROWN JACOB</v>
      </c>
      <c r="O17" s="176" t="s">
        <v>178</v>
      </c>
      <c r="P17" s="134"/>
      <c r="Q17" s="30"/>
      <c r="R17" s="81" t="str">
        <f>VLOOKUP(C17,'Train Runs'!$A$13:$AE$10115,31,0)</f>
        <v>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 &amp; aws s3 cp s3://rtdc.mdm.uploadarchive.raw/RTDC4015/ "%USERPROFILE%\AppData\Local\Temp\OnboardLogs"\RTDC4015\2017-11-05 --exclude "*" --recursive --include "*20171105*" &amp; "%USERPROFILE%\Documents\GitHub\mrs-test-scripts\Headless Mode &amp; Sideloading\WalkAndUnGZ.bat" "%USERPROFILE%\AppData\Local\Temp\OnboardLogs"\RTDC4015\2017-11-05</v>
      </c>
      <c r="S17" s="84" t="str">
        <f>VLOOKUP(C17,'Train Runs'!$A$13:$AE$10115,22,0)</f>
        <v>https://d0f6bd738d7f1b3e5a7ca70fe4ff75f0.us-east-1.aws.found.io/app/kibana#/discover/Steve-Slow-Train-Analysis-(2080s-and-2083s)?_g=(refreshInterval:(display:Off,pause:!f,section:0,value:0),time:(from:'2017-11-04T03:12:39-0600',mode:absolute,to:'2017-11-04T05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/stypes="*4015*201711041*" /stext=" 10:.+((SYSTEM_STATE.+slice.+state.+changed )|(ment ac)|(multiple cpu faults)|(system.+state.+changed )|(\[timeout)|(PRM\|1\|D)|(kpr)|(kdp)|(train st.+moving)|(\|lc)|(penalty))"</v>
      </c>
      <c r="U17" s="9" t="str">
        <f>MID(B17,13,4)</f>
        <v>4015</v>
      </c>
      <c r="V17" s="31">
        <f>A17-utc_offset/24</f>
        <v>43043.435532407406</v>
      </c>
      <c r="W17" s="45" t="str">
        <f>DetSubdiv(C17)</f>
        <v>Other</v>
      </c>
      <c r="X17" s="22">
        <f>VALUE(LEFT(C17,LEN(C17)-3))</f>
        <v>308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{"issue":{"subject":"","project_id":79,"tracker_id":40,"status_id":1,"priority_id":2,"assigned_to_id":338,"start_date":"2017-11-04","description":"","custom_fields":[{"id":1,"name":"Subdivision","value":"Other"},{"id":4,"name":"Milepost","value":"0.4798"},{"id":17,"name":"Train ID","value":"308-04"},{"id":16,"name":"Locomotive ID","value":"4015"},{"id":130,"name":"Impact","value":""},{"id":150,"name":"Time of Event (Mountain Time)","value":"04:27:10"},{"id":151,"name":"Denver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/c/Users/stu/AppData/Local/Temp/OnboardLogs/RTDC4015 --include="*4015*201711041*"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"%USERPROFILE%\AppData\Local\Temp\OnboardLogs"\RTDC4015\*4015*201711041* &gt;&gt; 2017-11-04-SliceDisagreementCheck.txt</v>
      </c>
      <c r="AE17" s="145" t="str">
        <f t="shared" si="1"/>
        <v>start /low /b %USERPROFILE%\Documents\GitHub\eaglep3\Utilities\DownloadLogsFromS3.py --loco 4015 --day 2017-11-04</v>
      </c>
      <c r="AF17" s="1"/>
    </row>
    <row r="18" spans="1:32" x14ac:dyDescent="0.25">
      <c r="A18" s="31">
        <v>43043.544374999998</v>
      </c>
      <c r="B18" s="30" t="s">
        <v>658</v>
      </c>
      <c r="C18" s="30" t="s">
        <v>659</v>
      </c>
      <c r="D18" s="30" t="s">
        <v>95</v>
      </c>
      <c r="E18" s="30" t="s">
        <v>357</v>
      </c>
      <c r="F18" s="42">
        <v>0</v>
      </c>
      <c r="G18" s="42">
        <v>73</v>
      </c>
      <c r="H18" s="42">
        <v>1738</v>
      </c>
      <c r="I18" s="42">
        <v>1834</v>
      </c>
      <c r="J18" s="30" t="s">
        <v>358</v>
      </c>
      <c r="K18" s="42">
        <v>1692</v>
      </c>
      <c r="L18" s="131" t="s">
        <v>50</v>
      </c>
      <c r="M18" s="132">
        <f>CONVERT((I18-K18)/10000,"mi","ft")*IF(L18="Increasing Mileposts (1)",-1,1)</f>
        <v>-74.975999999999999</v>
      </c>
      <c r="N18" s="133" t="str">
        <f>VLOOKUP(C18,'Trips&amp;Operators'!$C$1:$G$99911,5,FALSE)</f>
        <v>MCREYNOLDS KYLE</v>
      </c>
      <c r="O18" s="176" t="s">
        <v>178</v>
      </c>
      <c r="P18" s="134"/>
      <c r="Q18" s="30"/>
      <c r="R18" s="81" t="str">
        <f>VLOOKUP(C18,'Train Runs'!$A$13:$AE$10115,31,0)</f>
        <v>aws s3 cp s3://rtdc.mdm.uploadarchive.raw/RTDC4052/ "%USERPROFILE%\AppData\Local\Temp\OnboardLogs"\RTDC4052\2017-11-04 --exclude "*" --recursive --include "*20171104*" &amp; "%USERPROFILE%\Documents\GitHub\mrs-test-scripts\Headless Mode &amp; Sideloading\WalkAndUnGZ.bat" "%USERPROFILE%\AppData\Local\Temp\OnboardLogs"\RTDC4052\2017-11-04 &amp; aws s3 cp s3://rtdc.mdm.uploadarchive.raw/RTDC4052/ "%USERPROFILE%\AppData\Local\Temp\OnboardLogs"\RTDC4052\2017-11-05 --exclude "*" --recursive --include "*20171105*" &amp; "%USERPROFILE%\Documents\GitHub\mrs-test-scripts\Headless Mode &amp; Sideloading\WalkAndUnGZ.bat" "%USERPROFILE%\AppData\Local\Temp\OnboardLogs"\RTDC4052\2017-11-05</v>
      </c>
      <c r="S18" s="84" t="str">
        <f>VLOOKUP(C18,'Train Runs'!$A$13:$AE$10115,22,0)</f>
        <v>https://d0f6bd738d7f1b3e5a7ca70fe4ff75f0.us-east-1.aws.found.io/app/kibana#/discover/Steve-Slow-Train-Analysis-(2080s-and-2083s)?_g=(refreshInterval:(display:Off,pause:!f,section:0,value:0),time:(from:'2017-11-04T11:53:42-0600',mode:absolute,to:'2017-11-04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/stypes="*4052*201711041*" /stext=" 19:.+((SYSTEM_STATE.+slice.+state.+changed )|(ment ac)|(multiple cpu faults)|(system.+state.+changed )|(\[timeout)|(PRM\|1\|D)|(kpr)|(kdp)|(train st.+moving)|(\|lc)|(penalty))"</v>
      </c>
      <c r="U18" s="9" t="str">
        <f>MID(B18,13,4)</f>
        <v>4052</v>
      </c>
      <c r="V18" s="31">
        <f>A18-utc_offset/24</f>
        <v>43043.794374999998</v>
      </c>
      <c r="W18" s="45" t="str">
        <f>DetSubdiv(C18)</f>
        <v>Shuttle/Test</v>
      </c>
      <c r="X18" s="22">
        <f>VALUE(LEFT(C18,LEN(C18)-3))</f>
        <v>51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Shuttle/Test"},{"id":4,"name":"Milepost","value":"0.1692"},{"id":17,"name":"Train ID","value":"51-04"},{"id":16,"name":"Locomotive ID","value":"4052"},{"id":130,"name":"Impact","value":""},{"id":150,"name":"Time of Event (Mountain Time)","value":"13:03:54"},{"id":151,"name":"Denver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/c/Users/stu/AppData/Local/Temp/OnboardLogs/RTDC4052 --include="*4052*201711041*"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"%USERPROFILE%\AppData\Local\Temp\OnboardLogs"\RTDC4052\*4052*201711041* &gt;&gt; 2017-11-04-SliceDisagreementCheck.txt</v>
      </c>
      <c r="AE18" s="145" t="str">
        <f t="shared" si="1"/>
        <v>start /low /b %USERPROFILE%\Documents\GitHub\eaglep3\Utilities\DownloadLogsFromS3.py --loco 4052 --day 2017-11-04</v>
      </c>
      <c r="AF18" s="1"/>
    </row>
    <row r="19" spans="1:32" x14ac:dyDescent="0.25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25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</sheetData>
  <autoFilter ref="A6:AC32">
    <sortState ref="A7:AC32">
      <sortCondition ref="W7:W18"/>
      <sortCondition ref="E7:E18"/>
      <sortCondition ref="K7:K18"/>
      <sortCondition ref="F7:F18"/>
    </sortState>
  </autoFilter>
  <sortState ref="A7:AE20">
    <sortCondition ref="W7:W20"/>
    <sortCondition ref="E7:E20"/>
    <sortCondition ref="K7:K20"/>
    <sortCondition ref="C7:C20"/>
    <sortCondition ref="F7:F20"/>
  </sortState>
  <mergeCells count="1">
    <mergeCell ref="A5:O5"/>
  </mergeCells>
  <conditionalFormatting sqref="O6:P6 R6 O52:O1048576 O7:O18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AA7:AA18</xm:sqref>
        </x14:dataValidation>
        <x14:dataValidation type="list" allowBlank="1" showInputMessage="1" showErrorMessage="1">
          <x14:formula1>
            <xm:f>'Redmine List Values'!$C$2:$C$15</xm:f>
          </x14:formula1>
          <xm:sqref>AB7:AB18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2017-11-04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1820</v>
      </c>
      <c r="B3" s="42" t="str">
        <f>A3&amp;"-"&amp;IF(DAY(Variables!$A$2)&lt;10,0,"")&amp;DAY(Variables!$A$2)</f>
        <v>1820-04</v>
      </c>
      <c r="C3" s="135"/>
      <c r="D3" s="225" t="str">
        <f>VLOOKUP(B3,'Trips&amp;Operators'!$C$1:$H$1072,6,FALSE)</f>
        <v>4027</v>
      </c>
      <c r="E3" s="30"/>
      <c r="F3" s="21" t="str">
        <f>VLOOKUP(B3,'Trips&amp;Operators'!$C$2:$E$9912,3,FALSE)</f>
        <v>SMITH</v>
      </c>
      <c r="G3" s="21" t="str">
        <f>VLOOKUP(B3,'Trips&amp;Operators'!$C$1:$F$9912,4,FALSE)</f>
        <v>MICHAEL</v>
      </c>
      <c r="H3" s="29" t="str">
        <f>VLOOKUP(B3,'Trips&amp;Operators'!$C$1:$H$9912,5,FALSE)</f>
        <v>SMITH MICHAEL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221820-04%22)),sort:!(Time.ISO8601,asc))</v>
      </c>
      <c r="J3" s="30" t="str">
        <f>VLOOKUP(B3,'Train Runs'!$A$13:$A$100112,1,FALSE)</f>
        <v>1820-04</v>
      </c>
    </row>
    <row r="4" spans="1:10" x14ac:dyDescent="0.25">
      <c r="A4" s="198"/>
      <c r="B4" s="42" t="str">
        <f>A4&amp;"-"&amp;IF(DAY(Variables!$A$2)&lt;10,0,"")&amp;DAY(Variables!$A$2)</f>
        <v>-04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Runs'!$A$13:$A$100112,1,FALSE)</f>
        <v>#N/A</v>
      </c>
    </row>
    <row r="5" spans="1:10" x14ac:dyDescent="0.25">
      <c r="A5" s="198"/>
      <c r="B5" s="42" t="str">
        <f>A5&amp;"-"&amp;IF(DAY(Variables!$A$2)&lt;10,0,"")&amp;DAY(Variables!$A$2)</f>
        <v>-04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Runs'!$A$13:$A$100112,1,FALSE)</f>
        <v>#N/A</v>
      </c>
    </row>
    <row r="6" spans="1:10" x14ac:dyDescent="0.25">
      <c r="A6" s="198"/>
      <c r="B6" s="42" t="str">
        <f>A6&amp;"-"&amp;IF(DAY(Variables!$A$2)&lt;10,0,"")&amp;DAY(Variables!$A$2)</f>
        <v>-04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Runs'!$A$13:$A$100112,1,FALSE)</f>
        <v>#N/A</v>
      </c>
    </row>
    <row r="7" spans="1:10" x14ac:dyDescent="0.25">
      <c r="A7" s="198"/>
      <c r="B7" s="42" t="str">
        <f>A7&amp;"-"&amp;IF(DAY(Variables!$A$2)&lt;10,0,"")&amp;DAY(Variables!$A$2)</f>
        <v>-04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Runs'!$A$13:$A$100112,1,FALSE)</f>
        <v>#N/A</v>
      </c>
    </row>
    <row r="8" spans="1:10" x14ac:dyDescent="0.25">
      <c r="A8" s="198"/>
      <c r="B8" s="42" t="str">
        <f>A8&amp;"-"&amp;IF(DAY(Variables!$A$2)&lt;10,0,"")&amp;DAY(Variables!$A$2)</f>
        <v>-04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Runs'!$A$13:$A$100112,1,FALSE)</f>
        <v>#N/A</v>
      </c>
    </row>
    <row r="9" spans="1:10" x14ac:dyDescent="0.25">
      <c r="A9" s="198"/>
      <c r="B9" s="42" t="str">
        <f>A9&amp;"-"&amp;IF(DAY(Variables!$A$2)&lt;10,0,"")&amp;DAY(Variables!$A$2)</f>
        <v>-04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Runs'!$A$13:$A$100112,1,FALSE)</f>
        <v>#N/A</v>
      </c>
    </row>
    <row r="10" spans="1:10" x14ac:dyDescent="0.25">
      <c r="A10" s="198"/>
      <c r="B10" s="42" t="str">
        <f>A10&amp;"-"&amp;IF(DAY(Variables!$A$2)&lt;10,0,"")&amp;DAY(Variables!$A$2)</f>
        <v>-04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Runs'!$A$13:$A$100112,1,FALSE)</f>
        <v>#N/A</v>
      </c>
    </row>
    <row r="11" spans="1:10" x14ac:dyDescent="0.25">
      <c r="A11" s="198"/>
      <c r="B11" s="42" t="str">
        <f>A11&amp;"-"&amp;IF(DAY(Variables!$A$2)&lt;10,0,"")&amp;DAY(Variables!$A$2)</f>
        <v>-04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Runs'!$A$13:$A$100112,1,FALSE)</f>
        <v>#N/A</v>
      </c>
    </row>
    <row r="12" spans="1:10" x14ac:dyDescent="0.25">
      <c r="A12" s="198"/>
      <c r="B12" s="42" t="str">
        <f>A12&amp;"-"&amp;IF(DAY(Variables!$A$2)&lt;10,0,"")&amp;DAY(Variables!$A$2)</f>
        <v>-04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Runs'!$A$13:$A$100112,1,FALSE)</f>
        <v>#N/A</v>
      </c>
    </row>
    <row r="13" spans="1:10" x14ac:dyDescent="0.25">
      <c r="A13" s="198"/>
      <c r="B13" s="42" t="str">
        <f>A13&amp;"-"&amp;IF(DAY(Variables!$A$2)&lt;10,0,"")&amp;DAY(Variables!$A$2)</f>
        <v>-04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Runs'!$A$13:$A$100112,1,FALSE)</f>
        <v>#N/A</v>
      </c>
    </row>
    <row r="14" spans="1:10" x14ac:dyDescent="0.25">
      <c r="A14" s="198"/>
      <c r="B14" s="42" t="str">
        <f>A14&amp;"-"&amp;IF(DAY(Variables!$A$2)&lt;10,0,"")&amp;DAY(Variables!$A$2)</f>
        <v>-04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Runs'!$A$13:$A$100112,1,FALSE)</f>
        <v>#N/A</v>
      </c>
    </row>
    <row r="15" spans="1:10" x14ac:dyDescent="0.25">
      <c r="A15" s="198"/>
      <c r="B15" s="42" t="str">
        <f>A15&amp;"-"&amp;IF(DAY(Variables!$A$2)&lt;10,0,"")&amp;DAY(Variables!$A$2)</f>
        <v>-04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Runs'!$A$13:$A$100112,1,FALSE)</f>
        <v>#N/A</v>
      </c>
    </row>
    <row r="16" spans="1:10" x14ac:dyDescent="0.25">
      <c r="A16" s="198"/>
      <c r="B16" s="42" t="str">
        <f>A16&amp;"-"&amp;IF(DAY(Variables!$A$2)&lt;10,0,"")&amp;DAY(Variables!$A$2)</f>
        <v>-04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Runs'!$A$13:$A$100112,1,FALSE)</f>
        <v>#N/A</v>
      </c>
    </row>
    <row r="17" spans="1:10" x14ac:dyDescent="0.25">
      <c r="A17" s="198"/>
      <c r="B17" s="42" t="str">
        <f>A17&amp;"-"&amp;IF(DAY(Variables!$A$2)&lt;10,0,"")&amp;DAY(Variables!$A$2)</f>
        <v>-04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Runs'!$A$13:$A$100112,1,FALSE)</f>
        <v>#N/A</v>
      </c>
    </row>
    <row r="18" spans="1:10" x14ac:dyDescent="0.25">
      <c r="A18" s="198"/>
      <c r="B18" s="42" t="str">
        <f>A18&amp;"-"&amp;IF(DAY(Variables!$A$2)&lt;10,0,"")&amp;DAY(Variables!$A$2)</f>
        <v>-04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Runs'!$A$13:$A$100112,1,FALSE)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43043.088888888888</v>
      </c>
      <c r="B2" s="20" t="s">
        <v>500</v>
      </c>
      <c r="C2" s="20" t="s">
        <v>663</v>
      </c>
      <c r="D2" s="138">
        <v>3670000</v>
      </c>
      <c r="E2" s="20" t="s">
        <v>395</v>
      </c>
      <c r="F2" s="20" t="s">
        <v>373</v>
      </c>
      <c r="G2" s="8" t="str">
        <f>E2&amp;" "&amp;F2</f>
        <v>ANDREA WILLIAMS</v>
      </c>
      <c r="H2" t="str">
        <f>MID(B2,13,4)</f>
        <v>4064</v>
      </c>
    </row>
    <row r="3" spans="1:8" x14ac:dyDescent="0.25">
      <c r="A3" s="8">
        <v>43043.091180555559</v>
      </c>
      <c r="B3" s="20" t="s">
        <v>664</v>
      </c>
      <c r="C3" s="20" t="s">
        <v>665</v>
      </c>
      <c r="D3" s="138">
        <v>3500000</v>
      </c>
      <c r="E3" s="20" t="s">
        <v>385</v>
      </c>
      <c r="F3" s="20" t="s">
        <v>386</v>
      </c>
      <c r="G3" s="8" t="str">
        <f t="shared" ref="G3:G66" si="0">E3&amp;" "&amp;F3</f>
        <v>GUNTHIER ERIC</v>
      </c>
      <c r="H3" s="20" t="str">
        <f t="shared" ref="H3:H66" si="1">MID(B3,13,4)</f>
        <v>4047</v>
      </c>
    </row>
    <row r="4" spans="1:8" x14ac:dyDescent="0.25">
      <c r="A4" s="8">
        <v>43043.115034722221</v>
      </c>
      <c r="B4" s="20" t="s">
        <v>552</v>
      </c>
      <c r="C4" s="20" t="s">
        <v>666</v>
      </c>
      <c r="D4" s="138">
        <v>3310000</v>
      </c>
      <c r="E4" s="20" t="s">
        <v>558</v>
      </c>
      <c r="F4" s="20" t="s">
        <v>559</v>
      </c>
      <c r="G4" s="8" t="str">
        <f t="shared" si="0"/>
        <v>ANDERS STEVEN</v>
      </c>
      <c r="H4" s="20" t="str">
        <f t="shared" si="1"/>
        <v>4056</v>
      </c>
    </row>
    <row r="5" spans="1:8" x14ac:dyDescent="0.25">
      <c r="A5" s="8">
        <v>43043.118321759262</v>
      </c>
      <c r="B5" s="20" t="s">
        <v>543</v>
      </c>
      <c r="C5" s="20" t="s">
        <v>667</v>
      </c>
      <c r="D5" s="138">
        <v>3120000</v>
      </c>
      <c r="E5" s="20" t="s">
        <v>378</v>
      </c>
      <c r="F5" s="20" t="s">
        <v>668</v>
      </c>
      <c r="G5" s="8" t="str">
        <f t="shared" si="0"/>
        <v>THOMPSON LESTER</v>
      </c>
      <c r="H5" s="20" t="str">
        <f t="shared" si="1"/>
        <v>4005</v>
      </c>
    </row>
    <row r="6" spans="1:8" x14ac:dyDescent="0.25">
      <c r="A6" s="8">
        <v>43043.130694444444</v>
      </c>
      <c r="B6" s="20" t="s">
        <v>545</v>
      </c>
      <c r="C6" s="20" t="s">
        <v>669</v>
      </c>
      <c r="D6" s="138">
        <v>3120000</v>
      </c>
      <c r="E6" s="20" t="s">
        <v>378</v>
      </c>
      <c r="F6" s="20" t="s">
        <v>668</v>
      </c>
      <c r="G6" s="8" t="str">
        <f t="shared" si="0"/>
        <v>THOMPSON LESTER</v>
      </c>
      <c r="H6" s="20" t="str">
        <f t="shared" si="1"/>
        <v>4006</v>
      </c>
    </row>
    <row r="7" spans="1:8" x14ac:dyDescent="0.25">
      <c r="A7" s="8">
        <v>43043.13318287037</v>
      </c>
      <c r="B7" s="20" t="s">
        <v>405</v>
      </c>
      <c r="C7" s="20" t="s">
        <v>670</v>
      </c>
      <c r="D7" s="138">
        <v>1810000</v>
      </c>
      <c r="E7" s="20" t="s">
        <v>427</v>
      </c>
      <c r="F7" s="20" t="s">
        <v>426</v>
      </c>
      <c r="G7" s="8" t="str">
        <f t="shared" si="0"/>
        <v>NEWELL JAMES</v>
      </c>
      <c r="H7" s="20" t="str">
        <f t="shared" si="1"/>
        <v>4022</v>
      </c>
    </row>
    <row r="8" spans="1:8" x14ac:dyDescent="0.25">
      <c r="A8" s="8">
        <v>43043.133912037039</v>
      </c>
      <c r="B8" s="20" t="s">
        <v>671</v>
      </c>
      <c r="C8" s="20" t="s">
        <v>665</v>
      </c>
      <c r="D8" s="138">
        <v>3500000</v>
      </c>
      <c r="E8" s="20" t="s">
        <v>385</v>
      </c>
      <c r="F8" s="20" t="s">
        <v>386</v>
      </c>
      <c r="G8" s="8" t="str">
        <f t="shared" si="0"/>
        <v>GUNTHIER ERIC</v>
      </c>
      <c r="H8" s="20" t="str">
        <f t="shared" si="1"/>
        <v>4048</v>
      </c>
    </row>
    <row r="9" spans="1:8" ht="15.75" thickBot="1" x14ac:dyDescent="0.3">
      <c r="A9" s="24">
        <v>43043.136666666665</v>
      </c>
      <c r="B9" s="20" t="s">
        <v>409</v>
      </c>
      <c r="C9" s="20" t="s">
        <v>670</v>
      </c>
      <c r="D9" s="138">
        <v>1810000</v>
      </c>
      <c r="E9" s="20" t="s">
        <v>427</v>
      </c>
      <c r="F9" s="20" t="s">
        <v>426</v>
      </c>
      <c r="G9" s="8" t="str">
        <f t="shared" si="0"/>
        <v>NEWELL JAMES</v>
      </c>
      <c r="H9" s="20" t="str">
        <f t="shared" si="1"/>
        <v>4021</v>
      </c>
    </row>
    <row r="10" spans="1:8" x14ac:dyDescent="0.25">
      <c r="A10" s="8">
        <v>43043.139594907407</v>
      </c>
      <c r="B10" s="20" t="s">
        <v>672</v>
      </c>
      <c r="C10" s="20" t="s">
        <v>673</v>
      </c>
      <c r="D10" s="138">
        <v>2010000</v>
      </c>
      <c r="E10" s="20" t="s">
        <v>674</v>
      </c>
      <c r="F10" s="20" t="s">
        <v>675</v>
      </c>
      <c r="G10" s="8" t="str">
        <f t="shared" si="0"/>
        <v>MAELZER KURT</v>
      </c>
      <c r="H10" s="20" t="str">
        <f t="shared" si="1"/>
        <v>4019</v>
      </c>
    </row>
    <row r="11" spans="1:8" x14ac:dyDescent="0.25">
      <c r="A11" s="8">
        <v>43043.151400462964</v>
      </c>
      <c r="B11" s="20" t="s">
        <v>653</v>
      </c>
      <c r="C11" s="20" t="s">
        <v>676</v>
      </c>
      <c r="D11" s="138">
        <v>2010000</v>
      </c>
      <c r="E11" s="20" t="s">
        <v>674</v>
      </c>
      <c r="F11" s="20" t="s">
        <v>675</v>
      </c>
      <c r="G11" s="8" t="str">
        <f t="shared" si="0"/>
        <v>MAELZER KURT</v>
      </c>
      <c r="H11" s="20" t="str">
        <f t="shared" si="1"/>
        <v>4020</v>
      </c>
    </row>
    <row r="12" spans="1:8" x14ac:dyDescent="0.25">
      <c r="A12" s="8">
        <v>43043.164942129632</v>
      </c>
      <c r="B12" s="20" t="s">
        <v>371</v>
      </c>
      <c r="C12" s="20" t="s">
        <v>677</v>
      </c>
      <c r="D12" s="138">
        <v>3260000</v>
      </c>
      <c r="E12" s="20" t="s">
        <v>546</v>
      </c>
      <c r="F12" s="20" t="s">
        <v>547</v>
      </c>
      <c r="G12" s="8" t="str">
        <f t="shared" si="0"/>
        <v>PAGE MARCUS</v>
      </c>
      <c r="H12" s="20" t="str">
        <f t="shared" si="1"/>
        <v>4035</v>
      </c>
    </row>
    <row r="13" spans="1:8" x14ac:dyDescent="0.25">
      <c r="A13" s="8">
        <v>43043.172048611108</v>
      </c>
      <c r="B13" s="20" t="s">
        <v>543</v>
      </c>
      <c r="C13" s="20" t="s">
        <v>678</v>
      </c>
      <c r="D13" s="138">
        <v>3120000</v>
      </c>
      <c r="E13" s="20" t="s">
        <v>378</v>
      </c>
      <c r="F13" s="20" t="s">
        <v>668</v>
      </c>
      <c r="G13" s="8" t="str">
        <f t="shared" si="0"/>
        <v>THOMPSON LESTER</v>
      </c>
      <c r="H13" s="20" t="str">
        <f t="shared" si="1"/>
        <v>4005</v>
      </c>
    </row>
    <row r="14" spans="1:8" x14ac:dyDescent="0.25">
      <c r="A14" s="8">
        <v>43043.173344907409</v>
      </c>
      <c r="B14" s="20" t="s">
        <v>679</v>
      </c>
      <c r="C14" s="20" t="s">
        <v>680</v>
      </c>
      <c r="D14" s="138">
        <v>1100000</v>
      </c>
      <c r="E14" s="20" t="s">
        <v>501</v>
      </c>
      <c r="F14" s="20" t="s">
        <v>502</v>
      </c>
      <c r="G14" s="8" t="str">
        <f t="shared" si="0"/>
        <v>GEBRETEKLE DAGNEW</v>
      </c>
      <c r="H14" s="20" t="str">
        <f t="shared" si="1"/>
        <v>4045</v>
      </c>
    </row>
    <row r="15" spans="1:8" x14ac:dyDescent="0.25">
      <c r="A15" s="8">
        <v>43043.175671296296</v>
      </c>
      <c r="B15" s="20" t="s">
        <v>370</v>
      </c>
      <c r="C15" s="20" t="s">
        <v>681</v>
      </c>
      <c r="D15" s="138">
        <v>3260000</v>
      </c>
      <c r="E15" s="20" t="s">
        <v>546</v>
      </c>
      <c r="F15" s="20" t="s">
        <v>547</v>
      </c>
      <c r="G15" s="8" t="str">
        <f t="shared" si="0"/>
        <v>PAGE MARCUS</v>
      </c>
      <c r="H15" s="20" t="str">
        <f t="shared" si="1"/>
        <v>4036</v>
      </c>
    </row>
    <row r="16" spans="1:8" x14ac:dyDescent="0.25">
      <c r="A16" s="8">
        <v>43043.176388888889</v>
      </c>
      <c r="B16" s="20" t="s">
        <v>539</v>
      </c>
      <c r="C16" s="20" t="s">
        <v>648</v>
      </c>
      <c r="D16" s="138">
        <v>2270000</v>
      </c>
      <c r="E16" s="20" t="s">
        <v>682</v>
      </c>
      <c r="F16" s="20" t="s">
        <v>683</v>
      </c>
      <c r="G16" s="8" t="str">
        <f t="shared" si="0"/>
        <v>BROWN JACOB</v>
      </c>
      <c r="H16" s="20" t="str">
        <f t="shared" si="1"/>
        <v>4015</v>
      </c>
    </row>
    <row r="17" spans="1:8" x14ac:dyDescent="0.25">
      <c r="A17" s="8">
        <v>43043.186574074076</v>
      </c>
      <c r="B17" s="20" t="s">
        <v>684</v>
      </c>
      <c r="C17" s="20" t="s">
        <v>685</v>
      </c>
      <c r="D17" s="138">
        <v>1100000</v>
      </c>
      <c r="E17" s="20" t="s">
        <v>501</v>
      </c>
      <c r="F17" s="20" t="s">
        <v>502</v>
      </c>
      <c r="G17" s="8" t="str">
        <f t="shared" si="0"/>
        <v>GEBRETEKLE DAGNEW</v>
      </c>
      <c r="H17" s="20" t="str">
        <f t="shared" si="1"/>
        <v>4046</v>
      </c>
    </row>
    <row r="18" spans="1:8" x14ac:dyDescent="0.25">
      <c r="A18" s="8">
        <v>43043.187175925923</v>
      </c>
      <c r="B18" s="20" t="s">
        <v>672</v>
      </c>
      <c r="C18" s="20" t="s">
        <v>686</v>
      </c>
      <c r="D18" s="138">
        <v>2010000</v>
      </c>
      <c r="E18" s="20" t="s">
        <v>674</v>
      </c>
      <c r="F18" s="20" t="s">
        <v>675</v>
      </c>
      <c r="G18" s="8" t="str">
        <f t="shared" si="0"/>
        <v>MAELZER KURT</v>
      </c>
      <c r="H18" s="20" t="str">
        <f t="shared" si="1"/>
        <v>4019</v>
      </c>
    </row>
    <row r="19" spans="1:8" x14ac:dyDescent="0.25">
      <c r="A19" s="8">
        <v>43043.187696759262</v>
      </c>
      <c r="B19" s="20" t="s">
        <v>658</v>
      </c>
      <c r="C19" s="20" t="s">
        <v>687</v>
      </c>
      <c r="D19" s="138">
        <v>1810000</v>
      </c>
      <c r="E19" s="20" t="s">
        <v>427</v>
      </c>
      <c r="F19" s="20" t="s">
        <v>426</v>
      </c>
      <c r="G19" s="8" t="str">
        <f t="shared" si="0"/>
        <v>NEWELL JAMES</v>
      </c>
      <c r="H19" s="20" t="str">
        <f t="shared" si="1"/>
        <v>4052</v>
      </c>
    </row>
    <row r="20" spans="1:8" x14ac:dyDescent="0.25">
      <c r="A20" s="8">
        <v>43043.191203703704</v>
      </c>
      <c r="B20" s="20" t="s">
        <v>688</v>
      </c>
      <c r="C20" s="20" t="s">
        <v>689</v>
      </c>
      <c r="D20" s="138">
        <v>1810000</v>
      </c>
      <c r="E20" s="20" t="s">
        <v>427</v>
      </c>
      <c r="F20" s="20" t="s">
        <v>426</v>
      </c>
      <c r="G20" s="8" t="str">
        <f t="shared" si="0"/>
        <v>NEWELL JAMES</v>
      </c>
      <c r="H20" s="20" t="str">
        <f t="shared" si="1"/>
        <v>4051</v>
      </c>
    </row>
    <row r="21" spans="1:8" x14ac:dyDescent="0.25">
      <c r="A21" s="8">
        <v>43043.191354166665</v>
      </c>
      <c r="B21" s="20" t="s">
        <v>366</v>
      </c>
      <c r="C21" s="20" t="s">
        <v>690</v>
      </c>
      <c r="D21" s="138">
        <v>2270000</v>
      </c>
      <c r="E21" s="20" t="s">
        <v>682</v>
      </c>
      <c r="F21" s="20" t="s">
        <v>683</v>
      </c>
      <c r="G21" s="8" t="str">
        <f t="shared" si="0"/>
        <v>BROWN JACOB</v>
      </c>
      <c r="H21" s="20" t="str">
        <f t="shared" si="1"/>
        <v>4016</v>
      </c>
    </row>
    <row r="22" spans="1:8" x14ac:dyDescent="0.25">
      <c r="A22" s="26">
        <v>43043.200127314813</v>
      </c>
      <c r="B22" s="20" t="s">
        <v>380</v>
      </c>
      <c r="C22" s="20" t="s">
        <v>691</v>
      </c>
      <c r="D22" s="138">
        <v>2560000</v>
      </c>
      <c r="E22" s="20" t="s">
        <v>692</v>
      </c>
      <c r="F22" s="20" t="s">
        <v>693</v>
      </c>
      <c r="G22" s="8" t="str">
        <f t="shared" si="0"/>
        <v>MACDONALD THOMAS</v>
      </c>
      <c r="H22" s="20" t="str">
        <f t="shared" si="1"/>
        <v>4011</v>
      </c>
    </row>
    <row r="23" spans="1:8" x14ac:dyDescent="0.25">
      <c r="A23" s="8">
        <v>43043.206469907411</v>
      </c>
      <c r="B23" s="20" t="s">
        <v>545</v>
      </c>
      <c r="C23" s="20" t="s">
        <v>694</v>
      </c>
      <c r="D23" s="138">
        <v>3120000</v>
      </c>
      <c r="E23" s="20" t="s">
        <v>378</v>
      </c>
      <c r="F23" s="20" t="s">
        <v>668</v>
      </c>
      <c r="G23" s="8" t="str">
        <f t="shared" si="0"/>
        <v>THOMPSON LESTER</v>
      </c>
      <c r="H23" s="20" t="str">
        <f t="shared" si="1"/>
        <v>4006</v>
      </c>
    </row>
    <row r="24" spans="1:8" x14ac:dyDescent="0.25">
      <c r="A24" s="8">
        <v>43043.210381944446</v>
      </c>
      <c r="B24" s="20" t="s">
        <v>379</v>
      </c>
      <c r="C24" s="20" t="s">
        <v>650</v>
      </c>
      <c r="D24" s="138">
        <v>2560000</v>
      </c>
      <c r="E24" s="20" t="s">
        <v>692</v>
      </c>
      <c r="F24" s="20" t="s">
        <v>693</v>
      </c>
      <c r="G24" s="8" t="str">
        <f t="shared" si="0"/>
        <v>MACDONALD THOMAS</v>
      </c>
      <c r="H24" s="20" t="str">
        <f t="shared" si="1"/>
        <v>4012</v>
      </c>
    </row>
    <row r="25" spans="1:8" x14ac:dyDescent="0.25">
      <c r="A25" s="8">
        <v>43043.21234953704</v>
      </c>
      <c r="B25" s="20" t="s">
        <v>371</v>
      </c>
      <c r="C25" s="20" t="s">
        <v>695</v>
      </c>
      <c r="D25" s="138">
        <v>3260000</v>
      </c>
      <c r="E25" s="20" t="s">
        <v>546</v>
      </c>
      <c r="F25" s="20" t="s">
        <v>547</v>
      </c>
      <c r="G25" s="8" t="str">
        <f t="shared" si="0"/>
        <v>PAGE MARCUS</v>
      </c>
      <c r="H25" s="20" t="str">
        <f t="shared" si="1"/>
        <v>4035</v>
      </c>
    </row>
    <row r="26" spans="1:8" x14ac:dyDescent="0.25">
      <c r="A26" s="8">
        <v>43043.213252314818</v>
      </c>
      <c r="B26" s="20" t="s">
        <v>679</v>
      </c>
      <c r="C26" s="20" t="s">
        <v>696</v>
      </c>
      <c r="D26" s="138">
        <v>1100000</v>
      </c>
      <c r="E26" s="20" t="s">
        <v>501</v>
      </c>
      <c r="F26" s="20" t="s">
        <v>502</v>
      </c>
      <c r="G26" s="8" t="str">
        <f t="shared" si="0"/>
        <v>GEBRETEKLE DAGNEW</v>
      </c>
      <c r="H26" s="20" t="str">
        <f t="shared" si="1"/>
        <v>4045</v>
      </c>
    </row>
    <row r="27" spans="1:8" x14ac:dyDescent="0.25">
      <c r="A27" s="8">
        <v>43043.216469907406</v>
      </c>
      <c r="B27" s="20" t="s">
        <v>537</v>
      </c>
      <c r="C27" s="20" t="s">
        <v>697</v>
      </c>
      <c r="D27" s="138">
        <v>3040000</v>
      </c>
      <c r="E27" s="20" t="s">
        <v>373</v>
      </c>
      <c r="F27" s="20" t="s">
        <v>544</v>
      </c>
      <c r="G27" s="8" t="str">
        <f t="shared" si="0"/>
        <v>WILLIAMS DONTE</v>
      </c>
      <c r="H27" s="20" t="str">
        <f t="shared" si="1"/>
        <v>4065</v>
      </c>
    </row>
    <row r="28" spans="1:8" x14ac:dyDescent="0.25">
      <c r="A28" s="8">
        <v>43043.220578703702</v>
      </c>
      <c r="B28" s="20" t="s">
        <v>416</v>
      </c>
      <c r="C28" s="20" t="s">
        <v>649</v>
      </c>
      <c r="D28" s="138">
        <v>3090000</v>
      </c>
      <c r="E28" s="20" t="s">
        <v>698</v>
      </c>
      <c r="F28" s="20" t="s">
        <v>699</v>
      </c>
      <c r="G28" s="8" t="str">
        <f t="shared" si="0"/>
        <v>LAMAR NEKESHA</v>
      </c>
      <c r="H28" s="20" t="str">
        <f t="shared" si="1"/>
        <v>4028</v>
      </c>
    </row>
    <row r="29" spans="1:8" x14ac:dyDescent="0.25">
      <c r="A29" s="8">
        <v>43043.226655092592</v>
      </c>
      <c r="B29" s="20" t="s">
        <v>653</v>
      </c>
      <c r="C29" s="20" t="s">
        <v>700</v>
      </c>
      <c r="D29" s="138">
        <v>2010000</v>
      </c>
      <c r="E29" s="20" t="s">
        <v>674</v>
      </c>
      <c r="F29" s="20" t="s">
        <v>675</v>
      </c>
      <c r="G29" s="8" t="str">
        <f t="shared" si="0"/>
        <v>MAELZER KURT</v>
      </c>
      <c r="H29" s="20" t="str">
        <f t="shared" si="1"/>
        <v>4020</v>
      </c>
    </row>
    <row r="30" spans="1:8" x14ac:dyDescent="0.25">
      <c r="A30" s="8">
        <v>43043.231724537036</v>
      </c>
      <c r="B30" s="20" t="s">
        <v>407</v>
      </c>
      <c r="C30" s="20" t="s">
        <v>701</v>
      </c>
      <c r="D30" s="138">
        <v>3090000</v>
      </c>
      <c r="E30" s="20" t="s">
        <v>698</v>
      </c>
      <c r="F30" s="20" t="s">
        <v>699</v>
      </c>
      <c r="G30" s="8" t="str">
        <f t="shared" si="0"/>
        <v>LAMAR NEKESHA</v>
      </c>
      <c r="H30" s="20" t="str">
        <f t="shared" si="1"/>
        <v>4027</v>
      </c>
    </row>
    <row r="31" spans="1:8" x14ac:dyDescent="0.25">
      <c r="A31" s="8">
        <v>43043.23505787037</v>
      </c>
      <c r="B31" s="20" t="s">
        <v>536</v>
      </c>
      <c r="C31" s="20" t="s">
        <v>702</v>
      </c>
      <c r="D31" s="138">
        <v>3040000</v>
      </c>
      <c r="E31" s="20" t="s">
        <v>373</v>
      </c>
      <c r="F31" s="20" t="s">
        <v>544</v>
      </c>
      <c r="G31" s="8" t="str">
        <f t="shared" si="0"/>
        <v>WILLIAMS DONTE</v>
      </c>
      <c r="H31" s="20" t="str">
        <f t="shared" si="1"/>
        <v>4066</v>
      </c>
    </row>
    <row r="32" spans="1:8" x14ac:dyDescent="0.25">
      <c r="A32" s="8">
        <v>43043.235289351855</v>
      </c>
      <c r="B32" s="20" t="s">
        <v>539</v>
      </c>
      <c r="C32" s="20" t="s">
        <v>703</v>
      </c>
      <c r="D32" s="138">
        <v>2270000</v>
      </c>
      <c r="E32" s="20" t="s">
        <v>682</v>
      </c>
      <c r="F32" s="20" t="s">
        <v>683</v>
      </c>
      <c r="G32" s="8" t="str">
        <f t="shared" si="0"/>
        <v>BROWN JACOB</v>
      </c>
      <c r="H32" s="20" t="str">
        <f t="shared" si="1"/>
        <v>4015</v>
      </c>
    </row>
    <row r="33" spans="1:8" x14ac:dyDescent="0.25">
      <c r="A33" s="8">
        <v>43043.236932870372</v>
      </c>
      <c r="B33" s="20" t="s">
        <v>536</v>
      </c>
      <c r="C33" s="20" t="s">
        <v>702</v>
      </c>
      <c r="D33" s="138">
        <v>3040000</v>
      </c>
      <c r="E33" s="20" t="s">
        <v>373</v>
      </c>
      <c r="F33" s="20" t="s">
        <v>544</v>
      </c>
      <c r="G33" s="8" t="str">
        <f t="shared" si="0"/>
        <v>WILLIAMS DONTE</v>
      </c>
      <c r="H33" s="20" t="str">
        <f t="shared" si="1"/>
        <v>4066</v>
      </c>
    </row>
    <row r="34" spans="1:8" x14ac:dyDescent="0.25">
      <c r="A34" s="8">
        <v>43043.245798611111</v>
      </c>
      <c r="B34" s="20" t="s">
        <v>543</v>
      </c>
      <c r="C34" s="20" t="s">
        <v>704</v>
      </c>
      <c r="D34" s="138">
        <v>3120000</v>
      </c>
      <c r="E34" s="20" t="s">
        <v>378</v>
      </c>
      <c r="F34" s="20" t="s">
        <v>668</v>
      </c>
      <c r="G34" s="8" t="str">
        <f t="shared" si="0"/>
        <v>THOMPSON LESTER</v>
      </c>
      <c r="H34" s="20" t="str">
        <f t="shared" si="1"/>
        <v>4005</v>
      </c>
    </row>
    <row r="35" spans="1:8" x14ac:dyDescent="0.25">
      <c r="A35" s="8">
        <v>43043.24690972222</v>
      </c>
      <c r="B35" s="20" t="s">
        <v>370</v>
      </c>
      <c r="C35" s="20" t="s">
        <v>705</v>
      </c>
      <c r="D35" s="138">
        <v>3300000</v>
      </c>
      <c r="E35" s="20" t="s">
        <v>706</v>
      </c>
      <c r="F35" s="20" t="s">
        <v>707</v>
      </c>
      <c r="G35" s="8" t="str">
        <f t="shared" si="0"/>
        <v>LANGERAK WILLIAM</v>
      </c>
      <c r="H35" s="20" t="str">
        <f t="shared" si="1"/>
        <v>4036</v>
      </c>
    </row>
    <row r="36" spans="1:8" x14ac:dyDescent="0.25">
      <c r="A36" s="8">
        <v>43043.253275462965</v>
      </c>
      <c r="B36" s="20" t="s">
        <v>380</v>
      </c>
      <c r="C36" s="20" t="s">
        <v>708</v>
      </c>
      <c r="D36" s="138">
        <v>2560000</v>
      </c>
      <c r="E36" s="20" t="s">
        <v>692</v>
      </c>
      <c r="F36" s="20" t="s">
        <v>693</v>
      </c>
      <c r="G36" s="8" t="str">
        <f t="shared" si="0"/>
        <v>MACDONALD THOMAS</v>
      </c>
      <c r="H36" s="20" t="str">
        <f t="shared" si="1"/>
        <v>4011</v>
      </c>
    </row>
    <row r="37" spans="1:8" x14ac:dyDescent="0.25">
      <c r="A37" s="8">
        <v>43043.255393518521</v>
      </c>
      <c r="B37" s="20" t="s">
        <v>416</v>
      </c>
      <c r="C37" s="20" t="s">
        <v>651</v>
      </c>
      <c r="D37" s="138">
        <v>3090000</v>
      </c>
      <c r="E37" s="20" t="s">
        <v>698</v>
      </c>
      <c r="F37" s="20" t="s">
        <v>699</v>
      </c>
      <c r="G37" s="8" t="str">
        <f t="shared" si="0"/>
        <v>LAMAR NEKESHA</v>
      </c>
      <c r="H37" s="20" t="str">
        <f t="shared" si="1"/>
        <v>4028</v>
      </c>
    </row>
    <row r="38" spans="1:8" x14ac:dyDescent="0.25">
      <c r="A38" s="8">
        <v>43043.256527777776</v>
      </c>
      <c r="B38" s="20" t="s">
        <v>684</v>
      </c>
      <c r="C38" s="20" t="s">
        <v>709</v>
      </c>
      <c r="D38" s="138">
        <v>1100000</v>
      </c>
      <c r="E38" s="20" t="s">
        <v>501</v>
      </c>
      <c r="F38" s="20" t="s">
        <v>502</v>
      </c>
      <c r="G38" s="8" t="str">
        <f t="shared" si="0"/>
        <v>GEBRETEKLE DAGNEW</v>
      </c>
      <c r="H38" s="20" t="str">
        <f t="shared" si="1"/>
        <v>4046</v>
      </c>
    </row>
    <row r="39" spans="1:8" x14ac:dyDescent="0.25">
      <c r="A39" s="8">
        <v>43043.261678240742</v>
      </c>
      <c r="B39" s="20" t="s">
        <v>672</v>
      </c>
      <c r="C39" s="20" t="s">
        <v>710</v>
      </c>
      <c r="D39" s="138">
        <v>2010000</v>
      </c>
      <c r="E39" s="20" t="s">
        <v>674</v>
      </c>
      <c r="F39" s="20" t="s">
        <v>675</v>
      </c>
      <c r="G39" s="8" t="str">
        <f t="shared" si="0"/>
        <v>MAELZER KURT</v>
      </c>
      <c r="H39" s="20" t="str">
        <f t="shared" si="1"/>
        <v>4019</v>
      </c>
    </row>
    <row r="40" spans="1:8" x14ac:dyDescent="0.25">
      <c r="A40" s="8">
        <v>43043.267604166664</v>
      </c>
      <c r="B40" s="25" t="s">
        <v>366</v>
      </c>
      <c r="C40" s="20" t="s">
        <v>711</v>
      </c>
      <c r="D40" s="138">
        <v>2270000</v>
      </c>
      <c r="E40" s="20" t="s">
        <v>682</v>
      </c>
      <c r="F40" s="20" t="s">
        <v>683</v>
      </c>
      <c r="G40" s="8" t="str">
        <f t="shared" si="0"/>
        <v>BROWN JACOB</v>
      </c>
      <c r="H40" s="20" t="str">
        <f t="shared" si="1"/>
        <v>4016</v>
      </c>
    </row>
    <row r="41" spans="1:8" x14ac:dyDescent="0.25">
      <c r="A41" s="8">
        <v>43043.269756944443</v>
      </c>
      <c r="B41" s="20" t="s">
        <v>407</v>
      </c>
      <c r="C41" s="20" t="s">
        <v>712</v>
      </c>
      <c r="D41" s="138">
        <v>3090000</v>
      </c>
      <c r="E41" s="20" t="s">
        <v>698</v>
      </c>
      <c r="F41" s="20" t="s">
        <v>699</v>
      </c>
      <c r="G41" s="8" t="str">
        <f t="shared" si="0"/>
        <v>LAMAR NEKESHA</v>
      </c>
      <c r="H41" s="20" t="str">
        <f t="shared" si="1"/>
        <v>4027</v>
      </c>
    </row>
    <row r="42" spans="1:8" x14ac:dyDescent="0.25">
      <c r="A42" s="8">
        <v>43043.276261574072</v>
      </c>
      <c r="B42" s="20" t="s">
        <v>537</v>
      </c>
      <c r="C42" s="20" t="s">
        <v>713</v>
      </c>
      <c r="D42" s="138">
        <v>3040000</v>
      </c>
      <c r="E42" s="20" t="s">
        <v>373</v>
      </c>
      <c r="F42" s="20" t="s">
        <v>544</v>
      </c>
      <c r="G42" s="8" t="str">
        <f t="shared" si="0"/>
        <v>WILLIAMS DONTE</v>
      </c>
      <c r="H42" s="20" t="str">
        <f t="shared" si="1"/>
        <v>4065</v>
      </c>
    </row>
    <row r="43" spans="1:8" x14ac:dyDescent="0.25">
      <c r="A43" s="8">
        <v>43043.278495370374</v>
      </c>
      <c r="B43" s="20" t="s">
        <v>371</v>
      </c>
      <c r="C43" s="20" t="s">
        <v>714</v>
      </c>
      <c r="D43" s="138">
        <v>3300000</v>
      </c>
      <c r="E43" s="20" t="s">
        <v>706</v>
      </c>
      <c r="F43" s="20" t="s">
        <v>707</v>
      </c>
      <c r="G43" s="8" t="str">
        <f t="shared" si="0"/>
        <v>LANGERAK WILLIAM</v>
      </c>
      <c r="H43" s="20" t="str">
        <f t="shared" si="1"/>
        <v>4035</v>
      </c>
    </row>
    <row r="44" spans="1:8" x14ac:dyDescent="0.25">
      <c r="A44" s="8">
        <v>43043.279409722221</v>
      </c>
      <c r="B44" s="20" t="s">
        <v>545</v>
      </c>
      <c r="C44" s="20" t="s">
        <v>715</v>
      </c>
      <c r="D44" s="138">
        <v>3120000</v>
      </c>
      <c r="E44" s="20" t="s">
        <v>378</v>
      </c>
      <c r="F44" s="20" t="s">
        <v>668</v>
      </c>
      <c r="G44" s="8" t="str">
        <f t="shared" si="0"/>
        <v>THOMPSON LESTER</v>
      </c>
      <c r="H44" s="20" t="str">
        <f t="shared" si="1"/>
        <v>4006</v>
      </c>
    </row>
    <row r="45" spans="1:8" x14ac:dyDescent="0.25">
      <c r="A45" s="8">
        <v>43043.285798611112</v>
      </c>
      <c r="B45" s="20" t="s">
        <v>679</v>
      </c>
      <c r="C45" s="20" t="s">
        <v>716</v>
      </c>
      <c r="D45" s="138">
        <v>1100000</v>
      </c>
      <c r="E45" s="20" t="s">
        <v>501</v>
      </c>
      <c r="F45" s="20" t="s">
        <v>502</v>
      </c>
      <c r="G45" s="8" t="str">
        <f t="shared" si="0"/>
        <v>GEBRETEKLE DAGNEW</v>
      </c>
      <c r="H45" s="20" t="str">
        <f t="shared" si="1"/>
        <v>4045</v>
      </c>
    </row>
    <row r="46" spans="1:8" x14ac:dyDescent="0.25">
      <c r="A46" s="8">
        <v>43043.287986111114</v>
      </c>
      <c r="B46" s="20" t="s">
        <v>379</v>
      </c>
      <c r="C46" s="20" t="s">
        <v>717</v>
      </c>
      <c r="D46" s="138">
        <v>2560000</v>
      </c>
      <c r="E46" s="20" t="s">
        <v>692</v>
      </c>
      <c r="F46" s="20" t="s">
        <v>693</v>
      </c>
      <c r="G46" s="8" t="str">
        <f t="shared" si="0"/>
        <v>MACDONALD THOMAS</v>
      </c>
      <c r="H46" s="20" t="str">
        <f t="shared" si="1"/>
        <v>4012</v>
      </c>
    </row>
    <row r="47" spans="1:8" x14ac:dyDescent="0.25">
      <c r="A47" s="8">
        <v>43043.291550925926</v>
      </c>
      <c r="B47" s="20" t="s">
        <v>416</v>
      </c>
      <c r="C47" s="20" t="s">
        <v>652</v>
      </c>
      <c r="D47" s="138">
        <v>3090000</v>
      </c>
      <c r="E47" s="20" t="s">
        <v>698</v>
      </c>
      <c r="F47" s="20" t="s">
        <v>699</v>
      </c>
      <c r="G47" s="8" t="str">
        <f t="shared" si="0"/>
        <v>LAMAR NEKESHA</v>
      </c>
      <c r="H47" s="20" t="str">
        <f t="shared" si="1"/>
        <v>4028</v>
      </c>
    </row>
    <row r="48" spans="1:8" x14ac:dyDescent="0.25">
      <c r="A48" s="8">
        <v>43043.297199074077</v>
      </c>
      <c r="B48" s="20" t="s">
        <v>653</v>
      </c>
      <c r="C48" s="20" t="s">
        <v>718</v>
      </c>
      <c r="D48" s="138">
        <v>2010000</v>
      </c>
      <c r="E48" s="20" t="s">
        <v>674</v>
      </c>
      <c r="F48" s="20" t="s">
        <v>675</v>
      </c>
      <c r="G48" s="8" t="str">
        <f t="shared" si="0"/>
        <v>MAELZER KURT</v>
      </c>
      <c r="H48" s="20" t="str">
        <f t="shared" si="1"/>
        <v>4020</v>
      </c>
    </row>
    <row r="49" spans="1:8" x14ac:dyDescent="0.25">
      <c r="A49" s="8">
        <v>43043.305439814816</v>
      </c>
      <c r="B49" s="20" t="s">
        <v>539</v>
      </c>
      <c r="C49" s="20" t="s">
        <v>719</v>
      </c>
      <c r="D49" s="138">
        <v>2270000</v>
      </c>
      <c r="E49" s="20" t="s">
        <v>682</v>
      </c>
      <c r="F49" s="20" t="s">
        <v>683</v>
      </c>
      <c r="G49" s="8" t="str">
        <f t="shared" si="0"/>
        <v>BROWN JACOB</v>
      </c>
      <c r="H49" s="20" t="str">
        <f t="shared" si="1"/>
        <v>4015</v>
      </c>
    </row>
    <row r="50" spans="1:8" x14ac:dyDescent="0.25">
      <c r="A50" s="8">
        <v>43043.309687499997</v>
      </c>
      <c r="B50" s="20" t="s">
        <v>407</v>
      </c>
      <c r="C50" s="20" t="s">
        <v>720</v>
      </c>
      <c r="D50" s="138">
        <v>3090000</v>
      </c>
      <c r="E50" s="20" t="s">
        <v>698</v>
      </c>
      <c r="F50" s="20" t="s">
        <v>699</v>
      </c>
      <c r="G50" s="8" t="str">
        <f t="shared" si="0"/>
        <v>LAMAR NEKESHA</v>
      </c>
      <c r="H50" s="20" t="str">
        <f t="shared" si="1"/>
        <v>4027</v>
      </c>
    </row>
    <row r="51" spans="1:8" x14ac:dyDescent="0.25">
      <c r="A51" s="8">
        <v>43043.310115740744</v>
      </c>
      <c r="B51" s="20" t="s">
        <v>536</v>
      </c>
      <c r="C51" s="20" t="s">
        <v>721</v>
      </c>
      <c r="D51" s="138">
        <v>3040000</v>
      </c>
      <c r="E51" s="20" t="s">
        <v>373</v>
      </c>
      <c r="F51" s="20" t="s">
        <v>544</v>
      </c>
      <c r="G51" s="8" t="str">
        <f t="shared" si="0"/>
        <v>WILLIAMS DONTE</v>
      </c>
      <c r="H51" s="20" t="str">
        <f t="shared" si="1"/>
        <v>4066</v>
      </c>
    </row>
    <row r="52" spans="1:8" x14ac:dyDescent="0.25">
      <c r="A52" s="8">
        <v>43043.319351851853</v>
      </c>
      <c r="B52" s="20" t="s">
        <v>543</v>
      </c>
      <c r="C52" s="20" t="s">
        <v>722</v>
      </c>
      <c r="D52" s="138">
        <v>3120000</v>
      </c>
      <c r="E52" s="20" t="s">
        <v>378</v>
      </c>
      <c r="F52" s="20" t="s">
        <v>668</v>
      </c>
      <c r="G52" s="8" t="str">
        <f t="shared" si="0"/>
        <v>THOMPSON LESTER</v>
      </c>
      <c r="H52" s="20" t="str">
        <f t="shared" si="1"/>
        <v>4005</v>
      </c>
    </row>
    <row r="53" spans="1:8" x14ac:dyDescent="0.25">
      <c r="A53" s="8">
        <v>43043.319641203707</v>
      </c>
      <c r="B53" s="20" t="s">
        <v>370</v>
      </c>
      <c r="C53" s="20" t="s">
        <v>723</v>
      </c>
      <c r="D53" s="138">
        <v>3260000</v>
      </c>
      <c r="E53" s="20" t="s">
        <v>546</v>
      </c>
      <c r="F53" s="20" t="s">
        <v>547</v>
      </c>
      <c r="G53" s="8" t="str">
        <f t="shared" si="0"/>
        <v>PAGE MARCUS</v>
      </c>
      <c r="H53" s="20" t="str">
        <f t="shared" si="1"/>
        <v>4036</v>
      </c>
    </row>
    <row r="54" spans="1:8" x14ac:dyDescent="0.25">
      <c r="A54" s="8">
        <v>43043.3203125</v>
      </c>
      <c r="B54" s="20" t="s">
        <v>380</v>
      </c>
      <c r="C54" s="20" t="s">
        <v>724</v>
      </c>
      <c r="D54" s="138">
        <v>2560000</v>
      </c>
      <c r="E54" s="20" t="s">
        <v>692</v>
      </c>
      <c r="F54" s="20" t="s">
        <v>693</v>
      </c>
      <c r="G54" s="8" t="str">
        <f t="shared" si="0"/>
        <v>MACDONALD THOMAS</v>
      </c>
      <c r="H54" s="20" t="str">
        <f t="shared" si="1"/>
        <v>4011</v>
      </c>
    </row>
    <row r="55" spans="1:8" x14ac:dyDescent="0.25">
      <c r="A55" s="8">
        <v>43043.328217592592</v>
      </c>
      <c r="B55" s="20" t="s">
        <v>684</v>
      </c>
      <c r="C55" s="20" t="s">
        <v>725</v>
      </c>
      <c r="D55" s="138">
        <v>1100000</v>
      </c>
      <c r="E55" s="20" t="s">
        <v>501</v>
      </c>
      <c r="F55" s="20" t="s">
        <v>502</v>
      </c>
      <c r="G55" s="8" t="str">
        <f t="shared" si="0"/>
        <v>GEBRETEKLE DAGNEW</v>
      </c>
      <c r="H55" s="20" t="str">
        <f t="shared" si="1"/>
        <v>4046</v>
      </c>
    </row>
    <row r="56" spans="1:8" x14ac:dyDescent="0.25">
      <c r="A56" s="8">
        <v>43043.329351851855</v>
      </c>
      <c r="B56" s="20" t="s">
        <v>672</v>
      </c>
      <c r="C56" s="20" t="s">
        <v>726</v>
      </c>
      <c r="D56" s="138">
        <v>2010000</v>
      </c>
      <c r="E56" s="20" t="s">
        <v>674</v>
      </c>
      <c r="F56" s="20" t="s">
        <v>675</v>
      </c>
      <c r="G56" s="8" t="str">
        <f t="shared" si="0"/>
        <v>MAELZER KURT</v>
      </c>
      <c r="H56" s="20" t="str">
        <f t="shared" si="1"/>
        <v>4019</v>
      </c>
    </row>
    <row r="57" spans="1:8" x14ac:dyDescent="0.25">
      <c r="A57" s="8">
        <v>43043.338009259256</v>
      </c>
      <c r="B57" s="20" t="s">
        <v>416</v>
      </c>
      <c r="C57" s="20" t="s">
        <v>727</v>
      </c>
      <c r="D57" s="138">
        <v>3090000</v>
      </c>
      <c r="E57" s="20" t="s">
        <v>698</v>
      </c>
      <c r="F57" s="20" t="s">
        <v>699</v>
      </c>
      <c r="G57" s="8" t="str">
        <f t="shared" si="0"/>
        <v>LAMAR NEKESHA</v>
      </c>
      <c r="H57" s="20" t="str">
        <f t="shared" si="1"/>
        <v>4028</v>
      </c>
    </row>
    <row r="58" spans="1:8" x14ac:dyDescent="0.25">
      <c r="A58" s="8">
        <v>43043.340567129628</v>
      </c>
      <c r="B58" s="20" t="s">
        <v>366</v>
      </c>
      <c r="C58" s="20" t="s">
        <v>728</v>
      </c>
      <c r="D58" s="138">
        <v>2270000</v>
      </c>
      <c r="E58" s="20" t="s">
        <v>682</v>
      </c>
      <c r="F58" s="20" t="s">
        <v>683</v>
      </c>
      <c r="G58" s="8" t="str">
        <f t="shared" si="0"/>
        <v>BROWN JACOB</v>
      </c>
      <c r="H58" s="20" t="str">
        <f t="shared" si="1"/>
        <v>4016</v>
      </c>
    </row>
    <row r="59" spans="1:8" x14ac:dyDescent="0.25">
      <c r="A59" s="8">
        <v>43043.348483796297</v>
      </c>
      <c r="B59" s="20" t="s">
        <v>537</v>
      </c>
      <c r="C59" s="20" t="s">
        <v>729</v>
      </c>
      <c r="D59" s="138">
        <v>3040000</v>
      </c>
      <c r="E59" s="20" t="s">
        <v>373</v>
      </c>
      <c r="F59" s="20" t="s">
        <v>544</v>
      </c>
      <c r="G59" s="8" t="str">
        <f t="shared" si="0"/>
        <v>WILLIAMS DONTE</v>
      </c>
      <c r="H59" s="20" t="str">
        <f t="shared" si="1"/>
        <v>4065</v>
      </c>
    </row>
    <row r="60" spans="1:8" x14ac:dyDescent="0.25">
      <c r="A60" s="8">
        <v>43043.351423611108</v>
      </c>
      <c r="B60" s="20" t="s">
        <v>545</v>
      </c>
      <c r="C60" s="20" t="s">
        <v>730</v>
      </c>
      <c r="D60" s="138">
        <v>3120000</v>
      </c>
      <c r="E60" s="20" t="s">
        <v>378</v>
      </c>
      <c r="F60" s="20" t="s">
        <v>668</v>
      </c>
      <c r="G60" s="8" t="str">
        <f t="shared" si="0"/>
        <v>THOMPSON LESTER</v>
      </c>
      <c r="H60" s="20" t="str">
        <f t="shared" si="1"/>
        <v>4006</v>
      </c>
    </row>
    <row r="61" spans="1:8" x14ac:dyDescent="0.25">
      <c r="A61" s="8">
        <v>43043.351446759261</v>
      </c>
      <c r="B61" s="20" t="s">
        <v>407</v>
      </c>
      <c r="C61" s="20" t="s">
        <v>731</v>
      </c>
      <c r="D61" s="138">
        <v>3090000</v>
      </c>
      <c r="E61" s="20" t="s">
        <v>698</v>
      </c>
      <c r="F61" s="20" t="s">
        <v>699</v>
      </c>
      <c r="G61" s="8" t="str">
        <f t="shared" si="0"/>
        <v>LAMAR NEKESHA</v>
      </c>
      <c r="H61" s="20" t="str">
        <f t="shared" si="1"/>
        <v>4027</v>
      </c>
    </row>
    <row r="62" spans="1:8" x14ac:dyDescent="0.25">
      <c r="A62" s="8">
        <v>43043.356956018521</v>
      </c>
      <c r="B62" s="20" t="s">
        <v>371</v>
      </c>
      <c r="C62" s="20" t="s">
        <v>732</v>
      </c>
      <c r="D62" s="138">
        <v>3260000</v>
      </c>
      <c r="E62" s="20" t="s">
        <v>546</v>
      </c>
      <c r="F62" s="20" t="s">
        <v>547</v>
      </c>
      <c r="G62" s="8" t="str">
        <f t="shared" si="0"/>
        <v>PAGE MARCUS</v>
      </c>
      <c r="H62" s="20" t="str">
        <f t="shared" si="1"/>
        <v>4035</v>
      </c>
    </row>
    <row r="63" spans="1:8" x14ac:dyDescent="0.25">
      <c r="A63" s="8">
        <v>43043.359560185185</v>
      </c>
      <c r="B63" s="20" t="s">
        <v>679</v>
      </c>
      <c r="C63" s="20" t="s">
        <v>733</v>
      </c>
      <c r="D63" s="138">
        <v>1100000</v>
      </c>
      <c r="E63" s="20" t="s">
        <v>501</v>
      </c>
      <c r="F63" s="20" t="s">
        <v>502</v>
      </c>
      <c r="G63" s="8" t="str">
        <f t="shared" si="0"/>
        <v>GEBRETEKLE DAGNEW</v>
      </c>
      <c r="H63" s="20" t="str">
        <f t="shared" si="1"/>
        <v>4045</v>
      </c>
    </row>
    <row r="64" spans="1:8" x14ac:dyDescent="0.25">
      <c r="A64" s="26">
        <v>43043.359791666669</v>
      </c>
      <c r="B64" s="20" t="s">
        <v>379</v>
      </c>
      <c r="C64" s="20" t="s">
        <v>734</v>
      </c>
      <c r="D64" s="138">
        <v>2560000</v>
      </c>
      <c r="E64" s="20" t="s">
        <v>692</v>
      </c>
      <c r="F64" s="20" t="s">
        <v>693</v>
      </c>
      <c r="G64" s="8" t="str">
        <f t="shared" si="0"/>
        <v>MACDONALD THOMAS</v>
      </c>
      <c r="H64" s="20" t="str">
        <f t="shared" si="1"/>
        <v>4012</v>
      </c>
    </row>
    <row r="65" spans="1:8" x14ac:dyDescent="0.25">
      <c r="A65" s="8">
        <v>43043.371319444443</v>
      </c>
      <c r="B65" s="20" t="s">
        <v>653</v>
      </c>
      <c r="C65" s="20" t="s">
        <v>654</v>
      </c>
      <c r="D65" s="138">
        <v>2010000</v>
      </c>
      <c r="E65" s="20" t="s">
        <v>674</v>
      </c>
      <c r="F65" s="20" t="s">
        <v>675</v>
      </c>
      <c r="G65" s="8" t="str">
        <f t="shared" si="0"/>
        <v>MAELZER KURT</v>
      </c>
      <c r="H65" s="20" t="str">
        <f t="shared" si="1"/>
        <v>4020</v>
      </c>
    </row>
    <row r="66" spans="1:8" x14ac:dyDescent="0.25">
      <c r="A66" s="8">
        <v>43043.379305555558</v>
      </c>
      <c r="B66" s="20" t="s">
        <v>416</v>
      </c>
      <c r="C66" s="20" t="s">
        <v>735</v>
      </c>
      <c r="D66" s="138">
        <v>3090000</v>
      </c>
      <c r="E66" s="20" t="s">
        <v>698</v>
      </c>
      <c r="F66" s="20" t="s">
        <v>699</v>
      </c>
      <c r="G66" s="8" t="str">
        <f t="shared" si="0"/>
        <v>LAMAR NEKESHA</v>
      </c>
      <c r="H66" s="20" t="str">
        <f t="shared" si="1"/>
        <v>4028</v>
      </c>
    </row>
    <row r="67" spans="1:8" x14ac:dyDescent="0.25">
      <c r="A67" s="8">
        <v>43043.380671296298</v>
      </c>
      <c r="B67" s="20" t="s">
        <v>536</v>
      </c>
      <c r="C67" s="20" t="s">
        <v>736</v>
      </c>
      <c r="D67" s="138">
        <v>3040000</v>
      </c>
      <c r="E67" s="20" t="s">
        <v>373</v>
      </c>
      <c r="F67" s="20" t="s">
        <v>544</v>
      </c>
      <c r="G67" s="8" t="str">
        <f t="shared" ref="G67:G130" si="2">E67&amp;" "&amp;F67</f>
        <v>WILLIAMS DONTE</v>
      </c>
      <c r="H67" s="20" t="str">
        <f t="shared" ref="H67:H130" si="3">MID(B67,13,4)</f>
        <v>4066</v>
      </c>
    </row>
    <row r="68" spans="1:8" x14ac:dyDescent="0.25">
      <c r="A68" s="8">
        <v>43043.381493055553</v>
      </c>
      <c r="B68" s="20" t="s">
        <v>539</v>
      </c>
      <c r="C68" s="20" t="s">
        <v>737</v>
      </c>
      <c r="D68" s="138">
        <v>2270000</v>
      </c>
      <c r="E68" s="20" t="s">
        <v>682</v>
      </c>
      <c r="F68" s="20" t="s">
        <v>683</v>
      </c>
      <c r="G68" s="8" t="str">
        <f t="shared" si="2"/>
        <v>BROWN JACOB</v>
      </c>
      <c r="H68" s="20" t="str">
        <f t="shared" si="3"/>
        <v>4015</v>
      </c>
    </row>
    <row r="69" spans="1:8" x14ac:dyDescent="0.25">
      <c r="A69" s="8">
        <v>43043.391122685185</v>
      </c>
      <c r="B69" s="20" t="s">
        <v>543</v>
      </c>
      <c r="C69" s="20" t="s">
        <v>738</v>
      </c>
      <c r="D69" s="138">
        <v>3120000</v>
      </c>
      <c r="E69" s="20" t="s">
        <v>378</v>
      </c>
      <c r="F69" s="20" t="s">
        <v>668</v>
      </c>
      <c r="G69" s="8" t="str">
        <f t="shared" si="2"/>
        <v>THOMPSON LESTER</v>
      </c>
      <c r="H69" s="20" t="str">
        <f t="shared" si="3"/>
        <v>4005</v>
      </c>
    </row>
    <row r="70" spans="1:8" x14ac:dyDescent="0.25">
      <c r="A70" s="8">
        <v>43043.391238425924</v>
      </c>
      <c r="B70" s="20" t="s">
        <v>370</v>
      </c>
      <c r="C70" s="20" t="s">
        <v>739</v>
      </c>
      <c r="D70" s="138">
        <v>3260000</v>
      </c>
      <c r="E70" s="20" t="s">
        <v>546</v>
      </c>
      <c r="F70" s="20" t="s">
        <v>547</v>
      </c>
      <c r="G70" s="8" t="str">
        <f t="shared" si="2"/>
        <v>PAGE MARCUS</v>
      </c>
      <c r="H70" s="20" t="str">
        <f t="shared" si="3"/>
        <v>4036</v>
      </c>
    </row>
    <row r="71" spans="1:8" x14ac:dyDescent="0.25">
      <c r="A71" s="8">
        <v>43043.392002314817</v>
      </c>
      <c r="B71" s="20" t="s">
        <v>380</v>
      </c>
      <c r="C71" s="20" t="s">
        <v>740</v>
      </c>
      <c r="D71" s="138">
        <v>2560000</v>
      </c>
      <c r="E71" s="20" t="s">
        <v>692</v>
      </c>
      <c r="F71" s="20" t="s">
        <v>693</v>
      </c>
      <c r="G71" s="8" t="str">
        <f t="shared" si="2"/>
        <v>MACDONALD THOMAS</v>
      </c>
      <c r="H71" s="20" t="str">
        <f t="shared" si="3"/>
        <v>4011</v>
      </c>
    </row>
    <row r="72" spans="1:8" x14ac:dyDescent="0.25">
      <c r="A72" s="8">
        <v>43043.393530092595</v>
      </c>
      <c r="B72" s="20" t="s">
        <v>407</v>
      </c>
      <c r="C72" s="20" t="s">
        <v>741</v>
      </c>
      <c r="D72" s="138">
        <v>3090000</v>
      </c>
      <c r="E72" s="20" t="s">
        <v>698</v>
      </c>
      <c r="F72" s="20" t="s">
        <v>699</v>
      </c>
      <c r="G72" s="8" t="str">
        <f t="shared" si="2"/>
        <v>LAMAR NEKESHA</v>
      </c>
      <c r="H72" s="20" t="str">
        <f t="shared" si="3"/>
        <v>4027</v>
      </c>
    </row>
    <row r="73" spans="1:8" x14ac:dyDescent="0.25">
      <c r="A73" s="8">
        <v>43043.401909722219</v>
      </c>
      <c r="B73" s="20" t="s">
        <v>684</v>
      </c>
      <c r="C73" s="20" t="s">
        <v>742</v>
      </c>
      <c r="D73" s="138">
        <v>1100000</v>
      </c>
      <c r="E73" s="20" t="s">
        <v>501</v>
      </c>
      <c r="F73" s="20" t="s">
        <v>502</v>
      </c>
      <c r="G73" s="8" t="str">
        <f t="shared" si="2"/>
        <v>GEBRETEKLE DAGNEW</v>
      </c>
      <c r="H73" s="20" t="str">
        <f t="shared" si="3"/>
        <v>4046</v>
      </c>
    </row>
    <row r="74" spans="1:8" x14ac:dyDescent="0.25">
      <c r="A74" s="8">
        <v>43043.405810185184</v>
      </c>
      <c r="B74" s="20" t="s">
        <v>672</v>
      </c>
      <c r="C74" s="20" t="s">
        <v>743</v>
      </c>
      <c r="D74" s="138">
        <v>2010000</v>
      </c>
      <c r="E74" s="20" t="s">
        <v>674</v>
      </c>
      <c r="F74" s="20" t="s">
        <v>675</v>
      </c>
      <c r="G74" s="8" t="str">
        <f t="shared" si="2"/>
        <v>MAELZER KURT</v>
      </c>
      <c r="H74" s="20" t="str">
        <f t="shared" si="3"/>
        <v>4019</v>
      </c>
    </row>
    <row r="75" spans="1:8" x14ac:dyDescent="0.25">
      <c r="A75" s="8">
        <v>43043.414259259262</v>
      </c>
      <c r="B75" s="20" t="s">
        <v>366</v>
      </c>
      <c r="C75" s="20" t="s">
        <v>744</v>
      </c>
      <c r="D75" s="138">
        <v>2270000</v>
      </c>
      <c r="E75" s="20" t="s">
        <v>682</v>
      </c>
      <c r="F75" s="20" t="s">
        <v>683</v>
      </c>
      <c r="G75" s="8" t="str">
        <f t="shared" si="2"/>
        <v>BROWN JACOB</v>
      </c>
      <c r="H75" s="20" t="str">
        <f t="shared" si="3"/>
        <v>4016</v>
      </c>
    </row>
    <row r="76" spans="1:8" x14ac:dyDescent="0.25">
      <c r="A76" s="8">
        <v>43043.42114583333</v>
      </c>
      <c r="B76" s="20" t="s">
        <v>537</v>
      </c>
      <c r="C76" s="20" t="s">
        <v>745</v>
      </c>
      <c r="D76" s="138">
        <v>3040000</v>
      </c>
      <c r="E76" s="20" t="s">
        <v>373</v>
      </c>
      <c r="F76" s="20" t="s">
        <v>544</v>
      </c>
      <c r="G76" s="8" t="str">
        <f t="shared" si="2"/>
        <v>WILLIAMS DONTE</v>
      </c>
      <c r="H76" s="20" t="str">
        <f t="shared" si="3"/>
        <v>4065</v>
      </c>
    </row>
    <row r="77" spans="1:8" x14ac:dyDescent="0.25">
      <c r="A77" s="8">
        <v>43043.421666666669</v>
      </c>
      <c r="B77" s="20" t="s">
        <v>416</v>
      </c>
      <c r="C77" s="20" t="s">
        <v>741</v>
      </c>
      <c r="D77" s="138">
        <v>3090000</v>
      </c>
      <c r="E77" s="20" t="s">
        <v>698</v>
      </c>
      <c r="F77" s="20" t="s">
        <v>699</v>
      </c>
      <c r="G77" s="8" t="str">
        <f t="shared" si="2"/>
        <v>LAMAR NEKESHA</v>
      </c>
      <c r="H77" s="20" t="str">
        <f t="shared" si="3"/>
        <v>4028</v>
      </c>
    </row>
    <row r="78" spans="1:8" x14ac:dyDescent="0.25">
      <c r="A78" s="8">
        <v>43043.422222222223</v>
      </c>
      <c r="B78" s="20" t="s">
        <v>416</v>
      </c>
      <c r="C78" s="20" t="s">
        <v>655</v>
      </c>
      <c r="D78" s="138">
        <v>3090000</v>
      </c>
      <c r="E78" s="20" t="s">
        <v>698</v>
      </c>
      <c r="F78" s="20" t="s">
        <v>699</v>
      </c>
      <c r="G78" s="8" t="str">
        <f t="shared" si="2"/>
        <v>LAMAR NEKESHA</v>
      </c>
      <c r="H78" s="20" t="str">
        <f t="shared" si="3"/>
        <v>4028</v>
      </c>
    </row>
    <row r="79" spans="1:8" x14ac:dyDescent="0.25">
      <c r="A79" s="8">
        <v>43043.422719907408</v>
      </c>
      <c r="B79" s="20" t="s">
        <v>416</v>
      </c>
      <c r="C79" s="20" t="s">
        <v>746</v>
      </c>
      <c r="D79" s="138">
        <v>3090000</v>
      </c>
      <c r="E79" s="20" t="s">
        <v>698</v>
      </c>
      <c r="F79" s="20" t="s">
        <v>699</v>
      </c>
      <c r="G79" s="8" t="str">
        <f t="shared" si="2"/>
        <v>LAMAR NEKESHA</v>
      </c>
      <c r="H79" s="20" t="str">
        <f t="shared" si="3"/>
        <v>4028</v>
      </c>
    </row>
    <row r="80" spans="1:8" x14ac:dyDescent="0.25">
      <c r="A80" s="8">
        <v>43043.423784722225</v>
      </c>
      <c r="B80" s="20" t="s">
        <v>545</v>
      </c>
      <c r="C80" s="20" t="s">
        <v>747</v>
      </c>
      <c r="D80" s="138">
        <v>2550000</v>
      </c>
      <c r="E80" s="20" t="s">
        <v>550</v>
      </c>
      <c r="F80" s="20" t="s">
        <v>551</v>
      </c>
      <c r="G80" s="8" t="str">
        <f t="shared" si="2"/>
        <v>BADERTSCHER DIANE</v>
      </c>
      <c r="H80" s="20" t="str">
        <f t="shared" si="3"/>
        <v>4006</v>
      </c>
    </row>
    <row r="81" spans="1:8" x14ac:dyDescent="0.25">
      <c r="A81" s="8">
        <v>43043.431377314817</v>
      </c>
      <c r="B81" s="20" t="s">
        <v>371</v>
      </c>
      <c r="C81" s="20" t="s">
        <v>748</v>
      </c>
      <c r="D81" s="138">
        <v>3260000</v>
      </c>
      <c r="E81" s="20" t="s">
        <v>546</v>
      </c>
      <c r="F81" s="20" t="s">
        <v>547</v>
      </c>
      <c r="G81" s="8" t="str">
        <f t="shared" si="2"/>
        <v>PAGE MARCUS</v>
      </c>
      <c r="H81" s="20" t="str">
        <f t="shared" si="3"/>
        <v>4035</v>
      </c>
    </row>
    <row r="82" spans="1:8" x14ac:dyDescent="0.25">
      <c r="A82" s="8">
        <v>43043.432314814818</v>
      </c>
      <c r="B82" s="20" t="s">
        <v>679</v>
      </c>
      <c r="C82" s="20" t="s">
        <v>749</v>
      </c>
      <c r="D82" s="138">
        <v>1100000</v>
      </c>
      <c r="E82" s="20" t="s">
        <v>501</v>
      </c>
      <c r="F82" s="20" t="s">
        <v>502</v>
      </c>
      <c r="G82" s="8" t="str">
        <f t="shared" si="2"/>
        <v>GEBRETEKLE DAGNEW</v>
      </c>
      <c r="H82" s="20" t="str">
        <f t="shared" si="3"/>
        <v>4045</v>
      </c>
    </row>
    <row r="83" spans="1:8" x14ac:dyDescent="0.25">
      <c r="A83" s="8">
        <v>43043.435243055559</v>
      </c>
      <c r="B83" s="20" t="s">
        <v>407</v>
      </c>
      <c r="C83" s="20" t="s">
        <v>655</v>
      </c>
      <c r="D83" s="138">
        <v>3090000</v>
      </c>
      <c r="E83" s="20" t="s">
        <v>698</v>
      </c>
      <c r="F83" s="20" t="s">
        <v>699</v>
      </c>
      <c r="G83" s="8" t="str">
        <f t="shared" si="2"/>
        <v>LAMAR NEKESHA</v>
      </c>
      <c r="H83" s="20" t="str">
        <f t="shared" si="3"/>
        <v>4027</v>
      </c>
    </row>
    <row r="84" spans="1:8" x14ac:dyDescent="0.25">
      <c r="A84" s="8">
        <v>43043.436469907407</v>
      </c>
      <c r="B84" s="20" t="s">
        <v>379</v>
      </c>
      <c r="C84" s="20" t="s">
        <v>750</v>
      </c>
      <c r="D84" s="138">
        <v>2560000</v>
      </c>
      <c r="E84" s="20" t="s">
        <v>692</v>
      </c>
      <c r="F84" s="20" t="s">
        <v>693</v>
      </c>
      <c r="G84" s="8" t="str">
        <f t="shared" si="2"/>
        <v>MACDONALD THOMAS</v>
      </c>
      <c r="H84" s="20" t="str">
        <f t="shared" si="3"/>
        <v>4012</v>
      </c>
    </row>
    <row r="85" spans="1:8" x14ac:dyDescent="0.25">
      <c r="A85" s="8">
        <v>43043.446053240739</v>
      </c>
      <c r="B85" s="20" t="s">
        <v>653</v>
      </c>
      <c r="C85" s="20" t="s">
        <v>751</v>
      </c>
      <c r="D85" s="138">
        <v>1770000</v>
      </c>
      <c r="E85" s="20" t="s">
        <v>420</v>
      </c>
      <c r="F85" s="20" t="s">
        <v>421</v>
      </c>
      <c r="G85" s="8" t="str">
        <f t="shared" si="2"/>
        <v>BRUDER RICHARD</v>
      </c>
      <c r="H85" s="20" t="str">
        <f t="shared" si="3"/>
        <v>4020</v>
      </c>
    </row>
    <row r="86" spans="1:8" x14ac:dyDescent="0.25">
      <c r="A86" s="8">
        <v>43043.449872685182</v>
      </c>
      <c r="B86" s="20" t="s">
        <v>539</v>
      </c>
      <c r="C86" s="20" t="s">
        <v>752</v>
      </c>
      <c r="D86" s="138">
        <v>2270000</v>
      </c>
      <c r="E86" s="20" t="s">
        <v>682</v>
      </c>
      <c r="F86" s="20" t="s">
        <v>683</v>
      </c>
      <c r="G86" s="8" t="str">
        <f t="shared" si="2"/>
        <v>BROWN JACOB</v>
      </c>
      <c r="H86" s="20" t="str">
        <f t="shared" si="3"/>
        <v>4015</v>
      </c>
    </row>
    <row r="87" spans="1:8" x14ac:dyDescent="0.25">
      <c r="A87" s="8">
        <v>43043.454629629632</v>
      </c>
      <c r="B87" s="20" t="s">
        <v>536</v>
      </c>
      <c r="C87" s="20" t="s">
        <v>753</v>
      </c>
      <c r="D87" s="138">
        <v>3040000</v>
      </c>
      <c r="E87" s="20" t="s">
        <v>373</v>
      </c>
      <c r="F87" s="20" t="s">
        <v>544</v>
      </c>
      <c r="G87" s="8" t="str">
        <f t="shared" si="2"/>
        <v>WILLIAMS DONTE</v>
      </c>
      <c r="H87" s="20" t="str">
        <f t="shared" si="3"/>
        <v>4066</v>
      </c>
    </row>
    <row r="88" spans="1:8" x14ac:dyDescent="0.25">
      <c r="A88" s="8">
        <v>43043.462673611109</v>
      </c>
      <c r="B88" s="20" t="s">
        <v>543</v>
      </c>
      <c r="C88" s="20" t="s">
        <v>754</v>
      </c>
      <c r="D88" s="138">
        <v>2550000</v>
      </c>
      <c r="E88" s="20" t="s">
        <v>550</v>
      </c>
      <c r="F88" s="20" t="s">
        <v>551</v>
      </c>
      <c r="G88" s="8" t="str">
        <f t="shared" si="2"/>
        <v>BADERTSCHER DIANE</v>
      </c>
      <c r="H88" s="20" t="str">
        <f t="shared" si="3"/>
        <v>4005</v>
      </c>
    </row>
    <row r="89" spans="1:8" x14ac:dyDescent="0.25">
      <c r="A89" s="8">
        <v>43043.463506944441</v>
      </c>
      <c r="B89" s="20" t="s">
        <v>416</v>
      </c>
      <c r="C89" s="20" t="s">
        <v>755</v>
      </c>
      <c r="D89" s="138">
        <v>3090000</v>
      </c>
      <c r="E89" s="20" t="s">
        <v>698</v>
      </c>
      <c r="F89" s="20" t="s">
        <v>699</v>
      </c>
      <c r="G89" s="8" t="str">
        <f t="shared" si="2"/>
        <v>LAMAR NEKESHA</v>
      </c>
      <c r="H89" s="20" t="str">
        <f t="shared" si="3"/>
        <v>4028</v>
      </c>
    </row>
    <row r="90" spans="1:8" x14ac:dyDescent="0.25">
      <c r="A90" s="8">
        <v>43043.464270833334</v>
      </c>
      <c r="B90" s="20" t="s">
        <v>370</v>
      </c>
      <c r="C90" s="20" t="s">
        <v>756</v>
      </c>
      <c r="D90" s="138">
        <v>2600000</v>
      </c>
      <c r="E90" s="20" t="s">
        <v>555</v>
      </c>
      <c r="F90" s="20" t="s">
        <v>504</v>
      </c>
      <c r="G90" s="8" t="str">
        <f t="shared" si="2"/>
        <v>DAVIDSON DAVID</v>
      </c>
      <c r="H90" s="20" t="str">
        <f t="shared" si="3"/>
        <v>4036</v>
      </c>
    </row>
    <row r="91" spans="1:8" x14ac:dyDescent="0.25">
      <c r="A91" s="8">
        <v>43043.475243055553</v>
      </c>
      <c r="B91" s="20" t="s">
        <v>380</v>
      </c>
      <c r="C91" s="20" t="s">
        <v>656</v>
      </c>
      <c r="D91" s="138">
        <v>2560000</v>
      </c>
      <c r="E91" s="20" t="s">
        <v>692</v>
      </c>
      <c r="F91" s="20" t="s">
        <v>693</v>
      </c>
      <c r="G91" s="8" t="str">
        <f t="shared" si="2"/>
        <v>MACDONALD THOMAS</v>
      </c>
      <c r="H91" s="20" t="str">
        <f t="shared" si="3"/>
        <v>4011</v>
      </c>
    </row>
    <row r="92" spans="1:8" x14ac:dyDescent="0.25">
      <c r="A92" s="8">
        <v>43043.476620370369</v>
      </c>
      <c r="B92" s="20" t="s">
        <v>407</v>
      </c>
      <c r="C92" s="20" t="s">
        <v>757</v>
      </c>
      <c r="D92" s="138">
        <v>3090000</v>
      </c>
      <c r="E92" s="20" t="s">
        <v>698</v>
      </c>
      <c r="F92" s="20" t="s">
        <v>699</v>
      </c>
      <c r="G92" s="8" t="str">
        <f t="shared" si="2"/>
        <v>LAMAR NEKESHA</v>
      </c>
      <c r="H92" s="20" t="str">
        <f t="shared" si="3"/>
        <v>4027</v>
      </c>
    </row>
    <row r="93" spans="1:8" x14ac:dyDescent="0.25">
      <c r="A93" s="8">
        <v>43043.476678240739</v>
      </c>
      <c r="B93" s="20" t="s">
        <v>684</v>
      </c>
      <c r="C93" s="20" t="s">
        <v>758</v>
      </c>
      <c r="D93" s="138">
        <v>2630000</v>
      </c>
      <c r="E93" s="20" t="s">
        <v>381</v>
      </c>
      <c r="F93" s="20" t="s">
        <v>382</v>
      </c>
      <c r="G93" s="8" t="str">
        <f t="shared" si="2"/>
        <v>SAFIEF AEIMEN</v>
      </c>
      <c r="H93" s="20" t="str">
        <f t="shared" si="3"/>
        <v>4046</v>
      </c>
    </row>
    <row r="94" spans="1:8" x14ac:dyDescent="0.25">
      <c r="A94" s="8">
        <v>43043.484895833331</v>
      </c>
      <c r="B94" s="20" t="s">
        <v>366</v>
      </c>
      <c r="C94" s="20" t="s">
        <v>759</v>
      </c>
      <c r="D94" s="138">
        <v>2970000</v>
      </c>
      <c r="E94" s="20" t="s">
        <v>383</v>
      </c>
      <c r="F94" s="20" t="s">
        <v>384</v>
      </c>
      <c r="G94" s="8" t="str">
        <f t="shared" si="2"/>
        <v>GUZMAN DANNY</v>
      </c>
      <c r="H94" s="20" t="str">
        <f t="shared" si="3"/>
        <v>4016</v>
      </c>
    </row>
    <row r="95" spans="1:8" x14ac:dyDescent="0.25">
      <c r="A95" s="8">
        <v>43043.485439814816</v>
      </c>
      <c r="B95" s="20" t="s">
        <v>672</v>
      </c>
      <c r="C95" s="20" t="s">
        <v>760</v>
      </c>
      <c r="D95" s="138">
        <v>1770000</v>
      </c>
      <c r="E95" s="20" t="s">
        <v>420</v>
      </c>
      <c r="F95" s="20" t="s">
        <v>421</v>
      </c>
      <c r="G95" s="8" t="str">
        <f t="shared" si="2"/>
        <v>BRUDER RICHARD</v>
      </c>
      <c r="H95" s="20" t="str">
        <f t="shared" si="3"/>
        <v>4019</v>
      </c>
    </row>
    <row r="96" spans="1:8" x14ac:dyDescent="0.25">
      <c r="A96" s="8">
        <v>43043.494074074071</v>
      </c>
      <c r="B96" s="20" t="s">
        <v>537</v>
      </c>
      <c r="C96" s="20" t="s">
        <v>761</v>
      </c>
      <c r="D96" s="138">
        <v>3040000</v>
      </c>
      <c r="E96" s="20" t="s">
        <v>373</v>
      </c>
      <c r="F96" s="20" t="s">
        <v>544</v>
      </c>
      <c r="G96" s="8" t="str">
        <f t="shared" si="2"/>
        <v>WILLIAMS DONTE</v>
      </c>
      <c r="H96" s="20" t="str">
        <f t="shared" si="3"/>
        <v>4065</v>
      </c>
    </row>
    <row r="97" spans="1:8" x14ac:dyDescent="0.25">
      <c r="A97" s="8">
        <v>43043.496261574073</v>
      </c>
      <c r="B97" s="20" t="s">
        <v>371</v>
      </c>
      <c r="C97" s="20" t="s">
        <v>762</v>
      </c>
      <c r="D97" s="138">
        <v>2600000</v>
      </c>
      <c r="E97" s="20" t="s">
        <v>555</v>
      </c>
      <c r="F97" s="20" t="s">
        <v>504</v>
      </c>
      <c r="G97" s="8" t="str">
        <f t="shared" si="2"/>
        <v>DAVIDSON DAVID</v>
      </c>
      <c r="H97" s="20" t="str">
        <f t="shared" si="3"/>
        <v>4035</v>
      </c>
    </row>
    <row r="98" spans="1:8" x14ac:dyDescent="0.25">
      <c r="A98" s="8">
        <v>43043.497291666667</v>
      </c>
      <c r="B98" s="20" t="s">
        <v>545</v>
      </c>
      <c r="C98" s="20" t="s">
        <v>763</v>
      </c>
      <c r="D98" s="138">
        <v>2550000</v>
      </c>
      <c r="E98" s="20" t="s">
        <v>550</v>
      </c>
      <c r="F98" s="20" t="s">
        <v>551</v>
      </c>
      <c r="G98" s="8" t="str">
        <f t="shared" si="2"/>
        <v>BADERTSCHER DIANE</v>
      </c>
      <c r="H98" s="20" t="str">
        <f t="shared" si="3"/>
        <v>4006</v>
      </c>
    </row>
    <row r="99" spans="1:8" x14ac:dyDescent="0.25">
      <c r="A99" s="8">
        <v>43043.504548611112</v>
      </c>
      <c r="B99" s="20" t="s">
        <v>416</v>
      </c>
      <c r="C99" s="20" t="s">
        <v>657</v>
      </c>
      <c r="D99" s="138">
        <v>3090000</v>
      </c>
      <c r="E99" s="20" t="s">
        <v>698</v>
      </c>
      <c r="F99" s="20" t="s">
        <v>699</v>
      </c>
      <c r="G99" s="8" t="str">
        <f t="shared" si="2"/>
        <v>LAMAR NEKESHA</v>
      </c>
      <c r="H99" s="20" t="str">
        <f t="shared" si="3"/>
        <v>4028</v>
      </c>
    </row>
    <row r="100" spans="1:8" x14ac:dyDescent="0.25">
      <c r="A100" s="8">
        <v>43043.507361111115</v>
      </c>
      <c r="B100" s="20" t="s">
        <v>379</v>
      </c>
      <c r="C100" s="20" t="s">
        <v>764</v>
      </c>
      <c r="D100" s="138">
        <v>2350000</v>
      </c>
      <c r="E100" s="20" t="s">
        <v>505</v>
      </c>
      <c r="F100" s="20" t="s">
        <v>506</v>
      </c>
      <c r="G100" s="8" t="str">
        <f t="shared" si="2"/>
        <v>BERLING GARY</v>
      </c>
      <c r="H100" s="20" t="str">
        <f t="shared" si="3"/>
        <v>4012</v>
      </c>
    </row>
    <row r="101" spans="1:8" x14ac:dyDescent="0.25">
      <c r="A101" s="8">
        <v>43043.510648148149</v>
      </c>
      <c r="B101" s="20" t="s">
        <v>679</v>
      </c>
      <c r="C101" s="20" t="s">
        <v>765</v>
      </c>
      <c r="D101" s="138">
        <v>2630000</v>
      </c>
      <c r="E101" s="20" t="s">
        <v>381</v>
      </c>
      <c r="F101" s="20" t="s">
        <v>382</v>
      </c>
      <c r="G101" s="8" t="str">
        <f t="shared" si="2"/>
        <v>SAFIEF AEIMEN</v>
      </c>
      <c r="H101" s="20" t="str">
        <f t="shared" si="3"/>
        <v>4045</v>
      </c>
    </row>
    <row r="102" spans="1:8" x14ac:dyDescent="0.25">
      <c r="A102" s="8">
        <v>43043.516516203701</v>
      </c>
      <c r="B102" s="20" t="s">
        <v>539</v>
      </c>
      <c r="C102" s="20" t="s">
        <v>766</v>
      </c>
      <c r="D102" s="138">
        <v>2970000</v>
      </c>
      <c r="E102" s="20" t="s">
        <v>383</v>
      </c>
      <c r="F102" s="20" t="s">
        <v>384</v>
      </c>
      <c r="G102" s="8" t="str">
        <f t="shared" si="2"/>
        <v>GUZMAN DANNY</v>
      </c>
      <c r="H102" s="20" t="str">
        <f t="shared" si="3"/>
        <v>4015</v>
      </c>
    </row>
    <row r="103" spans="1:8" x14ac:dyDescent="0.25">
      <c r="A103" s="8">
        <v>43043.517083333332</v>
      </c>
      <c r="B103" s="20" t="s">
        <v>653</v>
      </c>
      <c r="C103" s="20" t="s">
        <v>767</v>
      </c>
      <c r="D103" s="138">
        <v>1770000</v>
      </c>
      <c r="E103" s="20" t="s">
        <v>420</v>
      </c>
      <c r="F103" s="20" t="s">
        <v>421</v>
      </c>
      <c r="G103" s="8" t="str">
        <f t="shared" si="2"/>
        <v>BRUDER RICHARD</v>
      </c>
      <c r="H103" s="20" t="str">
        <f t="shared" si="3"/>
        <v>4020</v>
      </c>
    </row>
    <row r="104" spans="1:8" x14ac:dyDescent="0.25">
      <c r="A104" s="8">
        <v>43043.518553240741</v>
      </c>
      <c r="B104" s="20" t="s">
        <v>407</v>
      </c>
      <c r="C104" s="20" t="s">
        <v>768</v>
      </c>
      <c r="D104" s="138">
        <v>3090000</v>
      </c>
      <c r="E104" s="20" t="s">
        <v>698</v>
      </c>
      <c r="F104" s="20" t="s">
        <v>699</v>
      </c>
      <c r="G104" s="8" t="str">
        <f t="shared" si="2"/>
        <v>LAMAR NEKESHA</v>
      </c>
      <c r="H104" s="20" t="str">
        <f t="shared" si="3"/>
        <v>4027</v>
      </c>
    </row>
    <row r="105" spans="1:8" x14ac:dyDescent="0.25">
      <c r="A105" s="8">
        <v>43043.529363425929</v>
      </c>
      <c r="B105" s="20" t="s">
        <v>536</v>
      </c>
      <c r="C105" s="20" t="s">
        <v>769</v>
      </c>
      <c r="D105" s="138">
        <v>2420000</v>
      </c>
      <c r="E105" s="20" t="s">
        <v>507</v>
      </c>
      <c r="F105" s="20" t="s">
        <v>508</v>
      </c>
      <c r="G105" s="8" t="str">
        <f t="shared" si="2"/>
        <v>HOLCOMB KAMDEN</v>
      </c>
      <c r="H105" s="20" t="str">
        <f t="shared" si="3"/>
        <v>4066</v>
      </c>
    </row>
    <row r="106" spans="1:8" x14ac:dyDescent="0.25">
      <c r="A106" s="8">
        <v>43043.534131944441</v>
      </c>
      <c r="B106" s="20" t="s">
        <v>543</v>
      </c>
      <c r="C106" s="20" t="s">
        <v>770</v>
      </c>
      <c r="D106" s="138">
        <v>2550000</v>
      </c>
      <c r="E106" s="20" t="s">
        <v>550</v>
      </c>
      <c r="F106" s="20" t="s">
        <v>551</v>
      </c>
      <c r="G106" s="8" t="str">
        <f t="shared" si="2"/>
        <v>BADERTSCHER DIANE</v>
      </c>
      <c r="H106" s="20" t="str">
        <f t="shared" si="3"/>
        <v>4005</v>
      </c>
    </row>
    <row r="107" spans="1:8" x14ac:dyDescent="0.25">
      <c r="A107" s="8">
        <v>43043.537731481483</v>
      </c>
      <c r="B107" s="20" t="s">
        <v>658</v>
      </c>
      <c r="C107" s="20" t="s">
        <v>659</v>
      </c>
      <c r="D107" s="138">
        <v>2540000</v>
      </c>
      <c r="E107" s="20" t="s">
        <v>509</v>
      </c>
      <c r="F107" s="20" t="s">
        <v>510</v>
      </c>
      <c r="G107" s="8" t="str">
        <f t="shared" si="2"/>
        <v>MCREYNOLDS KYLE</v>
      </c>
      <c r="H107" s="20" t="str">
        <f t="shared" si="3"/>
        <v>4052</v>
      </c>
    </row>
    <row r="108" spans="1:8" x14ac:dyDescent="0.25">
      <c r="A108" s="8">
        <v>43043.538611111115</v>
      </c>
      <c r="B108" s="20" t="s">
        <v>370</v>
      </c>
      <c r="C108" s="20" t="s">
        <v>771</v>
      </c>
      <c r="D108" s="138">
        <v>3330000</v>
      </c>
      <c r="E108" s="20" t="s">
        <v>548</v>
      </c>
      <c r="F108" s="20" t="s">
        <v>549</v>
      </c>
      <c r="G108" s="8" t="str">
        <f t="shared" si="2"/>
        <v>GONZALEZ ARMANDO</v>
      </c>
      <c r="H108" s="20" t="str">
        <f t="shared" si="3"/>
        <v>4036</v>
      </c>
    </row>
    <row r="109" spans="1:8" x14ac:dyDescent="0.25">
      <c r="A109" s="8">
        <v>43043.546284722222</v>
      </c>
      <c r="B109" s="20" t="s">
        <v>416</v>
      </c>
      <c r="C109" s="20" t="s">
        <v>772</v>
      </c>
      <c r="D109" s="138">
        <v>3090000</v>
      </c>
      <c r="E109" s="20" t="s">
        <v>698</v>
      </c>
      <c r="F109" s="20" t="s">
        <v>699</v>
      </c>
      <c r="G109" s="8" t="str">
        <f t="shared" si="2"/>
        <v>LAMAR NEKESHA</v>
      </c>
      <c r="H109" s="20" t="str">
        <f t="shared" si="3"/>
        <v>4028</v>
      </c>
    </row>
    <row r="110" spans="1:8" x14ac:dyDescent="0.25">
      <c r="A110" s="8">
        <v>43043.546342592592</v>
      </c>
      <c r="B110" s="20" t="s">
        <v>688</v>
      </c>
      <c r="C110" s="20" t="s">
        <v>659</v>
      </c>
      <c r="D110" s="138">
        <v>2540000</v>
      </c>
      <c r="E110" s="20" t="s">
        <v>509</v>
      </c>
      <c r="F110" s="20" t="s">
        <v>510</v>
      </c>
      <c r="G110" s="8" t="str">
        <f t="shared" si="2"/>
        <v>MCREYNOLDS KYLE</v>
      </c>
      <c r="H110" s="20" t="str">
        <f t="shared" si="3"/>
        <v>4051</v>
      </c>
    </row>
    <row r="111" spans="1:8" x14ac:dyDescent="0.25">
      <c r="A111" s="8">
        <v>43043.546944444446</v>
      </c>
      <c r="B111" s="20" t="s">
        <v>688</v>
      </c>
      <c r="C111" s="20" t="s">
        <v>659</v>
      </c>
      <c r="D111" s="138">
        <v>2540000</v>
      </c>
      <c r="E111" s="20" t="s">
        <v>509</v>
      </c>
      <c r="F111" s="20" t="s">
        <v>510</v>
      </c>
      <c r="G111" s="8" t="str">
        <f t="shared" si="2"/>
        <v>MCREYNOLDS KYLE</v>
      </c>
      <c r="H111" s="20" t="str">
        <f t="shared" si="3"/>
        <v>4051</v>
      </c>
    </row>
    <row r="112" spans="1:8" x14ac:dyDescent="0.25">
      <c r="A112" s="8">
        <v>43043.549861111111</v>
      </c>
      <c r="B112" s="20" t="s">
        <v>380</v>
      </c>
      <c r="C112" s="20" t="s">
        <v>773</v>
      </c>
      <c r="D112" s="138">
        <v>2350000</v>
      </c>
      <c r="E112" s="20" t="s">
        <v>505</v>
      </c>
      <c r="F112" s="20" t="s">
        <v>506</v>
      </c>
      <c r="G112" s="8" t="str">
        <f t="shared" si="2"/>
        <v>BERLING GARY</v>
      </c>
      <c r="H112" s="20" t="str">
        <f t="shared" si="3"/>
        <v>4011</v>
      </c>
    </row>
    <row r="113" spans="1:8" x14ac:dyDescent="0.25">
      <c r="A113" s="8">
        <v>43043.55059027778</v>
      </c>
      <c r="B113" s="20" t="s">
        <v>684</v>
      </c>
      <c r="C113" s="20" t="s">
        <v>774</v>
      </c>
      <c r="D113" s="138">
        <v>2630000</v>
      </c>
      <c r="E113" s="20" t="s">
        <v>381</v>
      </c>
      <c r="F113" s="20" t="s">
        <v>382</v>
      </c>
      <c r="G113" s="8" t="str">
        <f t="shared" si="2"/>
        <v>SAFIEF AEIMEN</v>
      </c>
      <c r="H113" s="20" t="str">
        <f t="shared" si="3"/>
        <v>4046</v>
      </c>
    </row>
    <row r="114" spans="1:8" x14ac:dyDescent="0.25">
      <c r="A114" s="8">
        <v>43043.553715277776</v>
      </c>
      <c r="B114" s="20" t="s">
        <v>658</v>
      </c>
      <c r="C114" s="20" t="s">
        <v>775</v>
      </c>
      <c r="D114" s="138">
        <v>2970000</v>
      </c>
      <c r="E114" s="20" t="s">
        <v>383</v>
      </c>
      <c r="F114" s="20" t="s">
        <v>384</v>
      </c>
      <c r="G114" s="8" t="str">
        <f t="shared" si="2"/>
        <v>GUZMAN DANNY</v>
      </c>
      <c r="H114" s="20" t="str">
        <f t="shared" si="3"/>
        <v>4052</v>
      </c>
    </row>
    <row r="115" spans="1:8" x14ac:dyDescent="0.25">
      <c r="A115" s="8">
        <v>43043.557557870372</v>
      </c>
      <c r="B115" s="20" t="s">
        <v>672</v>
      </c>
      <c r="C115" s="20" t="s">
        <v>776</v>
      </c>
      <c r="D115" s="138">
        <v>1770000</v>
      </c>
      <c r="E115" s="20" t="s">
        <v>420</v>
      </c>
      <c r="F115" s="20" t="s">
        <v>421</v>
      </c>
      <c r="G115" s="8" t="str">
        <f t="shared" si="2"/>
        <v>BRUDER RICHARD</v>
      </c>
      <c r="H115" s="20" t="str">
        <f t="shared" si="3"/>
        <v>4019</v>
      </c>
    </row>
    <row r="116" spans="1:8" x14ac:dyDescent="0.25">
      <c r="A116" s="8">
        <v>43043.559930555559</v>
      </c>
      <c r="B116" s="20" t="s">
        <v>407</v>
      </c>
      <c r="C116" s="20" t="s">
        <v>777</v>
      </c>
      <c r="D116" s="138">
        <v>3090000</v>
      </c>
      <c r="E116" s="20" t="s">
        <v>698</v>
      </c>
      <c r="F116" s="20" t="s">
        <v>699</v>
      </c>
      <c r="G116" s="8" t="str">
        <f t="shared" si="2"/>
        <v>LAMAR NEKESHA</v>
      </c>
      <c r="H116" s="20" t="str">
        <f t="shared" si="3"/>
        <v>4027</v>
      </c>
    </row>
    <row r="117" spans="1:8" x14ac:dyDescent="0.25">
      <c r="A117" s="8">
        <v>43043.56013888889</v>
      </c>
      <c r="B117" s="20" t="s">
        <v>658</v>
      </c>
      <c r="C117" s="20" t="s">
        <v>775</v>
      </c>
      <c r="D117" s="138">
        <v>2370000</v>
      </c>
      <c r="E117" s="20" t="s">
        <v>418</v>
      </c>
      <c r="F117" s="20" t="s">
        <v>419</v>
      </c>
      <c r="G117" s="8" t="str">
        <f t="shared" si="2"/>
        <v>DELGADO DIANAH</v>
      </c>
      <c r="H117" s="20" t="str">
        <f t="shared" si="3"/>
        <v>4052</v>
      </c>
    </row>
    <row r="118" spans="1:8" x14ac:dyDescent="0.25">
      <c r="A118" s="8">
        <v>43043.567523148151</v>
      </c>
      <c r="B118" s="20" t="s">
        <v>537</v>
      </c>
      <c r="C118" s="20" t="s">
        <v>778</v>
      </c>
      <c r="D118" s="138">
        <v>2420000</v>
      </c>
      <c r="E118" s="20" t="s">
        <v>507</v>
      </c>
      <c r="F118" s="20" t="s">
        <v>508</v>
      </c>
      <c r="G118" s="8" t="str">
        <f t="shared" si="2"/>
        <v>HOLCOMB KAMDEN</v>
      </c>
      <c r="H118" s="20" t="str">
        <f t="shared" si="3"/>
        <v>4065</v>
      </c>
    </row>
    <row r="119" spans="1:8" x14ac:dyDescent="0.25">
      <c r="A119" s="8">
        <v>43043.569340277776</v>
      </c>
      <c r="B119" s="20" t="s">
        <v>545</v>
      </c>
      <c r="C119" s="20" t="s">
        <v>779</v>
      </c>
      <c r="D119" s="138">
        <v>2550000</v>
      </c>
      <c r="E119" s="20" t="s">
        <v>550</v>
      </c>
      <c r="F119" s="20" t="s">
        <v>551</v>
      </c>
      <c r="G119" s="8" t="str">
        <f t="shared" si="2"/>
        <v>BADERTSCHER DIANE</v>
      </c>
      <c r="H119" s="20" t="str">
        <f t="shared" si="3"/>
        <v>4006</v>
      </c>
    </row>
    <row r="120" spans="1:8" x14ac:dyDescent="0.25">
      <c r="A120" s="8">
        <v>43043.578206018516</v>
      </c>
      <c r="B120" s="20" t="s">
        <v>371</v>
      </c>
      <c r="C120" s="20" t="s">
        <v>780</v>
      </c>
      <c r="D120" s="138">
        <v>3330000</v>
      </c>
      <c r="E120" s="20" t="s">
        <v>548</v>
      </c>
      <c r="F120" s="20" t="s">
        <v>549</v>
      </c>
      <c r="G120" s="8" t="str">
        <f t="shared" si="2"/>
        <v>GONZALEZ ARMANDO</v>
      </c>
      <c r="H120" s="20" t="str">
        <f t="shared" si="3"/>
        <v>4035</v>
      </c>
    </row>
    <row r="121" spans="1:8" x14ac:dyDescent="0.25">
      <c r="A121" s="8">
        <v>43043.580335648148</v>
      </c>
      <c r="B121" s="20" t="s">
        <v>379</v>
      </c>
      <c r="C121" s="20" t="s">
        <v>781</v>
      </c>
      <c r="D121" s="138">
        <v>2350000</v>
      </c>
      <c r="E121" s="20" t="s">
        <v>505</v>
      </c>
      <c r="F121" s="20" t="s">
        <v>506</v>
      </c>
      <c r="G121" s="8" t="str">
        <f t="shared" si="2"/>
        <v>BERLING GARY</v>
      </c>
      <c r="H121" s="20" t="str">
        <f t="shared" si="3"/>
        <v>4012</v>
      </c>
    </row>
    <row r="122" spans="1:8" x14ac:dyDescent="0.25">
      <c r="A122" s="8">
        <v>43043.58216435185</v>
      </c>
      <c r="B122" s="25" t="s">
        <v>679</v>
      </c>
      <c r="C122" s="20" t="s">
        <v>782</v>
      </c>
      <c r="D122" s="138">
        <v>2630000</v>
      </c>
      <c r="E122" s="20" t="s">
        <v>381</v>
      </c>
      <c r="F122" s="20" t="s">
        <v>382</v>
      </c>
      <c r="G122" s="8" t="str">
        <f t="shared" si="2"/>
        <v>SAFIEF AEIMEN</v>
      </c>
      <c r="H122" s="20" t="str">
        <f t="shared" si="3"/>
        <v>4045</v>
      </c>
    </row>
    <row r="123" spans="1:8" x14ac:dyDescent="0.25">
      <c r="A123" s="8">
        <v>43043.584131944444</v>
      </c>
      <c r="B123" s="20" t="s">
        <v>416</v>
      </c>
      <c r="C123" s="20" t="s">
        <v>660</v>
      </c>
      <c r="D123" s="138">
        <v>2230000</v>
      </c>
      <c r="E123" s="20" t="s">
        <v>424</v>
      </c>
      <c r="F123" s="20" t="s">
        <v>355</v>
      </c>
      <c r="G123" s="8" t="str">
        <f t="shared" si="2"/>
        <v>SMITH MICHAEL</v>
      </c>
      <c r="H123" s="20" t="str">
        <f t="shared" si="3"/>
        <v>4028</v>
      </c>
    </row>
    <row r="124" spans="1:8" x14ac:dyDescent="0.25">
      <c r="A124" s="8">
        <v>43043.590775462966</v>
      </c>
      <c r="B124" s="20" t="s">
        <v>653</v>
      </c>
      <c r="C124" s="20" t="s">
        <v>783</v>
      </c>
      <c r="D124" s="138">
        <v>1770000</v>
      </c>
      <c r="E124" s="20" t="s">
        <v>420</v>
      </c>
      <c r="F124" s="20" t="s">
        <v>421</v>
      </c>
      <c r="G124" s="8" t="str">
        <f t="shared" si="2"/>
        <v>BRUDER RICHARD</v>
      </c>
      <c r="H124" s="20" t="str">
        <f t="shared" si="3"/>
        <v>4020</v>
      </c>
    </row>
    <row r="125" spans="1:8" x14ac:dyDescent="0.25">
      <c r="A125" s="8">
        <v>43043.590844907405</v>
      </c>
      <c r="B125" s="20" t="s">
        <v>688</v>
      </c>
      <c r="C125" s="20" t="s">
        <v>784</v>
      </c>
      <c r="D125" s="138">
        <v>2370000</v>
      </c>
      <c r="E125" s="20" t="s">
        <v>418</v>
      </c>
      <c r="F125" s="20" t="s">
        <v>419</v>
      </c>
      <c r="G125" s="8" t="str">
        <f t="shared" si="2"/>
        <v>DELGADO DIANAH</v>
      </c>
      <c r="H125" s="20" t="str">
        <f t="shared" si="3"/>
        <v>4051</v>
      </c>
    </row>
    <row r="126" spans="1:8" x14ac:dyDescent="0.25">
      <c r="A126" s="8">
        <v>43043.600937499999</v>
      </c>
      <c r="B126" s="20" t="s">
        <v>536</v>
      </c>
      <c r="C126" s="20" t="s">
        <v>661</v>
      </c>
      <c r="D126" s="138">
        <v>1760000</v>
      </c>
      <c r="E126" s="20" t="s">
        <v>553</v>
      </c>
      <c r="F126" s="20" t="s">
        <v>554</v>
      </c>
      <c r="G126" s="8" t="str">
        <f t="shared" si="2"/>
        <v>STRICKLAND EVAN</v>
      </c>
      <c r="H126" s="20" t="str">
        <f t="shared" si="3"/>
        <v>4066</v>
      </c>
    </row>
    <row r="127" spans="1:8" x14ac:dyDescent="0.25">
      <c r="A127" s="8">
        <v>43043.60496527778</v>
      </c>
      <c r="B127" s="20" t="s">
        <v>407</v>
      </c>
      <c r="C127" s="20" t="s">
        <v>785</v>
      </c>
      <c r="D127" s="138">
        <v>2230000</v>
      </c>
      <c r="E127" s="20" t="s">
        <v>424</v>
      </c>
      <c r="F127" s="20" t="s">
        <v>355</v>
      </c>
      <c r="G127" s="8" t="str">
        <f t="shared" si="2"/>
        <v>SMITH MICHAEL</v>
      </c>
      <c r="H127" s="20" t="str">
        <f t="shared" si="3"/>
        <v>4027</v>
      </c>
    </row>
    <row r="128" spans="1:8" x14ac:dyDescent="0.25">
      <c r="A128" s="8">
        <v>43043.609513888892</v>
      </c>
      <c r="B128" s="20" t="s">
        <v>370</v>
      </c>
      <c r="C128" s="20" t="s">
        <v>786</v>
      </c>
      <c r="D128" s="138">
        <v>2600000</v>
      </c>
      <c r="E128" s="20" t="s">
        <v>555</v>
      </c>
      <c r="F128" s="20" t="s">
        <v>504</v>
      </c>
      <c r="G128" s="8" t="str">
        <f t="shared" si="2"/>
        <v>DAVIDSON DAVID</v>
      </c>
      <c r="H128" s="20" t="str">
        <f t="shared" si="3"/>
        <v>4036</v>
      </c>
    </row>
    <row r="129" spans="1:8" x14ac:dyDescent="0.25">
      <c r="A129" s="8">
        <v>43043.609768518516</v>
      </c>
      <c r="B129" s="20" t="s">
        <v>543</v>
      </c>
      <c r="C129" s="20" t="s">
        <v>787</v>
      </c>
      <c r="D129" s="138">
        <v>2550000</v>
      </c>
      <c r="E129" s="20" t="s">
        <v>550</v>
      </c>
      <c r="F129" s="20" t="s">
        <v>551</v>
      </c>
      <c r="G129" s="8" t="str">
        <f t="shared" si="2"/>
        <v>BADERTSCHER DIANE</v>
      </c>
      <c r="H129" s="20" t="str">
        <f t="shared" si="3"/>
        <v>4005</v>
      </c>
    </row>
    <row r="130" spans="1:8" x14ac:dyDescent="0.25">
      <c r="A130" s="8">
        <v>43043.618969907409</v>
      </c>
      <c r="B130" s="20" t="s">
        <v>380</v>
      </c>
      <c r="C130" s="20" t="s">
        <v>788</v>
      </c>
      <c r="D130" s="138">
        <v>2350000</v>
      </c>
      <c r="E130" s="20" t="s">
        <v>505</v>
      </c>
      <c r="F130" s="20" t="s">
        <v>506</v>
      </c>
      <c r="G130" s="8" t="str">
        <f t="shared" si="2"/>
        <v>BERLING GARY</v>
      </c>
      <c r="H130" s="20" t="str">
        <f t="shared" si="3"/>
        <v>4011</v>
      </c>
    </row>
    <row r="131" spans="1:8" x14ac:dyDescent="0.25">
      <c r="A131" s="8">
        <v>43043.621840277781</v>
      </c>
      <c r="B131" s="20" t="s">
        <v>684</v>
      </c>
      <c r="C131" s="20" t="s">
        <v>789</v>
      </c>
      <c r="D131" s="138">
        <v>2630000</v>
      </c>
      <c r="E131" s="20" t="s">
        <v>381</v>
      </c>
      <c r="F131" s="20" t="s">
        <v>382</v>
      </c>
      <c r="G131" s="8" t="str">
        <f t="shared" ref="G131:G194" si="4">E131&amp;" "&amp;F131</f>
        <v>SAFIEF AEIMEN</v>
      </c>
      <c r="H131" s="20" t="str">
        <f t="shared" ref="H131:H194" si="5">MID(B131,13,4)</f>
        <v>4046</v>
      </c>
    </row>
    <row r="132" spans="1:8" x14ac:dyDescent="0.25">
      <c r="A132" s="8">
        <v>43043.62740740741</v>
      </c>
      <c r="B132" s="20" t="s">
        <v>416</v>
      </c>
      <c r="C132" s="20" t="s">
        <v>790</v>
      </c>
      <c r="D132" s="138">
        <v>2230000</v>
      </c>
      <c r="E132" s="20" t="s">
        <v>424</v>
      </c>
      <c r="F132" s="20" t="s">
        <v>355</v>
      </c>
      <c r="G132" s="8" t="str">
        <f t="shared" si="4"/>
        <v>SMITH MICHAEL</v>
      </c>
      <c r="H132" s="20" t="str">
        <f t="shared" si="5"/>
        <v>4028</v>
      </c>
    </row>
    <row r="133" spans="1:8" x14ac:dyDescent="0.25">
      <c r="A133" s="8">
        <v>43043.630370370367</v>
      </c>
      <c r="B133" s="20" t="s">
        <v>658</v>
      </c>
      <c r="C133" s="20" t="s">
        <v>791</v>
      </c>
      <c r="D133" s="138">
        <v>2970000</v>
      </c>
      <c r="E133" s="20" t="s">
        <v>383</v>
      </c>
      <c r="F133" s="20" t="s">
        <v>384</v>
      </c>
      <c r="G133" s="8" t="str">
        <f t="shared" si="4"/>
        <v>GUZMAN DANNY</v>
      </c>
      <c r="H133" s="20" t="str">
        <f t="shared" si="5"/>
        <v>4052</v>
      </c>
    </row>
    <row r="134" spans="1:8" x14ac:dyDescent="0.25">
      <c r="A134" s="8">
        <v>43043.630497685182</v>
      </c>
      <c r="B134" s="20" t="s">
        <v>672</v>
      </c>
      <c r="C134" s="20" t="s">
        <v>792</v>
      </c>
      <c r="D134" s="138">
        <v>1770000</v>
      </c>
      <c r="E134" s="20" t="s">
        <v>420</v>
      </c>
      <c r="F134" s="20" t="s">
        <v>421</v>
      </c>
      <c r="G134" s="8" t="str">
        <f t="shared" si="4"/>
        <v>BRUDER RICHARD</v>
      </c>
      <c r="H134" s="20" t="str">
        <f t="shared" si="5"/>
        <v>4019</v>
      </c>
    </row>
    <row r="135" spans="1:8" x14ac:dyDescent="0.25">
      <c r="A135" s="8">
        <v>43043.639016203706</v>
      </c>
      <c r="B135" s="20" t="s">
        <v>537</v>
      </c>
      <c r="C135" s="20" t="s">
        <v>793</v>
      </c>
      <c r="D135" s="138">
        <v>1760000</v>
      </c>
      <c r="E135" s="20" t="s">
        <v>553</v>
      </c>
      <c r="F135" s="20" t="s">
        <v>554</v>
      </c>
      <c r="G135" s="8" t="str">
        <f t="shared" si="4"/>
        <v>STRICKLAND EVAN</v>
      </c>
      <c r="H135" s="20" t="str">
        <f t="shared" si="5"/>
        <v>4065</v>
      </c>
    </row>
    <row r="136" spans="1:8" x14ac:dyDescent="0.25">
      <c r="A136" s="8">
        <v>43043.641655092593</v>
      </c>
      <c r="B136" s="20" t="s">
        <v>371</v>
      </c>
      <c r="C136" s="20" t="s">
        <v>794</v>
      </c>
      <c r="D136" s="138">
        <v>2600000</v>
      </c>
      <c r="E136" s="20" t="s">
        <v>555</v>
      </c>
      <c r="F136" s="20" t="s">
        <v>504</v>
      </c>
      <c r="G136" s="8" t="str">
        <f t="shared" si="4"/>
        <v>DAVIDSON DAVID</v>
      </c>
      <c r="H136" s="20" t="str">
        <f t="shared" si="5"/>
        <v>4035</v>
      </c>
    </row>
    <row r="137" spans="1:8" x14ac:dyDescent="0.25">
      <c r="A137" s="8">
        <v>43043.643206018518</v>
      </c>
      <c r="B137" s="20" t="s">
        <v>545</v>
      </c>
      <c r="C137" s="20" t="s">
        <v>795</v>
      </c>
      <c r="D137" s="138">
        <v>2550000</v>
      </c>
      <c r="E137" s="20" t="s">
        <v>550</v>
      </c>
      <c r="F137" s="20" t="s">
        <v>551</v>
      </c>
      <c r="G137" s="8" t="str">
        <f t="shared" si="4"/>
        <v>BADERTSCHER DIANE</v>
      </c>
      <c r="H137" s="20" t="str">
        <f t="shared" si="5"/>
        <v>4006</v>
      </c>
    </row>
    <row r="138" spans="1:8" x14ac:dyDescent="0.25">
      <c r="A138" s="8">
        <v>43043.643472222226</v>
      </c>
      <c r="B138" s="20" t="s">
        <v>407</v>
      </c>
      <c r="C138" s="20" t="s">
        <v>796</v>
      </c>
      <c r="D138" s="138">
        <v>2230000</v>
      </c>
      <c r="E138" s="20" t="s">
        <v>424</v>
      </c>
      <c r="F138" s="20" t="s">
        <v>355</v>
      </c>
      <c r="G138" s="8" t="str">
        <f t="shared" si="4"/>
        <v>SMITH MICHAEL</v>
      </c>
      <c r="H138" s="20" t="str">
        <f t="shared" si="5"/>
        <v>4027</v>
      </c>
    </row>
    <row r="139" spans="1:8" x14ac:dyDescent="0.25">
      <c r="A139" s="8">
        <v>43043.651782407411</v>
      </c>
      <c r="B139" s="20" t="s">
        <v>379</v>
      </c>
      <c r="C139" s="20" t="s">
        <v>797</v>
      </c>
      <c r="D139" s="138">
        <v>2350000</v>
      </c>
      <c r="E139" s="20" t="s">
        <v>505</v>
      </c>
      <c r="F139" s="20" t="s">
        <v>506</v>
      </c>
      <c r="G139" s="8" t="str">
        <f t="shared" si="4"/>
        <v>BERLING GARY</v>
      </c>
      <c r="H139" s="20" t="str">
        <f t="shared" si="5"/>
        <v>4012</v>
      </c>
    </row>
    <row r="140" spans="1:8" x14ac:dyDescent="0.25">
      <c r="A140" s="8">
        <v>43043.656192129631</v>
      </c>
      <c r="B140" s="20" t="s">
        <v>679</v>
      </c>
      <c r="C140" s="20" t="s">
        <v>798</v>
      </c>
      <c r="D140" s="138">
        <v>2630000</v>
      </c>
      <c r="E140" s="20" t="s">
        <v>381</v>
      </c>
      <c r="F140" s="20" t="s">
        <v>382</v>
      </c>
      <c r="G140" s="8" t="str">
        <f t="shared" si="4"/>
        <v>SAFIEF AEIMEN</v>
      </c>
      <c r="H140" s="20" t="str">
        <f t="shared" si="5"/>
        <v>4045</v>
      </c>
    </row>
    <row r="141" spans="1:8" x14ac:dyDescent="0.25">
      <c r="A141" s="8">
        <v>43043.661145833335</v>
      </c>
      <c r="B141" s="20" t="s">
        <v>688</v>
      </c>
      <c r="C141" s="20" t="s">
        <v>799</v>
      </c>
      <c r="D141" s="138">
        <v>2970000</v>
      </c>
      <c r="E141" s="20" t="s">
        <v>383</v>
      </c>
      <c r="F141" s="20" t="s">
        <v>384</v>
      </c>
      <c r="G141" s="8" t="str">
        <f t="shared" si="4"/>
        <v>GUZMAN DANNY</v>
      </c>
      <c r="H141" s="20" t="str">
        <f t="shared" si="5"/>
        <v>4051</v>
      </c>
    </row>
    <row r="142" spans="1:8" x14ac:dyDescent="0.25">
      <c r="A142" s="8">
        <v>43043.663703703707</v>
      </c>
      <c r="B142" s="20" t="s">
        <v>653</v>
      </c>
      <c r="C142" s="20" t="s">
        <v>800</v>
      </c>
      <c r="D142" s="138">
        <v>1770000</v>
      </c>
      <c r="E142" s="20" t="s">
        <v>420</v>
      </c>
      <c r="F142" s="20" t="s">
        <v>421</v>
      </c>
      <c r="G142" s="8" t="str">
        <f t="shared" si="4"/>
        <v>BRUDER RICHARD</v>
      </c>
      <c r="H142" s="20" t="str">
        <f t="shared" si="5"/>
        <v>4020</v>
      </c>
    </row>
    <row r="143" spans="1:8" x14ac:dyDescent="0.25">
      <c r="A143" s="8">
        <v>43043.666724537034</v>
      </c>
      <c r="B143" s="20" t="s">
        <v>416</v>
      </c>
      <c r="C143" s="20" t="s">
        <v>801</v>
      </c>
      <c r="D143" s="138">
        <v>2230000</v>
      </c>
      <c r="E143" s="20" t="s">
        <v>424</v>
      </c>
      <c r="F143" s="20" t="s">
        <v>355</v>
      </c>
      <c r="G143" s="8" t="str">
        <f t="shared" si="4"/>
        <v>SMITH MICHAEL</v>
      </c>
      <c r="H143" s="20" t="str">
        <f t="shared" si="5"/>
        <v>4028</v>
      </c>
    </row>
    <row r="144" spans="1:8" x14ac:dyDescent="0.25">
      <c r="A144" s="8">
        <v>43043.673217592594</v>
      </c>
      <c r="B144" s="20" t="s">
        <v>536</v>
      </c>
      <c r="C144" s="20" t="s">
        <v>802</v>
      </c>
      <c r="D144" s="138">
        <v>1760000</v>
      </c>
      <c r="E144" s="20" t="s">
        <v>553</v>
      </c>
      <c r="F144" s="20" t="s">
        <v>554</v>
      </c>
      <c r="G144" s="8" t="str">
        <f t="shared" si="4"/>
        <v>STRICKLAND EVAN</v>
      </c>
      <c r="H144" s="20" t="str">
        <f t="shared" si="5"/>
        <v>4066</v>
      </c>
    </row>
    <row r="145" spans="1:8" x14ac:dyDescent="0.25">
      <c r="A145" s="8">
        <v>43043.677951388891</v>
      </c>
      <c r="B145" s="20" t="s">
        <v>543</v>
      </c>
      <c r="C145" s="20" t="s">
        <v>803</v>
      </c>
      <c r="D145" s="138">
        <v>2550000</v>
      </c>
      <c r="E145" s="20" t="s">
        <v>550</v>
      </c>
      <c r="F145" s="20" t="s">
        <v>551</v>
      </c>
      <c r="G145" s="8" t="str">
        <f t="shared" si="4"/>
        <v>BADERTSCHER DIANE</v>
      </c>
      <c r="H145" s="20" t="str">
        <f t="shared" si="5"/>
        <v>4005</v>
      </c>
    </row>
    <row r="146" spans="1:8" x14ac:dyDescent="0.25">
      <c r="A146" s="8">
        <v>43043.683159722219</v>
      </c>
      <c r="B146" s="20" t="s">
        <v>370</v>
      </c>
      <c r="C146" s="20" t="s">
        <v>804</v>
      </c>
      <c r="D146" s="138">
        <v>2600000</v>
      </c>
      <c r="E146" s="20" t="s">
        <v>555</v>
      </c>
      <c r="F146" s="20" t="s">
        <v>504</v>
      </c>
      <c r="G146" s="8" t="str">
        <f t="shared" si="4"/>
        <v>DAVIDSON DAVID</v>
      </c>
      <c r="H146" s="20" t="str">
        <f t="shared" si="5"/>
        <v>4036</v>
      </c>
    </row>
    <row r="147" spans="1:8" x14ac:dyDescent="0.25">
      <c r="A147" s="8">
        <v>43043.685567129629</v>
      </c>
      <c r="B147" s="20" t="s">
        <v>407</v>
      </c>
      <c r="C147" s="20" t="s">
        <v>805</v>
      </c>
      <c r="D147" s="138">
        <v>2230000</v>
      </c>
      <c r="E147" s="20" t="s">
        <v>424</v>
      </c>
      <c r="F147" s="20" t="s">
        <v>355</v>
      </c>
      <c r="G147" s="8" t="str">
        <f t="shared" si="4"/>
        <v>SMITH MICHAEL</v>
      </c>
      <c r="H147" s="20" t="str">
        <f t="shared" si="5"/>
        <v>4027</v>
      </c>
    </row>
    <row r="148" spans="1:8" x14ac:dyDescent="0.25">
      <c r="A148" s="8">
        <v>43043.689872685187</v>
      </c>
      <c r="B148" s="20" t="s">
        <v>380</v>
      </c>
      <c r="C148" s="20" t="s">
        <v>806</v>
      </c>
      <c r="D148" s="138">
        <v>2350000</v>
      </c>
      <c r="E148" s="20" t="s">
        <v>505</v>
      </c>
      <c r="F148" s="20" t="s">
        <v>506</v>
      </c>
      <c r="G148" s="8" t="str">
        <f t="shared" si="4"/>
        <v>BERLING GARY</v>
      </c>
      <c r="H148" s="20" t="str">
        <f t="shared" si="5"/>
        <v>4011</v>
      </c>
    </row>
    <row r="149" spans="1:8" x14ac:dyDescent="0.25">
      <c r="A149" s="8">
        <v>43043.693090277775</v>
      </c>
      <c r="B149" s="20" t="s">
        <v>684</v>
      </c>
      <c r="C149" s="20" t="s">
        <v>807</v>
      </c>
      <c r="D149" s="138">
        <v>2630000</v>
      </c>
      <c r="E149" s="20" t="s">
        <v>381</v>
      </c>
      <c r="F149" s="20" t="s">
        <v>382</v>
      </c>
      <c r="G149" s="8" t="str">
        <f t="shared" si="4"/>
        <v>SAFIEF AEIMEN</v>
      </c>
      <c r="H149" s="20" t="str">
        <f t="shared" si="5"/>
        <v>4046</v>
      </c>
    </row>
    <row r="150" spans="1:8" x14ac:dyDescent="0.25">
      <c r="A150" s="8">
        <v>43043.703668981485</v>
      </c>
      <c r="B150" s="20" t="s">
        <v>672</v>
      </c>
      <c r="C150" s="20" t="s">
        <v>808</v>
      </c>
      <c r="D150" s="138">
        <v>1770000</v>
      </c>
      <c r="E150" s="20" t="s">
        <v>420</v>
      </c>
      <c r="F150" s="20" t="s">
        <v>421</v>
      </c>
      <c r="G150" s="8" t="str">
        <f t="shared" si="4"/>
        <v>BRUDER RICHARD</v>
      </c>
      <c r="H150" s="20" t="str">
        <f t="shared" si="5"/>
        <v>4019</v>
      </c>
    </row>
    <row r="151" spans="1:8" x14ac:dyDescent="0.25">
      <c r="A151" s="8">
        <v>43043.704583333332</v>
      </c>
      <c r="B151" s="20" t="s">
        <v>366</v>
      </c>
      <c r="C151" s="20" t="s">
        <v>809</v>
      </c>
      <c r="D151" s="138">
        <v>2370000</v>
      </c>
      <c r="E151" s="20" t="s">
        <v>418</v>
      </c>
      <c r="F151" s="20" t="s">
        <v>419</v>
      </c>
      <c r="G151" s="8" t="str">
        <f t="shared" si="4"/>
        <v>DELGADO DIANAH</v>
      </c>
      <c r="H151" s="20" t="str">
        <f t="shared" si="5"/>
        <v>4016</v>
      </c>
    </row>
    <row r="152" spans="1:8" x14ac:dyDescent="0.25">
      <c r="A152" s="8">
        <v>43043.705787037034</v>
      </c>
      <c r="B152" s="20" t="s">
        <v>366</v>
      </c>
      <c r="C152" s="20" t="s">
        <v>809</v>
      </c>
      <c r="D152" s="138">
        <v>2370000</v>
      </c>
      <c r="E152" s="20" t="s">
        <v>418</v>
      </c>
      <c r="F152" s="20" t="s">
        <v>419</v>
      </c>
      <c r="G152" s="8" t="str">
        <f t="shared" si="4"/>
        <v>DELGADO DIANAH</v>
      </c>
      <c r="H152" s="20" t="str">
        <f t="shared" si="5"/>
        <v>4016</v>
      </c>
    </row>
    <row r="153" spans="1:8" x14ac:dyDescent="0.25">
      <c r="A153" s="8">
        <v>43043.706423611111</v>
      </c>
      <c r="B153" s="20" t="s">
        <v>366</v>
      </c>
      <c r="C153" s="20" t="s">
        <v>809</v>
      </c>
      <c r="D153" s="138">
        <v>2370000</v>
      </c>
      <c r="E153" s="20" t="s">
        <v>418</v>
      </c>
      <c r="F153" s="20" t="s">
        <v>419</v>
      </c>
      <c r="G153" s="8" t="str">
        <f t="shared" si="4"/>
        <v>DELGADO DIANAH</v>
      </c>
      <c r="H153" s="20" t="str">
        <f t="shared" si="5"/>
        <v>4016</v>
      </c>
    </row>
    <row r="154" spans="1:8" x14ac:dyDescent="0.25">
      <c r="A154" s="8">
        <v>43043.706550925926</v>
      </c>
      <c r="B154" s="20" t="s">
        <v>658</v>
      </c>
      <c r="C154" s="20" t="s">
        <v>810</v>
      </c>
      <c r="D154" s="138">
        <v>2970000</v>
      </c>
      <c r="E154" s="20" t="s">
        <v>383</v>
      </c>
      <c r="F154" s="20" t="s">
        <v>384</v>
      </c>
      <c r="G154" s="8" t="str">
        <f t="shared" si="4"/>
        <v>GUZMAN DANNY</v>
      </c>
      <c r="H154" s="20" t="str">
        <f t="shared" si="5"/>
        <v>4052</v>
      </c>
    </row>
    <row r="155" spans="1:8" x14ac:dyDescent="0.25">
      <c r="A155" s="8">
        <v>43043.708287037036</v>
      </c>
      <c r="B155" s="20" t="s">
        <v>416</v>
      </c>
      <c r="C155" s="20" t="s">
        <v>811</v>
      </c>
      <c r="D155" s="138">
        <v>2230000</v>
      </c>
      <c r="E155" s="20" t="s">
        <v>424</v>
      </c>
      <c r="F155" s="20" t="s">
        <v>355</v>
      </c>
      <c r="G155" s="8" t="str">
        <f t="shared" si="4"/>
        <v>SMITH MICHAEL</v>
      </c>
      <c r="H155" s="20" t="str">
        <f t="shared" si="5"/>
        <v>4028</v>
      </c>
    </row>
    <row r="156" spans="1:8" x14ac:dyDescent="0.25">
      <c r="A156" s="8">
        <v>43043.71329861111</v>
      </c>
      <c r="B156" s="20" t="s">
        <v>537</v>
      </c>
      <c r="C156" s="20" t="s">
        <v>812</v>
      </c>
      <c r="D156" s="138">
        <v>1760000</v>
      </c>
      <c r="E156" s="20" t="s">
        <v>553</v>
      </c>
      <c r="F156" s="20" t="s">
        <v>554</v>
      </c>
      <c r="G156" s="8" t="str">
        <f t="shared" si="4"/>
        <v>STRICKLAND EVAN</v>
      </c>
      <c r="H156" s="20" t="str">
        <f t="shared" si="5"/>
        <v>4065</v>
      </c>
    </row>
    <row r="157" spans="1:8" x14ac:dyDescent="0.25">
      <c r="A157" s="8">
        <v>43043.714178240742</v>
      </c>
      <c r="B157" s="20" t="s">
        <v>371</v>
      </c>
      <c r="C157" s="20" t="s">
        <v>813</v>
      </c>
      <c r="D157" s="138">
        <v>2600000</v>
      </c>
      <c r="E157" s="20" t="s">
        <v>555</v>
      </c>
      <c r="F157" s="20" t="s">
        <v>504</v>
      </c>
      <c r="G157" s="8" t="str">
        <f t="shared" si="4"/>
        <v>DAVIDSON DAVID</v>
      </c>
      <c r="H157" s="20" t="str">
        <f t="shared" si="5"/>
        <v>4035</v>
      </c>
    </row>
    <row r="158" spans="1:8" x14ac:dyDescent="0.25">
      <c r="A158" s="8">
        <v>43043.715775462966</v>
      </c>
      <c r="B158" s="20" t="s">
        <v>545</v>
      </c>
      <c r="C158" s="20" t="s">
        <v>814</v>
      </c>
      <c r="D158" s="138">
        <v>2550000</v>
      </c>
      <c r="E158" s="20" t="s">
        <v>550</v>
      </c>
      <c r="F158" s="20" t="s">
        <v>551</v>
      </c>
      <c r="G158" s="8" t="str">
        <f t="shared" si="4"/>
        <v>BADERTSCHER DIANE</v>
      </c>
      <c r="H158" s="20" t="str">
        <f t="shared" si="5"/>
        <v>4006</v>
      </c>
    </row>
    <row r="159" spans="1:8" x14ac:dyDescent="0.25">
      <c r="A159" s="8">
        <v>43043.725775462961</v>
      </c>
      <c r="B159" s="20" t="s">
        <v>379</v>
      </c>
      <c r="C159" s="20" t="s">
        <v>815</v>
      </c>
      <c r="D159" s="138">
        <v>2350000</v>
      </c>
      <c r="E159" s="20" t="s">
        <v>505</v>
      </c>
      <c r="F159" s="20" t="s">
        <v>506</v>
      </c>
      <c r="G159" s="8" t="str">
        <f t="shared" si="4"/>
        <v>BERLING GARY</v>
      </c>
      <c r="H159" s="20" t="str">
        <f t="shared" si="5"/>
        <v>4012</v>
      </c>
    </row>
    <row r="160" spans="1:8" x14ac:dyDescent="0.25">
      <c r="A160" s="8">
        <v>43043.728831018518</v>
      </c>
      <c r="B160" s="20" t="s">
        <v>407</v>
      </c>
      <c r="C160" s="20" t="s">
        <v>816</v>
      </c>
      <c r="D160" s="138">
        <v>2230000</v>
      </c>
      <c r="E160" s="20" t="s">
        <v>424</v>
      </c>
      <c r="F160" s="20" t="s">
        <v>355</v>
      </c>
      <c r="G160" s="8" t="str">
        <f t="shared" si="4"/>
        <v>SMITH MICHAEL</v>
      </c>
      <c r="H160" s="20" t="str">
        <f t="shared" si="5"/>
        <v>4027</v>
      </c>
    </row>
    <row r="161" spans="1:8" x14ac:dyDescent="0.25">
      <c r="A161" s="8">
        <v>43043.735127314816</v>
      </c>
      <c r="B161" s="20" t="s">
        <v>653</v>
      </c>
      <c r="C161" s="20" t="s">
        <v>817</v>
      </c>
      <c r="D161" s="138">
        <v>3000000</v>
      </c>
      <c r="E161" s="20" t="s">
        <v>818</v>
      </c>
      <c r="F161" s="20" t="s">
        <v>819</v>
      </c>
      <c r="G161" s="8" t="str">
        <f t="shared" si="4"/>
        <v>FORTUNATO FRANK</v>
      </c>
      <c r="H161" s="20" t="str">
        <f t="shared" si="5"/>
        <v>4020</v>
      </c>
    </row>
    <row r="162" spans="1:8" x14ac:dyDescent="0.25">
      <c r="A162" s="8">
        <v>43043.735706018517</v>
      </c>
      <c r="B162" s="20" t="s">
        <v>679</v>
      </c>
      <c r="C162" s="20" t="s">
        <v>820</v>
      </c>
      <c r="D162" s="138">
        <v>2630000</v>
      </c>
      <c r="E162" s="20" t="s">
        <v>381</v>
      </c>
      <c r="F162" s="20" t="s">
        <v>382</v>
      </c>
      <c r="G162" s="8" t="str">
        <f t="shared" si="4"/>
        <v>SAFIEF AEIMEN</v>
      </c>
      <c r="H162" s="20" t="str">
        <f t="shared" si="5"/>
        <v>4045</v>
      </c>
    </row>
    <row r="163" spans="1:8" x14ac:dyDescent="0.25">
      <c r="A163" s="8">
        <v>43043.736168981479</v>
      </c>
      <c r="B163" s="20" t="s">
        <v>688</v>
      </c>
      <c r="C163" s="20" t="s">
        <v>821</v>
      </c>
      <c r="D163" s="138">
        <v>2970000</v>
      </c>
      <c r="E163" s="20" t="s">
        <v>383</v>
      </c>
      <c r="F163" s="20" t="s">
        <v>384</v>
      </c>
      <c r="G163" s="8" t="str">
        <f t="shared" si="4"/>
        <v>GUZMAN DANNY</v>
      </c>
      <c r="H163" s="20" t="str">
        <f t="shared" si="5"/>
        <v>4051</v>
      </c>
    </row>
    <row r="164" spans="1:8" x14ac:dyDescent="0.25">
      <c r="A164" s="8">
        <v>43043.738541666666</v>
      </c>
      <c r="B164" s="20" t="s">
        <v>365</v>
      </c>
      <c r="C164" s="20" t="s">
        <v>822</v>
      </c>
      <c r="D164" s="138">
        <v>3500000</v>
      </c>
      <c r="E164" s="20" t="s">
        <v>385</v>
      </c>
      <c r="F164" s="20" t="s">
        <v>386</v>
      </c>
      <c r="G164" s="8" t="str">
        <f t="shared" si="4"/>
        <v>GUNTHIER ERIC</v>
      </c>
      <c r="H164" s="20" t="str">
        <f t="shared" si="5"/>
        <v>4017</v>
      </c>
    </row>
    <row r="165" spans="1:8" x14ac:dyDescent="0.25">
      <c r="A165" s="8">
        <v>43043.748761574076</v>
      </c>
      <c r="B165" s="20" t="s">
        <v>405</v>
      </c>
      <c r="C165" s="20" t="s">
        <v>823</v>
      </c>
      <c r="D165" s="138">
        <v>3330000</v>
      </c>
      <c r="E165" s="20" t="s">
        <v>548</v>
      </c>
      <c r="F165" s="20" t="s">
        <v>549</v>
      </c>
      <c r="G165" s="8" t="str">
        <f t="shared" si="4"/>
        <v>GONZALEZ ARMANDO</v>
      </c>
      <c r="H165" s="20" t="str">
        <f t="shared" si="5"/>
        <v>4022</v>
      </c>
    </row>
    <row r="166" spans="1:8" x14ac:dyDescent="0.25">
      <c r="A166" s="8">
        <v>43043.749050925922</v>
      </c>
      <c r="B166" s="20" t="s">
        <v>536</v>
      </c>
      <c r="C166" s="20" t="s">
        <v>824</v>
      </c>
      <c r="D166" s="138">
        <v>1760000</v>
      </c>
      <c r="E166" s="20" t="s">
        <v>553</v>
      </c>
      <c r="F166" s="20" t="s">
        <v>554</v>
      </c>
      <c r="G166" s="8" t="str">
        <f t="shared" si="4"/>
        <v>STRICKLAND EVAN</v>
      </c>
      <c r="H166" s="20" t="str">
        <f t="shared" si="5"/>
        <v>4066</v>
      </c>
    </row>
    <row r="167" spans="1:8" x14ac:dyDescent="0.25">
      <c r="A167" s="8">
        <v>43043.751435185186</v>
      </c>
      <c r="B167" s="20" t="s">
        <v>416</v>
      </c>
      <c r="C167" s="20" t="s">
        <v>825</v>
      </c>
      <c r="D167" s="138">
        <v>2230000</v>
      </c>
      <c r="E167" s="20" t="s">
        <v>424</v>
      </c>
      <c r="F167" s="20" t="s">
        <v>355</v>
      </c>
      <c r="G167" s="8" t="str">
        <f t="shared" si="4"/>
        <v>SMITH MICHAEL</v>
      </c>
      <c r="H167" s="20" t="str">
        <f t="shared" si="5"/>
        <v>4028</v>
      </c>
    </row>
    <row r="168" spans="1:8" x14ac:dyDescent="0.25">
      <c r="A168" s="8">
        <v>43043.752314814818</v>
      </c>
      <c r="B168" s="20" t="s">
        <v>543</v>
      </c>
      <c r="C168" s="20" t="s">
        <v>826</v>
      </c>
      <c r="D168" s="138">
        <v>2550000</v>
      </c>
      <c r="E168" s="20" t="s">
        <v>550</v>
      </c>
      <c r="F168" s="20" t="s">
        <v>551</v>
      </c>
      <c r="G168" s="8" t="str">
        <f t="shared" si="4"/>
        <v>BADERTSCHER DIANE</v>
      </c>
      <c r="H168" s="20" t="str">
        <f t="shared" si="5"/>
        <v>4005</v>
      </c>
    </row>
    <row r="169" spans="1:8" x14ac:dyDescent="0.25">
      <c r="A169" s="8">
        <v>43043.756284722222</v>
      </c>
      <c r="B169" s="20" t="s">
        <v>370</v>
      </c>
      <c r="C169" s="20" t="s">
        <v>827</v>
      </c>
      <c r="D169" s="138">
        <v>3340000</v>
      </c>
      <c r="E169" s="20" t="s">
        <v>556</v>
      </c>
      <c r="F169" s="20" t="s">
        <v>557</v>
      </c>
      <c r="G169" s="8" t="str">
        <f t="shared" si="4"/>
        <v>ELBAUM MIKE</v>
      </c>
      <c r="H169" s="20" t="str">
        <f t="shared" si="5"/>
        <v>4036</v>
      </c>
    </row>
    <row r="170" spans="1:8" x14ac:dyDescent="0.25">
      <c r="A170" s="8">
        <v>43043.756828703707</v>
      </c>
      <c r="B170" s="20" t="s">
        <v>409</v>
      </c>
      <c r="C170" s="20" t="s">
        <v>823</v>
      </c>
      <c r="D170" s="138">
        <v>3330000</v>
      </c>
      <c r="E170" s="20" t="s">
        <v>548</v>
      </c>
      <c r="F170" s="20" t="s">
        <v>549</v>
      </c>
      <c r="G170" s="8" t="str">
        <f t="shared" si="4"/>
        <v>GONZALEZ ARMANDO</v>
      </c>
      <c r="H170" s="20" t="str">
        <f t="shared" si="5"/>
        <v>4021</v>
      </c>
    </row>
    <row r="171" spans="1:8" x14ac:dyDescent="0.25">
      <c r="A171" s="8">
        <v>43043.762731481482</v>
      </c>
      <c r="B171" s="20" t="s">
        <v>380</v>
      </c>
      <c r="C171" s="20" t="s">
        <v>828</v>
      </c>
      <c r="D171" s="138">
        <v>2350000</v>
      </c>
      <c r="E171" s="20" t="s">
        <v>505</v>
      </c>
      <c r="F171" s="20" t="s">
        <v>506</v>
      </c>
      <c r="G171" s="8" t="str">
        <f t="shared" si="4"/>
        <v>BERLING GARY</v>
      </c>
      <c r="H171" s="20" t="str">
        <f t="shared" si="5"/>
        <v>4011</v>
      </c>
    </row>
    <row r="172" spans="1:8" x14ac:dyDescent="0.25">
      <c r="A172" s="8">
        <v>43043.764803240738</v>
      </c>
      <c r="B172" s="20" t="s">
        <v>405</v>
      </c>
      <c r="C172" s="20" t="s">
        <v>829</v>
      </c>
      <c r="D172" s="138">
        <v>3320000</v>
      </c>
      <c r="E172" s="20" t="s">
        <v>367</v>
      </c>
      <c r="F172" s="20" t="s">
        <v>368</v>
      </c>
      <c r="G172" s="8" t="str">
        <f t="shared" si="4"/>
        <v>NICHOLSON WESLEY</v>
      </c>
      <c r="H172" s="20" t="str">
        <f t="shared" si="5"/>
        <v>4022</v>
      </c>
    </row>
    <row r="173" spans="1:8" x14ac:dyDescent="0.25">
      <c r="A173" s="8">
        <v>43043.768090277779</v>
      </c>
      <c r="B173" s="20" t="s">
        <v>672</v>
      </c>
      <c r="C173" s="20" t="s">
        <v>830</v>
      </c>
      <c r="D173" s="138">
        <v>3000000</v>
      </c>
      <c r="E173" s="20" t="s">
        <v>818</v>
      </c>
      <c r="F173" s="20" t="s">
        <v>819</v>
      </c>
      <c r="G173" s="8" t="str">
        <f t="shared" si="4"/>
        <v>FORTUNATO FRANK</v>
      </c>
      <c r="H173" s="20" t="str">
        <f t="shared" si="5"/>
        <v>4019</v>
      </c>
    </row>
    <row r="174" spans="1:8" x14ac:dyDescent="0.25">
      <c r="A174" s="8">
        <v>43043.77065972222</v>
      </c>
      <c r="B174" s="20" t="s">
        <v>407</v>
      </c>
      <c r="C174" s="20" t="s">
        <v>831</v>
      </c>
      <c r="D174" s="138">
        <v>2230000</v>
      </c>
      <c r="E174" s="20" t="s">
        <v>424</v>
      </c>
      <c r="F174" s="20" t="s">
        <v>355</v>
      </c>
      <c r="G174" s="8" t="str">
        <f t="shared" si="4"/>
        <v>SMITH MICHAEL</v>
      </c>
      <c r="H174" s="20" t="str">
        <f t="shared" si="5"/>
        <v>4027</v>
      </c>
    </row>
    <row r="175" spans="1:8" x14ac:dyDescent="0.25">
      <c r="A175" s="8">
        <v>43043.772210648145</v>
      </c>
      <c r="B175" s="20" t="s">
        <v>684</v>
      </c>
      <c r="C175" s="20" t="s">
        <v>832</v>
      </c>
      <c r="D175" s="138">
        <v>3330000</v>
      </c>
      <c r="E175" s="20" t="s">
        <v>548</v>
      </c>
      <c r="F175" s="20" t="s">
        <v>549</v>
      </c>
      <c r="G175" s="8" t="str">
        <f t="shared" si="4"/>
        <v>GONZALEZ ARMANDO</v>
      </c>
      <c r="H175" s="20" t="str">
        <f t="shared" si="5"/>
        <v>4046</v>
      </c>
    </row>
    <row r="176" spans="1:8" x14ac:dyDescent="0.25">
      <c r="A176" s="8">
        <v>43043.773634259262</v>
      </c>
      <c r="B176" s="20" t="s">
        <v>363</v>
      </c>
      <c r="C176" s="20" t="s">
        <v>833</v>
      </c>
      <c r="D176" s="138">
        <v>3500000</v>
      </c>
      <c r="E176" s="20" t="s">
        <v>385</v>
      </c>
      <c r="F176" s="20" t="s">
        <v>386</v>
      </c>
      <c r="G176" s="8" t="str">
        <f t="shared" si="4"/>
        <v>GUNTHIER ERIC</v>
      </c>
      <c r="H176" s="20" t="str">
        <f t="shared" si="5"/>
        <v>4018</v>
      </c>
    </row>
    <row r="177" spans="1:8" x14ac:dyDescent="0.25">
      <c r="A177" s="8">
        <v>43043.776886574073</v>
      </c>
      <c r="B177" s="20" t="s">
        <v>658</v>
      </c>
      <c r="C177" s="20" t="s">
        <v>834</v>
      </c>
      <c r="D177" s="138">
        <v>2970000</v>
      </c>
      <c r="E177" s="20" t="s">
        <v>383</v>
      </c>
      <c r="F177" s="20" t="s">
        <v>384</v>
      </c>
      <c r="G177" s="8" t="str">
        <f t="shared" si="4"/>
        <v>GUZMAN DANNY</v>
      </c>
      <c r="H177" s="20" t="str">
        <f t="shared" si="5"/>
        <v>4052</v>
      </c>
    </row>
    <row r="178" spans="1:8" x14ac:dyDescent="0.25">
      <c r="A178" s="8">
        <v>43043.77853009259</v>
      </c>
      <c r="B178" s="20" t="s">
        <v>365</v>
      </c>
      <c r="C178" s="20" t="s">
        <v>833</v>
      </c>
      <c r="D178" s="138">
        <v>3500000</v>
      </c>
      <c r="E178" s="20" t="s">
        <v>385</v>
      </c>
      <c r="F178" s="20" t="s">
        <v>386</v>
      </c>
      <c r="G178" s="8" t="str">
        <f t="shared" si="4"/>
        <v>GUNTHIER ERIC</v>
      </c>
      <c r="H178" s="20" t="str">
        <f t="shared" si="5"/>
        <v>4017</v>
      </c>
    </row>
    <row r="179" spans="1:8" x14ac:dyDescent="0.25">
      <c r="A179" s="8">
        <v>43043.779432870368</v>
      </c>
      <c r="B179" s="20" t="s">
        <v>365</v>
      </c>
      <c r="C179" s="20" t="s">
        <v>833</v>
      </c>
      <c r="D179" s="138">
        <v>3500000</v>
      </c>
      <c r="E179" s="20" t="s">
        <v>385</v>
      </c>
      <c r="F179" s="20" t="s">
        <v>386</v>
      </c>
      <c r="G179" s="8" t="str">
        <f t="shared" si="4"/>
        <v>GUNTHIER ERIC</v>
      </c>
      <c r="H179" s="20" t="str">
        <f t="shared" si="5"/>
        <v>4017</v>
      </c>
    </row>
    <row r="180" spans="1:8" x14ac:dyDescent="0.25">
      <c r="A180" s="8">
        <v>43043.785405092596</v>
      </c>
      <c r="B180" s="20" t="s">
        <v>537</v>
      </c>
      <c r="C180" s="20" t="s">
        <v>835</v>
      </c>
      <c r="D180" s="138">
        <v>1760000</v>
      </c>
      <c r="E180" s="20" t="s">
        <v>553</v>
      </c>
      <c r="F180" s="20" t="s">
        <v>554</v>
      </c>
      <c r="G180" s="8" t="str">
        <f t="shared" si="4"/>
        <v>STRICKLAND EVAN</v>
      </c>
      <c r="H180" s="20" t="str">
        <f t="shared" si="5"/>
        <v>4065</v>
      </c>
    </row>
    <row r="181" spans="1:8" x14ac:dyDescent="0.25">
      <c r="A181" s="8">
        <v>43043.786215277774</v>
      </c>
      <c r="B181" s="20" t="s">
        <v>371</v>
      </c>
      <c r="C181" s="20" t="s">
        <v>836</v>
      </c>
      <c r="D181" s="138">
        <v>3340000</v>
      </c>
      <c r="E181" s="20" t="s">
        <v>556</v>
      </c>
      <c r="F181" s="20" t="s">
        <v>557</v>
      </c>
      <c r="G181" s="8" t="str">
        <f t="shared" si="4"/>
        <v>ELBAUM MIKE</v>
      </c>
      <c r="H181" s="20" t="str">
        <f t="shared" si="5"/>
        <v>4035</v>
      </c>
    </row>
    <row r="182" spans="1:8" x14ac:dyDescent="0.25">
      <c r="A182" s="8">
        <v>43043.789629629631</v>
      </c>
      <c r="B182" s="20" t="s">
        <v>545</v>
      </c>
      <c r="C182" s="20" t="s">
        <v>837</v>
      </c>
      <c r="D182" s="138">
        <v>3490000</v>
      </c>
      <c r="E182" s="20" t="s">
        <v>838</v>
      </c>
      <c r="F182" s="20" t="s">
        <v>839</v>
      </c>
      <c r="G182" s="8" t="str">
        <f t="shared" si="4"/>
        <v>WEST BRYAN</v>
      </c>
      <c r="H182" s="20" t="str">
        <f t="shared" si="5"/>
        <v>4006</v>
      </c>
    </row>
    <row r="183" spans="1:8" x14ac:dyDescent="0.25">
      <c r="A183" s="8">
        <v>43043.792557870373</v>
      </c>
      <c r="B183" s="20" t="s">
        <v>416</v>
      </c>
      <c r="C183" s="20" t="s">
        <v>840</v>
      </c>
      <c r="D183" s="138">
        <v>2230000</v>
      </c>
      <c r="E183" s="20" t="s">
        <v>424</v>
      </c>
      <c r="F183" s="20" t="s">
        <v>355</v>
      </c>
      <c r="G183" s="8" t="str">
        <f t="shared" si="4"/>
        <v>SMITH MICHAEL</v>
      </c>
      <c r="H183" s="20" t="str">
        <f t="shared" si="5"/>
        <v>4028</v>
      </c>
    </row>
    <row r="184" spans="1:8" x14ac:dyDescent="0.25">
      <c r="A184" s="8">
        <v>43043.798101851855</v>
      </c>
      <c r="B184" s="20" t="s">
        <v>379</v>
      </c>
      <c r="C184" s="20" t="s">
        <v>841</v>
      </c>
      <c r="D184" s="138">
        <v>2350000</v>
      </c>
      <c r="E184" s="20" t="s">
        <v>505</v>
      </c>
      <c r="F184" s="20" t="s">
        <v>506</v>
      </c>
      <c r="G184" s="8" t="str">
        <f t="shared" si="4"/>
        <v>BERLING GARY</v>
      </c>
      <c r="H184" s="20" t="str">
        <f t="shared" si="5"/>
        <v>4012</v>
      </c>
    </row>
    <row r="185" spans="1:8" x14ac:dyDescent="0.25">
      <c r="A185" s="8">
        <v>43043.802511574075</v>
      </c>
      <c r="B185" s="20" t="s">
        <v>409</v>
      </c>
      <c r="C185" s="20" t="s">
        <v>842</v>
      </c>
      <c r="D185" s="138">
        <v>3320000</v>
      </c>
      <c r="E185" s="20" t="s">
        <v>367</v>
      </c>
      <c r="F185" s="20" t="s">
        <v>368</v>
      </c>
      <c r="G185" s="8" t="str">
        <f t="shared" si="4"/>
        <v>NICHOLSON WESLEY</v>
      </c>
      <c r="H185" s="20" t="str">
        <f t="shared" si="5"/>
        <v>4021</v>
      </c>
    </row>
    <row r="186" spans="1:8" x14ac:dyDescent="0.25">
      <c r="A186" s="8">
        <v>43043.809178240743</v>
      </c>
      <c r="B186" s="20" t="s">
        <v>653</v>
      </c>
      <c r="C186" s="20" t="s">
        <v>843</v>
      </c>
      <c r="D186" s="138">
        <v>3000000</v>
      </c>
      <c r="E186" s="20" t="s">
        <v>818</v>
      </c>
      <c r="F186" s="20" t="s">
        <v>819</v>
      </c>
      <c r="G186" s="8" t="str">
        <f t="shared" si="4"/>
        <v>FORTUNATO FRANK</v>
      </c>
      <c r="H186" s="20" t="str">
        <f t="shared" si="5"/>
        <v>4020</v>
      </c>
    </row>
    <row r="187" spans="1:8" x14ac:dyDescent="0.25">
      <c r="A187" s="8">
        <v>43043.810717592591</v>
      </c>
      <c r="B187" s="20" t="s">
        <v>407</v>
      </c>
      <c r="C187" s="20" t="s">
        <v>844</v>
      </c>
      <c r="D187" s="138">
        <v>2230000</v>
      </c>
      <c r="E187" s="20" t="s">
        <v>424</v>
      </c>
      <c r="F187" s="20" t="s">
        <v>355</v>
      </c>
      <c r="G187" s="8" t="str">
        <f t="shared" si="4"/>
        <v>SMITH MICHAEL</v>
      </c>
      <c r="H187" s="20" t="str">
        <f t="shared" si="5"/>
        <v>4027</v>
      </c>
    </row>
    <row r="188" spans="1:8" x14ac:dyDescent="0.25">
      <c r="A188" s="8">
        <v>43043.819918981484</v>
      </c>
      <c r="B188" s="20" t="s">
        <v>536</v>
      </c>
      <c r="C188" s="20" t="s">
        <v>845</v>
      </c>
      <c r="D188" s="138">
        <v>1760000</v>
      </c>
      <c r="E188" s="20" t="s">
        <v>553</v>
      </c>
      <c r="F188" s="20" t="s">
        <v>554</v>
      </c>
      <c r="G188" s="8" t="str">
        <f t="shared" si="4"/>
        <v>STRICKLAND EVAN</v>
      </c>
      <c r="H188" s="20" t="str">
        <f t="shared" si="5"/>
        <v>4066</v>
      </c>
    </row>
    <row r="189" spans="1:8" x14ac:dyDescent="0.25">
      <c r="A189" s="8">
        <v>43043.824340277781</v>
      </c>
      <c r="B189" s="20" t="s">
        <v>543</v>
      </c>
      <c r="C189" s="20" t="s">
        <v>846</v>
      </c>
      <c r="D189" s="138">
        <v>3490000</v>
      </c>
      <c r="E189" s="20" t="s">
        <v>838</v>
      </c>
      <c r="F189" s="20" t="s">
        <v>839</v>
      </c>
      <c r="G189" s="8" t="str">
        <f t="shared" si="4"/>
        <v>WEST BRYAN</v>
      </c>
      <c r="H189" s="20" t="str">
        <f t="shared" si="5"/>
        <v>4005</v>
      </c>
    </row>
    <row r="190" spans="1:8" x14ac:dyDescent="0.25">
      <c r="A190" s="8">
        <v>43043.827106481483</v>
      </c>
      <c r="B190" s="20" t="s">
        <v>370</v>
      </c>
      <c r="C190" s="20" t="s">
        <v>847</v>
      </c>
      <c r="D190" s="138">
        <v>3340000</v>
      </c>
      <c r="E190" s="20" t="s">
        <v>556</v>
      </c>
      <c r="F190" s="20" t="s">
        <v>557</v>
      </c>
      <c r="G190" s="8" t="str">
        <f t="shared" si="4"/>
        <v>ELBAUM MIKE</v>
      </c>
      <c r="H190" s="20" t="str">
        <f t="shared" si="5"/>
        <v>4036</v>
      </c>
    </row>
    <row r="191" spans="1:8" x14ac:dyDescent="0.25">
      <c r="A191" s="8">
        <v>43043.832662037035</v>
      </c>
      <c r="B191" s="20" t="s">
        <v>416</v>
      </c>
      <c r="C191" s="20" t="s">
        <v>848</v>
      </c>
      <c r="D191" s="138">
        <v>2230000</v>
      </c>
      <c r="E191" s="20" t="s">
        <v>424</v>
      </c>
      <c r="F191" s="20" t="s">
        <v>355</v>
      </c>
      <c r="G191" s="8" t="str">
        <f t="shared" si="4"/>
        <v>SMITH MICHAEL</v>
      </c>
      <c r="H191" s="20" t="str">
        <f t="shared" si="5"/>
        <v>4028</v>
      </c>
    </row>
    <row r="192" spans="1:8" x14ac:dyDescent="0.25">
      <c r="A192" s="8">
        <v>43043.840231481481</v>
      </c>
      <c r="B192" s="20" t="s">
        <v>672</v>
      </c>
      <c r="C192" s="20" t="s">
        <v>849</v>
      </c>
      <c r="D192" s="138">
        <v>3000000</v>
      </c>
      <c r="E192" s="20" t="s">
        <v>818</v>
      </c>
      <c r="F192" s="20" t="s">
        <v>819</v>
      </c>
      <c r="G192" s="8" t="str">
        <f t="shared" si="4"/>
        <v>FORTUNATO FRANK</v>
      </c>
      <c r="H192" s="20" t="str">
        <f t="shared" si="5"/>
        <v>4019</v>
      </c>
    </row>
    <row r="193" spans="1:8" x14ac:dyDescent="0.25">
      <c r="A193" s="8">
        <v>43043.843506944446</v>
      </c>
      <c r="B193" s="20" t="s">
        <v>405</v>
      </c>
      <c r="C193" s="20" t="s">
        <v>850</v>
      </c>
      <c r="D193" s="138">
        <v>3320000</v>
      </c>
      <c r="E193" s="20" t="s">
        <v>367</v>
      </c>
      <c r="F193" s="20" t="s">
        <v>368</v>
      </c>
      <c r="G193" s="8" t="str">
        <f t="shared" si="4"/>
        <v>NICHOLSON WESLEY</v>
      </c>
      <c r="H193" s="20" t="str">
        <f t="shared" si="5"/>
        <v>4022</v>
      </c>
    </row>
    <row r="194" spans="1:8" x14ac:dyDescent="0.25">
      <c r="A194" s="8">
        <v>43043.852094907408</v>
      </c>
      <c r="B194" s="20" t="s">
        <v>407</v>
      </c>
      <c r="C194" s="20" t="s">
        <v>851</v>
      </c>
      <c r="D194" s="138">
        <v>2230000</v>
      </c>
      <c r="E194" s="20" t="s">
        <v>424</v>
      </c>
      <c r="F194" s="20" t="s">
        <v>355</v>
      </c>
      <c r="G194" s="8" t="str">
        <f t="shared" si="4"/>
        <v>SMITH MICHAEL</v>
      </c>
      <c r="H194" s="20" t="str">
        <f t="shared" si="5"/>
        <v>4027</v>
      </c>
    </row>
    <row r="195" spans="1:8" x14ac:dyDescent="0.25">
      <c r="A195" s="8">
        <v>43043.859814814816</v>
      </c>
      <c r="B195" s="20" t="s">
        <v>371</v>
      </c>
      <c r="C195" s="20" t="s">
        <v>852</v>
      </c>
      <c r="D195" s="138">
        <v>3340000</v>
      </c>
      <c r="E195" s="20" t="s">
        <v>556</v>
      </c>
      <c r="F195" s="20" t="s">
        <v>557</v>
      </c>
      <c r="G195" s="8" t="str">
        <f t="shared" ref="G195:G258" si="6">E195&amp;" "&amp;F195</f>
        <v>ELBAUM MIKE</v>
      </c>
      <c r="H195" s="20" t="str">
        <f t="shared" ref="H195:H258" si="7">MID(B195,13,4)</f>
        <v>4035</v>
      </c>
    </row>
    <row r="196" spans="1:8" x14ac:dyDescent="0.25">
      <c r="A196" s="8">
        <v>43043.863865740743</v>
      </c>
      <c r="B196" s="20" t="s">
        <v>545</v>
      </c>
      <c r="C196" s="20" t="s">
        <v>853</v>
      </c>
      <c r="D196" s="138">
        <v>3490000</v>
      </c>
      <c r="E196" s="20" t="s">
        <v>838</v>
      </c>
      <c r="F196" s="20" t="s">
        <v>839</v>
      </c>
      <c r="G196" s="8" t="str">
        <f t="shared" si="6"/>
        <v>WEST BRYAN</v>
      </c>
      <c r="H196" s="20" t="str">
        <f t="shared" si="7"/>
        <v>4006</v>
      </c>
    </row>
    <row r="197" spans="1:8" x14ac:dyDescent="0.25">
      <c r="A197" s="8">
        <v>43043.875601851854</v>
      </c>
      <c r="B197" s="20" t="s">
        <v>416</v>
      </c>
      <c r="C197" s="20" t="s">
        <v>854</v>
      </c>
      <c r="D197" s="138">
        <v>2230000</v>
      </c>
      <c r="E197" s="20" t="s">
        <v>424</v>
      </c>
      <c r="F197" s="20" t="s">
        <v>355</v>
      </c>
      <c r="G197" s="8" t="str">
        <f t="shared" si="6"/>
        <v>SMITH MICHAEL</v>
      </c>
      <c r="H197" s="20" t="str">
        <f t="shared" si="7"/>
        <v>4028</v>
      </c>
    </row>
    <row r="198" spans="1:8" x14ac:dyDescent="0.25">
      <c r="A198" s="8">
        <v>43043.880671296298</v>
      </c>
      <c r="B198" s="20" t="s">
        <v>653</v>
      </c>
      <c r="C198" s="20" t="s">
        <v>855</v>
      </c>
      <c r="D198" s="138">
        <v>3000000</v>
      </c>
      <c r="E198" s="20" t="s">
        <v>818</v>
      </c>
      <c r="F198" s="20" t="s">
        <v>819</v>
      </c>
      <c r="G198" s="8" t="str">
        <f t="shared" si="6"/>
        <v>FORTUNATO FRANK</v>
      </c>
      <c r="H198" s="20" t="str">
        <f t="shared" si="7"/>
        <v>4020</v>
      </c>
    </row>
    <row r="199" spans="1:8" x14ac:dyDescent="0.25">
      <c r="A199" s="8">
        <v>43043.88652777778</v>
      </c>
      <c r="B199" s="20" t="s">
        <v>409</v>
      </c>
      <c r="C199" s="20" t="s">
        <v>856</v>
      </c>
      <c r="D199" s="138">
        <v>3320000</v>
      </c>
      <c r="E199" s="20" t="s">
        <v>367</v>
      </c>
      <c r="F199" s="20" t="s">
        <v>368</v>
      </c>
      <c r="G199" s="8" t="str">
        <f t="shared" si="6"/>
        <v>NICHOLSON WESLEY</v>
      </c>
      <c r="H199" s="20" t="str">
        <f t="shared" si="7"/>
        <v>4021</v>
      </c>
    </row>
    <row r="200" spans="1:8" x14ac:dyDescent="0.25">
      <c r="A200" s="8">
        <v>43043.893587962964</v>
      </c>
      <c r="B200" s="20" t="s">
        <v>407</v>
      </c>
      <c r="C200" s="20" t="s">
        <v>857</v>
      </c>
      <c r="D200" s="138">
        <v>2230000</v>
      </c>
      <c r="E200" s="20" t="s">
        <v>424</v>
      </c>
      <c r="F200" s="20" t="s">
        <v>355</v>
      </c>
      <c r="G200" s="8" t="str">
        <f t="shared" si="6"/>
        <v>SMITH MICHAEL</v>
      </c>
      <c r="H200" s="20" t="str">
        <f t="shared" si="7"/>
        <v>4027</v>
      </c>
    </row>
    <row r="201" spans="1:8" x14ac:dyDescent="0.25">
      <c r="A201" s="8">
        <v>43043.899965277778</v>
      </c>
      <c r="B201" s="20" t="s">
        <v>370</v>
      </c>
      <c r="C201" s="20" t="s">
        <v>858</v>
      </c>
      <c r="D201" s="138">
        <v>3340000</v>
      </c>
      <c r="E201" s="20" t="s">
        <v>556</v>
      </c>
      <c r="F201" s="20" t="s">
        <v>557</v>
      </c>
      <c r="G201" s="8" t="str">
        <f t="shared" si="6"/>
        <v>ELBAUM MIKE</v>
      </c>
      <c r="H201" s="20" t="str">
        <f t="shared" si="7"/>
        <v>4036</v>
      </c>
    </row>
    <row r="202" spans="1:8" x14ac:dyDescent="0.25">
      <c r="A202" s="26">
        <v>43043.904699074075</v>
      </c>
      <c r="B202" s="20" t="s">
        <v>543</v>
      </c>
      <c r="C202" s="20" t="s">
        <v>662</v>
      </c>
      <c r="D202" s="138">
        <v>3490000</v>
      </c>
      <c r="E202" s="20" t="s">
        <v>838</v>
      </c>
      <c r="F202" s="20" t="s">
        <v>839</v>
      </c>
      <c r="G202" s="8" t="str">
        <f t="shared" si="6"/>
        <v>WEST BRYAN</v>
      </c>
      <c r="H202" s="20" t="str">
        <f t="shared" si="7"/>
        <v>4005</v>
      </c>
    </row>
    <row r="203" spans="1:8" x14ac:dyDescent="0.25">
      <c r="A203" s="8">
        <v>43043.915868055556</v>
      </c>
      <c r="B203" s="20" t="s">
        <v>416</v>
      </c>
      <c r="C203" s="20" t="s">
        <v>859</v>
      </c>
      <c r="D203" s="138">
        <v>2230000</v>
      </c>
      <c r="E203" s="20" t="s">
        <v>424</v>
      </c>
      <c r="F203" s="20" t="s">
        <v>355</v>
      </c>
      <c r="G203" s="8" t="str">
        <f t="shared" si="6"/>
        <v>SMITH MICHAEL</v>
      </c>
      <c r="H203" s="20" t="str">
        <f t="shared" si="7"/>
        <v>4028</v>
      </c>
    </row>
    <row r="204" spans="1:8" x14ac:dyDescent="0.25">
      <c r="A204" s="8">
        <v>43043.923750000002</v>
      </c>
      <c r="B204" s="20" t="s">
        <v>672</v>
      </c>
      <c r="C204" s="20" t="s">
        <v>860</v>
      </c>
      <c r="D204" s="138">
        <v>3000000</v>
      </c>
      <c r="E204" s="20" t="s">
        <v>818</v>
      </c>
      <c r="F204" s="20" t="s">
        <v>819</v>
      </c>
      <c r="G204" s="8" t="str">
        <f t="shared" si="6"/>
        <v>FORTUNATO FRANK</v>
      </c>
      <c r="H204" s="20" t="str">
        <f t="shared" si="7"/>
        <v>4019</v>
      </c>
    </row>
    <row r="205" spans="1:8" x14ac:dyDescent="0.25">
      <c r="A205" s="8">
        <v>43043.928333333337</v>
      </c>
      <c r="B205" s="20" t="s">
        <v>405</v>
      </c>
      <c r="C205" s="20" t="s">
        <v>861</v>
      </c>
      <c r="D205" s="138">
        <v>3320000</v>
      </c>
      <c r="E205" s="20" t="s">
        <v>367</v>
      </c>
      <c r="F205" s="20" t="s">
        <v>368</v>
      </c>
      <c r="G205" s="8" t="str">
        <f t="shared" si="6"/>
        <v>NICHOLSON WESLEY</v>
      </c>
      <c r="H205" s="20" t="str">
        <f t="shared" si="7"/>
        <v>4022</v>
      </c>
    </row>
    <row r="206" spans="1:8" x14ac:dyDescent="0.25">
      <c r="A206" s="8">
        <v>43043.935601851852</v>
      </c>
      <c r="B206" s="20" t="s">
        <v>407</v>
      </c>
      <c r="C206" s="20" t="s">
        <v>862</v>
      </c>
      <c r="D206" s="138">
        <v>2230000</v>
      </c>
      <c r="E206" s="20" t="s">
        <v>424</v>
      </c>
      <c r="F206" s="20" t="s">
        <v>355</v>
      </c>
      <c r="G206" s="8" t="str">
        <f t="shared" si="6"/>
        <v>SMITH MICHAEL</v>
      </c>
      <c r="H206" s="20" t="str">
        <f t="shared" si="7"/>
        <v>4027</v>
      </c>
    </row>
    <row r="207" spans="1:8" x14ac:dyDescent="0.25">
      <c r="A207" s="8">
        <v>43043.945</v>
      </c>
      <c r="B207" s="20" t="s">
        <v>545</v>
      </c>
      <c r="C207" s="20" t="s">
        <v>863</v>
      </c>
      <c r="D207" s="138">
        <v>3490000</v>
      </c>
      <c r="E207" s="20" t="s">
        <v>838</v>
      </c>
      <c r="F207" s="20" t="s">
        <v>839</v>
      </c>
      <c r="G207" s="8" t="str">
        <f t="shared" si="6"/>
        <v>WEST BRYAN</v>
      </c>
      <c r="H207" s="20" t="str">
        <f t="shared" si="7"/>
        <v>4006</v>
      </c>
    </row>
    <row r="208" spans="1:8" x14ac:dyDescent="0.25">
      <c r="A208" s="8">
        <v>43043.945381944446</v>
      </c>
      <c r="B208" s="20" t="s">
        <v>371</v>
      </c>
      <c r="C208" s="20" t="s">
        <v>864</v>
      </c>
      <c r="D208" s="138">
        <v>3340000</v>
      </c>
      <c r="E208" s="20" t="s">
        <v>556</v>
      </c>
      <c r="F208" s="20" t="s">
        <v>557</v>
      </c>
      <c r="G208" s="8" t="str">
        <f t="shared" si="6"/>
        <v>ELBAUM MIKE</v>
      </c>
      <c r="H208" s="20" t="str">
        <f t="shared" si="7"/>
        <v>4035</v>
      </c>
    </row>
    <row r="209" spans="1:8" x14ac:dyDescent="0.25">
      <c r="A209" s="8">
        <v>43043.959456018521</v>
      </c>
      <c r="B209" s="20" t="s">
        <v>416</v>
      </c>
      <c r="C209" s="20" t="s">
        <v>865</v>
      </c>
      <c r="D209" s="138">
        <v>2230000</v>
      </c>
      <c r="E209" s="20" t="s">
        <v>424</v>
      </c>
      <c r="F209" s="20" t="s">
        <v>355</v>
      </c>
      <c r="G209" s="8" t="str">
        <f t="shared" si="6"/>
        <v>SMITH MICHAEL</v>
      </c>
      <c r="H209" s="20" t="str">
        <f t="shared" si="7"/>
        <v>4028</v>
      </c>
    </row>
    <row r="210" spans="1:8" x14ac:dyDescent="0.25">
      <c r="A210" s="8">
        <v>43043.964953703704</v>
      </c>
      <c r="B210" s="20" t="s">
        <v>653</v>
      </c>
      <c r="C210" s="20" t="s">
        <v>866</v>
      </c>
      <c r="D210" s="138">
        <v>3000000</v>
      </c>
      <c r="E210" s="20" t="s">
        <v>818</v>
      </c>
      <c r="F210" s="20" t="s">
        <v>819</v>
      </c>
      <c r="G210" s="8" t="str">
        <f t="shared" si="6"/>
        <v>FORTUNATO FRANK</v>
      </c>
      <c r="H210" s="20" t="str">
        <f t="shared" si="7"/>
        <v>4020</v>
      </c>
    </row>
    <row r="211" spans="1:8" x14ac:dyDescent="0.25">
      <c r="A211" s="8">
        <v>43043.974537037036</v>
      </c>
      <c r="B211" s="20" t="s">
        <v>409</v>
      </c>
      <c r="C211" s="20" t="s">
        <v>867</v>
      </c>
      <c r="D211" s="138">
        <v>3320000</v>
      </c>
      <c r="E211" s="20" t="s">
        <v>367</v>
      </c>
      <c r="F211" s="20" t="s">
        <v>368</v>
      </c>
      <c r="G211" s="8" t="str">
        <f t="shared" si="6"/>
        <v>NICHOLSON WESLEY</v>
      </c>
      <c r="H211" s="20" t="str">
        <f t="shared" si="7"/>
        <v>4021</v>
      </c>
    </row>
    <row r="212" spans="1:8" x14ac:dyDescent="0.25">
      <c r="A212" s="8">
        <v>43043.977696759262</v>
      </c>
      <c r="B212" s="20" t="s">
        <v>407</v>
      </c>
      <c r="C212" s="20" t="s">
        <v>868</v>
      </c>
      <c r="D212" s="138">
        <v>2230000</v>
      </c>
      <c r="E212" s="20" t="s">
        <v>424</v>
      </c>
      <c r="F212" s="20" t="s">
        <v>355</v>
      </c>
      <c r="G212" s="8" t="str">
        <f t="shared" si="6"/>
        <v>SMITH MICHAEL</v>
      </c>
      <c r="H212" s="20" t="str">
        <f t="shared" si="7"/>
        <v>4027</v>
      </c>
    </row>
    <row r="213" spans="1:8" x14ac:dyDescent="0.25">
      <c r="A213" s="8">
        <v>43043.986898148149</v>
      </c>
      <c r="B213" s="20" t="s">
        <v>543</v>
      </c>
      <c r="C213" s="20" t="s">
        <v>869</v>
      </c>
      <c r="D213" s="138">
        <v>3490000</v>
      </c>
      <c r="E213" s="20" t="s">
        <v>838</v>
      </c>
      <c r="F213" s="20" t="s">
        <v>839</v>
      </c>
      <c r="G213" s="8" t="str">
        <f t="shared" si="6"/>
        <v>WEST BRYAN</v>
      </c>
      <c r="H213" s="20" t="str">
        <f t="shared" si="7"/>
        <v>4005</v>
      </c>
    </row>
    <row r="214" spans="1:8" x14ac:dyDescent="0.25">
      <c r="A214" s="8">
        <v>43043.98709490741</v>
      </c>
      <c r="B214" s="20" t="s">
        <v>370</v>
      </c>
      <c r="C214" s="20" t="s">
        <v>870</v>
      </c>
      <c r="D214" s="138">
        <v>3340000</v>
      </c>
      <c r="E214" s="20" t="s">
        <v>556</v>
      </c>
      <c r="F214" s="20" t="s">
        <v>557</v>
      </c>
      <c r="G214" s="8" t="str">
        <f t="shared" si="6"/>
        <v>ELBAUM MIKE</v>
      </c>
      <c r="H214" s="20" t="str">
        <f t="shared" si="7"/>
        <v>4036</v>
      </c>
    </row>
    <row r="215" spans="1:8" x14ac:dyDescent="0.25">
      <c r="A215" s="8">
        <v>43043.998611111114</v>
      </c>
      <c r="B215" s="20" t="s">
        <v>370</v>
      </c>
      <c r="C215" s="20" t="s">
        <v>870</v>
      </c>
      <c r="D215" s="138">
        <v>3340000</v>
      </c>
      <c r="E215" s="20" t="s">
        <v>556</v>
      </c>
      <c r="F215" s="20" t="s">
        <v>557</v>
      </c>
      <c r="G215" s="8" t="str">
        <f t="shared" si="6"/>
        <v>ELBAUM MIKE</v>
      </c>
      <c r="H215" s="20" t="str">
        <f t="shared" si="7"/>
        <v>4036</v>
      </c>
    </row>
    <row r="216" spans="1:8" x14ac:dyDescent="0.25">
      <c r="A216" s="8">
        <v>43044.00644675926</v>
      </c>
      <c r="B216" s="20" t="s">
        <v>672</v>
      </c>
      <c r="C216" s="20" t="s">
        <v>871</v>
      </c>
      <c r="D216" s="138">
        <v>3000000</v>
      </c>
      <c r="E216" s="20" t="s">
        <v>818</v>
      </c>
      <c r="F216" s="20" t="s">
        <v>819</v>
      </c>
      <c r="G216" s="8" t="str">
        <f t="shared" si="6"/>
        <v>FORTUNATO FRANK</v>
      </c>
      <c r="H216" s="20" t="str">
        <f t="shared" si="7"/>
        <v>4019</v>
      </c>
    </row>
    <row r="217" spans="1:8" x14ac:dyDescent="0.25">
      <c r="A217" s="8">
        <v>43044.011631944442</v>
      </c>
      <c r="B217" s="20" t="s">
        <v>405</v>
      </c>
      <c r="C217" s="20" t="s">
        <v>872</v>
      </c>
      <c r="D217" s="138">
        <v>3320000</v>
      </c>
      <c r="E217" s="20" t="s">
        <v>367</v>
      </c>
      <c r="F217" s="20" t="s">
        <v>368</v>
      </c>
      <c r="G217" s="8" t="str">
        <f t="shared" si="6"/>
        <v>NICHOLSON WESLEY</v>
      </c>
      <c r="H217" s="20" t="str">
        <f t="shared" si="7"/>
        <v>4022</v>
      </c>
    </row>
    <row r="218" spans="1:8" x14ac:dyDescent="0.25">
      <c r="A218" s="8">
        <v>43044.025821759256</v>
      </c>
      <c r="B218" s="20" t="s">
        <v>371</v>
      </c>
      <c r="C218" s="20" t="s">
        <v>873</v>
      </c>
      <c r="D218" s="138">
        <v>3340000</v>
      </c>
      <c r="E218" s="20" t="s">
        <v>556</v>
      </c>
      <c r="F218" s="20" t="s">
        <v>557</v>
      </c>
      <c r="G218" s="8" t="str">
        <f t="shared" si="6"/>
        <v>ELBAUM MIKE</v>
      </c>
      <c r="H218" s="20" t="str">
        <f t="shared" si="7"/>
        <v>4035</v>
      </c>
    </row>
    <row r="219" spans="1:8" x14ac:dyDescent="0.25">
      <c r="A219" s="8">
        <v>43044.029016203705</v>
      </c>
      <c r="B219" s="20" t="s">
        <v>545</v>
      </c>
      <c r="C219" s="20" t="s">
        <v>874</v>
      </c>
      <c r="D219" s="138">
        <v>3490000</v>
      </c>
      <c r="E219" s="20" t="s">
        <v>838</v>
      </c>
      <c r="F219" s="20" t="s">
        <v>839</v>
      </c>
      <c r="G219" s="8" t="str">
        <f t="shared" si="6"/>
        <v>WEST BRYAN</v>
      </c>
      <c r="H219" s="20" t="str">
        <f t="shared" si="7"/>
        <v>4006</v>
      </c>
    </row>
    <row r="220" spans="1:8" x14ac:dyDescent="0.25">
      <c r="A220" s="8">
        <v>43044.046620370369</v>
      </c>
      <c r="B220" s="20" t="s">
        <v>653</v>
      </c>
      <c r="C220" s="20" t="s">
        <v>875</v>
      </c>
      <c r="D220" s="138">
        <v>3000000</v>
      </c>
      <c r="E220" s="20" t="s">
        <v>818</v>
      </c>
      <c r="F220" s="20" t="s">
        <v>819</v>
      </c>
      <c r="G220" s="8" t="str">
        <f t="shared" si="6"/>
        <v>FORTUNATO FRANK</v>
      </c>
      <c r="H220" s="20" t="str">
        <f t="shared" si="7"/>
        <v>4020</v>
      </c>
    </row>
    <row r="221" spans="1:8" x14ac:dyDescent="0.25">
      <c r="A221" s="8">
        <v>43044.066192129627</v>
      </c>
      <c r="B221" s="20" t="s">
        <v>370</v>
      </c>
      <c r="C221" s="20" t="s">
        <v>876</v>
      </c>
      <c r="D221" s="138">
        <v>3340000</v>
      </c>
      <c r="E221" s="20" t="s">
        <v>556</v>
      </c>
      <c r="F221" s="20" t="s">
        <v>557</v>
      </c>
      <c r="G221" s="8" t="str">
        <f t="shared" si="6"/>
        <v>ELBAUM MIKE</v>
      </c>
      <c r="H221" s="20" t="str">
        <f t="shared" si="7"/>
        <v>4036</v>
      </c>
    </row>
    <row r="222" spans="1:8" x14ac:dyDescent="0.25">
      <c r="A222" s="8">
        <v>43044.071458333332</v>
      </c>
      <c r="B222" s="20" t="s">
        <v>543</v>
      </c>
      <c r="C222" s="20" t="s">
        <v>877</v>
      </c>
      <c r="D222" s="138">
        <v>3490000</v>
      </c>
      <c r="E222" s="20" t="s">
        <v>838</v>
      </c>
      <c r="F222" s="20" t="s">
        <v>839</v>
      </c>
      <c r="G222" s="8" t="str">
        <f t="shared" si="6"/>
        <v>WEST BRYAN</v>
      </c>
      <c r="H222" s="20" t="str">
        <f t="shared" si="7"/>
        <v>4005</v>
      </c>
    </row>
    <row r="223" spans="1:8" x14ac:dyDescent="0.25">
      <c r="A223" s="8">
        <v>43044.051064814812</v>
      </c>
      <c r="B223" s="20" t="s">
        <v>405</v>
      </c>
      <c r="C223" s="20" t="s">
        <v>878</v>
      </c>
      <c r="D223" s="138">
        <v>3320000</v>
      </c>
      <c r="E223" s="20" t="s">
        <v>367</v>
      </c>
      <c r="F223" s="20" t="s">
        <v>368</v>
      </c>
      <c r="G223" s="8" t="str">
        <f t="shared" si="6"/>
        <v>NICHOLSON WESLEY</v>
      </c>
      <c r="H223" s="20" t="str">
        <f t="shared" si="7"/>
        <v>4022</v>
      </c>
    </row>
    <row r="224" spans="1:8" x14ac:dyDescent="0.25">
      <c r="A224" s="8">
        <v>43044.072164351855</v>
      </c>
      <c r="B224" t="s">
        <v>545</v>
      </c>
      <c r="C224" t="s">
        <v>879</v>
      </c>
      <c r="D224" s="138">
        <v>3490000</v>
      </c>
      <c r="E224" t="s">
        <v>838</v>
      </c>
      <c r="F224" s="20" t="s">
        <v>839</v>
      </c>
      <c r="G224" s="8" t="str">
        <f t="shared" si="6"/>
        <v>WEST BRYAN</v>
      </c>
      <c r="H224" s="20" t="str">
        <f t="shared" si="7"/>
        <v>4006</v>
      </c>
    </row>
    <row r="225" spans="1:8" x14ac:dyDescent="0.25">
      <c r="A225" s="8">
        <v>43044.114479166667</v>
      </c>
      <c r="B225" t="s">
        <v>880</v>
      </c>
      <c r="C225" t="s">
        <v>881</v>
      </c>
      <c r="D225" s="138">
        <v>2370000</v>
      </c>
      <c r="E225" t="s">
        <v>418</v>
      </c>
      <c r="F225" s="20" t="s">
        <v>419</v>
      </c>
      <c r="G225" s="8" t="str">
        <f t="shared" si="6"/>
        <v>DELGADO DIANAH</v>
      </c>
      <c r="H225" s="20" t="str">
        <f t="shared" si="7"/>
        <v>4025</v>
      </c>
    </row>
    <row r="226" spans="1:8" x14ac:dyDescent="0.25">
      <c r="A226" s="8">
        <v>43041.915752314817</v>
      </c>
      <c r="B226" t="s">
        <v>366</v>
      </c>
      <c r="C226" t="s">
        <v>560</v>
      </c>
      <c r="D226" s="138">
        <v>2610000</v>
      </c>
      <c r="E226" t="s">
        <v>393</v>
      </c>
      <c r="F226" s="20" t="s">
        <v>394</v>
      </c>
      <c r="G226" s="8" t="str">
        <f t="shared" si="6"/>
        <v>MAGEE KENYA</v>
      </c>
      <c r="H226" s="20" t="str">
        <f t="shared" si="7"/>
        <v>4016</v>
      </c>
    </row>
    <row r="227" spans="1:8" x14ac:dyDescent="0.25">
      <c r="A227" s="8">
        <v>43041.928576388891</v>
      </c>
      <c r="B227" t="s">
        <v>503</v>
      </c>
      <c r="C227" t="s">
        <v>561</v>
      </c>
      <c r="D227" s="138">
        <v>3320000</v>
      </c>
      <c r="E227" t="s">
        <v>367</v>
      </c>
      <c r="F227" s="20" t="s">
        <v>368</v>
      </c>
      <c r="G227" s="8" t="str">
        <f t="shared" si="6"/>
        <v>NICHOLSON WESLEY</v>
      </c>
      <c r="H227" s="20" t="str">
        <f t="shared" si="7"/>
        <v>4032</v>
      </c>
    </row>
    <row r="228" spans="1:8" x14ac:dyDescent="0.25">
      <c r="A228" s="8">
        <v>43041.933055555557</v>
      </c>
      <c r="B228" t="s">
        <v>407</v>
      </c>
      <c r="C228" t="s">
        <v>562</v>
      </c>
      <c r="D228" s="138">
        <v>890000</v>
      </c>
      <c r="E228" t="s">
        <v>346</v>
      </c>
      <c r="F228" s="20" t="s">
        <v>347</v>
      </c>
      <c r="G228" s="8" t="str">
        <f t="shared" si="6"/>
        <v>LOZA FIDEL</v>
      </c>
      <c r="H228" s="20" t="str">
        <f t="shared" si="7"/>
        <v>4027</v>
      </c>
    </row>
    <row r="229" spans="1:8" x14ac:dyDescent="0.25">
      <c r="A229" s="8">
        <v>43041.934791666667</v>
      </c>
      <c r="B229" t="s">
        <v>539</v>
      </c>
      <c r="C229" t="s">
        <v>560</v>
      </c>
      <c r="D229" s="138">
        <v>2610000</v>
      </c>
      <c r="E229" t="s">
        <v>393</v>
      </c>
      <c r="F229" s="20" t="s">
        <v>394</v>
      </c>
      <c r="G229" s="8" t="str">
        <f t="shared" si="6"/>
        <v>MAGEE KENYA</v>
      </c>
      <c r="H229" s="20" t="str">
        <f t="shared" si="7"/>
        <v>4015</v>
      </c>
    </row>
    <row r="230" spans="1:8" x14ac:dyDescent="0.25">
      <c r="A230" s="8">
        <v>43041.935636574075</v>
      </c>
      <c r="B230" t="s">
        <v>539</v>
      </c>
      <c r="C230" t="s">
        <v>563</v>
      </c>
      <c r="D230" s="138">
        <v>2610000</v>
      </c>
      <c r="E230" t="s">
        <v>393</v>
      </c>
      <c r="F230" s="20" t="s">
        <v>394</v>
      </c>
      <c r="G230" s="8" t="str">
        <f t="shared" si="6"/>
        <v>MAGEE KENYA</v>
      </c>
      <c r="H230" s="20" t="str">
        <f t="shared" si="7"/>
        <v>4015</v>
      </c>
    </row>
    <row r="231" spans="1:8" x14ac:dyDescent="0.25">
      <c r="A231" s="8">
        <v>43041.942349537036</v>
      </c>
      <c r="B231" t="s">
        <v>371</v>
      </c>
      <c r="C231" t="s">
        <v>564</v>
      </c>
      <c r="D231" s="138">
        <v>3340000</v>
      </c>
      <c r="E231" t="s">
        <v>556</v>
      </c>
      <c r="F231" s="20" t="s">
        <v>557</v>
      </c>
      <c r="G231" s="8" t="str">
        <f t="shared" si="6"/>
        <v>ELBAUM MIKE</v>
      </c>
      <c r="H231" s="20" t="str">
        <f t="shared" si="7"/>
        <v>4035</v>
      </c>
    </row>
    <row r="232" spans="1:8" x14ac:dyDescent="0.25">
      <c r="A232" s="8">
        <v>43041.94568287037</v>
      </c>
      <c r="B232" t="s">
        <v>542</v>
      </c>
      <c r="C232" t="s">
        <v>565</v>
      </c>
      <c r="D232" s="138">
        <v>3310000</v>
      </c>
      <c r="E232" t="s">
        <v>558</v>
      </c>
      <c r="F232" s="20" t="s">
        <v>559</v>
      </c>
      <c r="G232" s="8" t="str">
        <f t="shared" si="6"/>
        <v>ANDERS STEVEN</v>
      </c>
      <c r="H232" s="20" t="str">
        <f t="shared" si="7"/>
        <v>4040</v>
      </c>
    </row>
    <row r="233" spans="1:8" x14ac:dyDescent="0.25">
      <c r="A233" s="8">
        <v>43041.95716435185</v>
      </c>
      <c r="B233" t="s">
        <v>366</v>
      </c>
      <c r="C233" t="s">
        <v>566</v>
      </c>
      <c r="D233" s="138">
        <v>2610000</v>
      </c>
      <c r="E233" t="s">
        <v>393</v>
      </c>
      <c r="F233" s="20" t="s">
        <v>394</v>
      </c>
      <c r="G233" s="8" t="str">
        <f t="shared" si="6"/>
        <v>MAGEE KENYA</v>
      </c>
      <c r="H233" s="20" t="str">
        <f t="shared" si="7"/>
        <v>4016</v>
      </c>
    </row>
    <row r="234" spans="1:8" x14ac:dyDescent="0.25">
      <c r="A234" s="8">
        <v>43041.968784722223</v>
      </c>
      <c r="B234" t="s">
        <v>416</v>
      </c>
      <c r="C234" t="s">
        <v>567</v>
      </c>
      <c r="D234" s="138">
        <v>3670000</v>
      </c>
      <c r="E234" t="s">
        <v>395</v>
      </c>
      <c r="F234" s="20" t="s">
        <v>373</v>
      </c>
      <c r="G234" s="8" t="str">
        <f t="shared" si="6"/>
        <v>ANDREA WILLIAMS</v>
      </c>
      <c r="H234" s="20" t="str">
        <f t="shared" si="7"/>
        <v>4028</v>
      </c>
    </row>
    <row r="235" spans="1:8" x14ac:dyDescent="0.25">
      <c r="A235" s="8">
        <v>43041.973460648151</v>
      </c>
      <c r="B235" t="s">
        <v>499</v>
      </c>
      <c r="C235" t="s">
        <v>568</v>
      </c>
      <c r="D235" s="138">
        <v>3320000</v>
      </c>
      <c r="E235" t="s">
        <v>367</v>
      </c>
      <c r="F235" s="20" t="s">
        <v>368</v>
      </c>
      <c r="G235" s="8" t="str">
        <f t="shared" si="6"/>
        <v>NICHOLSON WESLEY</v>
      </c>
      <c r="H235" s="20" t="str">
        <f t="shared" si="7"/>
        <v>4031</v>
      </c>
    </row>
    <row r="236" spans="1:8" x14ac:dyDescent="0.25">
      <c r="A236" s="8">
        <v>43041.976400462961</v>
      </c>
      <c r="B236" t="s">
        <v>539</v>
      </c>
      <c r="C236" t="s">
        <v>569</v>
      </c>
      <c r="D236" s="138">
        <v>2610000</v>
      </c>
      <c r="E236" t="s">
        <v>393</v>
      </c>
      <c r="F236" s="20" t="s">
        <v>394</v>
      </c>
      <c r="G236" s="8" t="str">
        <f t="shared" si="6"/>
        <v>MAGEE KENYA</v>
      </c>
      <c r="H236" s="20" t="str">
        <f t="shared" si="7"/>
        <v>4015</v>
      </c>
    </row>
    <row r="237" spans="1:8" x14ac:dyDescent="0.25">
      <c r="A237" s="8">
        <v>43041.984791666669</v>
      </c>
      <c r="B237" t="s">
        <v>370</v>
      </c>
      <c r="C237" t="s">
        <v>570</v>
      </c>
      <c r="D237" s="138">
        <v>3340000</v>
      </c>
      <c r="E237" t="s">
        <v>556</v>
      </c>
      <c r="F237" s="20" t="s">
        <v>557</v>
      </c>
      <c r="G237" s="8" t="str">
        <f t="shared" si="6"/>
        <v>ELBAUM MIKE</v>
      </c>
      <c r="H237" s="20" t="str">
        <f t="shared" si="7"/>
        <v>4036</v>
      </c>
    </row>
    <row r="238" spans="1:8" x14ac:dyDescent="0.25">
      <c r="A238" s="8">
        <v>43041.987870370373</v>
      </c>
      <c r="B238" t="s">
        <v>538</v>
      </c>
      <c r="C238" t="s">
        <v>571</v>
      </c>
      <c r="D238" s="138">
        <v>3310000</v>
      </c>
      <c r="E238" t="s">
        <v>558</v>
      </c>
      <c r="F238" s="20" t="s">
        <v>559</v>
      </c>
      <c r="G238" s="8" t="str">
        <f t="shared" si="6"/>
        <v>ANDERS STEVEN</v>
      </c>
      <c r="H238" s="20" t="str">
        <f t="shared" si="7"/>
        <v>4039</v>
      </c>
    </row>
    <row r="239" spans="1:8" x14ac:dyDescent="0.25">
      <c r="A239" s="8">
        <v>43041.99832175926</v>
      </c>
      <c r="B239" t="s">
        <v>370</v>
      </c>
      <c r="C239" t="s">
        <v>570</v>
      </c>
      <c r="D239" s="138">
        <v>3340000</v>
      </c>
      <c r="E239" t="s">
        <v>556</v>
      </c>
      <c r="F239" s="20" t="s">
        <v>557</v>
      </c>
      <c r="G239" s="8" t="str">
        <f t="shared" si="6"/>
        <v>ELBAUM MIKE</v>
      </c>
      <c r="H239" s="20" t="str">
        <f t="shared" si="7"/>
        <v>4036</v>
      </c>
    </row>
    <row r="240" spans="1:8" x14ac:dyDescent="0.25">
      <c r="A240" s="8">
        <v>43041.99927083333</v>
      </c>
      <c r="B240" t="s">
        <v>370</v>
      </c>
      <c r="C240" t="s">
        <v>570</v>
      </c>
      <c r="D240" s="138">
        <v>3340000</v>
      </c>
      <c r="E240" t="s">
        <v>556</v>
      </c>
      <c r="F240" s="20" t="s">
        <v>557</v>
      </c>
      <c r="G240" s="8" t="str">
        <f t="shared" si="6"/>
        <v>ELBAUM MIKE</v>
      </c>
      <c r="H240" s="20" t="str">
        <f t="shared" si="7"/>
        <v>4036</v>
      </c>
    </row>
    <row r="241" spans="1:8" x14ac:dyDescent="0.25">
      <c r="A241" s="8">
        <v>43042.008715277778</v>
      </c>
      <c r="B241" t="s">
        <v>503</v>
      </c>
      <c r="C241" t="s">
        <v>572</v>
      </c>
      <c r="D241" s="138">
        <v>3320000</v>
      </c>
      <c r="E241" t="s">
        <v>367</v>
      </c>
      <c r="F241" s="20" t="s">
        <v>368</v>
      </c>
      <c r="G241" s="8" t="str">
        <f t="shared" si="6"/>
        <v>NICHOLSON WESLEY</v>
      </c>
      <c r="H241" s="20" t="str">
        <f t="shared" si="7"/>
        <v>4032</v>
      </c>
    </row>
    <row r="242" spans="1:8" x14ac:dyDescent="0.25">
      <c r="A242" s="8">
        <v>43042.017916666664</v>
      </c>
      <c r="B242" t="s">
        <v>407</v>
      </c>
      <c r="C242" t="s">
        <v>573</v>
      </c>
      <c r="D242" s="138">
        <v>3670000</v>
      </c>
      <c r="E242" t="s">
        <v>395</v>
      </c>
      <c r="F242" s="20" t="s">
        <v>373</v>
      </c>
      <c r="G242" s="8" t="str">
        <f t="shared" si="6"/>
        <v>ANDREA WILLIAMS</v>
      </c>
      <c r="H242" s="20" t="str">
        <f t="shared" si="7"/>
        <v>4027</v>
      </c>
    </row>
    <row r="243" spans="1:8" x14ac:dyDescent="0.25">
      <c r="A243" s="8">
        <v>43042.026099537034</v>
      </c>
      <c r="B243" t="s">
        <v>371</v>
      </c>
      <c r="C243" t="s">
        <v>541</v>
      </c>
      <c r="D243" s="138">
        <v>3340000</v>
      </c>
      <c r="E243" t="s">
        <v>556</v>
      </c>
      <c r="F243" s="20" t="s">
        <v>557</v>
      </c>
      <c r="G243" s="8" t="str">
        <f t="shared" si="6"/>
        <v>ELBAUM MIKE</v>
      </c>
      <c r="H243" s="20" t="str">
        <f t="shared" si="7"/>
        <v>4035</v>
      </c>
    </row>
    <row r="244" spans="1:8" x14ac:dyDescent="0.25">
      <c r="A244" s="8">
        <v>43042.029594907406</v>
      </c>
      <c r="B244" t="s">
        <v>542</v>
      </c>
      <c r="C244" t="s">
        <v>574</v>
      </c>
      <c r="D244" s="138">
        <v>3310000</v>
      </c>
      <c r="E244" t="s">
        <v>558</v>
      </c>
      <c r="F244" s="20" t="s">
        <v>559</v>
      </c>
      <c r="G244" s="8" t="str">
        <f t="shared" si="6"/>
        <v>ANDERS STEVEN</v>
      </c>
      <c r="H244" s="20" t="str">
        <f t="shared" si="7"/>
        <v>4040</v>
      </c>
    </row>
    <row r="245" spans="1:8" x14ac:dyDescent="0.25">
      <c r="A245" s="8">
        <v>43042.050543981481</v>
      </c>
      <c r="B245" t="s">
        <v>416</v>
      </c>
      <c r="C245" t="s">
        <v>540</v>
      </c>
      <c r="D245" s="138">
        <v>890000</v>
      </c>
      <c r="E245" t="s">
        <v>346</v>
      </c>
      <c r="F245" s="20" t="s">
        <v>347</v>
      </c>
      <c r="G245" s="8" t="str">
        <f t="shared" si="6"/>
        <v>LOZA FIDEL</v>
      </c>
      <c r="H245" s="20" t="str">
        <f t="shared" si="7"/>
        <v>4028</v>
      </c>
    </row>
    <row r="246" spans="1:8" x14ac:dyDescent="0.25">
      <c r="A246" s="8">
        <v>43042.052685185183</v>
      </c>
      <c r="B246" t="s">
        <v>499</v>
      </c>
      <c r="C246" t="s">
        <v>575</v>
      </c>
      <c r="D246" s="138">
        <v>3320000</v>
      </c>
      <c r="E246" t="s">
        <v>367</v>
      </c>
      <c r="F246" s="20" t="s">
        <v>368</v>
      </c>
      <c r="G246" s="8" t="str">
        <f t="shared" si="6"/>
        <v>NICHOLSON WESLEY</v>
      </c>
      <c r="H246" s="20" t="str">
        <f t="shared" si="7"/>
        <v>4031</v>
      </c>
    </row>
    <row r="247" spans="1:8" x14ac:dyDescent="0.25">
      <c r="A247" s="8">
        <v>43042.068599537037</v>
      </c>
      <c r="B247" t="s">
        <v>370</v>
      </c>
      <c r="C247" t="s">
        <v>576</v>
      </c>
      <c r="D247" s="138">
        <v>3340000</v>
      </c>
      <c r="E247" t="s">
        <v>556</v>
      </c>
      <c r="F247" s="20" t="s">
        <v>557</v>
      </c>
      <c r="G247" s="8" t="str">
        <f t="shared" si="6"/>
        <v>ELBAUM MIKE</v>
      </c>
      <c r="H247" s="20" t="str">
        <f t="shared" si="7"/>
        <v>4036</v>
      </c>
    </row>
    <row r="248" spans="1:8" x14ac:dyDescent="0.25">
      <c r="A248" s="8">
        <v>43042.069988425923</v>
      </c>
      <c r="B248" t="s">
        <v>370</v>
      </c>
      <c r="C248" t="s">
        <v>576</v>
      </c>
      <c r="D248" s="138">
        <v>3340000</v>
      </c>
      <c r="E248" t="s">
        <v>556</v>
      </c>
      <c r="F248" s="20" t="s">
        <v>557</v>
      </c>
      <c r="G248" s="8" t="str">
        <f t="shared" si="6"/>
        <v>ELBAUM MIKE</v>
      </c>
      <c r="H248" s="20" t="str">
        <f t="shared" si="7"/>
        <v>4036</v>
      </c>
    </row>
    <row r="249" spans="1:8" x14ac:dyDescent="0.25">
      <c r="A249" s="8">
        <v>43042.092581018522</v>
      </c>
      <c r="B249" t="s">
        <v>503</v>
      </c>
      <c r="C249" t="s">
        <v>577</v>
      </c>
      <c r="D249" s="138">
        <v>3320000</v>
      </c>
      <c r="E249" t="s">
        <v>367</v>
      </c>
      <c r="F249" s="20" t="s">
        <v>368</v>
      </c>
      <c r="G249" s="8" t="str">
        <f t="shared" si="6"/>
        <v>NICHOLSON WESLEY</v>
      </c>
      <c r="H249" s="20" t="str">
        <f t="shared" si="7"/>
        <v>4032</v>
      </c>
    </row>
    <row r="250" spans="1:8" x14ac:dyDescent="0.25">
      <c r="A250" s="8">
        <v>43042.111006944448</v>
      </c>
      <c r="B250" t="s">
        <v>498</v>
      </c>
      <c r="C250" t="s">
        <v>578</v>
      </c>
      <c r="D250" s="138">
        <v>1090000</v>
      </c>
      <c r="E250" t="s">
        <v>391</v>
      </c>
      <c r="F250" s="20" t="s">
        <v>355</v>
      </c>
      <c r="G250" s="8" t="str">
        <f t="shared" si="6"/>
        <v>SPECTOR MICHAEL</v>
      </c>
      <c r="H250" s="20" t="str">
        <f t="shared" si="7"/>
        <v>4041</v>
      </c>
    </row>
    <row r="251" spans="1:8" x14ac:dyDescent="0.25">
      <c r="A251" s="8">
        <v>43042.114571759259</v>
      </c>
      <c r="B251" t="s">
        <v>354</v>
      </c>
      <c r="C251" t="s">
        <v>579</v>
      </c>
      <c r="D251" s="138">
        <v>1830000</v>
      </c>
      <c r="E251" t="s">
        <v>349</v>
      </c>
      <c r="F251" s="20" t="s">
        <v>350</v>
      </c>
      <c r="G251" s="8" t="str">
        <f t="shared" si="6"/>
        <v>YORK EDGAR</v>
      </c>
      <c r="H251" s="20" t="str">
        <f t="shared" si="7"/>
        <v>4055</v>
      </c>
    </row>
    <row r="252" spans="1:8" x14ac:dyDescent="0.25">
      <c r="A252" s="8">
        <v>43039.733553240738</v>
      </c>
      <c r="B252" t="s">
        <v>363</v>
      </c>
      <c r="C252" t="s">
        <v>428</v>
      </c>
      <c r="D252" s="138">
        <v>2000000</v>
      </c>
      <c r="E252" t="s">
        <v>425</v>
      </c>
      <c r="F252" s="20" t="s">
        <v>426</v>
      </c>
      <c r="G252" s="8" t="str">
        <f t="shared" si="6"/>
        <v>STAMBAUGH JAMES</v>
      </c>
      <c r="H252" s="20" t="str">
        <f t="shared" si="7"/>
        <v>4018</v>
      </c>
    </row>
    <row r="253" spans="1:8" x14ac:dyDescent="0.25">
      <c r="A253" s="8">
        <v>43039.734456018516</v>
      </c>
      <c r="B253" t="s">
        <v>371</v>
      </c>
      <c r="C253" t="s">
        <v>410</v>
      </c>
      <c r="D253" s="138">
        <v>880000</v>
      </c>
      <c r="E253" t="s">
        <v>392</v>
      </c>
      <c r="F253" s="20" t="s">
        <v>355</v>
      </c>
      <c r="G253" s="8" t="str">
        <f t="shared" si="6"/>
        <v>STEWART MICHAEL</v>
      </c>
      <c r="H253" s="20" t="str">
        <f t="shared" si="7"/>
        <v>4035</v>
      </c>
    </row>
    <row r="254" spans="1:8" x14ac:dyDescent="0.25">
      <c r="A254" s="8">
        <v>43039.735381944447</v>
      </c>
      <c r="B254" t="s">
        <v>417</v>
      </c>
      <c r="C254" t="s">
        <v>429</v>
      </c>
      <c r="D254" s="138">
        <v>3670000</v>
      </c>
      <c r="E254" t="s">
        <v>395</v>
      </c>
      <c r="F254" s="20" t="s">
        <v>373</v>
      </c>
      <c r="G254" s="8" t="str">
        <f t="shared" si="6"/>
        <v>ANDREA WILLIAMS</v>
      </c>
      <c r="H254" s="20" t="str">
        <f t="shared" si="7"/>
        <v>4030</v>
      </c>
    </row>
    <row r="255" spans="1:8" x14ac:dyDescent="0.25">
      <c r="A255" s="8">
        <v>43039.736122685186</v>
      </c>
      <c r="B255" t="s">
        <v>372</v>
      </c>
      <c r="C255" t="s">
        <v>430</v>
      </c>
      <c r="D255" s="138">
        <v>3220000</v>
      </c>
      <c r="E255" t="s">
        <v>387</v>
      </c>
      <c r="F255" s="20" t="s">
        <v>388</v>
      </c>
      <c r="G255" s="8" t="str">
        <f t="shared" si="6"/>
        <v>RESPASS AARON</v>
      </c>
      <c r="H255" s="20" t="str">
        <f t="shared" si="7"/>
        <v>4053</v>
      </c>
    </row>
    <row r="256" spans="1:8" x14ac:dyDescent="0.25">
      <c r="A256" s="8">
        <v>43039.737118055556</v>
      </c>
      <c r="B256" t="s">
        <v>409</v>
      </c>
      <c r="C256" t="s">
        <v>411</v>
      </c>
      <c r="D256" s="138">
        <v>1300000</v>
      </c>
      <c r="E256" t="s">
        <v>361</v>
      </c>
      <c r="F256" s="20" t="s">
        <v>362</v>
      </c>
      <c r="G256" s="8" t="str">
        <f t="shared" si="6"/>
        <v>LEVIN SCOTT</v>
      </c>
      <c r="H256" s="20" t="str">
        <f t="shared" si="7"/>
        <v>4021</v>
      </c>
    </row>
    <row r="257" spans="1:8" x14ac:dyDescent="0.25">
      <c r="A257" s="8">
        <v>43039.745717592596</v>
      </c>
      <c r="B257" t="s">
        <v>360</v>
      </c>
      <c r="C257" t="s">
        <v>431</v>
      </c>
      <c r="D257" s="138">
        <v>2230000</v>
      </c>
      <c r="E257" t="s">
        <v>424</v>
      </c>
      <c r="F257" s="20" t="s">
        <v>355</v>
      </c>
      <c r="G257" s="8" t="str">
        <f t="shared" si="6"/>
        <v>SMITH MICHAEL</v>
      </c>
      <c r="H257" s="20" t="str">
        <f t="shared" si="7"/>
        <v>4060</v>
      </c>
    </row>
    <row r="258" spans="1:8" x14ac:dyDescent="0.25">
      <c r="A258" s="8">
        <v>43039.747546296298</v>
      </c>
      <c r="B258" t="s">
        <v>365</v>
      </c>
      <c r="C258" t="s">
        <v>432</v>
      </c>
      <c r="D258" s="138">
        <v>2000000</v>
      </c>
      <c r="E258" t="s">
        <v>425</v>
      </c>
      <c r="F258" s="20" t="s">
        <v>426</v>
      </c>
      <c r="G258" s="8" t="str">
        <f t="shared" si="6"/>
        <v>STAMBAUGH JAMES</v>
      </c>
      <c r="H258" s="20" t="str">
        <f t="shared" si="7"/>
        <v>4017</v>
      </c>
    </row>
    <row r="259" spans="1:8" x14ac:dyDescent="0.25">
      <c r="A259" s="8">
        <v>43039.748310185183</v>
      </c>
      <c r="B259" t="s">
        <v>404</v>
      </c>
      <c r="C259" t="s">
        <v>433</v>
      </c>
      <c r="D259" s="138">
        <v>2970000</v>
      </c>
      <c r="E259" t="s">
        <v>383</v>
      </c>
      <c r="F259" s="20" t="s">
        <v>384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25">
      <c r="A260" s="8">
        <v>43039.754444444443</v>
      </c>
      <c r="B260" t="s">
        <v>364</v>
      </c>
      <c r="C260" t="s">
        <v>434</v>
      </c>
      <c r="D260" s="138">
        <v>3680000</v>
      </c>
      <c r="E260" t="s">
        <v>422</v>
      </c>
      <c r="F260" s="20" t="s">
        <v>423</v>
      </c>
      <c r="G260" s="8" t="str">
        <f t="shared" si="8"/>
        <v>HAMMOND JUSTYNN</v>
      </c>
      <c r="H260" s="20" t="str">
        <f t="shared" si="9"/>
        <v>4007</v>
      </c>
    </row>
    <row r="261" spans="1:8" x14ac:dyDescent="0.25">
      <c r="A261" s="8">
        <v>43039.756747685184</v>
      </c>
      <c r="B261" t="s">
        <v>379</v>
      </c>
      <c r="C261" t="s">
        <v>435</v>
      </c>
      <c r="D261" s="138">
        <v>3320000</v>
      </c>
      <c r="E261" t="s">
        <v>367</v>
      </c>
      <c r="F261" s="20" t="s">
        <v>368</v>
      </c>
      <c r="G261" s="8" t="str">
        <f t="shared" si="8"/>
        <v>NICHOLSON WESLEY</v>
      </c>
      <c r="H261" s="20" t="str">
        <f t="shared" si="9"/>
        <v>4012</v>
      </c>
    </row>
    <row r="262" spans="1:8" x14ac:dyDescent="0.25">
      <c r="A262" s="8">
        <v>43039.761863425927</v>
      </c>
      <c r="B262" t="s">
        <v>407</v>
      </c>
      <c r="C262" t="s">
        <v>436</v>
      </c>
      <c r="D262" s="138">
        <v>2630000</v>
      </c>
      <c r="E262" t="s">
        <v>381</v>
      </c>
      <c r="F262" s="20" t="s">
        <v>382</v>
      </c>
      <c r="G262" s="8" t="str">
        <f t="shared" si="8"/>
        <v>SAFIEF AEIMEN</v>
      </c>
      <c r="H262" s="20" t="str">
        <f t="shared" si="9"/>
        <v>4027</v>
      </c>
    </row>
    <row r="263" spans="1:8" x14ac:dyDescent="0.25">
      <c r="A263" s="8">
        <v>43039.768055555556</v>
      </c>
      <c r="B263" t="s">
        <v>406</v>
      </c>
      <c r="C263" t="s">
        <v>437</v>
      </c>
      <c r="D263" s="138">
        <v>2970000</v>
      </c>
      <c r="E263" t="s">
        <v>383</v>
      </c>
      <c r="F263" s="20" t="s">
        <v>384</v>
      </c>
      <c r="G263" s="8" t="str">
        <f t="shared" si="8"/>
        <v>GUZMAN DANNY</v>
      </c>
      <c r="H263" s="20" t="str">
        <f t="shared" si="9"/>
        <v>4061</v>
      </c>
    </row>
    <row r="264" spans="1:8" x14ac:dyDescent="0.25">
      <c r="A264" s="8">
        <v>43039.769641203704</v>
      </c>
      <c r="B264" t="s">
        <v>370</v>
      </c>
      <c r="C264" t="s">
        <v>438</v>
      </c>
      <c r="D264" s="138">
        <v>2040000</v>
      </c>
      <c r="E264" t="s">
        <v>439</v>
      </c>
      <c r="F264" s="20" t="s">
        <v>440</v>
      </c>
      <c r="G264" s="8" t="str">
        <f t="shared" si="8"/>
        <v>MOSES BRADLEY</v>
      </c>
      <c r="H264" s="20" t="str">
        <f t="shared" si="9"/>
        <v>4036</v>
      </c>
    </row>
    <row r="265" spans="1:8" x14ac:dyDescent="0.25">
      <c r="A265" s="8">
        <v>43039.772962962961</v>
      </c>
      <c r="B265" t="s">
        <v>408</v>
      </c>
      <c r="C265" t="s">
        <v>441</v>
      </c>
      <c r="D265" s="138">
        <v>3670000</v>
      </c>
      <c r="E265" t="s">
        <v>395</v>
      </c>
      <c r="F265" s="20" t="s">
        <v>373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363</v>
      </c>
      <c r="C266" t="s">
        <v>442</v>
      </c>
      <c r="D266" s="138">
        <v>2000000</v>
      </c>
      <c r="E266" t="s">
        <v>425</v>
      </c>
      <c r="F266" s="20" t="s">
        <v>426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405</v>
      </c>
      <c r="C267" t="s">
        <v>443</v>
      </c>
      <c r="D267" s="138">
        <v>1300000</v>
      </c>
      <c r="E267" t="s">
        <v>361</v>
      </c>
      <c r="F267" s="20" t="s">
        <v>362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415</v>
      </c>
      <c r="C268" t="s">
        <v>444</v>
      </c>
      <c r="D268" s="138">
        <v>2230000</v>
      </c>
      <c r="E268" t="s">
        <v>424</v>
      </c>
      <c r="F268" s="20" t="s">
        <v>355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365</v>
      </c>
      <c r="C269" t="s">
        <v>445</v>
      </c>
      <c r="D269" s="138">
        <v>2000000</v>
      </c>
      <c r="E269" t="s">
        <v>425</v>
      </c>
      <c r="F269" s="20" t="s">
        <v>426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359</v>
      </c>
      <c r="C270" t="s">
        <v>446</v>
      </c>
      <c r="D270" s="138">
        <v>3500000</v>
      </c>
      <c r="E270" t="s">
        <v>385</v>
      </c>
      <c r="F270" s="20" t="s">
        <v>386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380</v>
      </c>
      <c r="C271" t="s">
        <v>447</v>
      </c>
      <c r="D271" s="138">
        <v>3320000</v>
      </c>
      <c r="E271" t="s">
        <v>367</v>
      </c>
      <c r="F271" s="20" t="s">
        <v>368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404</v>
      </c>
      <c r="C272" t="s">
        <v>448</v>
      </c>
      <c r="D272" s="138">
        <v>2610000</v>
      </c>
      <c r="E272" t="s">
        <v>393</v>
      </c>
      <c r="F272" s="20" t="s">
        <v>394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416</v>
      </c>
      <c r="C273" t="s">
        <v>449</v>
      </c>
      <c r="D273" s="138">
        <v>2630000</v>
      </c>
      <c r="E273" t="s">
        <v>381</v>
      </c>
      <c r="F273" s="20" t="s">
        <v>382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417</v>
      </c>
      <c r="C274" t="s">
        <v>450</v>
      </c>
      <c r="D274" s="138">
        <v>3670000</v>
      </c>
      <c r="E274" t="s">
        <v>395</v>
      </c>
      <c r="F274" s="20" t="s">
        <v>373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371</v>
      </c>
      <c r="C275" t="s">
        <v>451</v>
      </c>
      <c r="D275" s="138">
        <v>2040000</v>
      </c>
      <c r="E275" t="s">
        <v>439</v>
      </c>
      <c r="F275" s="20" t="s">
        <v>440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406</v>
      </c>
      <c r="C276" t="s">
        <v>452</v>
      </c>
      <c r="D276" s="138">
        <v>2610000</v>
      </c>
      <c r="E276" t="s">
        <v>393</v>
      </c>
      <c r="F276" s="20" t="s">
        <v>394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360</v>
      </c>
      <c r="C277" t="s">
        <v>453</v>
      </c>
      <c r="D277" s="138">
        <v>2230000</v>
      </c>
      <c r="E277" t="s">
        <v>424</v>
      </c>
      <c r="F277" s="20" t="s">
        <v>355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364</v>
      </c>
      <c r="C278" t="s">
        <v>454</v>
      </c>
      <c r="D278" s="138">
        <v>3500000</v>
      </c>
      <c r="E278" t="s">
        <v>385</v>
      </c>
      <c r="F278" s="20" t="s">
        <v>386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404</v>
      </c>
      <c r="C279" t="s">
        <v>455</v>
      </c>
      <c r="D279" s="138">
        <v>2970000</v>
      </c>
      <c r="E279" t="s">
        <v>383</v>
      </c>
      <c r="F279" s="20" t="s">
        <v>384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379</v>
      </c>
      <c r="C280" t="s">
        <v>456</v>
      </c>
      <c r="D280" s="138">
        <v>3320000</v>
      </c>
      <c r="E280" t="s">
        <v>367</v>
      </c>
      <c r="F280" s="20" t="s">
        <v>368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408</v>
      </c>
      <c r="C281" t="s">
        <v>412</v>
      </c>
      <c r="D281" s="138">
        <v>3670000</v>
      </c>
      <c r="E281" t="s">
        <v>395</v>
      </c>
      <c r="F281" s="20" t="s">
        <v>373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406</v>
      </c>
      <c r="C282" t="s">
        <v>457</v>
      </c>
      <c r="D282" s="138">
        <v>2970000</v>
      </c>
      <c r="E282" t="s">
        <v>383</v>
      </c>
      <c r="F282" s="20" t="s">
        <v>384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370</v>
      </c>
      <c r="C283" t="s">
        <v>458</v>
      </c>
      <c r="D283" s="138">
        <v>2040000</v>
      </c>
      <c r="E283" t="s">
        <v>439</v>
      </c>
      <c r="F283" s="20" t="s">
        <v>440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359</v>
      </c>
      <c r="C284" t="s">
        <v>459</v>
      </c>
      <c r="D284" s="138">
        <v>3500000</v>
      </c>
      <c r="E284" t="s">
        <v>385</v>
      </c>
      <c r="F284" s="20" t="s">
        <v>386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380</v>
      </c>
      <c r="C285" t="s">
        <v>460</v>
      </c>
      <c r="D285" s="138">
        <v>3320000</v>
      </c>
      <c r="E285" t="s">
        <v>367</v>
      </c>
      <c r="F285" s="20" t="s">
        <v>368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404</v>
      </c>
      <c r="C286" t="s">
        <v>461</v>
      </c>
      <c r="D286" s="138">
        <v>2000000</v>
      </c>
      <c r="E286" t="s">
        <v>425</v>
      </c>
      <c r="F286" s="20" t="s">
        <v>426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404</v>
      </c>
      <c r="C287" t="s">
        <v>461</v>
      </c>
      <c r="D287" s="138">
        <v>2000000</v>
      </c>
      <c r="E287" t="s">
        <v>425</v>
      </c>
      <c r="F287" s="20" t="s">
        <v>426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417</v>
      </c>
      <c r="C288" t="s">
        <v>462</v>
      </c>
      <c r="D288" s="138">
        <v>3670000</v>
      </c>
      <c r="E288" t="s">
        <v>395</v>
      </c>
      <c r="F288" s="20" t="s">
        <v>373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371</v>
      </c>
      <c r="C289" t="s">
        <v>463</v>
      </c>
      <c r="D289" s="138">
        <v>2040000</v>
      </c>
      <c r="E289" t="s">
        <v>439</v>
      </c>
      <c r="F289" s="20" t="s">
        <v>440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406</v>
      </c>
      <c r="C290" t="s">
        <v>464</v>
      </c>
      <c r="D290" s="138">
        <v>2000000</v>
      </c>
      <c r="E290" t="s">
        <v>425</v>
      </c>
      <c r="F290" s="20" t="s">
        <v>426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379</v>
      </c>
      <c r="C291" t="s">
        <v>465</v>
      </c>
      <c r="D291" s="138">
        <v>3320000</v>
      </c>
      <c r="E291" t="s">
        <v>367</v>
      </c>
      <c r="F291" s="20" t="s">
        <v>368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364</v>
      </c>
      <c r="C292" t="s">
        <v>466</v>
      </c>
      <c r="D292" s="138">
        <v>3500000</v>
      </c>
      <c r="E292" t="s">
        <v>385</v>
      </c>
      <c r="F292" s="20" t="s">
        <v>386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404</v>
      </c>
      <c r="C293" t="s">
        <v>467</v>
      </c>
      <c r="D293" s="138">
        <v>3220000</v>
      </c>
      <c r="E293" t="s">
        <v>387</v>
      </c>
      <c r="F293" s="20" t="s">
        <v>388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408</v>
      </c>
      <c r="C294" t="s">
        <v>413</v>
      </c>
      <c r="D294" s="138">
        <v>3670000</v>
      </c>
      <c r="E294" t="s">
        <v>395</v>
      </c>
      <c r="F294" s="20" t="s">
        <v>373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370</v>
      </c>
      <c r="C295" t="s">
        <v>468</v>
      </c>
      <c r="D295" s="138">
        <v>2040000</v>
      </c>
      <c r="E295" t="s">
        <v>439</v>
      </c>
      <c r="F295" s="20" t="s">
        <v>440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406</v>
      </c>
      <c r="C296" t="s">
        <v>469</v>
      </c>
      <c r="D296" s="138">
        <v>3220000</v>
      </c>
      <c r="E296" t="s">
        <v>387</v>
      </c>
      <c r="F296" s="20" t="s">
        <v>388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359</v>
      </c>
      <c r="C297" t="s">
        <v>470</v>
      </c>
      <c r="D297" s="138">
        <v>3500000</v>
      </c>
      <c r="E297" t="s">
        <v>385</v>
      </c>
      <c r="F297" s="20" t="s">
        <v>386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380</v>
      </c>
      <c r="C298" t="s">
        <v>471</v>
      </c>
      <c r="D298" s="138">
        <v>3320000</v>
      </c>
      <c r="E298" t="s">
        <v>367</v>
      </c>
      <c r="F298" s="20" t="s">
        <v>368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404</v>
      </c>
      <c r="C299" t="s">
        <v>472</v>
      </c>
      <c r="D299" s="138">
        <v>2000000</v>
      </c>
      <c r="E299" t="s">
        <v>425</v>
      </c>
      <c r="F299" s="20" t="s">
        <v>426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417</v>
      </c>
      <c r="C300" t="s">
        <v>473</v>
      </c>
      <c r="D300" s="138">
        <v>3670000</v>
      </c>
      <c r="E300" t="s">
        <v>395</v>
      </c>
      <c r="F300" s="20" t="s">
        <v>373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371</v>
      </c>
      <c r="C301" t="s">
        <v>474</v>
      </c>
      <c r="D301" s="138">
        <v>2040000</v>
      </c>
      <c r="E301" t="s">
        <v>439</v>
      </c>
      <c r="F301" s="20" t="s">
        <v>440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406</v>
      </c>
      <c r="C302" t="s">
        <v>475</v>
      </c>
      <c r="D302" s="138">
        <v>2000000</v>
      </c>
      <c r="E302" t="s">
        <v>425</v>
      </c>
      <c r="F302" s="20" t="s">
        <v>426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364</v>
      </c>
      <c r="C303" t="s">
        <v>414</v>
      </c>
      <c r="D303" s="138">
        <v>3500000</v>
      </c>
      <c r="E303" t="s">
        <v>385</v>
      </c>
      <c r="F303" s="20" t="s">
        <v>386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379</v>
      </c>
      <c r="C304" t="s">
        <v>476</v>
      </c>
      <c r="D304" s="138">
        <v>3320000</v>
      </c>
      <c r="E304" t="s">
        <v>367</v>
      </c>
      <c r="F304" s="20" t="s">
        <v>368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408</v>
      </c>
      <c r="C305" t="s">
        <v>477</v>
      </c>
      <c r="D305" s="138">
        <v>3670000</v>
      </c>
      <c r="E305" t="s">
        <v>395</v>
      </c>
      <c r="F305" s="20" t="s">
        <v>373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370</v>
      </c>
      <c r="C306" t="s">
        <v>478</v>
      </c>
      <c r="D306" s="138">
        <v>2040000</v>
      </c>
      <c r="E306" t="s">
        <v>439</v>
      </c>
      <c r="F306" s="20" t="s">
        <v>440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359</v>
      </c>
      <c r="C307" t="s">
        <v>479</v>
      </c>
      <c r="D307" s="138">
        <v>3500000</v>
      </c>
      <c r="E307" t="s">
        <v>385</v>
      </c>
      <c r="F307" s="20" t="s">
        <v>386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380</v>
      </c>
      <c r="C308" t="s">
        <v>480</v>
      </c>
      <c r="D308" s="138">
        <v>3320000</v>
      </c>
      <c r="E308" t="s">
        <v>367</v>
      </c>
      <c r="F308" s="20" t="s">
        <v>368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417</v>
      </c>
      <c r="C309" t="s">
        <v>481</v>
      </c>
      <c r="D309" s="138">
        <v>3670000</v>
      </c>
      <c r="E309" t="s">
        <v>395</v>
      </c>
      <c r="F309" s="20" t="s">
        <v>373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371</v>
      </c>
      <c r="C310" t="s">
        <v>482</v>
      </c>
      <c r="D310" s="138">
        <v>2040000</v>
      </c>
      <c r="E310" t="s">
        <v>439</v>
      </c>
      <c r="F310" s="20" t="s">
        <v>440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379</v>
      </c>
      <c r="C311" t="s">
        <v>483</v>
      </c>
      <c r="D311" s="138">
        <v>3320000</v>
      </c>
      <c r="E311" t="s">
        <v>367</v>
      </c>
      <c r="F311" s="20" t="s">
        <v>368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370</v>
      </c>
      <c r="C312" t="s">
        <v>484</v>
      </c>
      <c r="D312" s="138">
        <v>2040000</v>
      </c>
      <c r="E312" t="s">
        <v>439</v>
      </c>
      <c r="F312" s="20" t="s">
        <v>440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354</v>
      </c>
      <c r="C313" t="s">
        <v>369</v>
      </c>
      <c r="D313" s="138">
        <v>1830000</v>
      </c>
      <c r="E313" t="s">
        <v>349</v>
      </c>
      <c r="F313" s="20" t="s">
        <v>350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882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37.07</v>
      </c>
      <c r="B2" s="196">
        <v>0.02</v>
      </c>
      <c r="C2" s="196">
        <v>32.020000000000003</v>
      </c>
      <c r="D2" s="8">
        <v>43043</v>
      </c>
      <c r="E2" s="196">
        <v>0.82</v>
      </c>
      <c r="F2" s="196" t="s">
        <v>486</v>
      </c>
      <c r="G2" s="196">
        <v>261.81</v>
      </c>
      <c r="H2" s="196">
        <v>0</v>
      </c>
      <c r="I2" s="196">
        <v>0</v>
      </c>
      <c r="J2" s="196"/>
      <c r="K2" s="196">
        <v>1011.2</v>
      </c>
      <c r="L2" s="196" t="s">
        <v>485</v>
      </c>
      <c r="M2" s="196">
        <v>37.07</v>
      </c>
      <c r="N2" s="196">
        <v>1509775200</v>
      </c>
      <c r="O2" s="196">
        <v>0</v>
      </c>
      <c r="P2" s="196">
        <v>2.86</v>
      </c>
      <c r="Q2" s="196">
        <v>183</v>
      </c>
      <c r="R2" s="196">
        <v>2.82</v>
      </c>
      <c r="S2" s="196">
        <v>0.66</v>
      </c>
      <c r="T2"/>
    </row>
    <row r="3" spans="1:20" x14ac:dyDescent="0.25">
      <c r="A3" s="196">
        <v>36.549999999999997</v>
      </c>
      <c r="B3" s="196">
        <v>0.03</v>
      </c>
      <c r="C3" s="196">
        <v>31.61</v>
      </c>
      <c r="D3" s="8">
        <v>43043.041666666664</v>
      </c>
      <c r="E3" s="196">
        <v>0.82</v>
      </c>
      <c r="F3" s="196" t="s">
        <v>486</v>
      </c>
      <c r="G3" s="196">
        <v>263.33</v>
      </c>
      <c r="H3" s="196">
        <v>0</v>
      </c>
      <c r="I3" s="196">
        <v>0</v>
      </c>
      <c r="J3" s="196"/>
      <c r="K3" s="196">
        <v>1009.88</v>
      </c>
      <c r="L3" s="196" t="s">
        <v>485</v>
      </c>
      <c r="M3" s="196">
        <v>36.549999999999997</v>
      </c>
      <c r="N3" s="196">
        <v>1509778800</v>
      </c>
      <c r="O3" s="196">
        <v>0</v>
      </c>
      <c r="P3" s="196">
        <v>2.59</v>
      </c>
      <c r="Q3" s="196">
        <v>180</v>
      </c>
      <c r="R3" s="196">
        <v>3.19</v>
      </c>
      <c r="S3" s="196">
        <v>0.72</v>
      </c>
      <c r="T3"/>
    </row>
    <row r="4" spans="1:20" x14ac:dyDescent="0.25">
      <c r="A4" s="196">
        <v>36.799999999999997</v>
      </c>
      <c r="B4" s="196">
        <v>0.03</v>
      </c>
      <c r="C4" s="196">
        <v>30.66</v>
      </c>
      <c r="D4" s="8">
        <v>43043.083333333336</v>
      </c>
      <c r="E4" s="196">
        <v>0.78</v>
      </c>
      <c r="F4" s="196" t="s">
        <v>486</v>
      </c>
      <c r="G4" s="196">
        <v>264.70999999999998</v>
      </c>
      <c r="H4" s="196">
        <v>0</v>
      </c>
      <c r="I4" s="196">
        <v>0</v>
      </c>
      <c r="J4" s="196"/>
      <c r="K4" s="196">
        <v>1008.64</v>
      </c>
      <c r="L4" s="196" t="s">
        <v>485</v>
      </c>
      <c r="M4" s="196">
        <v>36.799999999999997</v>
      </c>
      <c r="N4" s="196">
        <v>1509782400</v>
      </c>
      <c r="O4" s="196">
        <v>0</v>
      </c>
      <c r="P4" s="196">
        <v>3.05</v>
      </c>
      <c r="Q4" s="196">
        <v>186</v>
      </c>
      <c r="R4" s="196">
        <v>3.45</v>
      </c>
      <c r="S4" s="196">
        <v>0.93</v>
      </c>
      <c r="T4"/>
    </row>
    <row r="5" spans="1:20" x14ac:dyDescent="0.25">
      <c r="A5" s="196">
        <v>37.93</v>
      </c>
      <c r="B5" s="196">
        <v>0.04</v>
      </c>
      <c r="C5" s="196">
        <v>29.89</v>
      </c>
      <c r="D5" s="8">
        <v>43043.125</v>
      </c>
      <c r="E5" s="196">
        <v>0.73</v>
      </c>
      <c r="F5" s="196" t="s">
        <v>486</v>
      </c>
      <c r="G5" s="196">
        <v>265.83</v>
      </c>
      <c r="H5" s="196">
        <v>0</v>
      </c>
      <c r="I5" s="196">
        <v>0</v>
      </c>
      <c r="J5" s="196"/>
      <c r="K5" s="196">
        <v>1008.51</v>
      </c>
      <c r="L5" s="196" t="s">
        <v>485</v>
      </c>
      <c r="M5" s="196">
        <v>37.93</v>
      </c>
      <c r="N5" s="196">
        <v>1509786000</v>
      </c>
      <c r="O5" s="196">
        <v>0</v>
      </c>
      <c r="P5" s="196">
        <v>2.82</v>
      </c>
      <c r="Q5" s="196">
        <v>192</v>
      </c>
      <c r="R5" s="196">
        <v>3.77</v>
      </c>
      <c r="S5" s="196">
        <v>0.86</v>
      </c>
      <c r="T5"/>
    </row>
    <row r="6" spans="1:20" x14ac:dyDescent="0.25">
      <c r="A6" s="196">
        <v>40.229999999999997</v>
      </c>
      <c r="B6" s="196">
        <v>0.04</v>
      </c>
      <c r="C6" s="196">
        <v>28.43</v>
      </c>
      <c r="D6" s="8">
        <v>43043.166666666664</v>
      </c>
      <c r="E6" s="196">
        <v>0.62</v>
      </c>
      <c r="F6" s="196" t="s">
        <v>486</v>
      </c>
      <c r="G6" s="196">
        <v>266.57</v>
      </c>
      <c r="H6" s="196">
        <v>0</v>
      </c>
      <c r="I6" s="196">
        <v>0</v>
      </c>
      <c r="J6" s="196"/>
      <c r="K6" s="196">
        <v>1007.9</v>
      </c>
      <c r="L6" s="196" t="s">
        <v>485</v>
      </c>
      <c r="M6" s="196">
        <v>40.229999999999997</v>
      </c>
      <c r="N6" s="196">
        <v>1509789600</v>
      </c>
      <c r="O6" s="196">
        <v>0</v>
      </c>
      <c r="P6" s="196">
        <v>2.73</v>
      </c>
      <c r="Q6" s="196">
        <v>234</v>
      </c>
      <c r="R6" s="196">
        <v>4.68</v>
      </c>
      <c r="S6" s="196">
        <v>1.55</v>
      </c>
      <c r="T6"/>
    </row>
    <row r="7" spans="1:20" x14ac:dyDescent="0.25">
      <c r="A7" s="196">
        <v>42.22</v>
      </c>
      <c r="B7" s="196">
        <v>0.08</v>
      </c>
      <c r="C7" s="196">
        <v>27.88</v>
      </c>
      <c r="D7" s="8">
        <v>43043.208333333336</v>
      </c>
      <c r="E7" s="196">
        <v>0.56999999999999995</v>
      </c>
      <c r="F7" s="196" t="s">
        <v>486</v>
      </c>
      <c r="G7" s="196">
        <v>267.31</v>
      </c>
      <c r="H7" s="196">
        <v>0</v>
      </c>
      <c r="I7" s="196">
        <v>0</v>
      </c>
      <c r="J7" s="196"/>
      <c r="K7" s="196">
        <v>1007.1</v>
      </c>
      <c r="L7" s="196" t="s">
        <v>485</v>
      </c>
      <c r="M7" s="196">
        <v>42.22</v>
      </c>
      <c r="N7" s="196">
        <v>1509793200</v>
      </c>
      <c r="O7" s="196">
        <v>0</v>
      </c>
      <c r="P7" s="196">
        <v>3.01</v>
      </c>
      <c r="Q7" s="196">
        <v>228</v>
      </c>
      <c r="R7" s="196">
        <v>4.63</v>
      </c>
      <c r="S7" s="196">
        <v>1.84</v>
      </c>
      <c r="T7"/>
    </row>
    <row r="8" spans="1:20" x14ac:dyDescent="0.25">
      <c r="A8" s="196">
        <v>45.29</v>
      </c>
      <c r="B8" s="196">
        <v>7.0000000000000007E-2</v>
      </c>
      <c r="C8" s="196">
        <v>27.66</v>
      </c>
      <c r="D8" s="8">
        <v>43043.25</v>
      </c>
      <c r="E8" s="196">
        <v>0.5</v>
      </c>
      <c r="F8" s="196" t="s">
        <v>486</v>
      </c>
      <c r="G8" s="196">
        <v>267.92</v>
      </c>
      <c r="H8" s="196">
        <v>0</v>
      </c>
      <c r="I8" s="196">
        <v>0</v>
      </c>
      <c r="J8" s="196"/>
      <c r="K8" s="196">
        <v>1007.68</v>
      </c>
      <c r="L8" s="196" t="s">
        <v>485</v>
      </c>
      <c r="M8" s="196">
        <v>45.29</v>
      </c>
      <c r="N8" s="196">
        <v>1509796800</v>
      </c>
      <c r="O8" s="196">
        <v>0</v>
      </c>
      <c r="P8" s="196">
        <v>2.5099999999999998</v>
      </c>
      <c r="Q8" s="196">
        <v>223</v>
      </c>
      <c r="R8" s="196">
        <v>4.88</v>
      </c>
      <c r="S8" s="196">
        <v>1.8</v>
      </c>
      <c r="T8"/>
    </row>
    <row r="9" spans="1:20" x14ac:dyDescent="0.25">
      <c r="A9" s="196">
        <v>46.85</v>
      </c>
      <c r="B9" s="196">
        <v>0.08</v>
      </c>
      <c r="C9" s="196">
        <v>27.31</v>
      </c>
      <c r="D9" s="8">
        <v>43043.291666666664</v>
      </c>
      <c r="E9" s="196">
        <v>0.46</v>
      </c>
      <c r="F9" s="196" t="s">
        <v>486</v>
      </c>
      <c r="G9" s="196">
        <v>268.41000000000003</v>
      </c>
      <c r="H9" s="196">
        <v>0</v>
      </c>
      <c r="I9" s="196">
        <v>0</v>
      </c>
      <c r="J9" s="196"/>
      <c r="K9" s="196">
        <v>1007.99</v>
      </c>
      <c r="L9" s="196" t="s">
        <v>485</v>
      </c>
      <c r="M9" s="196">
        <v>46.85</v>
      </c>
      <c r="N9" s="196">
        <v>1509800400</v>
      </c>
      <c r="O9" s="196">
        <v>0</v>
      </c>
      <c r="P9" s="196">
        <v>5.47</v>
      </c>
      <c r="Q9" s="196">
        <v>232</v>
      </c>
      <c r="R9" s="196">
        <v>5.39</v>
      </c>
      <c r="S9" s="196">
        <v>2.2000000000000002</v>
      </c>
      <c r="T9"/>
    </row>
    <row r="10" spans="1:20" x14ac:dyDescent="0.25">
      <c r="A10" s="196">
        <v>49.12</v>
      </c>
      <c r="B10" s="196">
        <v>0.08</v>
      </c>
      <c r="C10" s="196">
        <v>27.36</v>
      </c>
      <c r="D10" s="8">
        <v>43043.333333333336</v>
      </c>
      <c r="E10" s="196">
        <v>0.43</v>
      </c>
      <c r="F10" s="196" t="s">
        <v>883</v>
      </c>
      <c r="G10" s="196">
        <v>268.89</v>
      </c>
      <c r="H10" s="196">
        <v>0</v>
      </c>
      <c r="I10" s="196">
        <v>0</v>
      </c>
      <c r="J10" s="196"/>
      <c r="K10" s="196">
        <v>1008.3</v>
      </c>
      <c r="L10" s="196" t="s">
        <v>485</v>
      </c>
      <c r="M10" s="196">
        <v>49.12</v>
      </c>
      <c r="N10" s="196">
        <v>1509804000</v>
      </c>
      <c r="O10" s="196">
        <v>0</v>
      </c>
      <c r="P10" s="196">
        <v>4.3899999999999997</v>
      </c>
      <c r="Q10" s="196">
        <v>214</v>
      </c>
      <c r="R10" s="196">
        <v>7.01</v>
      </c>
      <c r="S10" s="196">
        <v>2.52</v>
      </c>
      <c r="T10"/>
    </row>
    <row r="11" spans="1:20" x14ac:dyDescent="0.25">
      <c r="A11" s="196">
        <v>56.14</v>
      </c>
      <c r="B11" s="196">
        <v>0.34</v>
      </c>
      <c r="C11" s="196">
        <v>30.21</v>
      </c>
      <c r="D11" s="8">
        <v>43043.375</v>
      </c>
      <c r="E11" s="196">
        <v>0.37</v>
      </c>
      <c r="F11" s="196" t="s">
        <v>580</v>
      </c>
      <c r="G11" s="196">
        <v>269.25</v>
      </c>
      <c r="H11" s="196">
        <v>0</v>
      </c>
      <c r="I11" s="196">
        <v>0</v>
      </c>
      <c r="J11" s="196"/>
      <c r="K11" s="196">
        <v>1008.25</v>
      </c>
      <c r="L11" s="196" t="s">
        <v>375</v>
      </c>
      <c r="M11" s="196">
        <v>56.14</v>
      </c>
      <c r="N11" s="196">
        <v>1509807600</v>
      </c>
      <c r="O11" s="196">
        <v>1</v>
      </c>
      <c r="P11" s="196">
        <v>6.66</v>
      </c>
      <c r="Q11" s="196">
        <v>227</v>
      </c>
      <c r="R11" s="196">
        <v>10.52</v>
      </c>
      <c r="S11" s="196">
        <v>4.07</v>
      </c>
      <c r="T11"/>
    </row>
    <row r="12" spans="1:20" x14ac:dyDescent="0.25">
      <c r="A12" s="196">
        <v>61.92</v>
      </c>
      <c r="B12" s="196">
        <v>0.16</v>
      </c>
      <c r="C12" s="196">
        <v>32.840000000000003</v>
      </c>
      <c r="D12" s="8">
        <v>43043.416666666664</v>
      </c>
      <c r="E12" s="196">
        <v>0.33</v>
      </c>
      <c r="F12" s="196" t="s">
        <v>883</v>
      </c>
      <c r="G12" s="196">
        <v>269.49</v>
      </c>
      <c r="H12" s="196">
        <v>0</v>
      </c>
      <c r="I12" s="196">
        <v>0</v>
      </c>
      <c r="J12" s="196"/>
      <c r="K12" s="196">
        <v>1006.94</v>
      </c>
      <c r="L12" s="196" t="s">
        <v>485</v>
      </c>
      <c r="M12" s="196">
        <v>61.92</v>
      </c>
      <c r="N12" s="196">
        <v>1509811200</v>
      </c>
      <c r="O12" s="196">
        <v>1</v>
      </c>
      <c r="P12" s="196">
        <v>4.6900000000000004</v>
      </c>
      <c r="Q12" s="196">
        <v>231</v>
      </c>
      <c r="R12" s="196">
        <v>13.57</v>
      </c>
      <c r="S12" s="196">
        <v>6.03</v>
      </c>
      <c r="T12"/>
    </row>
    <row r="13" spans="1:20" x14ac:dyDescent="0.25">
      <c r="A13" s="196">
        <v>64.84</v>
      </c>
      <c r="B13" s="196">
        <v>0.1</v>
      </c>
      <c r="C13" s="196">
        <v>33.869999999999997</v>
      </c>
      <c r="D13" s="8">
        <v>43043.458333333336</v>
      </c>
      <c r="E13" s="196">
        <v>0.31</v>
      </c>
      <c r="F13" s="196" t="s">
        <v>883</v>
      </c>
      <c r="G13" s="196">
        <v>269.61</v>
      </c>
      <c r="H13" s="196">
        <v>0</v>
      </c>
      <c r="I13" s="196">
        <v>0</v>
      </c>
      <c r="J13" s="196"/>
      <c r="K13" s="196">
        <v>1006.16</v>
      </c>
      <c r="L13" s="196" t="s">
        <v>485</v>
      </c>
      <c r="M13" s="196">
        <v>64.84</v>
      </c>
      <c r="N13" s="196">
        <v>1509814800</v>
      </c>
      <c r="O13" s="196">
        <v>2</v>
      </c>
      <c r="P13" s="196">
        <v>4.8899999999999997</v>
      </c>
      <c r="Q13" s="196">
        <v>234</v>
      </c>
      <c r="R13" s="196">
        <v>14.76</v>
      </c>
      <c r="S13" s="196">
        <v>6.46</v>
      </c>
      <c r="T13"/>
    </row>
    <row r="14" spans="1:20" x14ac:dyDescent="0.25">
      <c r="A14" s="196">
        <v>67.23</v>
      </c>
      <c r="B14" s="196">
        <v>0.18</v>
      </c>
      <c r="C14" s="196">
        <v>32.03</v>
      </c>
      <c r="D14" s="8">
        <v>43043.5</v>
      </c>
      <c r="E14" s="196">
        <v>0.27</v>
      </c>
      <c r="F14" s="196" t="s">
        <v>883</v>
      </c>
      <c r="G14" s="196">
        <v>271.81</v>
      </c>
      <c r="H14" s="196">
        <v>0</v>
      </c>
      <c r="I14" s="196">
        <v>0</v>
      </c>
      <c r="J14" s="196"/>
      <c r="K14" s="196">
        <v>1005.49</v>
      </c>
      <c r="L14" s="196" t="s">
        <v>485</v>
      </c>
      <c r="M14" s="196">
        <v>67.23</v>
      </c>
      <c r="N14" s="196">
        <v>1509818400</v>
      </c>
      <c r="O14" s="196">
        <v>3</v>
      </c>
      <c r="P14" s="196">
        <v>4.79</v>
      </c>
      <c r="Q14" s="196">
        <v>228</v>
      </c>
      <c r="R14" s="196">
        <v>16.05</v>
      </c>
      <c r="S14" s="196">
        <v>6.09</v>
      </c>
      <c r="T14"/>
    </row>
    <row r="15" spans="1:20" x14ac:dyDescent="0.25">
      <c r="A15" s="196">
        <v>68.55</v>
      </c>
      <c r="B15" s="196">
        <v>0.19</v>
      </c>
      <c r="C15" s="196">
        <v>30.09</v>
      </c>
      <c r="D15" s="8">
        <v>43043.541666666664</v>
      </c>
      <c r="E15" s="196">
        <v>0.24</v>
      </c>
      <c r="F15" s="196" t="s">
        <v>883</v>
      </c>
      <c r="G15" s="196">
        <v>272.18</v>
      </c>
      <c r="H15" s="196">
        <v>0</v>
      </c>
      <c r="I15" s="196">
        <v>0</v>
      </c>
      <c r="J15" s="196"/>
      <c r="K15" s="196">
        <v>1004.34</v>
      </c>
      <c r="L15" s="196" t="s">
        <v>485</v>
      </c>
      <c r="M15" s="196">
        <v>68.55</v>
      </c>
      <c r="N15" s="196">
        <v>1509822000</v>
      </c>
      <c r="O15" s="196">
        <v>3</v>
      </c>
      <c r="P15" s="196">
        <v>4.55</v>
      </c>
      <c r="Q15" s="196">
        <v>233</v>
      </c>
      <c r="R15" s="196">
        <v>19.010000000000002</v>
      </c>
      <c r="S15" s="196">
        <v>7.32</v>
      </c>
      <c r="T15"/>
    </row>
    <row r="16" spans="1:20" x14ac:dyDescent="0.25">
      <c r="A16" s="196">
        <v>68.709999999999994</v>
      </c>
      <c r="B16" s="196">
        <v>0.22</v>
      </c>
      <c r="C16" s="196">
        <v>27.92</v>
      </c>
      <c r="D16" s="8">
        <v>43043.583333333336</v>
      </c>
      <c r="E16" s="196">
        <v>0.22</v>
      </c>
      <c r="F16" s="196" t="s">
        <v>883</v>
      </c>
      <c r="G16" s="196">
        <v>272.3</v>
      </c>
      <c r="H16" s="196">
        <v>1E-4</v>
      </c>
      <c r="I16" s="196">
        <v>0.01</v>
      </c>
      <c r="J16" s="196" t="s">
        <v>884</v>
      </c>
      <c r="K16" s="196">
        <v>1003.31</v>
      </c>
      <c r="L16" s="196" t="s">
        <v>485</v>
      </c>
      <c r="M16" s="196">
        <v>68.709999999999994</v>
      </c>
      <c r="N16" s="196">
        <v>1509825600</v>
      </c>
      <c r="O16" s="196">
        <v>3</v>
      </c>
      <c r="P16" s="196">
        <v>4.6500000000000004</v>
      </c>
      <c r="Q16" s="196">
        <v>233</v>
      </c>
      <c r="R16" s="196">
        <v>21.42</v>
      </c>
      <c r="S16" s="196">
        <v>7.94</v>
      </c>
      <c r="T16"/>
    </row>
    <row r="17" spans="1:20" x14ac:dyDescent="0.25">
      <c r="A17" s="196">
        <v>68.38</v>
      </c>
      <c r="B17" s="196">
        <v>0.14000000000000001</v>
      </c>
      <c r="C17" s="196">
        <v>26.2</v>
      </c>
      <c r="D17" s="8">
        <v>43043.625</v>
      </c>
      <c r="E17" s="196">
        <v>0.2</v>
      </c>
      <c r="F17" s="196" t="s">
        <v>883</v>
      </c>
      <c r="G17" s="196">
        <v>272.3</v>
      </c>
      <c r="H17" s="196">
        <v>1E-4</v>
      </c>
      <c r="I17" s="196">
        <v>0.01</v>
      </c>
      <c r="J17" s="196" t="s">
        <v>884</v>
      </c>
      <c r="K17" s="196">
        <v>1002.81</v>
      </c>
      <c r="L17" s="196" t="s">
        <v>485</v>
      </c>
      <c r="M17" s="196">
        <v>68.38</v>
      </c>
      <c r="N17" s="196">
        <v>1509829200</v>
      </c>
      <c r="O17" s="196">
        <v>2</v>
      </c>
      <c r="P17" s="196">
        <v>4.55</v>
      </c>
      <c r="Q17" s="196">
        <v>238</v>
      </c>
      <c r="R17" s="196">
        <v>20.56</v>
      </c>
      <c r="S17" s="196">
        <v>8.93</v>
      </c>
      <c r="T17"/>
    </row>
    <row r="18" spans="1:20" x14ac:dyDescent="0.25">
      <c r="A18" s="196">
        <v>67.45</v>
      </c>
      <c r="B18" s="196">
        <v>0.09</v>
      </c>
      <c r="C18" s="196">
        <v>25.29</v>
      </c>
      <c r="D18" s="8">
        <v>43043.666666666664</v>
      </c>
      <c r="E18" s="196">
        <v>0.2</v>
      </c>
      <c r="F18" s="196" t="s">
        <v>883</v>
      </c>
      <c r="G18" s="196">
        <v>272.06</v>
      </c>
      <c r="H18" s="196">
        <v>0</v>
      </c>
      <c r="I18" s="196">
        <v>0</v>
      </c>
      <c r="J18" s="196"/>
      <c r="K18" s="196">
        <v>1002.78</v>
      </c>
      <c r="L18" s="196" t="s">
        <v>485</v>
      </c>
      <c r="M18" s="196">
        <v>67.45</v>
      </c>
      <c r="N18" s="196">
        <v>1509832800</v>
      </c>
      <c r="O18" s="196">
        <v>1</v>
      </c>
      <c r="P18" s="196">
        <v>4.55</v>
      </c>
      <c r="Q18" s="196">
        <v>235</v>
      </c>
      <c r="R18" s="196">
        <v>18.13</v>
      </c>
      <c r="S18" s="196">
        <v>6.75</v>
      </c>
      <c r="T18"/>
    </row>
    <row r="19" spans="1:20" x14ac:dyDescent="0.25">
      <c r="A19" s="196">
        <v>64.19</v>
      </c>
      <c r="B19" s="196">
        <v>0.06</v>
      </c>
      <c r="C19" s="196">
        <v>26.58</v>
      </c>
      <c r="D19" s="8">
        <v>43043.708333333336</v>
      </c>
      <c r="E19" s="196">
        <v>0.24</v>
      </c>
      <c r="F19" s="196" t="s">
        <v>883</v>
      </c>
      <c r="G19" s="196">
        <v>271.58</v>
      </c>
      <c r="H19" s="196">
        <v>0</v>
      </c>
      <c r="I19" s="196">
        <v>0</v>
      </c>
      <c r="J19" s="196"/>
      <c r="K19" s="196">
        <v>1002.84</v>
      </c>
      <c r="L19" s="196" t="s">
        <v>485</v>
      </c>
      <c r="M19" s="196">
        <v>64.19</v>
      </c>
      <c r="N19" s="196">
        <v>1509836400</v>
      </c>
      <c r="O19" s="196">
        <v>1</v>
      </c>
      <c r="P19" s="196">
        <v>4.82</v>
      </c>
      <c r="Q19" s="196">
        <v>202</v>
      </c>
      <c r="R19" s="196">
        <v>15.46</v>
      </c>
      <c r="S19" s="196">
        <v>4.5599999999999996</v>
      </c>
      <c r="T19"/>
    </row>
    <row r="20" spans="1:20" x14ac:dyDescent="0.25">
      <c r="A20" s="196">
        <v>59.02</v>
      </c>
      <c r="B20" s="196">
        <v>0.08</v>
      </c>
      <c r="C20" s="196">
        <v>28.74</v>
      </c>
      <c r="D20" s="8">
        <v>43043.75</v>
      </c>
      <c r="E20" s="196">
        <v>0.31</v>
      </c>
      <c r="F20" s="196" t="s">
        <v>486</v>
      </c>
      <c r="G20" s="196">
        <v>266.89</v>
      </c>
      <c r="H20" s="196">
        <v>0</v>
      </c>
      <c r="I20" s="196">
        <v>0</v>
      </c>
      <c r="J20" s="196"/>
      <c r="K20" s="196">
        <v>1003.42</v>
      </c>
      <c r="L20" s="196" t="s">
        <v>485</v>
      </c>
      <c r="M20" s="196">
        <v>59.02</v>
      </c>
      <c r="N20" s="196">
        <v>1509840000</v>
      </c>
      <c r="O20" s="196">
        <v>0</v>
      </c>
      <c r="P20" s="196">
        <v>4.05</v>
      </c>
      <c r="Q20" s="196">
        <v>187</v>
      </c>
      <c r="R20" s="196">
        <v>13.24</v>
      </c>
      <c r="S20" s="196">
        <v>4.43</v>
      </c>
      <c r="T20"/>
    </row>
    <row r="21" spans="1:20" x14ac:dyDescent="0.25">
      <c r="A21" s="196">
        <v>56.59</v>
      </c>
      <c r="B21" s="196">
        <v>0.14000000000000001</v>
      </c>
      <c r="C21" s="196">
        <v>29.41</v>
      </c>
      <c r="D21" s="8">
        <v>43043.791666666664</v>
      </c>
      <c r="E21" s="196">
        <v>0.35</v>
      </c>
      <c r="F21" s="196" t="s">
        <v>486</v>
      </c>
      <c r="G21" s="196">
        <v>267.77</v>
      </c>
      <c r="H21" s="196">
        <v>0</v>
      </c>
      <c r="I21" s="196">
        <v>0</v>
      </c>
      <c r="J21" s="196"/>
      <c r="K21" s="196">
        <v>1003.8</v>
      </c>
      <c r="L21" s="196" t="s">
        <v>485</v>
      </c>
      <c r="M21" s="196">
        <v>56.59</v>
      </c>
      <c r="N21" s="196">
        <v>1509843600</v>
      </c>
      <c r="O21" s="196">
        <v>0</v>
      </c>
      <c r="P21" s="196">
        <v>4.16</v>
      </c>
      <c r="Q21" s="196">
        <v>183</v>
      </c>
      <c r="R21" s="196">
        <v>12.51</v>
      </c>
      <c r="S21" s="196">
        <v>4.6100000000000003</v>
      </c>
      <c r="T21"/>
    </row>
    <row r="22" spans="1:20" x14ac:dyDescent="0.25">
      <c r="A22" s="196">
        <v>55.19</v>
      </c>
      <c r="B22" s="196">
        <v>0.35</v>
      </c>
      <c r="C22" s="196">
        <v>29.35</v>
      </c>
      <c r="D22" s="8">
        <v>43043.833333333336</v>
      </c>
      <c r="E22" s="196">
        <v>0.37</v>
      </c>
      <c r="F22" s="196" t="s">
        <v>374</v>
      </c>
      <c r="G22" s="196">
        <v>269.75</v>
      </c>
      <c r="H22" s="196">
        <v>0</v>
      </c>
      <c r="I22" s="196">
        <v>0</v>
      </c>
      <c r="J22" s="196"/>
      <c r="K22" s="196">
        <v>1003.84</v>
      </c>
      <c r="L22" s="196" t="s">
        <v>375</v>
      </c>
      <c r="M22" s="196">
        <v>55.19</v>
      </c>
      <c r="N22" s="196">
        <v>1509847200</v>
      </c>
      <c r="O22" s="196">
        <v>0</v>
      </c>
      <c r="P22" s="196">
        <v>4.16</v>
      </c>
      <c r="Q22" s="196">
        <v>179</v>
      </c>
      <c r="R22" s="196">
        <v>9.7200000000000006</v>
      </c>
      <c r="S22" s="196">
        <v>4.28</v>
      </c>
      <c r="T22"/>
    </row>
    <row r="23" spans="1:20" x14ac:dyDescent="0.25">
      <c r="A23" s="196">
        <v>54.22</v>
      </c>
      <c r="B23" s="196">
        <v>0.13</v>
      </c>
      <c r="C23" s="196">
        <v>28.82</v>
      </c>
      <c r="D23" s="8">
        <v>43043.875</v>
      </c>
      <c r="E23" s="196">
        <v>0.37</v>
      </c>
      <c r="F23" s="196" t="s">
        <v>486</v>
      </c>
      <c r="G23" s="196">
        <v>271.72000000000003</v>
      </c>
      <c r="H23" s="196">
        <v>0</v>
      </c>
      <c r="I23" s="196">
        <v>0</v>
      </c>
      <c r="J23" s="196"/>
      <c r="K23" s="196">
        <v>1003.88</v>
      </c>
      <c r="L23" s="196" t="s">
        <v>485</v>
      </c>
      <c r="M23" s="196">
        <v>54.22</v>
      </c>
      <c r="N23" s="196">
        <v>1509850800</v>
      </c>
      <c r="O23" s="196">
        <v>0</v>
      </c>
      <c r="P23" s="196">
        <v>3.75</v>
      </c>
      <c r="Q23" s="196">
        <v>175</v>
      </c>
      <c r="R23" s="196">
        <v>9.01</v>
      </c>
      <c r="S23" s="196">
        <v>3.76</v>
      </c>
      <c r="T23"/>
    </row>
    <row r="24" spans="1:20" x14ac:dyDescent="0.25">
      <c r="A24" s="196">
        <v>53.12</v>
      </c>
      <c r="B24" s="196">
        <v>7.0000000000000007E-2</v>
      </c>
      <c r="C24" s="196">
        <v>28.1</v>
      </c>
      <c r="D24" s="8">
        <v>43043.916666666664</v>
      </c>
      <c r="E24" s="196">
        <v>0.38</v>
      </c>
      <c r="F24" s="196" t="s">
        <v>486</v>
      </c>
      <c r="G24" s="196">
        <v>273.31</v>
      </c>
      <c r="H24" s="196">
        <v>0</v>
      </c>
      <c r="I24" s="196">
        <v>0</v>
      </c>
      <c r="J24" s="196"/>
      <c r="K24" s="196">
        <v>1003.88</v>
      </c>
      <c r="L24" s="196" t="s">
        <v>485</v>
      </c>
      <c r="M24" s="196">
        <v>53.12</v>
      </c>
      <c r="N24" s="196">
        <v>1509854400</v>
      </c>
      <c r="O24" s="196">
        <v>0</v>
      </c>
      <c r="P24" s="196">
        <v>4.03</v>
      </c>
      <c r="Q24" s="196">
        <v>192</v>
      </c>
      <c r="R24" s="196">
        <v>8.52</v>
      </c>
      <c r="S24" s="196">
        <v>3.07</v>
      </c>
      <c r="T24"/>
    </row>
    <row r="25" spans="1:20" x14ac:dyDescent="0.25">
      <c r="A25" s="196">
        <v>49.6</v>
      </c>
      <c r="B25" s="196">
        <v>0.03</v>
      </c>
      <c r="C25" s="196">
        <v>28.15</v>
      </c>
      <c r="D25" s="8">
        <v>43043.958333333336</v>
      </c>
      <c r="E25" s="196">
        <v>0.43</v>
      </c>
      <c r="F25" s="196" t="s">
        <v>486</v>
      </c>
      <c r="G25" s="196">
        <v>274.89</v>
      </c>
      <c r="H25" s="196">
        <v>0</v>
      </c>
      <c r="I25" s="196">
        <v>0</v>
      </c>
      <c r="J25" s="196"/>
      <c r="K25" s="196">
        <v>1003.56</v>
      </c>
      <c r="L25" s="196" t="s">
        <v>485</v>
      </c>
      <c r="M25" s="196">
        <v>49.6</v>
      </c>
      <c r="N25" s="196">
        <v>1509858000</v>
      </c>
      <c r="O25" s="196">
        <v>0</v>
      </c>
      <c r="P25" s="196">
        <v>3.52</v>
      </c>
      <c r="Q25" s="196">
        <v>37</v>
      </c>
      <c r="R25" s="196">
        <v>7.66</v>
      </c>
      <c r="S25" s="196">
        <v>0.97</v>
      </c>
      <c r="T25"/>
    </row>
    <row r="26" spans="1:20" x14ac:dyDescent="0.25">
      <c r="A26" s="196">
        <v>43.64</v>
      </c>
      <c r="B26" s="196">
        <v>0.15</v>
      </c>
      <c r="C26" s="196">
        <v>31.83</v>
      </c>
      <c r="D26" s="8">
        <v>43044</v>
      </c>
      <c r="E26" s="196">
        <v>0.63</v>
      </c>
      <c r="F26" s="196" t="s">
        <v>486</v>
      </c>
      <c r="G26" s="196">
        <v>276.7</v>
      </c>
      <c r="H26" s="196">
        <v>0</v>
      </c>
      <c r="I26" s="196">
        <v>0</v>
      </c>
      <c r="J26" s="196"/>
      <c r="K26" s="196">
        <v>1005.75</v>
      </c>
      <c r="L26" s="196" t="s">
        <v>485</v>
      </c>
      <c r="M26" s="196">
        <v>43.64</v>
      </c>
      <c r="N26" s="196">
        <v>1509861600</v>
      </c>
      <c r="O26" s="196">
        <v>0</v>
      </c>
      <c r="P26" s="196">
        <v>3.52</v>
      </c>
      <c r="Q26" s="196">
        <v>37</v>
      </c>
      <c r="R26" s="196">
        <v>10.210000000000001</v>
      </c>
      <c r="S26" s="196">
        <v>2.14</v>
      </c>
      <c r="T26"/>
    </row>
    <row r="27" spans="1:20" x14ac:dyDescent="0.25">
      <c r="A27" s="196">
        <v>40.19</v>
      </c>
      <c r="B27" s="196">
        <v>7.0000000000000007E-2</v>
      </c>
      <c r="C27" s="196">
        <v>32.07</v>
      </c>
      <c r="D27" s="8">
        <v>43044.041666666664</v>
      </c>
      <c r="E27" s="196">
        <v>0.73</v>
      </c>
      <c r="F27" s="196" t="s">
        <v>486</v>
      </c>
      <c r="G27" s="196">
        <v>278.74</v>
      </c>
      <c r="H27" s="196">
        <v>0</v>
      </c>
      <c r="I27" s="196">
        <v>0</v>
      </c>
      <c r="J27" s="196"/>
      <c r="K27" s="196">
        <v>1006.54</v>
      </c>
      <c r="L27" s="196" t="s">
        <v>485</v>
      </c>
      <c r="M27" s="196">
        <v>40.19</v>
      </c>
      <c r="N27" s="196">
        <v>1509865200</v>
      </c>
      <c r="O27" s="196">
        <v>0</v>
      </c>
      <c r="P27" s="196">
        <v>3.52</v>
      </c>
      <c r="Q27" s="196">
        <v>100</v>
      </c>
      <c r="R27" s="196">
        <v>4.25</v>
      </c>
      <c r="S27" s="196">
        <v>0.93</v>
      </c>
      <c r="T27"/>
    </row>
    <row r="28" spans="1:20" x14ac:dyDescent="0.25">
      <c r="A28" s="196">
        <v>37.770000000000003</v>
      </c>
      <c r="B28" s="196">
        <v>0.08</v>
      </c>
      <c r="C28" s="196">
        <v>31.45</v>
      </c>
      <c r="D28" s="8">
        <v>43044.041666666664</v>
      </c>
      <c r="E28" s="196">
        <v>0.78</v>
      </c>
      <c r="F28" s="196" t="s">
        <v>486</v>
      </c>
      <c r="G28" s="196">
        <v>281.12</v>
      </c>
      <c r="H28" s="196">
        <v>0</v>
      </c>
      <c r="I28" s="196">
        <v>0</v>
      </c>
      <c r="J28" s="196"/>
      <c r="K28" s="196">
        <v>1007.3</v>
      </c>
      <c r="L28" s="196" t="s">
        <v>485</v>
      </c>
      <c r="M28" s="196">
        <v>37.770000000000003</v>
      </c>
      <c r="N28" s="196">
        <v>1509868800</v>
      </c>
      <c r="O28" s="196">
        <v>0</v>
      </c>
      <c r="P28" s="196">
        <v>6.49</v>
      </c>
      <c r="Q28" s="196">
        <v>142</v>
      </c>
      <c r="R28" s="196">
        <v>2.0299999999999998</v>
      </c>
      <c r="S28" s="196">
        <v>0.81</v>
      </c>
      <c r="T28"/>
    </row>
    <row r="29" spans="1:20" x14ac:dyDescent="0.25">
      <c r="A29" s="196">
        <v>36.69</v>
      </c>
      <c r="B29" s="196">
        <v>0.2</v>
      </c>
      <c r="C29" s="196">
        <v>31.11</v>
      </c>
      <c r="D29" s="8">
        <v>43044.083333333336</v>
      </c>
      <c r="E29" s="196">
        <v>0.8</v>
      </c>
      <c r="F29" s="196" t="s">
        <v>486</v>
      </c>
      <c r="G29" s="196">
        <v>283.58</v>
      </c>
      <c r="H29" s="196">
        <v>0</v>
      </c>
      <c r="I29" s="196">
        <v>0</v>
      </c>
      <c r="J29" s="196"/>
      <c r="K29" s="196">
        <v>1008.16</v>
      </c>
      <c r="L29" s="196" t="s">
        <v>485</v>
      </c>
      <c r="M29" s="196">
        <v>36.69</v>
      </c>
      <c r="N29" s="196">
        <v>1509872400</v>
      </c>
      <c r="O29" s="196">
        <v>0</v>
      </c>
      <c r="P29" s="196">
        <v>6.43</v>
      </c>
      <c r="Q29" s="196">
        <v>235</v>
      </c>
      <c r="R29" s="196">
        <v>1.57</v>
      </c>
      <c r="S29" s="196">
        <v>0.24</v>
      </c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43043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1083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1084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1085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1086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1087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1088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1089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1090</v>
      </c>
      <c r="J25" s="140" t="s">
        <v>144</v>
      </c>
      <c r="M25" s="154" t="b">
        <v>1</v>
      </c>
    </row>
    <row r="26" spans="3:24" x14ac:dyDescent="0.25">
      <c r="C26" t="s">
        <v>1091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%USERPROFILE%\Documents\GitHub\eaglep3-reporting\EC\2017-11-04-refined-times.txt</v>
      </c>
    </row>
    <row r="27" spans="3:24" x14ac:dyDescent="0.25"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%USERPROFILE%\Documents\GitHub\eaglep3-reporting\EC\2017-11-04-Enforcements.txt</v>
      </c>
    </row>
    <row r="28" spans="3:24" x14ac:dyDescent="0.25">
      <c r="J28" s="140" t="s">
        <v>175</v>
      </c>
      <c r="M28" s="154" t="str">
        <f>"%USERPROFILE%\Documents\GitHub\eaglep3-reporting\EC\"&amp;TEXT(A2,"YYYY-MM-DD")&amp;"-Runs-refined2.txt"</f>
        <v>%USERPROFILE%\Documents\GitHub\eaglep3-reporting\EC\2017-11-04-Runs-refined2.txt</v>
      </c>
    </row>
    <row r="29" spans="3:24" x14ac:dyDescent="0.25"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%USERPROFILE%\Documents\GitHub\eaglep3-reporting\EC\2017-11-04-Trips.txt</v>
      </c>
    </row>
    <row r="30" spans="3:24" x14ac:dyDescent="0.25"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%USERPROFILE%\Documents\GitHub\eaglep3-reporting\EC\2017-11-04-Weather.txt</v>
      </c>
    </row>
    <row r="31" spans="3:24" x14ac:dyDescent="0.25">
      <c r="J31" s="140" t="s">
        <v>188</v>
      </c>
      <c r="M31" s="154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356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2017-11-06T15:11:13Z</dcterms:modified>
</cp:coreProperties>
</file>