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Enforcements!$A$6:$AC$70</definedName>
    <definedName name="_xlnm._FilterDatabase" localSheetId="2" hidden="1">'Missing Trips'!$A$2:$J$36</definedName>
    <definedName name="_xlnm._FilterDatabase" localSheetId="0" hidden="1">'Train Runs'!$A$12:$AG$261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45" i="1" l="1"/>
  <c r="P145" i="1"/>
  <c r="X160" i="1"/>
  <c r="X161" i="1"/>
  <c r="X162" i="1"/>
  <c r="X163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AA19" i="1" s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A26" i="1" s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/>
  <c r="V27" i="1"/>
  <c r="Y27" i="1"/>
  <c r="AA27" i="1" s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A31" i="1" s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S8" i="3" s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X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S27" i="3" s="1"/>
  <c r="Y44" i="1"/>
  <c r="Z44" i="1"/>
  <c r="AA44" i="1" s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AA45" i="1" s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A52" i="1" s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T56" i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/>
  <c r="T57" i="1"/>
  <c r="V57" i="1"/>
  <c r="Y57" i="1"/>
  <c r="Z57" i="1"/>
  <c r="AA57" i="1" s="1"/>
  <c r="AB57" i="1"/>
  <c r="AC57" i="1"/>
  <c r="AD57" i="1"/>
  <c r="X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A59" i="1" s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T60" i="1"/>
  <c r="V60" i="1"/>
  <c r="Y60" i="1"/>
  <c r="Z60" i="1"/>
  <c r="AA60" i="1"/>
  <c r="AB60" i="1"/>
  <c r="AC60" i="1"/>
  <c r="AD60" i="1"/>
  <c r="AE60" i="1"/>
  <c r="R22" i="3" s="1"/>
  <c r="AF60" i="1"/>
  <c r="AH60" i="1"/>
  <c r="AM60" i="1"/>
  <c r="AN60" i="1"/>
  <c r="K61" i="1"/>
  <c r="L61" i="1"/>
  <c r="M61" i="1"/>
  <c r="N61" i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AA62" i="1" s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S21" i="3" s="1"/>
  <c r="Y66" i="1"/>
  <c r="Z66" i="1"/>
  <c r="AA66" i="1" s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/>
  <c r="V67" i="1"/>
  <c r="Y67" i="1"/>
  <c r="Z67" i="1"/>
  <c r="AB67" i="1"/>
  <c r="AC67" i="1"/>
  <c r="AD67" i="1"/>
  <c r="X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X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T71" i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AA74" i="1" s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/>
  <c r="V75" i="1"/>
  <c r="Y75" i="1"/>
  <c r="Z75" i="1"/>
  <c r="AB75" i="1"/>
  <c r="AC75" i="1"/>
  <c r="AD75" i="1"/>
  <c r="X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/>
  <c r="T79" i="1"/>
  <c r="V79" i="1"/>
  <c r="Y79" i="1"/>
  <c r="Z79" i="1"/>
  <c r="AA79" i="1" s="1"/>
  <c r="AB79" i="1"/>
  <c r="AC79" i="1"/>
  <c r="AD79" i="1"/>
  <c r="X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R18" i="3" s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A87" i="1" s="1"/>
  <c r="AB87" i="1"/>
  <c r="AC87" i="1"/>
  <c r="AD87" i="1"/>
  <c r="T87" i="1" s="1"/>
  <c r="AE87" i="1"/>
  <c r="R30" i="3" s="1"/>
  <c r="AF87" i="1"/>
  <c r="AH87" i="1"/>
  <c r="AM87" i="1"/>
  <c r="AN87" i="1"/>
  <c r="K88" i="1"/>
  <c r="L88" i="1"/>
  <c r="M88" i="1"/>
  <c r="N88" i="1" s="1"/>
  <c r="V88" i="1"/>
  <c r="S9" i="3" s="1"/>
  <c r="Y88" i="1"/>
  <c r="Z88" i="1"/>
  <c r="AA88" i="1" s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A91" i="1" s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T92" i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/>
  <c r="V93" i="1"/>
  <c r="S11" i="3" s="1"/>
  <c r="Y93" i="1"/>
  <c r="Z93" i="1"/>
  <c r="AB93" i="1"/>
  <c r="AC93" i="1"/>
  <c r="AD93" i="1"/>
  <c r="AE93" i="1"/>
  <c r="AF93" i="1"/>
  <c r="AH93" i="1"/>
  <c r="AM93" i="1"/>
  <c r="AN93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4" i="1"/>
  <c r="AM94" i="1"/>
  <c r="AN94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5" i="1"/>
  <c r="AM95" i="1"/>
  <c r="AN95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6" i="1"/>
  <c r="AM96" i="1"/>
  <c r="AN96" i="1"/>
  <c r="K164" i="1"/>
  <c r="L164" i="1"/>
  <c r="M164" i="1"/>
  <c r="N164" i="1"/>
  <c r="V164" i="1"/>
  <c r="Y164" i="1"/>
  <c r="Z164" i="1"/>
  <c r="AB164" i="1"/>
  <c r="AC164" i="1"/>
  <c r="AD164" i="1"/>
  <c r="AE164" i="1"/>
  <c r="AF164" i="1"/>
  <c r="AH97" i="1"/>
  <c r="AM97" i="1"/>
  <c r="AN97" i="1"/>
  <c r="K165" i="1"/>
  <c r="L165" i="1"/>
  <c r="M165" i="1"/>
  <c r="N165" i="1" s="1"/>
  <c r="V165" i="1"/>
  <c r="Y165" i="1"/>
  <c r="AA165" i="1" s="1"/>
  <c r="Z165" i="1"/>
  <c r="AB165" i="1"/>
  <c r="AC165" i="1"/>
  <c r="AD165" i="1"/>
  <c r="X165" i="1" s="1"/>
  <c r="AE165" i="1"/>
  <c r="AF165" i="1"/>
  <c r="AH98" i="1"/>
  <c r="AM98" i="1"/>
  <c r="AN98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99" i="1"/>
  <c r="AM99" i="1"/>
  <c r="AN99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0" i="1"/>
  <c r="AM100" i="1"/>
  <c r="AN100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1" i="1"/>
  <c r="AM101" i="1"/>
  <c r="AN101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2" i="1"/>
  <c r="AM102" i="1"/>
  <c r="AN102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3" i="1"/>
  <c r="AM103" i="1"/>
  <c r="AN10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104" i="1"/>
  <c r="AM104" i="1"/>
  <c r="AN104" i="1"/>
  <c r="K171" i="1"/>
  <c r="L171" i="1"/>
  <c r="M171" i="1"/>
  <c r="N171" i="1"/>
  <c r="V171" i="1"/>
  <c r="Y171" i="1"/>
  <c r="Z171" i="1"/>
  <c r="AB171" i="1"/>
  <c r="AC171" i="1"/>
  <c r="AD171" i="1"/>
  <c r="AE171" i="1"/>
  <c r="AF171" i="1"/>
  <c r="AH105" i="1"/>
  <c r="AM105" i="1"/>
  <c r="AN105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6" i="1"/>
  <c r="AM106" i="1"/>
  <c r="AN106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7" i="1"/>
  <c r="AM107" i="1"/>
  <c r="AN107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8" i="1"/>
  <c r="AM108" i="1"/>
  <c r="AN108" i="1"/>
  <c r="K175" i="1"/>
  <c r="L175" i="1"/>
  <c r="M175" i="1"/>
  <c r="N175" i="1" s="1"/>
  <c r="V175" i="1"/>
  <c r="Y175" i="1"/>
  <c r="Z175" i="1"/>
  <c r="AB175" i="1"/>
  <c r="AC175" i="1"/>
  <c r="AD175" i="1"/>
  <c r="X175" i="1" s="1"/>
  <c r="AE175" i="1"/>
  <c r="AF175" i="1"/>
  <c r="AH109" i="1"/>
  <c r="AM109" i="1"/>
  <c r="AN109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0" i="1"/>
  <c r="AM110" i="1"/>
  <c r="AN110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1" i="1"/>
  <c r="AM111" i="1"/>
  <c r="AN111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2" i="1"/>
  <c r="AM112" i="1"/>
  <c r="AN112" i="1"/>
  <c r="K179" i="1"/>
  <c r="L179" i="1"/>
  <c r="M179" i="1"/>
  <c r="N179" i="1"/>
  <c r="V179" i="1"/>
  <c r="Y179" i="1"/>
  <c r="Z179" i="1"/>
  <c r="AB179" i="1"/>
  <c r="AC179" i="1"/>
  <c r="AD179" i="1"/>
  <c r="AE179" i="1"/>
  <c r="AF179" i="1"/>
  <c r="AH113" i="1"/>
  <c r="AM113" i="1"/>
  <c r="AN113" i="1"/>
  <c r="K180" i="1"/>
  <c r="L180" i="1"/>
  <c r="M180" i="1"/>
  <c r="N180" i="1" s="1"/>
  <c r="V180" i="1"/>
  <c r="Y180" i="1"/>
  <c r="AA180" i="1" s="1"/>
  <c r="Z180" i="1"/>
  <c r="AB180" i="1"/>
  <c r="AC180" i="1"/>
  <c r="AD180" i="1"/>
  <c r="X180" i="1" s="1"/>
  <c r="AE180" i="1"/>
  <c r="AF180" i="1"/>
  <c r="AH114" i="1"/>
  <c r="AM114" i="1"/>
  <c r="AN114" i="1"/>
  <c r="K95" i="1"/>
  <c r="L95" i="1"/>
  <c r="M95" i="1"/>
  <c r="N95" i="1" s="1"/>
  <c r="V95" i="1"/>
  <c r="Y95" i="1"/>
  <c r="Z95" i="1"/>
  <c r="AA95" i="1" s="1"/>
  <c r="AB95" i="1"/>
  <c r="AC95" i="1"/>
  <c r="AD95" i="1"/>
  <c r="AE95" i="1"/>
  <c r="R12" i="3" s="1"/>
  <c r="AF95" i="1"/>
  <c r="AH115" i="1"/>
  <c r="AM115" i="1"/>
  <c r="AN115" i="1"/>
  <c r="K181" i="1"/>
  <c r="L181" i="1"/>
  <c r="M181" i="1"/>
  <c r="N181" i="1" s="1"/>
  <c r="T181" i="1"/>
  <c r="V181" i="1"/>
  <c r="Y181" i="1"/>
  <c r="Z181" i="1"/>
  <c r="AB181" i="1"/>
  <c r="AC181" i="1"/>
  <c r="AD181" i="1"/>
  <c r="AE181" i="1"/>
  <c r="AF181" i="1"/>
  <c r="AH116" i="1"/>
  <c r="AM116" i="1"/>
  <c r="AN116" i="1"/>
  <c r="K182" i="1"/>
  <c r="L182" i="1"/>
  <c r="M182" i="1"/>
  <c r="N182" i="1"/>
  <c r="V182" i="1"/>
  <c r="Y182" i="1"/>
  <c r="Z182" i="1"/>
  <c r="AB182" i="1"/>
  <c r="AC182" i="1"/>
  <c r="AD182" i="1"/>
  <c r="X182" i="1" s="1"/>
  <c r="AE182" i="1"/>
  <c r="AF182" i="1"/>
  <c r="AH117" i="1"/>
  <c r="AM117" i="1"/>
  <c r="AN117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18" i="1"/>
  <c r="AM118" i="1"/>
  <c r="AN118" i="1"/>
  <c r="K184" i="1"/>
  <c r="L184" i="1"/>
  <c r="M184" i="1"/>
  <c r="N184" i="1"/>
  <c r="V184" i="1"/>
  <c r="Y184" i="1"/>
  <c r="Z184" i="1"/>
  <c r="AA184" i="1" s="1"/>
  <c r="AB184" i="1"/>
  <c r="AC184" i="1"/>
  <c r="AD184" i="1"/>
  <c r="AE184" i="1"/>
  <c r="AF184" i="1"/>
  <c r="AH119" i="1"/>
  <c r="AM119" i="1"/>
  <c r="AN119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0" i="1"/>
  <c r="AM120" i="1"/>
  <c r="AN120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1" i="1"/>
  <c r="AM121" i="1"/>
  <c r="AN121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2" i="1"/>
  <c r="AM122" i="1"/>
  <c r="AN122" i="1"/>
  <c r="K188" i="1"/>
  <c r="L188" i="1"/>
  <c r="M188" i="1"/>
  <c r="N188" i="1" s="1"/>
  <c r="V188" i="1"/>
  <c r="Y188" i="1"/>
  <c r="Z188" i="1"/>
  <c r="AA188" i="1" s="1"/>
  <c r="AB188" i="1"/>
  <c r="AC188" i="1"/>
  <c r="AD188" i="1"/>
  <c r="AE188" i="1"/>
  <c r="AF188" i="1"/>
  <c r="AH123" i="1"/>
  <c r="AM123" i="1"/>
  <c r="AN123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4" i="1"/>
  <c r="AM124" i="1"/>
  <c r="AN124" i="1"/>
  <c r="K190" i="1"/>
  <c r="L190" i="1"/>
  <c r="M190" i="1"/>
  <c r="N190" i="1" s="1"/>
  <c r="V190" i="1"/>
  <c r="Y190" i="1"/>
  <c r="Z190" i="1"/>
  <c r="AB190" i="1"/>
  <c r="AC190" i="1"/>
  <c r="AD190" i="1"/>
  <c r="X190" i="1" s="1"/>
  <c r="AE190" i="1"/>
  <c r="AF190" i="1"/>
  <c r="AH125" i="1"/>
  <c r="AM125" i="1"/>
  <c r="AN12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26" i="1"/>
  <c r="AM126" i="1"/>
  <c r="AN126" i="1"/>
  <c r="K191" i="1"/>
  <c r="L191" i="1"/>
  <c r="M191" i="1"/>
  <c r="N191" i="1" s="1"/>
  <c r="V191" i="1"/>
  <c r="Y191" i="1"/>
  <c r="Z191" i="1"/>
  <c r="AA191" i="1" s="1"/>
  <c r="AB191" i="1"/>
  <c r="AC191" i="1"/>
  <c r="AD191" i="1"/>
  <c r="T191" i="1" s="1"/>
  <c r="AE191" i="1"/>
  <c r="AF191" i="1"/>
  <c r="AH127" i="1"/>
  <c r="AM127" i="1"/>
  <c r="AN127" i="1"/>
  <c r="K192" i="1"/>
  <c r="L192" i="1"/>
  <c r="M192" i="1"/>
  <c r="N192" i="1" s="1"/>
  <c r="T192" i="1"/>
  <c r="V192" i="1"/>
  <c r="Y192" i="1"/>
  <c r="Z192" i="1"/>
  <c r="AB192" i="1"/>
  <c r="AC192" i="1"/>
  <c r="AD192" i="1"/>
  <c r="AE192" i="1"/>
  <c r="AF192" i="1"/>
  <c r="AH128" i="1"/>
  <c r="AM128" i="1"/>
  <c r="AN128" i="1"/>
  <c r="K193" i="1"/>
  <c r="L193" i="1"/>
  <c r="M193" i="1"/>
  <c r="N193" i="1"/>
  <c r="T193" i="1"/>
  <c r="V193" i="1"/>
  <c r="Y193" i="1"/>
  <c r="Z193" i="1"/>
  <c r="AA193" i="1" s="1"/>
  <c r="AB193" i="1"/>
  <c r="AC193" i="1"/>
  <c r="AD193" i="1"/>
  <c r="AE193" i="1"/>
  <c r="AF193" i="1"/>
  <c r="AH129" i="1"/>
  <c r="AM129" i="1"/>
  <c r="AN129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30" i="1"/>
  <c r="AM130" i="1"/>
  <c r="AN130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1" i="1"/>
  <c r="AM131" i="1"/>
  <c r="AN131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2" i="1"/>
  <c r="AM132" i="1"/>
  <c r="AN132" i="1"/>
  <c r="K99" i="1"/>
  <c r="L99" i="1"/>
  <c r="M99" i="1"/>
  <c r="N99" i="1" s="1"/>
  <c r="V99" i="1"/>
  <c r="Y99" i="1"/>
  <c r="Z99" i="1"/>
  <c r="AB99" i="1"/>
  <c r="AC99" i="1"/>
  <c r="AD99" i="1"/>
  <c r="X99" i="1" s="1"/>
  <c r="AE99" i="1"/>
  <c r="AF99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R15" i="3" s="1"/>
  <c r="AF101" i="1"/>
  <c r="AH135" i="1"/>
  <c r="AM135" i="1"/>
  <c r="AN135" i="1"/>
  <c r="K102" i="1"/>
  <c r="L102" i="1"/>
  <c r="M102" i="1"/>
  <c r="N102" i="1" s="1"/>
  <c r="V102" i="1"/>
  <c r="Y102" i="1"/>
  <c r="Z102" i="1"/>
  <c r="AA102" i="1" s="1"/>
  <c r="AB102" i="1"/>
  <c r="AC102" i="1"/>
  <c r="AD102" i="1"/>
  <c r="T102" i="1" s="1"/>
  <c r="AE102" i="1"/>
  <c r="AF102" i="1"/>
  <c r="AH136" i="1"/>
  <c r="AM136" i="1"/>
  <c r="AN136" i="1"/>
  <c r="K103" i="1"/>
  <c r="L103" i="1"/>
  <c r="M103" i="1"/>
  <c r="N103" i="1" s="1"/>
  <c r="V103" i="1"/>
  <c r="Y103" i="1"/>
  <c r="Z103" i="1"/>
  <c r="AB103" i="1"/>
  <c r="AC103" i="1"/>
  <c r="AD103" i="1"/>
  <c r="X103" i="1" s="1"/>
  <c r="AE103" i="1"/>
  <c r="AF103" i="1"/>
  <c r="AH137" i="1"/>
  <c r="AM137" i="1"/>
  <c r="AN137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38" i="1"/>
  <c r="AM138" i="1"/>
  <c r="AN138" i="1"/>
  <c r="K104" i="1"/>
  <c r="L104" i="1"/>
  <c r="M104" i="1"/>
  <c r="N104" i="1"/>
  <c r="V104" i="1"/>
  <c r="Y104" i="1"/>
  <c r="Z104" i="1"/>
  <c r="AB104" i="1"/>
  <c r="AC104" i="1"/>
  <c r="AD104" i="1"/>
  <c r="T104" i="1" s="1"/>
  <c r="AE104" i="1"/>
  <c r="R35" i="3" s="1"/>
  <c r="AF104" i="1"/>
  <c r="AH139" i="1"/>
  <c r="AM139" i="1"/>
  <c r="AN139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0" i="1"/>
  <c r="AM140" i="1"/>
  <c r="AN140" i="1"/>
  <c r="K106" i="1"/>
  <c r="L106" i="1"/>
  <c r="M106" i="1"/>
  <c r="N106" i="1" s="1"/>
  <c r="V106" i="1"/>
  <c r="Y106" i="1"/>
  <c r="Z106" i="1"/>
  <c r="AA106" i="1" s="1"/>
  <c r="AB106" i="1"/>
  <c r="AC106" i="1"/>
  <c r="AD106" i="1"/>
  <c r="AE106" i="1"/>
  <c r="AF106" i="1"/>
  <c r="AH141" i="1"/>
  <c r="AM141" i="1"/>
  <c r="AN141" i="1"/>
  <c r="K107" i="1"/>
  <c r="L107" i="1"/>
  <c r="M107" i="1"/>
  <c r="N107" i="1" s="1"/>
  <c r="T107" i="1"/>
  <c r="V107" i="1"/>
  <c r="Y107" i="1"/>
  <c r="Z107" i="1"/>
  <c r="AB107" i="1"/>
  <c r="AC107" i="1"/>
  <c r="AD107" i="1"/>
  <c r="AE107" i="1"/>
  <c r="AF107" i="1"/>
  <c r="AH142" i="1"/>
  <c r="AM142" i="1"/>
  <c r="AN142" i="1"/>
  <c r="K108" i="1"/>
  <c r="L108" i="1"/>
  <c r="M108" i="1"/>
  <c r="N108" i="1"/>
  <c r="V108" i="1"/>
  <c r="Y108" i="1"/>
  <c r="Z108" i="1"/>
  <c r="AB108" i="1"/>
  <c r="AC108" i="1"/>
  <c r="AD108" i="1"/>
  <c r="T108" i="1" s="1"/>
  <c r="AE108" i="1"/>
  <c r="AF108" i="1"/>
  <c r="AH143" i="1"/>
  <c r="AM143" i="1"/>
  <c r="AN143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4" i="1"/>
  <c r="AM144" i="1"/>
  <c r="AN144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45" i="1"/>
  <c r="AM145" i="1"/>
  <c r="AN145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R25" i="3" s="1"/>
  <c r="AF111" i="1"/>
  <c r="AH146" i="1"/>
  <c r="AM146" i="1"/>
  <c r="AN146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7" i="1"/>
  <c r="AM147" i="1"/>
  <c r="AN147" i="1"/>
  <c r="K113" i="1"/>
  <c r="L113" i="1"/>
  <c r="M113" i="1"/>
  <c r="N113" i="1" s="1"/>
  <c r="V113" i="1"/>
  <c r="Y113" i="1"/>
  <c r="Z113" i="1"/>
  <c r="AA113" i="1" s="1"/>
  <c r="AB113" i="1"/>
  <c r="AC113" i="1"/>
  <c r="AD113" i="1"/>
  <c r="T113" i="1" s="1"/>
  <c r="AE113" i="1"/>
  <c r="AF113" i="1"/>
  <c r="AH148" i="1"/>
  <c r="AM148" i="1"/>
  <c r="AN148" i="1"/>
  <c r="K114" i="1"/>
  <c r="L114" i="1"/>
  <c r="M114" i="1"/>
  <c r="N114" i="1"/>
  <c r="V114" i="1"/>
  <c r="Y114" i="1"/>
  <c r="Z114" i="1"/>
  <c r="AB114" i="1"/>
  <c r="AC114" i="1"/>
  <c r="AD114" i="1"/>
  <c r="T114" i="1" s="1"/>
  <c r="AE114" i="1"/>
  <c r="AF114" i="1"/>
  <c r="AH149" i="1"/>
  <c r="AM149" i="1"/>
  <c r="AN149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0" i="1"/>
  <c r="AM150" i="1"/>
  <c r="AN150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1" i="1"/>
  <c r="AM151" i="1"/>
  <c r="AN151" i="1"/>
  <c r="K117" i="1"/>
  <c r="L117" i="1"/>
  <c r="M117" i="1"/>
  <c r="N117" i="1" s="1"/>
  <c r="T117" i="1"/>
  <c r="V117" i="1"/>
  <c r="Y117" i="1"/>
  <c r="Z117" i="1"/>
  <c r="AB117" i="1"/>
  <c r="AC117" i="1"/>
  <c r="AD117" i="1"/>
  <c r="AE117" i="1"/>
  <c r="AF117" i="1"/>
  <c r="AH152" i="1"/>
  <c r="AM152" i="1"/>
  <c r="AN152" i="1"/>
  <c r="K118" i="1"/>
  <c r="L118" i="1"/>
  <c r="M118" i="1"/>
  <c r="N118" i="1" s="1"/>
  <c r="V118" i="1"/>
  <c r="Y118" i="1"/>
  <c r="Z118" i="1"/>
  <c r="AB118" i="1"/>
  <c r="AC118" i="1"/>
  <c r="AD118" i="1"/>
  <c r="X118" i="1" s="1"/>
  <c r="AE118" i="1"/>
  <c r="AF118" i="1"/>
  <c r="AH153" i="1"/>
  <c r="AM153" i="1"/>
  <c r="AN153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4" i="1"/>
  <c r="AM154" i="1"/>
  <c r="AN154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5" i="1"/>
  <c r="AM155" i="1"/>
  <c r="AN155" i="1"/>
  <c r="K121" i="1"/>
  <c r="L121" i="1"/>
  <c r="M121" i="1"/>
  <c r="N121" i="1" s="1"/>
  <c r="V121" i="1"/>
  <c r="Y121" i="1"/>
  <c r="Z121" i="1"/>
  <c r="AA121" i="1" s="1"/>
  <c r="AB121" i="1"/>
  <c r="AC121" i="1"/>
  <c r="AD121" i="1"/>
  <c r="T121" i="1" s="1"/>
  <c r="AE121" i="1"/>
  <c r="AF121" i="1"/>
  <c r="AH156" i="1"/>
  <c r="AM156" i="1"/>
  <c r="AN156" i="1"/>
  <c r="K122" i="1"/>
  <c r="L122" i="1"/>
  <c r="M122" i="1"/>
  <c r="N122" i="1" s="1"/>
  <c r="T122" i="1"/>
  <c r="V122" i="1"/>
  <c r="Y122" i="1"/>
  <c r="Z122" i="1"/>
  <c r="AA122" i="1" s="1"/>
  <c r="AB122" i="1"/>
  <c r="AC122" i="1"/>
  <c r="AD122" i="1"/>
  <c r="AE122" i="1"/>
  <c r="AF122" i="1"/>
  <c r="AH157" i="1"/>
  <c r="AM157" i="1"/>
  <c r="AN157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8" i="1"/>
  <c r="AM158" i="1"/>
  <c r="AN158" i="1"/>
  <c r="K124" i="1"/>
  <c r="L124" i="1"/>
  <c r="M124" i="1"/>
  <c r="N124" i="1" s="1"/>
  <c r="V124" i="1"/>
  <c r="Y124" i="1"/>
  <c r="Z124" i="1"/>
  <c r="AA124" i="1" s="1"/>
  <c r="AB124" i="1"/>
  <c r="AC124" i="1"/>
  <c r="AD124" i="1"/>
  <c r="T124" i="1" s="1"/>
  <c r="AE124" i="1"/>
  <c r="AF124" i="1"/>
  <c r="AH159" i="1"/>
  <c r="AM159" i="1"/>
  <c r="AN159" i="1"/>
  <c r="K125" i="1"/>
  <c r="L125" i="1"/>
  <c r="M125" i="1"/>
  <c r="N125" i="1" s="1"/>
  <c r="T125" i="1"/>
  <c r="V125" i="1"/>
  <c r="Y125" i="1"/>
  <c r="AA125" i="1" s="1"/>
  <c r="Z125" i="1"/>
  <c r="AB125" i="1"/>
  <c r="AC125" i="1"/>
  <c r="AD125" i="1"/>
  <c r="AE125" i="1"/>
  <c r="AF125" i="1"/>
  <c r="K126" i="1"/>
  <c r="L126" i="1"/>
  <c r="M126" i="1"/>
  <c r="N126" i="1" s="1"/>
  <c r="T126" i="1"/>
  <c r="V126" i="1"/>
  <c r="Y126" i="1"/>
  <c r="Z126" i="1"/>
  <c r="AA126" i="1" s="1"/>
  <c r="AB126" i="1"/>
  <c r="AC126" i="1"/>
  <c r="AD126" i="1"/>
  <c r="X126" i="1" s="1"/>
  <c r="AE126" i="1"/>
  <c r="AF126" i="1"/>
  <c r="AH160" i="1"/>
  <c r="AM160" i="1"/>
  <c r="AN160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1" i="1"/>
  <c r="AM161" i="1"/>
  <c r="AN161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2" i="1"/>
  <c r="AM162" i="1"/>
  <c r="AN162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3" i="1"/>
  <c r="AM163" i="1"/>
  <c r="AN163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4" i="1"/>
  <c r="AM164" i="1"/>
  <c r="AN164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5" i="1"/>
  <c r="AM165" i="1"/>
  <c r="AN165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6" i="1"/>
  <c r="AM166" i="1"/>
  <c r="AN166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7" i="1"/>
  <c r="AM167" i="1"/>
  <c r="AN167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68" i="1"/>
  <c r="AM168" i="1"/>
  <c r="AN168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69" i="1"/>
  <c r="AM169" i="1"/>
  <c r="AN169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0" i="1"/>
  <c r="AM170" i="1"/>
  <c r="AN170" i="1"/>
  <c r="K137" i="1"/>
  <c r="L137" i="1"/>
  <c r="M137" i="1"/>
  <c r="N137" i="1" s="1"/>
  <c r="V137" i="1"/>
  <c r="Y137" i="1"/>
  <c r="Z137" i="1"/>
  <c r="AA137" i="1" s="1"/>
  <c r="AB137" i="1"/>
  <c r="AC137" i="1"/>
  <c r="AD137" i="1"/>
  <c r="T137" i="1" s="1"/>
  <c r="AE137" i="1"/>
  <c r="AF137" i="1"/>
  <c r="AH171" i="1"/>
  <c r="AM171" i="1"/>
  <c r="AN171" i="1"/>
  <c r="K138" i="1"/>
  <c r="L138" i="1"/>
  <c r="M138" i="1"/>
  <c r="N138" i="1" s="1"/>
  <c r="V138" i="1"/>
  <c r="Y138" i="1"/>
  <c r="Z138" i="1"/>
  <c r="AB138" i="1"/>
  <c r="AC138" i="1"/>
  <c r="AD138" i="1"/>
  <c r="X138" i="1" s="1"/>
  <c r="AE138" i="1"/>
  <c r="R24" i="3" s="1"/>
  <c r="AF138" i="1"/>
  <c r="AH172" i="1"/>
  <c r="AM172" i="1"/>
  <c r="AN172" i="1"/>
  <c r="K139" i="1"/>
  <c r="L139" i="1"/>
  <c r="M139" i="1"/>
  <c r="N139" i="1" s="1"/>
  <c r="V139" i="1"/>
  <c r="S16" i="3" s="1"/>
  <c r="Y139" i="1"/>
  <c r="Z139" i="1"/>
  <c r="AB139" i="1"/>
  <c r="AC139" i="1"/>
  <c r="AD139" i="1"/>
  <c r="T139" i="1" s="1"/>
  <c r="AE139" i="1"/>
  <c r="AF139" i="1"/>
  <c r="AH173" i="1"/>
  <c r="AM173" i="1"/>
  <c r="AN173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4" i="1"/>
  <c r="AM174" i="1"/>
  <c r="AN174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5" i="1"/>
  <c r="AM175" i="1"/>
  <c r="AN175" i="1"/>
  <c r="K142" i="1"/>
  <c r="L142" i="1"/>
  <c r="M142" i="1"/>
  <c r="N142" i="1" s="1"/>
  <c r="V142" i="1"/>
  <c r="Y142" i="1"/>
  <c r="Z142" i="1"/>
  <c r="AB142" i="1"/>
  <c r="AC142" i="1"/>
  <c r="AD142" i="1"/>
  <c r="X142" i="1" s="1"/>
  <c r="AE142" i="1"/>
  <c r="AF142" i="1"/>
  <c r="AH176" i="1"/>
  <c r="AM176" i="1"/>
  <c r="AN176" i="1"/>
  <c r="K143" i="1"/>
  <c r="L143" i="1"/>
  <c r="M143" i="1"/>
  <c r="N143" i="1" s="1"/>
  <c r="V143" i="1"/>
  <c r="Y143" i="1"/>
  <c r="Z143" i="1"/>
  <c r="AA143" i="1" s="1"/>
  <c r="AB143" i="1"/>
  <c r="AC143" i="1"/>
  <c r="AD143" i="1"/>
  <c r="AE143" i="1"/>
  <c r="AF143" i="1"/>
  <c r="AH177" i="1"/>
  <c r="AM177" i="1"/>
  <c r="AN177" i="1"/>
  <c r="K144" i="1"/>
  <c r="L144" i="1"/>
  <c r="M144" i="1"/>
  <c r="N144" i="1" s="1"/>
  <c r="V144" i="1"/>
  <c r="Y144" i="1"/>
  <c r="AA144" i="1" s="1"/>
  <c r="Z144" i="1"/>
  <c r="AB144" i="1"/>
  <c r="AC144" i="1"/>
  <c r="AD144" i="1"/>
  <c r="T144" i="1" s="1"/>
  <c r="AE144" i="1"/>
  <c r="AF144" i="1"/>
  <c r="AH178" i="1"/>
  <c r="AM178" i="1"/>
  <c r="AN178" i="1"/>
  <c r="K145" i="1"/>
  <c r="L145" i="1"/>
  <c r="M145" i="1"/>
  <c r="V145" i="1"/>
  <c r="Y145" i="1"/>
  <c r="Z145" i="1"/>
  <c r="AB145" i="1"/>
  <c r="AC145" i="1"/>
  <c r="AD145" i="1"/>
  <c r="T145" i="1" s="1"/>
  <c r="AE145" i="1"/>
  <c r="AF145" i="1"/>
  <c r="AH179" i="1"/>
  <c r="AM179" i="1"/>
  <c r="AN179" i="1"/>
  <c r="K146" i="1"/>
  <c r="L146" i="1"/>
  <c r="M146" i="1"/>
  <c r="V146" i="1"/>
  <c r="Y146" i="1"/>
  <c r="Z146" i="1"/>
  <c r="AB146" i="1"/>
  <c r="AC146" i="1"/>
  <c r="AD146" i="1"/>
  <c r="T146" i="1" s="1"/>
  <c r="AE146" i="1"/>
  <c r="AF146" i="1"/>
  <c r="AH180" i="1"/>
  <c r="AM180" i="1"/>
  <c r="AN180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1" i="1"/>
  <c r="AM181" i="1"/>
  <c r="AN181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R20" i="3" s="1"/>
  <c r="AF148" i="1"/>
  <c r="AH182" i="1"/>
  <c r="AM182" i="1"/>
  <c r="AN182" i="1"/>
  <c r="K149" i="1"/>
  <c r="L149" i="1"/>
  <c r="M149" i="1"/>
  <c r="N149" i="1"/>
  <c r="V149" i="1"/>
  <c r="Y149" i="1"/>
  <c r="Z149" i="1"/>
  <c r="AB149" i="1"/>
  <c r="AC149" i="1"/>
  <c r="AD149" i="1"/>
  <c r="AE149" i="1"/>
  <c r="AF149" i="1"/>
  <c r="AH183" i="1"/>
  <c r="AM183" i="1"/>
  <c r="AN183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4" i="1"/>
  <c r="AM184" i="1"/>
  <c r="AN184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5" i="1"/>
  <c r="AM185" i="1"/>
  <c r="AN185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6" i="1"/>
  <c r="AM186" i="1"/>
  <c r="AN186" i="1"/>
  <c r="K153" i="1"/>
  <c r="L153" i="1"/>
  <c r="M153" i="1"/>
  <c r="N153" i="1" s="1"/>
  <c r="V153" i="1"/>
  <c r="Y153" i="1"/>
  <c r="Z153" i="1"/>
  <c r="AB153" i="1"/>
  <c r="AC153" i="1"/>
  <c r="AD153" i="1"/>
  <c r="X153" i="1" s="1"/>
  <c r="AE153" i="1"/>
  <c r="AF153" i="1"/>
  <c r="AH187" i="1"/>
  <c r="AM187" i="1"/>
  <c r="AN187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88" i="1"/>
  <c r="AM188" i="1"/>
  <c r="AN188" i="1"/>
  <c r="K155" i="1"/>
  <c r="L155" i="1"/>
  <c r="M155" i="1"/>
  <c r="N155" i="1" s="1"/>
  <c r="V155" i="1"/>
  <c r="Y155" i="1"/>
  <c r="Z155" i="1"/>
  <c r="AA155" i="1" s="1"/>
  <c r="AB155" i="1"/>
  <c r="AC155" i="1"/>
  <c r="AD155" i="1"/>
  <c r="AE155" i="1"/>
  <c r="AF155" i="1"/>
  <c r="AH189" i="1"/>
  <c r="AM189" i="1"/>
  <c r="AN189" i="1"/>
  <c r="K156" i="1"/>
  <c r="L156" i="1"/>
  <c r="M156" i="1"/>
  <c r="N156" i="1" s="1"/>
  <c r="T156" i="1"/>
  <c r="V156" i="1"/>
  <c r="Y156" i="1"/>
  <c r="Z156" i="1"/>
  <c r="AA156" i="1"/>
  <c r="AB156" i="1"/>
  <c r="AC156" i="1"/>
  <c r="AD156" i="1"/>
  <c r="AE156" i="1"/>
  <c r="R34" i="3" s="1"/>
  <c r="AF156" i="1"/>
  <c r="AH190" i="1"/>
  <c r="AM190" i="1"/>
  <c r="AN190" i="1"/>
  <c r="K157" i="1"/>
  <c r="L157" i="1"/>
  <c r="M157" i="1"/>
  <c r="N157" i="1"/>
  <c r="V157" i="1"/>
  <c r="Y157" i="1"/>
  <c r="Z157" i="1"/>
  <c r="AB157" i="1"/>
  <c r="AC157" i="1"/>
  <c r="AD157" i="1"/>
  <c r="T157" i="1" s="1"/>
  <c r="AE157" i="1"/>
  <c r="AF157" i="1"/>
  <c r="AH191" i="1"/>
  <c r="AM191" i="1"/>
  <c r="AN191" i="1"/>
  <c r="K158" i="1"/>
  <c r="L158" i="1"/>
  <c r="M158" i="1"/>
  <c r="N158" i="1" s="1"/>
  <c r="V158" i="1"/>
  <c r="Y158" i="1"/>
  <c r="AA158" i="1" s="1"/>
  <c r="Z158" i="1"/>
  <c r="AB158" i="1"/>
  <c r="AC158" i="1"/>
  <c r="AD158" i="1"/>
  <c r="T158" i="1" s="1"/>
  <c r="AE158" i="1"/>
  <c r="AF158" i="1"/>
  <c r="AH192" i="1"/>
  <c r="AM192" i="1"/>
  <c r="AN192" i="1"/>
  <c r="K159" i="1"/>
  <c r="L159" i="1"/>
  <c r="M159" i="1"/>
  <c r="N159" i="1" s="1"/>
  <c r="V159" i="1"/>
  <c r="Y159" i="1"/>
  <c r="Z159" i="1"/>
  <c r="AA159" i="1" s="1"/>
  <c r="AB159" i="1"/>
  <c r="AC159" i="1"/>
  <c r="AD159" i="1"/>
  <c r="AE159" i="1"/>
  <c r="AF159" i="1"/>
  <c r="AH193" i="1"/>
  <c r="AM193" i="1"/>
  <c r="AN193" i="1"/>
  <c r="AH194" i="1"/>
  <c r="AM194" i="1"/>
  <c r="AN194" i="1"/>
  <c r="K160" i="1"/>
  <c r="L160" i="1"/>
  <c r="M160" i="1"/>
  <c r="N160" i="1"/>
  <c r="V160" i="1"/>
  <c r="Y160" i="1"/>
  <c r="Z160" i="1"/>
  <c r="AB160" i="1"/>
  <c r="AC160" i="1"/>
  <c r="AD160" i="1"/>
  <c r="AE160" i="1"/>
  <c r="AF160" i="1"/>
  <c r="AH195" i="1"/>
  <c r="AM195" i="1"/>
  <c r="AN195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6" i="1"/>
  <c r="AM196" i="1"/>
  <c r="AN196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7" i="1"/>
  <c r="AM197" i="1"/>
  <c r="AN197" i="1"/>
  <c r="K197" i="1"/>
  <c r="L197" i="1"/>
  <c r="M197" i="1"/>
  <c r="N197" i="1" s="1"/>
  <c r="V197" i="1"/>
  <c r="Y197" i="1"/>
  <c r="Z197" i="1"/>
  <c r="AA197" i="1" s="1"/>
  <c r="AB197" i="1"/>
  <c r="AC197" i="1"/>
  <c r="AD197" i="1"/>
  <c r="T197" i="1" s="1"/>
  <c r="AE197" i="1"/>
  <c r="AF197" i="1"/>
  <c r="AH198" i="1"/>
  <c r="AM198" i="1"/>
  <c r="AN198" i="1"/>
  <c r="K198" i="1"/>
  <c r="L198" i="1"/>
  <c r="M198" i="1"/>
  <c r="N198" i="1" s="1"/>
  <c r="T198" i="1"/>
  <c r="V198" i="1"/>
  <c r="Y198" i="1"/>
  <c r="Z198" i="1"/>
  <c r="AA198" i="1" s="1"/>
  <c r="AB198" i="1"/>
  <c r="AC198" i="1"/>
  <c r="AD198" i="1"/>
  <c r="X198" i="1" s="1"/>
  <c r="AE198" i="1"/>
  <c r="AF198" i="1"/>
  <c r="AH199" i="1"/>
  <c r="AM199" i="1"/>
  <c r="AN199" i="1"/>
  <c r="K199" i="1"/>
  <c r="L199" i="1"/>
  <c r="M199" i="1"/>
  <c r="N199" i="1" s="1"/>
  <c r="V199" i="1"/>
  <c r="Y199" i="1"/>
  <c r="AA199" i="1" s="1"/>
  <c r="Z199" i="1"/>
  <c r="AB199" i="1"/>
  <c r="AC199" i="1"/>
  <c r="AD199" i="1"/>
  <c r="T199" i="1" s="1"/>
  <c r="AE199" i="1"/>
  <c r="AF199" i="1"/>
  <c r="AH200" i="1"/>
  <c r="AM200" i="1"/>
  <c r="AN200" i="1"/>
  <c r="K200" i="1"/>
  <c r="L200" i="1"/>
  <c r="M200" i="1"/>
  <c r="N200" i="1" s="1"/>
  <c r="V200" i="1"/>
  <c r="Y200" i="1"/>
  <c r="Z200" i="1"/>
  <c r="AA200" i="1" s="1"/>
  <c r="AB200" i="1"/>
  <c r="AC200" i="1"/>
  <c r="AD200" i="1"/>
  <c r="AE200" i="1"/>
  <c r="AF200" i="1"/>
  <c r="AH201" i="1"/>
  <c r="AM201" i="1"/>
  <c r="AN201" i="1"/>
  <c r="K201" i="1"/>
  <c r="L201" i="1"/>
  <c r="M201" i="1"/>
  <c r="N201" i="1" s="1"/>
  <c r="T201" i="1"/>
  <c r="V201" i="1"/>
  <c r="Y201" i="1"/>
  <c r="Z201" i="1"/>
  <c r="AB201" i="1"/>
  <c r="AC201" i="1"/>
  <c r="AD201" i="1"/>
  <c r="AE201" i="1"/>
  <c r="AF201" i="1"/>
  <c r="AH202" i="1"/>
  <c r="AM202" i="1"/>
  <c r="AN202" i="1"/>
  <c r="K202" i="1"/>
  <c r="L202" i="1"/>
  <c r="M202" i="1"/>
  <c r="N202" i="1"/>
  <c r="V202" i="1"/>
  <c r="Y202" i="1"/>
  <c r="Z202" i="1"/>
  <c r="AB202" i="1"/>
  <c r="AC202" i="1"/>
  <c r="AD202" i="1"/>
  <c r="X203" i="1" s="1"/>
  <c r="AE202" i="1"/>
  <c r="AF202" i="1"/>
  <c r="AH203" i="1"/>
  <c r="AM203" i="1"/>
  <c r="AN203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4" i="1"/>
  <c r="AM204" i="1"/>
  <c r="AN204" i="1"/>
  <c r="K204" i="1"/>
  <c r="L204" i="1"/>
  <c r="M204" i="1"/>
  <c r="N204" i="1"/>
  <c r="V204" i="1"/>
  <c r="Y204" i="1"/>
  <c r="Z204" i="1"/>
  <c r="AB204" i="1"/>
  <c r="AC204" i="1"/>
  <c r="AD204" i="1"/>
  <c r="AE204" i="1"/>
  <c r="AF204" i="1"/>
  <c r="AH205" i="1"/>
  <c r="AM205" i="1"/>
  <c r="AN205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6" i="1"/>
  <c r="AM206" i="1"/>
  <c r="AN206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7" i="1"/>
  <c r="AM207" i="1"/>
  <c r="AN207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8" i="1"/>
  <c r="AM208" i="1"/>
  <c r="AN208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09" i="1"/>
  <c r="AM209" i="1"/>
  <c r="AN209" i="1"/>
  <c r="K209" i="1"/>
  <c r="L209" i="1"/>
  <c r="M209" i="1"/>
  <c r="N209" i="1" s="1"/>
  <c r="V209" i="1"/>
  <c r="Y209" i="1"/>
  <c r="AA209" i="1" s="1"/>
  <c r="Z209" i="1"/>
  <c r="AB209" i="1"/>
  <c r="AC209" i="1"/>
  <c r="AD209" i="1"/>
  <c r="T209" i="1" s="1"/>
  <c r="AE209" i="1"/>
  <c r="AF209" i="1"/>
  <c r="AH210" i="1"/>
  <c r="AM210" i="1"/>
  <c r="AN210" i="1"/>
  <c r="K210" i="1"/>
  <c r="L210" i="1"/>
  <c r="M210" i="1"/>
  <c r="N210" i="1" s="1"/>
  <c r="V210" i="1"/>
  <c r="Y210" i="1"/>
  <c r="Z210" i="1"/>
  <c r="AB210" i="1"/>
  <c r="AC210" i="1"/>
  <c r="AD210" i="1"/>
  <c r="X211" i="1" s="1"/>
  <c r="AE210" i="1"/>
  <c r="AF210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A213" i="1" s="1"/>
  <c r="AB213" i="1"/>
  <c r="AC213" i="1"/>
  <c r="AD213" i="1"/>
  <c r="AE213" i="1"/>
  <c r="AF213" i="1"/>
  <c r="AH213" i="1"/>
  <c r="AM213" i="1"/>
  <c r="AN213" i="1"/>
  <c r="K214" i="1"/>
  <c r="L214" i="1"/>
  <c r="M214" i="1"/>
  <c r="N214" i="1" s="1"/>
  <c r="T214" i="1"/>
  <c r="V214" i="1"/>
  <c r="Y214" i="1"/>
  <c r="Z214" i="1"/>
  <c r="AB214" i="1"/>
  <c r="AC214" i="1"/>
  <c r="AD214" i="1"/>
  <c r="AE214" i="1"/>
  <c r="AF214" i="1"/>
  <c r="AH214" i="1"/>
  <c r="AM214" i="1"/>
  <c r="AN214" i="1"/>
  <c r="K215" i="1"/>
  <c r="L215" i="1"/>
  <c r="M215" i="1"/>
  <c r="N215" i="1"/>
  <c r="T215" i="1"/>
  <c r="V215" i="1"/>
  <c r="Y215" i="1"/>
  <c r="Z215" i="1"/>
  <c r="AA215" i="1" s="1"/>
  <c r="AB215" i="1"/>
  <c r="AC215" i="1"/>
  <c r="AD215" i="1"/>
  <c r="X215" i="1" s="1"/>
  <c r="AE215" i="1"/>
  <c r="AF215" i="1"/>
  <c r="AH215" i="1"/>
  <c r="AM215" i="1"/>
  <c r="AN215" i="1"/>
  <c r="K216" i="1"/>
  <c r="L216" i="1"/>
  <c r="M216" i="1"/>
  <c r="N216" i="1" s="1"/>
  <c r="T216" i="1"/>
  <c r="V216" i="1"/>
  <c r="Y216" i="1"/>
  <c r="Z216" i="1"/>
  <c r="AB216" i="1"/>
  <c r="AC216" i="1"/>
  <c r="AD216" i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M8" i="3"/>
  <c r="R8" i="3"/>
  <c r="U8" i="3"/>
  <c r="T8" i="3" s="1"/>
  <c r="V8" i="3"/>
  <c r="X8" i="3"/>
  <c r="AD8" i="3"/>
  <c r="M27" i="3"/>
  <c r="R27" i="3"/>
  <c r="U27" i="3"/>
  <c r="AC27" i="3" s="1"/>
  <c r="V27" i="3"/>
  <c r="X27" i="3"/>
  <c r="M37" i="3"/>
  <c r="R37" i="3"/>
  <c r="S37" i="3"/>
  <c r="U37" i="3"/>
  <c r="AC37" i="3" s="1"/>
  <c r="V37" i="3"/>
  <c r="X37" i="3"/>
  <c r="M21" i="3"/>
  <c r="R21" i="3"/>
  <c r="U21" i="3"/>
  <c r="T21" i="3" s="1"/>
  <c r="V21" i="3"/>
  <c r="X21" i="3"/>
  <c r="M22" i="3"/>
  <c r="S22" i="3"/>
  <c r="U22" i="3"/>
  <c r="T22" i="3" s="1"/>
  <c r="V22" i="3"/>
  <c r="X22" i="3"/>
  <c r="M10" i="3"/>
  <c r="R10" i="3"/>
  <c r="S10" i="3"/>
  <c r="U10" i="3"/>
  <c r="V10" i="3"/>
  <c r="X10" i="3"/>
  <c r="M9" i="3"/>
  <c r="R9" i="3"/>
  <c r="U9" i="3"/>
  <c r="AC9" i="3" s="1"/>
  <c r="V9" i="3"/>
  <c r="X9" i="3"/>
  <c r="M19" i="3"/>
  <c r="R19" i="3"/>
  <c r="S19" i="3"/>
  <c r="U19" i="3"/>
  <c r="AD19" i="3" s="1"/>
  <c r="V19" i="3"/>
  <c r="X19" i="3"/>
  <c r="M18" i="3"/>
  <c r="S18" i="3"/>
  <c r="U18" i="3"/>
  <c r="T18" i="3" s="1"/>
  <c r="V18" i="3"/>
  <c r="X18" i="3"/>
  <c r="M29" i="3"/>
  <c r="R29" i="3"/>
  <c r="S29" i="3"/>
  <c r="U29" i="3"/>
  <c r="V29" i="3"/>
  <c r="X29" i="3"/>
  <c r="M30" i="3"/>
  <c r="S30" i="3"/>
  <c r="U30" i="3"/>
  <c r="AC30" i="3" s="1"/>
  <c r="V30" i="3"/>
  <c r="X30" i="3"/>
  <c r="M31" i="3"/>
  <c r="R31" i="3"/>
  <c r="S31" i="3"/>
  <c r="U31" i="3"/>
  <c r="T31" i="3" s="1"/>
  <c r="V31" i="3"/>
  <c r="X31" i="3"/>
  <c r="M11" i="3"/>
  <c r="R11" i="3"/>
  <c r="U11" i="3"/>
  <c r="T11" i="3" s="1"/>
  <c r="V11" i="3"/>
  <c r="X11" i="3"/>
  <c r="M17" i="3"/>
  <c r="R17" i="3"/>
  <c r="S17" i="3"/>
  <c r="U17" i="3"/>
  <c r="V17" i="3"/>
  <c r="X17" i="3"/>
  <c r="AC17" i="3"/>
  <c r="M12" i="3"/>
  <c r="S12" i="3"/>
  <c r="U12" i="3"/>
  <c r="AC12" i="3" s="1"/>
  <c r="V12" i="3"/>
  <c r="X12" i="3"/>
  <c r="M32" i="3"/>
  <c r="R32" i="3"/>
  <c r="S32" i="3"/>
  <c r="U32" i="3"/>
  <c r="AD32" i="3" s="1"/>
  <c r="V32" i="3"/>
  <c r="X32" i="3"/>
  <c r="AD23" i="3"/>
  <c r="M35" i="3"/>
  <c r="S35" i="3"/>
  <c r="U35" i="3"/>
  <c r="T35" i="3" s="1"/>
  <c r="V35" i="3"/>
  <c r="X35" i="3"/>
  <c r="M23" i="3"/>
  <c r="R23" i="3"/>
  <c r="S23" i="3"/>
  <c r="U23" i="3"/>
  <c r="V23" i="3"/>
  <c r="X23" i="3"/>
  <c r="M15" i="3"/>
  <c r="S15" i="3"/>
  <c r="U15" i="3"/>
  <c r="AC15" i="3" s="1"/>
  <c r="V15" i="3"/>
  <c r="X15" i="3"/>
  <c r="M14" i="3"/>
  <c r="R14" i="3"/>
  <c r="S14" i="3"/>
  <c r="U14" i="3"/>
  <c r="V14" i="3"/>
  <c r="X14" i="3"/>
  <c r="AD27" i="3"/>
  <c r="M25" i="3"/>
  <c r="S25" i="3"/>
  <c r="U25" i="3"/>
  <c r="T25" i="3" s="1"/>
  <c r="V25" i="3"/>
  <c r="X25" i="3"/>
  <c r="M13" i="3"/>
  <c r="R13" i="3"/>
  <c r="S13" i="3"/>
  <c r="U13" i="3"/>
  <c r="AD29" i="3" s="1"/>
  <c r="V13" i="3"/>
  <c r="X13" i="3"/>
  <c r="M36" i="3"/>
  <c r="R36" i="3"/>
  <c r="S36" i="3"/>
  <c r="U36" i="3"/>
  <c r="AC36" i="3" s="1"/>
  <c r="V36" i="3"/>
  <c r="X36" i="3"/>
  <c r="M26" i="3"/>
  <c r="R26" i="3"/>
  <c r="S26" i="3"/>
  <c r="U26" i="3"/>
  <c r="V26" i="3"/>
  <c r="X26" i="3"/>
  <c r="AD31" i="3"/>
  <c r="M7" i="3"/>
  <c r="R7" i="3"/>
  <c r="S7" i="3"/>
  <c r="U7" i="3"/>
  <c r="T7" i="3" s="1"/>
  <c r="V7" i="3"/>
  <c r="X7" i="3"/>
  <c r="AC7" i="3"/>
  <c r="M24" i="3"/>
  <c r="S24" i="3"/>
  <c r="U24" i="3"/>
  <c r="V24" i="3"/>
  <c r="X24" i="3"/>
  <c r="M16" i="3"/>
  <c r="R16" i="3"/>
  <c r="U16" i="3"/>
  <c r="AC16" i="3" s="1"/>
  <c r="V16" i="3"/>
  <c r="X16" i="3"/>
  <c r="M33" i="3"/>
  <c r="R33" i="3"/>
  <c r="S33" i="3"/>
  <c r="U33" i="3"/>
  <c r="T33" i="3" s="1"/>
  <c r="V33" i="3"/>
  <c r="X33" i="3"/>
  <c r="AD35" i="3"/>
  <c r="M20" i="3"/>
  <c r="S20" i="3"/>
  <c r="U20" i="3"/>
  <c r="T20" i="3" s="1"/>
  <c r="V20" i="3"/>
  <c r="X20" i="3"/>
  <c r="AC20" i="3"/>
  <c r="M34" i="3"/>
  <c r="S34" i="3"/>
  <c r="U34" i="3"/>
  <c r="AD37" i="3" s="1"/>
  <c r="V34" i="3"/>
  <c r="X34" i="3"/>
  <c r="AG16" i="1"/>
  <c r="AG32" i="1"/>
  <c r="AG48" i="1"/>
  <c r="AG27" i="1"/>
  <c r="AG43" i="1"/>
  <c r="AG18" i="1"/>
  <c r="AG34" i="1"/>
  <c r="AG50" i="1"/>
  <c r="AG29" i="1"/>
  <c r="AG45" i="1"/>
  <c r="AG60" i="1"/>
  <c r="AG76" i="1"/>
  <c r="AG63" i="1"/>
  <c r="AG79" i="1"/>
  <c r="AG62" i="1"/>
  <c r="AG78" i="1"/>
  <c r="AG61" i="1"/>
  <c r="AG77" i="1"/>
  <c r="AG91" i="1"/>
  <c r="AG173" i="1"/>
  <c r="AG188" i="1"/>
  <c r="AG161" i="1"/>
  <c r="AG176" i="1"/>
  <c r="AG93" i="1"/>
  <c r="AG175" i="1"/>
  <c r="AG88" i="1"/>
  <c r="AG94" i="1"/>
  <c r="AG185" i="1"/>
  <c r="AG102" i="1"/>
  <c r="AG117" i="1"/>
  <c r="AG133" i="1"/>
  <c r="AG97" i="1"/>
  <c r="AG112" i="1"/>
  <c r="AG128" i="1"/>
  <c r="AG144" i="1"/>
  <c r="AG100" i="1"/>
  <c r="AG115" i="1"/>
  <c r="AG131" i="1"/>
  <c r="AG193" i="1"/>
  <c r="AG110" i="1"/>
  <c r="AG126" i="1"/>
  <c r="AG145" i="1"/>
  <c r="AG160" i="1"/>
  <c r="AG210" i="1"/>
  <c r="AG148" i="1"/>
  <c r="AG197" i="1"/>
  <c r="AG214" i="1"/>
  <c r="AG155" i="1"/>
  <c r="AG204" i="1"/>
  <c r="AG146" i="1"/>
  <c r="AG195" i="1"/>
  <c r="AG212" i="1"/>
  <c r="AG20" i="1"/>
  <c r="AG36" i="1"/>
  <c r="AG15" i="1"/>
  <c r="AG31" i="1"/>
  <c r="AG47" i="1"/>
  <c r="AG22" i="1"/>
  <c r="AG38" i="1"/>
  <c r="AG33" i="1"/>
  <c r="AG49" i="1"/>
  <c r="AG80" i="1"/>
  <c r="AG83" i="1"/>
  <c r="AG82" i="1"/>
  <c r="AG81" i="1"/>
  <c r="AG177" i="1"/>
  <c r="AG165" i="1"/>
  <c r="AG17" i="1"/>
  <c r="AG64" i="1"/>
  <c r="AG67" i="1"/>
  <c r="AG66" i="1"/>
  <c r="AG65" i="1"/>
  <c r="AG162" i="1"/>
  <c r="AG84" i="1"/>
  <c r="AG180" i="1"/>
  <c r="AG164" i="1"/>
  <c r="AG59" i="1"/>
  <c r="AG171" i="1"/>
  <c r="AG98" i="1"/>
  <c r="AG132" i="1"/>
  <c r="AG103" i="1"/>
  <c r="AG143" i="1"/>
  <c r="AG150" i="1"/>
  <c r="AG24" i="1"/>
  <c r="AG19" i="1"/>
  <c r="AG51" i="1"/>
  <c r="AG42" i="1"/>
  <c r="AG37" i="1"/>
  <c r="AG68" i="1"/>
  <c r="AG71" i="1"/>
  <c r="AG70" i="1"/>
  <c r="AG69" i="1"/>
  <c r="AG166" i="1"/>
  <c r="AG86" i="1"/>
  <c r="AG183" i="1"/>
  <c r="AG179" i="1"/>
  <c r="AG163" i="1"/>
  <c r="AG181" i="1"/>
  <c r="AG105" i="1"/>
  <c r="AG125" i="1"/>
  <c r="AG191" i="1"/>
  <c r="AG116" i="1"/>
  <c r="AG136" i="1"/>
  <c r="AG194" i="1"/>
  <c r="AG119" i="1"/>
  <c r="AG139" i="1"/>
  <c r="AG106" i="1"/>
  <c r="AG130" i="1"/>
  <c r="AG153" i="1"/>
  <c r="AG206" i="1"/>
  <c r="AG152" i="1"/>
  <c r="AG205" i="1"/>
  <c r="AG151" i="1"/>
  <c r="AG208" i="1"/>
  <c r="AG154" i="1"/>
  <c r="AG207" i="1"/>
  <c r="AG39" i="1"/>
  <c r="AG56" i="1"/>
  <c r="AG57" i="1"/>
  <c r="AG172" i="1"/>
  <c r="AG178" i="1"/>
  <c r="AG108" i="1"/>
  <c r="AG135" i="1"/>
  <c r="AG202" i="1"/>
  <c r="AG200" i="1"/>
  <c r="AG28" i="1"/>
  <c r="AG23" i="1"/>
  <c r="AG14" i="1"/>
  <c r="AG46" i="1"/>
  <c r="AG41" i="1"/>
  <c r="AG72" i="1"/>
  <c r="AG75" i="1"/>
  <c r="AG74" i="1"/>
  <c r="AG73" i="1"/>
  <c r="AG170" i="1"/>
  <c r="AG90" i="1"/>
  <c r="AG89" i="1"/>
  <c r="AG182" i="1"/>
  <c r="AG167" i="1"/>
  <c r="AG189" i="1"/>
  <c r="AG109" i="1"/>
  <c r="AG129" i="1"/>
  <c r="AG101" i="1"/>
  <c r="AG120" i="1"/>
  <c r="AG140" i="1"/>
  <c r="AG211" i="1"/>
  <c r="AG123" i="1"/>
  <c r="AG190" i="1"/>
  <c r="AG114" i="1"/>
  <c r="AG134" i="1"/>
  <c r="AG157" i="1"/>
  <c r="AG215" i="1"/>
  <c r="AG156" i="1"/>
  <c r="AG209" i="1"/>
  <c r="AG159" i="1"/>
  <c r="AG213" i="1"/>
  <c r="AG158" i="1"/>
  <c r="AG216" i="1"/>
  <c r="AG40" i="1"/>
  <c r="AG35" i="1"/>
  <c r="AG26" i="1"/>
  <c r="AG21" i="1"/>
  <c r="AG52" i="1"/>
  <c r="AG55" i="1"/>
  <c r="AG54" i="1"/>
  <c r="AG53" i="1"/>
  <c r="AG85" i="1"/>
  <c r="AG95" i="1"/>
  <c r="AG169" i="1"/>
  <c r="AG168" i="1"/>
  <c r="AG186" i="1"/>
  <c r="AG174" i="1"/>
  <c r="AG192" i="1"/>
  <c r="AG113" i="1"/>
  <c r="AG137" i="1"/>
  <c r="AG104" i="1"/>
  <c r="AG187" i="1"/>
  <c r="AG107" i="1"/>
  <c r="AG127" i="1"/>
  <c r="AG99" i="1"/>
  <c r="AG138" i="1"/>
  <c r="AG142" i="1"/>
  <c r="AG218" i="1"/>
  <c r="AG217" i="1"/>
  <c r="AG199" i="1"/>
  <c r="AG44" i="1"/>
  <c r="AG30" i="1"/>
  <c r="AG25" i="1"/>
  <c r="AG58" i="1"/>
  <c r="AG87" i="1"/>
  <c r="AG92" i="1"/>
  <c r="AG141" i="1"/>
  <c r="AG111" i="1"/>
  <c r="AG149" i="1"/>
  <c r="AG147" i="1"/>
  <c r="AG124" i="1"/>
  <c r="AG118" i="1"/>
  <c r="AG198" i="1"/>
  <c r="AG196" i="1"/>
  <c r="AG184" i="1"/>
  <c r="AG121" i="1"/>
  <c r="AG96" i="1"/>
  <c r="AG122" i="1"/>
  <c r="AG201" i="1"/>
  <c r="AG203" i="1"/>
  <c r="W17" i="3"/>
  <c r="W34" i="3"/>
  <c r="W20" i="3"/>
  <c r="W12" i="3"/>
  <c r="W25" i="3"/>
  <c r="W31" i="3"/>
  <c r="W22" i="3"/>
  <c r="W27" i="3"/>
  <c r="W23" i="3"/>
  <c r="W16" i="3"/>
  <c r="W37" i="3"/>
  <c r="W15" i="3"/>
  <c r="W7" i="3"/>
  <c r="W32" i="3"/>
  <c r="W18" i="3"/>
  <c r="W29" i="3"/>
  <c r="W24" i="3"/>
  <c r="W35" i="3"/>
  <c r="W30" i="3"/>
  <c r="W33" i="3"/>
  <c r="W19" i="3"/>
  <c r="W8" i="3"/>
  <c r="W10" i="3"/>
  <c r="W13" i="3"/>
  <c r="W14" i="3"/>
  <c r="W9" i="3"/>
  <c r="W36" i="3"/>
  <c r="W21" i="3"/>
  <c r="W26" i="3"/>
  <c r="W11" i="3"/>
  <c r="AC21" i="3" l="1"/>
  <c r="X145" i="1"/>
  <c r="AA123" i="1"/>
  <c r="X106" i="1"/>
  <c r="X100" i="1"/>
  <c r="AA185" i="1"/>
  <c r="AA161" i="1"/>
  <c r="X85" i="1"/>
  <c r="X59" i="1"/>
  <c r="AA49" i="1"/>
  <c r="AC32" i="3"/>
  <c r="T32" i="3"/>
  <c r="X150" i="1"/>
  <c r="AA146" i="1"/>
  <c r="AD36" i="3"/>
  <c r="AE35" i="3"/>
  <c r="AE27" i="3"/>
  <c r="AD21" i="3"/>
  <c r="AC8" i="3"/>
  <c r="X216" i="1"/>
  <c r="AA212" i="1"/>
  <c r="X206" i="1"/>
  <c r="AA145" i="1"/>
  <c r="AA141" i="1"/>
  <c r="AA133" i="1"/>
  <c r="AA118" i="1"/>
  <c r="X110" i="1"/>
  <c r="T106" i="1"/>
  <c r="AA105" i="1"/>
  <c r="AA103" i="1"/>
  <c r="AA99" i="1"/>
  <c r="T99" i="1"/>
  <c r="AA98" i="1"/>
  <c r="X96" i="1"/>
  <c r="AA189" i="1"/>
  <c r="X186" i="1"/>
  <c r="AA173" i="1"/>
  <c r="AA169" i="1"/>
  <c r="X93" i="1"/>
  <c r="AA86" i="1"/>
  <c r="AA82" i="1"/>
  <c r="AA80" i="1"/>
  <c r="X71" i="1"/>
  <c r="AA64" i="1"/>
  <c r="AA37" i="1"/>
  <c r="X29" i="1"/>
  <c r="AA16" i="1"/>
  <c r="AA47" i="1"/>
  <c r="AA43" i="1"/>
  <c r="T41" i="1"/>
  <c r="AA32" i="1"/>
  <c r="AA28" i="1"/>
  <c r="AA25" i="1"/>
  <c r="T25" i="1"/>
  <c r="X168" i="1"/>
  <c r="AA72" i="1"/>
  <c r="X63" i="1"/>
  <c r="X134" i="1"/>
  <c r="T118" i="1"/>
  <c r="X107" i="1"/>
  <c r="T103" i="1"/>
  <c r="AA174" i="1"/>
  <c r="X172" i="1"/>
  <c r="AA172" i="1"/>
  <c r="X164" i="1"/>
  <c r="AA92" i="1"/>
  <c r="AA76" i="1"/>
  <c r="X73" i="1"/>
  <c r="AA70" i="1"/>
  <c r="AA68" i="1"/>
  <c r="X61" i="1"/>
  <c r="AA23" i="1"/>
  <c r="X20" i="1"/>
  <c r="AA18" i="1"/>
  <c r="X17" i="1"/>
  <c r="AA217" i="1"/>
  <c r="AA208" i="1"/>
  <c r="AA201" i="1"/>
  <c r="X195" i="1"/>
  <c r="AA154" i="1"/>
  <c r="AA148" i="1"/>
  <c r="AA140" i="1"/>
  <c r="AA131" i="1"/>
  <c r="AA111" i="1"/>
  <c r="X194" i="1"/>
  <c r="AA192" i="1"/>
  <c r="T96" i="1"/>
  <c r="AA190" i="1"/>
  <c r="AA181" i="1"/>
  <c r="X179" i="1"/>
  <c r="X176" i="1"/>
  <c r="AA176" i="1"/>
  <c r="X171" i="1"/>
  <c r="X169" i="1"/>
  <c r="X87" i="1"/>
  <c r="T69" i="1"/>
  <c r="X64" i="1"/>
  <c r="X49" i="1"/>
  <c r="X40" i="1"/>
  <c r="AA20" i="1"/>
  <c r="AA17" i="1"/>
  <c r="AA206" i="1"/>
  <c r="T206" i="1"/>
  <c r="AA205" i="1"/>
  <c r="AA153" i="1"/>
  <c r="T153" i="1"/>
  <c r="AA152" i="1"/>
  <c r="AA142" i="1"/>
  <c r="T142" i="1"/>
  <c r="AA134" i="1"/>
  <c r="T134" i="1"/>
  <c r="AA120" i="1"/>
  <c r="AA116" i="1"/>
  <c r="AA112" i="1"/>
  <c r="AA110" i="1"/>
  <c r="T110" i="1"/>
  <c r="AA109" i="1"/>
  <c r="AA177" i="1"/>
  <c r="AA170" i="1"/>
  <c r="AA167" i="1"/>
  <c r="AA162" i="1"/>
  <c r="X89" i="1"/>
  <c r="X83" i="1"/>
  <c r="AA78" i="1"/>
  <c r="AA69" i="1"/>
  <c r="X65" i="1"/>
  <c r="T59" i="1"/>
  <c r="AA56" i="1"/>
  <c r="X55" i="1"/>
  <c r="AA53" i="1"/>
  <c r="AA50" i="1"/>
  <c r="AA48" i="1"/>
  <c r="X44" i="1"/>
  <c r="AA39" i="1"/>
  <c r="X36" i="1"/>
  <c r="AA34" i="1"/>
  <c r="X33" i="1"/>
  <c r="X28" i="1"/>
  <c r="AA24" i="1"/>
  <c r="AA218" i="1"/>
  <c r="AA214" i="1"/>
  <c r="AA207" i="1"/>
  <c r="AA139" i="1"/>
  <c r="AA129" i="1"/>
  <c r="AA117" i="1"/>
  <c r="T190" i="1"/>
  <c r="X187" i="1"/>
  <c r="X183" i="1"/>
  <c r="AA183" i="1"/>
  <c r="AA178" i="1"/>
  <c r="AA94" i="1"/>
  <c r="AA166" i="1"/>
  <c r="AA163" i="1"/>
  <c r="X90" i="1"/>
  <c r="AA90" i="1"/>
  <c r="AA84" i="1"/>
  <c r="X81" i="1"/>
  <c r="AA71" i="1"/>
  <c r="AA58" i="1"/>
  <c r="AA55" i="1"/>
  <c r="AA54" i="1"/>
  <c r="X53" i="1"/>
  <c r="AA46" i="1"/>
  <c r="X45" i="1"/>
  <c r="AA40" i="1"/>
  <c r="AA36" i="1"/>
  <c r="AA35" i="1"/>
  <c r="AA33" i="1"/>
  <c r="AA216" i="1"/>
  <c r="X205" i="1"/>
  <c r="X152" i="1"/>
  <c r="X218" i="1"/>
  <c r="X214" i="1"/>
  <c r="X212" i="1"/>
  <c r="X210" i="1"/>
  <c r="X209" i="1"/>
  <c r="AA202" i="1"/>
  <c r="T202" i="1"/>
  <c r="U202" i="1" s="1"/>
  <c r="S202" i="1" s="1"/>
  <c r="X199" i="1"/>
  <c r="AA196" i="1"/>
  <c r="AA195" i="1"/>
  <c r="X158" i="1"/>
  <c r="X157" i="1"/>
  <c r="X156" i="1"/>
  <c r="AA149" i="1"/>
  <c r="T149" i="1"/>
  <c r="X146" i="1"/>
  <c r="X144" i="1"/>
  <c r="AA138" i="1"/>
  <c r="T138" i="1"/>
  <c r="AA136" i="1"/>
  <c r="AA135" i="1"/>
  <c r="X130" i="1"/>
  <c r="X122" i="1"/>
  <c r="X197" i="1"/>
  <c r="AA147" i="1"/>
  <c r="AA132" i="1"/>
  <c r="AA210" i="1"/>
  <c r="T210" i="1"/>
  <c r="X207" i="1"/>
  <c r="AA204" i="1"/>
  <c r="AA203" i="1"/>
  <c r="X202" i="1"/>
  <c r="X201" i="1"/>
  <c r="AA160" i="1"/>
  <c r="T160" i="1"/>
  <c r="AA157" i="1"/>
  <c r="X154" i="1"/>
  <c r="AA151" i="1"/>
  <c r="AA150" i="1"/>
  <c r="X149" i="1"/>
  <c r="X148" i="1"/>
  <c r="AA130" i="1"/>
  <c r="AA128" i="1"/>
  <c r="AA127" i="1"/>
  <c r="AA119" i="1"/>
  <c r="X114" i="1"/>
  <c r="AA186" i="1"/>
  <c r="T186" i="1"/>
  <c r="T183" i="1"/>
  <c r="AA182" i="1"/>
  <c r="T182" i="1"/>
  <c r="T180" i="1"/>
  <c r="AA179" i="1"/>
  <c r="T179" i="1"/>
  <c r="T176" i="1"/>
  <c r="AA175" i="1"/>
  <c r="T175" i="1"/>
  <c r="T172" i="1"/>
  <c r="AA171" i="1"/>
  <c r="T171" i="1"/>
  <c r="T169" i="1"/>
  <c r="AA168" i="1"/>
  <c r="T168" i="1"/>
  <c r="T165" i="1"/>
  <c r="AA164" i="1"/>
  <c r="T164" i="1"/>
  <c r="T161" i="1"/>
  <c r="AA93" i="1"/>
  <c r="T93" i="1"/>
  <c r="T90" i="1"/>
  <c r="AA89" i="1"/>
  <c r="T89" i="1"/>
  <c r="X88" i="1"/>
  <c r="AA85" i="1"/>
  <c r="AA83" i="1"/>
  <c r="T83" i="1"/>
  <c r="AA81" i="1"/>
  <c r="T81" i="1"/>
  <c r="X80" i="1"/>
  <c r="X77" i="1"/>
  <c r="AA75" i="1"/>
  <c r="T75" i="1"/>
  <c r="AA73" i="1"/>
  <c r="T73" i="1"/>
  <c r="X72" i="1"/>
  <c r="AA67" i="1"/>
  <c r="T67" i="1"/>
  <c r="AA65" i="1"/>
  <c r="T65" i="1"/>
  <c r="X56" i="1"/>
  <c r="AA51" i="1"/>
  <c r="X48" i="1"/>
  <c r="AA41" i="1"/>
  <c r="AA38" i="1"/>
  <c r="X37" i="1"/>
  <c r="X32" i="1"/>
  <c r="AA29" i="1"/>
  <c r="T29" i="1"/>
  <c r="AA22" i="1"/>
  <c r="X21" i="1"/>
  <c r="X16" i="1"/>
  <c r="AA115" i="1"/>
  <c r="AA96" i="1"/>
  <c r="AA187" i="1"/>
  <c r="T64" i="1"/>
  <c r="AA63" i="1"/>
  <c r="T63" i="1"/>
  <c r="AA61" i="1"/>
  <c r="T61" i="1"/>
  <c r="X52" i="1"/>
  <c r="T49" i="1"/>
  <c r="T44" i="1"/>
  <c r="AA42" i="1"/>
  <c r="T28" i="1"/>
  <c r="AA14" i="1"/>
  <c r="AA114" i="1"/>
  <c r="X111" i="1"/>
  <c r="AA108" i="1"/>
  <c r="AA107" i="1"/>
  <c r="AA104" i="1"/>
  <c r="AA211" i="1"/>
  <c r="AA101" i="1"/>
  <c r="AA100" i="1"/>
  <c r="AA97" i="1"/>
  <c r="AA194" i="1"/>
  <c r="X193" i="1"/>
  <c r="X185" i="1"/>
  <c r="X181" i="1"/>
  <c r="X178" i="1"/>
  <c r="X174" i="1"/>
  <c r="X94" i="1"/>
  <c r="X167" i="1"/>
  <c r="X92" i="1"/>
  <c r="X86" i="1"/>
  <c r="X84" i="1"/>
  <c r="AA77" i="1"/>
  <c r="X76" i="1"/>
  <c r="X68" i="1"/>
  <c r="AA30" i="1"/>
  <c r="X24" i="1"/>
  <c r="AA21" i="1"/>
  <c r="X60" i="1"/>
  <c r="AI216" i="1"/>
  <c r="U216" i="1"/>
  <c r="S216" i="1" s="1"/>
  <c r="AI212" i="1"/>
  <c r="U212" i="1"/>
  <c r="S212" i="1" s="1"/>
  <c r="AI208" i="1"/>
  <c r="U207" i="1"/>
  <c r="S207" i="1" s="1"/>
  <c r="AI204" i="1"/>
  <c r="U203" i="1"/>
  <c r="S203" i="1" s="1"/>
  <c r="AI200" i="1"/>
  <c r="U199" i="1"/>
  <c r="S199" i="1" s="1"/>
  <c r="AI196" i="1"/>
  <c r="U195" i="1"/>
  <c r="S195" i="1" s="1"/>
  <c r="AI192" i="1"/>
  <c r="U158" i="1"/>
  <c r="S158" i="1" s="1"/>
  <c r="AI188" i="1"/>
  <c r="U154" i="1"/>
  <c r="S154" i="1" s="1"/>
  <c r="AI184" i="1"/>
  <c r="U150" i="1"/>
  <c r="S150" i="1" s="1"/>
  <c r="AI180" i="1"/>
  <c r="U146" i="1"/>
  <c r="AI217" i="1"/>
  <c r="AI213" i="1"/>
  <c r="AI209" i="1"/>
  <c r="AI205" i="1"/>
  <c r="AI201" i="1"/>
  <c r="AI197" i="1"/>
  <c r="AI193" i="1"/>
  <c r="AI189" i="1"/>
  <c r="AI185" i="1"/>
  <c r="AI181" i="1"/>
  <c r="U218" i="1"/>
  <c r="S218" i="1" s="1"/>
  <c r="AI218" i="1"/>
  <c r="U214" i="1"/>
  <c r="S214" i="1" s="1"/>
  <c r="AI214" i="1"/>
  <c r="U209" i="1"/>
  <c r="S209" i="1" s="1"/>
  <c r="AI210" i="1"/>
  <c r="U205" i="1"/>
  <c r="S205" i="1" s="1"/>
  <c r="AI206" i="1"/>
  <c r="U201" i="1"/>
  <c r="S201" i="1" s="1"/>
  <c r="AI202" i="1"/>
  <c r="U197" i="1"/>
  <c r="S197" i="1" s="1"/>
  <c r="AI198" i="1"/>
  <c r="AI194" i="1"/>
  <c r="U156" i="1"/>
  <c r="S156" i="1" s="1"/>
  <c r="AI190" i="1"/>
  <c r="U152" i="1"/>
  <c r="S152" i="1" s="1"/>
  <c r="AI186" i="1"/>
  <c r="U148" i="1"/>
  <c r="S148" i="1" s="1"/>
  <c r="AI182" i="1"/>
  <c r="AI177" i="1"/>
  <c r="AI176" i="1"/>
  <c r="U142" i="1"/>
  <c r="S142" i="1" s="1"/>
  <c r="U215" i="1"/>
  <c r="S215" i="1"/>
  <c r="AI215" i="1"/>
  <c r="U210" i="1"/>
  <c r="S210" i="1" s="1"/>
  <c r="AI211" i="1"/>
  <c r="U206" i="1"/>
  <c r="S206" i="1" s="1"/>
  <c r="AI207" i="1"/>
  <c r="AI203" i="1"/>
  <c r="U198" i="1"/>
  <c r="S198" i="1" s="1"/>
  <c r="AI199" i="1"/>
  <c r="U160" i="1"/>
  <c r="S160" i="1" s="1"/>
  <c r="AI195" i="1"/>
  <c r="U157" i="1"/>
  <c r="S157" i="1" s="1"/>
  <c r="AI191" i="1"/>
  <c r="U153" i="1"/>
  <c r="S153" i="1" s="1"/>
  <c r="AI187" i="1"/>
  <c r="U149" i="1"/>
  <c r="S149" i="1" s="1"/>
  <c r="AI183" i="1"/>
  <c r="U145" i="1"/>
  <c r="AI179" i="1"/>
  <c r="AI172" i="1"/>
  <c r="U138" i="1"/>
  <c r="S138" i="1" s="1"/>
  <c r="AI168" i="1"/>
  <c r="U134" i="1"/>
  <c r="S134" i="1" s="1"/>
  <c r="AI164" i="1"/>
  <c r="U130" i="1"/>
  <c r="S130" i="1" s="1"/>
  <c r="AI160" i="1"/>
  <c r="U126" i="1"/>
  <c r="S126" i="1" s="1"/>
  <c r="AI157" i="1"/>
  <c r="U122" i="1"/>
  <c r="S122" i="1" s="1"/>
  <c r="AI153" i="1"/>
  <c r="U118" i="1"/>
  <c r="S118" i="1" s="1"/>
  <c r="AI149" i="1"/>
  <c r="U114" i="1"/>
  <c r="S114" i="1" s="1"/>
  <c r="AI145" i="1"/>
  <c r="U110" i="1"/>
  <c r="S110" i="1" s="1"/>
  <c r="AI141" i="1"/>
  <c r="U106" i="1"/>
  <c r="S106" i="1" s="1"/>
  <c r="AI137" i="1"/>
  <c r="U103" i="1"/>
  <c r="S103" i="1" s="1"/>
  <c r="AI133" i="1"/>
  <c r="U99" i="1"/>
  <c r="S99" i="1" s="1"/>
  <c r="AI129" i="1"/>
  <c r="U193" i="1"/>
  <c r="S193" i="1" s="1"/>
  <c r="AI125" i="1"/>
  <c r="U190" i="1"/>
  <c r="S190" i="1" s="1"/>
  <c r="AI173" i="1"/>
  <c r="U139" i="1"/>
  <c r="S139" i="1" s="1"/>
  <c r="AI169" i="1"/>
  <c r="U135" i="1"/>
  <c r="S135" i="1" s="1"/>
  <c r="AI165" i="1"/>
  <c r="U131" i="1"/>
  <c r="S131" i="1" s="1"/>
  <c r="AI161" i="1"/>
  <c r="U127" i="1"/>
  <c r="S127" i="1" s="1"/>
  <c r="AI158" i="1"/>
  <c r="U123" i="1"/>
  <c r="S123" i="1" s="1"/>
  <c r="AI154" i="1"/>
  <c r="U119" i="1"/>
  <c r="S119" i="1" s="1"/>
  <c r="AI150" i="1"/>
  <c r="U115" i="1"/>
  <c r="S115" i="1" s="1"/>
  <c r="S111" i="1"/>
  <c r="AI146" i="1"/>
  <c r="U111" i="1"/>
  <c r="AI142" i="1"/>
  <c r="U107" i="1"/>
  <c r="S107" i="1" s="1"/>
  <c r="AI138" i="1"/>
  <c r="U211" i="1"/>
  <c r="S211" i="1" s="1"/>
  <c r="AI134" i="1"/>
  <c r="U100" i="1"/>
  <c r="S100" i="1" s="1"/>
  <c r="AI130" i="1"/>
  <c r="U194" i="1"/>
  <c r="S194" i="1" s="1"/>
  <c r="S96" i="1"/>
  <c r="AI126" i="1"/>
  <c r="U96" i="1"/>
  <c r="AI122" i="1"/>
  <c r="U187" i="1"/>
  <c r="S187" i="1" s="1"/>
  <c r="U144" i="1"/>
  <c r="S144" i="1" s="1"/>
  <c r="AI178" i="1"/>
  <c r="U140" i="1"/>
  <c r="S140" i="1" s="1"/>
  <c r="AI174" i="1"/>
  <c r="U136" i="1"/>
  <c r="S136" i="1" s="1"/>
  <c r="AI170" i="1"/>
  <c r="U132" i="1"/>
  <c r="S132" i="1" s="1"/>
  <c r="AI166" i="1"/>
  <c r="U128" i="1"/>
  <c r="S128" i="1" s="1"/>
  <c r="AI162" i="1"/>
  <c r="U124" i="1"/>
  <c r="S124" i="1" s="1"/>
  <c r="AI159" i="1"/>
  <c r="U120" i="1"/>
  <c r="S120" i="1" s="1"/>
  <c r="AI155" i="1"/>
  <c r="U116" i="1"/>
  <c r="S116" i="1" s="1"/>
  <c r="AI151" i="1"/>
  <c r="U112" i="1"/>
  <c r="S112" i="1" s="1"/>
  <c r="AI147" i="1"/>
  <c r="U108" i="1"/>
  <c r="S108" i="1" s="1"/>
  <c r="AI143" i="1"/>
  <c r="U104" i="1"/>
  <c r="S104" i="1" s="1"/>
  <c r="AI139" i="1"/>
  <c r="U101" i="1"/>
  <c r="S101" i="1" s="1"/>
  <c r="AI135" i="1"/>
  <c r="U97" i="1"/>
  <c r="S97" i="1" s="1"/>
  <c r="AI131" i="1"/>
  <c r="U191" i="1"/>
  <c r="S191" i="1" s="1"/>
  <c r="AI127" i="1"/>
  <c r="U141" i="1"/>
  <c r="S141" i="1" s="1"/>
  <c r="AI175" i="1"/>
  <c r="U137" i="1"/>
  <c r="S137" i="1" s="1"/>
  <c r="AI171" i="1"/>
  <c r="U133" i="1"/>
  <c r="S133" i="1" s="1"/>
  <c r="AI167" i="1"/>
  <c r="U129" i="1"/>
  <c r="S129" i="1" s="1"/>
  <c r="AI163" i="1"/>
  <c r="U125" i="1"/>
  <c r="S125" i="1" s="1"/>
  <c r="U121" i="1"/>
  <c r="S121" i="1" s="1"/>
  <c r="AI156" i="1"/>
  <c r="U117" i="1"/>
  <c r="S117" i="1" s="1"/>
  <c r="AI152" i="1"/>
  <c r="U113" i="1"/>
  <c r="S113" i="1" s="1"/>
  <c r="AI148" i="1"/>
  <c r="U109" i="1"/>
  <c r="S109" i="1" s="1"/>
  <c r="AI144" i="1"/>
  <c r="U105" i="1"/>
  <c r="S105" i="1" s="1"/>
  <c r="AI140" i="1"/>
  <c r="U102" i="1"/>
  <c r="S102" i="1" s="1"/>
  <c r="AI136" i="1"/>
  <c r="U98" i="1"/>
  <c r="S98" i="1" s="1"/>
  <c r="AI132" i="1"/>
  <c r="U192" i="1"/>
  <c r="S192" i="1" s="1"/>
  <c r="AI128" i="1"/>
  <c r="U189" i="1"/>
  <c r="S189" i="1"/>
  <c r="AI124" i="1"/>
  <c r="AI120" i="1"/>
  <c r="U185" i="1"/>
  <c r="S185" i="1" s="1"/>
  <c r="AI116" i="1"/>
  <c r="U181" i="1"/>
  <c r="S181" i="1" s="1"/>
  <c r="AI112" i="1"/>
  <c r="U178" i="1"/>
  <c r="S178" i="1" s="1"/>
  <c r="AI108" i="1"/>
  <c r="U174" i="1"/>
  <c r="S174" i="1" s="1"/>
  <c r="AI104" i="1"/>
  <c r="U94" i="1"/>
  <c r="S94" i="1" s="1"/>
  <c r="AI100" i="1"/>
  <c r="U167" i="1"/>
  <c r="S167" i="1" s="1"/>
  <c r="AI96" i="1"/>
  <c r="U163" i="1"/>
  <c r="S163" i="1" s="1"/>
  <c r="AI92" i="1"/>
  <c r="U92" i="1"/>
  <c r="S92" i="1" s="1"/>
  <c r="AI88" i="1"/>
  <c r="U88" i="1"/>
  <c r="S88" i="1" s="1"/>
  <c r="S186" i="1"/>
  <c r="AI121" i="1"/>
  <c r="U186" i="1"/>
  <c r="AI117" i="1"/>
  <c r="U182" i="1"/>
  <c r="S182" i="1" s="1"/>
  <c r="AI113" i="1"/>
  <c r="U179" i="1"/>
  <c r="S179" i="1" s="1"/>
  <c r="AI109" i="1"/>
  <c r="U175" i="1"/>
  <c r="S175" i="1" s="1"/>
  <c r="AI105" i="1"/>
  <c r="U171" i="1"/>
  <c r="S171" i="1" s="1"/>
  <c r="AI101" i="1"/>
  <c r="U168" i="1"/>
  <c r="S168" i="1" s="1"/>
  <c r="AI97" i="1"/>
  <c r="U164" i="1"/>
  <c r="S164" i="1" s="1"/>
  <c r="AI93" i="1"/>
  <c r="U93" i="1"/>
  <c r="S93" i="1" s="1"/>
  <c r="AI89" i="1"/>
  <c r="U89" i="1"/>
  <c r="S89" i="1" s="1"/>
  <c r="U183" i="1"/>
  <c r="S183" i="1" s="1"/>
  <c r="AI118" i="1"/>
  <c r="U180" i="1"/>
  <c r="S180" i="1" s="1"/>
  <c r="AI114" i="1"/>
  <c r="U176" i="1"/>
  <c r="S176" i="1" s="1"/>
  <c r="AI110" i="1"/>
  <c r="U172" i="1"/>
  <c r="S172" i="1" s="1"/>
  <c r="AI106" i="1"/>
  <c r="U169" i="1"/>
  <c r="S169" i="1" s="1"/>
  <c r="AI102" i="1"/>
  <c r="U165" i="1"/>
  <c r="S165" i="1" s="1"/>
  <c r="AI98" i="1"/>
  <c r="U161" i="1"/>
  <c r="S161" i="1" s="1"/>
  <c r="AI94" i="1"/>
  <c r="U90" i="1"/>
  <c r="S90" i="1" s="1"/>
  <c r="AI90" i="1"/>
  <c r="U86" i="1"/>
  <c r="S86" i="1" s="1"/>
  <c r="AI86" i="1"/>
  <c r="U84" i="1"/>
  <c r="S84" i="1" s="1"/>
  <c r="AI84" i="1"/>
  <c r="AI123" i="1"/>
  <c r="AI119" i="1"/>
  <c r="AI115" i="1"/>
  <c r="AI111" i="1"/>
  <c r="AI107" i="1"/>
  <c r="AI103" i="1"/>
  <c r="AI99" i="1"/>
  <c r="AI95" i="1"/>
  <c r="AI91" i="1"/>
  <c r="U87" i="1"/>
  <c r="S87" i="1" s="1"/>
  <c r="AI87" i="1"/>
  <c r="AI85" i="1"/>
  <c r="AI81" i="1"/>
  <c r="U81" i="1"/>
  <c r="S81" i="1" s="1"/>
  <c r="AI77" i="1"/>
  <c r="U77" i="1"/>
  <c r="S77" i="1" s="1"/>
  <c r="AI73" i="1"/>
  <c r="U73" i="1"/>
  <c r="S73" i="1" s="1"/>
  <c r="AI69" i="1"/>
  <c r="U69" i="1"/>
  <c r="S69" i="1" s="1"/>
  <c r="AI65" i="1"/>
  <c r="U65" i="1"/>
  <c r="AI61" i="1"/>
  <c r="U61" i="1"/>
  <c r="S61" i="1" s="1"/>
  <c r="AI57" i="1"/>
  <c r="U57" i="1"/>
  <c r="S57" i="1" s="1"/>
  <c r="AI53" i="1"/>
  <c r="U53" i="1"/>
  <c r="S53" i="1" s="1"/>
  <c r="AI82" i="1"/>
  <c r="U82" i="1"/>
  <c r="S82" i="1" s="1"/>
  <c r="AI78" i="1"/>
  <c r="U78" i="1"/>
  <c r="S78" i="1" s="1"/>
  <c r="AI74" i="1"/>
  <c r="U74" i="1"/>
  <c r="S74" i="1" s="1"/>
  <c r="AI70" i="1"/>
  <c r="U70" i="1"/>
  <c r="S70" i="1" s="1"/>
  <c r="AI66" i="1"/>
  <c r="U66" i="1"/>
  <c r="S66" i="1" s="1"/>
  <c r="AI62" i="1"/>
  <c r="U62" i="1"/>
  <c r="S62" i="1" s="1"/>
  <c r="AI58" i="1"/>
  <c r="U58" i="1"/>
  <c r="S58" i="1" s="1"/>
  <c r="AI54" i="1"/>
  <c r="U54" i="1"/>
  <c r="S54" i="1" s="1"/>
  <c r="U83" i="1"/>
  <c r="S83" i="1" s="1"/>
  <c r="AI83" i="1"/>
  <c r="U79" i="1"/>
  <c r="S79" i="1" s="1"/>
  <c r="AI79" i="1"/>
  <c r="U75" i="1"/>
  <c r="S75" i="1" s="1"/>
  <c r="AI75" i="1"/>
  <c r="U71" i="1"/>
  <c r="S71" i="1" s="1"/>
  <c r="AI71" i="1"/>
  <c r="U67" i="1"/>
  <c r="S67" i="1" s="1"/>
  <c r="AI67" i="1"/>
  <c r="U63" i="1"/>
  <c r="S63" i="1" s="1"/>
  <c r="AI63" i="1"/>
  <c r="U59" i="1"/>
  <c r="S59" i="1" s="1"/>
  <c r="AI59" i="1"/>
  <c r="U55" i="1"/>
  <c r="S55" i="1" s="1"/>
  <c r="AI55" i="1"/>
  <c r="U80" i="1"/>
  <c r="S80" i="1" s="1"/>
  <c r="AI80" i="1"/>
  <c r="U76" i="1"/>
  <c r="S76" i="1" s="1"/>
  <c r="AI76" i="1"/>
  <c r="U72" i="1"/>
  <c r="S72" i="1" s="1"/>
  <c r="AI72" i="1"/>
  <c r="U68" i="1"/>
  <c r="S68" i="1" s="1"/>
  <c r="AI68" i="1"/>
  <c r="U64" i="1"/>
  <c r="S64" i="1" s="1"/>
  <c r="AI64" i="1"/>
  <c r="U60" i="1"/>
  <c r="S60" i="1"/>
  <c r="AI60" i="1"/>
  <c r="U56" i="1"/>
  <c r="S56" i="1" s="1"/>
  <c r="AI56" i="1"/>
  <c r="U52" i="1"/>
  <c r="S52" i="1" s="1"/>
  <c r="AI52" i="1"/>
  <c r="AI49" i="1"/>
  <c r="U49" i="1"/>
  <c r="S49" i="1" s="1"/>
  <c r="AI45" i="1"/>
  <c r="U45" i="1"/>
  <c r="S45" i="1" s="1"/>
  <c r="AI41" i="1"/>
  <c r="U41" i="1"/>
  <c r="S41" i="1" s="1"/>
  <c r="S37" i="1"/>
  <c r="AI37" i="1"/>
  <c r="U37" i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50" i="1"/>
  <c r="U50" i="1"/>
  <c r="S50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S14" i="1"/>
  <c r="AI14" i="1"/>
  <c r="U14" i="1"/>
  <c r="AI51" i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S19" i="1"/>
  <c r="AI19" i="1"/>
  <c r="U15" i="1"/>
  <c r="S15" i="1" s="1"/>
  <c r="AI15" i="1"/>
  <c r="U48" i="1"/>
  <c r="S48" i="1" s="1"/>
  <c r="AI48" i="1"/>
  <c r="U44" i="1"/>
  <c r="S44" i="1" s="1"/>
  <c r="AI44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02" i="1"/>
  <c r="W197" i="1"/>
  <c r="W196" i="1"/>
  <c r="W195" i="1"/>
  <c r="W149" i="1"/>
  <c r="W143" i="1"/>
  <c r="W206" i="1"/>
  <c r="W201" i="1"/>
  <c r="W200" i="1"/>
  <c r="W199" i="1"/>
  <c r="W153" i="1"/>
  <c r="W148" i="1"/>
  <c r="W147" i="1"/>
  <c r="W146" i="1"/>
  <c r="W215" i="1"/>
  <c r="W210" i="1"/>
  <c r="W205" i="1"/>
  <c r="W204" i="1"/>
  <c r="W203" i="1"/>
  <c r="W160" i="1"/>
  <c r="W157" i="1"/>
  <c r="W152" i="1"/>
  <c r="W151" i="1"/>
  <c r="W150" i="1"/>
  <c r="W218" i="1"/>
  <c r="W217" i="1"/>
  <c r="W216" i="1"/>
  <c r="W214" i="1"/>
  <c r="W213" i="1"/>
  <c r="W212" i="1"/>
  <c r="W209" i="1"/>
  <c r="W208" i="1"/>
  <c r="W207" i="1"/>
  <c r="W198" i="1"/>
  <c r="W159" i="1"/>
  <c r="W158" i="1"/>
  <c r="W156" i="1"/>
  <c r="W155" i="1"/>
  <c r="W154" i="1"/>
  <c r="W145" i="1"/>
  <c r="W144" i="1"/>
  <c r="W141" i="1"/>
  <c r="W142" i="1"/>
  <c r="W138" i="1"/>
  <c r="W137" i="1"/>
  <c r="W136" i="1"/>
  <c r="W135" i="1"/>
  <c r="W122" i="1"/>
  <c r="W121" i="1"/>
  <c r="W120" i="1"/>
  <c r="W119" i="1"/>
  <c r="W193" i="1"/>
  <c r="W190" i="1"/>
  <c r="T143" i="1"/>
  <c r="U143" i="1" s="1"/>
  <c r="S143" i="1" s="1"/>
  <c r="X143" i="1"/>
  <c r="W134" i="1"/>
  <c r="W133" i="1"/>
  <c r="W132" i="1"/>
  <c r="W131" i="1"/>
  <c r="W118" i="1"/>
  <c r="W117" i="1"/>
  <c r="W116" i="1"/>
  <c r="W115" i="1"/>
  <c r="W110" i="1"/>
  <c r="W106" i="1"/>
  <c r="W103" i="1"/>
  <c r="W99" i="1"/>
  <c r="W192" i="1"/>
  <c r="W191" i="1"/>
  <c r="W96" i="1"/>
  <c r="W189" i="1"/>
  <c r="X217" i="1"/>
  <c r="T217" i="1"/>
  <c r="U217" i="1" s="1"/>
  <c r="S217" i="1" s="1"/>
  <c r="X213" i="1"/>
  <c r="T213" i="1"/>
  <c r="U213" i="1" s="1"/>
  <c r="S213" i="1" s="1"/>
  <c r="X208" i="1"/>
  <c r="T208" i="1"/>
  <c r="U208" i="1" s="1"/>
  <c r="S208" i="1" s="1"/>
  <c r="X204" i="1"/>
  <c r="T204" i="1"/>
  <c r="U204" i="1" s="1"/>
  <c r="S204" i="1" s="1"/>
  <c r="X200" i="1"/>
  <c r="T200" i="1"/>
  <c r="U200" i="1" s="1"/>
  <c r="S200" i="1" s="1"/>
  <c r="X196" i="1"/>
  <c r="T196" i="1"/>
  <c r="U196" i="1" s="1"/>
  <c r="S196" i="1" s="1"/>
  <c r="X159" i="1"/>
  <c r="T159" i="1"/>
  <c r="U159" i="1" s="1"/>
  <c r="S159" i="1" s="1"/>
  <c r="X155" i="1"/>
  <c r="T155" i="1"/>
  <c r="U155" i="1" s="1"/>
  <c r="S155" i="1" s="1"/>
  <c r="X151" i="1"/>
  <c r="T151" i="1"/>
  <c r="U151" i="1" s="1"/>
  <c r="S151" i="1" s="1"/>
  <c r="X147" i="1"/>
  <c r="T147" i="1"/>
  <c r="U147" i="1" s="1"/>
  <c r="S147" i="1" s="1"/>
  <c r="W130" i="1"/>
  <c r="W129" i="1"/>
  <c r="W128" i="1"/>
  <c r="W127" i="1"/>
  <c r="W114" i="1"/>
  <c r="W109" i="1"/>
  <c r="W108" i="1"/>
  <c r="W107" i="1"/>
  <c r="W105" i="1"/>
  <c r="W104" i="1"/>
  <c r="W211" i="1"/>
  <c r="W102" i="1"/>
  <c r="W101" i="1"/>
  <c r="W100" i="1"/>
  <c r="W98" i="1"/>
  <c r="W97" i="1"/>
  <c r="W194" i="1"/>
  <c r="W140" i="1"/>
  <c r="W139" i="1"/>
  <c r="W126" i="1"/>
  <c r="W125" i="1"/>
  <c r="W124" i="1"/>
  <c r="W123" i="1"/>
  <c r="W113" i="1"/>
  <c r="W112" i="1"/>
  <c r="W111" i="1"/>
  <c r="X141" i="1"/>
  <c r="X137" i="1"/>
  <c r="X133" i="1"/>
  <c r="X129" i="1"/>
  <c r="X125" i="1"/>
  <c r="X121" i="1"/>
  <c r="X117" i="1"/>
  <c r="X113" i="1"/>
  <c r="X109" i="1"/>
  <c r="X105" i="1"/>
  <c r="X102" i="1"/>
  <c r="X98" i="1"/>
  <c r="X192" i="1"/>
  <c r="X189" i="1"/>
  <c r="T188" i="1"/>
  <c r="U188" i="1" s="1"/>
  <c r="S188" i="1" s="1"/>
  <c r="X188" i="1"/>
  <c r="W187" i="1"/>
  <c r="W186" i="1"/>
  <c r="W182" i="1"/>
  <c r="W179" i="1"/>
  <c r="W175" i="1"/>
  <c r="W171" i="1"/>
  <c r="W168" i="1"/>
  <c r="W164" i="1"/>
  <c r="W93" i="1"/>
  <c r="W89" i="1"/>
  <c r="W185" i="1"/>
  <c r="W184" i="1"/>
  <c r="W183" i="1"/>
  <c r="W181" i="1"/>
  <c r="W95" i="1"/>
  <c r="W180" i="1"/>
  <c r="W178" i="1"/>
  <c r="W177" i="1"/>
  <c r="W176" i="1"/>
  <c r="W174" i="1"/>
  <c r="W173" i="1"/>
  <c r="W172" i="1"/>
  <c r="W94" i="1"/>
  <c r="W170" i="1"/>
  <c r="W169" i="1"/>
  <c r="W167" i="1"/>
  <c r="W166" i="1"/>
  <c r="W165" i="1"/>
  <c r="W163" i="1"/>
  <c r="W162" i="1"/>
  <c r="W161" i="1"/>
  <c r="W92" i="1"/>
  <c r="W91" i="1"/>
  <c r="W90" i="1"/>
  <c r="W88" i="1"/>
  <c r="X139" i="1"/>
  <c r="X135" i="1"/>
  <c r="X131" i="1"/>
  <c r="X127" i="1"/>
  <c r="X123" i="1"/>
  <c r="X119" i="1"/>
  <c r="X115" i="1"/>
  <c r="W87" i="1"/>
  <c r="X140" i="1"/>
  <c r="X136" i="1"/>
  <c r="X132" i="1"/>
  <c r="X128" i="1"/>
  <c r="X124" i="1"/>
  <c r="X120" i="1"/>
  <c r="X116" i="1"/>
  <c r="X112" i="1"/>
  <c r="X108" i="1"/>
  <c r="X104" i="1"/>
  <c r="X101" i="1"/>
  <c r="X97" i="1"/>
  <c r="X191" i="1"/>
  <c r="W188" i="1"/>
  <c r="W86" i="1"/>
  <c r="W84" i="1"/>
  <c r="X184" i="1"/>
  <c r="T184" i="1"/>
  <c r="U184" i="1" s="1"/>
  <c r="S184" i="1" s="1"/>
  <c r="X95" i="1"/>
  <c r="T95" i="1"/>
  <c r="U95" i="1" s="1"/>
  <c r="S95" i="1" s="1"/>
  <c r="X177" i="1"/>
  <c r="T177" i="1"/>
  <c r="U177" i="1" s="1"/>
  <c r="S177" i="1" s="1"/>
  <c r="X173" i="1"/>
  <c r="T173" i="1"/>
  <c r="U173" i="1" s="1"/>
  <c r="S173" i="1" s="1"/>
  <c r="X170" i="1"/>
  <c r="T170" i="1"/>
  <c r="U170" i="1" s="1"/>
  <c r="S170" i="1" s="1"/>
  <c r="X166" i="1"/>
  <c r="T166" i="1"/>
  <c r="U166" i="1" s="1"/>
  <c r="S166" i="1" s="1"/>
  <c r="T162" i="1"/>
  <c r="U162" i="1" s="1"/>
  <c r="S162" i="1" s="1"/>
  <c r="X91" i="1"/>
  <c r="T91" i="1"/>
  <c r="U91" i="1" s="1"/>
  <c r="S91" i="1" s="1"/>
  <c r="W83" i="1"/>
  <c r="W81" i="1"/>
  <c r="W75" i="1"/>
  <c r="W73" i="1"/>
  <c r="W67" i="1"/>
  <c r="W65" i="1"/>
  <c r="W54" i="1"/>
  <c r="W52" i="1"/>
  <c r="W51" i="1"/>
  <c r="W85" i="1"/>
  <c r="T85" i="1"/>
  <c r="U85" i="1" s="1"/>
  <c r="S85" i="1" s="1"/>
  <c r="W82" i="1"/>
  <c r="W80" i="1"/>
  <c r="W74" i="1"/>
  <c r="W72" i="1"/>
  <c r="W66" i="1"/>
  <c r="W63" i="1"/>
  <c r="W61" i="1"/>
  <c r="W79" i="1"/>
  <c r="W77" i="1"/>
  <c r="W71" i="1"/>
  <c r="W69" i="1"/>
  <c r="W64" i="1"/>
  <c r="W62" i="1"/>
  <c r="W60" i="1"/>
  <c r="W59" i="1"/>
  <c r="W57" i="1"/>
  <c r="W78" i="1"/>
  <c r="W76" i="1"/>
  <c r="W70" i="1"/>
  <c r="W68" i="1"/>
  <c r="W58" i="1"/>
  <c r="W56" i="1"/>
  <c r="W55" i="1"/>
  <c r="W53" i="1"/>
  <c r="W44" i="1"/>
  <c r="W41" i="1"/>
  <c r="W39" i="1"/>
  <c r="W38" i="1"/>
  <c r="W29" i="1"/>
  <c r="W28" i="1"/>
  <c r="W23" i="1"/>
  <c r="W22" i="1"/>
  <c r="W48" i="1"/>
  <c r="W45" i="1"/>
  <c r="W43" i="1"/>
  <c r="W42" i="1"/>
  <c r="W33" i="1"/>
  <c r="W32" i="1"/>
  <c r="W27" i="1"/>
  <c r="W26" i="1"/>
  <c r="W17" i="1"/>
  <c r="W16" i="1"/>
  <c r="W14" i="1"/>
  <c r="X82" i="1"/>
  <c r="X78" i="1"/>
  <c r="X74" i="1"/>
  <c r="X70" i="1"/>
  <c r="X66" i="1"/>
  <c r="X62" i="1"/>
  <c r="X58" i="1"/>
  <c r="X54" i="1"/>
  <c r="T51" i="1"/>
  <c r="U51" i="1" s="1"/>
  <c r="S51" i="1" s="1"/>
  <c r="X51" i="1"/>
  <c r="W49" i="1"/>
  <c r="W47" i="1"/>
  <c r="W46" i="1"/>
  <c r="W36" i="1"/>
  <c r="W31" i="1"/>
  <c r="W30" i="1"/>
  <c r="W21" i="1"/>
  <c r="W20" i="1"/>
  <c r="W15" i="1"/>
  <c r="W50" i="1"/>
  <c r="W40" i="1"/>
  <c r="W37" i="1"/>
  <c r="W35" i="1"/>
  <c r="W34" i="1"/>
  <c r="W25" i="1"/>
  <c r="W24" i="1"/>
  <c r="W19" i="1"/>
  <c r="W18" i="1"/>
  <c r="X50" i="1"/>
  <c r="X46" i="1"/>
  <c r="X42" i="1"/>
  <c r="X38" i="1"/>
  <c r="X34" i="1"/>
  <c r="X30" i="1"/>
  <c r="X26" i="1"/>
  <c r="X22" i="1"/>
  <c r="X18" i="1"/>
  <c r="X47" i="1"/>
  <c r="X43" i="1"/>
  <c r="X39" i="1"/>
  <c r="X35" i="1"/>
  <c r="X31" i="1"/>
  <c r="X27" i="1"/>
  <c r="X23" i="1"/>
  <c r="X19" i="1"/>
  <c r="X15" i="1"/>
  <c r="AD33" i="3"/>
  <c r="AD25" i="3"/>
  <c r="AC11" i="3"/>
  <c r="AE19" i="3"/>
  <c r="AC18" i="3"/>
  <c r="AD15" i="3"/>
  <c r="AC34" i="3"/>
  <c r="AE31" i="3"/>
  <c r="AC14" i="3"/>
  <c r="T14" i="3"/>
  <c r="AC23" i="3"/>
  <c r="AD24" i="3"/>
  <c r="AE23" i="3"/>
  <c r="AD13" i="3"/>
  <c r="AD17" i="3"/>
  <c r="AD12" i="3"/>
  <c r="AD11" i="3"/>
  <c r="AE11" i="3"/>
  <c r="AD9" i="3"/>
  <c r="AD20" i="3"/>
  <c r="AD16" i="3"/>
  <c r="AE15" i="3"/>
  <c r="AC26" i="3"/>
  <c r="T26" i="3"/>
  <c r="AC13" i="3"/>
  <c r="AC35" i="3"/>
  <c r="AC19" i="3"/>
  <c r="T19" i="3"/>
  <c r="AC10" i="3"/>
  <c r="AC33" i="3"/>
  <c r="AC24" i="3"/>
  <c r="AC25" i="3"/>
  <c r="AC31" i="3"/>
  <c r="AC29" i="3"/>
  <c r="AC22" i="3"/>
  <c r="Y11" i="3"/>
  <c r="Y18" i="3"/>
  <c r="Y22" i="3"/>
  <c r="Y8" i="3"/>
  <c r="Y26" i="3"/>
  <c r="Y32" i="3"/>
  <c r="Y31" i="3"/>
  <c r="Y19" i="3"/>
  <c r="Y21" i="3"/>
  <c r="Y7" i="3"/>
  <c r="Y25" i="3"/>
  <c r="Y33" i="3"/>
  <c r="Y36" i="3"/>
  <c r="Y15" i="3"/>
  <c r="Y12" i="3"/>
  <c r="Y30" i="3"/>
  <c r="Y9" i="3"/>
  <c r="Y37" i="3"/>
  <c r="Y20" i="3"/>
  <c r="Y35" i="3"/>
  <c r="Y14" i="3"/>
  <c r="Y16" i="3"/>
  <c r="Y34" i="3"/>
  <c r="Y24" i="3"/>
  <c r="Y13" i="3"/>
  <c r="Y23" i="3"/>
  <c r="Y17" i="3"/>
  <c r="Y29" i="3"/>
  <c r="Y10" i="3"/>
  <c r="Y27" i="3"/>
  <c r="T36" i="3"/>
  <c r="AE22" i="3"/>
  <c r="T12" i="3"/>
  <c r="AE18" i="3"/>
  <c r="T30" i="3"/>
  <c r="AE14" i="3"/>
  <c r="T9" i="3"/>
  <c r="AE10" i="3"/>
  <c r="T37" i="3"/>
  <c r="AE30" i="3"/>
  <c r="T15" i="3"/>
  <c r="AE33" i="3"/>
  <c r="T24" i="3"/>
  <c r="AD30" i="3"/>
  <c r="T13" i="3"/>
  <c r="AD26" i="3"/>
  <c r="AE25" i="3"/>
  <c r="T23" i="3"/>
  <c r="AD22" i="3"/>
  <c r="AE21" i="3"/>
  <c r="T17" i="3"/>
  <c r="AD18" i="3"/>
  <c r="AE17" i="3"/>
  <c r="T29" i="3"/>
  <c r="AD14" i="3"/>
  <c r="AE13" i="3"/>
  <c r="T10" i="3"/>
  <c r="AD10" i="3"/>
  <c r="AE9" i="3"/>
  <c r="T27" i="3"/>
  <c r="AE34" i="3"/>
  <c r="T16" i="3"/>
  <c r="AE26" i="3"/>
  <c r="AE37" i="3"/>
  <c r="T34" i="3"/>
  <c r="AD34" i="3"/>
  <c r="AE29" i="3"/>
  <c r="AE36" i="3"/>
  <c r="AE32" i="3"/>
  <c r="AE24" i="3"/>
  <c r="AE20" i="3"/>
  <c r="AE16" i="3"/>
  <c r="AE12" i="3"/>
  <c r="AE8" i="3"/>
  <c r="M28" i="3"/>
  <c r="R28" i="3"/>
  <c r="S28" i="3"/>
  <c r="U28" i="3"/>
  <c r="AD28" i="3" s="1"/>
  <c r="V28" i="3"/>
  <c r="X28" i="3"/>
  <c r="W28" i="3"/>
  <c r="AE28" i="3" l="1"/>
  <c r="Y28" i="3"/>
  <c r="AC28" i="3"/>
  <c r="T28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N8" i="3" s="1"/>
  <c r="G50" i="4"/>
  <c r="G51" i="4"/>
  <c r="G52" i="4"/>
  <c r="G53" i="4"/>
  <c r="G54" i="4"/>
  <c r="G55" i="4"/>
  <c r="G56" i="4"/>
  <c r="G57" i="4"/>
  <c r="G58" i="4"/>
  <c r="G59" i="4"/>
  <c r="G60" i="4"/>
  <c r="G61" i="4"/>
  <c r="N27" i="3" s="1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N37" i="3" s="1"/>
  <c r="G75" i="4"/>
  <c r="G76" i="4"/>
  <c r="G77" i="4"/>
  <c r="G78" i="4"/>
  <c r="G79" i="4"/>
  <c r="G80" i="4"/>
  <c r="N21" i="3" s="1"/>
  <c r="G81" i="4"/>
  <c r="N10" i="3" s="1"/>
  <c r="G82" i="4"/>
  <c r="G83" i="4"/>
  <c r="N22" i="3" s="1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N9" i="3" s="1"/>
  <c r="G109" i="4"/>
  <c r="G110" i="4"/>
  <c r="G111" i="4"/>
  <c r="G112" i="4"/>
  <c r="G113" i="4"/>
  <c r="G114" i="4"/>
  <c r="N30" i="3" s="1"/>
  <c r="G115" i="4"/>
  <c r="G116" i="4"/>
  <c r="G117" i="4"/>
  <c r="G118" i="4"/>
  <c r="G119" i="4"/>
  <c r="G120" i="4"/>
  <c r="N31" i="3" s="1"/>
  <c r="G121" i="4"/>
  <c r="G122" i="4"/>
  <c r="N11" i="3" s="1"/>
  <c r="G123" i="4"/>
  <c r="G124" i="4"/>
  <c r="G125" i="4"/>
  <c r="G126" i="4"/>
  <c r="G127" i="4"/>
  <c r="G128" i="4"/>
  <c r="N35" i="3" s="1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N36" i="3" s="1"/>
  <c r="G147" i="4"/>
  <c r="G148" i="4"/>
  <c r="G149" i="4"/>
  <c r="G150" i="4"/>
  <c r="G151" i="4"/>
  <c r="G152" i="4"/>
  <c r="G153" i="4"/>
  <c r="G154" i="4"/>
  <c r="G155" i="4"/>
  <c r="G156" i="4"/>
  <c r="G157" i="4"/>
  <c r="G158" i="4"/>
  <c r="N26" i="3" s="1"/>
  <c r="G159" i="4"/>
  <c r="G160" i="4"/>
  <c r="G161" i="4"/>
  <c r="G162" i="4"/>
  <c r="G163" i="4"/>
  <c r="G164" i="4"/>
  <c r="G165" i="4"/>
  <c r="G166" i="4"/>
  <c r="N7" i="3" s="1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N24" i="3" s="1"/>
  <c r="G182" i="4"/>
  <c r="G183" i="4"/>
  <c r="G184" i="4"/>
  <c r="G185" i="4"/>
  <c r="G186" i="4"/>
  <c r="N16" i="3" s="1"/>
  <c r="G187" i="4"/>
  <c r="G188" i="4"/>
  <c r="G189" i="4"/>
  <c r="G190" i="4"/>
  <c r="G191" i="4"/>
  <c r="G192" i="4"/>
  <c r="G193" i="4"/>
  <c r="G194" i="4"/>
  <c r="N33" i="3" s="1"/>
  <c r="G195" i="4"/>
  <c r="G196" i="4"/>
  <c r="G197" i="4"/>
  <c r="G198" i="4"/>
  <c r="G199" i="4"/>
  <c r="N20" i="3" s="1"/>
  <c r="G200" i="4"/>
  <c r="G201" i="4"/>
  <c r="G202" i="4"/>
  <c r="G203" i="4"/>
  <c r="G204" i="4"/>
  <c r="G205" i="4"/>
  <c r="G206" i="4"/>
  <c r="G207" i="4"/>
  <c r="G208" i="4"/>
  <c r="G209" i="4"/>
  <c r="N34" i="3" s="1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3" i="3" l="1"/>
  <c r="N25" i="3"/>
  <c r="N15" i="3"/>
  <c r="N14" i="3"/>
  <c r="N23" i="3"/>
  <c r="N32" i="3"/>
  <c r="N17" i="3"/>
  <c r="N12" i="3"/>
  <c r="N18" i="3"/>
  <c r="N29" i="3"/>
  <c r="N19" i="3"/>
  <c r="N28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" i="6" l="1"/>
  <c r="G259" i="4"/>
  <c r="G260" i="4"/>
  <c r="G261" i="4"/>
  <c r="G262" i="4"/>
  <c r="G263" i="4"/>
  <c r="G264" i="4"/>
  <c r="G265" i="4"/>
  <c r="B4" i="6" l="1"/>
  <c r="G3" i="6"/>
  <c r="I3" i="6"/>
  <c r="H3" i="6"/>
  <c r="J3" i="6"/>
  <c r="F3" i="6"/>
  <c r="M14" i="5"/>
  <c r="M13" i="5"/>
  <c r="M12" i="5"/>
  <c r="M11" i="5"/>
  <c r="M10" i="5"/>
  <c r="M9" i="5"/>
  <c r="M8" i="5"/>
  <c r="M7" i="5"/>
  <c r="M6" i="5"/>
  <c r="M5" i="5"/>
  <c r="M4" i="5"/>
  <c r="M3" i="5"/>
  <c r="F4" i="6" l="1"/>
  <c r="G4" i="6"/>
  <c r="I4" i="6"/>
  <c r="J4" i="6"/>
  <c r="H4" i="6"/>
  <c r="B5" i="6"/>
  <c r="O3" i="3"/>
  <c r="H5" i="6" l="1"/>
  <c r="I5" i="6"/>
  <c r="F5" i="6"/>
  <c r="G5" i="6"/>
  <c r="J5" i="6"/>
  <c r="B6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7" i="6" l="1"/>
  <c r="F7" i="6" s="1"/>
  <c r="F6" i="6"/>
  <c r="G6" i="6"/>
  <c r="I6" i="6"/>
  <c r="H6" i="6"/>
  <c r="J6" i="6"/>
  <c r="J8" i="1"/>
  <c r="J4" i="1"/>
  <c r="S8" i="1"/>
  <c r="S4" i="1"/>
  <c r="J7" i="6" l="1"/>
  <c r="I7" i="6"/>
  <c r="G7" i="6"/>
  <c r="H7" i="6"/>
  <c r="B8" i="6"/>
  <c r="S9" i="1"/>
  <c r="J9" i="1"/>
  <c r="B9" i="6" l="1"/>
  <c r="H8" i="6"/>
  <c r="J8" i="6"/>
  <c r="F8" i="6"/>
  <c r="G8" i="6"/>
  <c r="I8" i="6"/>
  <c r="S11" i="1"/>
  <c r="A11" i="1"/>
  <c r="B10" i="6" l="1"/>
  <c r="F9" i="6"/>
  <c r="I9" i="6"/>
  <c r="J9" i="6"/>
  <c r="G9" i="6"/>
  <c r="H9" i="6"/>
  <c r="B1" i="6"/>
  <c r="A5" i="3"/>
  <c r="B11" i="6" l="1"/>
  <c r="G10" i="6"/>
  <c r="H10" i="6"/>
  <c r="F10" i="6"/>
  <c r="I10" i="6"/>
  <c r="J10" i="6"/>
  <c r="G11" i="6" l="1"/>
  <c r="H11" i="6"/>
  <c r="I11" i="6"/>
  <c r="J11" i="6"/>
  <c r="F11" i="6"/>
  <c r="B12" i="6"/>
  <c r="H12" i="6" l="1"/>
  <c r="F12" i="6"/>
  <c r="G12" i="6"/>
  <c r="I12" i="6"/>
  <c r="J12" i="6"/>
  <c r="B13" i="6"/>
  <c r="B14" i="6" l="1"/>
  <c r="G13" i="6"/>
  <c r="H13" i="6"/>
  <c r="I13" i="6"/>
  <c r="J13" i="6"/>
  <c r="F13" i="6"/>
  <c r="B15" i="6" l="1"/>
  <c r="I14" i="6"/>
  <c r="G14" i="6"/>
  <c r="F14" i="6"/>
  <c r="H14" i="6"/>
  <c r="J14" i="6"/>
  <c r="G15" i="6" l="1"/>
  <c r="F15" i="6"/>
  <c r="H15" i="6"/>
  <c r="I15" i="6"/>
  <c r="J15" i="6"/>
  <c r="B16" i="6"/>
  <c r="H16" i="6" l="1"/>
  <c r="J16" i="6"/>
  <c r="F16" i="6"/>
  <c r="G16" i="6"/>
  <c r="I16" i="6"/>
  <c r="B17" i="6"/>
  <c r="B18" i="6" l="1"/>
  <c r="F17" i="6"/>
  <c r="G17" i="6"/>
  <c r="I17" i="6"/>
  <c r="H17" i="6"/>
  <c r="J17" i="6"/>
  <c r="F18" i="6" l="1"/>
  <c r="G18" i="6"/>
  <c r="J18" i="6"/>
  <c r="H18" i="6"/>
  <c r="I18" i="6"/>
  <c r="B19" i="6"/>
  <c r="G19" i="6" l="1"/>
  <c r="J19" i="6"/>
  <c r="F19" i="6"/>
  <c r="H19" i="6"/>
  <c r="I19" i="6"/>
  <c r="B20" i="6"/>
  <c r="B21" i="6" l="1"/>
  <c r="F20" i="6"/>
  <c r="G20" i="6"/>
  <c r="H20" i="6"/>
  <c r="I20" i="6"/>
  <c r="J20" i="6"/>
  <c r="B22" i="6" l="1"/>
  <c r="J21" i="6"/>
  <c r="F21" i="6"/>
  <c r="I21" i="6"/>
  <c r="G21" i="6"/>
  <c r="H21" i="6"/>
  <c r="B23" i="6" l="1"/>
  <c r="G22" i="6"/>
  <c r="H22" i="6"/>
  <c r="F22" i="6"/>
  <c r="I22" i="6"/>
  <c r="J22" i="6"/>
  <c r="G23" i="6" l="1"/>
  <c r="I23" i="6"/>
  <c r="J23" i="6"/>
  <c r="F23" i="6"/>
  <c r="H23" i="6"/>
  <c r="B24" i="6"/>
  <c r="B25" i="6" l="1"/>
  <c r="J24" i="6"/>
  <c r="F24" i="6"/>
  <c r="H24" i="6"/>
  <c r="G24" i="6"/>
  <c r="I24" i="6"/>
  <c r="B26" i="6" l="1"/>
  <c r="H25" i="6"/>
  <c r="F25" i="6"/>
  <c r="I25" i="6"/>
  <c r="J25" i="6"/>
  <c r="G25" i="6"/>
  <c r="B28" i="6" l="1"/>
  <c r="B27" i="6"/>
  <c r="G26" i="6"/>
  <c r="H26" i="6"/>
  <c r="F26" i="6"/>
  <c r="I26" i="6"/>
  <c r="J26" i="6"/>
  <c r="G27" i="6" l="1"/>
  <c r="H27" i="6"/>
  <c r="I27" i="6"/>
  <c r="J27" i="6"/>
  <c r="F27" i="6"/>
  <c r="H28" i="6"/>
  <c r="J28" i="6"/>
  <c r="G28" i="6"/>
  <c r="I28" i="6"/>
  <c r="F2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<sst xmlns="http://schemas.openxmlformats.org/spreadsheetml/2006/main" count="2773" uniqueCount="1039">
  <si>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</si>
  <si>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</si>
  <si>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</si>
  <si>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</si>
  <si>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</si>
  <si>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</si>
  <si>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</si>
  <si>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</si>
  <si>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</si>
  <si>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</si>
  <si>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</si>
  <si>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</si>
  <si>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</si>
  <si>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</si>
  <si>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</si>
  <si>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</si>
  <si>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</si>
  <si>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</si>
  <si>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</si>
  <si>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</si>
  <si>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</si>
  <si>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</si>
  <si>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</si>
  <si>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</si>
  <si>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</si>
  <si>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</si>
  <si>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</si>
  <si>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</si>
  <si>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</si>
  <si>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</si>
  <si>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</si>
  <si>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</si>
  <si>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</si>
  <si>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</si>
  <si>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</si>
  <si>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</si>
  <si>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</si>
  <si>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</si>
  <si>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</si>
  <si>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</si>
  <si>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</si>
  <si>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</si>
  <si>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</si>
  <si>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</si>
  <si>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</si>
  <si>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</si>
  <si>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</si>
  <si>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</si>
  <si>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</si>
  <si>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</si>
  <si>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</si>
  <si>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</si>
  <si>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</si>
  <si>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</si>
  <si>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</si>
  <si>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</si>
  <si>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</si>
  <si>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</si>
  <si>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</si>
  <si>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</si>
  <si>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</si>
  <si>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</si>
  <si>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</si>
  <si>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</si>
  <si>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</si>
  <si>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</si>
  <si>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</si>
  <si>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</si>
  <si>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</si>
  <si>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</si>
  <si>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</si>
  <si>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</si>
  <si>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</si>
  <si>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</si>
  <si>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</si>
  <si>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</si>
  <si>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</si>
  <si>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</si>
  <si>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</si>
  <si>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</si>
  <si>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</si>
  <si>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</si>
  <si>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</si>
  <si>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</si>
  <si>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</si>
  <si>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</si>
  <si>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</si>
  <si>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</si>
  <si>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</si>
  <si>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</si>
  <si>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</si>
  <si>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</si>
  <si>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</si>
  <si>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</si>
  <si>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</si>
  <si>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</si>
  <si>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</si>
  <si>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</si>
  <si>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</si>
  <si>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</si>
  <si>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</si>
  <si>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</si>
  <si>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</si>
  <si>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</si>
  <si>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</si>
  <si>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</si>
  <si>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</si>
  <si>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</si>
  <si>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</si>
  <si>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</si>
  <si>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</si>
  <si>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</si>
  <si>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</si>
  <si>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</si>
  <si>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</si>
  <si>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</si>
  <si>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</si>
  <si>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</si>
  <si>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</si>
  <si>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</si>
  <si>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</si>
  <si>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</si>
  <si>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</si>
  <si>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</si>
  <si>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</si>
  <si>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</si>
  <si>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</si>
  <si>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</si>
  <si>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</si>
  <si>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</si>
  <si>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</si>
  <si>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</si>
  <si>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</si>
  <si>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</si>
  <si>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</si>
  <si>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</si>
  <si>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</si>
  <si>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</si>
  <si>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</si>
  <si>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</si>
  <si>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</si>
  <si>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</si>
  <si>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</si>
  <si>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</si>
  <si>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</si>
  <si>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</si>
  <si>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</si>
  <si>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</si>
  <si>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</si>
  <si>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</si>
  <si>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</si>
  <si>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</si>
  <si>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</si>
  <si>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</si>
  <si>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</si>
  <si>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</si>
  <si>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</si>
  <si>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</si>
  <si>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</si>
  <si>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</si>
  <si>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</si>
  <si>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</si>
  <si>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</si>
  <si>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</si>
  <si>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</si>
  <si>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</si>
  <si>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</si>
  <si>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</si>
  <si>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</si>
  <si>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</si>
  <si>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</si>
  <si>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</si>
  <si>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</si>
  <si>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</si>
  <si>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</si>
  <si>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</si>
  <si>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</si>
  <si>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</si>
  <si>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</si>
  <si>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</si>
  <si>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</si>
  <si>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</si>
  <si>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</si>
  <si>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</si>
  <si>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</si>
  <si>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</si>
  <si>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</si>
  <si>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</si>
  <si>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</si>
  <si>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</si>
  <si>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</si>
  <si>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</si>
  <si>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</si>
  <si>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</si>
  <si>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</si>
  <si>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</si>
  <si>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</si>
  <si>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</si>
  <si>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</si>
  <si>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</si>
  <si>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</si>
  <si>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</si>
  <si>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</si>
  <si>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</si>
  <si>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</si>
  <si>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</si>
  <si>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</si>
  <si>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</si>
  <si>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</si>
  <si>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</si>
  <si>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</si>
  <si>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</si>
  <si>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</si>
  <si>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</si>
  <si>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</si>
  <si>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</si>
  <si>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</si>
  <si>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</si>
  <si>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</si>
  <si>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</si>
  <si>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</si>
  <si>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</si>
  <si>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</si>
  <si>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</si>
  <si>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</si>
  <si>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</si>
  <si>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</si>
  <si>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</si>
  <si>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</si>
  <si>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</si>
  <si>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</si>
  <si>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</si>
  <si>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</si>
  <si>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</si>
  <si>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</si>
  <si>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</si>
  <si>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</si>
  <si>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</si>
  <si>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</si>
  <si>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</si>
  <si>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</si>
  <si>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</si>
  <si>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</si>
  <si>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</si>
  <si>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</si>
  <si>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</si>
  <si>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</si>
  <si>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</si>
  <si>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</si>
  <si>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</si>
  <si>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</si>
  <si>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</si>
  <si>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</si>
  <si>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</si>
  <si>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</si>
  <si>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</si>
  <si>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</si>
  <si>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</si>
  <si>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</si>
  <si>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</si>
  <si>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</si>
  <si>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</si>
  <si>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</si>
  <si>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</si>
  <si>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</si>
  <si>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</si>
  <si>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</si>
  <si>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</si>
  <si>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</si>
  <si>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</si>
  <si>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</si>
  <si>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</si>
  <si>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</si>
  <si>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</si>
  <si>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</si>
  <si>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</si>
  <si>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</si>
  <si>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</si>
  <si>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</si>
  <si>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</si>
  <si>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</si>
  <si>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</si>
  <si>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</si>
  <si>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</si>
  <si>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</si>
  <si>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</si>
  <si>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</si>
  <si>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</si>
  <si>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</si>
  <si>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</si>
  <si>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</si>
  <si>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</si>
  <si>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</si>
  <si>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</si>
  <si>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</si>
  <si>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</si>
  <si>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</si>
  <si>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</si>
  <si>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</si>
  <si>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</si>
  <si>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</si>
  <si>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</si>
  <si>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</si>
  <si>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</si>
  <si>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</si>
  <si>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</si>
  <si>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</si>
  <si>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</si>
  <si>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</si>
  <si>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</si>
  <si>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</si>
  <si>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</si>
  <si>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</si>
  <si>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</si>
  <si>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</si>
  <si>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</si>
  <si>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</si>
  <si>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</si>
  <si>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</si>
  <si>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</si>
  <si>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</si>
  <si>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</si>
  <si>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</si>
  <si>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</si>
  <si>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</si>
  <si>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</si>
  <si>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</si>
  <si>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</si>
  <si>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</si>
  <si>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</si>
  <si>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</si>
  <si>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</si>
  <si>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</si>
  <si>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</si>
  <si>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</si>
  <si>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</si>
  <si>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</si>
  <si>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</si>
  <si>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</si>
  <si>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</si>
  <si>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</si>
  <si>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</si>
  <si>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</si>
  <si>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</si>
  <si>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</si>
  <si>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</si>
  <si>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</si>
  <si>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</si>
  <si>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</si>
  <si>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</si>
  <si>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</si>
  <si>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</si>
  <si>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</si>
  <si>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</si>
  <si>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</si>
  <si>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</si>
  <si>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</si>
  <si>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</si>
  <si>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</si>
  <si>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</si>
  <si>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</si>
  <si>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</si>
  <si>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</si>
  <si>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</si>
  <si>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</si>
  <si>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</si>
  <si>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</si>
  <si>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</si>
  <si>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</si>
  <si>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</si>
  <si>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</si>
  <si>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</si>
  <si>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</si>
  <si>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</si>
  <si>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</si>
  <si>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</si>
  <si>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</si>
  <si>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</si>
  <si>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</si>
  <si>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</si>
  <si>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</si>
  <si>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</si>
  <si>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204:145</t>
  </si>
  <si>
    <t>FORTUNATO</t>
  </si>
  <si>
    <t>FRANK</t>
  </si>
  <si>
    <t>M - F = 49 trips</t>
  </si>
  <si>
    <t>Sat - Sun = 35 Trips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</si>
  <si>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</si>
  <si>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</si>
  <si>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</si>
  <si>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</si>
  <si>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</si>
  <si>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</si>
  <si>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</si>
  <si>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</si>
  <si>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</si>
  <si>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</si>
  <si>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</si>
  <si>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</si>
  <si>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</si>
  <si>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</si>
  <si>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</si>
  <si>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</si>
  <si>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</si>
  <si>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</si>
  <si>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</si>
  <si>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</si>
  <si>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</si>
  <si>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Early arrival</t>
  </si>
  <si>
    <t>rtdc.l.rtdc.4007:itc</t>
  </si>
  <si>
    <t>204:233297</t>
  </si>
  <si>
    <t>204:435</t>
  </si>
  <si>
    <t>204:471</t>
  </si>
  <si>
    <t>STARKS</t>
  </si>
  <si>
    <t>ANGELINA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</si>
  <si>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</si>
  <si>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</si>
  <si>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</si>
  <si>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</si>
  <si>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</si>
  <si>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</si>
  <si>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</si>
  <si>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</si>
  <si>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</si>
  <si>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</si>
  <si>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</si>
  <si>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</si>
  <si>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</si>
  <si>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</si>
  <si>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</si>
  <si>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</si>
  <si>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</si>
  <si>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</si>
  <si>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</si>
  <si>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</si>
  <si>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</si>
  <si>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</si>
  <si>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</si>
  <si>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</si>
  <si>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</si>
  <si>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</si>
  <si>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</si>
  <si>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</si>
  <si>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</si>
  <si>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BIRKHOLZ</t>
  </si>
  <si>
    <t>NADINE</t>
  </si>
  <si>
    <t>rtdc.l.rtdc.4031:itc</t>
  </si>
  <si>
    <t>300-07</t>
  </si>
  <si>
    <t>204:158</t>
  </si>
  <si>
    <t>204:442</t>
  </si>
  <si>
    <t>204:232994</t>
  </si>
  <si>
    <t>204:152</t>
  </si>
  <si>
    <t>204:233291</t>
  </si>
  <si>
    <t>204:460</t>
  </si>
  <si>
    <t>204:449</t>
  </si>
  <si>
    <t>BRANDON</t>
  </si>
  <si>
    <t>rtdc.l.rtdc.4024:itc</t>
  </si>
  <si>
    <t>partly-cloudy-day</t>
  </si>
  <si>
    <t>Partly Cloudy</t>
  </si>
  <si>
    <t>partly-cloudy-night</t>
  </si>
  <si>
    <t>204:232998</t>
  </si>
  <si>
    <t>204:233295</t>
  </si>
  <si>
    <t>rtdc.l.rtdc.4056:itc</t>
  </si>
  <si>
    <t>rtdc.l.rtdc.4055:itc</t>
  </si>
  <si>
    <t>204:233306</t>
  </si>
  <si>
    <t>204:233310</t>
  </si>
  <si>
    <t>204:233002</t>
  </si>
  <si>
    <t>204:160</t>
  </si>
  <si>
    <t>204:438</t>
  </si>
  <si>
    <t>204:232978</t>
  </si>
  <si>
    <t>300:58626</t>
  </si>
  <si>
    <t>204:988</t>
  </si>
  <si>
    <t>Y</t>
  </si>
  <si>
    <t>rtdc.l.rtdc.4023:itc</t>
  </si>
  <si>
    <t>MACDONALD</t>
  </si>
  <si>
    <t>BRUDER</t>
  </si>
  <si>
    <t>RICHARD</t>
  </si>
  <si>
    <t>BADERTSCHER</t>
  </si>
  <si>
    <t>DIANE</t>
  </si>
  <si>
    <t>204:457</t>
  </si>
  <si>
    <t>204:161</t>
  </si>
  <si>
    <t>300:58636</t>
  </si>
  <si>
    <t>204:232975</t>
  </si>
  <si>
    <t>Wi-MAX data drop</t>
  </si>
  <si>
    <t>rtdc.l.rtdc.4027:itc</t>
  </si>
  <si>
    <t>MAELZER</t>
  </si>
  <si>
    <t>KURT</t>
  </si>
  <si>
    <t>rtdc.l.rtdc.4028:itc</t>
  </si>
  <si>
    <t>ANDERS</t>
  </si>
  <si>
    <t>STEVEN</t>
  </si>
  <si>
    <t>GONZALEZ</t>
  </si>
  <si>
    <t>ARMANDO</t>
  </si>
  <si>
    <t>CASSIDY</t>
  </si>
  <si>
    <t>204:233307</t>
  </si>
  <si>
    <t>204:232961</t>
  </si>
  <si>
    <t>204:232989</t>
  </si>
  <si>
    <t>204:233278</t>
  </si>
  <si>
    <t>204:233315</t>
  </si>
  <si>
    <t>204:169</t>
  </si>
  <si>
    <t>204:426</t>
  </si>
  <si>
    <t>204:993</t>
  </si>
  <si>
    <t>YANG</t>
  </si>
  <si>
    <t>JAN</t>
  </si>
  <si>
    <t>STEWART</t>
  </si>
  <si>
    <t>PAGE</t>
  </si>
  <si>
    <t>MARCUS</t>
  </si>
  <si>
    <t>precipType</t>
  </si>
  <si>
    <t>Mostly Cloudy</t>
  </si>
  <si>
    <t>rain</t>
  </si>
  <si>
    <t>Drizzle</t>
  </si>
  <si>
    <t>Light Rain</t>
  </si>
  <si>
    <t>204:233302</t>
  </si>
  <si>
    <t>204:233010</t>
  </si>
  <si>
    <t>204:233283</t>
  </si>
  <si>
    <t>204:232977</t>
  </si>
  <si>
    <t>204:444</t>
  </si>
  <si>
    <t>204:233301</t>
  </si>
  <si>
    <t>204:233280</t>
  </si>
  <si>
    <t>204:232993</t>
  </si>
  <si>
    <t>204:233327</t>
  </si>
  <si>
    <t>204:233013</t>
  </si>
  <si>
    <t>204:467</t>
  </si>
  <si>
    <t>204:233334</t>
  </si>
  <si>
    <t>204:233317</t>
  </si>
  <si>
    <t>204:233067</t>
  </si>
  <si>
    <t>204:232981</t>
  </si>
  <si>
    <t>204:469</t>
  </si>
  <si>
    <t>204:233312</t>
  </si>
  <si>
    <t>204:473</t>
  </si>
  <si>
    <t>204:484</t>
  </si>
  <si>
    <t>204:167</t>
  </si>
  <si>
    <t>204:486</t>
  </si>
  <si>
    <t>204:1004</t>
  </si>
  <si>
    <t>204:726</t>
  </si>
  <si>
    <t>204:738</t>
  </si>
  <si>
    <t>rtdc.l.rtdc.4003:itc</t>
  </si>
  <si>
    <t>rtdc.l.rtdc.4005:itc</t>
  </si>
  <si>
    <t>rtdc.l.rtdc.4006:itc</t>
  </si>
  <si>
    <t>SIGNAL</t>
  </si>
  <si>
    <t>Signal based authority (5)</t>
  </si>
  <si>
    <t>rtdc.l.rtdc.4065:itc</t>
  </si>
  <si>
    <t>rtdc.l.rtdc.4066:itc</t>
  </si>
  <si>
    <t>rtdc.l.rtdc.4004:itc</t>
  </si>
  <si>
    <t>222-26</t>
  </si>
  <si>
    <t>228-26</t>
  </si>
  <si>
    <t>908-26</t>
  </si>
  <si>
    <t>234-26</t>
  </si>
  <si>
    <t>WENDY</t>
  </si>
  <si>
    <t>rtdc.l.rtdc.4015:itc</t>
  </si>
  <si>
    <t>rtdc.l.rtdc.4016:itc</t>
  </si>
  <si>
    <t>BEAM</t>
  </si>
  <si>
    <t>ROSS</t>
  </si>
  <si>
    <t>LOPES</t>
  </si>
  <si>
    <t>KIMBERLY</t>
  </si>
  <si>
    <t>NELSON</t>
  </si>
  <si>
    <t>ARIANE</t>
  </si>
  <si>
    <t>301-26</t>
  </si>
  <si>
    <t>839-26</t>
  </si>
  <si>
    <t>216-26</t>
  </si>
  <si>
    <t>221-26</t>
  </si>
  <si>
    <t>218-26</t>
  </si>
  <si>
    <t>906-26</t>
  </si>
  <si>
    <t>303-26</t>
  </si>
  <si>
    <t>841-26</t>
  </si>
  <si>
    <t>220-26</t>
  </si>
  <si>
    <t>223-26</t>
  </si>
  <si>
    <t>840-26</t>
  </si>
  <si>
    <t>305-26</t>
  </si>
  <si>
    <t>225-26</t>
  </si>
  <si>
    <t>224-26</t>
  </si>
  <si>
    <t>843-26</t>
  </si>
  <si>
    <t>227-26</t>
  </si>
  <si>
    <t>842-26</t>
  </si>
  <si>
    <t>226-26</t>
  </si>
  <si>
    <t>229-26</t>
  </si>
  <si>
    <t>845-26</t>
  </si>
  <si>
    <t>231-26</t>
  </si>
  <si>
    <t>RESPASS</t>
  </si>
  <si>
    <t>AARON</t>
  </si>
  <si>
    <t>844-26</t>
  </si>
  <si>
    <t>233-26</t>
  </si>
  <si>
    <t>230-26</t>
  </si>
  <si>
    <t>847-26</t>
  </si>
  <si>
    <t>232-26</t>
  </si>
  <si>
    <t>235-26</t>
  </si>
  <si>
    <t>87-26</t>
  </si>
  <si>
    <t>88-26</t>
  </si>
  <si>
    <t>237-26</t>
  </si>
  <si>
    <t>239-26</t>
  </si>
  <si>
    <t>236-26</t>
  </si>
  <si>
    <t>238-26</t>
  </si>
  <si>
    <t>241-26</t>
  </si>
  <si>
    <t>240-26</t>
  </si>
  <si>
    <t>243-26</t>
  </si>
  <si>
    <t>307-26</t>
  </si>
  <si>
    <t>242-26</t>
  </si>
  <si>
    <t>309-26</t>
  </si>
  <si>
    <t>244-26</t>
  </si>
  <si>
    <t>311-26</t>
  </si>
  <si>
    <t>313-26</t>
  </si>
  <si>
    <t>Rain</t>
  </si>
  <si>
    <t>204:132</t>
  </si>
  <si>
    <t>204:233284</t>
  </si>
  <si>
    <t>204:125</t>
  </si>
  <si>
    <t>204:233006</t>
  </si>
  <si>
    <t>204:464</t>
  </si>
  <si>
    <t>204:130</t>
  </si>
  <si>
    <t>204:232991</t>
  </si>
  <si>
    <t>204:478</t>
  </si>
  <si>
    <t>204:232988</t>
  </si>
  <si>
    <t>204:233298</t>
  </si>
  <si>
    <t>204:129</t>
  </si>
  <si>
    <t>204:127</t>
  </si>
  <si>
    <t>204:437</t>
  </si>
  <si>
    <t>204:233341</t>
  </si>
  <si>
    <t>204:232990</t>
  </si>
  <si>
    <t>204:136</t>
  </si>
  <si>
    <t>204:233027</t>
  </si>
  <si>
    <t>204:233329</t>
  </si>
  <si>
    <t>204:433</t>
  </si>
  <si>
    <t>204:233008</t>
  </si>
  <si>
    <t>204:420</t>
  </si>
  <si>
    <t>300:23306</t>
  </si>
  <si>
    <t>204:1000</t>
  </si>
  <si>
    <t>300:58961</t>
  </si>
  <si>
    <t>204:673</t>
  </si>
  <si>
    <t>300:58954</t>
  </si>
  <si>
    <t>300:58643</t>
  </si>
  <si>
    <t>204:979</t>
  </si>
  <si>
    <t>300:58920</t>
  </si>
  <si>
    <t>204:983</t>
  </si>
  <si>
    <t>204:696</t>
  </si>
  <si>
    <t>300:58971</t>
  </si>
  <si>
    <t>204:1150</t>
  </si>
  <si>
    <t>Form C</t>
  </si>
  <si>
    <t>119-29</t>
  </si>
  <si>
    <t>127-29</t>
  </si>
  <si>
    <t>rtdc.l.rtdc.4029:itc</t>
  </si>
  <si>
    <t>132-29</t>
  </si>
  <si>
    <t>rtdc.l.rtdc.4053:itc</t>
  </si>
  <si>
    <t>1808-29</t>
  </si>
  <si>
    <t>153-29</t>
  </si>
  <si>
    <t>148-29</t>
  </si>
  <si>
    <t>150-29</t>
  </si>
  <si>
    <t>175-29</t>
  </si>
  <si>
    <t>168-29</t>
  </si>
  <si>
    <t>174-29</t>
  </si>
  <si>
    <t>178-29</t>
  </si>
  <si>
    <t>rtdc.l.rtdc.4011:itc</t>
  </si>
  <si>
    <t>180-29</t>
  </si>
  <si>
    <t>182-29</t>
  </si>
  <si>
    <t>191-29</t>
  </si>
  <si>
    <t>188-29</t>
  </si>
  <si>
    <t>198-29</t>
  </si>
  <si>
    <t>205-29</t>
  </si>
  <si>
    <t>206-29</t>
  </si>
  <si>
    <t>212-29</t>
  </si>
  <si>
    <t>225-29</t>
  </si>
  <si>
    <t>226-29</t>
  </si>
  <si>
    <t>230-29</t>
  </si>
  <si>
    <t>234-29</t>
  </si>
  <si>
    <t>242-29</t>
  </si>
  <si>
    <t>rtdc.l.rtdc.4021:itc</t>
  </si>
  <si>
    <t>242-28</t>
  </si>
  <si>
    <t>PERKINS</t>
  </si>
  <si>
    <t>DARREN</t>
  </si>
  <si>
    <t>245-28</t>
  </si>
  <si>
    <t>rtdc.l.rtdc.4043:itc</t>
  </si>
  <si>
    <t>244-28</t>
  </si>
  <si>
    <t>307-28</t>
  </si>
  <si>
    <t>309-28</t>
  </si>
  <si>
    <t>246-28</t>
  </si>
  <si>
    <t>rtdc.l.rtdc.4044:itc</t>
  </si>
  <si>
    <t>311-28</t>
  </si>
  <si>
    <t>313-28</t>
  </si>
  <si>
    <t>300-29</t>
  </si>
  <si>
    <t>101-29</t>
  </si>
  <si>
    <t>65-29</t>
  </si>
  <si>
    <t>302-29</t>
  </si>
  <si>
    <t>66-29</t>
  </si>
  <si>
    <t>103-29</t>
  </si>
  <si>
    <t>304-29</t>
  </si>
  <si>
    <t>105-29</t>
  </si>
  <si>
    <t>306-29</t>
  </si>
  <si>
    <t>GEBRETEKLE</t>
  </si>
  <si>
    <t>DAGNEW</t>
  </si>
  <si>
    <t>102-29</t>
  </si>
  <si>
    <t>308-29</t>
  </si>
  <si>
    <t>LALONDE</t>
  </si>
  <si>
    <t>GREGORY</t>
  </si>
  <si>
    <t>107-29</t>
  </si>
  <si>
    <t>104-29</t>
  </si>
  <si>
    <t>rtdc.l.rtdc.4012:itc</t>
  </si>
  <si>
    <t>109-29</t>
  </si>
  <si>
    <t>310-29</t>
  </si>
  <si>
    <t>DAVIDSON</t>
  </si>
  <si>
    <t>DAVID</t>
  </si>
  <si>
    <t>111-29</t>
  </si>
  <si>
    <t>113-29</t>
  </si>
  <si>
    <t>106-29</t>
  </si>
  <si>
    <t>108-29</t>
  </si>
  <si>
    <t>312-29</t>
  </si>
  <si>
    <t>rtdc.l.rtdc.4054:itc</t>
  </si>
  <si>
    <t>1901-29</t>
  </si>
  <si>
    <t>110-29</t>
  </si>
  <si>
    <t>115-29</t>
  </si>
  <si>
    <t>rtdc.l.rtdc.4030:itc</t>
  </si>
  <si>
    <t>117-29</t>
  </si>
  <si>
    <t>1800-29</t>
  </si>
  <si>
    <t>112-29</t>
  </si>
  <si>
    <t>1801-29</t>
  </si>
  <si>
    <t>114-29</t>
  </si>
  <si>
    <t>121-29</t>
  </si>
  <si>
    <t>116-29</t>
  </si>
  <si>
    <t>118-29</t>
  </si>
  <si>
    <t>123-29</t>
  </si>
  <si>
    <t>1802-29</t>
  </si>
  <si>
    <t>125-29</t>
  </si>
  <si>
    <t>120-29</t>
  </si>
  <si>
    <t>122-29</t>
  </si>
  <si>
    <t>1803-29</t>
  </si>
  <si>
    <t>124-29</t>
  </si>
  <si>
    <t>129-29</t>
  </si>
  <si>
    <t>131-29</t>
  </si>
  <si>
    <t>126-29</t>
  </si>
  <si>
    <t>1804-29</t>
  </si>
  <si>
    <t>133-29</t>
  </si>
  <si>
    <t>128-29</t>
  </si>
  <si>
    <t>135-29</t>
  </si>
  <si>
    <t>1805-29</t>
  </si>
  <si>
    <t>130-29</t>
  </si>
  <si>
    <t>137-29</t>
  </si>
  <si>
    <t>139-29</t>
  </si>
  <si>
    <t>1806-29</t>
  </si>
  <si>
    <t>134-29</t>
  </si>
  <si>
    <t>136-29</t>
  </si>
  <si>
    <t>141-29</t>
  </si>
  <si>
    <t>138-29</t>
  </si>
  <si>
    <t>1807-29</t>
  </si>
  <si>
    <t>143-29</t>
  </si>
  <si>
    <t>145-29</t>
  </si>
  <si>
    <t>140-29</t>
  </si>
  <si>
    <t>142-29</t>
  </si>
  <si>
    <t>147-29</t>
  </si>
  <si>
    <t>149-29</t>
  </si>
  <si>
    <t>144-29</t>
  </si>
  <si>
    <t>151-29</t>
  </si>
  <si>
    <t>146-29</t>
  </si>
  <si>
    <t>1809-29</t>
  </si>
  <si>
    <t>BERLING</t>
  </si>
  <si>
    <t>GARY</t>
  </si>
  <si>
    <t>155-29</t>
  </si>
  <si>
    <t>1810-29</t>
  </si>
  <si>
    <t>152-29</t>
  </si>
  <si>
    <t>157-29</t>
  </si>
  <si>
    <t>159-29</t>
  </si>
  <si>
    <t>1811-29</t>
  </si>
  <si>
    <t>154-29</t>
  </si>
  <si>
    <t>156-29</t>
  </si>
  <si>
    <t>161-29</t>
  </si>
  <si>
    <t>SAFIEF</t>
  </si>
  <si>
    <t>AEIMEN</t>
  </si>
  <si>
    <t>163-29</t>
  </si>
  <si>
    <t>THOMPSON</t>
  </si>
  <si>
    <t>LESTER</t>
  </si>
  <si>
    <t>1812-29</t>
  </si>
  <si>
    <t>158-29</t>
  </si>
  <si>
    <t>160-29</t>
  </si>
  <si>
    <t>165-29</t>
  </si>
  <si>
    <t>DUNCAN</t>
  </si>
  <si>
    <t>SHEILA</t>
  </si>
  <si>
    <t>167-29</t>
  </si>
  <si>
    <t>162-29</t>
  </si>
  <si>
    <t>1813-29</t>
  </si>
  <si>
    <t>169-29</t>
  </si>
  <si>
    <t>DELGADO</t>
  </si>
  <si>
    <t>DIANAH</t>
  </si>
  <si>
    <t>164-29</t>
  </si>
  <si>
    <t>171-29</t>
  </si>
  <si>
    <t>166-29</t>
  </si>
  <si>
    <t>1814-29</t>
  </si>
  <si>
    <t>173-29</t>
  </si>
  <si>
    <t>HOLCOMB</t>
  </si>
  <si>
    <t>KAMDEN</t>
  </si>
  <si>
    <t>1815-29</t>
  </si>
  <si>
    <t>170-29</t>
  </si>
  <si>
    <t>177-29</t>
  </si>
  <si>
    <t>172-29</t>
  </si>
  <si>
    <t>179-29</t>
  </si>
  <si>
    <t>1816-29</t>
  </si>
  <si>
    <t>176-29</t>
  </si>
  <si>
    <t>181-29</t>
  </si>
  <si>
    <t>183-29</t>
  </si>
  <si>
    <t>1817-29</t>
  </si>
  <si>
    <t>MCREYNOLDS</t>
  </si>
  <si>
    <t>KYLE</t>
  </si>
  <si>
    <t>185-29</t>
  </si>
  <si>
    <t>187-29</t>
  </si>
  <si>
    <t>1818-29</t>
  </si>
  <si>
    <t>189-29</t>
  </si>
  <si>
    <t>184-29</t>
  </si>
  <si>
    <t>186-29</t>
  </si>
  <si>
    <t>193-29</t>
  </si>
  <si>
    <t>1819-29</t>
  </si>
  <si>
    <t>195-29</t>
  </si>
  <si>
    <t>190-29</t>
  </si>
  <si>
    <t>1820-29</t>
  </si>
  <si>
    <t>197-29</t>
  </si>
  <si>
    <t>192-29</t>
  </si>
  <si>
    <t>199-29</t>
  </si>
  <si>
    <t>194-29</t>
  </si>
  <si>
    <t>201-29</t>
  </si>
  <si>
    <t>1821-29</t>
  </si>
  <si>
    <t>196-29</t>
  </si>
  <si>
    <t>203-29</t>
  </si>
  <si>
    <t>1822-29</t>
  </si>
  <si>
    <t>200-29</t>
  </si>
  <si>
    <t>207-29</t>
  </si>
  <si>
    <t>202-29</t>
  </si>
  <si>
    <t>204-29</t>
  </si>
  <si>
    <t>209-29</t>
  </si>
  <si>
    <t>1823-29</t>
  </si>
  <si>
    <t>71-29</t>
  </si>
  <si>
    <t>211-29</t>
  </si>
  <si>
    <t>73-29</t>
  </si>
  <si>
    <t>1824-29</t>
  </si>
  <si>
    <t>213-29</t>
  </si>
  <si>
    <t>208-29</t>
  </si>
  <si>
    <t>215-29</t>
  </si>
  <si>
    <t>210-29</t>
  </si>
  <si>
    <t>50-29</t>
  </si>
  <si>
    <t>217-29</t>
  </si>
  <si>
    <t>1825-29</t>
  </si>
  <si>
    <t>219-29</t>
  </si>
  <si>
    <t>214-29</t>
  </si>
  <si>
    <t>1826-29</t>
  </si>
  <si>
    <t>301-29</t>
  </si>
  <si>
    <t>216-29</t>
  </si>
  <si>
    <t>221-29</t>
  </si>
  <si>
    <t>1827-29</t>
  </si>
  <si>
    <t>218-29</t>
  </si>
  <si>
    <t>303-29</t>
  </si>
  <si>
    <t>220-29</t>
  </si>
  <si>
    <t>223-29</t>
  </si>
  <si>
    <t>1828-29</t>
  </si>
  <si>
    <t>305-29</t>
  </si>
  <si>
    <t>222-29</t>
  </si>
  <si>
    <t>1829-29</t>
  </si>
  <si>
    <t>227-29</t>
  </si>
  <si>
    <t>224-29</t>
  </si>
  <si>
    <t>1830-29</t>
  </si>
  <si>
    <t>229-29</t>
  </si>
  <si>
    <t>228-29</t>
  </si>
  <si>
    <t>1831-29</t>
  </si>
  <si>
    <t>231-29</t>
  </si>
  <si>
    <t>1832-29</t>
  </si>
  <si>
    <t>233-29</t>
  </si>
  <si>
    <t>235-29</t>
  </si>
  <si>
    <t>1833-29</t>
  </si>
  <si>
    <t>232-29</t>
  </si>
  <si>
    <t>76-29</t>
  </si>
  <si>
    <t>237-29</t>
  </si>
  <si>
    <t>236-29</t>
  </si>
  <si>
    <t>239-29</t>
  </si>
  <si>
    <t>87-29</t>
  </si>
  <si>
    <t>241-29</t>
  </si>
  <si>
    <t>238-29</t>
  </si>
  <si>
    <t>243-29</t>
  </si>
  <si>
    <t>240-29</t>
  </si>
  <si>
    <t>245-29</t>
  </si>
  <si>
    <t>307-29</t>
  </si>
  <si>
    <t>244-29</t>
  </si>
  <si>
    <t>309-29</t>
  </si>
  <si>
    <t>246-29</t>
  </si>
  <si>
    <t>311-29</t>
  </si>
  <si>
    <t>313-29</t>
  </si>
  <si>
    <t>204:724</t>
  </si>
  <si>
    <t>204:233303</t>
  </si>
  <si>
    <t>204:232973</t>
  </si>
  <si>
    <t>204:176</t>
  </si>
  <si>
    <t>204:233318</t>
  </si>
  <si>
    <t>204:156</t>
  </si>
  <si>
    <t>204:233322</t>
  </si>
  <si>
    <t>204:233015</t>
  </si>
  <si>
    <t>204:231699</t>
  </si>
  <si>
    <t>204:233289</t>
  </si>
  <si>
    <t>204:233305</t>
  </si>
  <si>
    <t>204:232979</t>
  </si>
  <si>
    <t>204:233336</t>
  </si>
  <si>
    <t>204:233025</t>
  </si>
  <si>
    <t>204:233000</t>
  </si>
  <si>
    <t>204:174</t>
  </si>
  <si>
    <t>204:232972</t>
  </si>
  <si>
    <t>204:233003</t>
  </si>
  <si>
    <t>204:233293</t>
  </si>
  <si>
    <t>204:233011</t>
  </si>
  <si>
    <t>204:233282</t>
  </si>
  <si>
    <t>204:207</t>
  </si>
  <si>
    <t>204:36787</t>
  </si>
  <si>
    <t>204:36791</t>
  </si>
  <si>
    <t>204:475</t>
  </si>
  <si>
    <t>204:233320</t>
  </si>
  <si>
    <t>204:138</t>
  </si>
  <si>
    <t>204:134</t>
  </si>
  <si>
    <t>204:233345</t>
  </si>
  <si>
    <t>204:233005</t>
  </si>
  <si>
    <t>204:233339</t>
  </si>
  <si>
    <t>204:233021</t>
  </si>
  <si>
    <t>204:233325</t>
  </si>
  <si>
    <t>204:233372</t>
  </si>
  <si>
    <t>204:233084</t>
  </si>
  <si>
    <t>204:233330</t>
  </si>
  <si>
    <t>204:233347</t>
  </si>
  <si>
    <t>204:233047</t>
  </si>
  <si>
    <t>204:233285</t>
  </si>
  <si>
    <t>300:58609</t>
  </si>
  <si>
    <t>204:713</t>
  </si>
  <si>
    <t>300:58895</t>
  </si>
  <si>
    <t>300:58583</t>
  </si>
  <si>
    <t>300:58922</t>
  </si>
  <si>
    <t>300:58608</t>
  </si>
  <si>
    <t>204:715</t>
  </si>
  <si>
    <t>204:736</t>
  </si>
  <si>
    <t>204:1020</t>
  </si>
  <si>
    <t>300:58903</t>
  </si>
  <si>
    <t>300:58594</t>
  </si>
  <si>
    <t>204:757</t>
  </si>
  <si>
    <t>204:1056</t>
  </si>
  <si>
    <t>300:58907</t>
  </si>
  <si>
    <t>300:58602</t>
  </si>
  <si>
    <t>204:1028</t>
  </si>
  <si>
    <t>300:58911</t>
  </si>
  <si>
    <t>204:769</t>
  </si>
  <si>
    <t>204:1055</t>
  </si>
  <si>
    <t>300:58068</t>
  </si>
  <si>
    <t>300:58598</t>
  </si>
  <si>
    <t>300:58604</t>
  </si>
  <si>
    <t>204:731</t>
  </si>
  <si>
    <t>204:1016</t>
  </si>
  <si>
    <t>300:58939</t>
  </si>
  <si>
    <t>300:58617</t>
  </si>
  <si>
    <t>204:962</t>
  </si>
  <si>
    <t>300:58973</t>
  </si>
  <si>
    <t>300:58647</t>
  </si>
  <si>
    <t>204:740</t>
  </si>
  <si>
    <t>300:58965</t>
  </si>
  <si>
    <t>300:58651</t>
  </si>
  <si>
    <t>204:703</t>
  </si>
  <si>
    <t>300:58931</t>
  </si>
  <si>
    <t>300:58624</t>
  </si>
  <si>
    <t>204:705</t>
  </si>
  <si>
    <t>300:58946</t>
  </si>
  <si>
    <t>204:717</t>
  </si>
  <si>
    <t>204:1013</t>
  </si>
  <si>
    <t>300:58943</t>
  </si>
  <si>
    <t>204:233408</t>
  </si>
  <si>
    <t>204:722</t>
  </si>
  <si>
    <t>204:652</t>
  </si>
  <si>
    <t>204:943</t>
  </si>
  <si>
    <t>204:233093</t>
  </si>
  <si>
    <t>204:233276</t>
  </si>
  <si>
    <t>204:232946</t>
  </si>
  <si>
    <t>204:233353</t>
  </si>
  <si>
    <t>204:233019</t>
  </si>
  <si>
    <t>300:29706</t>
  </si>
  <si>
    <t>204:233264</t>
  </si>
  <si>
    <t>204:232943</t>
  </si>
  <si>
    <t>204:233048</t>
  </si>
  <si>
    <t>204:233359</t>
  </si>
  <si>
    <t>204:233076</t>
  </si>
  <si>
    <t>204:118</t>
  </si>
  <si>
    <t>204:424</t>
  </si>
  <si>
    <t>204:232984</t>
  </si>
  <si>
    <t>204:233342</t>
  </si>
  <si>
    <t>204:233001</t>
  </si>
  <si>
    <t>204:233444</t>
  </si>
  <si>
    <t>204:233096</t>
  </si>
  <si>
    <t>204:233023</t>
  </si>
  <si>
    <t>204:233357</t>
  </si>
  <si>
    <t>204:233051</t>
  </si>
  <si>
    <t>204:123</t>
  </si>
  <si>
    <t>204:233263</t>
  </si>
  <si>
    <t>204:233270</t>
  </si>
  <si>
    <t>204:232965</t>
  </si>
  <si>
    <t>204:116</t>
  </si>
  <si>
    <t>204:431</t>
  </si>
  <si>
    <t>204:232992</t>
  </si>
  <si>
    <t>204:232957</t>
  </si>
  <si>
    <t>204:36942</t>
  </si>
  <si>
    <t>204:36781</t>
  </si>
  <si>
    <t>204:114</t>
  </si>
  <si>
    <t>204:172</t>
  </si>
  <si>
    <t>204:480</t>
  </si>
  <si>
    <t>204:232959</t>
  </si>
  <si>
    <t>204:347</t>
  </si>
  <si>
    <t>204:477</t>
  </si>
  <si>
    <t>204:491</t>
  </si>
  <si>
    <t>204:232953</t>
  </si>
  <si>
    <t>300:20405</t>
  </si>
  <si>
    <t>300:23287</t>
  </si>
  <si>
    <t>300:23775</t>
  </si>
  <si>
    <t>300:23308</t>
  </si>
  <si>
    <t>300:23021</t>
  </si>
  <si>
    <t>300:23745</t>
  </si>
  <si>
    <t>300:23463</t>
  </si>
  <si>
    <t>204:3937</t>
  </si>
  <si>
    <t>204:1369</t>
  </si>
  <si>
    <t>204:617</t>
  </si>
  <si>
    <t>300:23374</t>
  </si>
  <si>
    <t>300:23318</t>
  </si>
  <si>
    <t>300:23525</t>
  </si>
  <si>
    <t>300:21788</t>
  </si>
  <si>
    <t>204:1950</t>
  </si>
  <si>
    <t>204:3368</t>
  </si>
  <si>
    <t>204:3022</t>
  </si>
  <si>
    <t>204:1483</t>
  </si>
  <si>
    <t>300:58658</t>
  </si>
  <si>
    <t>204:441</t>
  </si>
  <si>
    <t>300:23295</t>
  </si>
  <si>
    <t>start /low /b %USERPROFILE%\Documents\GitHub\eaglep3\Utilities\DownloadLogsFromS3.py --loco 4011 --day 2017-07-29</t>
  </si>
  <si>
    <t>start /low /b %USERPROFILE%\Documents\GitHub\eaglep3\Utilities\DownloadLogsFromS3.py --loco 4007 --day 2017-07-29</t>
  </si>
  <si>
    <t>start /low /b %USERPROFILE%\Documents\GitHub\eaglep3\Utilities\DownloadLogsFromS3.py --loco 4027 --day 2017-07-30</t>
  </si>
  <si>
    <t>start /low /b %USERPROFILE%\Documents\GitHub\eaglep3\Utilities\DownloadLogsFromS3.py --loco 4028 --day 2017-07-29</t>
  </si>
  <si>
    <t>start /low /b %USERPROFILE%\Documents\GitHub\eaglep3\Utilities\DownloadLogsFromS3.py --loco 4024 --day 2017-07-29</t>
  </si>
  <si>
    <t>start /low /b %USERPROFILE%\Documents\GitHub\eaglep3\Utilities\DownloadLogsFromS3.py --loco 4055 --day 2017-07-29</t>
  </si>
  <si>
    <t>start /low /b %USERPROFILE%\Documents\GitHub\eaglep3\Utilities\DownloadLogsFromS3.py --loco 4041 --day 2017-07-29</t>
  </si>
  <si>
    <t>start /low /b %USERPROFILE%\Documents\GitHub\eaglep3\Utilities\DownloadLogsFromS3.py --loco 4027 --day 2017-07-29</t>
  </si>
  <si>
    <t>start /low /b %USERPROFILE%\Documents\GitHub\eaglep3\Utilities\DownloadLogsFromS3.py --loco 4029 --day 2017-07-29</t>
  </si>
  <si>
    <t>start /low /b %USERPROFILE%\Documents\GitHub\eaglep3\Utilities\DownloadLogsFromS3.py --loco 4023 --day 2017-07-30</t>
  </si>
  <si>
    <t>start /low /b %USERPROFILE%\Documents\GitHub\eaglep3\Utilities\DownloadLogsFromS3.py --loco 4042 --day 2017-07-29</t>
  </si>
  <si>
    <t>start /low /b %USERPROFILE%\Documents\GitHub\eaglep3\Utilities\DownloadLogsFromS3.py --loco 4023 --day 2017-07-29</t>
  </si>
  <si>
    <t>start /low /b %USERPROFILE%\Documents\GitHub\eaglep3\Utilities\DownloadLogsFromS3.py --loco 4024 --day 2017-07-30</t>
  </si>
  <si>
    <t>start /low /b %USERPROFILE%\Documents\GitHub\eaglep3\Utilities\DownloadLogsFromS3.py --loco 4041 --day 2017-07-30</t>
  </si>
  <si>
    <t>start /low /b %USERPROFILE%\Documents\GitHub\eaglep3\Utilities\DownloadLogsFromS3.py --loco 4056 --day 2017-07-29</t>
  </si>
  <si>
    <t>start /low /b %USERPROFILE%\Documents\GitHub\eaglep3\Utilities\DownloadLogsFromS3.py --loco 4053 --day 2017-07-29</t>
  </si>
  <si>
    <t>Minor onboard in-route failure caused signal unknown banner</t>
  </si>
  <si>
    <t>Wi-MAX data drop, no enforcement or cut out</t>
  </si>
  <si>
    <t>Unhealthy at Chambers due to minor onboard in-route failure</t>
  </si>
  <si>
    <t>Form C, did not press Yes buttons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</si>
</sst>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5"/>
  <sheetViews>
    <sheetView tabSelected="1" workbookViewId="0">
      <selection activeCell="R21" sqref="R21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42945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42945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34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COUNTIFS($N$13:$N$9309,"&gt;0",$AG$13:$AG$9309,I1)</f>
        <v>145</v>
      </c>
      <c r="K5" s="39"/>
      <c r="L5" s="39"/>
      <c r="M5" s="40">
        <f>AVERAGEIFS($N$13:$N$9309,$AG$13:$AG$9309,I1)</f>
        <v>39.138275862695522</v>
      </c>
      <c r="N5" s="38">
        <f t="array" ref="N5">MIN(IF($AG$13:$AG$9309=I1,IF(ISNUMBER($N$13:$N$9309),IF($N$13:$N$9309&gt;0,$N$13:$N$9309))))</f>
        <v>35.299999995622784</v>
      </c>
      <c r="O5" s="3">
        <f t="array" ref="O5">MAX(IF($AG$13:$AG$9309=I1,IF(ISNUMBER($N$13:$N$9309),IF($N$13:$N$9309&gt;0,$N$13:$N$9309))))</f>
        <v>47.300000003306195</v>
      </c>
      <c r="P5" s="2"/>
      <c r="R5" s="166" t="s">
        <v>17</v>
      </c>
      <c r="S5" s="186">
        <f>COUNTIFS($N$13:$N$9309,"&gt;0",$AG$13:$AG$9309,R1)</f>
        <v>34</v>
      </c>
      <c r="T5" s="187"/>
      <c r="U5" s="187"/>
      <c r="V5" s="183">
        <f>AVERAGEIFS($N$13:$N$9309,$AG$13:$AG$9309,R1)</f>
        <v>14.511274509782465</v>
      </c>
      <c r="W5" s="184">
        <f t="array" ref="W5">MIN(IF($AG$13:$AG$9309=R1,IF(ISNUMBER($N$13:$N$9309),IF($N$13:$N$9309&gt;0,$N$13:$N$9309))))</f>
        <v>12.350000005681068</v>
      </c>
      <c r="X5" s="185">
        <f t="array" ref="X5">MAX(IF($AG$13:$AG$9309=R1,IF(ISNUMBER($N$13:$N$9309),IF($N$13:$N$9309&gt;0,$N$13:$N$9309))))</f>
        <v>17.249999998603016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COUNT($O$13:$O$122)</f>
        <v>0</v>
      </c>
      <c r="K6" s="39"/>
      <c r="L6" s="39"/>
      <c r="M6" s="40">
        <f>IFERROR(AVERAGE($O$13:$O$122),0)</f>
        <v>0</v>
      </c>
      <c r="N6" s="38">
        <f>MIN($O$13:$O$122)</f>
        <v>0</v>
      </c>
      <c r="O6" s="3">
        <f>MAX($O$13:$O$122)</f>
        <v>0</v>
      </c>
      <c r="P6" s="2"/>
      <c r="R6" s="167" t="s">
        <v>43</v>
      </c>
      <c r="S6" s="186">
        <f>COUNT($O$13:$O$122)</f>
        <v>0</v>
      </c>
      <c r="T6" s="187"/>
      <c r="U6" s="187"/>
      <c r="V6" s="183">
        <f>IFERROR(AVERAGE($O$13:$O$122),0)</f>
        <v>0</v>
      </c>
      <c r="W6" s="184">
        <f>MIN($O$13:$O$122)</f>
        <v>0</v>
      </c>
      <c r="X6" s="185">
        <f>MAX($O$13:$O$122)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COUNTIFS($P$13:$P$9309,"&gt;0",$AG$13:$AG$9309,I1)</f>
        <v>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COUNTIFS($P$13:$P$9309,"&gt;0",$AG$13:$AG$9309,R1)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145</v>
      </c>
      <c r="K8" s="39"/>
      <c r="L8" s="39"/>
      <c r="M8" s="40">
        <f>M5</f>
        <v>39.138275862695522</v>
      </c>
      <c r="N8" s="38">
        <f>N5</f>
        <v>35.299999995622784</v>
      </c>
      <c r="O8" s="3">
        <f>O5</f>
        <v>47.300000003306195</v>
      </c>
      <c r="P8" s="2"/>
      <c r="R8" s="166" t="s">
        <v>16</v>
      </c>
      <c r="S8" s="186">
        <f>S5</f>
        <v>34</v>
      </c>
      <c r="T8" s="187"/>
      <c r="U8" s="187"/>
      <c r="V8" s="183">
        <f>V5</f>
        <v>14.511274509782465</v>
      </c>
      <c r="W8" s="184">
        <f>W5</f>
        <v>12.350000005681068</v>
      </c>
      <c r="X8" s="185">
        <f>X5</f>
        <v>17.249999998603016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0.99315068493150682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- 2017-07-29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AVERAGE(S13:S98)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676</v>
      </c>
      <c r="B13" s="7">
        <v>4042</v>
      </c>
      <c r="C13" s="21" t="s">
        <v>198</v>
      </c>
      <c r="D13" s="21" t="s">
        <v>876</v>
      </c>
      <c r="E13" s="13">
        <v>42945.130428240744</v>
      </c>
      <c r="F13" s="13">
        <v>42945.135972222219</v>
      </c>
      <c r="G13" s="7">
        <v>1</v>
      </c>
      <c r="H13" s="21" t="s">
        <v>527</v>
      </c>
      <c r="I13" s="13">
        <v>42945.163865740738</v>
      </c>
      <c r="J13" s="7">
        <v>0</v>
      </c>
      <c r="K13" s="89" t="str">
        <f t="shared" ref="K13:K76" si="0">IF(ISEVEN(B13),(B13-1)&amp;"/"&amp;B13,B13&amp;"/"&amp;(B13+1))</f>
        <v>4041/4042</v>
      </c>
      <c r="L13" s="21" t="str">
        <f>VLOOKUP(A13,'Trips&amp;Operators'!$C$1:$G$99999,5,FALSE)</f>
        <v>MAELZER KURT</v>
      </c>
      <c r="M13" s="6">
        <f t="shared" ref="M13:M76" si="1">I13-F13</f>
        <v>2.789351851970423E-2</v>
      </c>
      <c r="N13" s="7">
        <f t="shared" ref="N13:N44" si="2">24*60*SUM($M13:$M13)</f>
        <v>40.166666668374091</v>
      </c>
      <c r="O13" s="7"/>
      <c r="P13" s="7"/>
      <c r="Q13" s="22"/>
      <c r="R13" s="170"/>
      <c r="S13" s="213">
        <f t="shared" ref="S13:S44" si="3">1/IF(AG13="EC",12,1)*SUM(U13:U13)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-29T02:07:49-0600',mode:absolute,to:'2017-07-29T04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" s="197" t="str">
        <f>IF(AA13&lt;VLOOKUP(AG13,Variables!$AC$3:$AD$8,2,FALSE),"Y","N")</f>
        <v>N</v>
      </c>
      <c r="X13" s="197" t="e">
        <f t="shared" ref="X13:X44" si="6">VALUE(LEFT(AD13,4))-VALUE(LEFT(AD12,4))</f>
        <v>#VALUE!</v>
      </c>
      <c r="Y13" s="197">
        <f t="shared" ref="Y13:Y76" si="7">RIGHT(D13,LEN(D13)-4)/10000</f>
        <v>7.2400000000000006E-2</v>
      </c>
      <c r="Z13" s="197">
        <f t="shared" ref="Z13:Z76" si="8">RIGHT(H13,LEN(H13)-4)/10000</f>
        <v>23.331199999999999</v>
      </c>
      <c r="AA13" s="197">
        <f t="shared" ref="AA13:AA76" si="9">ABS(Z13-Y13)</f>
        <v>23.258800000000001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s3://rtdc.mdm.uploadarchive.raw/RTDC4042/ "%USERPROFILE%\AppData\Local\Temp\OnboardLogs"\RTDC4042\2017-07-29 --exclude "*" --recursive --include "*20170729*" &amp; "%USERPROFILE%\Documents\GitHub\mrs-test-scripts\Headless Mode &amp; Sideloading\WalkAndUnGZ.bat" "%USERPROFILE%\AppData\Local\Temp\OnboardLogs"\RTDC4042\2017-07-29 &amp; aws s3 cp s3://rtdc.mdm.uploadarchive.raw/RTDC4042/ "%USERPROFILE%\AppData\Local\Temp\OnboardLogs"\RTDC4042\2017-07-30 --exclude "*" --recursive --include "*20170730*" &amp; "%USERPROFILE%\Documents\GitHub\mrs-test-scripts\Headless Mode &amp; Sideloading\WalkAndUnGZ.bat" "%USERPROFILE%\AppData\Local\Temp\OnboardLogs"\RTDC4042\2017-07-30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/stypes="app*4042*20170729*"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101-29 --locoid 4042 --swversion DE.1.0.9.0 --startMP 204:724 --initTime 2017-07-29T03:07:49 --startdatetime 2017-07-29T03:15:48 --delay 1 --endMP 204:233312 --enddatetime 2017-07-29T03:55:58 --enforcementcount 0 &gt;&gt;C:\Users\stu\Documents\GitHub\eaglep3-reporting\EC\2017-07-29-refined-times.txt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{"issue":{"subject":"","project_id":79,"tracker_id":40,"status_id":1,"priority_id":2,"assigned_to_id":23,"start_date":"2017-07-29","description":"","custom_fields":[{"id":1,"name":"Subdivision","value":"EC"},{"id":4,"name":"Milepost","value":"23.3312"},{"id":17,"name":"Train ID","value":"101-29"},{"id":16,"name":"Locomotive ID","value":"4042"},{"id":130,"name":"Impact","value":""},{"id":150,"name":"Time of Event (Mountain Time)","value":"03:55:58"},{"id":151,"name":"Denver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4042 --day 2017-07-29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09:55:58"},{"id":29,"name":"Sharepoint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686</v>
      </c>
      <c r="B14" s="7">
        <v>4041</v>
      </c>
      <c r="C14" s="21" t="s">
        <v>198</v>
      </c>
      <c r="D14" s="21" t="s">
        <v>620</v>
      </c>
      <c r="E14" s="13">
        <v>42945.170636574076</v>
      </c>
      <c r="F14" s="13">
        <v>42945.175509259258</v>
      </c>
      <c r="G14" s="7">
        <v>1</v>
      </c>
      <c r="H14" s="21" t="s">
        <v>606</v>
      </c>
      <c r="I14" s="13">
        <v>42945.203101851854</v>
      </c>
      <c r="J14" s="7">
        <v>0</v>
      </c>
      <c r="K14" s="89" t="str">
        <f t="shared" si="0"/>
        <v>4041/4042</v>
      </c>
      <c r="L14" s="21" t="str">
        <f>VLOOKUP(A14,'Trips&amp;Operators'!$C$1:$G$99999,5,FALSE)</f>
        <v>MAELZER KURT</v>
      </c>
      <c r="M14" s="6">
        <f t="shared" si="1"/>
        <v>2.7592592596192844E-2</v>
      </c>
      <c r="N14" s="7">
        <f t="shared" si="2"/>
        <v>39.733333338517696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-07-29T03:05:43-0600',mode:absolute,to:'2017-07-29T05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23.300799999999999</v>
      </c>
      <c r="Z14" s="197">
        <f t="shared" si="8"/>
        <v>1.2999999999999999E-2</v>
      </c>
      <c r="AA14" s="197">
        <f t="shared" si="9"/>
        <v>23.287799999999997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s3://rtdc.mdm.uploadarchive.raw/RTDC4041/ "%USERPROFILE%\AppData\Local\Temp\OnboardLogs"\RTDC4041\2017-07-29 --exclude "*" --recursive --include "*20170729*" &amp; "%USERPROFILE%\Documents\GitHub\mrs-test-scripts\Headless Mode &amp; Sideloading\WalkAndUnGZ.bat" "%USERPROFILE%\AppData\Local\Temp\OnboardLogs"\RTDC4041\2017-07-29 &amp; aws s3 cp s3://rtdc.mdm.uploadarchive.raw/RTDC4041/ "%USERPROFILE%\AppData\Local\Temp\OnboardLogs"\RTDC4041\2017-07-30 --exclude "*" --recursive --include "*20170730*" &amp; "%USERPROFILE%\Documents\GitHub\mrs-test-scripts\Headless Mode &amp; Sideloading\WalkAndUnGZ.bat" "%USERPROFILE%\AppData\Local\Temp\OnboardLogs"\RTDC4041\2017-07-30</v>
      </c>
      <c r="AF14" s="74" t="str">
        <f t="shared" si="12"/>
        <v>"C:\Program Files (x86)\AstroGrep\AstroGrep.exe" /e /r /s /spath="%USERPROFILE%\AppData\Local\Temp\OnboardLogs" /stypes="app*4041*20170729*"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102-29 --locoid 4041 --swversion DE.1.0.9.0 --startMP 204:233008 --initTime 2017-07-29T04:05:43 --startdatetime 2017-07-29T04:12:44 --delay 1 --endMP 204:130 --enddatetime 2017-07-29T04:52:28 --enforcementcount 0 &gt;&gt;C:\Users\stu\Documents\GitHub\eaglep3-reporting\EC\2017-07-29-refined-times.txt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{"issue":{"subject":"","project_id":79,"tracker_id":40,"status_id":1,"priority_id":2,"assigned_to_id":23,"start_date":"2017-07-29","description":"","custom_fields":[{"id":1,"name":"Subdivision","value":"EC"},{"id":4,"name":"Milepost","value":"0.013"},{"id":17,"name":"Train ID","value":"102-29"},{"id":16,"name":"Locomotive ID","value":"4041"},{"id":130,"name":"Impact","value":""},{"id":150,"name":"Time of Event (Mountain Time)","value":"04:52:28"},{"id":151,"name":"Denver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4041 --day 2017-07-29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10:52:28"},{"id":29,"name":"Sharepoint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680</v>
      </c>
      <c r="B15" s="7">
        <v>4008</v>
      </c>
      <c r="C15" s="21" t="s">
        <v>198</v>
      </c>
      <c r="D15" s="21" t="s">
        <v>344</v>
      </c>
      <c r="E15" s="13">
        <v>42945.149259259262</v>
      </c>
      <c r="F15" s="13">
        <v>42945.156863425924</v>
      </c>
      <c r="G15" s="7">
        <v>1</v>
      </c>
      <c r="H15" s="21" t="s">
        <v>877</v>
      </c>
      <c r="I15" s="13">
        <v>42945.189131944448</v>
      </c>
      <c r="J15" s="7">
        <v>0</v>
      </c>
      <c r="K15" s="89" t="str">
        <f t="shared" si="0"/>
        <v>4007/4008</v>
      </c>
      <c r="L15" s="21" t="str">
        <f>VLOOKUP(A15,'Trips&amp;Operators'!$C$1:$G$99999,5,FALSE)</f>
        <v>WILLIAMS DONTE</v>
      </c>
      <c r="M15" s="6">
        <f t="shared" si="1"/>
        <v>3.2268518523778766E-2</v>
      </c>
      <c r="N15" s="7">
        <f t="shared" si="2"/>
        <v>46.466666674241424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-07-29T02:34:56-0600',mode:absolute,to:'2017-07-29T05:32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4.6600000000000003E-2</v>
      </c>
      <c r="Z15" s="197">
        <f t="shared" si="8"/>
        <v>23.330300000000001</v>
      </c>
      <c r="AA15" s="197">
        <f t="shared" si="9"/>
        <v>23.2837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s3://rtdc.mdm.uploadarchive.raw/RTDC4008/ "%USERPROFILE%\AppData\Local\Temp\OnboardLogs"\RTDC4008\2017-07-29 --exclude "*" --recursive --include "*20170729*" &amp; "%USERPROFILE%\Documents\GitHub\mrs-test-scripts\Headless Mode &amp; Sideloading\WalkAndUnGZ.bat" "%USERPROFILE%\AppData\Local\Temp\OnboardLogs"\RTDC4008\2017-07-29 &amp; aws s3 cp s3://rtdc.mdm.uploadarchive.raw/RTDC4008/ "%USERPROFILE%\AppData\Local\Temp\OnboardLogs"\RTDC4008\2017-07-30 --exclude "*" --recursive --include "*20170730*" &amp; "%USERPROFILE%\Documents\GitHub\mrs-test-scripts\Headless Mode &amp; Sideloading\WalkAndUnGZ.bat" "%USERPROFILE%\AppData\Local\Temp\OnboardLogs"\RTDC4008\2017-07-30</v>
      </c>
      <c r="AF15" s="74" t="str">
        <f t="shared" si="12"/>
        <v>"C:\Program Files (x86)\AstroGrep\AstroGrep.exe" /e /r /s /spath="%USERPROFILE%\AppData\Local\Temp\OnboardLogs" /stypes="app*4008*20170729*"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103-29 --locoid 4008 --swversion DE.1.0.9.0 --startMP 204:466 --initTime 2017-07-29T03:34:56 --startdatetime 2017-07-29T03:45:53 --delay 1 --endMP 204:233303 --enddatetime 2017-07-29T04:32:21 --enforcementcount 0 &gt;&gt;C:\Users\stu\Documents\GitHub\eaglep3-reporting\EC\2017-07-29-refined-times.txt</v>
      </c>
      <c r="AI15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{"issue":{"subject":"","project_id":79,"tracker_id":40,"status_id":1,"priority_id":2,"assigned_to_id":23,"start_date":"2017-07-29","description":"","custom_fields":[{"id":1,"name":"Subdivision","value":"EC"},{"id":4,"name":"Milepost","value":"23.3303"},{"id":17,"name":"Train ID","value":"103-29"},{"id":16,"name":"Locomotive ID","value":"4008"},{"id":130,"name":"Impact","value":""},{"id":150,"name":"Time of Event (Mountain Time)","value":"04:32:21"},{"id":151,"name":"Denver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4008 --day 2017-07-29</v>
      </c>
      <c r="AN15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10:32:21"},{"id":29,"name":"Sharepoint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691</v>
      </c>
      <c r="B16" s="7">
        <v>4007</v>
      </c>
      <c r="C16" s="21" t="s">
        <v>198</v>
      </c>
      <c r="D16" s="21" t="s">
        <v>878</v>
      </c>
      <c r="E16" s="13">
        <v>42945.191840277781</v>
      </c>
      <c r="F16" s="13">
        <v>42945.196064814816</v>
      </c>
      <c r="G16" s="7">
        <v>1</v>
      </c>
      <c r="H16" s="21" t="s">
        <v>879</v>
      </c>
      <c r="I16" s="13">
        <v>42945.226342592592</v>
      </c>
      <c r="J16" s="7">
        <v>0</v>
      </c>
      <c r="K16" s="89" t="str">
        <f t="shared" si="0"/>
        <v>4007/4008</v>
      </c>
      <c r="L16" s="21" t="str">
        <f>VLOOKUP(A16,'Trips&amp;Operators'!$C$1:$G$99999,5,FALSE)</f>
        <v>WILLIAMS DONTE</v>
      </c>
      <c r="M16" s="6">
        <f t="shared" si="1"/>
        <v>3.0277777776063886E-2</v>
      </c>
      <c r="N16" s="7">
        <f t="shared" si="2"/>
        <v>43.599999997531995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-07-29T03:36:15-0600',mode:absolute,to:'2017-07-29T06:25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23.2973</v>
      </c>
      <c r="Z16" s="197">
        <f t="shared" si="8"/>
        <v>1.7600000000000001E-2</v>
      </c>
      <c r="AA16" s="197">
        <f t="shared" si="9"/>
        <v>23.279699999999998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s3://rtdc.mdm.uploadarchive.raw/RTDC4007/ "%USERPROFILE%\AppData\Local\Temp\OnboardLogs"\RTDC4007\2017-07-29 --exclude "*" --recursive --include "*20170729*" &amp; "%USERPROFILE%\Documents\GitHub\mrs-test-scripts\Headless Mode &amp; Sideloading\WalkAndUnGZ.bat" "%USERPROFILE%\AppData\Local\Temp\OnboardLogs"\RTDC4007\2017-07-29 &amp; aws s3 cp s3://rtdc.mdm.uploadarchive.raw/RTDC4007/ "%USERPROFILE%\AppData\Local\Temp\OnboardLogs"\RTDC4007\2017-07-30 --exclude "*" --recursive --include "*20170730*" &amp; "%USERPROFILE%\Documents\GitHub\mrs-test-scripts\Headless Mode &amp; Sideloading\WalkAndUnGZ.bat" "%USERPROFILE%\AppData\Local\Temp\OnboardLogs"\RTDC4007\2017-07-30</v>
      </c>
      <c r="AF16" s="74" t="str">
        <f t="shared" si="12"/>
        <v>"C:\Program Files (x86)\AstroGrep\AstroGrep.exe" /e /r /s /spath="%USERPROFILE%\AppData\Local\Temp\OnboardLogs" /stypes="app*4007*20170729*"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104-29 --locoid 4007 --swversion DE.1.0.9.0 --startMP 204:232973 --initTime 2017-07-29T04:36:15 --startdatetime 2017-07-29T04:42:20 --delay 1 --endMP 204:176 --enddatetime 2017-07-29T05:25:56 --enforcementcount 0 &gt;&gt;C:\Users\stu\Documents\GitHub\eaglep3-reporting\EC\2017-07-29-refined-times.txt</v>
      </c>
      <c r="AI16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{"issue":{"subject":"","project_id":79,"tracker_id":40,"status_id":1,"priority_id":2,"assigned_to_id":23,"start_date":"2017-07-29","description":"","custom_fields":[{"id":1,"name":"Subdivision","value":"EC"},{"id":4,"name":"Milepost","value":"0.0176"},{"id":17,"name":"Train ID","value":"104-29"},{"id":16,"name":"Locomotive ID","value":"4007"},{"id":130,"name":"Impact","value":""},{"id":150,"name":"Time of Event (Mountain Time)","value":"05:25:56"},{"id":151,"name":"Denver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4007 --day 2017-07-29</v>
      </c>
      <c r="AN16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11:25:56"},{"id":29,"name":"Sharepoint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682</v>
      </c>
      <c r="B17" s="7">
        <v>4024</v>
      </c>
      <c r="C17" s="21" t="s">
        <v>198</v>
      </c>
      <c r="D17" s="21" t="s">
        <v>345</v>
      </c>
      <c r="E17" s="13">
        <v>42945.166655092595</v>
      </c>
      <c r="F17" s="13">
        <v>42945.177627314813</v>
      </c>
      <c r="G17" s="7">
        <v>1</v>
      </c>
      <c r="H17" s="21" t="s">
        <v>880</v>
      </c>
      <c r="I17" s="13">
        <v>42945.204942129632</v>
      </c>
      <c r="J17" s="7">
        <v>0</v>
      </c>
      <c r="K17" s="89" t="str">
        <f t="shared" si="0"/>
        <v>4023/4024</v>
      </c>
      <c r="L17" s="21" t="str">
        <f>VLOOKUP(A17,'Trips&amp;Operators'!$C$1:$G$99999,5,FALSE)</f>
        <v>DAVIS WENDY</v>
      </c>
      <c r="M17" s="6">
        <f t="shared" si="1"/>
        <v>2.7314814818964805E-2</v>
      </c>
      <c r="N17" s="7">
        <f t="shared" si="2"/>
        <v>39.33333333930932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-07-29T02:59:59-0600',mode:absolute,to:'2017-07-29T05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4.5100000000000001E-2</v>
      </c>
      <c r="Z17" s="197">
        <f t="shared" si="8"/>
        <v>23.331800000000001</v>
      </c>
      <c r="AA17" s="197">
        <f t="shared" si="9"/>
        <v>23.2867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s3://rtdc.mdm.uploadarchive.raw/RTDC4024/ "%USERPROFILE%\AppData\Local\Temp\OnboardLogs"\RTDC4024\2017-07-29 --exclude "*" --recursive --include "*20170729*" &amp; "%USERPROFILE%\Documents\GitHub\mrs-test-scripts\Headless Mode &amp; Sideloading\WalkAndUnGZ.bat" "%USERPROFILE%\AppData\Local\Temp\OnboardLogs"\RTDC4024\2017-07-29 &amp; aws s3 cp s3://rtdc.mdm.uploadarchive.raw/RTDC4024/ "%USERPROFILE%\AppData\Local\Temp\OnboardLogs"\RTDC4024\2017-07-30 --exclude "*" --recursive --include "*20170730*" &amp; "%USERPROFILE%\Documents\GitHub\mrs-test-scripts\Headless Mode &amp; Sideloading\WalkAndUnGZ.bat" "%USERPROFILE%\AppData\Local\Temp\OnboardLogs"\RTDC4024\2017-07-30</v>
      </c>
      <c r="AF17" s="74" t="str">
        <f t="shared" si="12"/>
        <v>"C:\Program Files (x86)\AstroGrep\AstroGrep.exe" /e /r /s /spath="%USERPROFILE%\AppData\Local\Temp\OnboardLogs" /stypes="app*4024*20170729*"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105-29 --locoid 4024 --swversion DE.1.0.9.0 --startMP 204:451 --initTime 2017-07-29T03:59:59 --startdatetime 2017-07-29T04:15:47 --delay 1 --endMP 204:233318 --enddatetime 2017-07-29T04:55:07 --enforcementcount 0 &gt;&gt;C:\Users\stu\Documents\GitHub\eaglep3-reporting\EC\2017-07-29-refined-times.txt</v>
      </c>
      <c r="AI17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{"issue":{"subject":"","project_id":79,"tracker_id":40,"status_id":1,"priority_id":2,"assigned_to_id":23,"start_date":"2017-07-29","description":"","custom_fields":[{"id":1,"name":"Subdivision","value":"EC"},{"id":4,"name":"Milepost","value":"23.3318"},{"id":17,"name":"Train ID","value":"105-29"},{"id":16,"name":"Locomotive ID","value":"4024"},{"id":130,"name":"Impact","value":""},{"id":150,"name":"Time of Event (Mountain Time)","value":"04:55:07"},{"id":151,"name":"Denver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4024 --day 2017-07-29</v>
      </c>
      <c r="AN17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10:55:07"},{"id":29,"name":"Sharepoint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699</v>
      </c>
      <c r="B18" s="7">
        <v>4023</v>
      </c>
      <c r="C18" s="21" t="s">
        <v>198</v>
      </c>
      <c r="D18" s="21" t="s">
        <v>482</v>
      </c>
      <c r="E18" s="13">
        <v>42945.214687500003</v>
      </c>
      <c r="F18" s="13">
        <v>42945.216828703706</v>
      </c>
      <c r="G18" s="7">
        <v>1</v>
      </c>
      <c r="H18" s="21" t="s">
        <v>498</v>
      </c>
      <c r="I18" s="13">
        <v>42945.246064814812</v>
      </c>
      <c r="J18" s="7">
        <v>0</v>
      </c>
      <c r="K18" s="89" t="str">
        <f t="shared" si="0"/>
        <v>4023/4024</v>
      </c>
      <c r="L18" s="21" t="str">
        <f>VLOOKUP(A18,'Trips&amp;Operators'!$C$1:$G$99999,5,FALSE)</f>
        <v>DAVIS WENDY</v>
      </c>
      <c r="M18" s="6">
        <f t="shared" si="1"/>
        <v>2.9236111106001772E-2</v>
      </c>
      <c r="N18" s="7">
        <f t="shared" si="2"/>
        <v>42.099999992642552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-07-29T04:09:09-0600',mode:absolute,to:'2017-07-29T06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23.297499999999999</v>
      </c>
      <c r="Z18" s="197">
        <f t="shared" si="8"/>
        <v>1.6899999999999998E-2</v>
      </c>
      <c r="AA18" s="197">
        <f t="shared" si="9"/>
        <v>23.2806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s3://rtdc.mdm.uploadarchive.raw/RTDC4023/ "%USERPROFILE%\AppData\Local\Temp\OnboardLogs"\RTDC4023\2017-07-29 --exclude "*" --recursive --include "*20170729*" &amp; "%USERPROFILE%\Documents\GitHub\mrs-test-scripts\Headless Mode &amp; Sideloading\WalkAndUnGZ.bat" "%USERPROFILE%\AppData\Local\Temp\OnboardLogs"\RTDC4023\2017-07-29 &amp; aws s3 cp s3://rtdc.mdm.uploadarchive.raw/RTDC4023/ "%USERPROFILE%\AppData\Local\Temp\OnboardLogs"\RTDC4023\2017-07-30 --exclude "*" --recursive --include "*20170730*" &amp; "%USERPROFILE%\Documents\GitHub\mrs-test-scripts\Headless Mode &amp; Sideloading\WalkAndUnGZ.bat" "%USERPROFILE%\AppData\Local\Temp\OnboardLogs"\RTDC4023\2017-07-30</v>
      </c>
      <c r="AF18" s="74" t="str">
        <f t="shared" si="12"/>
        <v>"C:\Program Files (x86)\AstroGrep\AstroGrep.exe" /e /r /s /spath="%USERPROFILE%\AppData\Local\Temp\OnboardLogs" /stypes="app*4023*20170729*"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106-29 --locoid 4023 --swversion DE.1.0.9.0 --startMP 204:232975 --initTime 2017-07-29T05:09:09 --startdatetime 2017-07-29T05:12:14 --delay 1 --endMP 204:169 --enddatetime 2017-07-29T05:54:20 --enforcementcount 0 &gt;&gt;C:\Users\stu\Documents\GitHub\eaglep3-reporting\EC\2017-07-29-refined-times.txt</v>
      </c>
      <c r="AI18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{"issue":{"subject":"","project_id":79,"tracker_id":40,"status_id":1,"priority_id":2,"assigned_to_id":23,"start_date":"2017-07-29","description":"","custom_fields":[{"id":1,"name":"Subdivision","value":"EC"},{"id":4,"name":"Milepost","value":"0.0169"},{"id":17,"name":"Train ID","value":"106-29"},{"id":16,"name":"Locomotive ID","value":"4023"},{"id":130,"name":"Impact","value":""},{"id":150,"name":"Time of Event (Mountain Time)","value":"05:54:20"},{"id":151,"name":"Denver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4023 --day 2017-07-29</v>
      </c>
      <c r="AN18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11:54:20"},{"id":29,"name":"Sharepoint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690</v>
      </c>
      <c r="B19" s="7">
        <v>4056</v>
      </c>
      <c r="C19" s="21" t="s">
        <v>198</v>
      </c>
      <c r="D19" s="21" t="s">
        <v>521</v>
      </c>
      <c r="E19" s="13">
        <v>42945.182546296295</v>
      </c>
      <c r="F19" s="13">
        <v>42945.188032407408</v>
      </c>
      <c r="G19" s="7">
        <v>1</v>
      </c>
      <c r="H19" s="21" t="s">
        <v>465</v>
      </c>
      <c r="I19" s="13">
        <v>42945.213865740741</v>
      </c>
      <c r="J19" s="7">
        <v>0</v>
      </c>
      <c r="K19" s="89" t="str">
        <f t="shared" si="0"/>
        <v>4055/4056</v>
      </c>
      <c r="L19" s="21" t="str">
        <f>VLOOKUP(A19,'Trips&amp;Operators'!$C$1:$G$99999,5,FALSE)</f>
        <v>GEBRETEKLE DAGNEW</v>
      </c>
      <c r="M19" s="6">
        <f t="shared" si="1"/>
        <v>2.5833333333139308E-2</v>
      </c>
      <c r="N19" s="7">
        <f t="shared" si="2"/>
        <v>37.199999999720603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-07-29T03:22:52-0600',mode:absolute,to:'2017-07-29T06:07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4.6699999999999998E-2</v>
      </c>
      <c r="Z19" s="197">
        <f t="shared" si="8"/>
        <v>23.331</v>
      </c>
      <c r="AA19" s="197">
        <f t="shared" si="9"/>
        <v>23.284299999999998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s3://rtdc.mdm.uploadarchive.raw/RTDC4056/ "%USERPROFILE%\AppData\Local\Temp\OnboardLogs"\RTDC4056\2017-07-29 --exclude "*" --recursive --include "*20170729*" &amp; "%USERPROFILE%\Documents\GitHub\mrs-test-scripts\Headless Mode &amp; Sideloading\WalkAndUnGZ.bat" "%USERPROFILE%\AppData\Local\Temp\OnboardLogs"\RTDC4056\2017-07-29 &amp; aws s3 cp s3://rtdc.mdm.uploadarchive.raw/RTDC4056/ "%USERPROFILE%\AppData\Local\Temp\OnboardLogs"\RTDC4056\2017-07-30 --exclude "*" --recursive --include "*20170730*" &amp; "%USERPROFILE%\Documents\GitHub\mrs-test-scripts\Headless Mode &amp; Sideloading\WalkAndUnGZ.bat" "%USERPROFILE%\AppData\Local\Temp\OnboardLogs"\RTDC4056\2017-07-30</v>
      </c>
      <c r="AF19" s="74" t="str">
        <f t="shared" si="12"/>
        <v>"C:\Program Files (x86)\AstroGrep\AstroGrep.exe" /e /r /s /spath="%USERPROFILE%\AppData\Local\Temp\OnboardLogs" /stypes="app*4056*20170729*"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107-29 --locoid 4056 --swversion DE.1.0.9.0 --startMP 204:467 --initTime 2017-07-29T04:22:52 --startdatetime 2017-07-29T04:30:46 --delay 1 --endMP 204:233310 --enddatetime 2017-07-29T05:07:58 --enforcementcount 0 &gt;&gt;C:\Users\stu\Documents\GitHub\eaglep3-reporting\EC\2017-07-29-refined-times.txt</v>
      </c>
      <c r="AI19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{"issue":{"subject":"","project_id":79,"tracker_id":40,"status_id":1,"priority_id":2,"assigned_to_id":23,"start_date":"2017-07-29","description":"","custom_fields":[{"id":1,"name":"Subdivision","value":"EC"},{"id":4,"name":"Milepost","value":"23.331"},{"id":17,"name":"Train ID","value":"107-29"},{"id":16,"name":"Locomotive ID","value":"4056"},{"id":130,"name":"Impact","value":""},{"id":150,"name":"Time of Event (Mountain Time)","value":"05:07:58"},{"id":151,"name":"Denver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4056 --day 2017-07-29</v>
      </c>
      <c r="AN19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11:07:58"},{"id":29,"name":"Sharepoint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700</v>
      </c>
      <c r="B20" s="7">
        <v>4055</v>
      </c>
      <c r="C20" s="21" t="s">
        <v>198</v>
      </c>
      <c r="D20" s="21" t="s">
        <v>607</v>
      </c>
      <c r="E20" s="13">
        <v>42945.215104166666</v>
      </c>
      <c r="F20" s="13">
        <v>42945.227280092593</v>
      </c>
      <c r="G20" s="7">
        <v>1</v>
      </c>
      <c r="H20" s="21" t="s">
        <v>881</v>
      </c>
      <c r="I20" s="13">
        <v>42945.25540509259</v>
      </c>
      <c r="J20" s="7">
        <v>0</v>
      </c>
      <c r="K20" s="89" t="str">
        <f t="shared" si="0"/>
        <v>4055/4056</v>
      </c>
      <c r="L20" s="21" t="str">
        <f>VLOOKUP(A20,'Trips&amp;Operators'!$C$1:$G$99999,5,FALSE)</f>
        <v>GEBRETEKLE DAGNEW</v>
      </c>
      <c r="M20" s="6">
        <f t="shared" si="1"/>
        <v>2.8124999997089617E-2</v>
      </c>
      <c r="N20" s="7">
        <f t="shared" si="2"/>
        <v>40.499999995809048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-07-29T04:09:45-0600',mode:absolute,to:'2017-07-29T07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23.299099999999999</v>
      </c>
      <c r="Z20" s="197">
        <f t="shared" si="8"/>
        <v>1.5599999999999999E-2</v>
      </c>
      <c r="AA20" s="197">
        <f t="shared" si="9"/>
        <v>23.2835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s3://rtdc.mdm.uploadarchive.raw/RTDC4055/ "%USERPROFILE%\AppData\Local\Temp\OnboardLogs"\RTDC4055\2017-07-29 --exclude "*" --recursive --include "*20170729*" &amp; "%USERPROFILE%\Documents\GitHub\mrs-test-scripts\Headless Mode &amp; Sideloading\WalkAndUnGZ.bat" "%USERPROFILE%\AppData\Local\Temp\OnboardLogs"\RTDC4055\2017-07-29 &amp; aws s3 cp s3://rtdc.mdm.uploadarchive.raw/RTDC4055/ "%USERPROFILE%\AppData\Local\Temp\OnboardLogs"\RTDC4055\2017-07-30 --exclude "*" --recursive --include "*20170730*" &amp; "%USERPROFILE%\Documents\GitHub\mrs-test-scripts\Headless Mode &amp; Sideloading\WalkAndUnGZ.bat" "%USERPROFILE%\AppData\Local\Temp\OnboardLogs"\RTDC4055\2017-07-30</v>
      </c>
      <c r="AF20" s="74" t="str">
        <f t="shared" si="12"/>
        <v>"C:\Program Files (x86)\AstroGrep\AstroGrep.exe" /e /r /s /spath="%USERPROFILE%\AppData\Local\Temp\OnboardLogs" /stypes="app*4055*20170729*"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108-29 --locoid 4055 --swversion DE.1.0.9.0 --startMP 204:232991 --initTime 2017-07-29T05:09:45 --startdatetime 2017-07-29T05:27:17 --delay 1 --endMP 204:156 --enddatetime 2017-07-29T06:07:47 --enforcementcount 0 &gt;&gt;C:\Users\stu\Documents\GitHub\eaglep3-reporting\EC\2017-07-29-refined-times.txt</v>
      </c>
      <c r="AI20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{"issue":{"subject":"","project_id":79,"tracker_id":40,"status_id":1,"priority_id":2,"assigned_to_id":23,"start_date":"2017-07-29","description":"","custom_fields":[{"id":1,"name":"Subdivision","value":"EC"},{"id":4,"name":"Milepost","value":"0.0156"},{"id":17,"name":"Train ID","value":"108-29"},{"id":16,"name":"Locomotive ID","value":"4055"},{"id":130,"name":"Impact","value":""},{"id":150,"name":"Time of Event (Mountain Time)","value":"06:07:47"},{"id":151,"name":"Denver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4055 --day 2017-07-29</v>
      </c>
      <c r="AN20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12:07:47"},{"id":29,"name":"Sharepoint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693</v>
      </c>
      <c r="B21" s="7">
        <v>4012</v>
      </c>
      <c r="C21" s="21" t="s">
        <v>198</v>
      </c>
      <c r="D21" s="21" t="s">
        <v>454</v>
      </c>
      <c r="E21" s="13">
        <v>42945.193518518521</v>
      </c>
      <c r="F21" s="13">
        <v>42945.198437500003</v>
      </c>
      <c r="G21" s="7">
        <v>1</v>
      </c>
      <c r="H21" s="21" t="s">
        <v>882</v>
      </c>
      <c r="I21" s="13">
        <v>42945.223356481481</v>
      </c>
      <c r="J21" s="7">
        <v>0</v>
      </c>
      <c r="K21" s="89" t="str">
        <f t="shared" si="0"/>
        <v>4011/4012</v>
      </c>
      <c r="L21" s="21" t="str">
        <f>VLOOKUP(A21,'Trips&amp;Operators'!$C$1:$G$99999,5,FALSE)</f>
        <v>LALONDE GREGORY</v>
      </c>
      <c r="M21" s="6">
        <f t="shared" si="1"/>
        <v>2.491898147854954E-2</v>
      </c>
      <c r="N21" s="7">
        <f t="shared" si="2"/>
        <v>35.883333329111338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-07-29T03:38:40-0600',mode:absolute,to:'2017-07-29T06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4.4900000000000002E-2</v>
      </c>
      <c r="Z21" s="197">
        <f t="shared" si="8"/>
        <v>23.3322</v>
      </c>
      <c r="AA21" s="197">
        <f t="shared" si="9"/>
        <v>23.287300000000002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s3://rtdc.mdm.uploadarchive.raw/RTDC4012/ "%USERPROFILE%\AppData\Local\Temp\OnboardLogs"\RTDC4012\2017-07-29 --exclude "*" --recursive --include "*20170729*" &amp; "%USERPROFILE%\Documents\GitHub\mrs-test-scripts\Headless Mode &amp; Sideloading\WalkAndUnGZ.bat" "%USERPROFILE%\AppData\Local\Temp\OnboardLogs"\RTDC4012\2017-07-29 &amp; aws s3 cp s3://rtdc.mdm.uploadarchive.raw/RTDC4012/ "%USERPROFILE%\AppData\Local\Temp\OnboardLogs"\RTDC4012\2017-07-30 --exclude "*" --recursive --include "*20170730*" &amp; "%USERPROFILE%\Documents\GitHub\mrs-test-scripts\Headless Mode &amp; Sideloading\WalkAndUnGZ.bat" "%USERPROFILE%\AppData\Local\Temp\OnboardLogs"\RTDC4012\2017-07-30</v>
      </c>
      <c r="AF21" s="74" t="str">
        <f t="shared" si="12"/>
        <v>"C:\Program Files (x86)\AstroGrep\AstroGrep.exe" /e /r /s /spath="%USERPROFILE%\AppData\Local\Temp\OnboardLogs" /stypes="app*4012*20170729*"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109-29 --locoid 4012 --swversion DE.1.0.9.0 --startMP 204:449 --initTime 2017-07-29T04:38:40 --startdatetime 2017-07-29T04:45:45 --delay 1 --endMP 204:233322 --enddatetime 2017-07-29T05:21:38 --enforcementcount 0 &gt;&gt;C:\Users\stu\Documents\GitHub\eaglep3-reporting\EC\2017-07-29-refined-times.txt</v>
      </c>
      <c r="AI21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{"issue":{"subject":"","project_id":79,"tracker_id":40,"status_id":1,"priority_id":2,"assigned_to_id":23,"start_date":"2017-07-29","description":"","custom_fields":[{"id":1,"name":"Subdivision","value":"EC"},{"id":4,"name":"Milepost","value":"23.3322"},{"id":17,"name":"Train ID","value":"109-29"},{"id":16,"name":"Locomotive ID","value":"4012"},{"id":130,"name":"Impact","value":""},{"id":150,"name":"Time of Event (Mountain Time)","value":"05:21:38"},{"id":151,"name":"Denver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4012 --day 2017-07-29</v>
      </c>
      <c r="AN21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11:21:38"},{"id":29,"name":"Sharepoint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704</v>
      </c>
      <c r="B22" s="7">
        <v>4011</v>
      </c>
      <c r="C22" s="21" t="s">
        <v>198</v>
      </c>
      <c r="D22" s="21" t="s">
        <v>883</v>
      </c>
      <c r="E22" s="13">
        <v>42945.225185185183</v>
      </c>
      <c r="F22" s="13">
        <v>42945.237662037034</v>
      </c>
      <c r="G22" s="7">
        <v>1</v>
      </c>
      <c r="H22" s="21" t="s">
        <v>377</v>
      </c>
      <c r="I22" s="13">
        <v>42945.270509259259</v>
      </c>
      <c r="J22" s="7">
        <v>0</v>
      </c>
      <c r="K22" s="89" t="str">
        <f t="shared" si="0"/>
        <v>4011/4012</v>
      </c>
      <c r="L22" s="21" t="str">
        <f>VLOOKUP(A22,'Trips&amp;Operators'!$C$1:$G$99999,5,FALSE)</f>
        <v>LALONDE GREGORY</v>
      </c>
      <c r="M22" s="6">
        <f t="shared" si="1"/>
        <v>3.2847222224518191E-2</v>
      </c>
      <c r="N22" s="7">
        <f t="shared" si="2"/>
        <v>47.300000003306195</v>
      </c>
      <c r="O22" s="7"/>
      <c r="P22" s="7"/>
      <c r="Q22" s="22"/>
      <c r="R22" s="170" t="s">
        <v>1036</v>
      </c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-07-29T04:24:16-0600',mode:absolute,to:'2017-07-29T07:29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23.301500000000001</v>
      </c>
      <c r="Z22" s="197">
        <f t="shared" si="8"/>
        <v>1.54E-2</v>
      </c>
      <c r="AA22" s="197">
        <f t="shared" si="9"/>
        <v>23.286100000000001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s3://rtdc.mdm.uploadarchive.raw/RTDC4011/ "%USERPROFILE%\AppData\Local\Temp\OnboardLogs"\RTDC4011\2017-07-29 --exclude "*" --recursive --include "*20170729*" &amp; "%USERPROFILE%\Documents\GitHub\mrs-test-scripts\Headless Mode &amp; Sideloading\WalkAndUnGZ.bat" "%USERPROFILE%\AppData\Local\Temp\OnboardLogs"\RTDC4011\2017-07-29 &amp; aws s3 cp s3://rtdc.mdm.uploadarchive.raw/RTDC4011/ "%USERPROFILE%\AppData\Local\Temp\OnboardLogs"\RTDC4011\2017-07-30 --exclude "*" --recursive --include "*20170730*" &amp; "%USERPROFILE%\Documents\GitHub\mrs-test-scripts\Headless Mode &amp; Sideloading\WalkAndUnGZ.bat" "%USERPROFILE%\AppData\Local\Temp\OnboardLogs"\RTDC4011\2017-07-30</v>
      </c>
      <c r="AF22" s="74" t="str">
        <f t="shared" si="12"/>
        <v>"C:\Program Files (x86)\AstroGrep\AstroGrep.exe" /e /r /s /spath="%USERPROFILE%\AppData\Local\Temp\OnboardLogs" /stypes="app*4011*20170729*"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110-29 --locoid 4011 --swversion DE.1.0.9.0 --startMP 204:233015 --initTime 2017-07-29T05:24:16 --startdatetime 2017-07-29T05:42:14 --delay 1 --endMP 204:154 --enddatetime 2017-07-29T06:29:32 --enforcementcount 0 &gt;&gt;C:\Users\stu\Documents\GitHub\eaglep3-reporting\EC\2017-07-29-refined-times.txt</v>
      </c>
      <c r="AI22" s="96" t="str">
        <f t="shared" si="19"/>
        <v>echo {"issue":{"subject":"Wi-MAX data drop, no enforcement or cut out","project_id":79,"tracker_id":40,"status_id":1,"priority_id":2,"assigned_to_id":23,"start_date":"2017-07-29","description":"","custom_fields":[{"id":1,"name":"Subdivision","value":"EC"},{"id":4,"name":"Milepost","value":"0.0154"},{"id":17,"name":"Train ID","value":"110-29"},{"id":16,"name":"Locomotive ID","value":"4011"},{"id":130,"name":"Impact","value":""},{"id":150,"name":"Time of Event (Mountain Time)","value":"06:29:32"},{"id":151,"name":"Denver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4011 --day 2017-07-29</v>
      </c>
      <c r="AN22" s="151" t="str">
        <f t="shared" si="21"/>
        <v>echo {"issue":{"subject":"Wi-MAX data drop, no enforcement or cut out","project_id":30,"tracker_id":4,"status_id":1,"priority_id":1,"assigned_to_id":10,"start_date":"2017-07-29","description":"","custom_fields":[{"id":30,"name":"Category","value":"Issue"},{"id":3,"name":"Functional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12:29:32"},{"id":29,"name":"Sharepoint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697</v>
      </c>
      <c r="B23" s="7">
        <v>4042</v>
      </c>
      <c r="C23" s="21" t="s">
        <v>198</v>
      </c>
      <c r="D23" s="21" t="s">
        <v>515</v>
      </c>
      <c r="E23" s="13">
        <v>42945.205185185187</v>
      </c>
      <c r="F23" s="13">
        <v>42945.20888888889</v>
      </c>
      <c r="G23" s="7">
        <v>1</v>
      </c>
      <c r="H23" s="21" t="s">
        <v>884</v>
      </c>
      <c r="I23" s="13">
        <v>42945.234525462962</v>
      </c>
      <c r="J23" s="7">
        <v>0</v>
      </c>
      <c r="K23" s="89" t="str">
        <f t="shared" si="0"/>
        <v>4041/4042</v>
      </c>
      <c r="L23" s="21" t="str">
        <f>VLOOKUP(A23,'Trips&amp;Operators'!$C$1:$G$99999,5,FALSE)</f>
        <v>MAELZER KURT</v>
      </c>
      <c r="M23" s="6">
        <f t="shared" si="1"/>
        <v>2.5636574071540963E-2</v>
      </c>
      <c r="N23" s="7">
        <f t="shared" si="2"/>
        <v>36.916666663018987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-07-29T03:55:28-0600',mode:absolute,to:'2017-07-29T06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4.4400000000000002E-2</v>
      </c>
      <c r="Z23" s="197">
        <f t="shared" si="8"/>
        <v>23.169899999999998</v>
      </c>
      <c r="AA23" s="197">
        <f t="shared" si="9"/>
        <v>23.125499999999999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s3://rtdc.mdm.uploadarchive.raw/RTDC4042/ "%USERPROFILE%\AppData\Local\Temp\OnboardLogs"\RTDC4042\2017-07-29 --exclude "*" --recursive --include "*20170729*" &amp; "%USERPROFILE%\Documents\GitHub\mrs-test-scripts\Headless Mode &amp; Sideloading\WalkAndUnGZ.bat" "%USERPROFILE%\AppData\Local\Temp\OnboardLogs"\RTDC4042\2017-07-29 &amp; aws s3 cp s3://rtdc.mdm.uploadarchive.raw/RTDC4042/ "%USERPROFILE%\AppData\Local\Temp\OnboardLogs"\RTDC4042\2017-07-30 --exclude "*" --recursive --include "*20170730*" &amp; "%USERPROFILE%\Documents\GitHub\mrs-test-scripts\Headless Mode &amp; Sideloading\WalkAndUnGZ.bat" "%USERPROFILE%\AppData\Local\Temp\OnboardLogs"\RTDC4042\2017-07-30</v>
      </c>
      <c r="AF23" s="74" t="str">
        <f t="shared" si="12"/>
        <v>"C:\Program Files (x86)\AstroGrep\AstroGrep.exe" /e /r /s /spath="%USERPROFILE%\AppData\Local\Temp\OnboardLogs" /stypes="app*4042*20170729*"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111-29 --locoid 4042 --swversion DE.1.0.9.0 --startMP 204:444 --initTime 2017-07-29T04:55:28 --startdatetime 2017-07-29T05:00:48 --delay 1 --endMP 204:231699 --enddatetime 2017-07-29T05:37:43 --enforcementcount 0 &gt;&gt;C:\Users\stu\Documents\GitHub\eaglep3-reporting\EC\2017-07-29-refined-times.txt</v>
      </c>
      <c r="AI23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{"issue":{"subject":"","project_id":79,"tracker_id":40,"status_id":1,"priority_id":2,"assigned_to_id":23,"start_date":"2017-07-29","description":"","custom_fields":[{"id":1,"name":"Subdivision","value":"EC"},{"id":4,"name":"Milepost","value":"23.1699"},{"id":17,"name":"Train ID","value":"111-29"},{"id":16,"name":"Locomotive ID","value":"4042"},{"id":130,"name":"Impact","value":""},{"id":150,"name":"Time of Event (Mountain Time)","value":"05:37:43"},{"id":151,"name":"Denver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4042 --day 2017-07-29</v>
      </c>
      <c r="AN23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11:37:43"},{"id":29,"name":"Sharepoint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709</v>
      </c>
      <c r="B24" s="7">
        <v>4041</v>
      </c>
      <c r="C24" s="21" t="s">
        <v>198</v>
      </c>
      <c r="D24" s="21" t="s">
        <v>620</v>
      </c>
      <c r="E24" s="13">
        <v>42945.242650462962</v>
      </c>
      <c r="F24" s="13">
        <v>42945.248136574075</v>
      </c>
      <c r="G24" s="7">
        <v>0</v>
      </c>
      <c r="H24" s="21" t="s">
        <v>342</v>
      </c>
      <c r="I24" s="13">
        <v>42945.277453703704</v>
      </c>
      <c r="J24" s="7">
        <v>0</v>
      </c>
      <c r="K24" s="89" t="str">
        <f t="shared" si="0"/>
        <v>4041/4042</v>
      </c>
      <c r="L24" s="21" t="str">
        <f>VLOOKUP(A24,'Trips&amp;Operators'!$C$1:$G$99999,5,FALSE)</f>
        <v>MAELZER KURT</v>
      </c>
      <c r="M24" s="6">
        <f t="shared" si="1"/>
        <v>2.9317129628907423E-2</v>
      </c>
      <c r="N24" s="7">
        <f t="shared" si="2"/>
        <v>42.21666666562669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-07-29T04:49:25-0600',mode:absolute,to:'2017-07-29T07:39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23.300799999999999</v>
      </c>
      <c r="Z24" s="197">
        <f t="shared" si="8"/>
        <v>1.49E-2</v>
      </c>
      <c r="AA24" s="197">
        <f t="shared" si="9"/>
        <v>23.285899999999998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s3://rtdc.mdm.uploadarchive.raw/RTDC4041/ "%USERPROFILE%\AppData\Local\Temp\OnboardLogs"\RTDC4041\2017-07-29 --exclude "*" --recursive --include "*20170729*" &amp; "%USERPROFILE%\Documents\GitHub\mrs-test-scripts\Headless Mode &amp; Sideloading\WalkAndUnGZ.bat" "%USERPROFILE%\AppData\Local\Temp\OnboardLogs"\RTDC4041\2017-07-29 &amp; aws s3 cp s3://rtdc.mdm.uploadarchive.raw/RTDC4041/ "%USERPROFILE%\AppData\Local\Temp\OnboardLogs"\RTDC4041\2017-07-30 --exclude "*" --recursive --include "*20170730*" &amp; "%USERPROFILE%\Documents\GitHub\mrs-test-scripts\Headless Mode &amp; Sideloading\WalkAndUnGZ.bat" "%USERPROFILE%\AppData\Local\Temp\OnboardLogs"\RTDC4041\2017-07-30</v>
      </c>
      <c r="AF24" s="74" t="str">
        <f t="shared" si="12"/>
        <v>"C:\Program Files (x86)\AstroGrep\AstroGrep.exe" /e /r /s /spath="%USERPROFILE%\AppData\Local\Temp\OnboardLogs" /stypes="app*4041*20170729*"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112-29 --locoid 4041 --swversion DE.1.0.9.0 --startMP 204:233008 --initTime 2017-07-29T05:49:25 --startdatetime 2017-07-29T05:57:19 --delay 0 --endMP 204:149 --enddatetime 2017-07-29T06:39:32 --enforcementcount 0 &gt;&gt;C:\Users\stu\Documents\GitHub\eaglep3-reporting\EC\2017-07-29-refined-times.txt</v>
      </c>
      <c r="AI24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{"issue":{"subject":"","project_id":79,"tracker_id":40,"status_id":1,"priority_id":2,"assigned_to_id":23,"start_date":"2017-07-29","description":"","custom_fields":[{"id":1,"name":"Subdivision","value":"EC"},{"id":4,"name":"Milepost","value":"0.0149"},{"id":17,"name":"Train ID","value":"112-29"},{"id":16,"name":"Locomotive ID","value":"4041"},{"id":130,"name":"Impact","value":""},{"id":150,"name":"Time of Event (Mountain Time)","value":"06:39:32"},{"id":151,"name":"Denver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4041 --day 2017-07-29</v>
      </c>
      <c r="AN24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12:39:32"},{"id":29,"name":"Sharepoint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698</v>
      </c>
      <c r="B25" s="7">
        <v>4028</v>
      </c>
      <c r="C25" s="21" t="s">
        <v>198</v>
      </c>
      <c r="D25" s="21" t="s">
        <v>479</v>
      </c>
      <c r="E25" s="13">
        <v>42945.210405092592</v>
      </c>
      <c r="F25" s="13">
        <v>42945.219293981485</v>
      </c>
      <c r="G25" s="7">
        <v>1</v>
      </c>
      <c r="H25" s="21" t="s">
        <v>885</v>
      </c>
      <c r="I25" s="13">
        <v>42945.24722222222</v>
      </c>
      <c r="J25" s="7">
        <v>0</v>
      </c>
      <c r="K25" s="89" t="str">
        <f t="shared" si="0"/>
        <v>4027/4028</v>
      </c>
      <c r="L25" s="21" t="str">
        <f>VLOOKUP(A25,'Trips&amp;Operators'!$C$1:$G$99999,5,FALSE)</f>
        <v>DAVIDSON DAVID</v>
      </c>
      <c r="M25" s="6">
        <f t="shared" si="1"/>
        <v>2.7928240735491272E-2</v>
      </c>
      <c r="N25" s="7">
        <f t="shared" si="2"/>
        <v>40.216666659107432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-07-29T04:02:59-0600',mode:absolute,to:'2017-07-29T06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4.5699999999999998E-2</v>
      </c>
      <c r="Z25" s="197">
        <f t="shared" si="8"/>
        <v>23.328900000000001</v>
      </c>
      <c r="AA25" s="197">
        <f t="shared" si="9"/>
        <v>23.283200000000001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s3://rtdc.mdm.uploadarchive.raw/RTDC4028/ "%USERPROFILE%\AppData\Local\Temp\OnboardLogs"\RTDC4028\2017-07-29 --exclude "*" --recursive --include "*20170729*" &amp; "%USERPROFILE%\Documents\GitHub\mrs-test-scripts\Headless Mode &amp; Sideloading\WalkAndUnGZ.bat" "%USERPROFILE%\AppData\Local\Temp\OnboardLogs"\RTDC4028\2017-07-29 &amp; aws s3 cp s3://rtdc.mdm.uploadarchive.raw/RTDC4028/ "%USERPROFILE%\AppData\Local\Temp\OnboardLogs"\RTDC4028\2017-07-30 --exclude "*" --recursive --include "*20170730*" &amp; "%USERPROFILE%\Documents\GitHub\mrs-test-scripts\Headless Mode &amp; Sideloading\WalkAndUnGZ.bat" "%USERPROFILE%\AppData\Local\Temp\OnboardLogs"\RTDC4028\2017-07-30</v>
      </c>
      <c r="AF25" s="74" t="str">
        <f t="shared" si="12"/>
        <v>"C:\Program Files (x86)\AstroGrep\AstroGrep.exe" /e /r /s /spath="%USERPROFILE%\AppData\Local\Temp\OnboardLogs" /stypes="app*4028*20170729*"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113-29 --locoid 4028 --swversion DE.1.0.9.0 --startMP 204:457 --initTime 2017-07-29T05:02:59 --startdatetime 2017-07-29T05:15:47 --delay 1 --endMP 204:233289 --enddatetime 2017-07-29T05:56:00 --enforcementcount 0 &gt;&gt;C:\Users\stu\Documents\GitHub\eaglep3-reporting\EC\2017-07-29-refined-times.txt</v>
      </c>
      <c r="AI25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{"issue":{"subject":"","project_id":79,"tracker_id":40,"status_id":1,"priority_id":2,"assigned_to_id":23,"start_date":"2017-07-29","description":"","custom_fields":[{"id":1,"name":"Subdivision","value":"EC"},{"id":4,"name":"Milepost","value":"23.3289"},{"id":17,"name":"Train ID","value":"113-29"},{"id":16,"name":"Locomotive ID","value":"4028"},{"id":130,"name":"Impact","value":""},{"id":150,"name":"Time of Event (Mountain Time)","value":"05:56:00"},{"id":151,"name":"Denver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4028 --day 2017-07-29</v>
      </c>
      <c r="AN25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11:56:00"},{"id":29,"name":"Sharepoint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711</v>
      </c>
      <c r="B26" s="7">
        <v>4027</v>
      </c>
      <c r="C26" s="21" t="s">
        <v>198</v>
      </c>
      <c r="D26" s="21" t="s">
        <v>494</v>
      </c>
      <c r="E26" s="13">
        <v>42945.24895833333</v>
      </c>
      <c r="F26" s="13">
        <v>42945.258530092593</v>
      </c>
      <c r="G26" s="7">
        <v>1</v>
      </c>
      <c r="H26" s="21" t="s">
        <v>881</v>
      </c>
      <c r="I26" s="13">
        <v>42945.289212962962</v>
      </c>
      <c r="J26" s="7">
        <v>0</v>
      </c>
      <c r="K26" s="89" t="str">
        <f t="shared" si="0"/>
        <v>4027/4028</v>
      </c>
      <c r="L26" s="21" t="str">
        <f>VLOOKUP(A26,'Trips&amp;Operators'!$C$1:$G$99999,5,FALSE)</f>
        <v>DAVIDSON DAVID</v>
      </c>
      <c r="M26" s="6">
        <f t="shared" si="1"/>
        <v>3.068287036876427E-2</v>
      </c>
      <c r="N26" s="7">
        <f t="shared" si="2"/>
        <v>44.183333331020549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-07-29T04:58:30-0600',mode:absolute,to:'2017-07-29T07:56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23.296099999999999</v>
      </c>
      <c r="Z26" s="197">
        <f t="shared" si="8"/>
        <v>1.5599999999999999E-2</v>
      </c>
      <c r="AA26" s="197">
        <f t="shared" si="9"/>
        <v>23.2805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s3://rtdc.mdm.uploadarchive.raw/RTDC4027/ "%USERPROFILE%\AppData\Local\Temp\OnboardLogs"\RTDC4027\2017-07-29 --exclude "*" --recursive --include "*20170729*" &amp; "%USERPROFILE%\Documents\GitHub\mrs-test-scripts\Headless Mode &amp; Sideloading\WalkAndUnGZ.bat" "%USERPROFILE%\AppData\Local\Temp\OnboardLogs"\RTDC4027\2017-07-29 &amp; aws s3 cp s3://rtdc.mdm.uploadarchive.raw/RTDC4027/ "%USERPROFILE%\AppData\Local\Temp\OnboardLogs"\RTDC4027\2017-07-30 --exclude "*" --recursive --include "*20170730*" &amp; "%USERPROFILE%\Documents\GitHub\mrs-test-scripts\Headless Mode &amp; Sideloading\WalkAndUnGZ.bat" "%USERPROFILE%\AppData\Local\Temp\OnboardLogs"\RTDC4027\2017-07-30</v>
      </c>
      <c r="AF26" s="74" t="str">
        <f t="shared" si="12"/>
        <v>"C:\Program Files (x86)\AstroGrep\AstroGrep.exe" /e /r /s /spath="%USERPROFILE%\AppData\Local\Temp\OnboardLogs" /stypes="app*4027*20170729*"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114-29 --locoid 4027 --swversion DE.1.0.9.0 --startMP 204:232961 --initTime 2017-07-29T05:58:30 --startdatetime 2017-07-29T06:12:17 --delay 1 --endMP 204:156 --enddatetime 2017-07-29T06:56:28 --enforcementcount 0 &gt;&gt;C:\Users\stu\Documents\GitHub\eaglep3-reporting\EC\2017-07-29-refined-times.txt</v>
      </c>
      <c r="AI26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{"issue":{"subject":"","project_id":79,"tracker_id":40,"status_id":1,"priority_id":2,"assigned_to_id":23,"start_date":"2017-07-29","description":"","custom_fields":[{"id":1,"name":"Subdivision","value":"EC"},{"id":4,"name":"Milepost","value":"0.0156"},{"id":17,"name":"Train ID","value":"114-29"},{"id":16,"name":"Locomotive ID","value":"4027"},{"id":130,"name":"Impact","value":""},{"id":150,"name":"Time of Event (Mountain Time)","value":"06:56:28"},{"id":151,"name":"Denver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4027 --day 2017-07-29</v>
      </c>
      <c r="AN26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12:56:28"},{"id":29,"name":"Sharepoint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705</v>
      </c>
      <c r="B27" s="7">
        <v>4008</v>
      </c>
      <c r="C27" s="21" t="s">
        <v>198</v>
      </c>
      <c r="D27" s="21" t="s">
        <v>529</v>
      </c>
      <c r="E27" s="13">
        <v>42945.227789351855</v>
      </c>
      <c r="F27" s="13">
        <v>42945.229687500003</v>
      </c>
      <c r="G27" s="7">
        <v>1</v>
      </c>
      <c r="H27" s="21" t="s">
        <v>522</v>
      </c>
      <c r="I27" s="13">
        <v>42945.25712962963</v>
      </c>
      <c r="J27" s="7">
        <v>0</v>
      </c>
      <c r="K27" s="89" t="str">
        <f t="shared" si="0"/>
        <v>4007/4008</v>
      </c>
      <c r="L27" s="21" t="str">
        <f>VLOOKUP(A27,'Trips&amp;Operators'!$C$1:$G$99999,5,FALSE)</f>
        <v>WILLIAMS DONTE</v>
      </c>
      <c r="M27" s="6">
        <f t="shared" si="1"/>
        <v>2.7442129627161194E-2</v>
      </c>
      <c r="N27" s="7">
        <f t="shared" si="2"/>
        <v>39.516666663112119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-07-29T04:28:01-0600',mode:absolute,to:'2017-07-29T07:10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4.8399999999999999E-2</v>
      </c>
      <c r="Z27" s="197">
        <f t="shared" si="8"/>
        <v>23.333400000000001</v>
      </c>
      <c r="AA27" s="197">
        <f t="shared" si="9"/>
        <v>23.285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s3://rtdc.mdm.uploadarchive.raw/RTDC4008/ "%USERPROFILE%\AppData\Local\Temp\OnboardLogs"\RTDC4008\2017-07-29 --exclude "*" --recursive --include "*20170729*" &amp; "%USERPROFILE%\Documents\GitHub\mrs-test-scripts\Headless Mode &amp; Sideloading\WalkAndUnGZ.bat" "%USERPROFILE%\AppData\Local\Temp\OnboardLogs"\RTDC4008\2017-07-29 &amp; aws s3 cp s3://rtdc.mdm.uploadarchive.raw/RTDC4008/ "%USERPROFILE%\AppData\Local\Temp\OnboardLogs"\RTDC4008\2017-07-30 --exclude "*" --recursive --include "*20170730*" &amp; "%USERPROFILE%\Documents\GitHub\mrs-test-scripts\Headless Mode &amp; Sideloading\WalkAndUnGZ.bat" "%USERPROFILE%\AppData\Local\Temp\OnboardLogs"\RTDC4008\2017-07-30</v>
      </c>
      <c r="AF27" s="74" t="str">
        <f t="shared" si="12"/>
        <v>"C:\Program Files (x86)\AstroGrep\AstroGrep.exe" /e /r /s /spath="%USERPROFILE%\AppData\Local\Temp\OnboardLogs" /stypes="app*4008*20170729*"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115-29 --locoid 4008 --swversion DE.1.0.9.0 --startMP 204:484 --initTime 2017-07-29T05:28:01 --startdatetime 2017-07-29T05:30:45 --delay 1 --endMP 204:233334 --enddatetime 2017-07-29T06:10:16 --enforcementcount 0 &gt;&gt;C:\Users\stu\Documents\GitHub\eaglep3-reporting\EC\2017-07-29-refined-times.txt</v>
      </c>
      <c r="AI27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{"issue":{"subject":"","project_id":79,"tracker_id":40,"status_id":1,"priority_id":2,"assigned_to_id":23,"start_date":"2017-07-29","description":"","custom_fields":[{"id":1,"name":"Subdivision","value":"EC"},{"id":4,"name":"Milepost","value":"23.3334"},{"id":17,"name":"Train ID","value":"115-29"},{"id":16,"name":"Locomotive ID","value":"4008"},{"id":130,"name":"Impact","value":""},{"id":150,"name":"Time of Event (Mountain Time)","value":"06:10:16"},{"id":151,"name":"Denver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4008 --day 2017-07-29</v>
      </c>
      <c r="AN27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12:10:16"},{"id":29,"name":"Sharepoint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713</v>
      </c>
      <c r="B28" s="7">
        <v>4007</v>
      </c>
      <c r="C28" s="21" t="s">
        <v>198</v>
      </c>
      <c r="D28" s="21" t="s">
        <v>604</v>
      </c>
      <c r="E28" s="13">
        <v>42945.259027777778</v>
      </c>
      <c r="F28" s="13">
        <v>42945.26902777778</v>
      </c>
      <c r="G28" s="7">
        <v>1</v>
      </c>
      <c r="H28" s="21" t="s">
        <v>530</v>
      </c>
      <c r="I28" s="13">
        <v>42945.29828703704</v>
      </c>
      <c r="J28" s="7">
        <v>0</v>
      </c>
      <c r="K28" s="89" t="str">
        <f t="shared" si="0"/>
        <v>4007/4008</v>
      </c>
      <c r="L28" s="21" t="str">
        <f>VLOOKUP(A28,'Trips&amp;Operators'!$C$1:$G$99999,5,FALSE)</f>
        <v>WILLIAMS DONTE</v>
      </c>
      <c r="M28" s="6">
        <f t="shared" si="1"/>
        <v>2.9259259259561077E-2</v>
      </c>
      <c r="N28" s="7">
        <f t="shared" si="2"/>
        <v>42.133333333767951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-07-29T05:13:00-0600',mode:absolute,to:'2017-07-29T08:09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23.300599999999999</v>
      </c>
      <c r="Z28" s="197">
        <f t="shared" si="8"/>
        <v>1.67E-2</v>
      </c>
      <c r="AA28" s="197">
        <f t="shared" si="9"/>
        <v>23.283899999999999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s3://rtdc.mdm.uploadarchive.raw/RTDC4007/ "%USERPROFILE%\AppData\Local\Temp\OnboardLogs"\RTDC4007\2017-07-29 --exclude "*" --recursive --include "*20170729*" &amp; "%USERPROFILE%\Documents\GitHub\mrs-test-scripts\Headless Mode &amp; Sideloading\WalkAndUnGZ.bat" "%USERPROFILE%\AppData\Local\Temp\OnboardLogs"\RTDC4007\2017-07-29 &amp; aws s3 cp s3://rtdc.mdm.uploadarchive.raw/RTDC4007/ "%USERPROFILE%\AppData\Local\Temp\OnboardLogs"\RTDC4007\2017-07-30 --exclude "*" --recursive --include "*20170730*" &amp; "%USERPROFILE%\Documents\GitHub\mrs-test-scripts\Headless Mode &amp; Sideloading\WalkAndUnGZ.bat" "%USERPROFILE%\AppData\Local\Temp\OnboardLogs"\RTDC4007\2017-07-30</v>
      </c>
      <c r="AF28" s="74" t="str">
        <f t="shared" si="12"/>
        <v>"C:\Program Files (x86)\AstroGrep\AstroGrep.exe" /e /r /s /spath="%USERPROFILE%\AppData\Local\Temp\OnboardLogs" /stypes="app*4007*20170729*"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116-29 --locoid 4007 --swversion DE.1.0.9.0 --startMP 204:233006 --initTime 2017-07-29T06:13:00 --startdatetime 2017-07-29T06:27:24 --delay 1 --endMP 204:167 --enddatetime 2017-07-29T07:09:32 --enforcementcount 0 &gt;&gt;C:\Users\stu\Documents\GitHub\eaglep3-reporting\EC\2017-07-29-refined-times.txt</v>
      </c>
      <c r="AI28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{"issue":{"subject":"","project_id":79,"tracker_id":40,"status_id":1,"priority_id":2,"assigned_to_id":23,"start_date":"2017-07-29","description":"","custom_fields":[{"id":1,"name":"Subdivision","value":"EC"},{"id":4,"name":"Milepost","value":"0.0167"},{"id":17,"name":"Train ID","value":"116-29"},{"id":16,"name":"Locomotive ID","value":"4007"},{"id":130,"name":"Impact","value":""},{"id":150,"name":"Time of Event (Mountain Time)","value":"07:09:32"},{"id":151,"name":"Denver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4007 --day 2017-07-29</v>
      </c>
      <c r="AN28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13:09:32"},{"id":29,"name":"Sharepoint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707</v>
      </c>
      <c r="B29" s="7">
        <v>4030</v>
      </c>
      <c r="C29" s="21" t="s">
        <v>198</v>
      </c>
      <c r="D29" s="21" t="s">
        <v>411</v>
      </c>
      <c r="E29" s="13">
        <v>42945.231134259258</v>
      </c>
      <c r="F29" s="13">
        <v>42945.24009259259</v>
      </c>
      <c r="G29" s="7">
        <v>1</v>
      </c>
      <c r="H29" s="21" t="s">
        <v>886</v>
      </c>
      <c r="I29" s="13">
        <v>42945.268310185187</v>
      </c>
      <c r="J29" s="7">
        <v>0</v>
      </c>
      <c r="K29" s="89" t="str">
        <f t="shared" si="0"/>
        <v>4029/4030</v>
      </c>
      <c r="L29" s="21" t="str">
        <f>VLOOKUP(A29,'Trips&amp;Operators'!$C$1:$G$99999,5,FALSE)</f>
        <v>GUZMAN DANNY</v>
      </c>
      <c r="M29" s="6">
        <f t="shared" si="1"/>
        <v>2.8217592596774921E-2</v>
      </c>
      <c r="N29" s="7">
        <f t="shared" si="2"/>
        <v>40.633333339355886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-07-29T04:32:50-0600',mode:absolute,to:'2017-07-29T07:26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4.3499999999999997E-2</v>
      </c>
      <c r="Z29" s="197">
        <f t="shared" si="8"/>
        <v>23.330500000000001</v>
      </c>
      <c r="AA29" s="197">
        <f t="shared" si="9"/>
        <v>23.286999999999999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s3://rtdc.mdm.uploadarchive.raw/RTDC4030/ "%USERPROFILE%\AppData\Local\Temp\OnboardLogs"\RTDC4030\2017-07-29 --exclude "*" --recursive --include "*20170729*" &amp; "%USERPROFILE%\Documents\GitHub\mrs-test-scripts\Headless Mode &amp; Sideloading\WalkAndUnGZ.bat" "%USERPROFILE%\AppData\Local\Temp\OnboardLogs"\RTDC4030\2017-07-29 &amp; aws s3 cp s3://rtdc.mdm.uploadarchive.raw/RTDC4030/ "%USERPROFILE%\AppData\Local\Temp\OnboardLogs"\RTDC4030\2017-07-30 --exclude "*" --recursive --include "*20170730*" &amp; "%USERPROFILE%\Documents\GitHub\mrs-test-scripts\Headless Mode &amp; Sideloading\WalkAndUnGZ.bat" "%USERPROFILE%\AppData\Local\Temp\OnboardLogs"\RTDC4030\2017-07-30</v>
      </c>
      <c r="AF29" s="74" t="str">
        <f t="shared" si="12"/>
        <v>"C:\Program Files (x86)\AstroGrep\AstroGrep.exe" /e /r /s /spath="%USERPROFILE%\AppData\Local\Temp\OnboardLogs" /stypes="app*4030*20170729*"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117-29 --locoid 4030 --swversion DE.1.0.9.0 --startMP 204:435 --initTime 2017-07-29T05:32:50 --startdatetime 2017-07-29T05:45:44 --delay 1 --endMP 204:233305 --enddatetime 2017-07-29T06:26:22 --enforcementcount 0 &gt;&gt;C:\Users\stu\Documents\GitHub\eaglep3-reporting\EC\2017-07-29-refined-times.txt</v>
      </c>
      <c r="AI29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{"issue":{"subject":"","project_id":79,"tracker_id":40,"status_id":1,"priority_id":2,"assigned_to_id":23,"start_date":"2017-07-29","description":"","custom_fields":[{"id":1,"name":"Subdivision","value":"EC"},{"id":4,"name":"Milepost","value":"23.3305"},{"id":17,"name":"Train ID","value":"117-29"},{"id":16,"name":"Locomotive ID","value":"4030"},{"id":130,"name":"Impact","value":""},{"id":150,"name":"Time of Event (Mountain Time)","value":"06:26:22"},{"id":151,"name":"Denver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4030 --day 2017-07-29</v>
      </c>
      <c r="AN29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12:26:22"},{"id":29,"name":"Sharepoint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714</v>
      </c>
      <c r="B30" s="7">
        <v>4029</v>
      </c>
      <c r="C30" s="21" t="s">
        <v>198</v>
      </c>
      <c r="D30" s="21" t="s">
        <v>391</v>
      </c>
      <c r="E30" s="13">
        <v>42945.270011574074</v>
      </c>
      <c r="F30" s="13">
        <v>42945.279664351852</v>
      </c>
      <c r="G30" s="7">
        <v>0</v>
      </c>
      <c r="H30" s="21" t="s">
        <v>467</v>
      </c>
      <c r="I30" s="13">
        <v>42945.307615740741</v>
      </c>
      <c r="J30" s="7">
        <v>0</v>
      </c>
      <c r="K30" s="89" t="str">
        <f t="shared" si="0"/>
        <v>4029/4030</v>
      </c>
      <c r="L30" s="21" t="str">
        <f>VLOOKUP(A30,'Trips&amp;Operators'!$C$1:$G$99999,5,FALSE)</f>
        <v>GUZMAN DANNY</v>
      </c>
      <c r="M30" s="6">
        <f t="shared" si="1"/>
        <v>2.7951388889050577E-2</v>
      </c>
      <c r="N30" s="7">
        <f t="shared" si="2"/>
        <v>40.250000000232831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-07-29T05:28:49-0600',mode:absolute,to:'2017-07-29T08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23.299600000000002</v>
      </c>
      <c r="Z30" s="197">
        <f t="shared" si="8"/>
        <v>1.6E-2</v>
      </c>
      <c r="AA30" s="197">
        <f t="shared" si="9"/>
        <v>23.283600000000003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s3://rtdc.mdm.uploadarchive.raw/RTDC4029/ "%USERPROFILE%\AppData\Local\Temp\OnboardLogs"\RTDC4029\2017-07-29 --exclude "*" --recursive --include "*20170729*" &amp; "%USERPROFILE%\Documents\GitHub\mrs-test-scripts\Headless Mode &amp; Sideloading\WalkAndUnGZ.bat" "%USERPROFILE%\AppData\Local\Temp\OnboardLogs"\RTDC4029\2017-07-29 &amp; aws s3 cp s3://rtdc.mdm.uploadarchive.raw/RTDC4029/ "%USERPROFILE%\AppData\Local\Temp\OnboardLogs"\RTDC4029\2017-07-30 --exclude "*" --recursive --include "*20170730*" &amp; "%USERPROFILE%\Documents\GitHub\mrs-test-scripts\Headless Mode &amp; Sideloading\WalkAndUnGZ.bat" "%USERPROFILE%\AppData\Local\Temp\OnboardLogs"\RTDC4029\2017-07-30</v>
      </c>
      <c r="AF30" s="74" t="str">
        <f t="shared" si="12"/>
        <v>"C:\Program Files (x86)\AstroGrep\AstroGrep.exe" /e /r /s /spath="%USERPROFILE%\AppData\Local\Temp\OnboardLogs" /stypes="app*4029*20170729*"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118-29 --locoid 4029 --swversion DE.1.0.9.0 --startMP 204:232996 --initTime 2017-07-29T06:28:49 --startdatetime 2017-07-29T06:42:43 --delay 0 --endMP 204:160 --enddatetime 2017-07-29T07:22:58 --enforcementcount 0 &gt;&gt;C:\Users\stu\Documents\GitHub\eaglep3-reporting\EC\2017-07-29-refined-times.txt</v>
      </c>
      <c r="AI30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{"issue":{"subject":"","project_id":79,"tracker_id":40,"status_id":1,"priority_id":2,"assigned_to_id":23,"start_date":"2017-07-29","description":"","custom_fields":[{"id":1,"name":"Subdivision","value":"EC"},{"id":4,"name":"Milepost","value":"0.016"},{"id":17,"name":"Train ID","value":"118-29"},{"id":16,"name":"Locomotive ID","value":"4029"},{"id":130,"name":"Impact","value":""},{"id":150,"name":"Time of Event (Mountain Time)","value":"07:22:58"},{"id":151,"name":"Denver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4029 --day 2017-07-29</v>
      </c>
      <c r="AN30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13:22:58"},{"id":29,"name":"Sharepoint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635</v>
      </c>
      <c r="B31" s="7">
        <v>4024</v>
      </c>
      <c r="C31" s="21" t="s">
        <v>198</v>
      </c>
      <c r="D31" s="21" t="s">
        <v>521</v>
      </c>
      <c r="E31" s="13">
        <v>42945.247395833336</v>
      </c>
      <c r="F31" s="13">
        <v>42945.250648148147</v>
      </c>
      <c r="G31" s="7">
        <v>1</v>
      </c>
      <c r="H31" s="21" t="s">
        <v>511</v>
      </c>
      <c r="I31" s="13">
        <v>42945.279641203706</v>
      </c>
      <c r="J31" s="7">
        <v>0</v>
      </c>
      <c r="K31" s="89" t="str">
        <f t="shared" si="0"/>
        <v>4023/4024</v>
      </c>
      <c r="L31" s="21" t="str">
        <f>VLOOKUP(A31,'Trips&amp;Operators'!$C$1:$G$99999,5,FALSE)</f>
        <v>DAVIS WENDY</v>
      </c>
      <c r="M31" s="6">
        <f t="shared" si="1"/>
        <v>2.899305555911269E-2</v>
      </c>
      <c r="N31" s="7">
        <f t="shared" si="2"/>
        <v>41.750000005122274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-07-29T04:56:15-0600',mode:absolute,to:'2017-07-29T07:42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4.6699999999999998E-2</v>
      </c>
      <c r="Z31" s="197">
        <f t="shared" si="8"/>
        <v>23.330200000000001</v>
      </c>
      <c r="AA31" s="197">
        <f t="shared" si="9"/>
        <v>23.2835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s3://rtdc.mdm.uploadarchive.raw/RTDC4024/ "%USERPROFILE%\AppData\Local\Temp\OnboardLogs"\RTDC4024\2017-07-29 --exclude "*" --recursive --include "*20170729*" &amp; "%USERPROFILE%\Documents\GitHub\mrs-test-scripts\Headless Mode &amp; Sideloading\WalkAndUnGZ.bat" "%USERPROFILE%\AppData\Local\Temp\OnboardLogs"\RTDC4024\2017-07-29 &amp; aws s3 cp s3://rtdc.mdm.uploadarchive.raw/RTDC4024/ "%USERPROFILE%\AppData\Local\Temp\OnboardLogs"\RTDC4024\2017-07-30 --exclude "*" --recursive --include "*20170730*" &amp; "%USERPROFILE%\Documents\GitHub\mrs-test-scripts\Headless Mode &amp; Sideloading\WalkAndUnGZ.bat" "%USERPROFILE%\AppData\Local\Temp\OnboardLogs"\RTDC4024\2017-07-30</v>
      </c>
      <c r="AF31" s="74" t="str">
        <f t="shared" si="12"/>
        <v>"C:\Program Files (x86)\AstroGrep\AstroGrep.exe" /e /r /s /spath="%USERPROFILE%\AppData\Local\Temp\OnboardLogs" /stypes="app*4024*20170729*"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119-29 --locoid 4024 --swversion DE.1.0.9.0 --startMP 204:467 --initTime 2017-07-29T05:56:15 --startdatetime 2017-07-29T06:00:56 --delay 1 --endMP 204:233302 --enddatetime 2017-07-29T06:42:41 --enforcementcount 0 &gt;&gt;C:\Users\stu\Documents\GitHub\eaglep3-reporting\EC\2017-07-29-refined-times.txt</v>
      </c>
      <c r="AI31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{"issue":{"subject":"","project_id":79,"tracker_id":40,"status_id":1,"priority_id":2,"assigned_to_id":23,"start_date":"2017-07-29","description":"","custom_fields":[{"id":1,"name":"Subdivision","value":"EC"},{"id":4,"name":"Milepost","value":"23.3302"},{"id":17,"name":"Train ID","value":"119-29"},{"id":16,"name":"Locomotive ID","value":"4024"},{"id":130,"name":"Impact","value":""},{"id":150,"name":"Time of Event (Mountain Time)","value":"06:42:41"},{"id":151,"name":"Denver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4024 --day 2017-07-29</v>
      </c>
      <c r="AN31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12:42:41"},{"id":29,"name":"Sharepoint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718</v>
      </c>
      <c r="B32" s="7">
        <v>4023</v>
      </c>
      <c r="C32" s="21" t="s">
        <v>198</v>
      </c>
      <c r="D32" s="21" t="s">
        <v>887</v>
      </c>
      <c r="E32" s="13">
        <v>42945.287557870368</v>
      </c>
      <c r="F32" s="13">
        <v>42945.289756944447</v>
      </c>
      <c r="G32" s="7">
        <v>1</v>
      </c>
      <c r="H32" s="21" t="s">
        <v>881</v>
      </c>
      <c r="I32" s="13">
        <v>42945.318564814814</v>
      </c>
      <c r="J32" s="7">
        <v>0</v>
      </c>
      <c r="K32" s="89" t="str">
        <f t="shared" si="0"/>
        <v>4023/4024</v>
      </c>
      <c r="L32" s="21" t="str">
        <f>VLOOKUP(A32,'Trips&amp;Operators'!$C$1:$G$99999,5,FALSE)</f>
        <v>DAVIS WENDY</v>
      </c>
      <c r="M32" s="6">
        <f t="shared" si="1"/>
        <v>2.880787036701804E-2</v>
      </c>
      <c r="N32" s="7">
        <f t="shared" si="2"/>
        <v>41.483333328505978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-07-29T05:54:05-0600',mode:absolute,to:'2017-07-29T08:38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23.297899999999998</v>
      </c>
      <c r="Z32" s="197">
        <f t="shared" si="8"/>
        <v>1.5599999999999999E-2</v>
      </c>
      <c r="AA32" s="197">
        <f t="shared" si="9"/>
        <v>23.282299999999999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s3://rtdc.mdm.uploadarchive.raw/RTDC4023/ "%USERPROFILE%\AppData\Local\Temp\OnboardLogs"\RTDC4023\2017-07-29 --exclude "*" --recursive --include "*20170729*" &amp; "%USERPROFILE%\Documents\GitHub\mrs-test-scripts\Headless Mode &amp; Sideloading\WalkAndUnGZ.bat" "%USERPROFILE%\AppData\Local\Temp\OnboardLogs"\RTDC4023\2017-07-29 &amp; aws s3 cp s3://rtdc.mdm.uploadarchive.raw/RTDC4023/ "%USERPROFILE%\AppData\Local\Temp\OnboardLogs"\RTDC4023\2017-07-30 --exclude "*" --recursive --include "*20170730*" &amp; "%USERPROFILE%\Documents\GitHub\mrs-test-scripts\Headless Mode &amp; Sideloading\WalkAndUnGZ.bat" "%USERPROFILE%\AppData\Local\Temp\OnboardLogs"\RTDC4023\2017-07-30</v>
      </c>
      <c r="AF32" s="74" t="str">
        <f t="shared" si="12"/>
        <v>"C:\Program Files (x86)\AstroGrep\AstroGrep.exe" /e /r /s /spath="%USERPROFILE%\AppData\Local\Temp\OnboardLogs" /stypes="app*4023*20170729*"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120-29 --locoid 4023 --swversion DE.1.0.9.0 --startMP 204:232979 --initTime 2017-07-29T06:54:05 --startdatetime 2017-07-29T06:57:15 --delay 1 --endMP 204:156 --enddatetime 2017-07-29T07:38:44 --enforcementcount 0 &gt;&gt;C:\Users\stu\Documents\GitHub\eaglep3-reporting\EC\2017-07-29-refined-times.txt</v>
      </c>
      <c r="AI32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{"issue":{"subject":"","project_id":79,"tracker_id":40,"status_id":1,"priority_id":2,"assigned_to_id":23,"start_date":"2017-07-29","description":"","custom_fields":[{"id":1,"name":"Subdivision","value":"EC"},{"id":4,"name":"Milepost","value":"0.0156"},{"id":17,"name":"Train ID","value":"120-29"},{"id":16,"name":"Locomotive ID","value":"4023"},{"id":130,"name":"Impact","value":""},{"id":150,"name":"Time of Event (Mountain Time)","value":"07:38:44"},{"id":151,"name":"Denver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4023 --day 2017-07-29</v>
      </c>
      <c r="AN32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13:38:44"},{"id":29,"name":"Sharepoint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712</v>
      </c>
      <c r="B33" s="7">
        <v>4056</v>
      </c>
      <c r="C33" s="21" t="s">
        <v>198</v>
      </c>
      <c r="D33" s="21" t="s">
        <v>406</v>
      </c>
      <c r="E33" s="13">
        <v>42945.257476851853</v>
      </c>
      <c r="F33" s="13">
        <v>42945.261412037034</v>
      </c>
      <c r="G33" s="7">
        <v>1</v>
      </c>
      <c r="H33" s="21" t="s">
        <v>493</v>
      </c>
      <c r="I33" s="13">
        <v>42945.286041666666</v>
      </c>
      <c r="J33" s="7">
        <v>0</v>
      </c>
      <c r="K33" s="89" t="str">
        <f t="shared" si="0"/>
        <v>4055/4056</v>
      </c>
      <c r="L33" s="21" t="str">
        <f>VLOOKUP(A33,'Trips&amp;Operators'!$C$1:$G$99999,5,FALSE)</f>
        <v>GEBRETEKLE DAGNEW</v>
      </c>
      <c r="M33" s="6">
        <f t="shared" si="1"/>
        <v>2.4629629631817807E-2</v>
      </c>
      <c r="N33" s="7">
        <f t="shared" si="2"/>
        <v>35.466666669817641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-07-29T05:10:46-0600',mode:absolute,to:'2017-07-29T07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4.58E-2</v>
      </c>
      <c r="Z33" s="197">
        <f t="shared" si="8"/>
        <v>23.3307</v>
      </c>
      <c r="AA33" s="197">
        <f t="shared" si="9"/>
        <v>23.2849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s3://rtdc.mdm.uploadarchive.raw/RTDC4056/ "%USERPROFILE%\AppData\Local\Temp\OnboardLogs"\RTDC4056\2017-07-29 --exclude "*" --recursive --include "*20170729*" &amp; "%USERPROFILE%\Documents\GitHub\mrs-test-scripts\Headless Mode &amp; Sideloading\WalkAndUnGZ.bat" "%USERPROFILE%\AppData\Local\Temp\OnboardLogs"\RTDC4056\2017-07-29 &amp; aws s3 cp s3://rtdc.mdm.uploadarchive.raw/RTDC4056/ "%USERPROFILE%\AppData\Local\Temp\OnboardLogs"\RTDC4056\2017-07-30 --exclude "*" --recursive --include "*20170730*" &amp; "%USERPROFILE%\Documents\GitHub\mrs-test-scripts\Headless Mode &amp; Sideloading\WalkAndUnGZ.bat" "%USERPROFILE%\AppData\Local\Temp\OnboardLogs"\RTDC4056\2017-07-30</v>
      </c>
      <c r="AF33" s="74" t="str">
        <f t="shared" si="12"/>
        <v>"C:\Program Files (x86)\AstroGrep\AstroGrep.exe" /e /r /s /spath="%USERPROFILE%\AppData\Local\Temp\OnboardLogs" /stypes="app*4056*20170729*"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121-29 --locoid 4056 --swversion DE.1.0.9.0 --startMP 204:458 --initTime 2017-07-29T06:10:46 --startdatetime 2017-07-29T06:16:26 --delay 1 --endMP 204:233307 --enddatetime 2017-07-29T06:51:54 --enforcementcount 0 &gt;&gt;C:\Users\stu\Documents\GitHub\eaglep3-reporting\EC\2017-07-29-refined-times.txt</v>
      </c>
      <c r="AI33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{"issue":{"subject":"","project_id":79,"tracker_id":40,"status_id":1,"priority_id":2,"assigned_to_id":23,"start_date":"2017-07-29","description":"","custom_fields":[{"id":1,"name":"Subdivision","value":"EC"},{"id":4,"name":"Milepost","value":"23.3307"},{"id":17,"name":"Train ID","value":"121-29"},{"id":16,"name":"Locomotive ID","value":"4056"},{"id":130,"name":"Impact","value":""},{"id":150,"name":"Time of Event (Mountain Time)","value":"06:51:54"},{"id":151,"name":"Denver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4056 --day 2017-07-29</v>
      </c>
      <c r="AN33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12:51:54"},{"id":29,"name":"Sharepoint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719</v>
      </c>
      <c r="B34" s="7">
        <v>4055</v>
      </c>
      <c r="C34" s="21" t="s">
        <v>198</v>
      </c>
      <c r="D34" s="21" t="s">
        <v>469</v>
      </c>
      <c r="E34" s="13">
        <v>42945.287557870368</v>
      </c>
      <c r="F34" s="13">
        <v>42945.300196759257</v>
      </c>
      <c r="G34" s="7">
        <v>1</v>
      </c>
      <c r="H34" s="21" t="s">
        <v>377</v>
      </c>
      <c r="I34" s="13">
        <v>42945.327708333331</v>
      </c>
      <c r="J34" s="7">
        <v>0</v>
      </c>
      <c r="K34" s="89" t="str">
        <f t="shared" si="0"/>
        <v>4055/4056</v>
      </c>
      <c r="L34" s="21" t="str">
        <f>VLOOKUP(A34,'Trips&amp;Operators'!$C$1:$G$99999,5,FALSE)</f>
        <v>GEBRETEKLE DAGNEW</v>
      </c>
      <c r="M34" s="6">
        <f t="shared" si="1"/>
        <v>2.7511574073287193E-2</v>
      </c>
      <c r="N34" s="7">
        <f t="shared" si="2"/>
        <v>39.616666665533558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-07-29T05:54:05-0600',mode:absolute,to:'2017-07-29T08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23.297799999999999</v>
      </c>
      <c r="Z34" s="197">
        <f t="shared" si="8"/>
        <v>1.54E-2</v>
      </c>
      <c r="AA34" s="197">
        <f t="shared" si="9"/>
        <v>23.282399999999999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s3://rtdc.mdm.uploadarchive.raw/RTDC4055/ "%USERPROFILE%\AppData\Local\Temp\OnboardLogs"\RTDC4055\2017-07-29 --exclude "*" --recursive --include "*20170729*" &amp; "%USERPROFILE%\Documents\GitHub\mrs-test-scripts\Headless Mode &amp; Sideloading\WalkAndUnGZ.bat" "%USERPROFILE%\AppData\Local\Temp\OnboardLogs"\RTDC4055\2017-07-29 &amp; aws s3 cp s3://rtdc.mdm.uploadarchive.raw/RTDC4055/ "%USERPROFILE%\AppData\Local\Temp\OnboardLogs"\RTDC4055\2017-07-30 --exclude "*" --recursive --include "*20170730*" &amp; "%USERPROFILE%\Documents\GitHub\mrs-test-scripts\Headless Mode &amp; Sideloading\WalkAndUnGZ.bat" "%USERPROFILE%\AppData\Local\Temp\OnboardLogs"\RTDC4055\2017-07-30</v>
      </c>
      <c r="AF34" s="74" t="str">
        <f t="shared" si="12"/>
        <v>"C:\Program Files (x86)\AstroGrep\AstroGrep.exe" /e /r /s /spath="%USERPROFILE%\AppData\Local\Temp\OnboardLogs" /stypes="app*4055*20170729*"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122-29 --locoid 4055 --swversion DE.1.0.9.0 --startMP 204:232978 --initTime 2017-07-29T06:54:05 --startdatetime 2017-07-29T07:12:17 --delay 1 --endMP 204:154 --enddatetime 2017-07-29T07:51:54 --enforcementcount 0 &gt;&gt;C:\Users\stu\Documents\GitHub\eaglep3-reporting\EC\2017-07-29-refined-times.txt</v>
      </c>
      <c r="AI34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{"issue":{"subject":"","project_id":79,"tracker_id":40,"status_id":1,"priority_id":2,"assigned_to_id":23,"start_date":"2017-07-29","description":"","custom_fields":[{"id":1,"name":"Subdivision","value":"EC"},{"id":4,"name":"Milepost","value":"0.0154"},{"id":17,"name":"Train ID","value":"122-29"},{"id":16,"name":"Locomotive ID","value":"4055"},{"id":130,"name":"Impact","value":""},{"id":150,"name":"Time of Event (Mountain Time)","value":"07:51:54"},{"id":151,"name":"Denver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4055 --day 2017-07-29</v>
      </c>
      <c r="AN34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13:51:54"},{"id":29,"name":"Sharepoint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715</v>
      </c>
      <c r="B35" s="7">
        <v>4012</v>
      </c>
      <c r="C35" s="21" t="s">
        <v>198</v>
      </c>
      <c r="D35" s="21" t="s">
        <v>406</v>
      </c>
      <c r="E35" s="13">
        <v>42945.271377314813</v>
      </c>
      <c r="F35" s="13">
        <v>42945.272951388892</v>
      </c>
      <c r="G35" s="7">
        <v>1</v>
      </c>
      <c r="H35" s="21" t="s">
        <v>888</v>
      </c>
      <c r="I35" s="13">
        <v>42945.297569444447</v>
      </c>
      <c r="J35" s="7">
        <v>0</v>
      </c>
      <c r="K35" s="89" t="str">
        <f t="shared" si="0"/>
        <v>4011/4012</v>
      </c>
      <c r="L35" s="21" t="str">
        <f>VLOOKUP(A35,'Trips&amp;Operators'!$C$1:$G$99999,5,FALSE)</f>
        <v>LALONDE GREGORY</v>
      </c>
      <c r="M35" s="6">
        <f t="shared" si="1"/>
        <v>2.4618055555038154E-2</v>
      </c>
      <c r="N35" s="7">
        <f t="shared" si="2"/>
        <v>35.449999999254942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-07-29T05:30:47-0600',mode:absolute,to:'2017-07-29T08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4.58E-2</v>
      </c>
      <c r="Z35" s="197">
        <f t="shared" si="8"/>
        <v>23.333600000000001</v>
      </c>
      <c r="AA35" s="197">
        <f t="shared" si="9"/>
        <v>23.287800000000001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s3://rtdc.mdm.uploadarchive.raw/RTDC4012/ "%USERPROFILE%\AppData\Local\Temp\OnboardLogs"\RTDC4012\2017-07-29 --exclude "*" --recursive --include "*20170729*" &amp; "%USERPROFILE%\Documents\GitHub\mrs-test-scripts\Headless Mode &amp; Sideloading\WalkAndUnGZ.bat" "%USERPROFILE%\AppData\Local\Temp\OnboardLogs"\RTDC4012\2017-07-29 &amp; aws s3 cp s3://rtdc.mdm.uploadarchive.raw/RTDC4012/ "%USERPROFILE%\AppData\Local\Temp\OnboardLogs"\RTDC4012\2017-07-30 --exclude "*" --recursive --include "*20170730*" &amp; "%USERPROFILE%\Documents\GitHub\mrs-test-scripts\Headless Mode &amp; Sideloading\WalkAndUnGZ.bat" "%USERPROFILE%\AppData\Local\Temp\OnboardLogs"\RTDC4012\2017-07-30</v>
      </c>
      <c r="AF35" s="74" t="str">
        <f t="shared" si="12"/>
        <v>"C:\Program Files (x86)\AstroGrep\AstroGrep.exe" /e /r /s /spath="%USERPROFILE%\AppData\Local\Temp\OnboardLogs" /stypes="app*4012*20170729*"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123-29 --locoid 4012 --swversion DE.1.0.9.0 --startMP 204:458 --initTime 2017-07-29T06:30:47 --startdatetime 2017-07-29T06:33:03 --delay 1 --endMP 204:233336 --enddatetime 2017-07-29T07:08:30 --enforcementcount 0 &gt;&gt;C:\Users\stu\Documents\GitHub\eaglep3-reporting\EC\2017-07-29-refined-times.txt</v>
      </c>
      <c r="AI35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{"issue":{"subject":"","project_id":79,"tracker_id":40,"status_id":1,"priority_id":2,"assigned_to_id":23,"start_date":"2017-07-29","description":"","custom_fields":[{"id":1,"name":"Subdivision","value":"EC"},{"id":4,"name":"Milepost","value":"23.3336"},{"id":17,"name":"Train ID","value":"123-29"},{"id":16,"name":"Locomotive ID","value":"4012"},{"id":130,"name":"Impact","value":""},{"id":150,"name":"Time of Event (Mountain Time)","value":"07:08:30"},{"id":151,"name":"Denver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4012 --day 2017-07-29</v>
      </c>
      <c r="AN35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13:08:30"},{"id":29,"name":"Sharepoint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721</v>
      </c>
      <c r="B36" s="7">
        <v>4011</v>
      </c>
      <c r="C36" s="21" t="s">
        <v>198</v>
      </c>
      <c r="D36" s="21" t="s">
        <v>889</v>
      </c>
      <c r="E36" s="13">
        <v>42945.299166666664</v>
      </c>
      <c r="F36" s="13">
        <v>42945.310590277775</v>
      </c>
      <c r="G36" s="7">
        <v>1</v>
      </c>
      <c r="H36" s="21" t="s">
        <v>342</v>
      </c>
      <c r="I36" s="13">
        <v>42945.340405092589</v>
      </c>
      <c r="J36" s="7">
        <v>0</v>
      </c>
      <c r="K36" s="89" t="str">
        <f t="shared" si="0"/>
        <v>4011/4012</v>
      </c>
      <c r="L36" s="21" t="str">
        <f>VLOOKUP(A36,'Trips&amp;Operators'!$C$1:$G$99999,5,FALSE)</f>
        <v>LALONDE GREGORY</v>
      </c>
      <c r="M36" s="6">
        <f t="shared" si="1"/>
        <v>2.9814814814017154E-2</v>
      </c>
      <c r="N36" s="7">
        <f t="shared" si="2"/>
        <v>42.933333332184702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-07-29T06:10:48-0600',mode:absolute,to:'2017-07-29T09:10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23.302499999999998</v>
      </c>
      <c r="Z36" s="197">
        <f t="shared" si="8"/>
        <v>1.49E-2</v>
      </c>
      <c r="AA36" s="197">
        <f t="shared" si="9"/>
        <v>23.287599999999998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s3://rtdc.mdm.uploadarchive.raw/RTDC4011/ "%USERPROFILE%\AppData\Local\Temp\OnboardLogs"\RTDC4011\2017-07-29 --exclude "*" --recursive --include "*20170729*" &amp; "%USERPROFILE%\Documents\GitHub\mrs-test-scripts\Headless Mode &amp; Sideloading\WalkAndUnGZ.bat" "%USERPROFILE%\AppData\Local\Temp\OnboardLogs"\RTDC4011\2017-07-29 &amp; aws s3 cp s3://rtdc.mdm.uploadarchive.raw/RTDC4011/ "%USERPROFILE%\AppData\Local\Temp\OnboardLogs"\RTDC4011\2017-07-30 --exclude "*" --recursive --include "*20170730*" &amp; "%USERPROFILE%\Documents\GitHub\mrs-test-scripts\Headless Mode &amp; Sideloading\WalkAndUnGZ.bat" "%USERPROFILE%\AppData\Local\Temp\OnboardLogs"\RTDC4011\2017-07-30</v>
      </c>
      <c r="AF36" s="74" t="str">
        <f t="shared" si="12"/>
        <v>"C:\Program Files (x86)\AstroGrep\AstroGrep.exe" /e /r /s /spath="%USERPROFILE%\AppData\Local\Temp\OnboardLogs" /stypes="app*4011*20170729*"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124-29 --locoid 4011 --swversion DE.1.0.9.0 --startMP 204:233025 --initTime 2017-07-29T07:10:48 --startdatetime 2017-07-29T07:27:15 --delay 1 --endMP 204:149 --enddatetime 2017-07-29T08:10:11 --enforcementcount 0 &gt;&gt;C:\Users\stu\Documents\GitHub\eaglep3-reporting\EC\2017-07-29-refined-times.txt</v>
      </c>
      <c r="AI36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{"issue":{"subject":"","project_id":79,"tracker_id":40,"status_id":1,"priority_id":2,"assigned_to_id":23,"start_date":"2017-07-29","description":"","custom_fields":[{"id":1,"name":"Subdivision","value":"EC"},{"id":4,"name":"Milepost","value":"0.0149"},{"id":17,"name":"Train ID","value":"124-29"},{"id":16,"name":"Locomotive ID","value":"4011"},{"id":130,"name":"Impact","value":""},{"id":150,"name":"Time of Event (Mountain Time)","value":"08:10:11"},{"id":151,"name":"Denver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4011 --day 2017-07-29</v>
      </c>
      <c r="AN36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14:10:11"},{"id":29,"name":"Sharepoint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717</v>
      </c>
      <c r="B37" s="7">
        <v>4042</v>
      </c>
      <c r="C37" s="21" t="s">
        <v>198</v>
      </c>
      <c r="D37" s="21" t="s">
        <v>412</v>
      </c>
      <c r="E37" s="13">
        <v>42945.279722222222</v>
      </c>
      <c r="F37" s="13">
        <v>42945.281875000001</v>
      </c>
      <c r="G37" s="7">
        <v>1</v>
      </c>
      <c r="H37" s="21" t="s">
        <v>880</v>
      </c>
      <c r="I37" s="13">
        <v>42945.306817129633</v>
      </c>
      <c r="J37" s="7">
        <v>0</v>
      </c>
      <c r="K37" s="89" t="str">
        <f t="shared" si="0"/>
        <v>4041/4042</v>
      </c>
      <c r="L37" s="21" t="str">
        <f>VLOOKUP(A37,'Trips&amp;Operators'!$C$1:$G$99999,5,FALSE)</f>
        <v>MAELZER KURT</v>
      </c>
      <c r="M37" s="6">
        <f t="shared" si="1"/>
        <v>2.4942129632108845E-2</v>
      </c>
      <c r="N37" s="7">
        <f t="shared" si="2"/>
        <v>35.916666670236737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-07-29T05:42:48-0600',mode:absolute,to:'2017-07-29T08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4.7100000000000003E-2</v>
      </c>
      <c r="Z37" s="197">
        <f t="shared" si="8"/>
        <v>23.331800000000001</v>
      </c>
      <c r="AA37" s="197">
        <f t="shared" si="9"/>
        <v>23.284700000000001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s3://rtdc.mdm.uploadarchive.raw/RTDC4042/ "%USERPROFILE%\AppData\Local\Temp\OnboardLogs"\RTDC4042\2017-07-29 --exclude "*" --recursive --include "*20170729*" &amp; "%USERPROFILE%\Documents\GitHub\mrs-test-scripts\Headless Mode &amp; Sideloading\WalkAndUnGZ.bat" "%USERPROFILE%\AppData\Local\Temp\OnboardLogs"\RTDC4042\2017-07-29 &amp; aws s3 cp s3://rtdc.mdm.uploadarchive.raw/RTDC4042/ "%USERPROFILE%\AppData\Local\Temp\OnboardLogs"\RTDC4042\2017-07-30 --exclude "*" --recursive --include "*20170730*" &amp; "%USERPROFILE%\Documents\GitHub\mrs-test-scripts\Headless Mode &amp; Sideloading\WalkAndUnGZ.bat" "%USERPROFILE%\AppData\Local\Temp\OnboardLogs"\RTDC4042\2017-07-30</v>
      </c>
      <c r="AF37" s="74" t="str">
        <f t="shared" si="12"/>
        <v>"C:\Program Files (x86)\AstroGrep\AstroGrep.exe" /e /r /s /spath="%USERPROFILE%\AppData\Local\Temp\OnboardLogs" /stypes="app*4042*20170729*"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125-29 --locoid 4042 --swversion DE.1.0.9.0 --startMP 204:471 --initTime 2017-07-29T06:42:48 --startdatetime 2017-07-29T06:45:54 --delay 1 --endMP 204:233318 --enddatetime 2017-07-29T07:21:49 --enforcementcount 0 &gt;&gt;C:\Users\stu\Documents\GitHub\eaglep3-reporting\EC\2017-07-29-refined-times.txt</v>
      </c>
      <c r="AI37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{"issue":{"subject":"","project_id":79,"tracker_id":40,"status_id":1,"priority_id":2,"assigned_to_id":23,"start_date":"2017-07-29","description":"","custom_fields":[{"id":1,"name":"Subdivision","value":"EC"},{"id":4,"name":"Milepost","value":"23.3318"},{"id":17,"name":"Train ID","value":"125-29"},{"id":16,"name":"Locomotive ID","value":"4042"},{"id":130,"name":"Impact","value":""},{"id":150,"name":"Time of Event (Mountain Time)","value":"07:21:49"},{"id":151,"name":"Denver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4042 --day 2017-07-29</v>
      </c>
      <c r="AN37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13:21:49"},{"id":29,"name":"Sharepoint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724</v>
      </c>
      <c r="B38" s="7">
        <v>4041</v>
      </c>
      <c r="C38" s="21" t="s">
        <v>198</v>
      </c>
      <c r="D38" s="21" t="s">
        <v>890</v>
      </c>
      <c r="E38" s="13">
        <v>42945.311261574076</v>
      </c>
      <c r="F38" s="13">
        <v>42945.321064814816</v>
      </c>
      <c r="G38" s="7">
        <v>0</v>
      </c>
      <c r="H38" s="21" t="s">
        <v>616</v>
      </c>
      <c r="I38" s="13">
        <v>42945.351354166669</v>
      </c>
      <c r="J38" s="7">
        <v>0</v>
      </c>
      <c r="K38" s="89" t="str">
        <f t="shared" si="0"/>
        <v>4041/4042</v>
      </c>
      <c r="L38" s="21" t="str">
        <f>VLOOKUP(A38,'Trips&amp;Operators'!$C$1:$G$99999,5,FALSE)</f>
        <v>MAELZER KURT</v>
      </c>
      <c r="M38" s="6">
        <f t="shared" si="1"/>
        <v>3.0289351852843538E-2</v>
      </c>
      <c r="N38" s="7">
        <f t="shared" si="2"/>
        <v>43.616666668094695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-07-29T06:28:13-0600',mode:absolute,to:'2017-07-29T09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23.3</v>
      </c>
      <c r="Z38" s="197">
        <f t="shared" si="8"/>
        <v>1.3599999999999999E-2</v>
      </c>
      <c r="AA38" s="197">
        <f t="shared" si="9"/>
        <v>23.2864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126</v>
      </c>
      <c r="AE38" s="77" t="str">
        <f t="shared" si="11"/>
        <v>aws s3 cp s3://rtdc.mdm.uploadarchive.raw/RTDC4041/ "%USERPROFILE%\AppData\Local\Temp\OnboardLogs"\RTDC4041\2017-07-29 --exclude "*" --recursive --include "*20170729*" &amp; "%USERPROFILE%\Documents\GitHub\mrs-test-scripts\Headless Mode &amp; Sideloading\WalkAndUnGZ.bat" "%USERPROFILE%\AppData\Local\Temp\OnboardLogs"\RTDC4041\2017-07-29 &amp; aws s3 cp s3://rtdc.mdm.uploadarchive.raw/RTDC4041/ "%USERPROFILE%\AppData\Local\Temp\OnboardLogs"\RTDC4041\2017-07-30 --exclude "*" --recursive --include "*20170730*" &amp; "%USERPROFILE%\Documents\GitHub\mrs-test-scripts\Headless Mode &amp; Sideloading\WalkAndUnGZ.bat" "%USERPROFILE%\AppData\Local\Temp\OnboardLogs"\RTDC4041\2017-07-30</v>
      </c>
      <c r="AF38" s="74" t="str">
        <f t="shared" si="12"/>
        <v>"C:\Program Files (x86)\AstroGrep\AstroGrep.exe" /e /r /s /spath="%USERPROFILE%\AppData\Local\Temp\OnboardLogs" /stypes="app*4041*20170729*"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126-29 --locoid 4041 --swversion DE.1.0.9.0 --startMP 204:233000 --initTime 2017-07-29T07:28:13 --startdatetime 2017-07-29T07:42:20 --delay 0 --endMP 204:136 --enddatetime 2017-07-29T08:25:57 --enforcementcount 0 &gt;&gt;C:\Users\stu\Documents\GitHub\eaglep3-reporting\EC\2017-07-29-refined-times.txt</v>
      </c>
      <c r="AI38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{"issue":{"subject":"","project_id":79,"tracker_id":40,"status_id":1,"priority_id":2,"assigned_to_id":23,"start_date":"2017-07-29","description":"","custom_fields":[{"id":1,"name":"Subdivision","value":"EC"},{"id":4,"name":"Milepost","value":"0.0136"},{"id":17,"name":"Train ID","value":"126-29"},{"id":16,"name":"Locomotive ID","value":"4041"},{"id":130,"name":"Impact","value":""},{"id":150,"name":"Time of Event (Mountain Time)","value":"08:25:57"},{"id":151,"name":"Denver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4041 --day 2017-07-29</v>
      </c>
      <c r="AN38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14:25:57"},{"id":29,"name":"Sharepoint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636</v>
      </c>
      <c r="B39" s="7">
        <v>4028</v>
      </c>
      <c r="C39" s="21" t="s">
        <v>198</v>
      </c>
      <c r="D39" s="21" t="s">
        <v>613</v>
      </c>
      <c r="E39" s="13">
        <v>42945.290231481478</v>
      </c>
      <c r="F39" s="13">
        <v>42945.292210648149</v>
      </c>
      <c r="G39" s="7">
        <v>1</v>
      </c>
      <c r="H39" s="21" t="s">
        <v>464</v>
      </c>
      <c r="I39" s="13">
        <v>42945.318032407406</v>
      </c>
      <c r="J39" s="7">
        <v>0</v>
      </c>
      <c r="K39" s="89" t="str">
        <f t="shared" si="0"/>
        <v>4027/4028</v>
      </c>
      <c r="L39" s="21" t="str">
        <f>VLOOKUP(A39,'Trips&amp;Operators'!$C$1:$G$99999,5,FALSE)</f>
        <v>DAVIDSON DAVID</v>
      </c>
      <c r="M39" s="6">
        <f t="shared" si="1"/>
        <v>2.5821759256359655E-2</v>
      </c>
      <c r="N39" s="7">
        <f t="shared" si="2"/>
        <v>37.183333329157904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-07-29T05:57:56-0600',mode:absolute,to:'2017-07-29T08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4.3700000000000003E-2</v>
      </c>
      <c r="Z39" s="197">
        <f t="shared" si="8"/>
        <v>23.3306</v>
      </c>
      <c r="AA39" s="197">
        <f t="shared" si="9"/>
        <v>23.286899999999999</v>
      </c>
      <c r="AB39" s="54" t="str">
        <f>VLOOKUP(A39,Enforcements!$C$7:$K$13,8,0)</f>
        <v>Bulletin (2)</v>
      </c>
      <c r="AC39" s="51" t="str">
        <f>VLOOKUP(A39,Enforcements!$C$7:$E$13,3,0)</f>
        <v>GRADE CROSSING</v>
      </c>
      <c r="AD39" s="206">
        <f t="shared" si="10"/>
        <v>127</v>
      </c>
      <c r="AE39" s="77" t="str">
        <f t="shared" si="11"/>
        <v>aws s3 cp s3://rtdc.mdm.uploadarchive.raw/RTDC4028/ "%USERPROFILE%\AppData\Local\Temp\OnboardLogs"\RTDC4028\2017-07-29 --exclude "*" --recursive --include "*20170729*" &amp; "%USERPROFILE%\Documents\GitHub\mrs-test-scripts\Headless Mode &amp; Sideloading\WalkAndUnGZ.bat" "%USERPROFILE%\AppData\Local\Temp\OnboardLogs"\RTDC4028\2017-07-29 &amp; aws s3 cp s3://rtdc.mdm.uploadarchive.raw/RTDC4028/ "%USERPROFILE%\AppData\Local\Temp\OnboardLogs"\RTDC4028\2017-07-30 --exclude "*" --recursive --include "*20170730*" &amp; "%USERPROFILE%\Documents\GitHub\mrs-test-scripts\Headless Mode &amp; Sideloading\WalkAndUnGZ.bat" "%USERPROFILE%\AppData\Local\Temp\OnboardLogs"\RTDC4028\2017-07-30</v>
      </c>
      <c r="AF39" s="74" t="str">
        <f t="shared" si="12"/>
        <v>"C:\Program Files (x86)\AstroGrep\AstroGrep.exe" /e /r /s /spath="%USERPROFILE%\AppData\Local\Temp\OnboardLogs" /stypes="app*4028*20170729*"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127-29 --locoid 4028 --swversion DE.1.0.9.0 --startMP 204:437 --initTime 2017-07-29T06:57:56 --startdatetime 2017-07-29T07:00:47 --delay 1 --endMP 204:233306 --enddatetime 2017-07-29T07:37:58 --enforcementcount 0 &gt;&gt;C:\Users\stu\Documents\GitHub\eaglep3-reporting\EC\2017-07-29-refined-times.txt</v>
      </c>
      <c r="AI39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{"issue":{"subject":"","project_id":79,"tracker_id":40,"status_id":1,"priority_id":2,"assigned_to_id":23,"start_date":"2017-07-29","description":"","custom_fields":[{"id":1,"name":"Subdivision","value":"EC"},{"id":4,"name":"Milepost","value":"23.3306"},{"id":17,"name":"Train ID","value":"127-29"},{"id":16,"name":"Locomotive ID","value":"4028"},{"id":130,"name":"Impact","value":""},{"id":150,"name":"Time of Event (Mountain Time)","value":"07:37:58"},{"id":151,"name":"Denver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4028 --day 2017-07-29</v>
      </c>
      <c r="AN39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13:37:58"},{"id":29,"name":"Sharepoint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727</v>
      </c>
      <c r="B40" s="7">
        <v>4027</v>
      </c>
      <c r="C40" s="21" t="s">
        <v>198</v>
      </c>
      <c r="D40" s="21" t="s">
        <v>518</v>
      </c>
      <c r="E40" s="13">
        <v>42945.321134259262</v>
      </c>
      <c r="F40" s="13">
        <v>42945.331585648149</v>
      </c>
      <c r="G40" s="7">
        <v>2</v>
      </c>
      <c r="H40" s="21" t="s">
        <v>352</v>
      </c>
      <c r="I40" s="13">
        <v>42945.362812500003</v>
      </c>
      <c r="J40" s="7">
        <v>0</v>
      </c>
      <c r="K40" s="89" t="str">
        <f t="shared" si="0"/>
        <v>4027/4028</v>
      </c>
      <c r="L40" s="21" t="str">
        <f>VLOOKUP(A40,'Trips&amp;Operators'!$C$1:$G$99999,5,FALSE)</f>
        <v>DAVIDSON DAVID</v>
      </c>
      <c r="M40" s="6">
        <f t="shared" si="1"/>
        <v>3.1226851853716653E-2</v>
      </c>
      <c r="N40" s="7">
        <f t="shared" si="2"/>
        <v>44.96666666935198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-07-29T06:42:26-0600',mode:absolute,to:'2017-07-29T09:42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23.299299999999999</v>
      </c>
      <c r="Z40" s="197">
        <f t="shared" si="8"/>
        <v>1.47E-2</v>
      </c>
      <c r="AA40" s="197">
        <f t="shared" si="9"/>
        <v>23.284599999999998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s3://rtdc.mdm.uploadarchive.raw/RTDC4027/ "%USERPROFILE%\AppData\Local\Temp\OnboardLogs"\RTDC4027\2017-07-29 --exclude "*" --recursive --include "*20170729*" &amp; "%USERPROFILE%\Documents\GitHub\mrs-test-scripts\Headless Mode &amp; Sideloading\WalkAndUnGZ.bat" "%USERPROFILE%\AppData\Local\Temp\OnboardLogs"\RTDC4027\2017-07-29 &amp; aws s3 cp s3://rtdc.mdm.uploadarchive.raw/RTDC4027/ "%USERPROFILE%\AppData\Local\Temp\OnboardLogs"\RTDC4027\2017-07-30 --exclude "*" --recursive --include "*20170730*" &amp; "%USERPROFILE%\Documents\GitHub\mrs-test-scripts\Headless Mode &amp; Sideloading\WalkAndUnGZ.bat" "%USERPROFILE%\AppData\Local\Temp\OnboardLogs"\RTDC4027\2017-07-30</v>
      </c>
      <c r="AF40" s="74" t="str">
        <f t="shared" si="12"/>
        <v>"C:\Program Files (x86)\AstroGrep\AstroGrep.exe" /e /r /s /spath="%USERPROFILE%\AppData\Local\Temp\OnboardLogs" /stypes="app*4027*20170729*"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128-29 --locoid 4027 --swversion DE.1.0.9.0 --startMP 204:232993 --initTime 2017-07-29T07:42:26 --startdatetime 2017-07-29T07:57:29 --delay 2 --endMP 204:147 --enddatetime 2017-07-29T08:42:27 --enforcementcount 0 &gt;&gt;C:\Users\stu\Documents\GitHub\eaglep3-reporting\EC\2017-07-29-refined-times.txt</v>
      </c>
      <c r="AI40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{"issue":{"subject":"","project_id":79,"tracker_id":40,"status_id":1,"priority_id":2,"assigned_to_id":23,"start_date":"2017-07-29","description":"","custom_fields":[{"id":1,"name":"Subdivision","value":"EC"},{"id":4,"name":"Milepost","value":"0.0147"},{"id":17,"name":"Train ID","value":"128-29"},{"id":16,"name":"Locomotive ID","value":"4027"},{"id":130,"name":"Impact","value":""},{"id":150,"name":"Time of Event (Mountain Time)","value":"08:42:27"},{"id":151,"name":"Denver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4027 --day 2017-07-29</v>
      </c>
      <c r="AN40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14:42:27"},{"id":29,"name":"Sharepoint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722</v>
      </c>
      <c r="B41" s="7">
        <v>4008</v>
      </c>
      <c r="C41" s="21" t="s">
        <v>198</v>
      </c>
      <c r="D41" s="21" t="s">
        <v>412</v>
      </c>
      <c r="E41" s="13">
        <v>42945.300347222219</v>
      </c>
      <c r="F41" s="13">
        <v>42945.30265046296</v>
      </c>
      <c r="G41" s="7">
        <v>1</v>
      </c>
      <c r="H41" s="21" t="s">
        <v>602</v>
      </c>
      <c r="I41" s="13">
        <v>42945.331064814818</v>
      </c>
      <c r="J41" s="7">
        <v>0</v>
      </c>
      <c r="K41" s="89" t="str">
        <f t="shared" si="0"/>
        <v>4007/4008</v>
      </c>
      <c r="L41" s="21" t="str">
        <f>VLOOKUP(A41,'Trips&amp;Operators'!$C$1:$G$99999,5,FALSE)</f>
        <v>WILLIAMS DONTE</v>
      </c>
      <c r="M41" s="6">
        <f t="shared" si="1"/>
        <v>2.8414351858373266E-2</v>
      </c>
      <c r="N41" s="7">
        <f t="shared" si="2"/>
        <v>40.916666676057503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-07-29T06:12:30-0600',mode:absolute,to:'2017-07-29T08:56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4.7100000000000003E-2</v>
      </c>
      <c r="Z41" s="197">
        <f t="shared" si="8"/>
        <v>23.328399999999998</v>
      </c>
      <c r="AA41" s="197">
        <f t="shared" si="9"/>
        <v>23.281299999999998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129</v>
      </c>
      <c r="AE41" s="77" t="str">
        <f t="shared" si="11"/>
        <v>aws s3 cp s3://rtdc.mdm.uploadarchive.raw/RTDC4008/ "%USERPROFILE%\AppData\Local\Temp\OnboardLogs"\RTDC4008\2017-07-29 --exclude "*" --recursive --include "*20170729*" &amp; "%USERPROFILE%\Documents\GitHub\mrs-test-scripts\Headless Mode &amp; Sideloading\WalkAndUnGZ.bat" "%USERPROFILE%\AppData\Local\Temp\OnboardLogs"\RTDC4008\2017-07-29 &amp; aws s3 cp s3://rtdc.mdm.uploadarchive.raw/RTDC4008/ "%USERPROFILE%\AppData\Local\Temp\OnboardLogs"\RTDC4008\2017-07-30 --exclude "*" --recursive --include "*20170730*" &amp; "%USERPROFILE%\Documents\GitHub\mrs-test-scripts\Headless Mode &amp; Sideloading\WalkAndUnGZ.bat" "%USERPROFILE%\AppData\Local\Temp\OnboardLogs"\RTDC4008\2017-07-30</v>
      </c>
      <c r="AF41" s="74" t="str">
        <f t="shared" si="12"/>
        <v>"C:\Program Files (x86)\AstroGrep\AstroGrep.exe" /e /r /s /spath="%USERPROFILE%\AppData\Local\Temp\OnboardLogs" /stypes="app*4008*20170729*"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129-29 --locoid 4008 --swversion DE.1.0.9.0 --startMP 204:471 --initTime 2017-07-29T07:12:30 --startdatetime 2017-07-29T07:15:49 --delay 1 --endMP 204:233284 --enddatetime 2017-07-29T07:56:44 --enforcementcount 0 &gt;&gt;C:\Users\stu\Documents\GitHub\eaglep3-reporting\EC\2017-07-29-refined-times.txt</v>
      </c>
      <c r="AI41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{"issue":{"subject":"","project_id":79,"tracker_id":40,"status_id":1,"priority_id":2,"assigned_to_id":23,"start_date":"2017-07-29","description":"","custom_fields":[{"id":1,"name":"Subdivision","value":"EC"},{"id":4,"name":"Milepost","value":"23.3284"},{"id":17,"name":"Train ID","value":"129-29"},{"id":16,"name":"Locomotive ID","value":"4008"},{"id":130,"name":"Impact","value":""},{"id":150,"name":"Time of Event (Mountain Time)","value":"07:56:44"},{"id":151,"name":"Denver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4008 --day 2017-07-29</v>
      </c>
      <c r="AN41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13:56:44"},{"id":29,"name":"Sharepoint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730</v>
      </c>
      <c r="B42" s="7">
        <v>4007</v>
      </c>
      <c r="C42" s="21" t="s">
        <v>198</v>
      </c>
      <c r="D42" s="21" t="s">
        <v>514</v>
      </c>
      <c r="E42" s="13">
        <v>42945.335393518515</v>
      </c>
      <c r="F42" s="13">
        <v>42945.341967592591</v>
      </c>
      <c r="G42" s="7">
        <v>1</v>
      </c>
      <c r="H42" s="21" t="s">
        <v>891</v>
      </c>
      <c r="I42" s="13">
        <v>42945.371238425927</v>
      </c>
      <c r="J42" s="7">
        <v>0</v>
      </c>
      <c r="K42" s="89" t="str">
        <f t="shared" si="0"/>
        <v>4007/4008</v>
      </c>
      <c r="L42" s="21" t="str">
        <f>VLOOKUP(A42,'Trips&amp;Operators'!$C$1:$G$99999,5,FALSE)</f>
        <v>WILLIAMS DONTE</v>
      </c>
      <c r="M42" s="6">
        <f t="shared" si="1"/>
        <v>2.9270833336340729E-2</v>
      </c>
      <c r="N42" s="7">
        <f t="shared" si="2"/>
        <v>42.15000000433065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-07-29T07:02:58-0600',mode:absolute,to:'2017-07-29T09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23.297699999999999</v>
      </c>
      <c r="Z42" s="197">
        <f t="shared" si="8"/>
        <v>1.7399999999999999E-2</v>
      </c>
      <c r="AA42" s="197">
        <f t="shared" si="9"/>
        <v>23.2803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s3://rtdc.mdm.uploadarchive.raw/RTDC4007/ "%USERPROFILE%\AppData\Local\Temp\OnboardLogs"\RTDC4007\2017-07-29 --exclude "*" --recursive --include "*20170729*" &amp; "%USERPROFILE%\Documents\GitHub\mrs-test-scripts\Headless Mode &amp; Sideloading\WalkAndUnGZ.bat" "%USERPROFILE%\AppData\Local\Temp\OnboardLogs"\RTDC4007\2017-07-29 &amp; aws s3 cp s3://rtdc.mdm.uploadarchive.raw/RTDC4007/ "%USERPROFILE%\AppData\Local\Temp\OnboardLogs"\RTDC4007\2017-07-30 --exclude "*" --recursive --include "*20170730*" &amp; "%USERPROFILE%\Documents\GitHub\mrs-test-scripts\Headless Mode &amp; Sideloading\WalkAndUnGZ.bat" "%USERPROFILE%\AppData\Local\Temp\OnboardLogs"\RTDC4007\2017-07-30</v>
      </c>
      <c r="AF42" s="74" t="str">
        <f t="shared" si="12"/>
        <v>"C:\Program Files (x86)\AstroGrep\AstroGrep.exe" /e /r /s /spath="%USERPROFILE%\AppData\Local\Temp\OnboardLogs" /stypes="app*4007*20170729*"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130-29 --locoid 4007 --swversion DE.1.0.9.0 --startMP 204:232977 --initTime 2017-07-29T08:02:58 --startdatetime 2017-07-29T08:12:26 --delay 1 --endMP 204:174 --enddatetime 2017-07-29T08:54:35 --enforcementcount 0 &gt;&gt;C:\Users\stu\Documents\GitHub\eaglep3-reporting\EC\2017-07-29-refined-times.txt</v>
      </c>
      <c r="AI42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{"issue":{"subject":"","project_id":79,"tracker_id":40,"status_id":1,"priority_id":2,"assigned_to_id":23,"start_date":"2017-07-29","description":"","custom_fields":[{"id":1,"name":"Subdivision","value":"EC"},{"id":4,"name":"Milepost","value":"0.0174"},{"id":17,"name":"Train ID","value":"130-29"},{"id":16,"name":"Locomotive ID","value":"4007"},{"id":130,"name":"Impact","value":""},{"id":150,"name":"Time of Event (Mountain Time)","value":"08:54:35"},{"id":151,"name":"Denver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4007 --day 2017-07-29</v>
      </c>
      <c r="AN42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14:54:35"},{"id":29,"name":"Sharepoint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723</v>
      </c>
      <c r="B43" s="7">
        <v>4030</v>
      </c>
      <c r="C43" s="21" t="s">
        <v>198</v>
      </c>
      <c r="D43" s="21" t="s">
        <v>453</v>
      </c>
      <c r="E43" s="13">
        <v>42945.309259259258</v>
      </c>
      <c r="F43" s="13">
        <v>42945.312997685185</v>
      </c>
      <c r="G43" s="7">
        <v>1</v>
      </c>
      <c r="H43" s="21" t="s">
        <v>452</v>
      </c>
      <c r="I43" s="13">
        <v>42945.340671296297</v>
      </c>
      <c r="J43" s="7">
        <v>0</v>
      </c>
      <c r="K43" s="89" t="str">
        <f t="shared" si="0"/>
        <v>4029/4030</v>
      </c>
      <c r="L43" s="21" t="str">
        <f>VLOOKUP(A43,'Trips&amp;Operators'!$C$1:$G$99999,5,FALSE)</f>
        <v>GUZMAN DANNY</v>
      </c>
      <c r="M43" s="6">
        <f t="shared" si="1"/>
        <v>2.7673611111822538E-2</v>
      </c>
      <c r="N43" s="7">
        <f t="shared" si="2"/>
        <v>39.850000001024455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-07-29T06:25:20-0600',mode:absolute,to:'2017-07-29T09:10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4.5999999999999999E-2</v>
      </c>
      <c r="Z43" s="197">
        <f t="shared" si="8"/>
        <v>23.3291</v>
      </c>
      <c r="AA43" s="197">
        <f t="shared" si="9"/>
        <v>23.283100000000001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131</v>
      </c>
      <c r="AE43" s="77" t="str">
        <f t="shared" si="11"/>
        <v>aws s3 cp s3://rtdc.mdm.uploadarchive.raw/RTDC4030/ "%USERPROFILE%\AppData\Local\Temp\OnboardLogs"\RTDC4030\2017-07-29 --exclude "*" --recursive --include "*20170729*" &amp; "%USERPROFILE%\Documents\GitHub\mrs-test-scripts\Headless Mode &amp; Sideloading\WalkAndUnGZ.bat" "%USERPROFILE%\AppData\Local\Temp\OnboardLogs"\RTDC4030\2017-07-29 &amp; aws s3 cp s3://rtdc.mdm.uploadarchive.raw/RTDC4030/ "%USERPROFILE%\AppData\Local\Temp\OnboardLogs"\RTDC4030\2017-07-30 --exclude "*" --recursive --include "*20170730*" &amp; "%USERPROFILE%\Documents\GitHub\mrs-test-scripts\Headless Mode &amp; Sideloading\WalkAndUnGZ.bat" "%USERPROFILE%\AppData\Local\Temp\OnboardLogs"\RTDC4030\2017-07-30</v>
      </c>
      <c r="AF43" s="74" t="str">
        <f t="shared" si="12"/>
        <v>"C:\Program Files (x86)\AstroGrep\AstroGrep.exe" /e /r /s /spath="%USERPROFILE%\AppData\Local\Temp\OnboardLogs" /stypes="app*4030*20170729*"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131-29 --locoid 4030 --swversion DE.1.0.9.0 --startMP 204:460 --initTime 2017-07-29T07:25:20 --startdatetime 2017-07-29T07:30:43 --delay 1 --endMP 204:233291 --enddatetime 2017-07-29T08:10:34 --enforcementcount 0 &gt;&gt;C:\Users\stu\Documents\GitHub\eaglep3-reporting\EC\2017-07-29-refined-times.txt</v>
      </c>
      <c r="AI43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{"issue":{"subject":"","project_id":79,"tracker_id":40,"status_id":1,"priority_id":2,"assigned_to_id":23,"start_date":"2017-07-29","description":"","custom_fields":[{"id":1,"name":"Subdivision","value":"EC"},{"id":4,"name":"Milepost","value":"23.3291"},{"id":17,"name":"Train ID","value":"131-29"},{"id":16,"name":"Locomotive ID","value":"4030"},{"id":130,"name":"Impact","value":""},{"id":150,"name":"Time of Event (Mountain Time)","value":"08:10:34"},{"id":151,"name":"Denver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4030 --day 2017-07-29</v>
      </c>
      <c r="AN43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14:10:34"},{"id":29,"name":"Sharepoint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638</v>
      </c>
      <c r="B44" s="7">
        <v>4029</v>
      </c>
      <c r="C44" s="21" t="s">
        <v>198</v>
      </c>
      <c r="D44" s="21" t="s">
        <v>892</v>
      </c>
      <c r="E44" s="13">
        <v>42945.342557870368</v>
      </c>
      <c r="F44" s="13">
        <v>42945.352268518516</v>
      </c>
      <c r="G44" s="7">
        <v>1</v>
      </c>
      <c r="H44" s="21" t="s">
        <v>498</v>
      </c>
      <c r="I44" s="13">
        <v>42945.382106481484</v>
      </c>
      <c r="J44" s="7">
        <v>0</v>
      </c>
      <c r="K44" s="89" t="str">
        <f t="shared" si="0"/>
        <v>4029/4030</v>
      </c>
      <c r="L44" s="21" t="str">
        <f>VLOOKUP(A44,'Trips&amp;Operators'!$C$1:$G$99999,5,FALSE)</f>
        <v>GUZMAN DANNY</v>
      </c>
      <c r="M44" s="6">
        <f t="shared" si="1"/>
        <v>2.9837962967576459E-2</v>
      </c>
      <c r="N44" s="7">
        <f t="shared" si="2"/>
        <v>42.966666673310101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-07-29T07:13:17-0600',mode:absolute,to:'2017-07-29T10:10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23.2972</v>
      </c>
      <c r="Z44" s="197">
        <f t="shared" si="8"/>
        <v>1.6899999999999998E-2</v>
      </c>
      <c r="AA44" s="197">
        <f t="shared" si="9"/>
        <v>23.2803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132</v>
      </c>
      <c r="AE44" s="77" t="str">
        <f t="shared" si="11"/>
        <v>aws s3 cp s3://rtdc.mdm.uploadarchive.raw/RTDC4029/ "%USERPROFILE%\AppData\Local\Temp\OnboardLogs"\RTDC4029\2017-07-29 --exclude "*" --recursive --include "*20170729*" &amp; "%USERPROFILE%\Documents\GitHub\mrs-test-scripts\Headless Mode &amp; Sideloading\WalkAndUnGZ.bat" "%USERPROFILE%\AppData\Local\Temp\OnboardLogs"\RTDC4029\2017-07-29 &amp; aws s3 cp s3://rtdc.mdm.uploadarchive.raw/RTDC4029/ "%USERPROFILE%\AppData\Local\Temp\OnboardLogs"\RTDC4029\2017-07-30 --exclude "*" --recursive --include "*20170730*" &amp; "%USERPROFILE%\Documents\GitHub\mrs-test-scripts\Headless Mode &amp; Sideloading\WalkAndUnGZ.bat" "%USERPROFILE%\AppData\Local\Temp\OnboardLogs"\RTDC4029\2017-07-30</v>
      </c>
      <c r="AF44" s="74" t="str">
        <f t="shared" si="12"/>
        <v>"C:\Program Files (x86)\AstroGrep\AstroGrep.exe" /e /r /s /spath="%USERPROFILE%\AppData\Local\Temp\OnboardLogs" /stypes="app*4029*20170729*"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132-29 --locoid 4029 --swversion DE.1.0.9.0 --startMP 204:232972 --initTime 2017-07-29T08:13:17 --startdatetime 2017-07-29T08:27:16 --delay 1 --endMP 204:169 --enddatetime 2017-07-29T09:10:14 --enforcementcount 0 &gt;&gt;C:\Users\stu\Documents\GitHub\eaglep3-reporting\EC\2017-07-29-refined-times.txt</v>
      </c>
      <c r="AI44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{"issue":{"subject":"","project_id":79,"tracker_id":40,"status_id":1,"priority_id":2,"assigned_to_id":23,"start_date":"2017-07-29","description":"","custom_fields":[{"id":1,"name":"Subdivision","value":"EC"},{"id":4,"name":"Milepost","value":"0.0169"},{"id":17,"name":"Train ID","value":"132-29"},{"id":16,"name":"Locomotive ID","value":"4029"},{"id":130,"name":"Impact","value":""},{"id":150,"name":"Time of Event (Mountain Time)","value":"09:10:14"},{"id":151,"name":"Denver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4029 --day 2017-07-29</v>
      </c>
      <c r="AN44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15:10:14"},{"id":29,"name":"Sharepoint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726</v>
      </c>
      <c r="B45" s="7">
        <v>4024</v>
      </c>
      <c r="C45" s="21" t="s">
        <v>198</v>
      </c>
      <c r="D45" s="21" t="s">
        <v>344</v>
      </c>
      <c r="E45" s="13">
        <v>42945.320983796293</v>
      </c>
      <c r="F45" s="13">
        <v>42945.323576388888</v>
      </c>
      <c r="G45" s="7">
        <v>1</v>
      </c>
      <c r="H45" s="21" t="s">
        <v>886</v>
      </c>
      <c r="I45" s="13">
        <v>42945.350532407407</v>
      </c>
      <c r="J45" s="7">
        <v>0</v>
      </c>
      <c r="K45" s="89" t="str">
        <f t="shared" si="0"/>
        <v>4023/4024</v>
      </c>
      <c r="L45" s="21" t="str">
        <f>VLOOKUP(A45,'Trips&amp;Operators'!$C$1:$G$99999,5,FALSE)</f>
        <v>DAVIS WENDY</v>
      </c>
      <c r="M45" s="6">
        <f t="shared" si="1"/>
        <v>2.6956018518831115E-2</v>
      </c>
      <c r="N45" s="7">
        <f t="shared" ref="N45:N63" si="22">24*60*SUM($M45:$M45)</f>
        <v>38.816666667116806</v>
      </c>
      <c r="O45" s="7"/>
      <c r="P45" s="7"/>
      <c r="Q45" s="22"/>
      <c r="R45" s="170"/>
      <c r="S45" s="213">
        <f t="shared" ref="S45:S63" si="23">1/IF(AG45="EC",12,1)*SUM(U45:U45)</f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-07-29T06:42:13-0600',mode:absolute,to:'2017-07-29T09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5" s="197" t="str">
        <f>IF(AA45&lt;VLOOKUP(AG45,Variables!$AC$3:$AD$8,2,FALSE),"Y","N")</f>
        <v>N</v>
      </c>
      <c r="X45" s="197">
        <f t="shared" ref="X45:X76" si="24">VALUE(LEFT(AD45,4))-VALUE(LEFT(AD44,4))</f>
        <v>1</v>
      </c>
      <c r="Y45" s="197">
        <f t="shared" si="7"/>
        <v>4.6600000000000003E-2</v>
      </c>
      <c r="Z45" s="197">
        <f t="shared" si="8"/>
        <v>23.330500000000001</v>
      </c>
      <c r="AA45" s="197">
        <f t="shared" si="9"/>
        <v>23.283899999999999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133</v>
      </c>
      <c r="AE45" s="77" t="str">
        <f t="shared" si="11"/>
        <v>aws s3 cp s3://rtdc.mdm.uploadarchive.raw/RTDC4024/ "%USERPROFILE%\AppData\Local\Temp\OnboardLogs"\RTDC4024\2017-07-29 --exclude "*" --recursive --include "*20170729*" &amp; "%USERPROFILE%\Documents\GitHub\mrs-test-scripts\Headless Mode &amp; Sideloading\WalkAndUnGZ.bat" "%USERPROFILE%\AppData\Local\Temp\OnboardLogs"\RTDC4024\2017-07-29 &amp; aws s3 cp s3://rtdc.mdm.uploadarchive.raw/RTDC4024/ "%USERPROFILE%\AppData\Local\Temp\OnboardLogs"\RTDC4024\2017-07-30 --exclude "*" --recursive --include "*20170730*" &amp; "%USERPROFILE%\Documents\GitHub\mrs-test-scripts\Headless Mode &amp; Sideloading\WalkAndUnGZ.bat" "%USERPROFILE%\AppData\Local\Temp\OnboardLogs"\RTDC4024\2017-07-30</v>
      </c>
      <c r="AF45" s="74" t="str">
        <f t="shared" si="12"/>
        <v>"C:\Program Files (x86)\AstroGrep\AstroGrep.exe" /e /r /s /spath="%USERPROFILE%\AppData\Local\Temp\OnboardLogs" /stypes="app*4024*20170729*"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133-29 --locoid 4024 --swversion DE.1.0.9.0 --startMP 204:466 --initTime 2017-07-29T07:42:13 --startdatetime 2017-07-29T07:45:57 --delay 1 --endMP 204:233305 --enddatetime 2017-07-29T08:24:46 --enforcementcount 0 &gt;&gt;C:\Users\stu\Documents\GitHub\eaglep3-reporting\EC\2017-07-29-refined-times.txt</v>
      </c>
      <c r="AI45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{"issue":{"subject":"","project_id":79,"tracker_id":40,"status_id":1,"priority_id":2,"assigned_to_id":23,"start_date":"2017-07-29","description":"","custom_fields":[{"id":1,"name":"Subdivision","value":"EC"},{"id":4,"name":"Milepost","value":"23.3305"},{"id":17,"name":"Train ID","value":"133-29"},{"id":16,"name":"Locomotive ID","value":"4024"},{"id":130,"name":"Impact","value":""},{"id":150,"name":"Time of Event (Mountain Time)","value":"08:24:46"},{"id":151,"name":"Denver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4024 --day 2017-07-29</v>
      </c>
      <c r="AN45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14:24:46"},{"id":29,"name":"Sharepoint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734</v>
      </c>
      <c r="B46" s="7">
        <v>4023</v>
      </c>
      <c r="C46" s="21" t="s">
        <v>198</v>
      </c>
      <c r="D46" s="21" t="s">
        <v>893</v>
      </c>
      <c r="E46" s="13">
        <v>42945.358865740738</v>
      </c>
      <c r="F46" s="13">
        <v>42945.362662037034</v>
      </c>
      <c r="G46" s="7">
        <v>1</v>
      </c>
      <c r="H46" s="21" t="s">
        <v>342</v>
      </c>
      <c r="I46" s="13">
        <v>42945.391215277778</v>
      </c>
      <c r="J46" s="7">
        <v>0</v>
      </c>
      <c r="K46" s="89" t="str">
        <f t="shared" si="0"/>
        <v>4023/4024</v>
      </c>
      <c r="L46" s="21" t="str">
        <f>VLOOKUP(A46,'Trips&amp;Operators'!$C$1:$G$99999,5,FALSE)</f>
        <v>DAVIS WENDY</v>
      </c>
      <c r="M46" s="6">
        <f t="shared" si="1"/>
        <v>2.8553240743349306E-2</v>
      </c>
      <c r="N46" s="7">
        <f t="shared" si="22"/>
        <v>41.116666670423001</v>
      </c>
      <c r="O46" s="7"/>
      <c r="P46" s="7"/>
      <c r="Q46" s="22"/>
      <c r="R46" s="170"/>
      <c r="S46" s="213">
        <f t="shared" si="2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-07-29T07:36:46-0600',mode:absolute,to:'2017-07-29T10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6" s="197" t="str">
        <f>IF(AA46&lt;VLOOKUP(AG46,Variables!$AC$3:$AD$8,2,FALSE),"Y","N")</f>
        <v>N</v>
      </c>
      <c r="X46" s="197">
        <f t="shared" si="24"/>
        <v>1</v>
      </c>
      <c r="Y46" s="197">
        <f t="shared" si="7"/>
        <v>23.3003</v>
      </c>
      <c r="Z46" s="197">
        <f t="shared" si="8"/>
        <v>1.49E-2</v>
      </c>
      <c r="AA46" s="197">
        <f t="shared" si="9"/>
        <v>23.285399999999999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134</v>
      </c>
      <c r="AE46" s="77" t="str">
        <f t="shared" si="11"/>
        <v>aws s3 cp s3://rtdc.mdm.uploadarchive.raw/RTDC4023/ "%USERPROFILE%\AppData\Local\Temp\OnboardLogs"\RTDC4023\2017-07-29 --exclude "*" --recursive --include "*20170729*" &amp; "%USERPROFILE%\Documents\GitHub\mrs-test-scripts\Headless Mode &amp; Sideloading\WalkAndUnGZ.bat" "%USERPROFILE%\AppData\Local\Temp\OnboardLogs"\RTDC4023\2017-07-29 &amp; aws s3 cp s3://rtdc.mdm.uploadarchive.raw/RTDC4023/ "%USERPROFILE%\AppData\Local\Temp\OnboardLogs"\RTDC4023\2017-07-30 --exclude "*" --recursive --include "*20170730*" &amp; "%USERPROFILE%\Documents\GitHub\mrs-test-scripts\Headless Mode &amp; Sideloading\WalkAndUnGZ.bat" "%USERPROFILE%\AppData\Local\Temp\OnboardLogs"\RTDC4023\2017-07-30</v>
      </c>
      <c r="AF46" s="74" t="str">
        <f t="shared" si="12"/>
        <v>"C:\Program Files (x86)\AstroGrep\AstroGrep.exe" /e /r /s /spath="%USERPROFILE%\AppData\Local\Temp\OnboardLogs" /stypes="app*4023*20170729*"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134-29 --locoid 4023 --swversion DE.1.0.9.0 --startMP 204:233003 --initTime 2017-07-29T08:36:46 --startdatetime 2017-07-29T08:42:14 --delay 1 --endMP 204:149 --enddatetime 2017-07-29T09:23:21 --enforcementcount 0 &gt;&gt;C:\Users\stu\Documents\GitHub\eaglep3-reporting\EC\2017-07-29-refined-times.txt</v>
      </c>
      <c r="AI46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{"issue":{"subject":"","project_id":79,"tracker_id":40,"status_id":1,"priority_id":2,"assigned_to_id":23,"start_date":"2017-07-29","description":"","custom_fields":[{"id":1,"name":"Subdivision","value":"EC"},{"id":4,"name":"Milepost","value":"0.0149"},{"id":17,"name":"Train ID","value":"134-29"},{"id":16,"name":"Locomotive ID","value":"4023"},{"id":130,"name":"Impact","value":""},{"id":150,"name":"Time of Event (Mountain Time)","value":"09:23:21"},{"id":151,"name":"Denver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4023 --day 2017-07-29</v>
      </c>
      <c r="AN46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15:23:21"},{"id":29,"name":"Sharepoint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728</v>
      </c>
      <c r="B47" s="7">
        <v>4056</v>
      </c>
      <c r="C47" s="21" t="s">
        <v>198</v>
      </c>
      <c r="D47" s="21" t="s">
        <v>526</v>
      </c>
      <c r="E47" s="13">
        <v>42945.329861111109</v>
      </c>
      <c r="F47" s="13">
        <v>42945.333993055552</v>
      </c>
      <c r="G47" s="7">
        <v>4</v>
      </c>
      <c r="H47" s="21" t="s">
        <v>894</v>
      </c>
      <c r="I47" s="13">
        <v>42945.359710648147</v>
      </c>
      <c r="J47" s="7">
        <v>0</v>
      </c>
      <c r="K47" s="89" t="str">
        <f t="shared" si="0"/>
        <v>4055/4056</v>
      </c>
      <c r="L47" s="21" t="str">
        <f>VLOOKUP(A47,'Trips&amp;Operators'!$C$1:$G$99999,5,FALSE)</f>
        <v>GEBRETEKLE DAGNEW</v>
      </c>
      <c r="M47" s="6">
        <f t="shared" si="1"/>
        <v>2.5717592594446614E-2</v>
      </c>
      <c r="N47" s="7">
        <f t="shared" si="22"/>
        <v>37.033333336003125</v>
      </c>
      <c r="O47" s="7"/>
      <c r="P47" s="7"/>
      <c r="Q47" s="22"/>
      <c r="R47" s="170"/>
      <c r="S47" s="213">
        <f t="shared" si="2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-07-29T06:55:00-0600',mode:absolute,to:'2017-07-29T09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7" s="197" t="str">
        <f>IF(AA47&lt;VLOOKUP(AG47,Variables!$AC$3:$AD$8,2,FALSE),"Y","N")</f>
        <v>N</v>
      </c>
      <c r="X47" s="197">
        <f t="shared" si="24"/>
        <v>1</v>
      </c>
      <c r="Y47" s="197">
        <f t="shared" si="7"/>
        <v>4.6899999999999997E-2</v>
      </c>
      <c r="Z47" s="197">
        <f t="shared" si="8"/>
        <v>23.3293</v>
      </c>
      <c r="AA47" s="197">
        <f t="shared" si="9"/>
        <v>23.282399999999999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135</v>
      </c>
      <c r="AE47" s="77" t="str">
        <f t="shared" si="11"/>
        <v>aws s3 cp s3://rtdc.mdm.uploadarchive.raw/RTDC4056/ "%USERPROFILE%\AppData\Local\Temp\OnboardLogs"\RTDC4056\2017-07-29 --exclude "*" --recursive --include "*20170729*" &amp; "%USERPROFILE%\Documents\GitHub\mrs-test-scripts\Headless Mode &amp; Sideloading\WalkAndUnGZ.bat" "%USERPROFILE%\AppData\Local\Temp\OnboardLogs"\RTDC4056\2017-07-29 &amp; aws s3 cp s3://rtdc.mdm.uploadarchive.raw/RTDC4056/ "%USERPROFILE%\AppData\Local\Temp\OnboardLogs"\RTDC4056\2017-07-30 --exclude "*" --recursive --include "*20170730*" &amp; "%USERPROFILE%\Documents\GitHub\mrs-test-scripts\Headless Mode &amp; Sideloading\WalkAndUnGZ.bat" "%USERPROFILE%\AppData\Local\Temp\OnboardLogs"\RTDC4056\2017-07-30</v>
      </c>
      <c r="AF47" s="74" t="str">
        <f t="shared" si="12"/>
        <v>"C:\Program Files (x86)\AstroGrep\AstroGrep.exe" /e /r /s /spath="%USERPROFILE%\AppData\Local\Temp\OnboardLogs" /stypes="app*4056*20170729*"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135-29 --locoid 4056 --swversion DE.1.0.9.0 --startMP 204:469 --initTime 2017-07-29T07:55:00 --startdatetime 2017-07-29T08:00:57 --delay 4 --endMP 204:233293 --enddatetime 2017-07-29T08:37:59 --enforcementcount 0 &gt;&gt;C:\Users\stu\Documents\GitHub\eaglep3-reporting\EC\2017-07-29-refined-times.txt</v>
      </c>
      <c r="AI47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{"issue":{"subject":"","project_id":79,"tracker_id":40,"status_id":1,"priority_id":2,"assigned_to_id":23,"start_date":"2017-07-29","description":"","custom_fields":[{"id":1,"name":"Subdivision","value":"EC"},{"id":4,"name":"Milepost","value":"23.3293"},{"id":17,"name":"Train ID","value":"135-29"},{"id":16,"name":"Locomotive ID","value":"4056"},{"id":130,"name":"Impact","value":""},{"id":150,"name":"Time of Event (Mountain Time)","value":"08:37:59"},{"id":151,"name":"Denver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4056 --day 2017-07-29</v>
      </c>
      <c r="AN47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14:37:59"},{"id":29,"name":"Sharepoint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735</v>
      </c>
      <c r="B48" s="7">
        <v>4055</v>
      </c>
      <c r="C48" s="21" t="s">
        <v>198</v>
      </c>
      <c r="D48" s="21" t="s">
        <v>495</v>
      </c>
      <c r="E48" s="13">
        <v>42945.361030092594</v>
      </c>
      <c r="F48" s="13">
        <v>42945.373113425929</v>
      </c>
      <c r="G48" s="7">
        <v>1</v>
      </c>
      <c r="H48" s="21" t="s">
        <v>480</v>
      </c>
      <c r="I48" s="13">
        <v>42945.400034722225</v>
      </c>
      <c r="J48" s="7">
        <v>0</v>
      </c>
      <c r="K48" s="89" t="str">
        <f t="shared" si="0"/>
        <v>4055/4056</v>
      </c>
      <c r="L48" s="21" t="str">
        <f>VLOOKUP(A48,'Trips&amp;Operators'!$C$1:$G$99999,5,FALSE)</f>
        <v>GEBRETEKLE DAGNEW</v>
      </c>
      <c r="M48" s="6">
        <f t="shared" si="1"/>
        <v>2.6921296295768116E-2</v>
      </c>
      <c r="N48" s="7">
        <f t="shared" si="22"/>
        <v>38.766666665906087</v>
      </c>
      <c r="O48" s="7"/>
      <c r="P48" s="7"/>
      <c r="Q48" s="22"/>
      <c r="R48" s="170"/>
      <c r="S48" s="213">
        <f t="shared" si="2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-07-29T07:39:53-0600',mode:absolute,to:'2017-07-29T10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8" s="197" t="str">
        <f>IF(AA48&lt;VLOOKUP(AG48,Variables!$AC$3:$AD$8,2,FALSE),"Y","N")</f>
        <v>N</v>
      </c>
      <c r="X48" s="197">
        <f t="shared" si="24"/>
        <v>1</v>
      </c>
      <c r="Y48" s="197">
        <f t="shared" si="7"/>
        <v>23.2989</v>
      </c>
      <c r="Z48" s="197">
        <f t="shared" si="8"/>
        <v>1.61E-2</v>
      </c>
      <c r="AA48" s="197">
        <f t="shared" si="9"/>
        <v>23.282799999999998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136</v>
      </c>
      <c r="AE48" s="77" t="str">
        <f t="shared" si="11"/>
        <v>aws s3 cp s3://rtdc.mdm.uploadarchive.raw/RTDC4055/ "%USERPROFILE%\AppData\Local\Temp\OnboardLogs"\RTDC4055\2017-07-29 --exclude "*" --recursive --include "*20170729*" &amp; "%USERPROFILE%\Documents\GitHub\mrs-test-scripts\Headless Mode &amp; Sideloading\WalkAndUnGZ.bat" "%USERPROFILE%\AppData\Local\Temp\OnboardLogs"\RTDC4055\2017-07-29 &amp; aws s3 cp s3://rtdc.mdm.uploadarchive.raw/RTDC4055/ "%USERPROFILE%\AppData\Local\Temp\OnboardLogs"\RTDC4055\2017-07-30 --exclude "*" --recursive --include "*20170730*" &amp; "%USERPROFILE%\Documents\GitHub\mrs-test-scripts\Headless Mode &amp; Sideloading\WalkAndUnGZ.bat" "%USERPROFILE%\AppData\Local\Temp\OnboardLogs"\RTDC4055\2017-07-30</v>
      </c>
      <c r="AF48" s="74" t="str">
        <f t="shared" si="12"/>
        <v>"C:\Program Files (x86)\AstroGrep\AstroGrep.exe" /e /r /s /spath="%USERPROFILE%\AppData\Local\Temp\OnboardLogs" /stypes="app*4055*20170729*"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136-29 --locoid 4055 --swversion DE.1.0.9.0 --startMP 204:232989 --initTime 2017-07-29T08:39:53 --startdatetime 2017-07-29T08:57:17 --delay 1 --endMP 204:161 --enddatetime 2017-07-29T09:36:03 --enforcementcount 0 &gt;&gt;C:\Users\stu\Documents\GitHub\eaglep3-reporting\EC\2017-07-29-refined-times.txt</v>
      </c>
      <c r="AI48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{"issue":{"subject":"","project_id":79,"tracker_id":40,"status_id":1,"priority_id":2,"assigned_to_id":23,"start_date":"2017-07-29","description":"","custom_fields":[{"id":1,"name":"Subdivision","value":"EC"},{"id":4,"name":"Milepost","value":"0.0161"},{"id":17,"name":"Train ID","value":"136-29"},{"id":16,"name":"Locomotive ID","value":"4055"},{"id":130,"name":"Impact","value":""},{"id":150,"name":"Time of Event (Mountain Time)","value":"09:36:03"},{"id":151,"name":"Denver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4055 --day 2017-07-29</v>
      </c>
      <c r="AN48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15:36:03"},{"id":29,"name":"Sharepoint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731</v>
      </c>
      <c r="B49" s="7">
        <v>4012</v>
      </c>
      <c r="C49" s="21" t="s">
        <v>198</v>
      </c>
      <c r="D49" s="21" t="s">
        <v>468</v>
      </c>
      <c r="E49" s="13">
        <v>42945.341747685183</v>
      </c>
      <c r="F49" s="13">
        <v>42945.344363425924</v>
      </c>
      <c r="G49" s="7">
        <v>1</v>
      </c>
      <c r="H49" s="21" t="s">
        <v>882</v>
      </c>
      <c r="I49" s="13">
        <v>42945.369317129633</v>
      </c>
      <c r="J49" s="7">
        <v>0</v>
      </c>
      <c r="K49" s="89" t="str">
        <f t="shared" si="0"/>
        <v>4011/4012</v>
      </c>
      <c r="L49" s="21" t="str">
        <f>VLOOKUP(A49,'Trips&amp;Operators'!$C$1:$G$99999,5,FALSE)</f>
        <v>LALONDE GREGORY</v>
      </c>
      <c r="M49" s="6">
        <f t="shared" si="1"/>
        <v>2.4953703708888497E-2</v>
      </c>
      <c r="N49" s="7">
        <f t="shared" si="22"/>
        <v>35.933333340799436</v>
      </c>
      <c r="O49" s="7"/>
      <c r="P49" s="7"/>
      <c r="Q49" s="22"/>
      <c r="R49" s="170"/>
      <c r="S49" s="213">
        <f t="shared" si="2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-07-29T07:12:07-0600',mode:absolute,to:'2017-07-29T09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9" s="197" t="str">
        <f>IF(AA49&lt;VLOOKUP(AG49,Variables!$AC$3:$AD$8,2,FALSE),"Y","N")</f>
        <v>N</v>
      </c>
      <c r="X49" s="197">
        <f t="shared" si="24"/>
        <v>1</v>
      </c>
      <c r="Y49" s="197">
        <f t="shared" si="7"/>
        <v>4.3799999999999999E-2</v>
      </c>
      <c r="Z49" s="197">
        <f t="shared" si="8"/>
        <v>23.3322</v>
      </c>
      <c r="AA49" s="197">
        <f t="shared" si="9"/>
        <v>23.288399999999999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137</v>
      </c>
      <c r="AE49" s="77" t="str">
        <f t="shared" si="11"/>
        <v>aws s3 cp s3://rtdc.mdm.uploadarchive.raw/RTDC4012/ "%USERPROFILE%\AppData\Local\Temp\OnboardLogs"\RTDC4012\2017-07-29 --exclude "*" --recursive --include "*20170729*" &amp; "%USERPROFILE%\Documents\GitHub\mrs-test-scripts\Headless Mode &amp; Sideloading\WalkAndUnGZ.bat" "%USERPROFILE%\AppData\Local\Temp\OnboardLogs"\RTDC4012\2017-07-29 &amp; aws s3 cp s3://rtdc.mdm.uploadarchive.raw/RTDC4012/ "%USERPROFILE%\AppData\Local\Temp\OnboardLogs"\RTDC4012\2017-07-30 --exclude "*" --recursive --include "*20170730*" &amp; "%USERPROFILE%\Documents\GitHub\mrs-test-scripts\Headless Mode &amp; Sideloading\WalkAndUnGZ.bat" "%USERPROFILE%\AppData\Local\Temp\OnboardLogs"\RTDC4012\2017-07-30</v>
      </c>
      <c r="AF49" s="74" t="str">
        <f t="shared" si="12"/>
        <v>"C:\Program Files (x86)\AstroGrep\AstroGrep.exe" /e /r /s /spath="%USERPROFILE%\AppData\Local\Temp\OnboardLogs" /stypes="app*4012*20170729*"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137-29 --locoid 4012 --swversion DE.1.0.9.0 --startMP 204:438 --initTime 2017-07-29T08:12:07 --startdatetime 2017-07-29T08:15:53 --delay 1 --endMP 204:233322 --enddatetime 2017-07-29T08:51:49 --enforcementcount 0 &gt;&gt;C:\Users\stu\Documents\GitHub\eaglep3-reporting\EC\2017-07-29-refined-times.txt</v>
      </c>
      <c r="AI49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{"issue":{"subject":"","project_id":79,"tracker_id":40,"status_id":1,"priority_id":2,"assigned_to_id":23,"start_date":"2017-07-29","description":"","custom_fields":[{"id":1,"name":"Subdivision","value":"EC"},{"id":4,"name":"Milepost","value":"23.3322"},{"id":17,"name":"Train ID","value":"137-29"},{"id":16,"name":"Locomotive ID","value":"4012"},{"id":130,"name":"Impact","value":""},{"id":150,"name":"Time of Event (Mountain Time)","value":"08:51:49"},{"id":151,"name":"Denver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4012 --day 2017-07-29</v>
      </c>
      <c r="AN49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14:51:49"},{"id":29,"name":"Sharepoint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737</v>
      </c>
      <c r="B50" s="7">
        <v>4011</v>
      </c>
      <c r="C50" s="21" t="s">
        <v>198</v>
      </c>
      <c r="D50" s="21" t="s">
        <v>895</v>
      </c>
      <c r="E50" s="13">
        <v>42945.371249999997</v>
      </c>
      <c r="F50" s="13">
        <v>42945.383483796293</v>
      </c>
      <c r="G50" s="7">
        <v>1</v>
      </c>
      <c r="H50" s="21" t="s">
        <v>451</v>
      </c>
      <c r="I50" s="13">
        <v>42945.411076388889</v>
      </c>
      <c r="J50" s="7">
        <v>0</v>
      </c>
      <c r="K50" s="89" t="str">
        <f t="shared" si="0"/>
        <v>4011/4012</v>
      </c>
      <c r="L50" s="21" t="str">
        <f>VLOOKUP(A50,'Trips&amp;Operators'!$C$1:$G$99999,5,FALSE)</f>
        <v>LALONDE GREGORY</v>
      </c>
      <c r="M50" s="6">
        <f t="shared" si="1"/>
        <v>2.7592592596192844E-2</v>
      </c>
      <c r="N50" s="7">
        <f t="shared" si="22"/>
        <v>39.733333338517696</v>
      </c>
      <c r="O50" s="7"/>
      <c r="P50" s="7"/>
      <c r="Q50" s="22"/>
      <c r="R50" s="170"/>
      <c r="S50" s="213">
        <f t="shared" si="2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-07-29T07:54:36-0600',mode:absolute,to:'2017-07-29T10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0" s="197" t="str">
        <f>IF(AA50&lt;VLOOKUP(AG50,Variables!$AC$3:$AD$8,2,FALSE),"Y","N")</f>
        <v>N</v>
      </c>
      <c r="X50" s="197">
        <f t="shared" si="24"/>
        <v>1</v>
      </c>
      <c r="Y50" s="197">
        <f t="shared" si="7"/>
        <v>23.301100000000002</v>
      </c>
      <c r="Z50" s="197">
        <f t="shared" si="8"/>
        <v>1.52E-2</v>
      </c>
      <c r="AA50" s="197">
        <f t="shared" si="9"/>
        <v>23.285900000000002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138</v>
      </c>
      <c r="AE50" s="77" t="str">
        <f t="shared" si="11"/>
        <v>aws s3 cp s3://rtdc.mdm.uploadarchive.raw/RTDC4011/ "%USERPROFILE%\AppData\Local\Temp\OnboardLogs"\RTDC4011\2017-07-29 --exclude "*" --recursive --include "*20170729*" &amp; "%USERPROFILE%\Documents\GitHub\mrs-test-scripts\Headless Mode &amp; Sideloading\WalkAndUnGZ.bat" "%USERPROFILE%\AppData\Local\Temp\OnboardLogs"\RTDC4011\2017-07-29 &amp; aws s3 cp s3://rtdc.mdm.uploadarchive.raw/RTDC4011/ "%USERPROFILE%\AppData\Local\Temp\OnboardLogs"\RTDC4011\2017-07-30 --exclude "*" --recursive --include "*20170730*" &amp; "%USERPROFILE%\Documents\GitHub\mrs-test-scripts\Headless Mode &amp; Sideloading\WalkAndUnGZ.bat" "%USERPROFILE%\AppData\Local\Temp\OnboardLogs"\RTDC4011\2017-07-30</v>
      </c>
      <c r="AF50" s="74" t="str">
        <f t="shared" si="12"/>
        <v>"C:\Program Files (x86)\AstroGrep\AstroGrep.exe" /e /r /s /spath="%USERPROFILE%\AppData\Local\Temp\OnboardLogs" /stypes="app*4011*20170729*"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138-29 --locoid 4011 --swversion DE.1.0.9.0 --startMP 204:233011 --initTime 2017-07-29T08:54:36 --startdatetime 2017-07-29T09:12:13 --delay 1 --endMP 204:152 --enddatetime 2017-07-29T09:51:57 --enforcementcount 0 &gt;&gt;C:\Users\stu\Documents\GitHub\eaglep3-reporting\EC\2017-07-29-refined-times.txt</v>
      </c>
      <c r="AI50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{"issue":{"subject":"","project_id":79,"tracker_id":40,"status_id":1,"priority_id":2,"assigned_to_id":23,"start_date":"2017-07-29","description":"","custom_fields":[{"id":1,"name":"Subdivision","value":"EC"},{"id":4,"name":"Milepost","value":"0.0152"},{"id":17,"name":"Train ID","value":"138-29"},{"id":16,"name":"Locomotive ID","value":"4011"},{"id":130,"name":"Impact","value":""},{"id":150,"name":"Time of Event (Mountain Time)","value":"09:51:57"},{"id":151,"name":"Denver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4011 --day 2017-07-29</v>
      </c>
      <c r="AN50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15:51:57"},{"id":29,"name":"Sharepoint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732</v>
      </c>
      <c r="B51" s="7">
        <v>4042</v>
      </c>
      <c r="C51" s="21" t="s">
        <v>198</v>
      </c>
      <c r="D51" s="21" t="s">
        <v>521</v>
      </c>
      <c r="E51" s="13">
        <v>42945.352916666663</v>
      </c>
      <c r="F51" s="13">
        <v>42945.354814814818</v>
      </c>
      <c r="G51" s="7">
        <v>1</v>
      </c>
      <c r="H51" s="21" t="s">
        <v>497</v>
      </c>
      <c r="I51" s="13">
        <v>42945.380127314813</v>
      </c>
      <c r="J51" s="7">
        <v>0</v>
      </c>
      <c r="K51" s="89" t="str">
        <f t="shared" si="0"/>
        <v>4041/4042</v>
      </c>
      <c r="L51" s="21" t="str">
        <f>VLOOKUP(A51,'Trips&amp;Operators'!$C$1:$G$99999,5,FALSE)</f>
        <v>MAELZER KURT</v>
      </c>
      <c r="M51" s="6">
        <f t="shared" si="1"/>
        <v>2.5312499994470272E-2</v>
      </c>
      <c r="N51" s="7">
        <f t="shared" si="22"/>
        <v>36.449999992037192</v>
      </c>
      <c r="O51" s="7"/>
      <c r="P51" s="7"/>
      <c r="Q51" s="22"/>
      <c r="R51" s="170"/>
      <c r="S51" s="213">
        <f t="shared" si="2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-07-29T07:28:12-0600',mode:absolute,to:'2017-07-29T10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1" s="197" t="str">
        <f>IF(AA51&lt;VLOOKUP(AG51,Variables!$AC$3:$AD$8,2,FALSE),"Y","N")</f>
        <v>N</v>
      </c>
      <c r="X51" s="197">
        <f t="shared" si="24"/>
        <v>1</v>
      </c>
      <c r="Y51" s="197">
        <f t="shared" si="7"/>
        <v>4.6699999999999998E-2</v>
      </c>
      <c r="Z51" s="197">
        <f t="shared" si="8"/>
        <v>23.331499999999998</v>
      </c>
      <c r="AA51" s="197">
        <f t="shared" si="9"/>
        <v>23.284799999999997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139</v>
      </c>
      <c r="AE51" s="77" t="str">
        <f t="shared" si="11"/>
        <v>aws s3 cp s3://rtdc.mdm.uploadarchive.raw/RTDC4042/ "%USERPROFILE%\AppData\Local\Temp\OnboardLogs"\RTDC4042\2017-07-29 --exclude "*" --recursive --include "*20170729*" &amp; "%USERPROFILE%\Documents\GitHub\mrs-test-scripts\Headless Mode &amp; Sideloading\WalkAndUnGZ.bat" "%USERPROFILE%\AppData\Local\Temp\OnboardLogs"\RTDC4042\2017-07-29 &amp; aws s3 cp s3://rtdc.mdm.uploadarchive.raw/RTDC4042/ "%USERPROFILE%\AppData\Local\Temp\OnboardLogs"\RTDC4042\2017-07-30 --exclude "*" --recursive --include "*20170730*" &amp; "%USERPROFILE%\Documents\GitHub\mrs-test-scripts\Headless Mode &amp; Sideloading\WalkAndUnGZ.bat" "%USERPROFILE%\AppData\Local\Temp\OnboardLogs"\RTDC4042\2017-07-30</v>
      </c>
      <c r="AF51" s="74" t="str">
        <f t="shared" si="12"/>
        <v>"C:\Program Files (x86)\AstroGrep\AstroGrep.exe" /e /r /s /spath="%USERPROFILE%\AppData\Local\Temp\OnboardLogs" /stypes="app*4042*20170729*"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139-29 --locoid 4042 --swversion DE.1.0.9.0 --startMP 204:467 --initTime 2017-07-29T08:28:12 --startdatetime 2017-07-29T08:30:56 --delay 1 --endMP 204:233315 --enddatetime 2017-07-29T09:07:23 --enforcementcount 0 &gt;&gt;C:\Users\stu\Documents\GitHub\eaglep3-reporting\EC\2017-07-29-refined-times.txt</v>
      </c>
      <c r="AI51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{"issue":{"subject":"","project_id":79,"tracker_id":40,"status_id":1,"priority_id":2,"assigned_to_id":23,"start_date":"2017-07-29","description":"","custom_fields":[{"id":1,"name":"Subdivision","value":"EC"},{"id":4,"name":"Milepost","value":"23.3315"},{"id":17,"name":"Train ID","value":"139-29"},{"id":16,"name":"Locomotive ID","value":"4042"},{"id":130,"name":"Impact","value":""},{"id":150,"name":"Time of Event (Mountain Time)","value":"09:07:23"},{"id":151,"name":"Denver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4042 --day 2017-07-29</v>
      </c>
      <c r="AN51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15:07:23"},{"id":29,"name":"Sharepoint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741</v>
      </c>
      <c r="B52" s="7">
        <v>4041</v>
      </c>
      <c r="C52" s="21" t="s">
        <v>198</v>
      </c>
      <c r="D52" s="21" t="s">
        <v>450</v>
      </c>
      <c r="E52" s="13">
        <v>42945.384687500002</v>
      </c>
      <c r="F52" s="13">
        <v>42945.39398148148</v>
      </c>
      <c r="G52" s="7">
        <v>0</v>
      </c>
      <c r="H52" s="21" t="s">
        <v>451</v>
      </c>
      <c r="I52" s="13">
        <v>42945.421296296299</v>
      </c>
      <c r="J52" s="7">
        <v>0</v>
      </c>
      <c r="K52" s="89" t="str">
        <f t="shared" si="0"/>
        <v>4041/4042</v>
      </c>
      <c r="L52" s="21" t="str">
        <f>VLOOKUP(A52,'Trips&amp;Operators'!$C$1:$G$99999,5,FALSE)</f>
        <v>MAELZER KURT</v>
      </c>
      <c r="M52" s="6">
        <f t="shared" si="1"/>
        <v>2.7314814818964805E-2</v>
      </c>
      <c r="N52" s="7">
        <f t="shared" si="22"/>
        <v>39.33333333930932</v>
      </c>
      <c r="O52" s="7"/>
      <c r="P52" s="7"/>
      <c r="Q52" s="22"/>
      <c r="R52" s="170"/>
      <c r="S52" s="213">
        <f t="shared" si="23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-07-29T08:13:57-0600',mode:absolute,to:'2017-07-29T11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2" s="197" t="str">
        <f>IF(AA52&lt;VLOOKUP(AG52,Variables!$AC$3:$AD$8,2,FALSE),"Y","N")</f>
        <v>N</v>
      </c>
      <c r="X52" s="197">
        <f t="shared" si="24"/>
        <v>1</v>
      </c>
      <c r="Y52" s="197">
        <f t="shared" si="7"/>
        <v>23.299399999999999</v>
      </c>
      <c r="Z52" s="197">
        <f t="shared" si="8"/>
        <v>1.52E-2</v>
      </c>
      <c r="AA52" s="197">
        <f t="shared" si="9"/>
        <v>23.284199999999998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140</v>
      </c>
      <c r="AE52" s="77" t="str">
        <f t="shared" si="11"/>
        <v>aws s3 cp s3://rtdc.mdm.uploadarchive.raw/RTDC4041/ "%USERPROFILE%\AppData\Local\Temp\OnboardLogs"\RTDC4041\2017-07-29 --exclude "*" --recursive --include "*20170729*" &amp; "%USERPROFILE%\Documents\GitHub\mrs-test-scripts\Headless Mode &amp; Sideloading\WalkAndUnGZ.bat" "%USERPROFILE%\AppData\Local\Temp\OnboardLogs"\RTDC4041\2017-07-29 &amp; aws s3 cp s3://rtdc.mdm.uploadarchive.raw/RTDC4041/ "%USERPROFILE%\AppData\Local\Temp\OnboardLogs"\RTDC4041\2017-07-30 --exclude "*" --recursive --include "*20170730*" &amp; "%USERPROFILE%\Documents\GitHub\mrs-test-scripts\Headless Mode &amp; Sideloading\WalkAndUnGZ.bat" "%USERPROFILE%\AppData\Local\Temp\OnboardLogs"\RTDC4041\2017-07-30</v>
      </c>
      <c r="AF52" s="74" t="str">
        <f t="shared" si="12"/>
        <v>"C:\Program Files (x86)\AstroGrep\AstroGrep.exe" /e /r /s /spath="%USERPROFILE%\AppData\Local\Temp\OnboardLogs" /stypes="app*4041*20170729*"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140-29 --locoid 4041 --swversion DE.1.0.9.0 --startMP 204:232994 --initTime 2017-07-29T09:13:57 --startdatetime 2017-07-29T09:27:20 --delay 0 --endMP 204:152 --enddatetime 2017-07-29T10:06:40 --enforcementcount 0 &gt;&gt;C:\Users\stu\Documents\GitHub\eaglep3-reporting\EC\2017-07-29-refined-times.txt</v>
      </c>
      <c r="AI52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{"issue":{"subject":"","project_id":79,"tracker_id":40,"status_id":1,"priority_id":2,"assigned_to_id":23,"start_date":"2017-07-29","description":"","custom_fields":[{"id":1,"name":"Subdivision","value":"EC"},{"id":4,"name":"Milepost","value":"0.0152"},{"id":17,"name":"Train ID","value":"140-29"},{"id":16,"name":"Locomotive ID","value":"4041"},{"id":130,"name":"Impact","value":""},{"id":150,"name":"Time of Event (Mountain Time)","value":"10:06:40"},{"id":151,"name":"Denver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4041 --day 2017-07-29</v>
      </c>
      <c r="AN52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16:06:40"},{"id":29,"name":"Sharepoint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736</v>
      </c>
      <c r="B53" s="7">
        <v>4028</v>
      </c>
      <c r="C53" s="21" t="s">
        <v>198</v>
      </c>
      <c r="D53" s="21" t="s">
        <v>396</v>
      </c>
      <c r="E53" s="13">
        <v>42945.363958333335</v>
      </c>
      <c r="F53" s="13">
        <v>42945.365787037037</v>
      </c>
      <c r="G53" s="7">
        <v>1</v>
      </c>
      <c r="H53" s="21" t="s">
        <v>896</v>
      </c>
      <c r="I53" s="13">
        <v>42945.391469907408</v>
      </c>
      <c r="J53" s="7">
        <v>0</v>
      </c>
      <c r="K53" s="89" t="str">
        <f t="shared" si="0"/>
        <v>4027/4028</v>
      </c>
      <c r="L53" s="21" t="str">
        <f>VLOOKUP(A53,'Trips&amp;Operators'!$C$1:$G$99999,5,FALSE)</f>
        <v>DAVIDSON DAVID</v>
      </c>
      <c r="M53" s="6">
        <f t="shared" si="1"/>
        <v>2.5682870371383615E-2</v>
      </c>
      <c r="N53" s="7">
        <f t="shared" si="22"/>
        <v>36.983333334792405</v>
      </c>
      <c r="O53" s="7"/>
      <c r="P53" s="7"/>
      <c r="Q53" s="22"/>
      <c r="R53" s="170"/>
      <c r="S53" s="213">
        <f t="shared" si="23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-07-29T07:44:06-0600',mode:absolute,to:'2017-07-29T10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3" s="197" t="str">
        <f>IF(AA53&lt;VLOOKUP(AG53,Variables!$AC$3:$AD$8,2,FALSE),"Y","N")</f>
        <v>N</v>
      </c>
      <c r="X53" s="197">
        <f t="shared" si="24"/>
        <v>1</v>
      </c>
      <c r="Y53" s="197">
        <f t="shared" si="7"/>
        <v>4.5499999999999999E-2</v>
      </c>
      <c r="Z53" s="197">
        <f t="shared" si="8"/>
        <v>23.328199999999999</v>
      </c>
      <c r="AA53" s="197">
        <f t="shared" si="9"/>
        <v>23.282699999999998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141</v>
      </c>
      <c r="AE53" s="77" t="str">
        <f t="shared" si="11"/>
        <v>aws s3 cp s3://rtdc.mdm.uploadarchive.raw/RTDC4028/ "%USERPROFILE%\AppData\Local\Temp\OnboardLogs"\RTDC4028\2017-07-29 --exclude "*" --recursive --include "*20170729*" &amp; "%USERPROFILE%\Documents\GitHub\mrs-test-scripts\Headless Mode &amp; Sideloading\WalkAndUnGZ.bat" "%USERPROFILE%\AppData\Local\Temp\OnboardLogs"\RTDC4028\2017-07-29 &amp; aws s3 cp s3://rtdc.mdm.uploadarchive.raw/RTDC4028/ "%USERPROFILE%\AppData\Local\Temp\OnboardLogs"\RTDC4028\2017-07-30 --exclude "*" --recursive --include "*20170730*" &amp; "%USERPROFILE%\Documents\GitHub\mrs-test-scripts\Headless Mode &amp; Sideloading\WalkAndUnGZ.bat" "%USERPROFILE%\AppData\Local\Temp\OnboardLogs"\RTDC4028\2017-07-30</v>
      </c>
      <c r="AF53" s="74" t="str">
        <f t="shared" si="12"/>
        <v>"C:\Program Files (x86)\AstroGrep\AstroGrep.exe" /e /r /s /spath="%USERPROFILE%\AppData\Local\Temp\OnboardLogs" /stypes="app*4028*20170729*"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141-29 --locoid 4028 --swversion DE.1.0.9.0 --startMP 204:455 --initTime 2017-07-29T08:44:06 --startdatetime 2017-07-29T08:46:44 --delay 1 --endMP 204:233282 --enddatetime 2017-07-29T09:23:43 --enforcementcount 0 &gt;&gt;C:\Users\stu\Documents\GitHub\eaglep3-reporting\EC\2017-07-29-refined-times.txt</v>
      </c>
      <c r="AI53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{"issue":{"subject":"","project_id":79,"tracker_id":40,"status_id":1,"priority_id":2,"assigned_to_id":23,"start_date":"2017-07-29","description":"","custom_fields":[{"id":1,"name":"Subdivision","value":"EC"},{"id":4,"name":"Milepost","value":"23.3282"},{"id":17,"name":"Train ID","value":"141-29"},{"id":16,"name":"Locomotive ID","value":"4028"},{"id":130,"name":"Impact","value":""},{"id":150,"name":"Time of Event (Mountain Time)","value":"09:23:43"},{"id":151,"name":"Denver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4028 --day 2017-07-29</v>
      </c>
      <c r="AN53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15:23:43"},{"id":29,"name":"Sharepoint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742</v>
      </c>
      <c r="B54" s="7">
        <v>4027</v>
      </c>
      <c r="C54" s="21" t="s">
        <v>198</v>
      </c>
      <c r="D54" s="21" t="s">
        <v>482</v>
      </c>
      <c r="E54" s="13">
        <v>42945.393055555556</v>
      </c>
      <c r="F54" s="13">
        <v>42945.404467592591</v>
      </c>
      <c r="G54" s="7">
        <v>1</v>
      </c>
      <c r="H54" s="21" t="s">
        <v>377</v>
      </c>
      <c r="I54" s="13">
        <v>42945.432696759257</v>
      </c>
      <c r="J54" s="7">
        <v>0</v>
      </c>
      <c r="K54" s="89" t="str">
        <f t="shared" si="0"/>
        <v>4027/4028</v>
      </c>
      <c r="L54" s="21" t="str">
        <f>VLOOKUP(A54,'Trips&amp;Operators'!$C$1:$G$99999,5,FALSE)</f>
        <v>DAVIDSON DAVID</v>
      </c>
      <c r="M54" s="6">
        <f t="shared" si="1"/>
        <v>2.8229166666278616E-2</v>
      </c>
      <c r="N54" s="7">
        <f t="shared" si="22"/>
        <v>40.649999999441206</v>
      </c>
      <c r="O54" s="7"/>
      <c r="P54" s="7"/>
      <c r="Q54" s="22"/>
      <c r="R54" s="170"/>
      <c r="S54" s="213">
        <f t="shared" si="23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-07-29T08:26:00-0600',mode:absolute,to:'2017-07-29T11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4" s="197" t="str">
        <f>IF(AA54&lt;VLOOKUP(AG54,Variables!$AC$3:$AD$8,2,FALSE),"Y","N")</f>
        <v>N</v>
      </c>
      <c r="X54" s="197">
        <f t="shared" si="24"/>
        <v>1</v>
      </c>
      <c r="Y54" s="197">
        <f t="shared" si="7"/>
        <v>23.297499999999999</v>
      </c>
      <c r="Z54" s="197">
        <f t="shared" si="8"/>
        <v>1.54E-2</v>
      </c>
      <c r="AA54" s="197">
        <f t="shared" si="9"/>
        <v>23.2821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142</v>
      </c>
      <c r="AE54" s="77" t="str">
        <f t="shared" si="11"/>
        <v>aws s3 cp s3://rtdc.mdm.uploadarchive.raw/RTDC4027/ "%USERPROFILE%\AppData\Local\Temp\OnboardLogs"\RTDC4027\2017-07-29 --exclude "*" --recursive --include "*20170729*" &amp; "%USERPROFILE%\Documents\GitHub\mrs-test-scripts\Headless Mode &amp; Sideloading\WalkAndUnGZ.bat" "%USERPROFILE%\AppData\Local\Temp\OnboardLogs"\RTDC4027\2017-07-29 &amp; aws s3 cp s3://rtdc.mdm.uploadarchive.raw/RTDC4027/ "%USERPROFILE%\AppData\Local\Temp\OnboardLogs"\RTDC4027\2017-07-30 --exclude "*" --recursive --include "*20170730*" &amp; "%USERPROFILE%\Documents\GitHub\mrs-test-scripts\Headless Mode &amp; Sideloading\WalkAndUnGZ.bat" "%USERPROFILE%\AppData\Local\Temp\OnboardLogs"\RTDC4027\2017-07-30</v>
      </c>
      <c r="AF54" s="74" t="str">
        <f t="shared" si="12"/>
        <v>"C:\Program Files (x86)\AstroGrep\AstroGrep.exe" /e /r /s /spath="%USERPROFILE%\AppData\Local\Temp\OnboardLogs" /stypes="app*4027*20170729*"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142-29 --locoid 4027 --swversion DE.1.0.9.0 --startMP 204:232975 --initTime 2017-07-29T09:26:00 --startdatetime 2017-07-29T09:42:26 --delay 1 --endMP 204:154 --enddatetime 2017-07-29T10:23:05 --enforcementcount 0 &gt;&gt;C:\Users\stu\Documents\GitHub\eaglep3-reporting\EC\2017-07-29-refined-times.txt</v>
      </c>
      <c r="AI54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{"issue":{"subject":"","project_id":79,"tracker_id":40,"status_id":1,"priority_id":2,"assigned_to_id":23,"start_date":"2017-07-29","description":"","custom_fields":[{"id":1,"name":"Subdivision","value":"EC"},{"id":4,"name":"Milepost","value":"0.0154"},{"id":17,"name":"Train ID","value":"142-29"},{"id":16,"name":"Locomotive ID","value":"4027"},{"id":130,"name":"Impact","value":""},{"id":150,"name":"Time of Event (Mountain Time)","value":"10:23:05"},{"id":151,"name":"Denver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4027 --day 2017-07-29</v>
      </c>
      <c r="AN54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16:23:05"},{"id":29,"name":"Sharepoint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739</v>
      </c>
      <c r="B55" s="7">
        <v>4008</v>
      </c>
      <c r="C55" s="21" t="s">
        <v>198</v>
      </c>
      <c r="D55" s="21" t="s">
        <v>608</v>
      </c>
      <c r="E55" s="13">
        <v>42945.372939814813</v>
      </c>
      <c r="F55" s="13">
        <v>42945.375532407408</v>
      </c>
      <c r="G55" s="7">
        <v>1</v>
      </c>
      <c r="H55" s="21" t="s">
        <v>610</v>
      </c>
      <c r="I55" s="13">
        <v>42945.401689814818</v>
      </c>
      <c r="J55" s="7">
        <v>0</v>
      </c>
      <c r="K55" s="89" t="str">
        <f t="shared" si="0"/>
        <v>4007/4008</v>
      </c>
      <c r="L55" s="21" t="str">
        <f>VLOOKUP(A55,'Trips&amp;Operators'!$C$1:$G$99999,5,FALSE)</f>
        <v>WILLIAMS DONTE</v>
      </c>
      <c r="M55" s="6">
        <f t="shared" si="1"/>
        <v>2.6157407410209998E-2</v>
      </c>
      <c r="N55" s="7">
        <f t="shared" si="22"/>
        <v>37.666666670702398</v>
      </c>
      <c r="O55" s="7"/>
      <c r="P55" s="7"/>
      <c r="Q55" s="22"/>
      <c r="R55" s="170"/>
      <c r="S55" s="213">
        <f t="shared" si="23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-07-29T07:57:02-0600',mode:absolute,to:'2017-07-29T10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5" s="197" t="str">
        <f>IF(AA55&lt;VLOOKUP(AG55,Variables!$AC$3:$AD$8,2,FALSE),"Y","N")</f>
        <v>N</v>
      </c>
      <c r="X55" s="197">
        <f t="shared" si="24"/>
        <v>1</v>
      </c>
      <c r="Y55" s="197">
        <f t="shared" si="7"/>
        <v>4.7800000000000002E-2</v>
      </c>
      <c r="Z55" s="197">
        <f t="shared" si="8"/>
        <v>23.329799999999999</v>
      </c>
      <c r="AA55" s="197">
        <f t="shared" si="9"/>
        <v>23.282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143</v>
      </c>
      <c r="AE55" s="77" t="str">
        <f t="shared" si="11"/>
        <v>aws s3 cp s3://rtdc.mdm.uploadarchive.raw/RTDC4008/ "%USERPROFILE%\AppData\Local\Temp\OnboardLogs"\RTDC4008\2017-07-29 --exclude "*" --recursive --include "*20170729*" &amp; "%USERPROFILE%\Documents\GitHub\mrs-test-scripts\Headless Mode &amp; Sideloading\WalkAndUnGZ.bat" "%USERPROFILE%\AppData\Local\Temp\OnboardLogs"\RTDC4008\2017-07-29 &amp; aws s3 cp s3://rtdc.mdm.uploadarchive.raw/RTDC4008/ "%USERPROFILE%\AppData\Local\Temp\OnboardLogs"\RTDC4008\2017-07-30 --exclude "*" --recursive --include "*20170730*" &amp; "%USERPROFILE%\Documents\GitHub\mrs-test-scripts\Headless Mode &amp; Sideloading\WalkAndUnGZ.bat" "%USERPROFILE%\AppData\Local\Temp\OnboardLogs"\RTDC4008\2017-07-30</v>
      </c>
      <c r="AF55" s="74" t="str">
        <f t="shared" si="12"/>
        <v>"C:\Program Files (x86)\AstroGrep\AstroGrep.exe" /e /r /s /spath="%USERPROFILE%\AppData\Local\Temp\OnboardLogs" /stypes="app*4008*20170729*"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143-29 --locoid 4008 --swversion DE.1.0.9.0 --startMP 204:478 --initTime 2017-07-29T08:57:02 --startdatetime 2017-07-29T09:00:46 --delay 1 --endMP 204:233298 --enddatetime 2017-07-29T09:38:26 --enforcementcount 0 &gt;&gt;C:\Users\stu\Documents\GitHub\eaglep3-reporting\EC\2017-07-29-refined-times.txt</v>
      </c>
      <c r="AI55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{"issue":{"subject":"","project_id":79,"tracker_id":40,"status_id":1,"priority_id":2,"assigned_to_id":23,"start_date":"2017-07-29","description":"","custom_fields":[{"id":1,"name":"Subdivision","value":"EC"},{"id":4,"name":"Milepost","value":"23.3298"},{"id":17,"name":"Train ID","value":"143-29"},{"id":16,"name":"Locomotive ID","value":"4008"},{"id":130,"name":"Impact","value":""},{"id":150,"name":"Time of Event (Mountain Time)","value":"09:38:26"},{"id":151,"name":"Denver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4008 --day 2017-07-29</v>
      </c>
      <c r="AN55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15:38:26"},{"id":29,"name":"Sharepoint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745</v>
      </c>
      <c r="B56" s="7">
        <v>4007</v>
      </c>
      <c r="C56" s="21" t="s">
        <v>198</v>
      </c>
      <c r="D56" s="21" t="s">
        <v>391</v>
      </c>
      <c r="E56" s="13">
        <v>42945.403564814813</v>
      </c>
      <c r="F56" s="13">
        <v>42945.415069444447</v>
      </c>
      <c r="G56" s="7">
        <v>1</v>
      </c>
      <c r="H56" s="21" t="s">
        <v>881</v>
      </c>
      <c r="I56" s="13">
        <v>42945.442986111113</v>
      </c>
      <c r="J56" s="7">
        <v>0</v>
      </c>
      <c r="K56" s="89" t="str">
        <f t="shared" si="0"/>
        <v>4007/4008</v>
      </c>
      <c r="L56" s="21" t="str">
        <f>VLOOKUP(A56,'Trips&amp;Operators'!$C$1:$G$99999,5,FALSE)</f>
        <v>WILLIAMS DONTE</v>
      </c>
      <c r="M56" s="6">
        <f t="shared" si="1"/>
        <v>2.7916666665987577E-2</v>
      </c>
      <c r="N56" s="7">
        <f t="shared" si="22"/>
        <v>40.199999999022111</v>
      </c>
      <c r="O56" s="7"/>
      <c r="P56" s="7"/>
      <c r="Q56" s="22"/>
      <c r="R56" s="170"/>
      <c r="S56" s="213">
        <f t="shared" si="23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-07-29T08:41:08-0600',mode:absolute,to:'2017-07-29T11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6" s="197" t="str">
        <f>IF(AA56&lt;VLOOKUP(AG56,Variables!$AC$3:$AD$8,2,FALSE),"Y","N")</f>
        <v>N</v>
      </c>
      <c r="X56" s="197">
        <f t="shared" si="24"/>
        <v>1</v>
      </c>
      <c r="Y56" s="197">
        <f t="shared" si="7"/>
        <v>23.299600000000002</v>
      </c>
      <c r="Z56" s="197">
        <f t="shared" si="8"/>
        <v>1.5599999999999999E-2</v>
      </c>
      <c r="AA56" s="197">
        <f t="shared" si="9"/>
        <v>23.284000000000002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144</v>
      </c>
      <c r="AE56" s="77" t="str">
        <f t="shared" si="11"/>
        <v>aws s3 cp s3://rtdc.mdm.uploadarchive.raw/RTDC4007/ "%USERPROFILE%\AppData\Local\Temp\OnboardLogs"\RTDC4007\2017-07-29 --exclude "*" --recursive --include "*20170729*" &amp; "%USERPROFILE%\Documents\GitHub\mrs-test-scripts\Headless Mode &amp; Sideloading\WalkAndUnGZ.bat" "%USERPROFILE%\AppData\Local\Temp\OnboardLogs"\RTDC4007\2017-07-29 &amp; aws s3 cp s3://rtdc.mdm.uploadarchive.raw/RTDC4007/ "%USERPROFILE%\AppData\Local\Temp\OnboardLogs"\RTDC4007\2017-07-30 --exclude "*" --recursive --include "*20170730*" &amp; "%USERPROFILE%\Documents\GitHub\mrs-test-scripts\Headless Mode &amp; Sideloading\WalkAndUnGZ.bat" "%USERPROFILE%\AppData\Local\Temp\OnboardLogs"\RTDC4007\2017-07-30</v>
      </c>
      <c r="AF56" s="74" t="str">
        <f t="shared" si="12"/>
        <v>"C:\Program Files (x86)\AstroGrep\AstroGrep.exe" /e /r /s /spath="%USERPROFILE%\AppData\Local\Temp\OnboardLogs" /stypes="app*4007*20170729*"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144-29 --locoid 4007 --swversion DE.1.0.9.0 --startMP 204:232996 --initTime 2017-07-29T09:41:08 --startdatetime 2017-07-29T09:57:42 --delay 1 --endMP 204:156 --enddatetime 2017-07-29T10:37:54 --enforcementcount 0 &gt;&gt;C:\Users\stu\Documents\GitHub\eaglep3-reporting\EC\2017-07-29-refined-times.txt</v>
      </c>
      <c r="AI56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{"issue":{"subject":"","project_id":79,"tracker_id":40,"status_id":1,"priority_id":2,"assigned_to_id":23,"start_date":"2017-07-29","description":"","custom_fields":[{"id":1,"name":"Subdivision","value":"EC"},{"id":4,"name":"Milepost","value":"0.0156"},{"id":17,"name":"Train ID","value":"144-29"},{"id":16,"name":"Locomotive ID","value":"4007"},{"id":130,"name":"Impact","value":""},{"id":150,"name":"Time of Event (Mountain Time)","value":"10:37:54"},{"id":151,"name":"Denver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4007 --day 2017-07-29</v>
      </c>
      <c r="AN56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16:37:54"},{"id":29,"name":"Sharepoint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740</v>
      </c>
      <c r="B57" s="7">
        <v>4030</v>
      </c>
      <c r="C57" s="21" t="s">
        <v>198</v>
      </c>
      <c r="D57" s="21" t="s">
        <v>528</v>
      </c>
      <c r="E57" s="13">
        <v>42945.383368055554</v>
      </c>
      <c r="F57" s="13">
        <v>42945.385914351849</v>
      </c>
      <c r="G57" s="7">
        <v>1</v>
      </c>
      <c r="H57" s="21" t="s">
        <v>516</v>
      </c>
      <c r="I57" s="13">
        <v>42945.411354166667</v>
      </c>
      <c r="J57" s="7">
        <v>0</v>
      </c>
      <c r="K57" s="89" t="str">
        <f t="shared" si="0"/>
        <v>4029/4030</v>
      </c>
      <c r="L57" s="21" t="str">
        <f>VLOOKUP(A57,'Trips&amp;Operators'!$C$1:$G$99999,5,FALSE)</f>
        <v>GUZMAN DANNY</v>
      </c>
      <c r="M57" s="6">
        <f t="shared" si="1"/>
        <v>2.5439814817218576E-2</v>
      </c>
      <c r="N57" s="7">
        <f t="shared" si="22"/>
        <v>36.633333336794749</v>
      </c>
      <c r="O57" s="7"/>
      <c r="P57" s="7"/>
      <c r="Q57" s="22"/>
      <c r="R57" s="170"/>
      <c r="S57" s="213">
        <f t="shared" si="23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-07-29T08:12:03-0600',mode:absolute,to:'2017-07-29T10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7" s="197" t="str">
        <f>IF(AA57&lt;VLOOKUP(AG57,Variables!$AC$3:$AD$8,2,FALSE),"Y","N")</f>
        <v>N</v>
      </c>
      <c r="X57" s="197">
        <f t="shared" si="24"/>
        <v>1</v>
      </c>
      <c r="Y57" s="197">
        <f t="shared" si="7"/>
        <v>4.7300000000000002E-2</v>
      </c>
      <c r="Z57" s="197">
        <f t="shared" si="8"/>
        <v>23.330100000000002</v>
      </c>
      <c r="AA57" s="197">
        <f t="shared" si="9"/>
        <v>23.282800000000002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145</v>
      </c>
      <c r="AE57" s="77" t="str">
        <f t="shared" si="11"/>
        <v>aws s3 cp s3://rtdc.mdm.uploadarchive.raw/RTDC4030/ "%USERPROFILE%\AppData\Local\Temp\OnboardLogs"\RTDC4030\2017-07-29 --exclude "*" --recursive --include "*20170729*" &amp; "%USERPROFILE%\Documents\GitHub\mrs-test-scripts\Headless Mode &amp; Sideloading\WalkAndUnGZ.bat" "%USERPROFILE%\AppData\Local\Temp\OnboardLogs"\RTDC4030\2017-07-29 &amp; aws s3 cp s3://rtdc.mdm.uploadarchive.raw/RTDC4030/ "%USERPROFILE%\AppData\Local\Temp\OnboardLogs"\RTDC4030\2017-07-30 --exclude "*" --recursive --include "*20170730*" &amp; "%USERPROFILE%\Documents\GitHub\mrs-test-scripts\Headless Mode &amp; Sideloading\WalkAndUnGZ.bat" "%USERPROFILE%\AppData\Local\Temp\OnboardLogs"\RTDC4030\2017-07-30</v>
      </c>
      <c r="AF57" s="74" t="str">
        <f t="shared" si="12"/>
        <v>"C:\Program Files (x86)\AstroGrep\AstroGrep.exe" /e /r /s /spath="%USERPROFILE%\AppData\Local\Temp\OnboardLogs" /stypes="app*4030*20170729*"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145-29 --locoid 4030 --swversion DE.1.0.9.0 --startMP 204:473 --initTime 2017-07-29T09:12:03 --startdatetime 2017-07-29T09:15:43 --delay 1 --endMP 204:233301 --enddatetime 2017-07-29T09:52:21 --enforcementcount 0 &gt;&gt;C:\Users\stu\Documents\GitHub\eaglep3-reporting\EC\2017-07-29-refined-times.txt</v>
      </c>
      <c r="AI57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{"issue":{"subject":"","project_id":79,"tracker_id":40,"status_id":1,"priority_id":2,"assigned_to_id":23,"start_date":"2017-07-29","description":"","custom_fields":[{"id":1,"name":"Subdivision","value":"EC"},{"id":4,"name":"Milepost","value":"23.3301"},{"id":17,"name":"Train ID","value":"145-29"},{"id":16,"name":"Locomotive ID","value":"4030"},{"id":130,"name":"Impact","value":""},{"id":150,"name":"Time of Event (Mountain Time)","value":"09:52:21"},{"id":151,"name":"Denver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4030 --day 2017-07-29</v>
      </c>
      <c r="AN57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15:52:21"},{"id":29,"name":"Sharepoint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747</v>
      </c>
      <c r="B58" s="7">
        <v>4029</v>
      </c>
      <c r="C58" s="21" t="s">
        <v>198</v>
      </c>
      <c r="D58" s="21" t="s">
        <v>469</v>
      </c>
      <c r="E58" s="13">
        <v>42945.413518518515</v>
      </c>
      <c r="F58" s="13">
        <v>42945.425173611111</v>
      </c>
      <c r="G58" s="7">
        <v>1</v>
      </c>
      <c r="H58" s="21" t="s">
        <v>897</v>
      </c>
      <c r="I58" s="13">
        <v>42945.453067129631</v>
      </c>
      <c r="J58" s="7">
        <v>0</v>
      </c>
      <c r="K58" s="89" t="str">
        <f t="shared" si="0"/>
        <v>4029/4030</v>
      </c>
      <c r="L58" s="21" t="str">
        <f>VLOOKUP(A58,'Trips&amp;Operators'!$C$1:$G$99999,5,FALSE)</f>
        <v>GUZMAN DANNY</v>
      </c>
      <c r="M58" s="6">
        <f t="shared" si="1"/>
        <v>2.789351851970423E-2</v>
      </c>
      <c r="N58" s="7">
        <f t="shared" si="22"/>
        <v>40.166666668374091</v>
      </c>
      <c r="O58" s="7"/>
      <c r="P58" s="7"/>
      <c r="Q58" s="22"/>
      <c r="R58" s="170" t="s">
        <v>1037</v>
      </c>
      <c r="S58" s="213">
        <f t="shared" si="23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-07-29T08:55:28-0600',mode:absolute,to:'2017-07-29T11:52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8" s="197" t="str">
        <f>IF(AA58&lt;VLOOKUP(AG58,Variables!$AC$3:$AD$8,2,FALSE),"Y","N")</f>
        <v>N</v>
      </c>
      <c r="X58" s="197">
        <f t="shared" si="24"/>
        <v>1</v>
      </c>
      <c r="Y58" s="197">
        <f t="shared" si="7"/>
        <v>23.297799999999999</v>
      </c>
      <c r="Z58" s="197">
        <f t="shared" si="8"/>
        <v>2.07E-2</v>
      </c>
      <c r="AA58" s="197">
        <f t="shared" si="9"/>
        <v>23.277099999999997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146</v>
      </c>
      <c r="AE58" s="77" t="str">
        <f t="shared" si="11"/>
        <v>aws s3 cp s3://rtdc.mdm.uploadarchive.raw/RTDC4029/ "%USERPROFILE%\AppData\Local\Temp\OnboardLogs"\RTDC4029\2017-07-29 --exclude "*" --recursive --include "*20170729*" &amp; "%USERPROFILE%\Documents\GitHub\mrs-test-scripts\Headless Mode &amp; Sideloading\WalkAndUnGZ.bat" "%USERPROFILE%\AppData\Local\Temp\OnboardLogs"\RTDC4029\2017-07-29 &amp; aws s3 cp s3://rtdc.mdm.uploadarchive.raw/RTDC4029/ "%USERPROFILE%\AppData\Local\Temp\OnboardLogs"\RTDC4029\2017-07-30 --exclude "*" --recursive --include "*20170730*" &amp; "%USERPROFILE%\Documents\GitHub\mrs-test-scripts\Headless Mode &amp; Sideloading\WalkAndUnGZ.bat" "%USERPROFILE%\AppData\Local\Temp\OnboardLogs"\RTDC4029\2017-07-30</v>
      </c>
      <c r="AF58" s="74" t="str">
        <f t="shared" si="12"/>
        <v>"C:\Program Files (x86)\AstroGrep\AstroGrep.exe" /e /r /s /spath="%USERPROFILE%\AppData\Local\Temp\OnboardLogs" /stypes="app*4029*20170729*"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146-29 --locoid 4029 --swversion DE.1.0.9.0 --startMP 204:232978 --initTime 2017-07-29T09:55:28 --startdatetime 2017-07-29T10:12:15 --delay 1 --endMP 204:207 --enddatetime 2017-07-29T10:52:25 --enforcementcount 0 &gt;&gt;C:\Users\stu\Documents\GitHub\eaglep3-reporting\EC\2017-07-29-refined-times.txt</v>
      </c>
      <c r="AI58" s="96" t="str">
        <f t="shared" si="19"/>
        <v>echo {"issue":{"subject":"Unhealthy at Chambers due to minor onboard in-route failure","project_id":79,"tracker_id":40,"status_id":1,"priority_id":2,"assigned_to_id":23,"start_date":"2017-07-29","description":"","custom_fields":[{"id":1,"name":"Subdivision","value":"EC"},{"id":4,"name":"Milepost","value":"0.0207"},{"id":17,"name":"Train ID","value":"146-29"},{"id":16,"name":"Locomotive ID","value":"4029"},{"id":130,"name":"Impact","value":""},{"id":150,"name":"Time of Event (Mountain Time)","value":"10:52:25"},{"id":151,"name":"Denver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4029 --day 2017-07-29</v>
      </c>
      <c r="AN58" s="151" t="str">
        <f t="shared" si="21"/>
        <v>echo {"issue":{"subject":"Unhealthy at Chambers due to minor onboard in-route failure","project_id":30,"tracker_id":4,"status_id":1,"priority_id":1,"assigned_to_id":10,"start_date":"2017-07-29","description":"","custom_fields":[{"id":30,"name":"Category","value":"Issue"},{"id":3,"name":"Functional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16:52:25"},{"id":29,"name":"Sharepoint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743</v>
      </c>
      <c r="B59" s="7">
        <v>4024</v>
      </c>
      <c r="C59" s="21" t="s">
        <v>198</v>
      </c>
      <c r="D59" s="21" t="s">
        <v>605</v>
      </c>
      <c r="E59" s="13">
        <v>42945.39434027778</v>
      </c>
      <c r="F59" s="13">
        <v>42945.39638888889</v>
      </c>
      <c r="G59" s="7">
        <v>1</v>
      </c>
      <c r="H59" s="21" t="s">
        <v>464</v>
      </c>
      <c r="I59" s="13">
        <v>42945.422384259262</v>
      </c>
      <c r="J59" s="7">
        <v>0</v>
      </c>
      <c r="K59" s="89" t="str">
        <f t="shared" si="0"/>
        <v>4023/4024</v>
      </c>
      <c r="L59" s="21" t="str">
        <f>VLOOKUP(A59,'Trips&amp;Operators'!$C$1:$G$99999,5,FALSE)</f>
        <v>DAVIS WENDY</v>
      </c>
      <c r="M59" s="6">
        <f t="shared" si="1"/>
        <v>2.5995370371674653E-2</v>
      </c>
      <c r="N59" s="7">
        <f t="shared" si="22"/>
        <v>37.433333335211501</v>
      </c>
      <c r="O59" s="7"/>
      <c r="P59" s="7"/>
      <c r="Q59" s="22"/>
      <c r="R59" s="170"/>
      <c r="S59" s="213">
        <f t="shared" si="23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-07-29T08:27:51-0600',mode:absolute,to:'2017-07-29T11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9" s="197" t="str">
        <f>IF(AA59&lt;VLOOKUP(AG59,Variables!$AC$3:$AD$8,2,FALSE),"Y","N")</f>
        <v>N</v>
      </c>
      <c r="X59" s="197">
        <f t="shared" si="24"/>
        <v>1</v>
      </c>
      <c r="Y59" s="197">
        <f t="shared" si="7"/>
        <v>4.6399999999999997E-2</v>
      </c>
      <c r="Z59" s="197">
        <f t="shared" si="8"/>
        <v>23.3306</v>
      </c>
      <c r="AA59" s="197">
        <f t="shared" si="9"/>
        <v>23.284200000000002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147</v>
      </c>
      <c r="AE59" s="77" t="str">
        <f t="shared" si="11"/>
        <v>aws s3 cp s3://rtdc.mdm.uploadarchive.raw/RTDC4024/ "%USERPROFILE%\AppData\Local\Temp\OnboardLogs"\RTDC4024\2017-07-29 --exclude "*" --recursive --include "*20170729*" &amp; "%USERPROFILE%\Documents\GitHub\mrs-test-scripts\Headless Mode &amp; Sideloading\WalkAndUnGZ.bat" "%USERPROFILE%\AppData\Local\Temp\OnboardLogs"\RTDC4024\2017-07-29 &amp; aws s3 cp s3://rtdc.mdm.uploadarchive.raw/RTDC4024/ "%USERPROFILE%\AppData\Local\Temp\OnboardLogs"\RTDC4024\2017-07-30 --exclude "*" --recursive --include "*20170730*" &amp; "%USERPROFILE%\Documents\GitHub\mrs-test-scripts\Headless Mode &amp; Sideloading\WalkAndUnGZ.bat" "%USERPROFILE%\AppData\Local\Temp\OnboardLogs"\RTDC4024\2017-07-30</v>
      </c>
      <c r="AF59" s="74" t="str">
        <f t="shared" si="12"/>
        <v>"C:\Program Files (x86)\AstroGrep\AstroGrep.exe" /e /r /s /spath="%USERPROFILE%\AppData\Local\Temp\OnboardLogs" /stypes="app*4024*20170729*"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147-29 --locoid 4024 --swversion DE.1.0.9.0 --startMP 204:464 --initTime 2017-07-29T09:27:51 --startdatetime 2017-07-29T09:30:48 --delay 1 --endMP 204:233306 --enddatetime 2017-07-29T10:08:14 --enforcementcount 0 &gt;&gt;C:\Users\stu\Documents\GitHub\eaglep3-reporting\EC\2017-07-29-refined-times.txt</v>
      </c>
      <c r="AI59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{"issue":{"subject":"","project_id":79,"tracker_id":40,"status_id":1,"priority_id":2,"assigned_to_id":23,"start_date":"2017-07-29","description":"","custom_fields":[{"id":1,"name":"Subdivision","value":"EC"},{"id":4,"name":"Milepost","value":"23.3306"},{"id":17,"name":"Train ID","value":"147-29"},{"id":16,"name":"Locomotive ID","value":"4024"},{"id":130,"name":"Impact","value":""},{"id":150,"name":"Time of Event (Mountain Time)","value":"10:08:14"},{"id":151,"name":"Denver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4024 --day 2017-07-29</v>
      </c>
      <c r="AN59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16:08:14"},{"id":29,"name":"Sharepoint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642</v>
      </c>
      <c r="B60" s="7">
        <v>4023</v>
      </c>
      <c r="C60" s="21" t="s">
        <v>198</v>
      </c>
      <c r="D60" s="21" t="s">
        <v>391</v>
      </c>
      <c r="E60" s="13">
        <v>42945.433888888889</v>
      </c>
      <c r="F60" s="13">
        <v>42945.435624999998</v>
      </c>
      <c r="G60" s="7">
        <v>1</v>
      </c>
      <c r="H60" s="21" t="s">
        <v>377</v>
      </c>
      <c r="I60" s="13">
        <v>42945.464282407411</v>
      </c>
      <c r="J60" s="7">
        <v>0</v>
      </c>
      <c r="K60" s="89" t="str">
        <f t="shared" si="0"/>
        <v>4023/4024</v>
      </c>
      <c r="L60" s="21" t="str">
        <f>VLOOKUP(A60,'Trips&amp;Operators'!$C$1:$G$99999,5,FALSE)</f>
        <v>DAVIS WENDY</v>
      </c>
      <c r="M60" s="6">
        <f t="shared" si="1"/>
        <v>2.8657407412538305E-2</v>
      </c>
      <c r="N60" s="7">
        <f t="shared" si="22"/>
        <v>41.266666674055159</v>
      </c>
      <c r="O60" s="7"/>
      <c r="P60" s="7"/>
      <c r="Q60" s="22"/>
      <c r="R60" s="170"/>
      <c r="S60" s="213">
        <f t="shared" si="23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-07-29T09:24:48-0600',mode:absolute,to:'2017-07-29T12:08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0" s="197" t="str">
        <f>IF(AA60&lt;VLOOKUP(AG60,Variables!$AC$3:$AD$8,2,FALSE),"Y","N")</f>
        <v>N</v>
      </c>
      <c r="X60" s="197">
        <f t="shared" si="24"/>
        <v>1</v>
      </c>
      <c r="Y60" s="197">
        <f t="shared" si="7"/>
        <v>23.299600000000002</v>
      </c>
      <c r="Z60" s="197">
        <f t="shared" si="8"/>
        <v>1.54E-2</v>
      </c>
      <c r="AA60" s="197">
        <f t="shared" si="9"/>
        <v>23.284200000000002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148</v>
      </c>
      <c r="AE60" s="77" t="str">
        <f t="shared" si="11"/>
        <v>aws s3 cp s3://rtdc.mdm.uploadarchive.raw/RTDC4023/ "%USERPROFILE%\AppData\Local\Temp\OnboardLogs"\RTDC4023\2017-07-29 --exclude "*" --recursive --include "*20170729*" &amp; "%USERPROFILE%\Documents\GitHub\mrs-test-scripts\Headless Mode &amp; Sideloading\WalkAndUnGZ.bat" "%USERPROFILE%\AppData\Local\Temp\OnboardLogs"\RTDC4023\2017-07-29 &amp; aws s3 cp s3://rtdc.mdm.uploadarchive.raw/RTDC4023/ "%USERPROFILE%\AppData\Local\Temp\OnboardLogs"\RTDC4023\2017-07-30 --exclude "*" --recursive --include "*20170730*" &amp; "%USERPROFILE%\Documents\GitHub\mrs-test-scripts\Headless Mode &amp; Sideloading\WalkAndUnGZ.bat" "%USERPROFILE%\AppData\Local\Temp\OnboardLogs"\RTDC4023\2017-07-30</v>
      </c>
      <c r="AF60" s="74" t="str">
        <f t="shared" si="12"/>
        <v>"C:\Program Files (x86)\AstroGrep\AstroGrep.exe" /e /r /s /spath="%USERPROFILE%\AppData\Local\Temp\OnboardLogs" /stypes="app*4023*20170729*"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148-29 --locoid 4023 --swversion DE.1.0.9.0 --startMP 204:232996 --initTime 2017-07-29T10:24:48 --startdatetime 2017-07-29T10:27:18 --delay 1 --endMP 204:154 --enddatetime 2017-07-29T11:08:34 --enforcementcount 0 &gt;&gt;C:\Users\stu\Documents\GitHub\eaglep3-reporting\EC\2017-07-29-refined-times.txt</v>
      </c>
      <c r="AI60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{"issue":{"subject":"","project_id":79,"tracker_id":40,"status_id":1,"priority_id":2,"assigned_to_id":23,"start_date":"2017-07-29","description":"","custom_fields":[{"id":1,"name":"Subdivision","value":"EC"},{"id":4,"name":"Milepost","value":"0.0154"},{"id":17,"name":"Train ID","value":"148-29"},{"id":16,"name":"Locomotive ID","value":"4023"},{"id":130,"name":"Impact","value":""},{"id":150,"name":"Time of Event (Mountain Time)","value":"11:08:34"},{"id":151,"name":"Denver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4023 --day 2017-07-29</v>
      </c>
      <c r="AN60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17:08:34"},{"id":29,"name":"Sharepoint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744</v>
      </c>
      <c r="B61" s="7">
        <v>4056</v>
      </c>
      <c r="C61" s="21" t="s">
        <v>198</v>
      </c>
      <c r="D61" s="21" t="s">
        <v>479</v>
      </c>
      <c r="E61" s="13">
        <v>42945.403101851851</v>
      </c>
      <c r="F61" s="13">
        <v>42945.406782407408</v>
      </c>
      <c r="G61" s="7">
        <v>1</v>
      </c>
      <c r="H61" s="21" t="s">
        <v>461</v>
      </c>
      <c r="I61" s="13">
        <v>42945.431388888886</v>
      </c>
      <c r="J61" s="7">
        <v>0</v>
      </c>
      <c r="K61" s="89" t="str">
        <f t="shared" si="0"/>
        <v>4055/4056</v>
      </c>
      <c r="L61" s="21" t="str">
        <f>VLOOKUP(A61,'Trips&amp;Operators'!$C$1:$G$99999,5,FALSE)</f>
        <v>GEBRETEKLE DAGNEW</v>
      </c>
      <c r="M61" s="6">
        <f t="shared" si="1"/>
        <v>2.4606481478258502E-2</v>
      </c>
      <c r="N61" s="7">
        <f t="shared" si="22"/>
        <v>35.433333328692243</v>
      </c>
      <c r="O61" s="7"/>
      <c r="P61" s="7"/>
      <c r="Q61" s="22"/>
      <c r="R61" s="170"/>
      <c r="S61" s="213">
        <f t="shared" si="23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-07-29T08:40:28-0600',mode:absolute,to:'2017-07-29T11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1" s="197" t="str">
        <f>IF(AA61&lt;VLOOKUP(AG61,Variables!$AC$3:$AD$8,2,FALSE),"Y","N")</f>
        <v>N</v>
      </c>
      <c r="X61" s="197">
        <f t="shared" si="24"/>
        <v>1</v>
      </c>
      <c r="Y61" s="197">
        <f t="shared" si="7"/>
        <v>4.5699999999999998E-2</v>
      </c>
      <c r="Z61" s="197">
        <f t="shared" si="8"/>
        <v>23.329499999999999</v>
      </c>
      <c r="AA61" s="197">
        <f t="shared" si="9"/>
        <v>23.283799999999999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149</v>
      </c>
      <c r="AE61" s="77" t="str">
        <f t="shared" si="11"/>
        <v>aws s3 cp s3://rtdc.mdm.uploadarchive.raw/RTDC4056/ "%USERPROFILE%\AppData\Local\Temp\OnboardLogs"\RTDC4056\2017-07-29 --exclude "*" --recursive --include "*20170729*" &amp; "%USERPROFILE%\Documents\GitHub\mrs-test-scripts\Headless Mode &amp; Sideloading\WalkAndUnGZ.bat" "%USERPROFILE%\AppData\Local\Temp\OnboardLogs"\RTDC4056\2017-07-29 &amp; aws s3 cp s3://rtdc.mdm.uploadarchive.raw/RTDC4056/ "%USERPROFILE%\AppData\Local\Temp\OnboardLogs"\RTDC4056\2017-07-30 --exclude "*" --recursive --include "*20170730*" &amp; "%USERPROFILE%\Documents\GitHub\mrs-test-scripts\Headless Mode &amp; Sideloading\WalkAndUnGZ.bat" "%USERPROFILE%\AppData\Local\Temp\OnboardLogs"\RTDC4056\2017-07-30</v>
      </c>
      <c r="AF61" s="74" t="str">
        <f t="shared" si="12"/>
        <v>"C:\Program Files (x86)\AstroGrep\AstroGrep.exe" /e /r /s /spath="%USERPROFILE%\AppData\Local\Temp\OnboardLogs" /stypes="app*4056*20170729*"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149-29 --locoid 4056 --swversion DE.1.0.9.0 --startMP 204:457 --initTime 2017-07-29T09:40:28 --startdatetime 2017-07-29T09:45:46 --delay 1 --endMP 204:233295 --enddatetime 2017-07-29T10:21:12 --enforcementcount 0 &gt;&gt;C:\Users\stu\Documents\GitHub\eaglep3-reporting\EC\2017-07-29-refined-times.txt</v>
      </c>
      <c r="AI61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{"issue":{"subject":"","project_id":79,"tracker_id":40,"status_id":1,"priority_id":2,"assigned_to_id":23,"start_date":"2017-07-29","description":"","custom_fields":[{"id":1,"name":"Subdivision","value":"EC"},{"id":4,"name":"Milepost","value":"23.3295"},{"id":17,"name":"Train ID","value":"149-29"},{"id":16,"name":"Locomotive ID","value":"4056"},{"id":130,"name":"Impact","value":""},{"id":150,"name":"Time of Event (Mountain Time)","value":"10:21:12"},{"id":151,"name":"Denver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4056 --day 2017-07-29</v>
      </c>
      <c r="AN61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16:21:12"},{"id":29,"name":"Sharepoint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643</v>
      </c>
      <c r="B62" s="7">
        <v>4055</v>
      </c>
      <c r="C62" s="21" t="s">
        <v>198</v>
      </c>
      <c r="D62" s="21" t="s">
        <v>482</v>
      </c>
      <c r="E62" s="13">
        <v>42945.433171296296</v>
      </c>
      <c r="F62" s="13">
        <v>42945.446134259262</v>
      </c>
      <c r="G62" s="7">
        <v>1</v>
      </c>
      <c r="H62" s="21" t="s">
        <v>480</v>
      </c>
      <c r="I62" s="13">
        <v>42945.473703703705</v>
      </c>
      <c r="J62" s="7">
        <v>0</v>
      </c>
      <c r="K62" s="89" t="str">
        <f t="shared" si="0"/>
        <v>4055/4056</v>
      </c>
      <c r="L62" s="21" t="str">
        <f>VLOOKUP(A62,'Trips&amp;Operators'!$C$1:$G$99999,5,FALSE)</f>
        <v>GEBRETEKLE DAGNEW</v>
      </c>
      <c r="M62" s="6">
        <f t="shared" si="1"/>
        <v>2.7569444442633539E-2</v>
      </c>
      <c r="N62" s="7">
        <f t="shared" si="22"/>
        <v>39.699999997392297</v>
      </c>
      <c r="O62" s="7"/>
      <c r="P62" s="7"/>
      <c r="Q62" s="22"/>
      <c r="R62" s="170"/>
      <c r="S62" s="213">
        <f t="shared" si="23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-07-29T09:23:46-0600',mode:absolute,to:'2017-07-29T12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2" s="197" t="str">
        <f>IF(AA62&lt;VLOOKUP(AG62,Variables!$AC$3:$AD$8,2,FALSE),"Y","N")</f>
        <v>N</v>
      </c>
      <c r="X62" s="197">
        <f t="shared" si="24"/>
        <v>1</v>
      </c>
      <c r="Y62" s="197">
        <f t="shared" si="7"/>
        <v>23.297499999999999</v>
      </c>
      <c r="Z62" s="197">
        <f t="shared" si="8"/>
        <v>1.61E-2</v>
      </c>
      <c r="AA62" s="197">
        <f t="shared" si="9"/>
        <v>23.281399999999998</v>
      </c>
      <c r="AB62" s="54" t="str">
        <f>VLOOKUP(A62,Enforcements!$C$7:$K$13,8,0)</f>
        <v>Bulletin (2)</v>
      </c>
      <c r="AC62" s="51" t="str">
        <f>VLOOKUP(A62,Enforcements!$C$7:$E$13,3,0)</f>
        <v>GRADE CROSSING</v>
      </c>
      <c r="AD62" s="206">
        <f t="shared" si="10"/>
        <v>150</v>
      </c>
      <c r="AE62" s="77" t="str">
        <f t="shared" si="11"/>
        <v>aws s3 cp s3://rtdc.mdm.uploadarchive.raw/RTDC4055/ "%USERPROFILE%\AppData\Local\Temp\OnboardLogs"\RTDC4055\2017-07-29 --exclude "*" --recursive --include "*20170729*" &amp; "%USERPROFILE%\Documents\GitHub\mrs-test-scripts\Headless Mode &amp; Sideloading\WalkAndUnGZ.bat" "%USERPROFILE%\AppData\Local\Temp\OnboardLogs"\RTDC4055\2017-07-29 &amp; aws s3 cp s3://rtdc.mdm.uploadarchive.raw/RTDC4055/ "%USERPROFILE%\AppData\Local\Temp\OnboardLogs"\RTDC4055\2017-07-30 --exclude "*" --recursive --include "*20170730*" &amp; "%USERPROFILE%\Documents\GitHub\mrs-test-scripts\Headless Mode &amp; Sideloading\WalkAndUnGZ.bat" "%USERPROFILE%\AppData\Local\Temp\OnboardLogs"\RTDC4055\2017-07-30</v>
      </c>
      <c r="AF62" s="74" t="str">
        <f t="shared" si="12"/>
        <v>"C:\Program Files (x86)\AstroGrep\AstroGrep.exe" /e /r /s /spath="%USERPROFILE%\AppData\Local\Temp\OnboardLogs" /stypes="app*4055*20170729*"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150-29 --locoid 4055 --swversion DE.1.0.9.0 --startMP 204:232975 --initTime 2017-07-29T10:23:46 --startdatetime 2017-07-29T10:42:26 --delay 1 --endMP 204:161 --enddatetime 2017-07-29T11:22:08 --enforcementcount 0 &gt;&gt;C:\Users\stu\Documents\GitHub\eaglep3-reporting\EC\2017-07-29-refined-times.txt</v>
      </c>
      <c r="AI62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{"issue":{"subject":"","project_id":79,"tracker_id":40,"status_id":1,"priority_id":2,"assigned_to_id":23,"start_date":"2017-07-29","description":"","custom_fields":[{"id":1,"name":"Subdivision","value":"EC"},{"id":4,"name":"Milepost","value":"0.0161"},{"id":17,"name":"Train ID","value":"150-29"},{"id":16,"name":"Locomotive ID","value":"4055"},{"id":130,"name":"Impact","value":""},{"id":150,"name":"Time of Event (Mountain Time)","value":"11:22:08"},{"id":151,"name":"Denver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4055 --day 2017-07-29</v>
      </c>
      <c r="AN62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17:22:08"},{"id":29,"name":"Sharepoint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746</v>
      </c>
      <c r="B63" s="7">
        <v>4012</v>
      </c>
      <c r="C63" s="21" t="s">
        <v>198</v>
      </c>
      <c r="D63" s="21" t="s">
        <v>526</v>
      </c>
      <c r="E63" s="13">
        <v>42945.413148148145</v>
      </c>
      <c r="F63" s="13">
        <v>42945.417175925926</v>
      </c>
      <c r="G63" s="7">
        <v>1</v>
      </c>
      <c r="H63" s="21" t="s">
        <v>522</v>
      </c>
      <c r="I63" s="13">
        <v>42945.441689814812</v>
      </c>
      <c r="J63" s="7">
        <v>0</v>
      </c>
      <c r="K63" s="89" t="str">
        <f t="shared" si="0"/>
        <v>4011/4012</v>
      </c>
      <c r="L63" s="21" t="str">
        <f>VLOOKUP(A63,'Trips&amp;Operators'!$C$1:$G$99999,5,FALSE)</f>
        <v>LALONDE GREGORY</v>
      </c>
      <c r="M63" s="6">
        <f t="shared" si="1"/>
        <v>2.4513888885849155E-2</v>
      </c>
      <c r="N63" s="7">
        <f t="shared" si="22"/>
        <v>35.299999995622784</v>
      </c>
      <c r="O63" s="7"/>
      <c r="P63" s="7"/>
      <c r="Q63" s="22"/>
      <c r="R63" s="170"/>
      <c r="S63" s="213">
        <f t="shared" si="23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-07-29T08:54:56-0600',mode:absolute,to:'2017-07-29T11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3" s="197" t="str">
        <f>IF(AA63&lt;VLOOKUP(AG63,Variables!$AC$3:$AD$8,2,FALSE),"Y","N")</f>
        <v>N</v>
      </c>
      <c r="X63" s="197">
        <f t="shared" si="24"/>
        <v>1</v>
      </c>
      <c r="Y63" s="197">
        <f t="shared" si="7"/>
        <v>4.6899999999999997E-2</v>
      </c>
      <c r="Z63" s="197">
        <f t="shared" si="8"/>
        <v>23.333400000000001</v>
      </c>
      <c r="AA63" s="197">
        <f t="shared" si="9"/>
        <v>23.2865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151</v>
      </c>
      <c r="AE63" s="77" t="str">
        <f t="shared" si="11"/>
        <v>aws s3 cp s3://rtdc.mdm.uploadarchive.raw/RTDC4012/ "%USERPROFILE%\AppData\Local\Temp\OnboardLogs"\RTDC4012\2017-07-29 --exclude "*" --recursive --include "*20170729*" &amp; "%USERPROFILE%\Documents\GitHub\mrs-test-scripts\Headless Mode &amp; Sideloading\WalkAndUnGZ.bat" "%USERPROFILE%\AppData\Local\Temp\OnboardLogs"\RTDC4012\2017-07-29 &amp; aws s3 cp s3://rtdc.mdm.uploadarchive.raw/RTDC4012/ "%USERPROFILE%\AppData\Local\Temp\OnboardLogs"\RTDC4012\2017-07-30 --exclude "*" --recursive --include "*20170730*" &amp; "%USERPROFILE%\Documents\GitHub\mrs-test-scripts\Headless Mode &amp; Sideloading\WalkAndUnGZ.bat" "%USERPROFILE%\AppData\Local\Temp\OnboardLogs"\RTDC4012\2017-07-30</v>
      </c>
      <c r="AF63" s="74" t="str">
        <f t="shared" si="12"/>
        <v>"C:\Program Files (x86)\AstroGrep\AstroGrep.exe" /e /r /s /spath="%USERPROFILE%\AppData\Local\Temp\OnboardLogs" /stypes="app*4012*20170729*"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151-29 --locoid 4012 --swversion DE.1.0.9.0 --startMP 204:469 --initTime 2017-07-29T09:54:56 --startdatetime 2017-07-29T10:00:44 --delay 1 --endMP 204:233334 --enddatetime 2017-07-29T10:36:02 --enforcementcount 0 &gt;&gt;C:\Users\stu\Documents\GitHub\eaglep3-reporting\EC\2017-07-29-refined-times.txt</v>
      </c>
      <c r="AI63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{"issue":{"subject":"","project_id":79,"tracker_id":40,"status_id":1,"priority_id":2,"assigned_to_id":23,"start_date":"2017-07-29","description":"","custom_fields":[{"id":1,"name":"Subdivision","value":"EC"},{"id":4,"name":"Milepost","value":"23.3334"},{"id":17,"name":"Train ID","value":"151-29"},{"id":16,"name":"Locomotive ID","value":"4012"},{"id":130,"name":"Impact","value":""},{"id":150,"name":"Time of Event (Mountain Time)","value":"10:36:02"},{"id":151,"name":"Denver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4012 --day 2017-07-29</v>
      </c>
      <c r="AN63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16:36:02"},{"id":29,"name":"Sharepoint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753</v>
      </c>
      <c r="B64" s="7">
        <v>4011</v>
      </c>
      <c r="C64" s="21" t="s">
        <v>198</v>
      </c>
      <c r="D64" s="21" t="s">
        <v>604</v>
      </c>
      <c r="E64" s="13">
        <v>42945.444490740738</v>
      </c>
      <c r="F64" s="13">
        <v>42945.456435185188</v>
      </c>
      <c r="G64" s="7">
        <v>1</v>
      </c>
      <c r="H64" s="21" t="s">
        <v>898</v>
      </c>
      <c r="I64" s="13">
        <v>42945.484664351854</v>
      </c>
      <c r="J64" s="7">
        <v>0</v>
      </c>
      <c r="K64" s="89" t="str">
        <f t="shared" si="0"/>
        <v>4011/4012</v>
      </c>
      <c r="L64" s="21" t="str">
        <f>VLOOKUP(A64,'Trips&amp;Operators'!$C$1:$G$99999,5,FALSE)</f>
        <v>LALONDE GREGORY</v>
      </c>
      <c r="M64" s="6">
        <f t="shared" si="1"/>
        <v>2.8229166666278616E-2</v>
      </c>
      <c r="N64" s="7">
        <f>24*60*SUM($M64:$M64)</f>
        <v>40.649999999441206</v>
      </c>
      <c r="O64" s="7"/>
      <c r="P64" s="7"/>
      <c r="Q64" s="22"/>
      <c r="R64" s="170" t="s">
        <v>1035</v>
      </c>
      <c r="S64" s="213">
        <f>1/IF(AG64="EC",12,1)*SUM(U64:U65)</f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9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-07-29T09:40:04-0600',mode:absolute,to:'2017-07-29T12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4" s="197" t="str">
        <f>IF(AA64&lt;VLOOKUP(AG64,Variables!$AC$3:$AD$8,2,FALSE),"Y","N")</f>
        <v>Y</v>
      </c>
      <c r="X64" s="197">
        <f t="shared" si="24"/>
        <v>1</v>
      </c>
      <c r="Y64" s="197">
        <f t="shared" si="7"/>
        <v>23.300599999999999</v>
      </c>
      <c r="Z64" s="197">
        <f t="shared" si="8"/>
        <v>3.6787000000000001</v>
      </c>
      <c r="AA64" s="197">
        <f t="shared" si="9"/>
        <v>19.6219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152</v>
      </c>
      <c r="AE64" s="77" t="str">
        <f t="shared" si="11"/>
        <v>aws s3 cp s3://rtdc.mdm.uploadarchive.raw/RTDC4011/ "%USERPROFILE%\AppData\Local\Temp\OnboardLogs"\RTDC4011\2017-07-29 --exclude "*" --recursive --include "*20170729*" &amp; "%USERPROFILE%\Documents\GitHub\mrs-test-scripts\Headless Mode &amp; Sideloading\WalkAndUnGZ.bat" "%USERPROFILE%\AppData\Local\Temp\OnboardLogs"\RTDC4011\2017-07-29 &amp; aws s3 cp s3://rtdc.mdm.uploadarchive.raw/RTDC4011/ "%USERPROFILE%\AppData\Local\Temp\OnboardLogs"\RTDC4011\2017-07-30 --exclude "*" --recursive --include "*20170730*" &amp; "%USERPROFILE%\Documents\GitHub\mrs-test-scripts\Headless Mode &amp; Sideloading\WalkAndUnGZ.bat" "%USERPROFILE%\AppData\Local\Temp\OnboardLogs"\RTDC4011\2017-07-30</v>
      </c>
      <c r="AF64" s="74" t="str">
        <f t="shared" si="12"/>
        <v>"C:\Program Files (x86)\AstroGrep\AstroGrep.exe" /e /r /s /spath="%USERPROFILE%\AppData\Local\Temp\OnboardLogs" /stypes="app*4011*20170729*"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152-29 --locoid 4011 --swversion DE.1.0.9.0 --startMP 204:233006 --initTime 2017-07-29T10:40:04 --startdatetime 2017-07-29T10:57:16 --delay 1 --endMP 204:36787 --enddatetime 2017-07-29T11:37:55 --enforcementcount 0 &gt;&gt;C:\Users\stu\Documents\GitHub\eaglep3-reporting\EC\2017-07-29-refined-times.txt</v>
      </c>
      <c r="AI64" s="96" t="str">
        <f t="shared" si="19"/>
        <v>echo {"issue":{"subject":"Minor onboard in-route failure caused signal unknown banner","project_id":79,"tracker_id":40,"status_id":1,"priority_id":2,"assigned_to_id":23,"start_date":"2017-07-29","description":"","custom_fields":[{"id":1,"name":"Subdivision","value":"EC"},{"id":4,"name":"Milepost","value":"3.6787"},{"id":17,"name":"Train ID","value":"152-29"},{"id":16,"name":"Locomotive ID","value":"4011"},{"id":130,"name":"Impact","value":""},{"id":150,"name":"Time of Event (Mountain Time)","value":"11:37:55"},{"id":151,"name":"Denver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4011 --day 2017-07-29</v>
      </c>
      <c r="AN64" s="151" t="str">
        <f t="shared" si="21"/>
        <v>echo {"issue":{"subject":"Minor onboard in-route failure caused signal unknown banner","project_id":30,"tracker_id":4,"status_id":1,"priority_id":1,"assigned_to_id":10,"start_date":"2017-07-29","description":"","custom_fields":[{"id":30,"name":"Category","value":"Issue"},{"id":3,"name":"Functional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17:37:55"},{"id":29,"name":"Sharepoint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753</v>
      </c>
      <c r="B65" s="7">
        <v>4011</v>
      </c>
      <c r="C65" s="21" t="s">
        <v>198</v>
      </c>
      <c r="D65" s="21" t="s">
        <v>899</v>
      </c>
      <c r="E65" s="13">
        <v>42945.47724537037</v>
      </c>
      <c r="F65" s="13">
        <v>42945.478206018517</v>
      </c>
      <c r="G65" s="7">
        <v>1</v>
      </c>
      <c r="H65" s="21" t="s">
        <v>451</v>
      </c>
      <c r="I65" s="13">
        <v>42945.484664351854</v>
      </c>
      <c r="J65" s="7">
        <v>0</v>
      </c>
      <c r="K65" s="89" t="str">
        <f t="shared" si="0"/>
        <v>4011/4012</v>
      </c>
      <c r="L65" s="21" t="str">
        <f>VLOOKUP(A65,'Trips&amp;Operators'!$C$1:$G$99999,5,FALSE)</f>
        <v>LALONDE GREGORY</v>
      </c>
      <c r="M65" s="6">
        <f t="shared" si="1"/>
        <v>6.4583333369228058E-3</v>
      </c>
      <c r="N65" s="7"/>
      <c r="O65" s="7"/>
      <c r="P65" s="7"/>
      <c r="Q65" s="22"/>
      <c r="R65" s="170"/>
      <c r="S65" s="213"/>
      <c r="T65" s="195" t="str">
        <f t="shared" si="4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3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-07-29T10:27:14-0600',mode:absolute,to:'2017-07-29T12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5" s="197" t="str">
        <f>IF(AA65&lt;VLOOKUP(AG65,Variables!$AC$3:$AD$8,2,FALSE),"Y","N")</f>
        <v>Y</v>
      </c>
      <c r="X65" s="197">
        <f t="shared" si="24"/>
        <v>0</v>
      </c>
      <c r="Y65" s="197">
        <f t="shared" si="7"/>
        <v>3.6791</v>
      </c>
      <c r="Z65" s="197">
        <f t="shared" si="8"/>
        <v>1.52E-2</v>
      </c>
      <c r="AA65" s="197">
        <f t="shared" si="9"/>
        <v>3.6638999999999999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152</v>
      </c>
      <c r="AE65" s="77" t="str">
        <f t="shared" si="11"/>
        <v>aws s3 cp s3://rtdc.mdm.uploadarchive.raw/RTDC4011/ "%USERPROFILE%\AppData\Local\Temp\OnboardLogs"\RTDC4011\2017-07-29 --exclude "*" --recursive --include "*20170729*" &amp; "%USERPROFILE%\Documents\GitHub\mrs-test-scripts\Headless Mode &amp; Sideloading\WalkAndUnGZ.bat" "%USERPROFILE%\AppData\Local\Temp\OnboardLogs"\RTDC4011\2017-07-29 &amp; aws s3 cp s3://rtdc.mdm.uploadarchive.raw/RTDC4011/ "%USERPROFILE%\AppData\Local\Temp\OnboardLogs"\RTDC4011\2017-07-30 --exclude "*" --recursive --include "*20170730*" &amp; "%USERPROFILE%\Documents\GitHub\mrs-test-scripts\Headless Mode &amp; Sideloading\WalkAndUnGZ.bat" "%USERPROFILE%\AppData\Local\Temp\OnboardLogs"\RTDC4011\2017-07-30</v>
      </c>
      <c r="AF65" s="74" t="str">
        <f t="shared" si="12"/>
        <v>"C:\Program Files (x86)\AstroGrep\AstroGrep.exe" /e /r /s /spath="%USERPROFILE%\AppData\Local\Temp\OnboardLogs" /stypes="app*4011*20170729*" /stext=" 17:.+((SYSTEM_STATE.+slice.+state.+changed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152-29 --locoid 4011 --swversion DE.1.0.9.0 --startMP 204:36791 --initTime 2017-07-29T11:27:14 --startdatetime 2017-07-29T11:28:37 --delay 1 --endMP 204:152 --enddatetime 2017-07-29T11:37:55 --enforcementcount 0 &gt;&gt;C:\Users\stu\Documents\GitHub\eaglep3-reporting\EC\2017-07-29-refined-times.txt</v>
      </c>
      <c r="AI65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{"issue":{"subject":"","project_id":79,"tracker_id":40,"status_id":1,"priority_id":2,"assigned_to_id":23,"start_date":"2017-07-29","description":"","custom_fields":[{"id":1,"name":"Subdivision","value":"EC"},{"id":4,"name":"Milepost","value":"0.0152"},{"id":17,"name":"Train ID","value":"152-29"},{"id":16,"name":"Locomotive ID","value":"4011"},{"id":130,"name":"Impact","value":""},{"id":150,"name":"Time of Event (Mountain Time)","value":"11:37:55"},{"id":151,"name":"Denver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4011 --day 2017-07-29</v>
      </c>
      <c r="AN65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17:37:55"},{"id":29,"name":"Sharepoint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641</v>
      </c>
      <c r="B66" s="7">
        <v>4042</v>
      </c>
      <c r="C66" s="21" t="s">
        <v>198</v>
      </c>
      <c r="D66" s="21" t="s">
        <v>900</v>
      </c>
      <c r="E66" s="13">
        <v>42945.423472222225</v>
      </c>
      <c r="F66" s="13">
        <v>42945.42759259259</v>
      </c>
      <c r="G66" s="7">
        <v>1</v>
      </c>
      <c r="H66" s="21" t="s">
        <v>901</v>
      </c>
      <c r="I66" s="13">
        <v>42945.453969907408</v>
      </c>
      <c r="J66" s="7">
        <v>0</v>
      </c>
      <c r="K66" s="89" t="str">
        <f t="shared" si="0"/>
        <v>4041/4042</v>
      </c>
      <c r="L66" s="21" t="str">
        <f>VLOOKUP(A66,'Trips&amp;Operators'!$C$1:$G$99999,5,FALSE)</f>
        <v>BERLING GARY</v>
      </c>
      <c r="M66" s="6">
        <f t="shared" si="1"/>
        <v>2.6377314818091691E-2</v>
      </c>
      <c r="N66" s="7">
        <f t="shared" ref="N66:N97" si="25">24*60*SUM($M66:$M66)</f>
        <v>37.983333338052034</v>
      </c>
      <c r="O66" s="7"/>
      <c r="P66" s="7"/>
      <c r="Q66" s="22"/>
      <c r="R66" s="170"/>
      <c r="S66" s="213">
        <f t="shared" ref="S66:S97" si="26">1/IF(AG66="EC",12,1)*SUM(U66:U66)</f>
        <v>1</v>
      </c>
      <c r="T66" s="195" t="str">
        <f t="shared" si="4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-07-29T09:09:48-0600',mode:absolute,to:'2017-07-29T11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6" s="197" t="str">
        <f>IF(AA66&lt;VLOOKUP(AG66,Variables!$AC$3:$AD$8,2,FALSE),"Y","N")</f>
        <v>N</v>
      </c>
      <c r="X66" s="197">
        <f t="shared" si="24"/>
        <v>1</v>
      </c>
      <c r="Y66" s="197">
        <f t="shared" si="7"/>
        <v>4.7500000000000001E-2</v>
      </c>
      <c r="Z66" s="197">
        <f t="shared" si="8"/>
        <v>23.332000000000001</v>
      </c>
      <c r="AA66" s="197">
        <f t="shared" si="9"/>
        <v>23.284500000000001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153</v>
      </c>
      <c r="AE66" s="77" t="str">
        <f t="shared" si="11"/>
        <v>aws s3 cp s3://rtdc.mdm.uploadarchive.raw/RTDC4042/ "%USERPROFILE%\AppData\Local\Temp\OnboardLogs"\RTDC4042\2017-07-29 --exclude "*" --recursive --include "*20170729*" &amp; "%USERPROFILE%\Documents\GitHub\mrs-test-scripts\Headless Mode &amp; Sideloading\WalkAndUnGZ.bat" "%USERPROFILE%\AppData\Local\Temp\OnboardLogs"\RTDC4042\2017-07-29 &amp; aws s3 cp s3://rtdc.mdm.uploadarchive.raw/RTDC4042/ "%USERPROFILE%\AppData\Local\Temp\OnboardLogs"\RTDC4042\2017-07-30 --exclude "*" --recursive --include "*20170730*" &amp; "%USERPROFILE%\Documents\GitHub\mrs-test-scripts\Headless Mode &amp; Sideloading\WalkAndUnGZ.bat" "%USERPROFILE%\AppData\Local\Temp\OnboardLogs"\RTDC4042\2017-07-30</v>
      </c>
      <c r="AF66" s="74" t="str">
        <f t="shared" si="12"/>
        <v>"C:\Program Files (x86)\AstroGrep\AstroGrep.exe" /e /r /s /spath="%USERPROFILE%\AppData\Local\Temp\OnboardLogs" /stypes="app*4042*20170729*" /stext=" 16:.+((SYSTEM_STATE.+slice.+state.+changed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153-29 --locoid 4042 --swversion DE.1.0.9.0 --startMP 204:475 --initTime 2017-07-29T10:09:48 --startdatetime 2017-07-29T10:15:44 --delay 1 --endMP 204:233320 --enddatetime 2017-07-29T10:53:43 --enforcementcount 0 &gt;&gt;C:\Users\stu\Documents\GitHub\eaglep3-reporting\EC\2017-07-29-refined-times.txt</v>
      </c>
      <c r="AI66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{"issue":{"subject":"","project_id":79,"tracker_id":40,"status_id":1,"priority_id":2,"assigned_to_id":23,"start_date":"2017-07-29","description":"","custom_fields":[{"id":1,"name":"Subdivision","value":"EC"},{"id":4,"name":"Milepost","value":"23.332"},{"id":17,"name":"Train ID","value":"153-29"},{"id":16,"name":"Locomotive ID","value":"4042"},{"id":130,"name":"Impact","value":""},{"id":150,"name":"Time of Event (Mountain Time)","value":"10:53:43"},{"id":151,"name":"Denver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4042 --day 2017-07-29</v>
      </c>
      <c r="AN66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16:53:43"},{"id":29,"name":"Sharepoint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757</v>
      </c>
      <c r="B67" s="7">
        <v>4041</v>
      </c>
      <c r="C67" s="21" t="s">
        <v>198</v>
      </c>
      <c r="D67" s="21" t="s">
        <v>460</v>
      </c>
      <c r="E67" s="13">
        <v>42945.459733796299</v>
      </c>
      <c r="F67" s="13">
        <v>42945.466828703706</v>
      </c>
      <c r="G67" s="7">
        <v>1</v>
      </c>
      <c r="H67" s="21" t="s">
        <v>902</v>
      </c>
      <c r="I67" s="13">
        <v>42945.495613425926</v>
      </c>
      <c r="J67" s="7">
        <v>0</v>
      </c>
      <c r="K67" s="89" t="str">
        <f t="shared" si="0"/>
        <v>4041/4042</v>
      </c>
      <c r="L67" s="21" t="str">
        <f>VLOOKUP(A67,'Trips&amp;Operators'!$C$1:$G$99999,5,FALSE)</f>
        <v>BERLING GARY</v>
      </c>
      <c r="M67" s="6">
        <f t="shared" si="1"/>
        <v>2.8784722220734693E-2</v>
      </c>
      <c r="N67" s="7">
        <f t="shared" si="25"/>
        <v>41.449999997857958</v>
      </c>
      <c r="O67" s="7"/>
      <c r="P67" s="7"/>
      <c r="Q67" s="22"/>
      <c r="R67" s="170"/>
      <c r="S67" s="213">
        <f t="shared" si="26"/>
        <v>1</v>
      </c>
      <c r="T67" s="195" t="str">
        <f t="shared" si="4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-07-29T10:02:01-0600',mode:absolute,to:'2017-07-29T12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7" s="197" t="str">
        <f>IF(AA67&lt;VLOOKUP(AG67,Variables!$AC$3:$AD$8,2,FALSE),"Y","N")</f>
        <v>N</v>
      </c>
      <c r="X67" s="197">
        <f t="shared" si="24"/>
        <v>1</v>
      </c>
      <c r="Y67" s="197">
        <f t="shared" si="7"/>
        <v>23.299800000000001</v>
      </c>
      <c r="Z67" s="197">
        <f t="shared" si="8"/>
        <v>1.38E-2</v>
      </c>
      <c r="AA67" s="197">
        <f t="shared" si="9"/>
        <v>23.286000000000001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154</v>
      </c>
      <c r="AE67" s="77" t="str">
        <f t="shared" si="11"/>
        <v>aws s3 cp s3://rtdc.mdm.uploadarchive.raw/RTDC4041/ "%USERPROFILE%\AppData\Local\Temp\OnboardLogs"\RTDC4041\2017-07-29 --exclude "*" --recursive --include "*20170729*" &amp; "%USERPROFILE%\Documents\GitHub\mrs-test-scripts\Headless Mode &amp; Sideloading\WalkAndUnGZ.bat" "%USERPROFILE%\AppData\Local\Temp\OnboardLogs"\RTDC4041\2017-07-29 &amp; aws s3 cp s3://rtdc.mdm.uploadarchive.raw/RTDC4041/ "%USERPROFILE%\AppData\Local\Temp\OnboardLogs"\RTDC4041\2017-07-30 --exclude "*" --recursive --include "*20170730*" &amp; "%USERPROFILE%\Documents\GitHub\mrs-test-scripts\Headless Mode &amp; Sideloading\WalkAndUnGZ.bat" "%USERPROFILE%\AppData\Local\Temp\OnboardLogs"\RTDC4041\2017-07-30</v>
      </c>
      <c r="AF67" s="74" t="str">
        <f t="shared" si="12"/>
        <v>"C:\Program Files (x86)\AstroGrep\AstroGrep.exe" /e /r /s /spath="%USERPROFILE%\AppData\Local\Temp\OnboardLogs" /stypes="app*4041*20170729*"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154-29 --locoid 4041 --swversion DE.1.0.9.0 --startMP 204:232998 --initTime 2017-07-29T11:02:01 --startdatetime 2017-07-29T11:12:14 --delay 1 --endMP 204:138 --enddatetime 2017-07-29T11:53:41 --enforcementcount 0 &gt;&gt;C:\Users\stu\Documents\GitHub\eaglep3-reporting\EC\2017-07-29-refined-times.txt</v>
      </c>
      <c r="AI67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{"issue":{"subject":"","project_id":79,"tracker_id":40,"status_id":1,"priority_id":2,"assigned_to_id":23,"start_date":"2017-07-29","description":"","custom_fields":[{"id":1,"name":"Subdivision","value":"EC"},{"id":4,"name":"Milepost","value":"0.0138"},{"id":17,"name":"Train ID","value":"154-29"},{"id":16,"name":"Locomotive ID","value":"4041"},{"id":130,"name":"Impact","value":""},{"id":150,"name":"Time of Event (Mountain Time)","value":"11:53:41"},{"id":151,"name":"Denver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4041 --day 2017-07-29</v>
      </c>
      <c r="AN67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17:53:41"},{"id":29,"name":"Sharepoint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751</v>
      </c>
      <c r="B68" s="7">
        <v>4028</v>
      </c>
      <c r="C68" s="21" t="s">
        <v>198</v>
      </c>
      <c r="D68" s="21" t="s">
        <v>376</v>
      </c>
      <c r="E68" s="13">
        <v>42945.433946759258</v>
      </c>
      <c r="F68" s="13">
        <v>42945.438043981485</v>
      </c>
      <c r="G68" s="7">
        <v>1</v>
      </c>
      <c r="H68" s="21" t="s">
        <v>464</v>
      </c>
      <c r="I68" s="13">
        <v>42945.463645833333</v>
      </c>
      <c r="J68" s="7">
        <v>0</v>
      </c>
      <c r="K68" s="89" t="str">
        <f t="shared" si="0"/>
        <v>4027/4028</v>
      </c>
      <c r="L68" s="21" t="str">
        <f>VLOOKUP(A68,'Trips&amp;Operators'!$C$1:$G$99999,5,FALSE)</f>
        <v>DAVIDSON DAVID</v>
      </c>
      <c r="M68" s="6">
        <f t="shared" si="1"/>
        <v>2.5601851848477963E-2</v>
      </c>
      <c r="N68" s="7">
        <f t="shared" si="25"/>
        <v>36.866666661808267</v>
      </c>
      <c r="O68" s="7"/>
      <c r="P68" s="7"/>
      <c r="Q68" s="22"/>
      <c r="R68" s="170"/>
      <c r="S68" s="213">
        <f t="shared" si="26"/>
        <v>1</v>
      </c>
      <c r="T68" s="195" t="str">
        <f t="shared" si="4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-07-29T09:24:53-0600',mode:absolute,to:'2017-07-29T12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8" s="197" t="str">
        <f>IF(AA68&lt;VLOOKUP(AG68,Variables!$AC$3:$AD$8,2,FALSE),"Y","N")</f>
        <v>N</v>
      </c>
      <c r="X68" s="197">
        <f t="shared" si="24"/>
        <v>1</v>
      </c>
      <c r="Y68" s="197">
        <f t="shared" si="7"/>
        <v>4.6199999999999998E-2</v>
      </c>
      <c r="Z68" s="197">
        <f t="shared" si="8"/>
        <v>23.3306</v>
      </c>
      <c r="AA68" s="197">
        <f t="shared" si="9"/>
        <v>23.284400000000002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155</v>
      </c>
      <c r="AE68" s="77" t="str">
        <f t="shared" si="11"/>
        <v>aws s3 cp s3://rtdc.mdm.uploadarchive.raw/RTDC4028/ "%USERPROFILE%\AppData\Local\Temp\OnboardLogs"\RTDC4028\2017-07-29 --exclude "*" --recursive --include "*20170729*" &amp; "%USERPROFILE%\Documents\GitHub\mrs-test-scripts\Headless Mode &amp; Sideloading\WalkAndUnGZ.bat" "%USERPROFILE%\AppData\Local\Temp\OnboardLogs"\RTDC4028\2017-07-29 &amp; aws s3 cp s3://rtdc.mdm.uploadarchive.raw/RTDC4028/ "%USERPROFILE%\AppData\Local\Temp\OnboardLogs"\RTDC4028\2017-07-30 --exclude "*" --recursive --include "*20170730*" &amp; "%USERPROFILE%\Documents\GitHub\mrs-test-scripts\Headless Mode &amp; Sideloading\WalkAndUnGZ.bat" "%USERPROFILE%\AppData\Local\Temp\OnboardLogs"\RTDC4028\2017-07-30</v>
      </c>
      <c r="AF68" s="74" t="str">
        <f t="shared" si="12"/>
        <v>"C:\Program Files (x86)\AstroGrep\AstroGrep.exe" /e /r /s /spath="%USERPROFILE%\AppData\Local\Temp\OnboardLogs" /stypes="app*4028*20170729*" /stext=" 17:.+((SYSTEM_STATE.+slice.+state.+changed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155-29 --locoid 4028 --swversion DE.1.0.9.0 --startMP 204:462 --initTime 2017-07-29T10:24:53 --startdatetime 2017-07-29T10:30:47 --delay 1 --endMP 204:233306 --enddatetime 2017-07-29T11:07:39 --enforcementcount 0 &gt;&gt;C:\Users\stu\Documents\GitHub\eaglep3-reporting\EC\2017-07-29-refined-times.txt</v>
      </c>
      <c r="AI68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{"issue":{"subject":"","project_id":79,"tracker_id":40,"status_id":1,"priority_id":2,"assigned_to_id":23,"start_date":"2017-07-29","description":"","custom_fields":[{"id":1,"name":"Subdivision","value":"EC"},{"id":4,"name":"Milepost","value":"23.3306"},{"id":17,"name":"Train ID","value":"155-29"},{"id":16,"name":"Locomotive ID","value":"4028"},{"id":130,"name":"Impact","value":""},{"id":150,"name":"Time of Event (Mountain Time)","value":"11:07:39"},{"id":151,"name":"Denver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4028 --day 2017-07-29</v>
      </c>
      <c r="AN68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17:07:39"},{"id":29,"name":"Sharepoint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758</v>
      </c>
      <c r="B69" s="7">
        <v>4027</v>
      </c>
      <c r="C69" s="21" t="s">
        <v>198</v>
      </c>
      <c r="D69" s="21" t="s">
        <v>604</v>
      </c>
      <c r="E69" s="13">
        <v>42945.46497685185</v>
      </c>
      <c r="F69" s="13">
        <v>42945.477303240739</v>
      </c>
      <c r="G69" s="7">
        <v>1</v>
      </c>
      <c r="H69" s="21" t="s">
        <v>382</v>
      </c>
      <c r="I69" s="13">
        <v>42945.505787037036</v>
      </c>
      <c r="J69" s="7">
        <v>0</v>
      </c>
      <c r="K69" s="89" t="str">
        <f t="shared" si="0"/>
        <v>4027/4028</v>
      </c>
      <c r="L69" s="21" t="str">
        <f>VLOOKUP(A69,'Trips&amp;Operators'!$C$1:$G$99999,5,FALSE)</f>
        <v>DAVIDSON DAVID</v>
      </c>
      <c r="M69" s="6">
        <f t="shared" si="1"/>
        <v>2.8483796297223307E-2</v>
      </c>
      <c r="N69" s="7">
        <f t="shared" si="25"/>
        <v>41.016666668001562</v>
      </c>
      <c r="O69" s="7"/>
      <c r="P69" s="7"/>
      <c r="Q69" s="22"/>
      <c r="R69" s="170"/>
      <c r="S69" s="213">
        <f t="shared" si="26"/>
        <v>1</v>
      </c>
      <c r="T69" s="195" t="str">
        <f t="shared" si="4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-07-29T10:09:34-0600',mode:absolute,to:'2017-07-29T13:08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9" s="197" t="str">
        <f>IF(AA69&lt;VLOOKUP(AG69,Variables!$AC$3:$AD$8,2,FALSE),"Y","N")</f>
        <v>N</v>
      </c>
      <c r="X69" s="197">
        <f t="shared" si="24"/>
        <v>1</v>
      </c>
      <c r="Y69" s="197">
        <f t="shared" si="7"/>
        <v>23.300599999999999</v>
      </c>
      <c r="Z69" s="197">
        <f t="shared" si="8"/>
        <v>1.4500000000000001E-2</v>
      </c>
      <c r="AA69" s="197">
        <f t="shared" si="9"/>
        <v>23.286099999999998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156</v>
      </c>
      <c r="AE69" s="77" t="str">
        <f t="shared" si="11"/>
        <v>aws s3 cp s3://rtdc.mdm.uploadarchive.raw/RTDC4027/ "%USERPROFILE%\AppData\Local\Temp\OnboardLogs"\RTDC4027\2017-07-29 --exclude "*" --recursive --include "*20170729*" &amp; "%USERPROFILE%\Documents\GitHub\mrs-test-scripts\Headless Mode &amp; Sideloading\WalkAndUnGZ.bat" "%USERPROFILE%\AppData\Local\Temp\OnboardLogs"\RTDC4027\2017-07-29 &amp; aws s3 cp s3://rtdc.mdm.uploadarchive.raw/RTDC4027/ "%USERPROFILE%\AppData\Local\Temp\OnboardLogs"\RTDC4027\2017-07-30 --exclude "*" --recursive --include "*20170730*" &amp; "%USERPROFILE%\Documents\GitHub\mrs-test-scripts\Headless Mode &amp; Sideloading\WalkAndUnGZ.bat" "%USERPROFILE%\AppData\Local\Temp\OnboardLogs"\RTDC4027\2017-07-30</v>
      </c>
      <c r="AF69" s="74" t="str">
        <f t="shared" si="12"/>
        <v>"C:\Program Files (x86)\AstroGrep\AstroGrep.exe" /e /r /s /spath="%USERPROFILE%\AppData\Local\Temp\OnboardLogs" /stypes="app*4027*20170729*" /stext=" 18:.+((SYSTEM_STATE.+slice.+state.+changed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156-29 --locoid 4027 --swversion DE.1.0.9.0 --startMP 204:233006 --initTime 2017-07-29T11:09:34 --startdatetime 2017-07-29T11:27:19 --delay 1 --endMP 204:145 --enddatetime 2017-07-29T12:08:20 --enforcementcount 0 &gt;&gt;C:\Users\stu\Documents\GitHub\eaglep3-reporting\EC\2017-07-29-refined-times.txt</v>
      </c>
      <c r="AI69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{"issue":{"subject":"","project_id":79,"tracker_id":40,"status_id":1,"priority_id":2,"assigned_to_id":23,"start_date":"2017-07-29","description":"","custom_fields":[{"id":1,"name":"Subdivision","value":"EC"},{"id":4,"name":"Milepost","value":"0.0145"},{"id":17,"name":"Train ID","value":"156-29"},{"id":16,"name":"Locomotive ID","value":"4027"},{"id":130,"name":"Impact","value":""},{"id":150,"name":"Time of Event (Mountain Time)","value":"12:08:20"},{"id":151,"name":"Denver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4027 --day 2017-07-29</v>
      </c>
      <c r="AN69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18:08:20"},{"id":29,"name":"Sharepoint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754</v>
      </c>
      <c r="B70" s="7">
        <v>4008</v>
      </c>
      <c r="C70" s="21" t="s">
        <v>198</v>
      </c>
      <c r="D70" s="21" t="s">
        <v>526</v>
      </c>
      <c r="E70" s="13">
        <v>42945.444780092592</v>
      </c>
      <c r="F70" s="13">
        <v>42945.448495370372</v>
      </c>
      <c r="G70" s="7">
        <v>2</v>
      </c>
      <c r="H70" s="21" t="s">
        <v>496</v>
      </c>
      <c r="I70" s="13">
        <v>42945.474293981482</v>
      </c>
      <c r="J70" s="7">
        <v>0</v>
      </c>
      <c r="K70" s="89" t="str">
        <f t="shared" si="0"/>
        <v>4007/4008</v>
      </c>
      <c r="L70" s="21" t="str">
        <f>VLOOKUP(A70,'Trips&amp;Operators'!$C$1:$G$99999,5,FALSE)</f>
        <v>STEWART MICHAEL</v>
      </c>
      <c r="M70" s="6">
        <f t="shared" si="1"/>
        <v>2.5798611110076308E-2</v>
      </c>
      <c r="N70" s="7">
        <f t="shared" si="25"/>
        <v>37.149999998509884</v>
      </c>
      <c r="O70" s="7"/>
      <c r="P70" s="7"/>
      <c r="Q70" s="22"/>
      <c r="R70" s="170"/>
      <c r="S70" s="213">
        <f t="shared" si="26"/>
        <v>1</v>
      </c>
      <c r="T70" s="195" t="str">
        <f t="shared" si="4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-07-29T09:40:29-0600',mode:absolute,to:'2017-07-29T12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0" s="197" t="str">
        <f>IF(AA70&lt;VLOOKUP(AG70,Variables!$AC$3:$AD$8,2,FALSE),"Y","N")</f>
        <v>N</v>
      </c>
      <c r="X70" s="197">
        <f t="shared" si="24"/>
        <v>1</v>
      </c>
      <c r="Y70" s="197">
        <f t="shared" si="7"/>
        <v>4.6899999999999997E-2</v>
      </c>
      <c r="Z70" s="197">
        <f t="shared" si="8"/>
        <v>23.3278</v>
      </c>
      <c r="AA70" s="197">
        <f t="shared" si="9"/>
        <v>23.280899999999999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157</v>
      </c>
      <c r="AE70" s="77" t="str">
        <f t="shared" si="11"/>
        <v>aws s3 cp s3://rtdc.mdm.uploadarchive.raw/RTDC4008/ "%USERPROFILE%\AppData\Local\Temp\OnboardLogs"\RTDC4008\2017-07-29 --exclude "*" --recursive --include "*20170729*" &amp; "%USERPROFILE%\Documents\GitHub\mrs-test-scripts\Headless Mode &amp; Sideloading\WalkAndUnGZ.bat" "%USERPROFILE%\AppData\Local\Temp\OnboardLogs"\RTDC4008\2017-07-29 &amp; aws s3 cp s3://rtdc.mdm.uploadarchive.raw/RTDC4008/ "%USERPROFILE%\AppData\Local\Temp\OnboardLogs"\RTDC4008\2017-07-30 --exclude "*" --recursive --include "*20170730*" &amp; "%USERPROFILE%\Documents\GitHub\mrs-test-scripts\Headless Mode &amp; Sideloading\WalkAndUnGZ.bat" "%USERPROFILE%\AppData\Local\Temp\OnboardLogs"\RTDC4008\2017-07-30</v>
      </c>
      <c r="AF70" s="74" t="str">
        <f t="shared" si="12"/>
        <v>"C:\Program Files (x86)\AstroGrep\AstroGrep.exe" /e /r /s /spath="%USERPROFILE%\AppData\Local\Temp\OnboardLogs" /stypes="app*4008*20170729*" /stext=" 17:.+((SYSTEM_STATE.+slice.+state.+changed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157-29 --locoid 4008 --swversion DE.1.0.9.0 --startMP 204:469 --initTime 2017-07-29T10:40:29 --startdatetime 2017-07-29T10:45:50 --delay 2 --endMP 204:233278 --enddatetime 2017-07-29T11:22:59 --enforcementcount 0 &gt;&gt;C:\Users\stu\Documents\GitHub\eaglep3-reporting\EC\2017-07-29-refined-times.txt</v>
      </c>
      <c r="AI70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{"issue":{"subject":"","project_id":79,"tracker_id":40,"status_id":1,"priority_id":2,"assigned_to_id":23,"start_date":"2017-07-29","description":"","custom_fields":[{"id":1,"name":"Subdivision","value":"EC"},{"id":4,"name":"Milepost","value":"23.3278"},{"id":17,"name":"Train ID","value":"157-29"},{"id":16,"name":"Locomotive ID","value":"4008"},{"id":130,"name":"Impact","value":""},{"id":150,"name":"Time of Event (Mountain Time)","value":"11:22:59"},{"id":151,"name":"Denver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4008 --day 2017-07-29</v>
      </c>
      <c r="AN70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17:22:59"},{"id":29,"name":"Sharepoint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766</v>
      </c>
      <c r="B71" s="7">
        <v>4007</v>
      </c>
      <c r="C71" s="21" t="s">
        <v>198</v>
      </c>
      <c r="D71" s="21" t="s">
        <v>878</v>
      </c>
      <c r="E71" s="13">
        <v>42945.483900462961</v>
      </c>
      <c r="F71" s="13">
        <v>42945.487858796296</v>
      </c>
      <c r="G71" s="7">
        <v>2</v>
      </c>
      <c r="H71" s="21" t="s">
        <v>377</v>
      </c>
      <c r="I71" s="13">
        <v>42945.516284722224</v>
      </c>
      <c r="J71" s="7">
        <v>0</v>
      </c>
      <c r="K71" s="89" t="str">
        <f t="shared" si="0"/>
        <v>4007/4008</v>
      </c>
      <c r="L71" s="21" t="str">
        <f>VLOOKUP(A71,'Trips&amp;Operators'!$C$1:$G$99999,5,FALSE)</f>
        <v>STEWART MICHAEL</v>
      </c>
      <c r="M71" s="6">
        <f t="shared" si="1"/>
        <v>2.842592592787696E-2</v>
      </c>
      <c r="N71" s="7">
        <f t="shared" si="25"/>
        <v>40.933333336142823</v>
      </c>
      <c r="O71" s="7"/>
      <c r="P71" s="7"/>
      <c r="Q71" s="22"/>
      <c r="R71" s="170"/>
      <c r="S71" s="213">
        <f t="shared" si="26"/>
        <v>1</v>
      </c>
      <c r="T71" s="195" t="str">
        <f t="shared" si="4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-07-29T10:36:49-0600',mode:absolute,to:'2017-07-29T13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1" s="197" t="str">
        <f>IF(AA71&lt;VLOOKUP(AG71,Variables!$AC$3:$AD$8,2,FALSE),"Y","N")</f>
        <v>N</v>
      </c>
      <c r="X71" s="197">
        <f t="shared" si="24"/>
        <v>1</v>
      </c>
      <c r="Y71" s="197">
        <f t="shared" si="7"/>
        <v>23.2973</v>
      </c>
      <c r="Z71" s="197">
        <f t="shared" si="8"/>
        <v>1.54E-2</v>
      </c>
      <c r="AA71" s="197">
        <f t="shared" si="9"/>
        <v>23.2819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158</v>
      </c>
      <c r="AE71" s="77" t="str">
        <f t="shared" si="11"/>
        <v>aws s3 cp s3://rtdc.mdm.uploadarchive.raw/RTDC4007/ "%USERPROFILE%\AppData\Local\Temp\OnboardLogs"\RTDC4007\2017-07-29 --exclude "*" --recursive --include "*20170729*" &amp; "%USERPROFILE%\Documents\GitHub\mrs-test-scripts\Headless Mode &amp; Sideloading\WalkAndUnGZ.bat" "%USERPROFILE%\AppData\Local\Temp\OnboardLogs"\RTDC4007\2017-07-29 &amp; aws s3 cp s3://rtdc.mdm.uploadarchive.raw/RTDC4007/ "%USERPROFILE%\AppData\Local\Temp\OnboardLogs"\RTDC4007\2017-07-30 --exclude "*" --recursive --include "*20170730*" &amp; "%USERPROFILE%\Documents\GitHub\mrs-test-scripts\Headless Mode &amp; Sideloading\WalkAndUnGZ.bat" "%USERPROFILE%\AppData\Local\Temp\OnboardLogs"\RTDC4007\2017-07-30</v>
      </c>
      <c r="AF71" s="74" t="str">
        <f t="shared" si="12"/>
        <v>"C:\Program Files (x86)\AstroGrep\AstroGrep.exe" /e /r /s /spath="%USERPROFILE%\AppData\Local\Temp\OnboardLogs" /stypes="app*4007*20170729*" /stext=" 18:.+((SYSTEM_STATE.+slice.+state.+changed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158-29 --locoid 4007 --swversion DE.1.0.9.0 --startMP 204:232973 --initTime 2017-07-29T11:36:49 --startdatetime 2017-07-29T11:42:31 --delay 2 --endMP 204:154 --enddatetime 2017-07-29T12:23:27 --enforcementcount 0 &gt;&gt;C:\Users\stu\Documents\GitHub\eaglep3-reporting\EC\2017-07-29-refined-times.txt</v>
      </c>
      <c r="AI71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{"issue":{"subject":"","project_id":79,"tracker_id":40,"status_id":1,"priority_id":2,"assigned_to_id":23,"start_date":"2017-07-29","description":"","custom_fields":[{"id":1,"name":"Subdivision","value":"EC"},{"id":4,"name":"Milepost","value":"0.0154"},{"id":17,"name":"Train ID","value":"158-29"},{"id":16,"name":"Locomotive ID","value":"4007"},{"id":130,"name":"Impact","value":""},{"id":150,"name":"Time of Event (Mountain Time)","value":"12:23:27"},{"id":151,"name":"Denver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4007 --day 2017-07-29</v>
      </c>
      <c r="AN71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18:23:27"},{"id":29,"name":"Sharepoint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755</v>
      </c>
      <c r="B72" s="7">
        <v>4030</v>
      </c>
      <c r="C72" s="21" t="s">
        <v>198</v>
      </c>
      <c r="D72" s="21" t="s">
        <v>531</v>
      </c>
      <c r="E72" s="13">
        <v>42945.455092592594</v>
      </c>
      <c r="F72" s="13">
        <v>42945.45884259259</v>
      </c>
      <c r="G72" s="7">
        <v>1</v>
      </c>
      <c r="H72" s="21" t="s">
        <v>522</v>
      </c>
      <c r="I72" s="13">
        <v>42945.484189814815</v>
      </c>
      <c r="J72" s="7">
        <v>0</v>
      </c>
      <c r="K72" s="89" t="str">
        <f t="shared" si="0"/>
        <v>4029/4030</v>
      </c>
      <c r="L72" s="21" t="str">
        <f>VLOOKUP(A72,'Trips&amp;Operators'!$C$1:$G$99999,5,FALSE)</f>
        <v>GUZMAN DANNY</v>
      </c>
      <c r="M72" s="6">
        <f t="shared" si="1"/>
        <v>2.5347222224809229E-2</v>
      </c>
      <c r="N72" s="7">
        <f t="shared" si="25"/>
        <v>36.50000000372529</v>
      </c>
      <c r="O72" s="7"/>
      <c r="P72" s="7"/>
      <c r="Q72" s="22"/>
      <c r="R72" s="170"/>
      <c r="S72" s="213">
        <f t="shared" si="26"/>
        <v>1</v>
      </c>
      <c r="T72" s="195" t="str">
        <f t="shared" si="4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-07-29T09:55:20-0600',mode:absolute,to:'2017-07-29T12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2" s="197" t="str">
        <f>IF(AA72&lt;VLOOKUP(AG72,Variables!$AC$3:$AD$8,2,FALSE),"Y","N")</f>
        <v>N</v>
      </c>
      <c r="X72" s="197">
        <f t="shared" si="24"/>
        <v>1</v>
      </c>
      <c r="Y72" s="197">
        <f t="shared" si="7"/>
        <v>4.8599999999999997E-2</v>
      </c>
      <c r="Z72" s="197">
        <f t="shared" si="8"/>
        <v>23.333400000000001</v>
      </c>
      <c r="AA72" s="197">
        <f t="shared" si="9"/>
        <v>23.284800000000001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159</v>
      </c>
      <c r="AE72" s="77" t="str">
        <f t="shared" si="11"/>
        <v>aws s3 cp s3://rtdc.mdm.uploadarchive.raw/RTDC4030/ "%USERPROFILE%\AppData\Local\Temp\OnboardLogs"\RTDC4030\2017-07-29 --exclude "*" --recursive --include "*20170729*" &amp; "%USERPROFILE%\Documents\GitHub\mrs-test-scripts\Headless Mode &amp; Sideloading\WalkAndUnGZ.bat" "%USERPROFILE%\AppData\Local\Temp\OnboardLogs"\RTDC4030\2017-07-29 &amp; aws s3 cp s3://rtdc.mdm.uploadarchive.raw/RTDC4030/ "%USERPROFILE%\AppData\Local\Temp\OnboardLogs"\RTDC4030\2017-07-30 --exclude "*" --recursive --include "*20170730*" &amp; "%USERPROFILE%\Documents\GitHub\mrs-test-scripts\Headless Mode &amp; Sideloading\WalkAndUnGZ.bat" "%USERPROFILE%\AppData\Local\Temp\OnboardLogs"\RTDC4030\2017-07-30</v>
      </c>
      <c r="AF72" s="74" t="str">
        <f t="shared" si="12"/>
        <v>"C:\Program Files (x86)\AstroGrep\AstroGrep.exe" /e /r /s /spath="%USERPROFILE%\AppData\Local\Temp\OnboardLogs" /stypes="app*4030*20170729*" /stext=" 17:.+((SYSTEM_STATE.+slice.+state.+changed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159-29 --locoid 4030 --swversion DE.1.0.9.0 --startMP 204:486 --initTime 2017-07-29T10:55:20 --startdatetime 2017-07-29T11:00:44 --delay 1 --endMP 204:233334 --enddatetime 2017-07-29T11:37:14 --enforcementcount 0 &gt;&gt;C:\Users\stu\Documents\GitHub\eaglep3-reporting\EC\2017-07-29-refined-times.txt</v>
      </c>
      <c r="AI72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{"issue":{"subject":"","project_id":79,"tracker_id":40,"status_id":1,"priority_id":2,"assigned_to_id":23,"start_date":"2017-07-29","description":"","custom_fields":[{"id":1,"name":"Subdivision","value":"EC"},{"id":4,"name":"Milepost","value":"23.3334"},{"id":17,"name":"Train ID","value":"159-29"},{"id":16,"name":"Locomotive ID","value":"4030"},{"id":130,"name":"Impact","value":""},{"id":150,"name":"Time of Event (Mountain Time)","value":"11:37:14"},{"id":151,"name":"Denver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4030 --day 2017-07-29</v>
      </c>
      <c r="AN72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17:37:14"},{"id":29,"name":"Sharepoint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767</v>
      </c>
      <c r="B73" s="7">
        <v>4029</v>
      </c>
      <c r="C73" s="21" t="s">
        <v>198</v>
      </c>
      <c r="D73" s="21" t="s">
        <v>450</v>
      </c>
      <c r="E73" s="13">
        <v>42945.486250000002</v>
      </c>
      <c r="F73" s="13">
        <v>42945.498090277775</v>
      </c>
      <c r="G73" s="7">
        <v>1</v>
      </c>
      <c r="H73" s="21" t="s">
        <v>903</v>
      </c>
      <c r="I73" s="13">
        <v>42945.52615740741</v>
      </c>
      <c r="J73" s="7">
        <v>0</v>
      </c>
      <c r="K73" s="89" t="str">
        <f t="shared" si="0"/>
        <v>4029/4030</v>
      </c>
      <c r="L73" s="21" t="str">
        <f>VLOOKUP(A73,'Trips&amp;Operators'!$C$1:$G$99999,5,FALSE)</f>
        <v>GUZMAN DANNY</v>
      </c>
      <c r="M73" s="6">
        <f t="shared" si="1"/>
        <v>2.8067129635019228E-2</v>
      </c>
      <c r="N73" s="7">
        <f t="shared" si="25"/>
        <v>40.416666674427688</v>
      </c>
      <c r="O73" s="7"/>
      <c r="P73" s="7"/>
      <c r="Q73" s="22"/>
      <c r="R73" s="170"/>
      <c r="S73" s="213">
        <f t="shared" si="26"/>
        <v>1</v>
      </c>
      <c r="T73" s="195" t="str">
        <f t="shared" si="4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-07-29T10:40:12-0600',mode:absolute,to:'2017-07-29T13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3" s="197" t="str">
        <f>IF(AA73&lt;VLOOKUP(AG73,Variables!$AC$3:$AD$8,2,FALSE),"Y","N")</f>
        <v>N</v>
      </c>
      <c r="X73" s="197">
        <f t="shared" si="24"/>
        <v>1</v>
      </c>
      <c r="Y73" s="197">
        <f t="shared" si="7"/>
        <v>23.299399999999999</v>
      </c>
      <c r="Z73" s="197">
        <f t="shared" si="8"/>
        <v>1.34E-2</v>
      </c>
      <c r="AA73" s="197">
        <f t="shared" si="9"/>
        <v>23.285999999999998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160</v>
      </c>
      <c r="AE73" s="77" t="str">
        <f t="shared" si="11"/>
        <v>aws s3 cp s3://rtdc.mdm.uploadarchive.raw/RTDC4029/ "%USERPROFILE%\AppData\Local\Temp\OnboardLogs"\RTDC4029\2017-07-29 --exclude "*" --recursive --include "*20170729*" &amp; "%USERPROFILE%\Documents\GitHub\mrs-test-scripts\Headless Mode &amp; Sideloading\WalkAndUnGZ.bat" "%USERPROFILE%\AppData\Local\Temp\OnboardLogs"\RTDC4029\2017-07-29 &amp; aws s3 cp s3://rtdc.mdm.uploadarchive.raw/RTDC4029/ "%USERPROFILE%\AppData\Local\Temp\OnboardLogs"\RTDC4029\2017-07-30 --exclude "*" --recursive --include "*20170730*" &amp; "%USERPROFILE%\Documents\GitHub\mrs-test-scripts\Headless Mode &amp; Sideloading\WalkAndUnGZ.bat" "%USERPROFILE%\AppData\Local\Temp\OnboardLogs"\RTDC4029\2017-07-30</v>
      </c>
      <c r="AF73" s="74" t="str">
        <f t="shared" si="12"/>
        <v>"C:\Program Files (x86)\AstroGrep\AstroGrep.exe" /e /r /s /spath="%USERPROFILE%\AppData\Local\Temp\OnboardLogs" /stypes="app*4029*20170729*" /stext=" 18:.+((SYSTEM_STATE.+slice.+state.+changed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160-29 --locoid 4029 --swversion DE.1.0.9.0 --startMP 204:232994 --initTime 2017-07-29T11:40:12 --startdatetime 2017-07-29T11:57:15 --delay 1 --endMP 204:134 --enddatetime 2017-07-29T12:37:40 --enforcementcount 0 &gt;&gt;C:\Users\stu\Documents\GitHub\eaglep3-reporting\EC\2017-07-29-refined-times.txt</v>
      </c>
      <c r="AI73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{"issue":{"subject":"","project_id":79,"tracker_id":40,"status_id":1,"priority_id":2,"assigned_to_id":23,"start_date":"2017-07-29","description":"","custom_fields":[{"id":1,"name":"Subdivision","value":"EC"},{"id":4,"name":"Milepost","value":"0.0134"},{"id":17,"name":"Train ID","value":"160-29"},{"id":16,"name":"Locomotive ID","value":"4029"},{"id":130,"name":"Impact","value":""},{"id":150,"name":"Time of Event (Mountain Time)","value":"12:37:40"},{"id":151,"name":"Denver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4029 --day 2017-07-29</v>
      </c>
      <c r="AN73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18:37:40"},{"id":29,"name":"Sharepoint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759</v>
      </c>
      <c r="B74" s="7">
        <v>4024</v>
      </c>
      <c r="C74" s="21" t="s">
        <v>198</v>
      </c>
      <c r="D74" s="21" t="s">
        <v>412</v>
      </c>
      <c r="E74" s="13">
        <v>42945.466111111113</v>
      </c>
      <c r="F74" s="13">
        <v>42945.469363425924</v>
      </c>
      <c r="G74" s="7">
        <v>2</v>
      </c>
      <c r="H74" s="21" t="s">
        <v>904</v>
      </c>
      <c r="I74" s="13">
        <v>42945.494537037041</v>
      </c>
      <c r="J74" s="7">
        <v>0</v>
      </c>
      <c r="K74" s="89" t="str">
        <f t="shared" si="0"/>
        <v>4023/4024</v>
      </c>
      <c r="L74" s="21" t="str">
        <f>VLOOKUP(A74,'Trips&amp;Operators'!$C$1:$G$99999,5,FALSE)</f>
        <v>SAFIEF AEIMEN</v>
      </c>
      <c r="M74" s="6">
        <f t="shared" si="1"/>
        <v>2.5173611116770189E-2</v>
      </c>
      <c r="N74" s="7">
        <f t="shared" si="25"/>
        <v>36.250000008149073</v>
      </c>
      <c r="O74" s="7"/>
      <c r="P74" s="7"/>
      <c r="Q74" s="22"/>
      <c r="R74" s="170"/>
      <c r="S74" s="213">
        <f t="shared" si="26"/>
        <v>1</v>
      </c>
      <c r="T74" s="195" t="str">
        <f t="shared" si="4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-07-29T10:11:12-0600',mode:absolute,to:'2017-07-29T12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4" s="197" t="str">
        <f>IF(AA74&lt;VLOOKUP(AG74,Variables!$AC$3:$AD$8,2,FALSE),"Y","N")</f>
        <v>N</v>
      </c>
      <c r="X74" s="197">
        <f t="shared" si="24"/>
        <v>1</v>
      </c>
      <c r="Y74" s="197">
        <f t="shared" si="7"/>
        <v>4.7100000000000003E-2</v>
      </c>
      <c r="Z74" s="197">
        <f t="shared" si="8"/>
        <v>23.334499999999998</v>
      </c>
      <c r="AA74" s="197">
        <f t="shared" si="9"/>
        <v>23.287399999999998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161</v>
      </c>
      <c r="AE74" s="77" t="str">
        <f t="shared" si="11"/>
        <v>aws s3 cp s3://rtdc.mdm.uploadarchive.raw/RTDC4024/ "%USERPROFILE%\AppData\Local\Temp\OnboardLogs"\RTDC4024\2017-07-29 --exclude "*" --recursive --include "*20170729*" &amp; "%USERPROFILE%\Documents\GitHub\mrs-test-scripts\Headless Mode &amp; Sideloading\WalkAndUnGZ.bat" "%USERPROFILE%\AppData\Local\Temp\OnboardLogs"\RTDC4024\2017-07-29 &amp; aws s3 cp s3://rtdc.mdm.uploadarchive.raw/RTDC4024/ "%USERPROFILE%\AppData\Local\Temp\OnboardLogs"\RTDC4024\2017-07-30 --exclude "*" --recursive --include "*20170730*" &amp; "%USERPROFILE%\Documents\GitHub\mrs-test-scripts\Headless Mode &amp; Sideloading\WalkAndUnGZ.bat" "%USERPROFILE%\AppData\Local\Temp\OnboardLogs"\RTDC4024\2017-07-30</v>
      </c>
      <c r="AF74" s="74" t="str">
        <f t="shared" si="12"/>
        <v>"C:\Program Files (x86)\AstroGrep\AstroGrep.exe" /e /r /s /spath="%USERPROFILE%\AppData\Local\Temp\OnboardLogs" /stypes="app*4024*20170729*" /stext=" 17:.+((SYSTEM_STATE.+slice.+state.+changed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161-29 --locoid 4024 --swversion DE.1.0.9.0 --startMP 204:471 --initTime 2017-07-29T11:11:12 --startdatetime 2017-07-29T11:15:53 --delay 2 --endMP 204:233345 --enddatetime 2017-07-29T11:52:08 --enforcementcount 0 &gt;&gt;C:\Users\stu\Documents\GitHub\eaglep3-reporting\EC\2017-07-29-refined-times.txt</v>
      </c>
      <c r="AI74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{"issue":{"subject":"","project_id":79,"tracker_id":40,"status_id":1,"priority_id":2,"assigned_to_id":23,"start_date":"2017-07-29","description":"","custom_fields":[{"id":1,"name":"Subdivision","value":"EC"},{"id":4,"name":"Milepost","value":"23.3345"},{"id":17,"name":"Train ID","value":"161-29"},{"id":16,"name":"Locomotive ID","value":"4024"},{"id":130,"name":"Impact","value":""},{"id":150,"name":"Time of Event (Mountain Time)","value":"11:52:08"},{"id":151,"name":"Denver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4024 --day 2017-07-29</v>
      </c>
      <c r="AN74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17:52:08"},{"id":29,"name":"Sharepoint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772</v>
      </c>
      <c r="B75" s="7">
        <v>4023</v>
      </c>
      <c r="C75" s="21" t="s">
        <v>198</v>
      </c>
      <c r="D75" s="21" t="s">
        <v>905</v>
      </c>
      <c r="E75" s="13">
        <v>42945.496527777781</v>
      </c>
      <c r="F75" s="13">
        <v>42945.508599537039</v>
      </c>
      <c r="G75" s="7">
        <v>2</v>
      </c>
      <c r="H75" s="21" t="s">
        <v>343</v>
      </c>
      <c r="I75" s="13">
        <v>42945.536944444444</v>
      </c>
      <c r="J75" s="7">
        <v>0</v>
      </c>
      <c r="K75" s="89" t="str">
        <f t="shared" si="0"/>
        <v>4023/4024</v>
      </c>
      <c r="L75" s="21" t="str">
        <f>VLOOKUP(A75,'Trips&amp;Operators'!$C$1:$G$99999,5,FALSE)</f>
        <v>SAFIEF AEIMEN</v>
      </c>
      <c r="M75" s="6">
        <f t="shared" si="1"/>
        <v>2.8344907404971309E-2</v>
      </c>
      <c r="N75" s="7">
        <f t="shared" si="25"/>
        <v>40.816666663158685</v>
      </c>
      <c r="O75" s="7"/>
      <c r="P75" s="7"/>
      <c r="Q75" s="22"/>
      <c r="R75" s="170"/>
      <c r="S75" s="213">
        <f t="shared" si="26"/>
        <v>1</v>
      </c>
      <c r="T75" s="195" t="str">
        <f t="shared" si="4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-07-29T10:55:00-0600',mode:absolute,to:'2017-07-29T13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5" s="197" t="str">
        <f>IF(AA75&lt;VLOOKUP(AG75,Variables!$AC$3:$AD$8,2,FALSE),"Y","N")</f>
        <v>N</v>
      </c>
      <c r="X75" s="197">
        <f t="shared" si="24"/>
        <v>1</v>
      </c>
      <c r="Y75" s="197">
        <f t="shared" si="7"/>
        <v>23.3005</v>
      </c>
      <c r="Z75" s="197">
        <f t="shared" si="8"/>
        <v>1.43E-2</v>
      </c>
      <c r="AA75" s="197">
        <f t="shared" si="9"/>
        <v>23.286200000000001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162</v>
      </c>
      <c r="AE75" s="77" t="str">
        <f t="shared" si="11"/>
        <v>aws s3 cp s3://rtdc.mdm.uploadarchive.raw/RTDC4023/ "%USERPROFILE%\AppData\Local\Temp\OnboardLogs"\RTDC4023\2017-07-29 --exclude "*" --recursive --include "*20170729*" &amp; "%USERPROFILE%\Documents\GitHub\mrs-test-scripts\Headless Mode &amp; Sideloading\WalkAndUnGZ.bat" "%USERPROFILE%\AppData\Local\Temp\OnboardLogs"\RTDC4023\2017-07-29 &amp; aws s3 cp s3://rtdc.mdm.uploadarchive.raw/RTDC4023/ "%USERPROFILE%\AppData\Local\Temp\OnboardLogs"\RTDC4023\2017-07-30 --exclude "*" --recursive --include "*20170730*" &amp; "%USERPROFILE%\Documents\GitHub\mrs-test-scripts\Headless Mode &amp; Sideloading\WalkAndUnGZ.bat" "%USERPROFILE%\AppData\Local\Temp\OnboardLogs"\RTDC4023\2017-07-30</v>
      </c>
      <c r="AF75" s="74" t="str">
        <f t="shared" si="12"/>
        <v>"C:\Program Files (x86)\AstroGrep\AstroGrep.exe" /e /r /s /spath="%USERPROFILE%\AppData\Local\Temp\OnboardLogs" /stypes="app*4023*20170729*"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162-29 --locoid 4023 --swversion DE.1.0.9.0 --startMP 204:233005 --initTime 2017-07-29T11:55:00 --startdatetime 2017-07-29T12:12:23 --delay 2 --endMP 204:143 --enddatetime 2017-07-29T12:53:12 --enforcementcount 0 &gt;&gt;C:\Users\stu\Documents\GitHub\eaglep3-reporting\EC\2017-07-29-refined-times.txt</v>
      </c>
      <c r="AI75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{"issue":{"subject":"","project_id":79,"tracker_id":40,"status_id":1,"priority_id":2,"assigned_to_id":23,"start_date":"2017-07-29","description":"","custom_fields":[{"id":1,"name":"Subdivision","value":"EC"},{"id":4,"name":"Milepost","value":"0.0143"},{"id":17,"name":"Train ID","value":"162-29"},{"id":16,"name":"Locomotive ID","value":"4023"},{"id":130,"name":"Impact","value":""},{"id":150,"name":"Time of Event (Mountain Time)","value":"12:53:12"},{"id":151,"name":"Denver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4023 --day 2017-07-29</v>
      </c>
      <c r="AN75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18:53:12"},{"id":29,"name":"Sharepoint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762</v>
      </c>
      <c r="B76" s="7">
        <v>4056</v>
      </c>
      <c r="C76" s="21" t="s">
        <v>198</v>
      </c>
      <c r="D76" s="21" t="s">
        <v>453</v>
      </c>
      <c r="E76" s="13">
        <v>42945.476111111115</v>
      </c>
      <c r="F76" s="13">
        <v>42945.479791666665</v>
      </c>
      <c r="G76" s="7">
        <v>1</v>
      </c>
      <c r="H76" s="21" t="s">
        <v>618</v>
      </c>
      <c r="I76" s="13">
        <v>42945.506377314814</v>
      </c>
      <c r="J76" s="7">
        <v>0</v>
      </c>
      <c r="K76" s="89" t="str">
        <f t="shared" si="0"/>
        <v>4055/4056</v>
      </c>
      <c r="L76" s="21" t="str">
        <f>VLOOKUP(A76,'Trips&amp;Operators'!$C$1:$G$99999,5,FALSE)</f>
        <v>THOMPSON LESTER</v>
      </c>
      <c r="M76" s="6">
        <f t="shared" si="1"/>
        <v>2.658564814919373E-2</v>
      </c>
      <c r="N76" s="7">
        <f t="shared" si="25"/>
        <v>38.283333334838971</v>
      </c>
      <c r="O76" s="7"/>
      <c r="P76" s="7"/>
      <c r="Q76" s="22"/>
      <c r="R76" s="170"/>
      <c r="S76" s="213">
        <f t="shared" si="26"/>
        <v>1</v>
      </c>
      <c r="T76" s="195" t="str">
        <f t="shared" si="4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-07-29T10:25:36-0600',mode:absolute,to:'2017-07-29T13:09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6" s="197" t="str">
        <f>IF(AA76&lt;VLOOKUP(AG76,Variables!$AC$3:$AD$8,2,FALSE),"Y","N")</f>
        <v>N</v>
      </c>
      <c r="X76" s="197">
        <f t="shared" si="24"/>
        <v>1</v>
      </c>
      <c r="Y76" s="197">
        <f t="shared" si="7"/>
        <v>4.5999999999999999E-2</v>
      </c>
      <c r="Z76" s="197">
        <f t="shared" si="8"/>
        <v>23.332899999999999</v>
      </c>
      <c r="AA76" s="197">
        <f t="shared" si="9"/>
        <v>23.286899999999999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163</v>
      </c>
      <c r="AE76" s="77" t="str">
        <f t="shared" si="11"/>
        <v>aws s3 cp s3://rtdc.mdm.uploadarchive.raw/RTDC4056/ "%USERPROFILE%\AppData\Local\Temp\OnboardLogs"\RTDC4056\2017-07-29 --exclude "*" --recursive --include "*20170729*" &amp; "%USERPROFILE%\Documents\GitHub\mrs-test-scripts\Headless Mode &amp; Sideloading\WalkAndUnGZ.bat" "%USERPROFILE%\AppData\Local\Temp\OnboardLogs"\RTDC4056\2017-07-29 &amp; aws s3 cp s3://rtdc.mdm.uploadarchive.raw/RTDC4056/ "%USERPROFILE%\AppData\Local\Temp\OnboardLogs"\RTDC4056\2017-07-30 --exclude "*" --recursive --include "*20170730*" &amp; "%USERPROFILE%\Documents\GitHub\mrs-test-scripts\Headless Mode &amp; Sideloading\WalkAndUnGZ.bat" "%USERPROFILE%\AppData\Local\Temp\OnboardLogs"\RTDC4056\2017-07-30</v>
      </c>
      <c r="AF76" s="74" t="str">
        <f t="shared" si="12"/>
        <v>"C:\Program Files (x86)\AstroGrep\AstroGrep.exe" /e /r /s /spath="%USERPROFILE%\AppData\Local\Temp\OnboardLogs" /stypes="app*4056*20170729*" /stext=" 18:.+((SYSTEM_STATE.+slice.+state.+changed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163-29 --locoid 4056 --swversion DE.1.0.9.0 --startMP 204:460 --initTime 2017-07-29T11:25:36 --startdatetime 2017-07-29T11:30:54 --delay 1 --endMP 204:233329 --enddatetime 2017-07-29T12:09:11 --enforcementcount 0 &gt;&gt;C:\Users\stu\Documents\GitHub\eaglep3-reporting\EC\2017-07-29-refined-times.txt</v>
      </c>
      <c r="AI76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{"issue":{"subject":"","project_id":79,"tracker_id":40,"status_id":1,"priority_id":2,"assigned_to_id":23,"start_date":"2017-07-29","description":"","custom_fields":[{"id":1,"name":"Subdivision","value":"EC"},{"id":4,"name":"Milepost","value":"23.3329"},{"id":17,"name":"Train ID","value":"163-29"},{"id":16,"name":"Locomotive ID","value":"4056"},{"id":130,"name":"Impact","value":""},{"id":150,"name":"Time of Event (Mountain Time)","value":"12:09:11"},{"id":151,"name":"Denver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4056 --day 2017-07-29</v>
      </c>
      <c r="AN76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18:09:11"},{"id":29,"name":"Sharepoint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777</v>
      </c>
      <c r="B77" s="7">
        <v>4055</v>
      </c>
      <c r="C77" s="21" t="s">
        <v>198</v>
      </c>
      <c r="D77" s="21" t="s">
        <v>620</v>
      </c>
      <c r="E77" s="13">
        <v>42945.516145833331</v>
      </c>
      <c r="F77" s="13">
        <v>42945.51898148148</v>
      </c>
      <c r="G77" s="7">
        <v>1</v>
      </c>
      <c r="H77" s="21" t="s">
        <v>343</v>
      </c>
      <c r="I77" s="13">
        <v>42945.547002314815</v>
      </c>
      <c r="J77" s="7">
        <v>0</v>
      </c>
      <c r="K77" s="89" t="str">
        <f t="shared" ref="K77:K140" si="27">IF(ISEVEN(B77),(B77-1)&amp;"/"&amp;B77,B77&amp;"/"&amp;(B77+1))</f>
        <v>4055/4056</v>
      </c>
      <c r="L77" s="21" t="str">
        <f>VLOOKUP(A77,'Trips&amp;Operators'!$C$1:$G$99999,5,FALSE)</f>
        <v>THOMPSON LESTER</v>
      </c>
      <c r="M77" s="6">
        <f t="shared" ref="M77:M140" si="28">I77-F77</f>
        <v>2.8020833335176576E-2</v>
      </c>
      <c r="N77" s="7">
        <f t="shared" si="25"/>
        <v>40.350000002654269</v>
      </c>
      <c r="O77" s="7"/>
      <c r="P77" s="7"/>
      <c r="Q77" s="22"/>
      <c r="R77" s="170"/>
      <c r="S77" s="213">
        <f t="shared" si="26"/>
        <v>1</v>
      </c>
      <c r="T77" s="195" t="str">
        <f t="shared" ref="T77:T140" si="29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-29T11:23:15-0600',mode:absolute,to:'2017-07-29T14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7" s="197" t="str">
        <f>IF(AA77&lt;VLOOKUP(AG77,Variables!$AC$3:$AD$8,2,FALSE),"Y","N")</f>
        <v>N</v>
      </c>
      <c r="X77" s="197">
        <f t="shared" ref="X77:X108" si="31">VALUE(LEFT(AD77,4))-VALUE(LEFT(AD76,4))</f>
        <v>1</v>
      </c>
      <c r="Y77" s="197">
        <f t="shared" ref="Y77:Y140" si="32">RIGHT(D77,LEN(D77)-4)/10000</f>
        <v>23.300799999999999</v>
      </c>
      <c r="Z77" s="197">
        <f t="shared" ref="Z77:Z140" si="33">RIGHT(H77,LEN(H77)-4)/10000</f>
        <v>1.43E-2</v>
      </c>
      <c r="AA77" s="197">
        <f t="shared" ref="AA77:AA140" si="34">ABS(Z77-Y77)</f>
        <v>23.2865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5">VALUE(LEFT(A77,LEN(A77)-3))</f>
        <v>164</v>
      </c>
      <c r="AE77" s="77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s3://rtdc.mdm.uploadarchive.raw/RTDC4055/ "%USERPROFILE%\AppData\Local\Temp\OnboardLogs"\RTDC4055\2017-07-29 --exclude "*" --recursive --include "*20170729*" &amp; "%USERPROFILE%\Documents\GitHub\mrs-test-scripts\Headless Mode &amp; Sideloading\WalkAndUnGZ.bat" "%USERPROFILE%\AppData\Local\Temp\OnboardLogs"\RTDC4055\2017-07-29 &amp; aws s3 cp s3://rtdc.mdm.uploadarchive.raw/RTDC4055/ "%USERPROFILE%\AppData\Local\Temp\OnboardLogs"\RTDC4055\2017-07-30 --exclude "*" --recursive --include "*20170730*" &amp; "%USERPROFILE%\Documents\GitHub\mrs-test-scripts\Headless Mode &amp; Sideloading\WalkAndUnGZ.bat" "%USERPROFILE%\AppData\Local\Temp\OnboardLogs"\RTDC4055\2017-07-30</v>
      </c>
      <c r="AF77" s="74" t="str">
        <f t="shared" ref="AF77:AF140" si="3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/stypes="app*4055*20170729*" /stext=" 19:.+((SYSTEM_STATE.+slice.+state.+changed )|(ment ac)|(multiple cpu faults)|(system.+state.+changed )|(\[timeout)|(PRM\|1\|D)|(kpr)|(kdp)|(train st.+moving)|(\|lc)|(penalty))"</v>
      </c>
      <c r="AG77" s="209" t="str">
        <f t="shared" ref="AG77:AG140" si="38">DetSubdiv(A77)</f>
        <v>EC</v>
      </c>
      <c r="AH77" s="78" t="str">
        <f t="shared" si="18"/>
        <v>"%USERPROFILE%\Documents\GitHub\eaglep3\Utilities\RefineRTDCRunTimes.py" --tripid 164-29 --locoid 4055 --swversion DE.1.0.9.0 --startMP 204:233008 --initTime 2017-07-29T12:23:15 --startdatetime 2017-07-29T12:27:20 --delay 1 --endMP 204:143 --enddatetime 2017-07-29T13:07:41 --enforcementcount 0 &gt;&gt;C:\Users\stu\Documents\GitHub\eaglep3-reporting\EC\2017-07-29-refined-times.txt</v>
      </c>
      <c r="AI77" s="96" t="str">
        <f t="shared" si="19"/>
        <v>echo {"issue":{"subject":"","project_id":79,"tracker_id":40,"status_id":1,"priority_id":2,"assigned_to_id":23,"start_date":"2017-07-29","description":"","custom_fields":[{"id":1,"name":"Subdivision","value":"EC"},{"id":4,"name":"Milepost","value":"0.0143"},{"id":17,"name":"Train ID","value":"164-29"},{"id":16,"name":"Locomotive ID","value":"4055"},{"id":130,"name":"Impact","value":""},{"id":150,"name":"Time of Event (Mountain Time)","value":"13:07:41"},{"id":151,"name":"Denver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4055 --day 2017-07-29</v>
      </c>
      <c r="AN77" s="151" t="str">
        <f t="shared" si="21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19:07:41"},{"id":29,"name":"Sharepoint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768</v>
      </c>
      <c r="B78" s="7">
        <v>4012</v>
      </c>
      <c r="C78" s="21" t="s">
        <v>198</v>
      </c>
      <c r="D78" s="21" t="s">
        <v>396</v>
      </c>
      <c r="E78" s="13">
        <v>42945.487071759257</v>
      </c>
      <c r="F78" s="13">
        <v>42945.489803240744</v>
      </c>
      <c r="G78" s="7">
        <v>1</v>
      </c>
      <c r="H78" s="21" t="s">
        <v>906</v>
      </c>
      <c r="I78" s="13">
        <v>42945.515405092592</v>
      </c>
      <c r="J78" s="7">
        <v>0</v>
      </c>
      <c r="K78" s="89" t="str">
        <f t="shared" si="27"/>
        <v>4011/4012</v>
      </c>
      <c r="L78" s="21" t="str">
        <f>VLOOKUP(A78,'Trips&amp;Operators'!$C$1:$G$99999,5,FALSE)</f>
        <v>DUNCAN SHEILA</v>
      </c>
      <c r="M78" s="6">
        <f t="shared" si="28"/>
        <v>2.5601851848477963E-2</v>
      </c>
      <c r="N78" s="7">
        <f t="shared" si="25"/>
        <v>36.866666661808267</v>
      </c>
      <c r="O78" s="7"/>
      <c r="P78" s="7"/>
      <c r="Q78" s="22"/>
      <c r="R78" s="170"/>
      <c r="S78" s="213">
        <f t="shared" si="26"/>
        <v>1</v>
      </c>
      <c r="T78" s="195" t="str">
        <f t="shared" si="29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0"/>
        <v>https://d0f6bd738d7f1b3e5a7ca70fe4ff75f0.us-east-1.aws.found.io/app/kibana#/discover/Steve-Slow-Train-Analysis-(2080s-and-2083s)?_g=(refreshInterval:(display:Off,pause:!f,section:0,value:0),time:(from:'2017-07-29T10:41:23-0600',mode:absolute,to:'2017-07-29T13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8" s="197" t="str">
        <f>IF(AA78&lt;VLOOKUP(AG78,Variables!$AC$3:$AD$8,2,FALSE),"Y","N")</f>
        <v>N</v>
      </c>
      <c r="X78" s="197">
        <f t="shared" si="31"/>
        <v>1</v>
      </c>
      <c r="Y78" s="197">
        <f t="shared" si="32"/>
        <v>4.5499999999999999E-2</v>
      </c>
      <c r="Z78" s="197">
        <f t="shared" si="33"/>
        <v>23.3339</v>
      </c>
      <c r="AA78" s="197">
        <f t="shared" si="34"/>
        <v>23.288399999999999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5"/>
        <v>165</v>
      </c>
      <c r="AE78" s="77" t="str">
        <f t="shared" si="36"/>
        <v>aws s3 cp s3://rtdc.mdm.uploadarchive.raw/RTDC4012/ "%USERPROFILE%\AppData\Local\Temp\OnboardLogs"\RTDC4012\2017-07-29 --exclude "*" --recursive --include "*20170729*" &amp; "%USERPROFILE%\Documents\GitHub\mrs-test-scripts\Headless Mode &amp; Sideloading\WalkAndUnGZ.bat" "%USERPROFILE%\AppData\Local\Temp\OnboardLogs"\RTDC4012\2017-07-29 &amp; aws s3 cp s3://rtdc.mdm.uploadarchive.raw/RTDC4012/ "%USERPROFILE%\AppData\Local\Temp\OnboardLogs"\RTDC4012\2017-07-30 --exclude "*" --recursive --include "*20170730*" &amp; "%USERPROFILE%\Documents\GitHub\mrs-test-scripts\Headless Mode &amp; Sideloading\WalkAndUnGZ.bat" "%USERPROFILE%\AppData\Local\Temp\OnboardLogs"\RTDC4012\2017-07-30</v>
      </c>
      <c r="AF78" s="74" t="str">
        <f t="shared" si="37"/>
        <v>"C:\Program Files (x86)\AstroGrep\AstroGrep.exe" /e /r /s /spath="%USERPROFILE%\AppData\Local\Temp\OnboardLogs" /stypes="app*4012*20170729*" /stext=" 18:.+((SYSTEM_STATE.+slice.+state.+changed )|(ment ac)|(multiple cpu faults)|(system.+state.+changed )|(\[timeout)|(PRM\|1\|D)|(kpr)|(kdp)|(train st.+moving)|(\|lc)|(penalty))"</v>
      </c>
      <c r="AG78" s="209" t="str">
        <f t="shared" si="38"/>
        <v>EC</v>
      </c>
      <c r="AH78" s="78" t="str">
        <f t="shared" ref="AH78:AH141" si="3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165-29 --locoid 4012 --swversion DE.1.0.9.0 --startMP 204:455 --initTime 2017-07-29T11:41:23 --startdatetime 2017-07-29T11:45:19 --delay 1 --endMP 204:233339 --enddatetime 2017-07-29T12:22:11 --enforcementcount 0 &gt;&gt;C:\Users\stu\Documents\GitHub\eaglep3-reporting\EC\2017-07-29-refined-times.txt</v>
      </c>
      <c r="AI78" s="96" t="str">
        <f t="shared" ref="AI78:AI141" si="4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{"issue":{"subject":"","project_id":79,"tracker_id":40,"status_id":1,"priority_id":2,"assigned_to_id":23,"start_date":"2017-07-29","description":"","custom_fields":[{"id":1,"name":"Subdivision","value":"EC"},{"id":4,"name":"Milepost","value":"23.3339"},{"id":17,"name":"Train ID","value":"165-29"},{"id":16,"name":"Locomotive ID","value":"4012"},{"id":130,"name":"Impact","value":""},{"id":150,"name":"Time of Event (Mountain Time)","value":"12:22:11"},{"id":151,"name":"Denver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41">"start /low /b "&amp;dls3logs&amp;" --loco "&amp;B78&amp;" --day "&amp;TEXT(F78,"YYYY-MM-DD")</f>
        <v>start /low /b %USERPROFILE%\Documents\GitHub\eaglep3\Utilities\DownloadLogsFromS3.py --loco 4012 --day 2017-07-29</v>
      </c>
      <c r="AN78" s="151" t="str">
        <f t="shared" ref="AN78:AN141" si="42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18:22:11"},{"id":29,"name":"Sharepoint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779</v>
      </c>
      <c r="B79" s="7">
        <v>4011</v>
      </c>
      <c r="C79" s="21" t="s">
        <v>198</v>
      </c>
      <c r="D79" s="21" t="s">
        <v>907</v>
      </c>
      <c r="E79" s="13">
        <v>42945.522800925923</v>
      </c>
      <c r="F79" s="13">
        <v>42945.529340277775</v>
      </c>
      <c r="G79" s="7">
        <v>1</v>
      </c>
      <c r="H79" s="21" t="s">
        <v>352</v>
      </c>
      <c r="I79" s="13">
        <v>42945.557303240741</v>
      </c>
      <c r="J79" s="7">
        <v>0</v>
      </c>
      <c r="K79" s="89" t="str">
        <f t="shared" si="27"/>
        <v>4011/4012</v>
      </c>
      <c r="L79" s="21" t="str">
        <f>VLOOKUP(A79,'Trips&amp;Operators'!$C$1:$G$99999,5,FALSE)</f>
        <v>DUNCAN SHEILA</v>
      </c>
      <c r="M79" s="6">
        <f t="shared" si="28"/>
        <v>2.7962962965830229E-2</v>
      </c>
      <c r="N79" s="7">
        <f t="shared" si="25"/>
        <v>40.26666667079553</v>
      </c>
      <c r="O79" s="7"/>
      <c r="P79" s="7"/>
      <c r="Q79" s="22"/>
      <c r="R79" s="170"/>
      <c r="S79" s="213">
        <f t="shared" si="26"/>
        <v>1</v>
      </c>
      <c r="T79" s="195" t="str">
        <f t="shared" si="29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0"/>
        <v>https://d0f6bd738d7f1b3e5a7ca70fe4ff75f0.us-east-1.aws.found.io/app/kibana#/discover/Steve-Slow-Train-Analysis-(2080s-and-2083s)?_g=(refreshInterval:(display:Off,pause:!f,section:0,value:0),time:(from:'2017-07-29T11:32:50-0600',mode:absolute,to:'2017-07-29T14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9" s="197" t="str">
        <f>IF(AA79&lt;VLOOKUP(AG79,Variables!$AC$3:$AD$8,2,FALSE),"Y","N")</f>
        <v>N</v>
      </c>
      <c r="X79" s="197">
        <f t="shared" si="31"/>
        <v>1</v>
      </c>
      <c r="Y79" s="197">
        <f t="shared" si="32"/>
        <v>23.302099999999999</v>
      </c>
      <c r="Z79" s="197">
        <f t="shared" si="33"/>
        <v>1.47E-2</v>
      </c>
      <c r="AA79" s="197">
        <f t="shared" si="34"/>
        <v>23.287399999999998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5"/>
        <v>166</v>
      </c>
      <c r="AE79" s="77" t="str">
        <f t="shared" si="36"/>
        <v>aws s3 cp s3://rtdc.mdm.uploadarchive.raw/RTDC4011/ "%USERPROFILE%\AppData\Local\Temp\OnboardLogs"\RTDC4011\2017-07-29 --exclude "*" --recursive --include "*20170729*" &amp; "%USERPROFILE%\Documents\GitHub\mrs-test-scripts\Headless Mode &amp; Sideloading\WalkAndUnGZ.bat" "%USERPROFILE%\AppData\Local\Temp\OnboardLogs"\RTDC4011\2017-07-29 &amp; aws s3 cp s3://rtdc.mdm.uploadarchive.raw/RTDC4011/ "%USERPROFILE%\AppData\Local\Temp\OnboardLogs"\RTDC4011\2017-07-30 --exclude "*" --recursive --include "*20170730*" &amp; "%USERPROFILE%\Documents\GitHub\mrs-test-scripts\Headless Mode &amp; Sideloading\WalkAndUnGZ.bat" "%USERPROFILE%\AppData\Local\Temp\OnboardLogs"\RTDC4011\2017-07-30</v>
      </c>
      <c r="AF79" s="74" t="str">
        <f t="shared" si="37"/>
        <v>"C:\Program Files (x86)\AstroGrep\AstroGrep.exe" /e /r /s /spath="%USERPROFILE%\AppData\Local\Temp\OnboardLogs" /stypes="app*4011*20170729*" /stext=" 19:.+((SYSTEM_STATE.+slice.+state.+changed )|(ment ac)|(multiple cpu faults)|(system.+state.+changed )|(\[timeout)|(PRM\|1\|D)|(kpr)|(kdp)|(train st.+moving)|(\|lc)|(penalty))"</v>
      </c>
      <c r="AG79" s="209" t="str">
        <f t="shared" si="38"/>
        <v>EC</v>
      </c>
      <c r="AH79" s="78" t="str">
        <f t="shared" si="39"/>
        <v>"%USERPROFILE%\Documents\GitHub\eaglep3\Utilities\RefineRTDCRunTimes.py" --tripid 166-29 --locoid 4011 --swversion DE.1.0.9.0 --startMP 204:233021 --initTime 2017-07-29T12:32:50 --startdatetime 2017-07-29T12:42:15 --delay 1 --endMP 204:147 --enddatetime 2017-07-29T13:22:31 --enforcementcount 0 &gt;&gt;C:\Users\stu\Documents\GitHub\eaglep3-reporting\EC\2017-07-29-refined-times.txt</v>
      </c>
      <c r="AI79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{"issue":{"subject":"","project_id":79,"tracker_id":40,"status_id":1,"priority_id":2,"assigned_to_id":23,"start_date":"2017-07-29","description":"","custom_fields":[{"id":1,"name":"Subdivision","value":"EC"},{"id":4,"name":"Milepost","value":"0.0147"},{"id":17,"name":"Train ID","value":"166-29"},{"id":16,"name":"Locomotive ID","value":"4011"},{"id":130,"name":"Impact","value":""},{"id":150,"name":"Time of Event (Mountain Time)","value":"13:22:31"},{"id":151,"name":"Denver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1"/>
        <v>start /low /b %USERPROFILE%\Documents\GitHub\eaglep3\Utilities\DownloadLogsFromS3.py --loco 4011 --day 2017-07-29</v>
      </c>
      <c r="AN79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19:22:31"},{"id":29,"name":"Sharepoint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771</v>
      </c>
      <c r="B80" s="7">
        <v>4042</v>
      </c>
      <c r="C80" s="21" t="s">
        <v>198</v>
      </c>
      <c r="D80" s="21" t="s">
        <v>515</v>
      </c>
      <c r="E80" s="13">
        <v>42945.496863425928</v>
      </c>
      <c r="F80" s="13">
        <v>42945.500590277778</v>
      </c>
      <c r="G80" s="7">
        <v>1</v>
      </c>
      <c r="H80" s="21" t="s">
        <v>908</v>
      </c>
      <c r="I80" s="13">
        <v>42945.526099537034</v>
      </c>
      <c r="J80" s="7">
        <v>0</v>
      </c>
      <c r="K80" s="89" t="str">
        <f t="shared" si="27"/>
        <v>4041/4042</v>
      </c>
      <c r="L80" s="21" t="str">
        <f>VLOOKUP(A80,'Trips&amp;Operators'!$C$1:$G$99999,5,FALSE)</f>
        <v>BERLING GARY</v>
      </c>
      <c r="M80" s="6">
        <f t="shared" si="28"/>
        <v>2.5509259256068617E-2</v>
      </c>
      <c r="N80" s="7">
        <f t="shared" si="25"/>
        <v>36.733333328738809</v>
      </c>
      <c r="O80" s="7"/>
      <c r="P80" s="7"/>
      <c r="Q80" s="22"/>
      <c r="R80" s="170"/>
      <c r="S80" s="213">
        <f t="shared" si="26"/>
        <v>1</v>
      </c>
      <c r="T80" s="195" t="str">
        <f t="shared" si="29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0"/>
        <v>https://d0f6bd738d7f1b3e5a7ca70fe4ff75f0.us-east-1.aws.found.io/app/kibana#/discover/Steve-Slow-Train-Analysis-(2080s-and-2083s)?_g=(refreshInterval:(display:Off,pause:!f,section:0,value:0),time:(from:'2017-07-29T10:55:29-0600',mode:absolute,to:'2017-07-29T13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0" s="197" t="str">
        <f>IF(AA80&lt;VLOOKUP(AG80,Variables!$AC$3:$AD$8,2,FALSE),"Y","N")</f>
        <v>N</v>
      </c>
      <c r="X80" s="197">
        <f t="shared" si="31"/>
        <v>1</v>
      </c>
      <c r="Y80" s="197">
        <f t="shared" si="32"/>
        <v>4.4400000000000002E-2</v>
      </c>
      <c r="Z80" s="197">
        <f t="shared" si="33"/>
        <v>23.3325</v>
      </c>
      <c r="AA80" s="197">
        <f t="shared" si="34"/>
        <v>23.2881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5"/>
        <v>167</v>
      </c>
      <c r="AE80" s="77" t="str">
        <f t="shared" si="36"/>
        <v>aws s3 cp s3://rtdc.mdm.uploadarchive.raw/RTDC4042/ "%USERPROFILE%\AppData\Local\Temp\OnboardLogs"\RTDC4042\2017-07-29 --exclude "*" --recursive --include "*20170729*" &amp; "%USERPROFILE%\Documents\GitHub\mrs-test-scripts\Headless Mode &amp; Sideloading\WalkAndUnGZ.bat" "%USERPROFILE%\AppData\Local\Temp\OnboardLogs"\RTDC4042\2017-07-29 &amp; aws s3 cp s3://rtdc.mdm.uploadarchive.raw/RTDC4042/ "%USERPROFILE%\AppData\Local\Temp\OnboardLogs"\RTDC4042\2017-07-30 --exclude "*" --recursive --include "*20170730*" &amp; "%USERPROFILE%\Documents\GitHub\mrs-test-scripts\Headless Mode &amp; Sideloading\WalkAndUnGZ.bat" "%USERPROFILE%\AppData\Local\Temp\OnboardLogs"\RTDC4042\2017-07-30</v>
      </c>
      <c r="AF80" s="74" t="str">
        <f t="shared" si="37"/>
        <v>"C:\Program Files (x86)\AstroGrep\AstroGrep.exe" /e /r /s /spath="%USERPROFILE%\AppData\Local\Temp\OnboardLogs" /stypes="app*4042*20170729*" /stext=" 18:.+((SYSTEM_STATE.+slice.+state.+changed )|(ment ac)|(multiple cpu faults)|(system.+state.+changed )|(\[timeout)|(PRM\|1\|D)|(kpr)|(kdp)|(train st.+moving)|(\|lc)|(penalty))"</v>
      </c>
      <c r="AG80" s="209" t="str">
        <f t="shared" si="38"/>
        <v>EC</v>
      </c>
      <c r="AH80" s="78" t="str">
        <f t="shared" si="39"/>
        <v>"%USERPROFILE%\Documents\GitHub\eaglep3\Utilities\RefineRTDCRunTimes.py" --tripid 167-29 --locoid 4042 --swversion DE.1.0.9.0 --startMP 204:444 --initTime 2017-07-29T11:55:29 --startdatetime 2017-07-29T12:00:51 --delay 1 --endMP 204:233325 --enddatetime 2017-07-29T12:37:35 --enforcementcount 0 &gt;&gt;C:\Users\stu\Documents\GitHub\eaglep3-reporting\EC\2017-07-29-refined-times.txt</v>
      </c>
      <c r="AI80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{"issue":{"subject":"","project_id":79,"tracker_id":40,"status_id":1,"priority_id":2,"assigned_to_id":23,"start_date":"2017-07-29","description":"","custom_fields":[{"id":1,"name":"Subdivision","value":"EC"},{"id":4,"name":"Milepost","value":"23.3325"},{"id":17,"name":"Train ID","value":"167-29"},{"id":16,"name":"Locomotive ID","value":"4042"},{"id":130,"name":"Impact","value":""},{"id":150,"name":"Time of Event (Mountain Time)","value":"12:37:35"},{"id":151,"name":"Denver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1"/>
        <v>start /low /b %USERPROFILE%\Documents\GitHub\eaglep3\Utilities\DownloadLogsFromS3.py --loco 4042 --day 2017-07-29</v>
      </c>
      <c r="AN80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18:37:35"},{"id":29,"name":"Sharepoint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645</v>
      </c>
      <c r="B81" s="7">
        <v>4041</v>
      </c>
      <c r="C81" s="21" t="s">
        <v>198</v>
      </c>
      <c r="D81" s="21" t="s">
        <v>883</v>
      </c>
      <c r="E81" s="13">
        <v>42945.532384259262</v>
      </c>
      <c r="F81" s="13">
        <v>42945.53974537037</v>
      </c>
      <c r="G81" s="7">
        <v>1</v>
      </c>
      <c r="H81" s="21" t="s">
        <v>601</v>
      </c>
      <c r="I81" s="13">
        <v>42945.569201388891</v>
      </c>
      <c r="J81" s="7">
        <v>0</v>
      </c>
      <c r="K81" s="89" t="str">
        <f t="shared" si="27"/>
        <v>4041/4042</v>
      </c>
      <c r="L81" s="21" t="str">
        <f>VLOOKUP(A81,'Trips&amp;Operators'!$C$1:$G$99999,5,FALSE)</f>
        <v>BERLING GARY</v>
      </c>
      <c r="M81" s="6">
        <f t="shared" si="28"/>
        <v>2.9456018521159422E-2</v>
      </c>
      <c r="N81" s="7">
        <f t="shared" si="25"/>
        <v>42.416666670469567</v>
      </c>
      <c r="O81" s="7"/>
      <c r="P81" s="7"/>
      <c r="Q81" s="22"/>
      <c r="R81" s="170"/>
      <c r="S81" s="213">
        <f t="shared" si="26"/>
        <v>1</v>
      </c>
      <c r="T81" s="195" t="str">
        <f t="shared" si="29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0"/>
        <v>https://d0f6bd738d7f1b3e5a7ca70fe4ff75f0.us-east-1.aws.found.io/app/kibana#/discover/Steve-Slow-Train-Analysis-(2080s-and-2083s)?_g=(refreshInterval:(display:Off,pause:!f,section:0,value:0),time:(from:'2017-07-29T11:46:38-0600',mode:absolute,to:'2017-07-29T14:39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1" s="197" t="str">
        <f>IF(AA81&lt;VLOOKUP(AG81,Variables!$AC$3:$AD$8,2,FALSE),"Y","N")</f>
        <v>N</v>
      </c>
      <c r="X81" s="197">
        <f t="shared" si="31"/>
        <v>1</v>
      </c>
      <c r="Y81" s="197">
        <f t="shared" si="32"/>
        <v>23.301500000000001</v>
      </c>
      <c r="Z81" s="197">
        <f t="shared" si="33"/>
        <v>1.32E-2</v>
      </c>
      <c r="AA81" s="197">
        <f t="shared" si="34"/>
        <v>23.2883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5"/>
        <v>168</v>
      </c>
      <c r="AE81" s="77" t="str">
        <f t="shared" si="36"/>
        <v>aws s3 cp s3://rtdc.mdm.uploadarchive.raw/RTDC4041/ "%USERPROFILE%\AppData\Local\Temp\OnboardLogs"\RTDC4041\2017-07-29 --exclude "*" --recursive --include "*20170729*" &amp; "%USERPROFILE%\Documents\GitHub\mrs-test-scripts\Headless Mode &amp; Sideloading\WalkAndUnGZ.bat" "%USERPROFILE%\AppData\Local\Temp\OnboardLogs"\RTDC4041\2017-07-29 &amp; aws s3 cp s3://rtdc.mdm.uploadarchive.raw/RTDC4041/ "%USERPROFILE%\AppData\Local\Temp\OnboardLogs"\RTDC4041\2017-07-30 --exclude "*" --recursive --include "*20170730*" &amp; "%USERPROFILE%\Documents\GitHub\mrs-test-scripts\Headless Mode &amp; Sideloading\WalkAndUnGZ.bat" "%USERPROFILE%\AppData\Local\Temp\OnboardLogs"\RTDC4041\2017-07-30</v>
      </c>
      <c r="AF81" s="74" t="str">
        <f t="shared" si="37"/>
        <v>"C:\Program Files (x86)\AstroGrep\AstroGrep.exe" /e /r /s /spath="%USERPROFILE%\AppData\Local\Temp\OnboardLogs" /stypes="app*4041*20170729*" /stext=" 19:.+((SYSTEM_STATE.+slice.+state.+changed )|(ment ac)|(multiple cpu faults)|(system.+state.+changed )|(\[timeout)|(PRM\|1\|D)|(kpr)|(kdp)|(train st.+moving)|(\|lc)|(penalty))"</v>
      </c>
      <c r="AG81" s="209" t="str">
        <f t="shared" si="38"/>
        <v>EC</v>
      </c>
      <c r="AH81" s="78" t="str">
        <f t="shared" si="39"/>
        <v>"%USERPROFILE%\Documents\GitHub\eaglep3\Utilities\RefineRTDCRunTimes.py" --tripid 168-29 --locoid 4041 --swversion DE.1.0.9.0 --startMP 204:233015 --initTime 2017-07-29T12:46:38 --startdatetime 2017-07-29T12:57:14 --delay 1 --endMP 204:132 --enddatetime 2017-07-29T13:39:39 --enforcementcount 0 &gt;&gt;C:\Users\stu\Documents\GitHub\eaglep3-reporting\EC\2017-07-29-refined-times.txt</v>
      </c>
      <c r="AI81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{"issue":{"subject":"","project_id":79,"tracker_id":40,"status_id":1,"priority_id":2,"assigned_to_id":23,"start_date":"2017-07-29","description":"","custom_fields":[{"id":1,"name":"Subdivision","value":"EC"},{"id":4,"name":"Milepost","value":"0.0132"},{"id":17,"name":"Train ID","value":"168-29"},{"id":16,"name":"Locomotive ID","value":"4041"},{"id":130,"name":"Impact","value":""},{"id":150,"name":"Time of Event (Mountain Time)","value":"13:39:39"},{"id":151,"name":"Denver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1"/>
        <v>start /low /b %USERPROFILE%\Documents\GitHub\eaglep3\Utilities\DownloadLogsFromS3.py --loco 4041 --day 2017-07-29</v>
      </c>
      <c r="AN81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19:39:39"},{"id":29,"name":"Sharepoint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774</v>
      </c>
      <c r="B82" s="7">
        <v>4028</v>
      </c>
      <c r="C82" s="21" t="s">
        <v>198</v>
      </c>
      <c r="D82" s="21" t="s">
        <v>605</v>
      </c>
      <c r="E82" s="13">
        <v>42945.507418981484</v>
      </c>
      <c r="F82" s="13">
        <v>42945.51085648148</v>
      </c>
      <c r="G82" s="7">
        <v>1</v>
      </c>
      <c r="H82" s="21" t="s">
        <v>909</v>
      </c>
      <c r="I82" s="13">
        <v>42945.535555555558</v>
      </c>
      <c r="J82" s="7">
        <v>0</v>
      </c>
      <c r="K82" s="89" t="str">
        <f t="shared" si="27"/>
        <v>4027/4028</v>
      </c>
      <c r="L82" s="21" t="str">
        <f>VLOOKUP(A82,'Trips&amp;Operators'!$C$1:$G$99999,5,FALSE)</f>
        <v>DELGADO DIANAH</v>
      </c>
      <c r="M82" s="6">
        <f t="shared" si="28"/>
        <v>2.4699074077943806E-2</v>
      </c>
      <c r="N82" s="7">
        <f t="shared" si="25"/>
        <v>35.56666667223908</v>
      </c>
      <c r="O82" s="7"/>
      <c r="P82" s="7"/>
      <c r="Q82" s="22"/>
      <c r="R82" s="170"/>
      <c r="S82" s="213">
        <f t="shared" si="26"/>
        <v>1</v>
      </c>
      <c r="T82" s="195" t="str">
        <f t="shared" si="29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0"/>
        <v>https://d0f6bd738d7f1b3e5a7ca70fe4ff75f0.us-east-1.aws.found.io/app/kibana#/discover/Steve-Slow-Train-Analysis-(2080s-and-2083s)?_g=(refreshInterval:(display:Off,pause:!f,section:0,value:0),time:(from:'2017-07-29T11:10:41-0600',mode:absolute,to:'2017-07-29T13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2" s="197" t="str">
        <f>IF(AA82&lt;VLOOKUP(AG82,Variables!$AC$3:$AD$8,2,FALSE),"Y","N")</f>
        <v>N</v>
      </c>
      <c r="X82" s="197">
        <f t="shared" si="31"/>
        <v>1</v>
      </c>
      <c r="Y82" s="197">
        <f t="shared" si="32"/>
        <v>4.6399999999999997E-2</v>
      </c>
      <c r="Z82" s="197">
        <f t="shared" si="33"/>
        <v>23.337199999999999</v>
      </c>
      <c r="AA82" s="197">
        <f t="shared" si="34"/>
        <v>23.290800000000001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5"/>
        <v>169</v>
      </c>
      <c r="AE82" s="77" t="str">
        <f t="shared" si="36"/>
        <v>aws s3 cp s3://rtdc.mdm.uploadarchive.raw/RTDC4028/ "%USERPROFILE%\AppData\Local\Temp\OnboardLogs"\RTDC4028\2017-07-29 --exclude "*" --recursive --include "*20170729*" &amp; "%USERPROFILE%\Documents\GitHub\mrs-test-scripts\Headless Mode &amp; Sideloading\WalkAndUnGZ.bat" "%USERPROFILE%\AppData\Local\Temp\OnboardLogs"\RTDC4028\2017-07-29 &amp; aws s3 cp s3://rtdc.mdm.uploadarchive.raw/RTDC4028/ "%USERPROFILE%\AppData\Local\Temp\OnboardLogs"\RTDC4028\2017-07-30 --exclude "*" --recursive --include "*20170730*" &amp; "%USERPROFILE%\Documents\GitHub\mrs-test-scripts\Headless Mode &amp; Sideloading\WalkAndUnGZ.bat" "%USERPROFILE%\AppData\Local\Temp\OnboardLogs"\RTDC4028\2017-07-30</v>
      </c>
      <c r="AF82" s="74" t="str">
        <f t="shared" si="37"/>
        <v>"C:\Program Files (x86)\AstroGrep\AstroGrep.exe" /e /r /s /spath="%USERPROFILE%\AppData\Local\Temp\OnboardLogs" /stypes="app*4028*20170729*" /stext=" 18:.+((SYSTEM_STATE.+slice.+state.+changed )|(ment ac)|(multiple cpu faults)|(system.+state.+changed )|(\[timeout)|(PRM\|1\|D)|(kpr)|(kdp)|(train st.+moving)|(\|lc)|(penalty))"</v>
      </c>
      <c r="AG82" s="209" t="str">
        <f t="shared" si="38"/>
        <v>EC</v>
      </c>
      <c r="AH82" s="78" t="str">
        <f t="shared" si="39"/>
        <v>"%USERPROFILE%\Documents\GitHub\eaglep3\Utilities\RefineRTDCRunTimes.py" --tripid 169-29 --locoid 4028 --swversion DE.1.0.9.0 --startMP 204:464 --initTime 2017-07-29T12:10:41 --startdatetime 2017-07-29T12:15:38 --delay 1 --endMP 204:233372 --enddatetime 2017-07-29T12:51:12 --enforcementcount 0 &gt;&gt;C:\Users\stu\Documents\GitHub\eaglep3-reporting\EC\2017-07-29-refined-times.txt</v>
      </c>
      <c r="AI82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{"issue":{"subject":"","project_id":79,"tracker_id":40,"status_id":1,"priority_id":2,"assigned_to_id":23,"start_date":"2017-07-29","description":"","custom_fields":[{"id":1,"name":"Subdivision","value":"EC"},{"id":4,"name":"Milepost","value":"23.3372"},{"id":17,"name":"Train ID","value":"169-29"},{"id":16,"name":"Locomotive ID","value":"4028"},{"id":130,"name":"Impact","value":""},{"id":150,"name":"Time of Event (Mountain Time)","value":"12:51:12"},{"id":151,"name":"Denver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1"/>
        <v>start /low /b %USERPROFILE%\Documents\GitHub\eaglep3\Utilities\DownloadLogsFromS3.py --loco 4028 --day 2017-07-29</v>
      </c>
      <c r="AN82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18:51:12"},{"id":29,"name":"Sharepoint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785</v>
      </c>
      <c r="B83" s="7">
        <v>4027</v>
      </c>
      <c r="C83" s="21" t="s">
        <v>198</v>
      </c>
      <c r="D83" s="21" t="s">
        <v>910</v>
      </c>
      <c r="E83" s="13">
        <v>42945.54047453704</v>
      </c>
      <c r="F83" s="13">
        <v>42945.550185185188</v>
      </c>
      <c r="G83" s="7">
        <v>2</v>
      </c>
      <c r="H83" s="21" t="s">
        <v>349</v>
      </c>
      <c r="I83" s="13">
        <v>42945.576736111114</v>
      </c>
      <c r="J83" s="7">
        <v>0</v>
      </c>
      <c r="K83" s="89" t="str">
        <f t="shared" si="27"/>
        <v>4027/4028</v>
      </c>
      <c r="L83" s="21" t="str">
        <f>VLOOKUP(A83,'Trips&amp;Operators'!$C$1:$G$99999,5,FALSE)</f>
        <v>DELGADO DIANAH</v>
      </c>
      <c r="M83" s="6">
        <f t="shared" si="28"/>
        <v>2.6550925926130731E-2</v>
      </c>
      <c r="N83" s="7">
        <f t="shared" si="25"/>
        <v>38.233333333628252</v>
      </c>
      <c r="O83" s="7"/>
      <c r="P83" s="7"/>
      <c r="Q83" s="22"/>
      <c r="R83" s="170"/>
      <c r="S83" s="213">
        <f t="shared" si="26"/>
        <v>1</v>
      </c>
      <c r="T83" s="195" t="str">
        <f t="shared" si="29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0"/>
        <v>https://d0f6bd738d7f1b3e5a7ca70fe4ff75f0.us-east-1.aws.found.io/app/kibana#/discover/Steve-Slow-Train-Analysis-(2080s-and-2083s)?_g=(refreshInterval:(display:Off,pause:!f,section:0,value:0),time:(from:'2017-07-29T11:58:17-0600',mode:absolute,to:'2017-07-29T14:50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3" s="197" t="str">
        <f>IF(AA83&lt;VLOOKUP(AG83,Variables!$AC$3:$AD$8,2,FALSE),"Y","N")</f>
        <v>N</v>
      </c>
      <c r="X83" s="197">
        <f t="shared" si="31"/>
        <v>1</v>
      </c>
      <c r="Y83" s="197">
        <f t="shared" si="32"/>
        <v>23.308399999999999</v>
      </c>
      <c r="Z83" s="197">
        <f t="shared" si="33"/>
        <v>1.3899999999999999E-2</v>
      </c>
      <c r="AA83" s="197">
        <f t="shared" si="34"/>
        <v>23.294499999999999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5"/>
        <v>170</v>
      </c>
      <c r="AE83" s="77" t="str">
        <f t="shared" si="36"/>
        <v>aws s3 cp s3://rtdc.mdm.uploadarchive.raw/RTDC4027/ "%USERPROFILE%\AppData\Local\Temp\OnboardLogs"\RTDC4027\2017-07-29 --exclude "*" --recursive --include "*20170729*" &amp; "%USERPROFILE%\Documents\GitHub\mrs-test-scripts\Headless Mode &amp; Sideloading\WalkAndUnGZ.bat" "%USERPROFILE%\AppData\Local\Temp\OnboardLogs"\RTDC4027\2017-07-29 &amp; aws s3 cp s3://rtdc.mdm.uploadarchive.raw/RTDC4027/ "%USERPROFILE%\AppData\Local\Temp\OnboardLogs"\RTDC4027\2017-07-30 --exclude "*" --recursive --include "*20170730*" &amp; "%USERPROFILE%\Documents\GitHub\mrs-test-scripts\Headless Mode &amp; Sideloading\WalkAndUnGZ.bat" "%USERPROFILE%\AppData\Local\Temp\OnboardLogs"\RTDC4027\2017-07-30</v>
      </c>
      <c r="AF83" s="74" t="str">
        <f t="shared" si="37"/>
        <v>"C:\Program Files (x86)\AstroGrep\AstroGrep.exe" /e /r /s /spath="%USERPROFILE%\AppData\Local\Temp\OnboardLogs" /stypes="app*4027*20170729*" /stext=" 19:.+((SYSTEM_STATE.+slice.+state.+changed )|(ment ac)|(multiple cpu faults)|(system.+state.+changed )|(\[timeout)|(PRM\|1\|D)|(kpr)|(kdp)|(train st.+moving)|(\|lc)|(penalty))"</v>
      </c>
      <c r="AG83" s="209" t="str">
        <f t="shared" si="38"/>
        <v>EC</v>
      </c>
      <c r="AH83" s="78" t="str">
        <f t="shared" si="39"/>
        <v>"%USERPROFILE%\Documents\GitHub\eaglep3\Utilities\RefineRTDCRunTimes.py" --tripid 170-29 --locoid 4027 --swversion DE.1.0.9.0 --startMP 204:233084 --initTime 2017-07-29T12:58:17 --startdatetime 2017-07-29T13:12:16 --delay 2 --endMP 204:139 --enddatetime 2017-07-29T13:50:30 --enforcementcount 0 &gt;&gt;C:\Users\stu\Documents\GitHub\eaglep3-reporting\EC\2017-07-29-refined-times.txt</v>
      </c>
      <c r="AI83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{"issue":{"subject":"","project_id":79,"tracker_id":40,"status_id":1,"priority_id":2,"assigned_to_id":23,"start_date":"2017-07-29","description":"","custom_fields":[{"id":1,"name":"Subdivision","value":"EC"},{"id":4,"name":"Milepost","value":"0.0139"},{"id":17,"name":"Train ID","value":"170-29"},{"id":16,"name":"Locomotive ID","value":"4027"},{"id":130,"name":"Impact","value":""},{"id":150,"name":"Time of Event (Mountain Time)","value":"13:50:30"},{"id":151,"name":"Denver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1"/>
        <v>start /low /b %USERPROFILE%\Documents\GitHub\eaglep3\Utilities\DownloadLogsFromS3.py --loco 4027 --day 2017-07-29</v>
      </c>
      <c r="AN83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19:50:30"},{"id":29,"name":"Sharepoint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778</v>
      </c>
      <c r="B84" s="7">
        <v>4008</v>
      </c>
      <c r="C84" s="21" t="s">
        <v>198</v>
      </c>
      <c r="D84" s="21" t="s">
        <v>376</v>
      </c>
      <c r="E84" s="13">
        <v>42945.51834490741</v>
      </c>
      <c r="F84" s="13">
        <v>42945.52138888889</v>
      </c>
      <c r="G84" s="7">
        <v>1</v>
      </c>
      <c r="H84" s="21" t="s">
        <v>527</v>
      </c>
      <c r="I84" s="13">
        <v>42945.547291666669</v>
      </c>
      <c r="J84" s="7">
        <v>0</v>
      </c>
      <c r="K84" s="89" t="str">
        <f t="shared" si="27"/>
        <v>4007/4008</v>
      </c>
      <c r="L84" s="21" t="str">
        <f>VLOOKUP(A84,'Trips&amp;Operators'!$C$1:$G$99999,5,FALSE)</f>
        <v>STEWART MICHAEL</v>
      </c>
      <c r="M84" s="6">
        <f t="shared" si="28"/>
        <v>2.5902777779265307E-2</v>
      </c>
      <c r="N84" s="7">
        <f t="shared" si="25"/>
        <v>37.300000002142042</v>
      </c>
      <c r="O84" s="7"/>
      <c r="P84" s="7"/>
      <c r="Q84" s="22"/>
      <c r="R84" s="170"/>
      <c r="S84" s="213">
        <f t="shared" si="26"/>
        <v>1</v>
      </c>
      <c r="T84" s="195" t="str">
        <f t="shared" si="29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0"/>
        <v>https://d0f6bd738d7f1b3e5a7ca70fe4ff75f0.us-east-1.aws.found.io/app/kibana#/discover/Steve-Slow-Train-Analysis-(2080s-and-2083s)?_g=(refreshInterval:(display:Off,pause:!f,section:0,value:0),time:(from:'2017-07-29T11:26:25-0600',mode:absolute,to:'2017-07-29T14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4" s="197" t="str">
        <f>IF(AA84&lt;VLOOKUP(AG84,Variables!$AC$3:$AD$8,2,FALSE),"Y","N")</f>
        <v>N</v>
      </c>
      <c r="X84" s="197">
        <f t="shared" si="31"/>
        <v>1</v>
      </c>
      <c r="Y84" s="197">
        <f t="shared" si="32"/>
        <v>4.6199999999999998E-2</v>
      </c>
      <c r="Z84" s="197">
        <f t="shared" si="33"/>
        <v>23.331199999999999</v>
      </c>
      <c r="AA84" s="197">
        <f t="shared" si="34"/>
        <v>23.285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5"/>
        <v>171</v>
      </c>
      <c r="AE84" s="77" t="str">
        <f t="shared" si="36"/>
        <v>aws s3 cp s3://rtdc.mdm.uploadarchive.raw/RTDC4008/ "%USERPROFILE%\AppData\Local\Temp\OnboardLogs"\RTDC4008\2017-07-29 --exclude "*" --recursive --include "*20170729*" &amp; "%USERPROFILE%\Documents\GitHub\mrs-test-scripts\Headless Mode &amp; Sideloading\WalkAndUnGZ.bat" "%USERPROFILE%\AppData\Local\Temp\OnboardLogs"\RTDC4008\2017-07-29 &amp; aws s3 cp s3://rtdc.mdm.uploadarchive.raw/RTDC4008/ "%USERPROFILE%\AppData\Local\Temp\OnboardLogs"\RTDC4008\2017-07-30 --exclude "*" --recursive --include "*20170730*" &amp; "%USERPROFILE%\Documents\GitHub\mrs-test-scripts\Headless Mode &amp; Sideloading\WalkAndUnGZ.bat" "%USERPROFILE%\AppData\Local\Temp\OnboardLogs"\RTDC4008\2017-07-30</v>
      </c>
      <c r="AF84" s="74" t="str">
        <f t="shared" si="37"/>
        <v>"C:\Program Files (x86)\AstroGrep\AstroGrep.exe" /e /r /s /spath="%USERPROFILE%\AppData\Local\Temp\OnboardLogs" /stypes="app*4008*20170729*" /stext=" 19:.+((SYSTEM_STATE.+slice.+state.+changed )|(ment ac)|(multiple cpu faults)|(system.+state.+changed )|(\[timeout)|(PRM\|1\|D)|(kpr)|(kdp)|(train st.+moving)|(\|lc)|(penalty))"</v>
      </c>
      <c r="AG84" s="209" t="str">
        <f t="shared" si="38"/>
        <v>EC</v>
      </c>
      <c r="AH84" s="78" t="str">
        <f t="shared" si="39"/>
        <v>"%USERPROFILE%\Documents\GitHub\eaglep3\Utilities\RefineRTDCRunTimes.py" --tripid 171-29 --locoid 4008 --swversion DE.1.0.9.0 --startMP 204:462 --initTime 2017-07-29T12:26:25 --startdatetime 2017-07-29T12:30:48 --delay 1 --endMP 204:233312 --enddatetime 2017-07-29T13:08:06 --enforcementcount 0 &gt;&gt;C:\Users\stu\Documents\GitHub\eaglep3-reporting\EC\2017-07-29-refined-times.txt</v>
      </c>
      <c r="AI84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{"issue":{"subject":"","project_id":79,"tracker_id":40,"status_id":1,"priority_id":2,"assigned_to_id":23,"start_date":"2017-07-29","description":"","custom_fields":[{"id":1,"name":"Subdivision","value":"EC"},{"id":4,"name":"Milepost","value":"23.3312"},{"id":17,"name":"Train ID","value":"171-29"},{"id":16,"name":"Locomotive ID","value":"4008"},{"id":130,"name":"Impact","value":""},{"id":150,"name":"Time of Event (Mountain Time)","value":"13:08:06"},{"id":151,"name":"Denver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1"/>
        <v>start /low /b %USERPROFILE%\Documents\GitHub\eaglep3\Utilities\DownloadLogsFromS3.py --loco 4008 --day 2017-07-29</v>
      </c>
      <c r="AN84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19:08:06"},{"id":29,"name":"Sharepoint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787</v>
      </c>
      <c r="B85" s="7">
        <v>4007</v>
      </c>
      <c r="C85" s="21" t="s">
        <v>198</v>
      </c>
      <c r="D85" s="21" t="s">
        <v>518</v>
      </c>
      <c r="E85" s="13">
        <v>42945.557939814818</v>
      </c>
      <c r="F85" s="13">
        <v>42945.560671296298</v>
      </c>
      <c r="G85" s="7">
        <v>1</v>
      </c>
      <c r="H85" s="21" t="s">
        <v>341</v>
      </c>
      <c r="I85" s="13">
        <v>42945.589062500003</v>
      </c>
      <c r="J85" s="7">
        <v>0</v>
      </c>
      <c r="K85" s="89" t="str">
        <f t="shared" si="27"/>
        <v>4007/4008</v>
      </c>
      <c r="L85" s="21" t="str">
        <f>VLOOKUP(A85,'Trips&amp;Operators'!$C$1:$G$99999,5,FALSE)</f>
        <v>STEWART MICHAEL</v>
      </c>
      <c r="M85" s="6">
        <f t="shared" si="28"/>
        <v>2.8391203704813961E-2</v>
      </c>
      <c r="N85" s="7">
        <f t="shared" si="25"/>
        <v>40.883333334932104</v>
      </c>
      <c r="O85" s="7"/>
      <c r="P85" s="7"/>
      <c r="Q85" s="22"/>
      <c r="R85" s="170"/>
      <c r="S85" s="213">
        <f t="shared" si="26"/>
        <v>1</v>
      </c>
      <c r="T85" s="195" t="str">
        <f t="shared" si="29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0"/>
        <v>https://d0f6bd738d7f1b3e5a7ca70fe4ff75f0.us-east-1.aws.found.io/app/kibana#/discover/Steve-Slow-Train-Analysis-(2080s-and-2083s)?_g=(refreshInterval:(display:Off,pause:!f,section:0,value:0),time:(from:'2017-07-29T12:23:26-0600',mode:absolute,to:'2017-07-29T15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5" s="197" t="str">
        <f>IF(AA85&lt;VLOOKUP(AG85,Variables!$AC$3:$AD$8,2,FALSE),"Y","N")</f>
        <v>N</v>
      </c>
      <c r="X85" s="197">
        <f t="shared" si="31"/>
        <v>1</v>
      </c>
      <c r="Y85" s="197">
        <f t="shared" si="32"/>
        <v>23.299299999999999</v>
      </c>
      <c r="Z85" s="197">
        <f t="shared" si="33"/>
        <v>1.4999999999999999E-2</v>
      </c>
      <c r="AA85" s="197">
        <f t="shared" si="34"/>
        <v>23.284299999999998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5"/>
        <v>172</v>
      </c>
      <c r="AE85" s="77" t="str">
        <f t="shared" si="36"/>
        <v>aws s3 cp s3://rtdc.mdm.uploadarchive.raw/RTDC4007/ "%USERPROFILE%\AppData\Local\Temp\OnboardLogs"\RTDC4007\2017-07-29 --exclude "*" --recursive --include "*20170729*" &amp; "%USERPROFILE%\Documents\GitHub\mrs-test-scripts\Headless Mode &amp; Sideloading\WalkAndUnGZ.bat" "%USERPROFILE%\AppData\Local\Temp\OnboardLogs"\RTDC4007\2017-07-29 &amp; aws s3 cp s3://rtdc.mdm.uploadarchive.raw/RTDC4007/ "%USERPROFILE%\AppData\Local\Temp\OnboardLogs"\RTDC4007\2017-07-30 --exclude "*" --recursive --include "*20170730*" &amp; "%USERPROFILE%\Documents\GitHub\mrs-test-scripts\Headless Mode &amp; Sideloading\WalkAndUnGZ.bat" "%USERPROFILE%\AppData\Local\Temp\OnboardLogs"\RTDC4007\2017-07-30</v>
      </c>
      <c r="AF85" s="74" t="str">
        <f t="shared" si="37"/>
        <v>"C:\Program Files (x86)\AstroGrep\AstroGrep.exe" /e /r /s /spath="%USERPROFILE%\AppData\Local\Temp\OnboardLogs" /stypes="app*4007*20170729*" /stext=" 20:.+((SYSTEM_STATE.+slice.+state.+changed )|(ment ac)|(multiple cpu faults)|(system.+state.+changed )|(\[timeout)|(PRM\|1\|D)|(kpr)|(kdp)|(train st.+moving)|(\|lc)|(penalty))"</v>
      </c>
      <c r="AG85" s="209" t="str">
        <f t="shared" si="38"/>
        <v>EC</v>
      </c>
      <c r="AH85" s="78" t="str">
        <f t="shared" si="39"/>
        <v>"%USERPROFILE%\Documents\GitHub\eaglep3\Utilities\RefineRTDCRunTimes.py" --tripid 172-29 --locoid 4007 --swversion DE.1.0.9.0 --startMP 204:232993 --initTime 2017-07-29T13:23:26 --startdatetime 2017-07-29T13:27:22 --delay 1 --endMP 204:150 --enddatetime 2017-07-29T14:08:15 --enforcementcount 0 &gt;&gt;C:\Users\stu\Documents\GitHub\eaglep3-reporting\EC\2017-07-29-refined-times.txt</v>
      </c>
      <c r="AI85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{"issue":{"subject":"","project_id":79,"tracker_id":40,"status_id":1,"priority_id":2,"assigned_to_id":23,"start_date":"2017-07-29","description":"","custom_fields":[{"id":1,"name":"Subdivision","value":"EC"},{"id":4,"name":"Milepost","value":"0.015"},{"id":17,"name":"Train ID","value":"172-29"},{"id":16,"name":"Locomotive ID","value":"4007"},{"id":130,"name":"Impact","value":""},{"id":150,"name":"Time of Event (Mountain Time)","value":"14:08:15"},{"id":151,"name":"Denver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1"/>
        <v>start /low /b %USERPROFILE%\Documents\GitHub\eaglep3\Utilities\DownloadLogsFromS3.py --loco 4007 --day 2017-07-29</v>
      </c>
      <c r="AN85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20:08:15"},{"id":29,"name":"Sharepoint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781</v>
      </c>
      <c r="B86" s="7">
        <v>4030</v>
      </c>
      <c r="C86" s="21" t="s">
        <v>198</v>
      </c>
      <c r="D86" s="21" t="s">
        <v>515</v>
      </c>
      <c r="E86" s="13">
        <v>42945.528819444444</v>
      </c>
      <c r="F86" s="13">
        <v>42945.532025462962</v>
      </c>
      <c r="G86" s="7">
        <v>1</v>
      </c>
      <c r="H86" s="21" t="s">
        <v>911</v>
      </c>
      <c r="I86" s="13">
        <v>42945.556863425925</v>
      </c>
      <c r="J86" s="7">
        <v>0</v>
      </c>
      <c r="K86" s="89" t="str">
        <f t="shared" si="27"/>
        <v>4029/4030</v>
      </c>
      <c r="L86" s="21" t="str">
        <f>VLOOKUP(A86,'Trips&amp;Operators'!$C$1:$G$99999,5,FALSE)</f>
        <v>HOLCOMB KAMDEN</v>
      </c>
      <c r="M86" s="6">
        <f t="shared" si="28"/>
        <v>2.4837962962919846E-2</v>
      </c>
      <c r="N86" s="7">
        <f t="shared" si="25"/>
        <v>35.766666666604578</v>
      </c>
      <c r="O86" s="7"/>
      <c r="P86" s="7"/>
      <c r="Q86" s="22"/>
      <c r="R86" s="170"/>
      <c r="S86" s="213">
        <f t="shared" si="26"/>
        <v>1</v>
      </c>
      <c r="T86" s="195" t="str">
        <f t="shared" si="29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0"/>
        <v>https://d0f6bd738d7f1b3e5a7ca70fe4ff75f0.us-east-1.aws.found.io/app/kibana#/discover/Steve-Slow-Train-Analysis-(2080s-and-2083s)?_g=(refreshInterval:(display:Off,pause:!f,section:0,value:0),time:(from:'2017-07-29T11:41:30-0600',mode:absolute,to:'2017-07-29T14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6" s="197" t="str">
        <f>IF(AA86&lt;VLOOKUP(AG86,Variables!$AC$3:$AD$8,2,FALSE),"Y","N")</f>
        <v>N</v>
      </c>
      <c r="X86" s="197">
        <f t="shared" si="31"/>
        <v>1</v>
      </c>
      <c r="Y86" s="197">
        <f t="shared" si="32"/>
        <v>4.4400000000000002E-2</v>
      </c>
      <c r="Z86" s="197">
        <f t="shared" si="33"/>
        <v>23.332999999999998</v>
      </c>
      <c r="AA86" s="197">
        <f t="shared" si="34"/>
        <v>23.288599999999999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5"/>
        <v>173</v>
      </c>
      <c r="AE86" s="77" t="str">
        <f t="shared" si="36"/>
        <v>aws s3 cp s3://rtdc.mdm.uploadarchive.raw/RTDC4030/ "%USERPROFILE%\AppData\Local\Temp\OnboardLogs"\RTDC4030\2017-07-29 --exclude "*" --recursive --include "*20170729*" &amp; "%USERPROFILE%\Documents\GitHub\mrs-test-scripts\Headless Mode &amp; Sideloading\WalkAndUnGZ.bat" "%USERPROFILE%\AppData\Local\Temp\OnboardLogs"\RTDC4030\2017-07-29 &amp; aws s3 cp s3://rtdc.mdm.uploadarchive.raw/RTDC4030/ "%USERPROFILE%\AppData\Local\Temp\OnboardLogs"\RTDC4030\2017-07-30 --exclude "*" --recursive --include "*20170730*" &amp; "%USERPROFILE%\Documents\GitHub\mrs-test-scripts\Headless Mode &amp; Sideloading\WalkAndUnGZ.bat" "%USERPROFILE%\AppData\Local\Temp\OnboardLogs"\RTDC4030\2017-07-30</v>
      </c>
      <c r="AF86" s="74" t="str">
        <f t="shared" si="37"/>
        <v>"C:\Program Files (x86)\AstroGrep\AstroGrep.exe" /e /r /s /spath="%USERPROFILE%\AppData\Local\Temp\OnboardLogs" /stypes="app*4030*20170729*" /stext=" 19:.+((SYSTEM_STATE.+slice.+state.+changed )|(ment ac)|(multiple cpu faults)|(system.+state.+changed )|(\[timeout)|(PRM\|1\|D)|(kpr)|(kdp)|(train st.+moving)|(\|lc)|(penalty))"</v>
      </c>
      <c r="AG86" s="209" t="str">
        <f t="shared" si="38"/>
        <v>EC</v>
      </c>
      <c r="AH86" s="78" t="str">
        <f t="shared" si="39"/>
        <v>"%USERPROFILE%\Documents\GitHub\eaglep3\Utilities\RefineRTDCRunTimes.py" --tripid 173-29 --locoid 4030 --swversion DE.1.0.9.0 --startMP 204:444 --initTime 2017-07-29T12:41:30 --startdatetime 2017-07-29T12:46:07 --delay 1 --endMP 204:233330 --enddatetime 2017-07-29T13:21:53 --enforcementcount 0 &gt;&gt;C:\Users\stu\Documents\GitHub\eaglep3-reporting\EC\2017-07-29-refined-times.txt</v>
      </c>
      <c r="AI86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{"issue":{"subject":"","project_id":79,"tracker_id":40,"status_id":1,"priority_id":2,"assigned_to_id":23,"start_date":"2017-07-29","description":"","custom_fields":[{"id":1,"name":"Subdivision","value":"EC"},{"id":4,"name":"Milepost","value":"23.333"},{"id":17,"name":"Train ID","value":"173-29"},{"id":16,"name":"Locomotive ID","value":"4030"},{"id":130,"name":"Impact","value":""},{"id":150,"name":"Time of Event (Mountain Time)","value":"13:21:53"},{"id":151,"name":"Denver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1"/>
        <v>start /low /b %USERPROFILE%\Documents\GitHub\eaglep3\Utilities\DownloadLogsFromS3.py --loco 4030 --day 2017-07-29</v>
      </c>
      <c r="AN86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19:21:53"},{"id":29,"name":"Sharepoint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646</v>
      </c>
      <c r="B87" s="7">
        <v>4029</v>
      </c>
      <c r="C87" s="21" t="s">
        <v>198</v>
      </c>
      <c r="D87" s="21" t="s">
        <v>890</v>
      </c>
      <c r="E87" s="13">
        <v>42945.567303240743</v>
      </c>
      <c r="F87" s="13">
        <v>42945.571087962962</v>
      </c>
      <c r="G87" s="7">
        <v>1</v>
      </c>
      <c r="H87" s="21" t="s">
        <v>606</v>
      </c>
      <c r="I87" s="13">
        <v>42945.598495370374</v>
      </c>
      <c r="J87" s="7">
        <v>0</v>
      </c>
      <c r="K87" s="89" t="str">
        <f t="shared" si="27"/>
        <v>4029/4030</v>
      </c>
      <c r="L87" s="21" t="str">
        <f>VLOOKUP(A87,'Trips&amp;Operators'!$C$1:$G$99999,5,FALSE)</f>
        <v>HOLCOMB KAMDEN</v>
      </c>
      <c r="M87" s="6">
        <f t="shared" si="28"/>
        <v>2.7407407411374152E-2</v>
      </c>
      <c r="N87" s="7">
        <f t="shared" si="25"/>
        <v>39.466666672378778</v>
      </c>
      <c r="O87" s="7"/>
      <c r="P87" s="7"/>
      <c r="Q87" s="22"/>
      <c r="R87" s="170"/>
      <c r="S87" s="213">
        <f t="shared" si="26"/>
        <v>1</v>
      </c>
      <c r="T87" s="195" t="str">
        <f t="shared" si="29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0"/>
        <v>https://d0f6bd738d7f1b3e5a7ca70fe4ff75f0.us-east-1.aws.found.io/app/kibana#/discover/Steve-Slow-Train-Analysis-(2080s-and-2083s)?_g=(refreshInterval:(display:Off,pause:!f,section:0,value:0),time:(from:'2017-07-29T12:36:55-0600',mode:absolute,to:'2017-07-29T15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7" s="197" t="str">
        <f>IF(AA87&lt;VLOOKUP(AG87,Variables!$AC$3:$AD$8,2,FALSE),"Y","N")</f>
        <v>N</v>
      </c>
      <c r="X87" s="197">
        <f t="shared" si="31"/>
        <v>1</v>
      </c>
      <c r="Y87" s="197">
        <f t="shared" si="32"/>
        <v>23.3</v>
      </c>
      <c r="Z87" s="197">
        <f t="shared" si="33"/>
        <v>1.2999999999999999E-2</v>
      </c>
      <c r="AA87" s="197">
        <f t="shared" si="34"/>
        <v>23.286999999999999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5"/>
        <v>174</v>
      </c>
      <c r="AE87" s="77" t="str">
        <f t="shared" si="36"/>
        <v>aws s3 cp s3://rtdc.mdm.uploadarchive.raw/RTDC4029/ "%USERPROFILE%\AppData\Local\Temp\OnboardLogs"\RTDC4029\2017-07-29 --exclude "*" --recursive --include "*20170729*" &amp; "%USERPROFILE%\Documents\GitHub\mrs-test-scripts\Headless Mode &amp; Sideloading\WalkAndUnGZ.bat" "%USERPROFILE%\AppData\Local\Temp\OnboardLogs"\RTDC4029\2017-07-29 &amp; aws s3 cp s3://rtdc.mdm.uploadarchive.raw/RTDC4029/ "%USERPROFILE%\AppData\Local\Temp\OnboardLogs"\RTDC4029\2017-07-30 --exclude "*" --recursive --include "*20170730*" &amp; "%USERPROFILE%\Documents\GitHub\mrs-test-scripts\Headless Mode &amp; Sideloading\WalkAndUnGZ.bat" "%USERPROFILE%\AppData\Local\Temp\OnboardLogs"\RTDC4029\2017-07-30</v>
      </c>
      <c r="AF87" s="74" t="str">
        <f t="shared" si="37"/>
        <v>"C:\Program Files (x86)\AstroGrep\AstroGrep.exe" /e /r /s /spath="%USERPROFILE%\AppData\Local\Temp\OnboardLogs" /stypes="app*4029*20170729*" /stext=" 20:.+((SYSTEM_STATE.+slice.+state.+changed )|(ment ac)|(multiple cpu faults)|(system.+state.+changed )|(\[timeout)|(PRM\|1\|D)|(kpr)|(kdp)|(train st.+moving)|(\|lc)|(penalty))"</v>
      </c>
      <c r="AG87" s="209" t="str">
        <f t="shared" si="38"/>
        <v>EC</v>
      </c>
      <c r="AH87" s="78" t="str">
        <f t="shared" si="39"/>
        <v>"%USERPROFILE%\Documents\GitHub\eaglep3\Utilities\RefineRTDCRunTimes.py" --tripid 174-29 --locoid 4029 --swversion DE.1.0.9.0 --startMP 204:233000 --initTime 2017-07-29T13:36:55 --startdatetime 2017-07-29T13:42:22 --delay 1 --endMP 204:130 --enddatetime 2017-07-29T14:21:50 --enforcementcount 0 &gt;&gt;C:\Users\stu\Documents\GitHub\eaglep3-reporting\EC\2017-07-29-refined-times.txt</v>
      </c>
      <c r="AI87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{"issue":{"subject":"","project_id":79,"tracker_id":40,"status_id":1,"priority_id":2,"assigned_to_id":23,"start_date":"2017-07-29","description":"","custom_fields":[{"id":1,"name":"Subdivision","value":"EC"},{"id":4,"name":"Milepost","value":"0.013"},{"id":17,"name":"Train ID","value":"174-29"},{"id":16,"name":"Locomotive ID","value":"4029"},{"id":130,"name":"Impact","value":""},{"id":150,"name":"Time of Event (Mountain Time)","value":"14:21:50"},{"id":151,"name":"Denver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1"/>
        <v>start /low /b %USERPROFILE%\Documents\GitHub\eaglep3\Utilities\DownloadLogsFromS3.py --loco 4029 --day 2017-07-29</v>
      </c>
      <c r="AN87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20:21:50"},{"id":29,"name":"Sharepoint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644</v>
      </c>
      <c r="B88" s="7">
        <v>4024</v>
      </c>
      <c r="C88" s="21" t="s">
        <v>198</v>
      </c>
      <c r="D88" s="21" t="s">
        <v>345</v>
      </c>
      <c r="E88" s="13">
        <v>42945.538668981484</v>
      </c>
      <c r="F88" s="13">
        <v>42945.542280092595</v>
      </c>
      <c r="G88" s="7">
        <v>1</v>
      </c>
      <c r="H88" s="21" t="s">
        <v>912</v>
      </c>
      <c r="I88" s="13">
        <v>42945.568148148152</v>
      </c>
      <c r="J88" s="7">
        <v>0</v>
      </c>
      <c r="K88" s="89" t="str">
        <f t="shared" si="27"/>
        <v>4023/4024</v>
      </c>
      <c r="L88" s="21" t="str">
        <f>VLOOKUP(A88,'Trips&amp;Operators'!$C$1:$G$99999,5,FALSE)</f>
        <v>SAFIEF AEIMEN</v>
      </c>
      <c r="M88" s="6">
        <f t="shared" si="28"/>
        <v>2.5868055556202307E-2</v>
      </c>
      <c r="N88" s="7">
        <f t="shared" si="25"/>
        <v>37.250000000931323</v>
      </c>
      <c r="O88" s="7"/>
      <c r="P88" s="7"/>
      <c r="Q88" s="22"/>
      <c r="R88" s="170"/>
      <c r="S88" s="213">
        <f t="shared" si="26"/>
        <v>1</v>
      </c>
      <c r="T88" s="195" t="str">
        <f t="shared" si="29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0"/>
        <v>https://d0f6bd738d7f1b3e5a7ca70fe4ff75f0.us-east-1.aws.found.io/app/kibana#/discover/Steve-Slow-Train-Analysis-(2080s-and-2083s)?_g=(refreshInterval:(display:Off,pause:!f,section:0,value:0),time:(from:'2017-07-29T11:55:41-0600',mode:absolute,to:'2017-07-29T14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8" s="197" t="str">
        <f>IF(AA88&lt;VLOOKUP(AG88,Variables!$AC$3:$AD$8,2,FALSE),"Y","N")</f>
        <v>N</v>
      </c>
      <c r="X88" s="197">
        <f t="shared" si="31"/>
        <v>1</v>
      </c>
      <c r="Y88" s="197">
        <f t="shared" si="32"/>
        <v>4.5100000000000001E-2</v>
      </c>
      <c r="Z88" s="197">
        <f t="shared" si="33"/>
        <v>23.334700000000002</v>
      </c>
      <c r="AA88" s="197">
        <f t="shared" si="34"/>
        <v>23.2896</v>
      </c>
      <c r="AB88" s="54" t="str">
        <f>VLOOKUP(A88,Enforcements!$C$7:$K$13,8,0)</f>
        <v>Bulletin (2)</v>
      </c>
      <c r="AC88" s="51" t="str">
        <f>VLOOKUP(A88,Enforcements!$C$7:$E$13,3,0)</f>
        <v>GRADE CROSSING</v>
      </c>
      <c r="AD88" s="206">
        <f t="shared" si="35"/>
        <v>175</v>
      </c>
      <c r="AE88" s="77" t="str">
        <f t="shared" si="36"/>
        <v>aws s3 cp s3://rtdc.mdm.uploadarchive.raw/RTDC4024/ "%USERPROFILE%\AppData\Local\Temp\OnboardLogs"\RTDC4024\2017-07-29 --exclude "*" --recursive --include "*20170729*" &amp; "%USERPROFILE%\Documents\GitHub\mrs-test-scripts\Headless Mode &amp; Sideloading\WalkAndUnGZ.bat" "%USERPROFILE%\AppData\Local\Temp\OnboardLogs"\RTDC4024\2017-07-29 &amp; aws s3 cp s3://rtdc.mdm.uploadarchive.raw/RTDC4024/ "%USERPROFILE%\AppData\Local\Temp\OnboardLogs"\RTDC4024\2017-07-30 --exclude "*" --recursive --include "*20170730*" &amp; "%USERPROFILE%\Documents\GitHub\mrs-test-scripts\Headless Mode &amp; Sideloading\WalkAndUnGZ.bat" "%USERPROFILE%\AppData\Local\Temp\OnboardLogs"\RTDC4024\2017-07-30</v>
      </c>
      <c r="AF88" s="74" t="str">
        <f t="shared" si="37"/>
        <v>"C:\Program Files (x86)\AstroGrep\AstroGrep.exe" /e /r /s /spath="%USERPROFILE%\AppData\Local\Temp\OnboardLogs" /stypes="app*4024*20170729*" /stext=" 19:.+((SYSTEM_STATE.+slice.+state.+changed )|(ment ac)|(multiple cpu faults)|(system.+state.+changed )|(\[timeout)|(PRM\|1\|D)|(kpr)|(kdp)|(train st.+moving)|(\|lc)|(penalty))"</v>
      </c>
      <c r="AG88" s="209" t="str">
        <f t="shared" si="38"/>
        <v>EC</v>
      </c>
      <c r="AH88" s="78" t="str">
        <f t="shared" si="39"/>
        <v>"%USERPROFILE%\Documents\GitHub\eaglep3\Utilities\RefineRTDCRunTimes.py" --tripid 175-29 --locoid 4024 --swversion DE.1.0.9.0 --startMP 204:451 --initTime 2017-07-29T12:55:41 --startdatetime 2017-07-29T13:00:53 --delay 1 --endMP 204:233347 --enddatetime 2017-07-29T13:38:08 --enforcementcount 0 &gt;&gt;C:\Users\stu\Documents\GitHub\eaglep3-reporting\EC\2017-07-29-refined-times.txt</v>
      </c>
      <c r="AI88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{"issue":{"subject":"","project_id":79,"tracker_id":40,"status_id":1,"priority_id":2,"assigned_to_id":23,"start_date":"2017-07-29","description":"","custom_fields":[{"id":1,"name":"Subdivision","value":"EC"},{"id":4,"name":"Milepost","value":"23.3347"},{"id":17,"name":"Train ID","value":"175-29"},{"id":16,"name":"Locomotive ID","value":"4024"},{"id":130,"name":"Impact","value":""},{"id":150,"name":"Time of Event (Mountain Time)","value":"13:38:08"},{"id":151,"name":"Denver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1"/>
        <v>start /low /b %USERPROFILE%\Documents\GitHub\eaglep3\Utilities\DownloadLogsFromS3.py --loco 4024 --day 2017-07-29</v>
      </c>
      <c r="AN88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19:38:08"},{"id":29,"name":"Sharepoint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790</v>
      </c>
      <c r="B89" s="7">
        <v>4023</v>
      </c>
      <c r="C89" s="21" t="s">
        <v>198</v>
      </c>
      <c r="D89" s="21" t="s">
        <v>913</v>
      </c>
      <c r="E89" s="13">
        <v>42945.570555555554</v>
      </c>
      <c r="F89" s="13">
        <v>42945.581504629627</v>
      </c>
      <c r="G89" s="7">
        <v>1</v>
      </c>
      <c r="H89" s="21" t="s">
        <v>451</v>
      </c>
      <c r="I89" s="13">
        <v>42945.609629629631</v>
      </c>
      <c r="J89" s="7">
        <v>0</v>
      </c>
      <c r="K89" s="89" t="str">
        <f t="shared" si="27"/>
        <v>4023/4024</v>
      </c>
      <c r="L89" s="21" t="str">
        <f>VLOOKUP(A89,'Trips&amp;Operators'!$C$1:$G$99999,5,FALSE)</f>
        <v>SAFIEF AEIMEN</v>
      </c>
      <c r="M89" s="6">
        <f t="shared" si="28"/>
        <v>2.8125000004365575E-2</v>
      </c>
      <c r="N89" s="7">
        <f t="shared" si="25"/>
        <v>40.500000006286427</v>
      </c>
      <c r="O89" s="7"/>
      <c r="P89" s="7"/>
      <c r="Q89" s="22"/>
      <c r="R89" s="170"/>
      <c r="S89" s="213">
        <f t="shared" si="26"/>
        <v>1</v>
      </c>
      <c r="T89" s="195" t="str">
        <f t="shared" si="29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0"/>
        <v>https://d0f6bd738d7f1b3e5a7ca70fe4ff75f0.us-east-1.aws.found.io/app/kibana#/discover/Steve-Slow-Train-Analysis-(2080s-and-2083s)?_g=(refreshInterval:(display:Off,pause:!f,section:0,value:0),time:(from:'2017-07-29T12:41:36-0600',mode:absolute,to:'2017-07-29T15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9" s="197" t="str">
        <f>IF(AA89&lt;VLOOKUP(AG89,Variables!$AC$3:$AD$8,2,FALSE),"Y","N")</f>
        <v>N</v>
      </c>
      <c r="X89" s="197">
        <f t="shared" si="31"/>
        <v>1</v>
      </c>
      <c r="Y89" s="197">
        <f t="shared" si="32"/>
        <v>23.3047</v>
      </c>
      <c r="Z89" s="197">
        <f t="shared" si="33"/>
        <v>1.52E-2</v>
      </c>
      <c r="AA89" s="197">
        <f t="shared" si="34"/>
        <v>23.2895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5"/>
        <v>176</v>
      </c>
      <c r="AE89" s="77" t="str">
        <f t="shared" si="36"/>
        <v>aws s3 cp s3://rtdc.mdm.uploadarchive.raw/RTDC4023/ "%USERPROFILE%\AppData\Local\Temp\OnboardLogs"\RTDC4023\2017-07-29 --exclude "*" --recursive --include "*20170729*" &amp; "%USERPROFILE%\Documents\GitHub\mrs-test-scripts\Headless Mode &amp; Sideloading\WalkAndUnGZ.bat" "%USERPROFILE%\AppData\Local\Temp\OnboardLogs"\RTDC4023\2017-07-29 &amp; aws s3 cp s3://rtdc.mdm.uploadarchive.raw/RTDC4023/ "%USERPROFILE%\AppData\Local\Temp\OnboardLogs"\RTDC4023\2017-07-30 --exclude "*" --recursive --include "*20170730*" &amp; "%USERPROFILE%\Documents\GitHub\mrs-test-scripts\Headless Mode &amp; Sideloading\WalkAndUnGZ.bat" "%USERPROFILE%\AppData\Local\Temp\OnboardLogs"\RTDC4023\2017-07-30</v>
      </c>
      <c r="AF89" s="74" t="str">
        <f t="shared" si="37"/>
        <v>"C:\Program Files (x86)\AstroGrep\AstroGrep.exe" /e /r /s /spath="%USERPROFILE%\AppData\Local\Temp\OnboardLogs" /stypes="app*4023*20170729*" /stext=" 20:.+((SYSTEM_STATE.+slice.+state.+changed )|(ment ac)|(multiple cpu faults)|(system.+state.+changed )|(\[timeout)|(PRM\|1\|D)|(kpr)|(kdp)|(train st.+moving)|(\|lc)|(penalty))"</v>
      </c>
      <c r="AG89" s="209" t="str">
        <f t="shared" si="38"/>
        <v>EC</v>
      </c>
      <c r="AH89" s="78" t="str">
        <f t="shared" si="39"/>
        <v>"%USERPROFILE%\Documents\GitHub\eaglep3\Utilities\RefineRTDCRunTimes.py" --tripid 176-29 --locoid 4023 --swversion DE.1.0.9.0 --startMP 204:233047 --initTime 2017-07-29T13:41:36 --startdatetime 2017-07-29T13:57:22 --delay 1 --endMP 204:152 --enddatetime 2017-07-29T14:37:52 --enforcementcount 0 &gt;&gt;C:\Users\stu\Documents\GitHub\eaglep3-reporting\EC\2017-07-29-refined-times.txt</v>
      </c>
      <c r="AI89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{"issue":{"subject":"","project_id":79,"tracker_id":40,"status_id":1,"priority_id":2,"assigned_to_id":23,"start_date":"2017-07-29","description":"","custom_fields":[{"id":1,"name":"Subdivision","value":"EC"},{"id":4,"name":"Milepost","value":"0.0152"},{"id":17,"name":"Train ID","value":"176-29"},{"id":16,"name":"Locomotive ID","value":"4023"},{"id":130,"name":"Impact","value":""},{"id":150,"name":"Time of Event (Mountain Time)","value":"14:37:52"},{"id":151,"name":"Denver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1"/>
        <v>start /low /b %USERPROFILE%\Documents\GitHub\eaglep3\Utilities\DownloadLogsFromS3.py --loco 4023 --day 2017-07-29</v>
      </c>
      <c r="AN89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20:37:52"},{"id":29,"name":"Sharepoint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786</v>
      </c>
      <c r="B90" s="7">
        <v>4056</v>
      </c>
      <c r="C90" s="21" t="s">
        <v>198</v>
      </c>
      <c r="D90" s="21" t="s">
        <v>396</v>
      </c>
      <c r="E90" s="13">
        <v>42945.549942129626</v>
      </c>
      <c r="F90" s="13">
        <v>42945.552789351852</v>
      </c>
      <c r="G90" s="7">
        <v>1</v>
      </c>
      <c r="H90" s="21" t="s">
        <v>410</v>
      </c>
      <c r="I90" s="13">
        <v>42945.578981481478</v>
      </c>
      <c r="J90" s="7">
        <v>0</v>
      </c>
      <c r="K90" s="89" t="str">
        <f t="shared" si="27"/>
        <v>4055/4056</v>
      </c>
      <c r="L90" s="21" t="str">
        <f>VLOOKUP(A90,'Trips&amp;Operators'!$C$1:$G$99999,5,FALSE)</f>
        <v>THOMPSON LESTER</v>
      </c>
      <c r="M90" s="6">
        <f t="shared" si="28"/>
        <v>2.619212962599704E-2</v>
      </c>
      <c r="N90" s="7">
        <f t="shared" si="25"/>
        <v>37.716666661435738</v>
      </c>
      <c r="O90" s="7"/>
      <c r="P90" s="7"/>
      <c r="Q90" s="22"/>
      <c r="R90" s="170"/>
      <c r="S90" s="213">
        <f t="shared" si="26"/>
        <v>1</v>
      </c>
      <c r="T90" s="195" t="str">
        <f t="shared" si="29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0"/>
        <v>https://d0f6bd738d7f1b3e5a7ca70fe4ff75f0.us-east-1.aws.found.io/app/kibana#/discover/Steve-Slow-Train-Analysis-(2080s-and-2083s)?_g=(refreshInterval:(display:Off,pause:!f,section:0,value:0),time:(from:'2017-07-29T12:11:55-0600',mode:absolute,to:'2017-07-29T14:53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0" s="197" t="str">
        <f>IF(AA90&lt;VLOOKUP(AG90,Variables!$AC$3:$AD$8,2,FALSE),"Y","N")</f>
        <v>N</v>
      </c>
      <c r="X90" s="197">
        <f t="shared" si="31"/>
        <v>1</v>
      </c>
      <c r="Y90" s="197">
        <f t="shared" si="32"/>
        <v>4.5499999999999999E-2</v>
      </c>
      <c r="Z90" s="197">
        <f t="shared" si="33"/>
        <v>23.329699999999999</v>
      </c>
      <c r="AA90" s="197">
        <f t="shared" si="34"/>
        <v>23.284199999999998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5"/>
        <v>177</v>
      </c>
      <c r="AE90" s="77" t="str">
        <f t="shared" si="36"/>
        <v>aws s3 cp s3://rtdc.mdm.uploadarchive.raw/RTDC4056/ "%USERPROFILE%\AppData\Local\Temp\OnboardLogs"\RTDC4056\2017-07-29 --exclude "*" --recursive --include "*20170729*" &amp; "%USERPROFILE%\Documents\GitHub\mrs-test-scripts\Headless Mode &amp; Sideloading\WalkAndUnGZ.bat" "%USERPROFILE%\AppData\Local\Temp\OnboardLogs"\RTDC4056\2017-07-29 &amp; aws s3 cp s3://rtdc.mdm.uploadarchive.raw/RTDC4056/ "%USERPROFILE%\AppData\Local\Temp\OnboardLogs"\RTDC4056\2017-07-30 --exclude "*" --recursive --include "*20170730*" &amp; "%USERPROFILE%\Documents\GitHub\mrs-test-scripts\Headless Mode &amp; Sideloading\WalkAndUnGZ.bat" "%USERPROFILE%\AppData\Local\Temp\OnboardLogs"\RTDC4056\2017-07-30</v>
      </c>
      <c r="AF90" s="74" t="str">
        <f t="shared" si="37"/>
        <v>"C:\Program Files (x86)\AstroGrep\AstroGrep.exe" /e /r /s /spath="%USERPROFILE%\AppData\Local\Temp\OnboardLogs" /stypes="app*4056*20170729*" /stext=" 19:.+((SYSTEM_STATE.+slice.+state.+changed )|(ment ac)|(multiple cpu faults)|(system.+state.+changed )|(\[timeout)|(PRM\|1\|D)|(kpr)|(kdp)|(train st.+moving)|(\|lc)|(penalty))"</v>
      </c>
      <c r="AG90" s="209" t="str">
        <f t="shared" si="38"/>
        <v>EC</v>
      </c>
      <c r="AH90" s="78" t="str">
        <f t="shared" si="39"/>
        <v>"%USERPROFILE%\Documents\GitHub\eaglep3\Utilities\RefineRTDCRunTimes.py" --tripid 177-29 --locoid 4056 --swversion DE.1.0.9.0 --startMP 204:455 --initTime 2017-07-29T13:11:55 --startdatetime 2017-07-29T13:16:01 --delay 1 --endMP 204:233297 --enddatetime 2017-07-29T13:53:44 --enforcementcount 0 &gt;&gt;C:\Users\stu\Documents\GitHub\eaglep3-reporting\EC\2017-07-29-refined-times.txt</v>
      </c>
      <c r="AI90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{"issue":{"subject":"","project_id":79,"tracker_id":40,"status_id":1,"priority_id":2,"assigned_to_id":23,"start_date":"2017-07-29","description":"","custom_fields":[{"id":1,"name":"Subdivision","value":"EC"},{"id":4,"name":"Milepost","value":"23.3297"},{"id":17,"name":"Train ID","value":"177-29"},{"id":16,"name":"Locomotive ID","value":"4056"},{"id":130,"name":"Impact","value":""},{"id":150,"name":"Time of Event (Mountain Time)","value":"13:53:44"},{"id":151,"name":"Denver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1"/>
        <v>start /low /b %USERPROFILE%\Documents\GitHub\eaglep3\Utilities\DownloadLogsFromS3.py --loco 4056 --day 2017-07-29</v>
      </c>
      <c r="AN90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19:53:44"},{"id":29,"name":"Sharepoint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647</v>
      </c>
      <c r="B91" s="7">
        <v>4055</v>
      </c>
      <c r="C91" s="21" t="s">
        <v>198</v>
      </c>
      <c r="D91" s="21" t="s">
        <v>609</v>
      </c>
      <c r="E91" s="13">
        <v>42945.588946759257</v>
      </c>
      <c r="F91" s="13">
        <v>42945.591886574075</v>
      </c>
      <c r="G91" s="7">
        <v>1</v>
      </c>
      <c r="H91" s="21" t="s">
        <v>451</v>
      </c>
      <c r="I91" s="13">
        <v>42945.620138888888</v>
      </c>
      <c r="J91" s="7">
        <v>0</v>
      </c>
      <c r="K91" s="89" t="str">
        <f t="shared" si="27"/>
        <v>4055/4056</v>
      </c>
      <c r="L91" s="21" t="str">
        <f>VLOOKUP(A91,'Trips&amp;Operators'!$C$1:$G$99999,5,FALSE)</f>
        <v>THOMPSON LESTER</v>
      </c>
      <c r="M91" s="6">
        <f t="shared" si="28"/>
        <v>2.8252314812561963E-2</v>
      </c>
      <c r="N91" s="7">
        <f t="shared" si="25"/>
        <v>40.683333330089226</v>
      </c>
      <c r="O91" s="7"/>
      <c r="P91" s="7"/>
      <c r="Q91" s="22"/>
      <c r="R91" s="170"/>
      <c r="S91" s="213">
        <f t="shared" si="26"/>
        <v>1</v>
      </c>
      <c r="T91" s="195" t="str">
        <f t="shared" si="29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0"/>
        <v>https://d0f6bd738d7f1b3e5a7ca70fe4ff75f0.us-east-1.aws.found.io/app/kibana#/discover/Steve-Slow-Train-Analysis-(2080s-and-2083s)?_g=(refreshInterval:(display:Off,pause:!f,section:0,value:0),time:(from:'2017-07-29T13:08:05-0600',mode:absolute,to:'2017-07-29T15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1" s="197" t="str">
        <f>IF(AA91&lt;VLOOKUP(AG91,Variables!$AC$3:$AD$8,2,FALSE),"Y","N")</f>
        <v>N</v>
      </c>
      <c r="X91" s="197">
        <f t="shared" si="31"/>
        <v>1</v>
      </c>
      <c r="Y91" s="197">
        <f t="shared" si="32"/>
        <v>23.2988</v>
      </c>
      <c r="Z91" s="197">
        <f t="shared" si="33"/>
        <v>1.52E-2</v>
      </c>
      <c r="AA91" s="197">
        <f t="shared" si="34"/>
        <v>23.2836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5"/>
        <v>178</v>
      </c>
      <c r="AE91" s="77" t="str">
        <f t="shared" si="36"/>
        <v>aws s3 cp s3://rtdc.mdm.uploadarchive.raw/RTDC4055/ "%USERPROFILE%\AppData\Local\Temp\OnboardLogs"\RTDC4055\2017-07-29 --exclude "*" --recursive --include "*20170729*" &amp; "%USERPROFILE%\Documents\GitHub\mrs-test-scripts\Headless Mode &amp; Sideloading\WalkAndUnGZ.bat" "%USERPROFILE%\AppData\Local\Temp\OnboardLogs"\RTDC4055\2017-07-29 &amp; aws s3 cp s3://rtdc.mdm.uploadarchive.raw/RTDC4055/ "%USERPROFILE%\AppData\Local\Temp\OnboardLogs"\RTDC4055\2017-07-30 --exclude "*" --recursive --include "*20170730*" &amp; "%USERPROFILE%\Documents\GitHub\mrs-test-scripts\Headless Mode &amp; Sideloading\WalkAndUnGZ.bat" "%USERPROFILE%\AppData\Local\Temp\OnboardLogs"\RTDC4055\2017-07-30</v>
      </c>
      <c r="AF91" s="74" t="str">
        <f t="shared" si="37"/>
        <v>"C:\Program Files (x86)\AstroGrep\AstroGrep.exe" /e /r /s /spath="%USERPROFILE%\AppData\Local\Temp\OnboardLogs" /stypes="app*4055*20170729*" /stext=" 20:.+((SYSTEM_STATE.+slice.+state.+changed )|(ment ac)|(multiple cpu faults)|(system.+state.+changed )|(\[timeout)|(PRM\|1\|D)|(kpr)|(kdp)|(train st.+moving)|(\|lc)|(penalty))"</v>
      </c>
      <c r="AG91" s="209" t="str">
        <f t="shared" si="38"/>
        <v>EC</v>
      </c>
      <c r="AH91" s="78" t="str">
        <f t="shared" si="39"/>
        <v>"%USERPROFILE%\Documents\GitHub\eaglep3\Utilities\RefineRTDCRunTimes.py" --tripid 178-29 --locoid 4055 --swversion DE.1.0.9.0 --startMP 204:232988 --initTime 2017-07-29T14:08:05 --startdatetime 2017-07-29T14:12:19 --delay 1 --endMP 204:152 --enddatetime 2017-07-29T14:53:00 --enforcementcount 0 &gt;&gt;C:\Users\stu\Documents\GitHub\eaglep3-reporting\EC\2017-07-29-refined-times.txt</v>
      </c>
      <c r="AI91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{"issue":{"subject":"","project_id":79,"tracker_id":40,"status_id":1,"priority_id":2,"assigned_to_id":23,"start_date":"2017-07-29","description":"","custom_fields":[{"id":1,"name":"Subdivision","value":"EC"},{"id":4,"name":"Milepost","value":"0.0152"},{"id":17,"name":"Train ID","value":"178-29"},{"id":16,"name":"Locomotive ID","value":"4055"},{"id":130,"name":"Impact","value":""},{"id":150,"name":"Time of Event (Mountain Time)","value":"14:53:00"},{"id":151,"name":"Denver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1"/>
        <v>start /low /b %USERPROFILE%\Documents\GitHub\eaglep3\Utilities\DownloadLogsFromS3.py --loco 4055 --day 2017-07-29</v>
      </c>
      <c r="AN91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20:53:00"},{"id":29,"name":"Sharepoint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788</v>
      </c>
      <c r="B92" s="7">
        <v>4012</v>
      </c>
      <c r="C92" s="21" t="s">
        <v>198</v>
      </c>
      <c r="D92" s="21" t="s">
        <v>345</v>
      </c>
      <c r="E92" s="13">
        <v>42945.558888888889</v>
      </c>
      <c r="F92" s="13">
        <v>42945.562673611108</v>
      </c>
      <c r="G92" s="7">
        <v>1</v>
      </c>
      <c r="H92" s="21" t="s">
        <v>914</v>
      </c>
      <c r="I92" s="13">
        <v>42945.588125000002</v>
      </c>
      <c r="J92" s="7">
        <v>0</v>
      </c>
      <c r="K92" s="89" t="str">
        <f t="shared" si="27"/>
        <v>4011/4012</v>
      </c>
      <c r="L92" s="21" t="str">
        <f>VLOOKUP(A92,'Trips&amp;Operators'!$C$1:$G$99999,5,FALSE)</f>
        <v>DUNCAN SHEILA</v>
      </c>
      <c r="M92" s="6">
        <f t="shared" si="28"/>
        <v>2.5451388893998228E-2</v>
      </c>
      <c r="N92" s="7">
        <f t="shared" si="25"/>
        <v>36.650000007357448</v>
      </c>
      <c r="O92" s="7"/>
      <c r="P92" s="7"/>
      <c r="Q92" s="22"/>
      <c r="R92" s="170"/>
      <c r="S92" s="213">
        <f t="shared" si="26"/>
        <v>1</v>
      </c>
      <c r="T92" s="195" t="str">
        <f t="shared" si="29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0"/>
        <v>https://d0f6bd738d7f1b3e5a7ca70fe4ff75f0.us-east-1.aws.found.io/app/kibana#/discover/Steve-Slow-Train-Analysis-(2080s-and-2083s)?_g=(refreshInterval:(display:Off,pause:!f,section:0,value:0),time:(from:'2017-07-29T12:24:48-0600',mode:absolute,to:'2017-07-29T15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2" s="197" t="str">
        <f>IF(AA92&lt;VLOOKUP(AG92,Variables!$AC$3:$AD$8,2,FALSE),"Y","N")</f>
        <v>N</v>
      </c>
      <c r="X92" s="197">
        <f t="shared" si="31"/>
        <v>1</v>
      </c>
      <c r="Y92" s="197">
        <f t="shared" si="32"/>
        <v>4.5100000000000001E-2</v>
      </c>
      <c r="Z92" s="197">
        <f t="shared" si="33"/>
        <v>23.328499999999998</v>
      </c>
      <c r="AA92" s="197">
        <f t="shared" si="34"/>
        <v>23.283399999999997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5"/>
        <v>179</v>
      </c>
      <c r="AE92" s="77" t="str">
        <f t="shared" si="36"/>
        <v>aws s3 cp s3://rtdc.mdm.uploadarchive.raw/RTDC4012/ "%USERPROFILE%\AppData\Local\Temp\OnboardLogs"\RTDC4012\2017-07-29 --exclude "*" --recursive --include "*20170729*" &amp; "%USERPROFILE%\Documents\GitHub\mrs-test-scripts\Headless Mode &amp; Sideloading\WalkAndUnGZ.bat" "%USERPROFILE%\AppData\Local\Temp\OnboardLogs"\RTDC4012\2017-07-29 &amp; aws s3 cp s3://rtdc.mdm.uploadarchive.raw/RTDC4012/ "%USERPROFILE%\AppData\Local\Temp\OnboardLogs"\RTDC4012\2017-07-30 --exclude "*" --recursive --include "*20170730*" &amp; "%USERPROFILE%\Documents\GitHub\mrs-test-scripts\Headless Mode &amp; Sideloading\WalkAndUnGZ.bat" "%USERPROFILE%\AppData\Local\Temp\OnboardLogs"\RTDC4012\2017-07-30</v>
      </c>
      <c r="AF92" s="74" t="str">
        <f t="shared" si="37"/>
        <v>"C:\Program Files (x86)\AstroGrep\AstroGrep.exe" /e /r /s /spath="%USERPROFILE%\AppData\Local\Temp\OnboardLogs" /stypes="app*4012*20170729*" /stext=" 20:.+((SYSTEM_STATE.+slice.+state.+changed )|(ment ac)|(multiple cpu faults)|(system.+state.+changed )|(\[timeout)|(PRM\|1\|D)|(kpr)|(kdp)|(train st.+moving)|(\|lc)|(penalty))"</v>
      </c>
      <c r="AG92" s="209" t="str">
        <f t="shared" si="38"/>
        <v>EC</v>
      </c>
      <c r="AH92" s="78" t="str">
        <f t="shared" si="39"/>
        <v>"%USERPROFILE%\Documents\GitHub\eaglep3\Utilities\RefineRTDCRunTimes.py" --tripid 179-29 --locoid 4012 --swversion DE.1.0.9.0 --startMP 204:451 --initTime 2017-07-29T13:24:48 --startdatetime 2017-07-29T13:30:15 --delay 1 --endMP 204:233285 --enddatetime 2017-07-29T14:06:54 --enforcementcount 0 &gt;&gt;C:\Users\stu\Documents\GitHub\eaglep3-reporting\EC\2017-07-29-refined-times.txt</v>
      </c>
      <c r="AI92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{"issue":{"subject":"","project_id":79,"tracker_id":40,"status_id":1,"priority_id":2,"assigned_to_id":23,"start_date":"2017-07-29","description":"","custom_fields":[{"id":1,"name":"Subdivision","value":"EC"},{"id":4,"name":"Milepost","value":"23.3285"},{"id":17,"name":"Train ID","value":"179-29"},{"id":16,"name":"Locomotive ID","value":"4012"},{"id":130,"name":"Impact","value":""},{"id":150,"name":"Time of Event (Mountain Time)","value":"14:06:54"},{"id":151,"name":"Denver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1"/>
        <v>start /low /b %USERPROFILE%\Documents\GitHub\eaglep3\Utilities\DownloadLogsFromS3.py --loco 4012 --day 2017-07-29</v>
      </c>
      <c r="AN92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20:06:54"},{"id":29,"name":"Sharepoint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649</v>
      </c>
      <c r="B93" s="7">
        <v>4011</v>
      </c>
      <c r="C93" s="21" t="s">
        <v>198</v>
      </c>
      <c r="D93" s="21" t="s">
        <v>466</v>
      </c>
      <c r="E93" s="13">
        <v>42945.59337962963</v>
      </c>
      <c r="F93" s="13">
        <v>42945.602303240739</v>
      </c>
      <c r="G93" s="7">
        <v>1</v>
      </c>
      <c r="H93" s="21" t="s">
        <v>352</v>
      </c>
      <c r="I93" s="13">
        <v>42945.631249999999</v>
      </c>
      <c r="J93" s="7">
        <v>0</v>
      </c>
      <c r="K93" s="89" t="str">
        <f t="shared" si="27"/>
        <v>4011/4012</v>
      </c>
      <c r="L93" s="21" t="str">
        <f>VLOOKUP(A93,'Trips&amp;Operators'!$C$1:$G$99999,5,FALSE)</f>
        <v>DUNCAN SHEILA</v>
      </c>
      <c r="M93" s="6">
        <f t="shared" si="28"/>
        <v>2.8946759259270038E-2</v>
      </c>
      <c r="N93" s="7">
        <f t="shared" si="25"/>
        <v>41.683333333348855</v>
      </c>
      <c r="O93" s="7"/>
      <c r="P93" s="7"/>
      <c r="Q93" s="22"/>
      <c r="R93" s="170"/>
      <c r="S93" s="213">
        <f t="shared" si="26"/>
        <v>1</v>
      </c>
      <c r="T93" s="195" t="str">
        <f t="shared" si="29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0"/>
        <v>https://d0f6bd738d7f1b3e5a7ca70fe4ff75f0.us-east-1.aws.found.io/app/kibana#/discover/Steve-Slow-Train-Analysis-(2080s-and-2083s)?_g=(refreshInterval:(display:Off,pause:!f,section:0,value:0),time:(from:'2017-07-29T13:14:28-0600',mode:absolute,to:'2017-07-29T16:09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3" s="197" t="str">
        <f>IF(AA93&lt;VLOOKUP(AG93,Variables!$AC$3:$AD$8,2,FALSE),"Y","N")</f>
        <v>N</v>
      </c>
      <c r="X93" s="197">
        <f t="shared" si="31"/>
        <v>1</v>
      </c>
      <c r="Y93" s="197">
        <f t="shared" si="32"/>
        <v>23.3002</v>
      </c>
      <c r="Z93" s="197">
        <f t="shared" si="33"/>
        <v>1.47E-2</v>
      </c>
      <c r="AA93" s="197">
        <f t="shared" si="34"/>
        <v>23.285499999999999</v>
      </c>
      <c r="AB93" s="54" t="str">
        <f>VLOOKUP(A93,Enforcements!$C$7:$K$13,8,0)</f>
        <v>Bulletin (2)</v>
      </c>
      <c r="AC93" s="51" t="str">
        <f>VLOOKUP(A93,Enforcements!$C$7:$E$13,3,0)</f>
        <v>GRADE CROSSING</v>
      </c>
      <c r="AD93" s="206">
        <f t="shared" si="35"/>
        <v>180</v>
      </c>
      <c r="AE93" s="77" t="str">
        <f t="shared" si="36"/>
        <v>aws s3 cp s3://rtdc.mdm.uploadarchive.raw/RTDC4011/ "%USERPROFILE%\AppData\Local\Temp\OnboardLogs"\RTDC4011\2017-07-29 --exclude "*" --recursive --include "*20170729*" &amp; "%USERPROFILE%\Documents\GitHub\mrs-test-scripts\Headless Mode &amp; Sideloading\WalkAndUnGZ.bat" "%USERPROFILE%\AppData\Local\Temp\OnboardLogs"\RTDC4011\2017-07-29 &amp; aws s3 cp s3://rtdc.mdm.uploadarchive.raw/RTDC4011/ "%USERPROFILE%\AppData\Local\Temp\OnboardLogs"\RTDC4011\2017-07-30 --exclude "*" --recursive --include "*20170730*" &amp; "%USERPROFILE%\Documents\GitHub\mrs-test-scripts\Headless Mode &amp; Sideloading\WalkAndUnGZ.bat" "%USERPROFILE%\AppData\Local\Temp\OnboardLogs"\RTDC4011\2017-07-30</v>
      </c>
      <c r="AF93" s="74" t="str">
        <f t="shared" si="37"/>
        <v>"C:\Program Files (x86)\AstroGrep\AstroGrep.exe" /e /r /s /spath="%USERPROFILE%\AppData\Local\Temp\OnboardLogs" /stypes="app*4011*20170729*" /stext=" 21:.+((SYSTEM_STATE.+slice.+state.+changed )|(ment ac)|(multiple cpu faults)|(system.+state.+changed )|(\[timeout)|(PRM\|1\|D)|(kpr)|(kdp)|(train st.+moving)|(\|lc)|(penalty))"</v>
      </c>
      <c r="AG93" s="209" t="str">
        <f t="shared" si="38"/>
        <v>EC</v>
      </c>
      <c r="AH93" s="78" t="str">
        <f t="shared" si="39"/>
        <v>"%USERPROFILE%\Documents\GitHub\eaglep3\Utilities\RefineRTDCRunTimes.py" --tripid 180-29 --locoid 4011 --swversion DE.1.0.9.0 --startMP 204:233002 --initTime 2017-07-29T14:14:28 --startdatetime 2017-07-29T14:27:19 --delay 1 --endMP 204:147 --enddatetime 2017-07-29T15:09:00 --enforcementcount 0 &gt;&gt;C:\Users\stu\Documents\GitHub\eaglep3-reporting\EC\2017-07-29-refined-times.txt</v>
      </c>
      <c r="AI93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{"issue":{"subject":"","project_id":79,"tracker_id":40,"status_id":1,"priority_id":2,"assigned_to_id":23,"start_date":"2017-07-29","description":"","custom_fields":[{"id":1,"name":"Subdivision","value":"EC"},{"id":4,"name":"Milepost","value":"0.0147"},{"id":17,"name":"Train ID","value":"180-29"},{"id":16,"name":"Locomotive ID","value":"4011"},{"id":130,"name":"Impact","value":""},{"id":150,"name":"Time of Event (Mountain Time)","value":"15:09:00"},{"id":151,"name":"Denver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1"/>
        <v>start /low /b %USERPROFILE%\Documents\GitHub\eaglep3\Utilities\DownloadLogsFromS3.py --loco 4011 --day 2017-07-29</v>
      </c>
      <c r="AN93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21:09:00"},{"id":29,"name":"Sharepoint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x14ac:dyDescent="0.25">
      <c r="A94" s="32" t="s">
        <v>791</v>
      </c>
      <c r="B94" s="7">
        <v>4042</v>
      </c>
      <c r="C94" s="21" t="s">
        <v>198</v>
      </c>
      <c r="D94" s="21" t="s">
        <v>348</v>
      </c>
      <c r="E94" s="13">
        <v>42945.570671296293</v>
      </c>
      <c r="F94" s="13">
        <v>42945.573587962965</v>
      </c>
      <c r="G94" s="7">
        <v>1</v>
      </c>
      <c r="H94" s="21" t="s">
        <v>888</v>
      </c>
      <c r="I94" s="13">
        <v>42945.600092592591</v>
      </c>
      <c r="J94" s="7">
        <v>0</v>
      </c>
      <c r="K94" s="89" t="str">
        <f t="shared" si="27"/>
        <v>4041/4042</v>
      </c>
      <c r="L94" s="21" t="str">
        <f>VLOOKUP(A94,'Trips&amp;Operators'!$C$1:$G$99999,5,FALSE)</f>
        <v>BERLING GARY</v>
      </c>
      <c r="M94" s="6">
        <f t="shared" si="28"/>
        <v>2.6504629626288079E-2</v>
      </c>
      <c r="N94" s="7">
        <f t="shared" si="25"/>
        <v>38.166666661854833</v>
      </c>
      <c r="O94" s="7"/>
      <c r="P94" s="7"/>
      <c r="Q94" s="22"/>
      <c r="R94" s="170"/>
      <c r="S94" s="213">
        <f t="shared" si="26"/>
        <v>1</v>
      </c>
      <c r="T94" s="195" t="str">
        <f t="shared" si="29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0"/>
        <v>https://d0f6bd738d7f1b3e5a7ca70fe4ff75f0.us-east-1.aws.found.io/app/kibana#/discover/Steve-Slow-Train-Analysis-(2080s-and-2083s)?_g=(refreshInterval:(display:Off,pause:!f,section:0,value:0),time:(from:'2017-07-29T12:41:46-0600',mode:absolute,to:'2017-07-29T15:24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4" s="197" t="str">
        <f>IF(AA94&lt;VLOOKUP(AG94,Variables!$AC$3:$AD$8,2,FALSE),"Y","N")</f>
        <v>N</v>
      </c>
      <c r="X94" s="197">
        <f t="shared" si="31"/>
        <v>1</v>
      </c>
      <c r="Y94" s="197">
        <f t="shared" si="32"/>
        <v>4.4699999999999997E-2</v>
      </c>
      <c r="Z94" s="197">
        <f t="shared" si="33"/>
        <v>23.333600000000001</v>
      </c>
      <c r="AA94" s="197">
        <f t="shared" si="34"/>
        <v>23.288900000000002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5"/>
        <v>181</v>
      </c>
      <c r="AE94" s="77" t="str">
        <f t="shared" si="36"/>
        <v>aws s3 cp s3://rtdc.mdm.uploadarchive.raw/RTDC4042/ "%USERPROFILE%\AppData\Local\Temp\OnboardLogs"\RTDC4042\2017-07-29 --exclude "*" --recursive --include "*20170729*" &amp; "%USERPROFILE%\Documents\GitHub\mrs-test-scripts\Headless Mode &amp; Sideloading\WalkAndUnGZ.bat" "%USERPROFILE%\AppData\Local\Temp\OnboardLogs"\RTDC4042\2017-07-29 &amp; aws s3 cp s3://rtdc.mdm.uploadarchive.raw/RTDC4042/ "%USERPROFILE%\AppData\Local\Temp\OnboardLogs"\RTDC4042\2017-07-30 --exclude "*" --recursive --include "*20170730*" &amp; "%USERPROFILE%\Documents\GitHub\mrs-test-scripts\Headless Mode &amp; Sideloading\WalkAndUnGZ.bat" "%USERPROFILE%\AppData\Local\Temp\OnboardLogs"\RTDC4042\2017-07-30</v>
      </c>
      <c r="AF94" s="74" t="str">
        <f t="shared" si="37"/>
        <v>"C:\Program Files (x86)\AstroGrep\AstroGrep.exe" /e /r /s /spath="%USERPROFILE%\AppData\Local\Temp\OnboardLogs" /stypes="app*4042*20170729*" /stext=" 20:.+((SYSTEM_STATE.+slice.+state.+changed )|(ment ac)|(multiple cpu faults)|(system.+state.+changed )|(\[timeout)|(PRM\|1\|D)|(kpr)|(kdp)|(train st.+moving)|(\|lc)|(penalty))"</v>
      </c>
      <c r="AG94" s="209" t="str">
        <f t="shared" si="38"/>
        <v>EC</v>
      </c>
      <c r="AH94" s="78" t="str">
        <f t="shared" si="39"/>
        <v>"%USERPROFILE%\Documents\GitHub\eaglep3\Utilities\RefineRTDCRunTimes.py" --tripid 181-29 --locoid 4042 --swversion DE.1.0.9.0 --startMP 204:447 --initTime 2017-07-29T13:41:46 --startdatetime 2017-07-29T13:45:58 --delay 1 --endMP 204:233336 --enddatetime 2017-07-29T14:24:08 --enforcementcount 0 &gt;&gt;C:\Users\stu\Documents\GitHub\eaglep3-reporting\EC\2017-07-29-refined-times.txt</v>
      </c>
      <c r="AI94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{"issue":{"subject":"","project_id":79,"tracker_id":40,"status_id":1,"priority_id":2,"assigned_to_id":23,"start_date":"2017-07-29","description":"","custom_fields":[{"id":1,"name":"Subdivision","value":"EC"},{"id":4,"name":"Milepost","value":"23.3336"},{"id":17,"name":"Train ID","value":"181-29"},{"id":16,"name":"Locomotive ID","value":"4042"},{"id":130,"name":"Impact","value":""},{"id":150,"name":"Time of Event (Mountain Time)","value":"14:24:08"},{"id":151,"name":"Denver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1"/>
        <v>start /low /b %USERPROFILE%\Documents\GitHub\eaglep3\Utilities\DownloadLogsFromS3.py --loco 4042 --day 2017-07-29</v>
      </c>
      <c r="AN94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20:24:08"},{"id":29,"name":"Sharepoint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</row>
    <row r="95" spans="1:91" s="20" customFormat="1" x14ac:dyDescent="0.25">
      <c r="A95" s="32" t="s">
        <v>650</v>
      </c>
      <c r="B95" s="7">
        <v>4041</v>
      </c>
      <c r="C95" s="21" t="s">
        <v>198</v>
      </c>
      <c r="D95" s="21" t="s">
        <v>520</v>
      </c>
      <c r="E95" s="13">
        <v>42945.604930555557</v>
      </c>
      <c r="F95" s="13">
        <v>42945.612951388888</v>
      </c>
      <c r="G95" s="7">
        <v>1</v>
      </c>
      <c r="H95" s="21" t="s">
        <v>448</v>
      </c>
      <c r="I95" s="13">
        <v>42945.643113425926</v>
      </c>
      <c r="J95" s="7">
        <v>0</v>
      </c>
      <c r="K95" s="89" t="str">
        <f t="shared" si="27"/>
        <v>4041/4042</v>
      </c>
      <c r="L95" s="21" t="str">
        <f>VLOOKUP(A95,'Trips&amp;Operators'!$C$1:$G$99999,5,FALSE)</f>
        <v>BERLING GARY</v>
      </c>
      <c r="M95" s="6">
        <f t="shared" si="28"/>
        <v>3.0162037037371192E-2</v>
      </c>
      <c r="N95" s="7">
        <f t="shared" si="25"/>
        <v>43.433333333814517</v>
      </c>
      <c r="O95" s="7"/>
      <c r="P95" s="7"/>
      <c r="Q95" s="22"/>
      <c r="R95" s="170"/>
      <c r="S95" s="213">
        <f t="shared" si="26"/>
        <v>1</v>
      </c>
      <c r="T95" s="195" t="str">
        <f t="shared" si="29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0"/>
        <v>https://d0f6bd738d7f1b3e5a7ca70fe4ff75f0.us-east-1.aws.found.io/app/kibana#/discover/Steve-Slow-Train-Analysis-(2080s-and-2083s)?_g=(refreshInterval:(display:Off,pause:!f,section:0,value:0),time:(from:'2017-07-29T13:31:06-0600',mode:absolute,to:'2017-07-29T16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5" s="197" t="str">
        <f>IF(AA95&lt;VLOOKUP(AG95,Variables!$AC$3:$AD$8,2,FALSE),"Y","N")</f>
        <v>N</v>
      </c>
      <c r="X95" s="197">
        <f t="shared" si="31"/>
        <v>1</v>
      </c>
      <c r="Y95" s="197">
        <f t="shared" si="32"/>
        <v>23.301300000000001</v>
      </c>
      <c r="Z95" s="197">
        <f t="shared" si="33"/>
        <v>1.5800000000000002E-2</v>
      </c>
      <c r="AA95" s="197">
        <f t="shared" si="34"/>
        <v>23.285500000000003</v>
      </c>
      <c r="AB95" s="54" t="str">
        <f>VLOOKUP(A95,Enforcements!$C$7:$K$13,8,0)</f>
        <v>Bulletin (2)</v>
      </c>
      <c r="AC95" s="51" t="str">
        <f>VLOOKUP(A95,Enforcements!$C$7:$E$13,3,0)</f>
        <v>GRADE CROSSING</v>
      </c>
      <c r="AD95" s="206">
        <f t="shared" si="35"/>
        <v>182</v>
      </c>
      <c r="AE95" s="77" t="str">
        <f t="shared" si="36"/>
        <v>aws s3 cp s3://rtdc.mdm.uploadarchive.raw/RTDC4041/ "%USERPROFILE%\AppData\Local\Temp\OnboardLogs"\RTDC4041\2017-07-29 --exclude "*" --recursive --include "*20170729*" &amp; "%USERPROFILE%\Documents\GitHub\mrs-test-scripts\Headless Mode &amp; Sideloading\WalkAndUnGZ.bat" "%USERPROFILE%\AppData\Local\Temp\OnboardLogs"\RTDC4041\2017-07-29 &amp; aws s3 cp s3://rtdc.mdm.uploadarchive.raw/RTDC4041/ "%USERPROFILE%\AppData\Local\Temp\OnboardLogs"\RTDC4041\2017-07-30 --exclude "*" --recursive --include "*20170730*" &amp; "%USERPROFILE%\Documents\GitHub\mrs-test-scripts\Headless Mode &amp; Sideloading\WalkAndUnGZ.bat" "%USERPROFILE%\AppData\Local\Temp\OnboardLogs"\RTDC4041\2017-07-30</v>
      </c>
      <c r="AF95" s="74" t="str">
        <f t="shared" si="37"/>
        <v>"C:\Program Files (x86)\AstroGrep\AstroGrep.exe" /e /r /s /spath="%USERPROFILE%\AppData\Local\Temp\OnboardLogs" /stypes="app*4041*20170729*" /stext=" 21:.+((SYSTEM_STATE.+slice.+state.+changed )|(ment ac)|(multiple cpu faults)|(system.+state.+changed )|(\[timeout)|(PRM\|1\|D)|(kpr)|(kdp)|(train st.+moving)|(\|lc)|(penalty))"</v>
      </c>
      <c r="AG95" s="209" t="str">
        <f t="shared" si="38"/>
        <v>EC</v>
      </c>
      <c r="AH95" s="78" t="str">
        <f t="shared" si="39"/>
        <v>"%USERPROFILE%\Documents\GitHub\eaglep3\Utilities\RefineRTDCRunTimes.py" --tripid 182-29 --locoid 4041 --swversion DE.1.0.9.0 --startMP 204:233013 --initTime 2017-07-29T14:31:06 --startdatetime 2017-07-29T14:42:39 --delay 1 --endMP 204:158 --enddatetime 2017-07-29T15:26:05 --enforcementcount 0 &gt;&gt;C:\Users\stu\Documents\GitHub\eaglep3-reporting\EC\2017-07-29-refined-times.txt</v>
      </c>
      <c r="AI95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{"issue":{"subject":"","project_id":79,"tracker_id":40,"status_id":1,"priority_id":2,"assigned_to_id":23,"start_date":"2017-07-29","description":"","custom_fields":[{"id":1,"name":"Subdivision","value":"EC"},{"id":4,"name":"Milepost","value":"0.0158"},{"id":17,"name":"Train ID","value":"182-29"},{"id":16,"name":"Locomotive ID","value":"4041"},{"id":130,"name":"Impact","value":""},{"id":150,"name":"Time of Event (Mountain Time)","value":"15:26:05"},{"id":151,"name":"Denver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1"/>
        <v>start /low /b %USERPROFILE%\Documents\GitHub\eaglep3\Utilities\DownloadLogsFromS3.py --loco 4041 --day 2017-07-29</v>
      </c>
      <c r="AN95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21:26:05"},{"id":29,"name":"Sharepoint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792</v>
      </c>
      <c r="B96" s="7">
        <v>4028</v>
      </c>
      <c r="C96" s="21" t="s">
        <v>198</v>
      </c>
      <c r="D96" s="21" t="s">
        <v>345</v>
      </c>
      <c r="E96" s="13">
        <v>42945.578483796293</v>
      </c>
      <c r="F96" s="13">
        <v>42945.583796296298</v>
      </c>
      <c r="G96" s="7">
        <v>2</v>
      </c>
      <c r="H96" s="21" t="s">
        <v>955</v>
      </c>
      <c r="I96" s="13">
        <v>42945.608576388891</v>
      </c>
      <c r="J96" s="7">
        <v>0</v>
      </c>
      <c r="K96" s="89" t="str">
        <f t="shared" si="27"/>
        <v>4027/4028</v>
      </c>
      <c r="L96" s="21" t="str">
        <f>VLOOKUP(A96,'Trips&amp;Operators'!$C$1:$G$99999,5,FALSE)</f>
        <v>DELGADO DIANAH</v>
      </c>
      <c r="M96" s="6">
        <f t="shared" si="28"/>
        <v>2.4780092593573499E-2</v>
      </c>
      <c r="N96" s="7">
        <f t="shared" si="25"/>
        <v>35.683333334745839</v>
      </c>
      <c r="O96" s="7"/>
      <c r="P96" s="7"/>
      <c r="Q96" s="22"/>
      <c r="R96" s="170"/>
      <c r="S96" s="213">
        <f t="shared" si="26"/>
        <v>1</v>
      </c>
      <c r="T96" s="195" t="str">
        <f t="shared" si="29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0"/>
        <v>https://d0f6bd738d7f1b3e5a7ca70fe4ff75f0.us-east-1.aws.found.io/app/kibana#/discover/Steve-Slow-Train-Analysis-(2080s-and-2083s)?_g=(refreshInterval:(display:Off,pause:!f,section:0,value:0),time:(from:'2017-07-29T12:53:01-0600',mode:absolute,to:'2017-07-29T15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6" s="197" t="str">
        <f>IF(AA96&lt;VLOOKUP(AG96,Variables!$AC$3:$AD$8,2,FALSE),"Y","N")</f>
        <v>N</v>
      </c>
      <c r="X96" s="197">
        <f t="shared" si="31"/>
        <v>1</v>
      </c>
      <c r="Y96" s="197">
        <f t="shared" si="32"/>
        <v>4.5100000000000001E-2</v>
      </c>
      <c r="Z96" s="197">
        <f t="shared" si="33"/>
        <v>23.340800000000002</v>
      </c>
      <c r="AA96" s="197">
        <f t="shared" si="34"/>
        <v>23.2957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5"/>
        <v>183</v>
      </c>
      <c r="AE96" s="77" t="str">
        <f t="shared" si="36"/>
        <v>aws s3 cp s3://rtdc.mdm.uploadarchive.raw/RTDC4028/ "%USERPROFILE%\AppData\Local\Temp\OnboardLogs"\RTDC4028\2017-07-29 --exclude "*" --recursive --include "*20170729*" &amp; "%USERPROFILE%\Documents\GitHub\mrs-test-scripts\Headless Mode &amp; Sideloading\WalkAndUnGZ.bat" "%USERPROFILE%\AppData\Local\Temp\OnboardLogs"\RTDC4028\2017-07-29 &amp; aws s3 cp s3://rtdc.mdm.uploadarchive.raw/RTDC4028/ "%USERPROFILE%\AppData\Local\Temp\OnboardLogs"\RTDC4028\2017-07-30 --exclude "*" --recursive --include "*20170730*" &amp; "%USERPROFILE%\Documents\GitHub\mrs-test-scripts\Headless Mode &amp; Sideloading\WalkAndUnGZ.bat" "%USERPROFILE%\AppData\Local\Temp\OnboardLogs"\RTDC4028\2017-07-30</v>
      </c>
      <c r="AF96" s="74" t="str">
        <f t="shared" si="37"/>
        <v>"C:\Program Files (x86)\AstroGrep\AstroGrep.exe" /e /r /s /spath="%USERPROFILE%\AppData\Local\Temp\OnboardLogs" /stypes="app*4028*20170729*" /stext=" 20:.+((SYSTEM_STATE.+slice.+state.+changed )|(ment ac)|(multiple cpu faults)|(system.+state.+changed )|(\[timeout)|(PRM\|1\|D)|(kpr)|(kdp)|(train st.+moving)|(\|lc)|(penalty))"</v>
      </c>
      <c r="AG96" s="209" t="str">
        <f t="shared" si="38"/>
        <v>EC</v>
      </c>
      <c r="AH96" s="78" t="str">
        <f t="shared" si="39"/>
        <v>"%USERPROFILE%\Documents\GitHub\eaglep3\Utilities\RefineRTDCRunTimes.py" --tripid 183-29 --locoid 4028 --swversion DE.1.0.9.0 --startMP 204:451 --initTime 2017-07-29T13:53:01 --startdatetime 2017-07-29T14:00:40 --delay 2 --endMP 204:233408 --enddatetime 2017-07-29T14:36:21 --enforcementcount 0 &gt;&gt;C:\Users\stu\Documents\GitHub\eaglep3-reporting\EC\2017-07-29-refined-times.txt</v>
      </c>
      <c r="AI96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{"issue":{"subject":"","project_id":79,"tracker_id":40,"status_id":1,"priority_id":2,"assigned_to_id":23,"start_date":"2017-07-29","description":"","custom_fields":[{"id":1,"name":"Subdivision","value":"EC"},{"id":4,"name":"Milepost","value":"23.3408"},{"id":17,"name":"Train ID","value":"183-29"},{"id":16,"name":"Locomotive ID","value":"4028"},{"id":130,"name":"Impact","value":""},{"id":150,"name":"Time of Event (Mountain Time)","value":"14:36:21"},{"id":151,"name":"Denver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1"/>
        <v>start /low /b %USERPROFILE%\Documents\GitHub\eaglep3\Utilities\DownloadLogsFromS3.py --loco 4028 --day 2017-07-29</v>
      </c>
      <c r="AN96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20:36:21"},{"id":29,"name":"Sharepoint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800</v>
      </c>
      <c r="B97" s="7">
        <v>4027</v>
      </c>
      <c r="C97" s="21" t="s">
        <v>198</v>
      </c>
      <c r="D97" s="21" t="s">
        <v>959</v>
      </c>
      <c r="E97" s="13">
        <v>42945.613796296297</v>
      </c>
      <c r="F97" s="13">
        <v>42945.623101851852</v>
      </c>
      <c r="G97" s="7">
        <v>2</v>
      </c>
      <c r="H97" s="21" t="s">
        <v>343</v>
      </c>
      <c r="I97" s="13">
        <v>42945.649606481478</v>
      </c>
      <c r="J97" s="7">
        <v>0</v>
      </c>
      <c r="K97" s="89" t="str">
        <f t="shared" si="27"/>
        <v>4027/4028</v>
      </c>
      <c r="L97" s="21" t="str">
        <f>VLOOKUP(A97,'Trips&amp;Operators'!$C$1:$G$99999,5,FALSE)</f>
        <v>DELGADO DIANAH</v>
      </c>
      <c r="M97" s="6">
        <f t="shared" si="28"/>
        <v>2.6504629626288079E-2</v>
      </c>
      <c r="N97" s="7">
        <f t="shared" si="25"/>
        <v>38.166666661854833</v>
      </c>
      <c r="O97" s="7"/>
      <c r="P97" s="7"/>
      <c r="Q97" s="22"/>
      <c r="R97" s="170"/>
      <c r="S97" s="213">
        <f t="shared" si="26"/>
        <v>1</v>
      </c>
      <c r="T97" s="195" t="str">
        <f t="shared" si="29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0"/>
        <v>https://d0f6bd738d7f1b3e5a7ca70fe4ff75f0.us-east-1.aws.found.io/app/kibana#/discover/Steve-Slow-Train-Analysis-(2080s-and-2083s)?_g=(refreshInterval:(display:Off,pause:!f,section:0,value:0),time:(from:'2017-07-29T13:43:52-0600',mode:absolute,to:'2017-07-29T16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7" s="197" t="str">
        <f>IF(AA97&lt;VLOOKUP(AG97,Variables!$AC$3:$AD$8,2,FALSE),"Y","N")</f>
        <v>N</v>
      </c>
      <c r="X97" s="197">
        <f t="shared" si="31"/>
        <v>1</v>
      </c>
      <c r="Y97" s="197">
        <f t="shared" si="32"/>
        <v>23.3093</v>
      </c>
      <c r="Z97" s="197">
        <f t="shared" si="33"/>
        <v>1.43E-2</v>
      </c>
      <c r="AA97" s="197">
        <f t="shared" si="34"/>
        <v>23.295000000000002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5"/>
        <v>184</v>
      </c>
      <c r="AE97" s="77" t="str">
        <f t="shared" si="36"/>
        <v>aws s3 cp s3://rtdc.mdm.uploadarchive.raw/RTDC4027/ "%USERPROFILE%\AppData\Local\Temp\OnboardLogs"\RTDC4027\2017-07-29 --exclude "*" --recursive --include "*20170729*" &amp; "%USERPROFILE%\Documents\GitHub\mrs-test-scripts\Headless Mode &amp; Sideloading\WalkAndUnGZ.bat" "%USERPROFILE%\AppData\Local\Temp\OnboardLogs"\RTDC4027\2017-07-29 &amp; aws s3 cp s3://rtdc.mdm.uploadarchive.raw/RTDC4027/ "%USERPROFILE%\AppData\Local\Temp\OnboardLogs"\RTDC4027\2017-07-30 --exclude "*" --recursive --include "*20170730*" &amp; "%USERPROFILE%\Documents\GitHub\mrs-test-scripts\Headless Mode &amp; Sideloading\WalkAndUnGZ.bat" "%USERPROFILE%\AppData\Local\Temp\OnboardLogs"\RTDC4027\2017-07-30</v>
      </c>
      <c r="AF97" s="74" t="str">
        <f t="shared" si="37"/>
        <v>"C:\Program Files (x86)\AstroGrep\AstroGrep.exe" /e /r /s /spath="%USERPROFILE%\AppData\Local\Temp\OnboardLogs" /stypes="app*4027*20170729*" /stext=" 21:.+((SYSTEM_STATE.+slice.+state.+changed )|(ment ac)|(multiple cpu faults)|(system.+state.+changed )|(\[timeout)|(PRM\|1\|D)|(kpr)|(kdp)|(train st.+moving)|(\|lc)|(penalty))"</v>
      </c>
      <c r="AG97" s="209" t="str">
        <f t="shared" si="38"/>
        <v>EC</v>
      </c>
      <c r="AH97" s="78" t="str">
        <f t="shared" si="39"/>
        <v>"%USERPROFILE%\Documents\GitHub\eaglep3\Utilities\RefineRTDCRunTimes.py" --tripid 184-29 --locoid 4027 --swversion DE.1.0.9.0 --startMP 204:233093 --initTime 2017-07-29T14:43:52 --startdatetime 2017-07-29T14:57:16 --delay 2 --endMP 204:143 --enddatetime 2017-07-29T15:35:26 --enforcementcount 0 &gt;&gt;C:\Users\stu\Documents\GitHub\eaglep3-reporting\EC\2017-07-29-refined-times.txt</v>
      </c>
      <c r="AI97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{"issue":{"subject":"","project_id":79,"tracker_id":40,"status_id":1,"priority_id":2,"assigned_to_id":23,"start_date":"2017-07-29","description":"","custom_fields":[{"id":1,"name":"Subdivision","value":"EC"},{"id":4,"name":"Milepost","value":"0.0143"},{"id":17,"name":"Train ID","value":"184-29"},{"id":16,"name":"Locomotive ID","value":"4027"},{"id":130,"name":"Impact","value":""},{"id":150,"name":"Time of Event (Mountain Time)","value":"15:35:26"},{"id":151,"name":"Denver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1"/>
        <v>start /low /b %USERPROFILE%\Documents\GitHub\eaglep3\Utilities\DownloadLogsFromS3.py --loco 4027 --day 2017-07-29</v>
      </c>
      <c r="AN97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21:35:26"},{"id":29,"name":"Sharepoint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796</v>
      </c>
      <c r="B98" s="7">
        <v>4008</v>
      </c>
      <c r="C98" s="21" t="s">
        <v>198</v>
      </c>
      <c r="D98" s="21" t="s">
        <v>521</v>
      </c>
      <c r="E98" s="13">
        <v>42945.591226851851</v>
      </c>
      <c r="F98" s="13">
        <v>42945.594328703701</v>
      </c>
      <c r="G98" s="7">
        <v>1</v>
      </c>
      <c r="H98" s="21" t="s">
        <v>960</v>
      </c>
      <c r="I98" s="13">
        <v>42945.621203703704</v>
      </c>
      <c r="J98" s="7">
        <v>0</v>
      </c>
      <c r="K98" s="89" t="str">
        <f t="shared" si="27"/>
        <v>4007/4008</v>
      </c>
      <c r="L98" s="21" t="str">
        <f>VLOOKUP(A98,'Trips&amp;Operators'!$C$1:$G$99999,5,FALSE)</f>
        <v>STEWART MICHAEL</v>
      </c>
      <c r="M98" s="6">
        <f t="shared" si="28"/>
        <v>2.6875000003201421E-2</v>
      </c>
      <c r="N98" s="7">
        <f t="shared" ref="N98:N129" si="43">24*60*SUM($M98:$M98)</f>
        <v>38.700000004610047</v>
      </c>
      <c r="O98" s="7"/>
      <c r="P98" s="7"/>
      <c r="Q98" s="22"/>
      <c r="R98" s="170"/>
      <c r="S98" s="213">
        <f t="shared" ref="S98:S129" si="44">1/IF(AG98="EC",12,1)*SUM(U98:U98)</f>
        <v>1</v>
      </c>
      <c r="T98" s="195" t="str">
        <f t="shared" si="29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0"/>
        <v>https://d0f6bd738d7f1b3e5a7ca70fe4ff75f0.us-east-1.aws.found.io/app/kibana#/discover/Steve-Slow-Train-Analysis-(2080s-and-2083s)?_g=(refreshInterval:(display:Off,pause:!f,section:0,value:0),time:(from:'2017-07-29T13:11:22-0600',mode:absolute,to:'2017-07-29T15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8" s="197" t="str">
        <f>IF(AA98&lt;VLOOKUP(AG98,Variables!$AC$3:$AD$8,2,FALSE),"Y","N")</f>
        <v>N</v>
      </c>
      <c r="X98" s="197">
        <f t="shared" si="31"/>
        <v>1</v>
      </c>
      <c r="Y98" s="197">
        <f t="shared" si="32"/>
        <v>4.6699999999999998E-2</v>
      </c>
      <c r="Z98" s="197">
        <f t="shared" si="33"/>
        <v>23.3276</v>
      </c>
      <c r="AA98" s="197">
        <f t="shared" si="34"/>
        <v>23.280899999999999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5"/>
        <v>185</v>
      </c>
      <c r="AE98" s="77" t="str">
        <f t="shared" si="36"/>
        <v>aws s3 cp s3://rtdc.mdm.uploadarchive.raw/RTDC4008/ "%USERPROFILE%\AppData\Local\Temp\OnboardLogs"\RTDC4008\2017-07-29 --exclude "*" --recursive --include "*20170729*" &amp; "%USERPROFILE%\Documents\GitHub\mrs-test-scripts\Headless Mode &amp; Sideloading\WalkAndUnGZ.bat" "%USERPROFILE%\AppData\Local\Temp\OnboardLogs"\RTDC4008\2017-07-29 &amp; aws s3 cp s3://rtdc.mdm.uploadarchive.raw/RTDC4008/ "%USERPROFILE%\AppData\Local\Temp\OnboardLogs"\RTDC4008\2017-07-30 --exclude "*" --recursive --include "*20170730*" &amp; "%USERPROFILE%\Documents\GitHub\mrs-test-scripts\Headless Mode &amp; Sideloading\WalkAndUnGZ.bat" "%USERPROFILE%\AppData\Local\Temp\OnboardLogs"\RTDC4008\2017-07-30</v>
      </c>
      <c r="AF98" s="74" t="str">
        <f t="shared" si="37"/>
        <v>"C:\Program Files (x86)\AstroGrep\AstroGrep.exe" /e /r /s /spath="%USERPROFILE%\AppData\Local\Temp\OnboardLogs" /stypes="app*4008*20170729*" /stext=" 20:.+((SYSTEM_STATE.+slice.+state.+changed )|(ment ac)|(multiple cpu faults)|(system.+state.+changed )|(\[timeout)|(PRM\|1\|D)|(kpr)|(kdp)|(train st.+moving)|(\|lc)|(penalty))"</v>
      </c>
      <c r="AG98" s="209" t="str">
        <f t="shared" si="38"/>
        <v>EC</v>
      </c>
      <c r="AH98" s="78" t="str">
        <f t="shared" si="39"/>
        <v>"%USERPROFILE%\Documents\GitHub\eaglep3\Utilities\RefineRTDCRunTimes.py" --tripid 185-29 --locoid 4008 --swversion DE.1.0.9.0 --startMP 204:467 --initTime 2017-07-29T14:11:22 --startdatetime 2017-07-29T14:15:50 --delay 1 --endMP 204:233276 --enddatetime 2017-07-29T14:54:32 --enforcementcount 0 &gt;&gt;C:\Users\stu\Documents\GitHub\eaglep3-reporting\EC\2017-07-29-refined-times.txt</v>
      </c>
      <c r="AI98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{"issue":{"subject":"","project_id":79,"tracker_id":40,"status_id":1,"priority_id":2,"assigned_to_id":23,"start_date":"2017-07-29","description":"","custom_fields":[{"id":1,"name":"Subdivision","value":"EC"},{"id":4,"name":"Milepost","value":"23.3276"},{"id":17,"name":"Train ID","value":"185-29"},{"id":16,"name":"Locomotive ID","value":"4008"},{"id":130,"name":"Impact","value":""},{"id":150,"name":"Time of Event (Mountain Time)","value":"14:54:32"},{"id":151,"name":"Denver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1"/>
        <v>start /low /b %USERPROFILE%\Documents\GitHub\eaglep3\Utilities\DownloadLogsFromS3.py --loco 4008 --day 2017-07-29</v>
      </c>
      <c r="AN98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20:54:32"},{"id":29,"name":"Sharepoint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801</v>
      </c>
      <c r="B99" s="7">
        <v>4007</v>
      </c>
      <c r="C99" s="21" t="s">
        <v>198</v>
      </c>
      <c r="D99" s="21" t="s">
        <v>961</v>
      </c>
      <c r="E99" s="13">
        <v>42945.629490740743</v>
      </c>
      <c r="F99" s="13">
        <v>42945.633634259262</v>
      </c>
      <c r="G99" s="7">
        <v>1</v>
      </c>
      <c r="H99" s="21" t="s">
        <v>612</v>
      </c>
      <c r="I99" s="13">
        <v>42945.662430555552</v>
      </c>
      <c r="J99" s="7">
        <v>0</v>
      </c>
      <c r="K99" s="89" t="str">
        <f t="shared" si="27"/>
        <v>4007/4008</v>
      </c>
      <c r="L99" s="21" t="str">
        <f>VLOOKUP(A99,'Trips&amp;Operators'!$C$1:$G$99999,5,FALSE)</f>
        <v>STEWART MICHAEL</v>
      </c>
      <c r="M99" s="6">
        <f t="shared" si="28"/>
        <v>2.8796296290238388E-2</v>
      </c>
      <c r="N99" s="7">
        <f t="shared" si="43"/>
        <v>41.466666657943279</v>
      </c>
      <c r="O99" s="7"/>
      <c r="P99" s="7"/>
      <c r="Q99" s="22"/>
      <c r="R99" s="170"/>
      <c r="S99" s="213">
        <f t="shared" si="44"/>
        <v>1</v>
      </c>
      <c r="T99" s="195" t="str">
        <f t="shared" si="29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0"/>
        <v>https://d0f6bd738d7f1b3e5a7ca70fe4ff75f0.us-east-1.aws.found.io/app/kibana#/discover/Steve-Slow-Train-Analysis-(2080s-and-2083s)?_g=(refreshInterval:(display:Off,pause:!f,section:0,value:0),time:(from:'2017-07-29T14:06:28-0600',mode:absolute,to:'2017-07-29T16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9" s="197" t="str">
        <f>IF(AA99&lt;VLOOKUP(AG99,Variables!$AC$3:$AD$8,2,FALSE),"Y","N")</f>
        <v>N</v>
      </c>
      <c r="X99" s="197">
        <f t="shared" si="31"/>
        <v>1</v>
      </c>
      <c r="Y99" s="197">
        <f t="shared" si="32"/>
        <v>23.294599999999999</v>
      </c>
      <c r="Z99" s="197">
        <f t="shared" si="33"/>
        <v>1.2699999999999999E-2</v>
      </c>
      <c r="AA99" s="197">
        <f t="shared" si="34"/>
        <v>23.2819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5"/>
        <v>186</v>
      </c>
      <c r="AE99" s="77" t="str">
        <f t="shared" si="36"/>
        <v>aws s3 cp s3://rtdc.mdm.uploadarchive.raw/RTDC4007/ "%USERPROFILE%\AppData\Local\Temp\OnboardLogs"\RTDC4007\2017-07-29 --exclude "*" --recursive --include "*20170729*" &amp; "%USERPROFILE%\Documents\GitHub\mrs-test-scripts\Headless Mode &amp; Sideloading\WalkAndUnGZ.bat" "%USERPROFILE%\AppData\Local\Temp\OnboardLogs"\RTDC4007\2017-07-29 &amp; aws s3 cp s3://rtdc.mdm.uploadarchive.raw/RTDC4007/ "%USERPROFILE%\AppData\Local\Temp\OnboardLogs"\RTDC4007\2017-07-30 --exclude "*" --recursive --include "*20170730*" &amp; "%USERPROFILE%\Documents\GitHub\mrs-test-scripts\Headless Mode &amp; Sideloading\WalkAndUnGZ.bat" "%USERPROFILE%\AppData\Local\Temp\OnboardLogs"\RTDC4007\2017-07-30</v>
      </c>
      <c r="AF99" s="74" t="str">
        <f t="shared" si="37"/>
        <v>"C:\Program Files (x86)\AstroGrep\AstroGrep.exe" /e /r /s /spath="%USERPROFILE%\AppData\Local\Temp\OnboardLogs" /stypes="app*4007*20170729*" /stext=" 21:.+((SYSTEM_STATE.+slice.+state.+changed )|(ment ac)|(multiple cpu faults)|(system.+state.+changed )|(\[timeout)|(PRM\|1\|D)|(kpr)|(kdp)|(train st.+moving)|(\|lc)|(penalty))"</v>
      </c>
      <c r="AG99" s="209" t="str">
        <f t="shared" si="38"/>
        <v>EC</v>
      </c>
      <c r="AH99" s="78" t="str">
        <f t="shared" si="39"/>
        <v>"%USERPROFILE%\Documents\GitHub\eaglep3\Utilities\RefineRTDCRunTimes.py" --tripid 186-29 --locoid 4007 --swversion DE.1.0.9.0 --startMP 204:232946 --initTime 2017-07-29T15:06:28 --startdatetime 2017-07-29T15:12:26 --delay 1 --endMP 204:127 --enddatetime 2017-07-29T15:53:54 --enforcementcount 0 &gt;&gt;C:\Users\stu\Documents\GitHub\eaglep3-reporting\EC\2017-07-29-refined-times.txt</v>
      </c>
      <c r="AI99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{"issue":{"subject":"","project_id":79,"tracker_id":40,"status_id":1,"priority_id":2,"assigned_to_id":23,"start_date":"2017-07-29","description":"","custom_fields":[{"id":1,"name":"Subdivision","value":"EC"},{"id":4,"name":"Milepost","value":"0.0127"},{"id":17,"name":"Train ID","value":"186-29"},{"id":16,"name":"Locomotive ID","value":"4007"},{"id":130,"name":"Impact","value":""},{"id":150,"name":"Time of Event (Mountain Time)","value":"15:53:54"},{"id":151,"name":"Denver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1"/>
        <v>start /low /b %USERPROFILE%\Documents\GitHub\eaglep3\Utilities\DownloadLogsFromS3.py --loco 4007 --day 2017-07-29</v>
      </c>
      <c r="AN99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21:53:54"},{"id":29,"name":"Sharepoint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797</v>
      </c>
      <c r="B100" s="7">
        <v>4030</v>
      </c>
      <c r="C100" s="21" t="s">
        <v>198</v>
      </c>
      <c r="D100" s="21" t="s">
        <v>454</v>
      </c>
      <c r="E100" s="13">
        <v>42945.599687499998</v>
      </c>
      <c r="F100" s="13">
        <v>42945.604664351849</v>
      </c>
      <c r="G100" s="7">
        <v>1</v>
      </c>
      <c r="H100" s="21" t="s">
        <v>523</v>
      </c>
      <c r="I100" s="13">
        <v>42945.629525462966</v>
      </c>
      <c r="J100" s="7">
        <v>0</v>
      </c>
      <c r="K100" s="89" t="str">
        <f t="shared" si="27"/>
        <v>4029/4030</v>
      </c>
      <c r="L100" s="21" t="str">
        <f>VLOOKUP(A100,'Trips&amp;Operators'!$C$1:$G$99999,5,FALSE)</f>
        <v>HOLCOMB KAMDEN</v>
      </c>
      <c r="M100" s="6">
        <f t="shared" si="28"/>
        <v>2.4861111116479151E-2</v>
      </c>
      <c r="N100" s="7">
        <f t="shared" si="43"/>
        <v>35.800000007729977</v>
      </c>
      <c r="O100" s="7"/>
      <c r="P100" s="7"/>
      <c r="Q100" s="22"/>
      <c r="R100" s="170"/>
      <c r="S100" s="213">
        <f t="shared" si="44"/>
        <v>1</v>
      </c>
      <c r="T100" s="195" t="str">
        <f t="shared" si="29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0"/>
        <v>https://d0f6bd738d7f1b3e5a7ca70fe4ff75f0.us-east-1.aws.found.io/app/kibana#/discover/Steve-Slow-Train-Analysis-(2080s-and-2083s)?_g=(refreshInterval:(display:Off,pause:!f,section:0,value:0),time:(from:'2017-07-29T13:23:33-0600',mode:absolute,to:'2017-07-29T16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0" s="197" t="str">
        <f>IF(AA100&lt;VLOOKUP(AG100,Variables!$AC$3:$AD$8,2,FALSE),"Y","N")</f>
        <v>N</v>
      </c>
      <c r="X100" s="197">
        <f t="shared" si="31"/>
        <v>1</v>
      </c>
      <c r="Y100" s="197">
        <f t="shared" si="32"/>
        <v>4.4900000000000002E-2</v>
      </c>
      <c r="Z100" s="197">
        <f t="shared" si="33"/>
        <v>23.331700000000001</v>
      </c>
      <c r="AA100" s="197">
        <f t="shared" si="34"/>
        <v>23.286800000000003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5"/>
        <v>187</v>
      </c>
      <c r="AE100" s="77" t="str">
        <f t="shared" si="36"/>
        <v>aws s3 cp s3://rtdc.mdm.uploadarchive.raw/RTDC4030/ "%USERPROFILE%\AppData\Local\Temp\OnboardLogs"\RTDC4030\2017-07-29 --exclude "*" --recursive --include "*20170729*" &amp; "%USERPROFILE%\Documents\GitHub\mrs-test-scripts\Headless Mode &amp; Sideloading\WalkAndUnGZ.bat" "%USERPROFILE%\AppData\Local\Temp\OnboardLogs"\RTDC4030\2017-07-29 &amp; aws s3 cp s3://rtdc.mdm.uploadarchive.raw/RTDC4030/ "%USERPROFILE%\AppData\Local\Temp\OnboardLogs"\RTDC4030\2017-07-30 --exclude "*" --recursive --include "*20170730*" &amp; "%USERPROFILE%\Documents\GitHub\mrs-test-scripts\Headless Mode &amp; Sideloading\WalkAndUnGZ.bat" "%USERPROFILE%\AppData\Local\Temp\OnboardLogs"\RTDC4030\2017-07-30</v>
      </c>
      <c r="AF100" s="74" t="str">
        <f t="shared" si="37"/>
        <v>"C:\Program Files (x86)\AstroGrep\AstroGrep.exe" /e /r /s /spath="%USERPROFILE%\AppData\Local\Temp\OnboardLogs" /stypes="app*4030*20170729*" /stext=" 21:.+((SYSTEM_STATE.+slice.+state.+changed )|(ment ac)|(multiple cpu faults)|(system.+state.+changed )|(\[timeout)|(PRM\|1\|D)|(kpr)|(kdp)|(train st.+moving)|(\|lc)|(penalty))"</v>
      </c>
      <c r="AG100" s="209" t="str">
        <f t="shared" si="38"/>
        <v>EC</v>
      </c>
      <c r="AH100" s="78" t="str">
        <f t="shared" si="39"/>
        <v>"%USERPROFILE%\Documents\GitHub\eaglep3\Utilities\RefineRTDCRunTimes.py" --tripid 187-29 --locoid 4030 --swversion DE.1.0.9.0 --startMP 204:449 --initTime 2017-07-29T14:23:33 --startdatetime 2017-07-29T14:30:43 --delay 1 --endMP 204:233317 --enddatetime 2017-07-29T15:06:31 --enforcementcount 0 &gt;&gt;C:\Users\stu\Documents\GitHub\eaglep3-reporting\EC\2017-07-29-refined-times.txt</v>
      </c>
      <c r="AI100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{"issue":{"subject":"","project_id":79,"tracker_id":40,"status_id":1,"priority_id":2,"assigned_to_id":23,"start_date":"2017-07-29","description":"","custom_fields":[{"id":1,"name":"Subdivision","value":"EC"},{"id":4,"name":"Milepost","value":"23.3317"},{"id":17,"name":"Train ID","value":"187-29"},{"id":16,"name":"Locomotive ID","value":"4030"},{"id":130,"name":"Impact","value":""},{"id":150,"name":"Time of Event (Mountain Time)","value":"15:06:31"},{"id":151,"name":"Denver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1"/>
        <v>start /low /b %USERPROFILE%\Documents\GitHub\eaglep3\Utilities\DownloadLogsFromS3.py --loco 4030 --day 2017-07-29</v>
      </c>
      <c r="AN100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21:06:31"},{"id":29,"name":"Sharepoint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652</v>
      </c>
      <c r="B101" s="7">
        <v>4029</v>
      </c>
      <c r="C101" s="21" t="s">
        <v>198</v>
      </c>
      <c r="D101" s="21" t="s">
        <v>512</v>
      </c>
      <c r="E101" s="13">
        <v>42945.639085648145</v>
      </c>
      <c r="F101" s="13">
        <v>42945.643912037034</v>
      </c>
      <c r="G101" s="7">
        <v>1</v>
      </c>
      <c r="H101" s="21" t="s">
        <v>601</v>
      </c>
      <c r="I101" s="13">
        <v>42945.673611111109</v>
      </c>
      <c r="J101" s="7">
        <v>0</v>
      </c>
      <c r="K101" s="89" t="str">
        <f t="shared" si="27"/>
        <v>4029/4030</v>
      </c>
      <c r="L101" s="21" t="str">
        <f>VLOOKUP(A101,'Trips&amp;Operators'!$C$1:$G$99999,5,FALSE)</f>
        <v>HOLCOMB KAMDEN</v>
      </c>
      <c r="M101" s="6">
        <f t="shared" si="28"/>
        <v>2.9699074075324461E-2</v>
      </c>
      <c r="N101" s="7">
        <f t="shared" si="43"/>
        <v>42.766666668467224</v>
      </c>
      <c r="O101" s="7"/>
      <c r="P101" s="7"/>
      <c r="Q101" s="22"/>
      <c r="R101" s="170"/>
      <c r="S101" s="213">
        <f t="shared" si="44"/>
        <v>1</v>
      </c>
      <c r="T101" s="195" t="str">
        <f t="shared" si="29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0"/>
        <v>https://d0f6bd738d7f1b3e5a7ca70fe4ff75f0.us-east-1.aws.found.io/app/kibana#/discover/Steve-Slow-Train-Analysis-(2080s-and-2083s)?_g=(refreshInterval:(display:Off,pause:!f,section:0,value:0),time:(from:'2017-07-29T14:20:17-0600',mode:absolute,to:'2017-07-29T17:10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1" s="197" t="str">
        <f>IF(AA101&lt;VLOOKUP(AG101,Variables!$AC$3:$AD$8,2,FALSE),"Y","N")</f>
        <v>N</v>
      </c>
      <c r="X101" s="197">
        <f t="shared" si="31"/>
        <v>1</v>
      </c>
      <c r="Y101" s="197">
        <f t="shared" si="32"/>
        <v>23.300999999999998</v>
      </c>
      <c r="Z101" s="197">
        <f t="shared" si="33"/>
        <v>1.32E-2</v>
      </c>
      <c r="AA101" s="197">
        <f t="shared" si="34"/>
        <v>23.287799999999997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5"/>
        <v>188</v>
      </c>
      <c r="AE101" s="77" t="str">
        <f t="shared" si="36"/>
        <v>aws s3 cp s3://rtdc.mdm.uploadarchive.raw/RTDC4029/ "%USERPROFILE%\AppData\Local\Temp\OnboardLogs"\RTDC4029\2017-07-29 --exclude "*" --recursive --include "*20170729*" &amp; "%USERPROFILE%\Documents\GitHub\mrs-test-scripts\Headless Mode &amp; Sideloading\WalkAndUnGZ.bat" "%USERPROFILE%\AppData\Local\Temp\OnboardLogs"\RTDC4029\2017-07-29 &amp; aws s3 cp s3://rtdc.mdm.uploadarchive.raw/RTDC4029/ "%USERPROFILE%\AppData\Local\Temp\OnboardLogs"\RTDC4029\2017-07-30 --exclude "*" --recursive --include "*20170730*" &amp; "%USERPROFILE%\Documents\GitHub\mrs-test-scripts\Headless Mode &amp; Sideloading\WalkAndUnGZ.bat" "%USERPROFILE%\AppData\Local\Temp\OnboardLogs"\RTDC4029\2017-07-30</v>
      </c>
      <c r="AF101" s="74" t="str">
        <f t="shared" si="37"/>
        <v>"C:\Program Files (x86)\AstroGrep\AstroGrep.exe" /e /r /s /spath="%USERPROFILE%\AppData\Local\Temp\OnboardLogs" /stypes="app*4029*20170729*" /stext=" 22:.+((SYSTEM_STATE.+slice.+state.+changed )|(ment ac)|(multiple cpu faults)|(system.+state.+changed )|(\[timeout)|(PRM\|1\|D)|(kpr)|(kdp)|(train st.+moving)|(\|lc)|(penalty))"</v>
      </c>
      <c r="AG101" s="209" t="str">
        <f t="shared" si="38"/>
        <v>EC</v>
      </c>
      <c r="AH101" s="78" t="str">
        <f t="shared" si="39"/>
        <v>"%USERPROFILE%\Documents\GitHub\eaglep3\Utilities\RefineRTDCRunTimes.py" --tripid 188-29 --locoid 4029 --swversion DE.1.0.9.0 --startMP 204:233010 --initTime 2017-07-29T15:20:17 --startdatetime 2017-07-29T15:27:14 --delay 1 --endMP 204:132 --enddatetime 2017-07-29T16:10:00 --enforcementcount 0 &gt;&gt;C:\Users\stu\Documents\GitHub\eaglep3-reporting\EC\2017-07-29-refined-times.txt</v>
      </c>
      <c r="AI101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{"issue":{"subject":"","project_id":79,"tracker_id":40,"status_id":1,"priority_id":2,"assigned_to_id":23,"start_date":"2017-07-29","description":"","custom_fields":[{"id":1,"name":"Subdivision","value":"EC"},{"id":4,"name":"Milepost","value":"0.0132"},{"id":17,"name":"Train ID","value":"188-29"},{"id":16,"name":"Locomotive ID","value":"4029"},{"id":130,"name":"Impact","value":""},{"id":150,"name":"Time of Event (Mountain Time)","value":"16:10:00"},{"id":151,"name":"Denver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1"/>
        <v>start /low /b %USERPROFILE%\Documents\GitHub\eaglep3\Utilities\DownloadLogsFromS3.py --loco 4029 --day 2017-07-29</v>
      </c>
      <c r="AN101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22:10:00"},{"id":29,"name":"Sharepoint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799</v>
      </c>
      <c r="B102" s="7">
        <v>4024</v>
      </c>
      <c r="C102" s="21" t="s">
        <v>198</v>
      </c>
      <c r="D102" s="21" t="s">
        <v>376</v>
      </c>
      <c r="E102" s="13">
        <v>42945.611157407409</v>
      </c>
      <c r="F102" s="13">
        <v>42945.61515046296</v>
      </c>
      <c r="G102" s="7">
        <v>1</v>
      </c>
      <c r="H102" s="21" t="s">
        <v>962</v>
      </c>
      <c r="I102" s="13">
        <v>42945.64135416667</v>
      </c>
      <c r="J102" s="7">
        <v>0</v>
      </c>
      <c r="K102" s="89" t="str">
        <f t="shared" si="27"/>
        <v>4023/4024</v>
      </c>
      <c r="L102" s="21" t="str">
        <f>VLOOKUP(A102,'Trips&amp;Operators'!$C$1:$G$99999,5,FALSE)</f>
        <v>SAFIEF AEIMEN</v>
      </c>
      <c r="M102" s="6">
        <f t="shared" si="28"/>
        <v>2.620370371005265E-2</v>
      </c>
      <c r="N102" s="7">
        <f t="shared" si="43"/>
        <v>37.733333342475817</v>
      </c>
      <c r="O102" s="7"/>
      <c r="P102" s="7"/>
      <c r="Q102" s="22"/>
      <c r="R102" s="170"/>
      <c r="S102" s="213">
        <f t="shared" si="44"/>
        <v>1</v>
      </c>
      <c r="T102" s="195" t="str">
        <f t="shared" si="29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0"/>
        <v>https://d0f6bd738d7f1b3e5a7ca70fe4ff75f0.us-east-1.aws.found.io/app/kibana#/discover/Steve-Slow-Train-Analysis-(2080s-and-2083s)?_g=(refreshInterval:(display:Off,pause:!f,section:0,value:0),time:(from:'2017-07-29T13:40:04-0600',mode:absolute,to:'2017-07-29T16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2" s="197" t="str">
        <f>IF(AA102&lt;VLOOKUP(AG102,Variables!$AC$3:$AD$8,2,FALSE),"Y","N")</f>
        <v>N</v>
      </c>
      <c r="X102" s="197">
        <f t="shared" si="31"/>
        <v>1</v>
      </c>
      <c r="Y102" s="197">
        <f t="shared" si="32"/>
        <v>4.6199999999999998E-2</v>
      </c>
      <c r="Z102" s="197">
        <f t="shared" si="33"/>
        <v>23.3353</v>
      </c>
      <c r="AA102" s="197">
        <f t="shared" si="34"/>
        <v>23.289100000000001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5"/>
        <v>189</v>
      </c>
      <c r="AE102" s="77" t="str">
        <f t="shared" si="36"/>
        <v>aws s3 cp s3://rtdc.mdm.uploadarchive.raw/RTDC4024/ "%USERPROFILE%\AppData\Local\Temp\OnboardLogs"\RTDC4024\2017-07-29 --exclude "*" --recursive --include "*20170729*" &amp; "%USERPROFILE%\Documents\GitHub\mrs-test-scripts\Headless Mode &amp; Sideloading\WalkAndUnGZ.bat" "%USERPROFILE%\AppData\Local\Temp\OnboardLogs"\RTDC4024\2017-07-29 &amp; aws s3 cp s3://rtdc.mdm.uploadarchive.raw/RTDC4024/ "%USERPROFILE%\AppData\Local\Temp\OnboardLogs"\RTDC4024\2017-07-30 --exclude "*" --recursive --include "*20170730*" &amp; "%USERPROFILE%\Documents\GitHub\mrs-test-scripts\Headless Mode &amp; Sideloading\WalkAndUnGZ.bat" "%USERPROFILE%\AppData\Local\Temp\OnboardLogs"\RTDC4024\2017-07-30</v>
      </c>
      <c r="AF102" s="74" t="str">
        <f t="shared" si="37"/>
        <v>"C:\Program Files (x86)\AstroGrep\AstroGrep.exe" /e /r /s /spath="%USERPROFILE%\AppData\Local\Temp\OnboardLogs" /stypes="app*4024*20170729*" /stext=" 21:.+((SYSTEM_STATE.+slice.+state.+changed )|(ment ac)|(multiple cpu faults)|(system.+state.+changed )|(\[timeout)|(PRM\|1\|D)|(kpr)|(kdp)|(train st.+moving)|(\|lc)|(penalty))"</v>
      </c>
      <c r="AG102" s="209" t="str">
        <f t="shared" si="38"/>
        <v>EC</v>
      </c>
      <c r="AH102" s="78" t="str">
        <f t="shared" si="39"/>
        <v>"%USERPROFILE%\Documents\GitHub\eaglep3\Utilities\RefineRTDCRunTimes.py" --tripid 189-29 --locoid 4024 --swversion DE.1.0.9.0 --startMP 204:462 --initTime 2017-07-29T14:40:04 --startdatetime 2017-07-29T14:45:49 --delay 1 --endMP 204:233353 --enddatetime 2017-07-29T15:23:33 --enforcementcount 0 &gt;&gt;C:\Users\stu\Documents\GitHub\eaglep3-reporting\EC\2017-07-29-refined-times.txt</v>
      </c>
      <c r="AI102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{"issue":{"subject":"","project_id":79,"tracker_id":40,"status_id":1,"priority_id":2,"assigned_to_id":23,"start_date":"2017-07-29","description":"","custom_fields":[{"id":1,"name":"Subdivision","value":"EC"},{"id":4,"name":"Milepost","value":"23.3353"},{"id":17,"name":"Train ID","value":"189-29"},{"id":16,"name":"Locomotive ID","value":"4024"},{"id":130,"name":"Impact","value":""},{"id":150,"name":"Time of Event (Mountain Time)","value":"15:23:33"},{"id":151,"name":"Denver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1"/>
        <v>start /low /b %USERPROFILE%\Documents\GitHub\eaglep3\Utilities\DownloadLogsFromS3.py --loco 4024 --day 2017-07-29</v>
      </c>
      <c r="AN102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21:23:33"},{"id":29,"name":"Sharepoint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805</v>
      </c>
      <c r="B103" s="7">
        <v>4023</v>
      </c>
      <c r="C103" s="21" t="s">
        <v>198</v>
      </c>
      <c r="D103" s="21" t="s">
        <v>963</v>
      </c>
      <c r="E103" s="13">
        <v>42945.644143518519</v>
      </c>
      <c r="F103" s="13">
        <v>42945.654594907406</v>
      </c>
      <c r="G103" s="7">
        <v>1</v>
      </c>
      <c r="H103" s="21" t="s">
        <v>451</v>
      </c>
      <c r="I103" s="13">
        <v>42945.68173611111</v>
      </c>
      <c r="J103" s="7">
        <v>0</v>
      </c>
      <c r="K103" s="89" t="str">
        <f t="shared" si="27"/>
        <v>4023/4024</v>
      </c>
      <c r="L103" s="21" t="str">
        <f>VLOOKUP(A103,'Trips&amp;Operators'!$C$1:$G$99999,5,FALSE)</f>
        <v>SAFIEF AEIMEN</v>
      </c>
      <c r="M103" s="6">
        <f t="shared" si="28"/>
        <v>2.7141203703649808E-2</v>
      </c>
      <c r="N103" s="7">
        <f t="shared" si="43"/>
        <v>39.083333333255723</v>
      </c>
      <c r="O103" s="7"/>
      <c r="P103" s="7"/>
      <c r="Q103" s="22"/>
      <c r="R103" s="170"/>
      <c r="S103" s="213">
        <f t="shared" si="44"/>
        <v>1</v>
      </c>
      <c r="T103" s="195" t="str">
        <f t="shared" si="29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0"/>
        <v>https://d0f6bd738d7f1b3e5a7ca70fe4ff75f0.us-east-1.aws.found.io/app/kibana#/discover/Steve-Slow-Train-Analysis-(2080s-and-2083s)?_g=(refreshInterval:(display:Off,pause:!f,section:0,value:0),time:(from:'2017-07-29T14:27:34-0600',mode:absolute,to:'2017-07-29T17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3" s="197" t="str">
        <f>IF(AA103&lt;VLOOKUP(AG103,Variables!$AC$3:$AD$8,2,FALSE),"Y","N")</f>
        <v>N</v>
      </c>
      <c r="X103" s="197">
        <f t="shared" si="31"/>
        <v>1</v>
      </c>
      <c r="Y103" s="197">
        <f t="shared" si="32"/>
        <v>23.3019</v>
      </c>
      <c r="Z103" s="197">
        <f t="shared" si="33"/>
        <v>1.52E-2</v>
      </c>
      <c r="AA103" s="197">
        <f t="shared" si="34"/>
        <v>23.2867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5"/>
        <v>190</v>
      </c>
      <c r="AE103" s="77" t="str">
        <f t="shared" si="36"/>
        <v>aws s3 cp s3://rtdc.mdm.uploadarchive.raw/RTDC4023/ "%USERPROFILE%\AppData\Local\Temp\OnboardLogs"\RTDC4023\2017-07-29 --exclude "*" --recursive --include "*20170729*" &amp; "%USERPROFILE%\Documents\GitHub\mrs-test-scripts\Headless Mode &amp; Sideloading\WalkAndUnGZ.bat" "%USERPROFILE%\AppData\Local\Temp\OnboardLogs"\RTDC4023\2017-07-29 &amp; aws s3 cp s3://rtdc.mdm.uploadarchive.raw/RTDC4023/ "%USERPROFILE%\AppData\Local\Temp\OnboardLogs"\RTDC4023\2017-07-30 --exclude "*" --recursive --include "*20170730*" &amp; "%USERPROFILE%\Documents\GitHub\mrs-test-scripts\Headless Mode &amp; Sideloading\WalkAndUnGZ.bat" "%USERPROFILE%\AppData\Local\Temp\OnboardLogs"\RTDC4023\2017-07-30</v>
      </c>
      <c r="AF103" s="74" t="str">
        <f t="shared" si="37"/>
        <v>"C:\Program Files (x86)\AstroGrep\AstroGrep.exe" /e /r /s /spath="%USERPROFILE%\AppData\Local\Temp\OnboardLogs" /stypes="app*4023*20170729*" /stext=" 22:.+((SYSTEM_STATE.+slice.+state.+changed )|(ment ac)|(multiple cpu faults)|(system.+state.+changed )|(\[timeout)|(PRM\|1\|D)|(kpr)|(kdp)|(train st.+moving)|(\|lc)|(penalty))"</v>
      </c>
      <c r="AG103" s="209" t="str">
        <f t="shared" si="38"/>
        <v>EC</v>
      </c>
      <c r="AH103" s="78" t="str">
        <f t="shared" si="39"/>
        <v>"%USERPROFILE%\Documents\GitHub\eaglep3\Utilities\RefineRTDCRunTimes.py" --tripid 190-29 --locoid 4023 --swversion DE.1.0.9.0 --startMP 204:233019 --initTime 2017-07-29T15:27:34 --startdatetime 2017-07-29T15:42:37 --delay 1 --endMP 204:152 --enddatetime 2017-07-29T16:21:42 --enforcementcount 0 &gt;&gt;C:\Users\stu\Documents\GitHub\eaglep3-reporting\EC\2017-07-29-refined-times.txt</v>
      </c>
      <c r="AI103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{"issue":{"subject":"","project_id":79,"tracker_id":40,"status_id":1,"priority_id":2,"assigned_to_id":23,"start_date":"2017-07-29","description":"","custom_fields":[{"id":1,"name":"Subdivision","value":"EC"},{"id":4,"name":"Milepost","value":"0.0152"},{"id":17,"name":"Train ID","value":"190-29"},{"id":16,"name":"Locomotive ID","value":"4023"},{"id":130,"name":"Impact","value":""},{"id":150,"name":"Time of Event (Mountain Time)","value":"16:21:42"},{"id":151,"name":"Denver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1"/>
        <v>start /low /b %USERPROFILE%\Documents\GitHub\eaglep3\Utilities\DownloadLogsFromS3.py --loco 4023 --day 2017-07-29</v>
      </c>
      <c r="AN103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22:21:42"},{"id":29,"name":"Sharepoint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651</v>
      </c>
      <c r="B104" s="7">
        <v>4056</v>
      </c>
      <c r="C104" s="21" t="s">
        <v>198</v>
      </c>
      <c r="D104" s="21" t="s">
        <v>340</v>
      </c>
      <c r="E104" s="13">
        <v>42945.623449074075</v>
      </c>
      <c r="F104" s="13">
        <v>42945.62568287037</v>
      </c>
      <c r="G104" s="7">
        <v>1</v>
      </c>
      <c r="H104" s="21" t="s">
        <v>965</v>
      </c>
      <c r="I104" s="13">
        <v>42945.652384259258</v>
      </c>
      <c r="J104" s="7">
        <v>0</v>
      </c>
      <c r="K104" s="89" t="str">
        <f t="shared" si="27"/>
        <v>4055/4056</v>
      </c>
      <c r="L104" s="21" t="str">
        <f>VLOOKUP(A104,'Trips&amp;Operators'!$C$1:$G$99999,5,FALSE)</f>
        <v>THOMPSON LESTER</v>
      </c>
      <c r="M104" s="6">
        <f t="shared" si="28"/>
        <v>2.6701388887886424E-2</v>
      </c>
      <c r="N104" s="7">
        <f t="shared" si="43"/>
        <v>38.44999999855645</v>
      </c>
      <c r="O104" s="7"/>
      <c r="P104" s="7"/>
      <c r="Q104" s="22"/>
      <c r="R104" s="170"/>
      <c r="S104" s="213">
        <f t="shared" si="44"/>
        <v>1</v>
      </c>
      <c r="T104" s="195" t="str">
        <f t="shared" si="29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0"/>
        <v>https://d0f6bd738d7f1b3e5a7ca70fe4ff75f0.us-east-1.aws.found.io/app/kibana#/discover/Steve-Slow-Train-Analysis-(2080s-and-2083s)?_g=(refreshInterval:(display:Off,pause:!f,section:0,value:0),time:(from:'2017-07-29T13:57:46-0600',mode:absolute,to:'2017-07-29T16:39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4" s="197" t="str">
        <f>IF(AA104&lt;VLOOKUP(AG104,Variables!$AC$3:$AD$8,2,FALSE),"Y","N")</f>
        <v>N</v>
      </c>
      <c r="X104" s="197">
        <f t="shared" si="31"/>
        <v>1</v>
      </c>
      <c r="Y104" s="197">
        <f t="shared" si="32"/>
        <v>4.4600000000000001E-2</v>
      </c>
      <c r="Z104" s="197">
        <f t="shared" si="33"/>
        <v>23.3264</v>
      </c>
      <c r="AA104" s="197">
        <f t="shared" si="34"/>
        <v>23.2818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5"/>
        <v>191</v>
      </c>
      <c r="AE104" s="77" t="str">
        <f t="shared" si="36"/>
        <v>aws s3 cp s3://rtdc.mdm.uploadarchive.raw/RTDC4056/ "%USERPROFILE%\AppData\Local\Temp\OnboardLogs"\RTDC4056\2017-07-29 --exclude "*" --recursive --include "*20170729*" &amp; "%USERPROFILE%\Documents\GitHub\mrs-test-scripts\Headless Mode &amp; Sideloading\WalkAndUnGZ.bat" "%USERPROFILE%\AppData\Local\Temp\OnboardLogs"\RTDC4056\2017-07-29 &amp; aws s3 cp s3://rtdc.mdm.uploadarchive.raw/RTDC4056/ "%USERPROFILE%\AppData\Local\Temp\OnboardLogs"\RTDC4056\2017-07-30 --exclude "*" --recursive --include "*20170730*" &amp; "%USERPROFILE%\Documents\GitHub\mrs-test-scripts\Headless Mode &amp; Sideloading\WalkAndUnGZ.bat" "%USERPROFILE%\AppData\Local\Temp\OnboardLogs"\RTDC4056\2017-07-30</v>
      </c>
      <c r="AF104" s="74" t="str">
        <f t="shared" si="37"/>
        <v>"C:\Program Files (x86)\AstroGrep\AstroGrep.exe" /e /r /s /spath="%USERPROFILE%\AppData\Local\Temp\OnboardLogs" /stypes="app*4056*20170729*" /stext=" 21:.+((SYSTEM_STATE.+slice.+state.+changed )|(ment ac)|(multiple cpu faults)|(system.+state.+changed )|(\[timeout)|(PRM\|1\|D)|(kpr)|(kdp)|(train st.+moving)|(\|lc)|(penalty))"</v>
      </c>
      <c r="AG104" s="209" t="str">
        <f t="shared" si="38"/>
        <v>EC</v>
      </c>
      <c r="AH104" s="78" t="str">
        <f t="shared" si="39"/>
        <v>"%USERPROFILE%\Documents\GitHub\eaglep3\Utilities\RefineRTDCRunTimes.py" --tripid 191-29 --locoid 4056 --swversion DE.1.0.9.0 --startMP 204:446 --initTime 2017-07-29T14:57:46 --startdatetime 2017-07-29T15:00:59 --delay 1 --endMP 204:233264 --enddatetime 2017-07-29T15:39:26 --enforcementcount 0 &gt;&gt;C:\Users\stu\Documents\GitHub\eaglep3-reporting\EC\2017-07-29-refined-times.txt</v>
      </c>
      <c r="AI104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{"issue":{"subject":"","project_id":79,"tracker_id":40,"status_id":1,"priority_id":2,"assigned_to_id":23,"start_date":"2017-07-29","description":"","custom_fields":[{"id":1,"name":"Subdivision","value":"EC"},{"id":4,"name":"Milepost","value":"23.3264"},{"id":17,"name":"Train ID","value":"191-29"},{"id":16,"name":"Locomotive ID","value":"4056"},{"id":130,"name":"Impact","value":""},{"id":150,"name":"Time of Event (Mountain Time)","value":"15:39:26"},{"id":151,"name":"Denver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1"/>
        <v>start /low /b %USERPROFILE%\Documents\GitHub\eaglep3\Utilities\DownloadLogsFromS3.py --loco 4056 --day 2017-07-29</v>
      </c>
      <c r="AN104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21:39:26"},{"id":29,"name":"Sharepoint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808</v>
      </c>
      <c r="B105" s="7">
        <v>4055</v>
      </c>
      <c r="C105" s="21" t="s">
        <v>198</v>
      </c>
      <c r="D105" s="21" t="s">
        <v>966</v>
      </c>
      <c r="E105" s="13">
        <v>42945.662997685184</v>
      </c>
      <c r="F105" s="13">
        <v>42945.664849537039</v>
      </c>
      <c r="G105" s="7">
        <v>1</v>
      </c>
      <c r="H105" s="21" t="s">
        <v>349</v>
      </c>
      <c r="I105" s="13">
        <v>42945.692870370367</v>
      </c>
      <c r="J105" s="7">
        <v>0</v>
      </c>
      <c r="K105" s="89" t="str">
        <f t="shared" si="27"/>
        <v>4055/4056</v>
      </c>
      <c r="L105" s="21" t="str">
        <f>VLOOKUP(A105,'Trips&amp;Operators'!$C$1:$G$99999,5,FALSE)</f>
        <v>THOMPSON LESTER</v>
      </c>
      <c r="M105" s="6">
        <f t="shared" si="28"/>
        <v>2.8020833327900618E-2</v>
      </c>
      <c r="N105" s="7">
        <f t="shared" si="43"/>
        <v>40.34999999217689</v>
      </c>
      <c r="O105" s="7"/>
      <c r="P105" s="7"/>
      <c r="Q105" s="22"/>
      <c r="R105" s="170"/>
      <c r="S105" s="213">
        <f t="shared" si="44"/>
        <v>1</v>
      </c>
      <c r="T105" s="195" t="str">
        <f t="shared" si="29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0"/>
        <v>https://d0f6bd738d7f1b3e5a7ca70fe4ff75f0.us-east-1.aws.found.io/app/kibana#/discover/Steve-Slow-Train-Analysis-(2080s-and-2083s)?_g=(refreshInterval:(display:Off,pause:!f,section:0,value:0),time:(from:'2017-07-29T14:54:43-0600',mode:absolute,to:'2017-07-29T17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5" s="197" t="str">
        <f>IF(AA105&lt;VLOOKUP(AG105,Variables!$AC$3:$AD$8,2,FALSE),"Y","N")</f>
        <v>N</v>
      </c>
      <c r="X105" s="197">
        <f t="shared" si="31"/>
        <v>1</v>
      </c>
      <c r="Y105" s="197">
        <f t="shared" si="32"/>
        <v>23.2943</v>
      </c>
      <c r="Z105" s="197">
        <f t="shared" si="33"/>
        <v>1.3899999999999999E-2</v>
      </c>
      <c r="AA105" s="197">
        <f t="shared" si="34"/>
        <v>23.2804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5"/>
        <v>192</v>
      </c>
      <c r="AE105" s="77" t="str">
        <f t="shared" si="36"/>
        <v>aws s3 cp s3://rtdc.mdm.uploadarchive.raw/RTDC4055/ "%USERPROFILE%\AppData\Local\Temp\OnboardLogs"\RTDC4055\2017-07-29 --exclude "*" --recursive --include "*20170729*" &amp; "%USERPROFILE%\Documents\GitHub\mrs-test-scripts\Headless Mode &amp; Sideloading\WalkAndUnGZ.bat" "%USERPROFILE%\AppData\Local\Temp\OnboardLogs"\RTDC4055\2017-07-29 &amp; aws s3 cp s3://rtdc.mdm.uploadarchive.raw/RTDC4055/ "%USERPROFILE%\AppData\Local\Temp\OnboardLogs"\RTDC4055\2017-07-30 --exclude "*" --recursive --include "*20170730*" &amp; "%USERPROFILE%\Documents\GitHub\mrs-test-scripts\Headless Mode &amp; Sideloading\WalkAndUnGZ.bat" "%USERPROFILE%\AppData\Local\Temp\OnboardLogs"\RTDC4055\2017-07-30</v>
      </c>
      <c r="AF105" s="74" t="str">
        <f t="shared" si="37"/>
        <v>"C:\Program Files (x86)\AstroGrep\AstroGrep.exe" /e /r /s /spath="%USERPROFILE%\AppData\Local\Temp\OnboardLogs" /stypes="app*4055*20170729*" /stext=" 22:.+((SYSTEM_STATE.+slice.+state.+changed )|(ment ac)|(multiple cpu faults)|(system.+state.+changed )|(\[timeout)|(PRM\|1\|D)|(kpr)|(kdp)|(train st.+moving)|(\|lc)|(penalty))"</v>
      </c>
      <c r="AG105" s="209" t="str">
        <f t="shared" si="38"/>
        <v>EC</v>
      </c>
      <c r="AH105" s="78" t="str">
        <f t="shared" si="39"/>
        <v>"%USERPROFILE%\Documents\GitHub\eaglep3\Utilities\RefineRTDCRunTimes.py" --tripid 192-29 --locoid 4055 --swversion DE.1.0.9.0 --startMP 204:232943 --initTime 2017-07-29T15:54:43 --startdatetime 2017-07-29T15:57:23 --delay 1 --endMP 204:139 --enddatetime 2017-07-29T16:37:44 --enforcementcount 0 &gt;&gt;C:\Users\stu\Documents\GitHub\eaglep3-reporting\EC\2017-07-29-refined-times.txt</v>
      </c>
      <c r="AI105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{"issue":{"subject":"","project_id":79,"tracker_id":40,"status_id":1,"priority_id":2,"assigned_to_id":23,"start_date":"2017-07-29","description":"","custom_fields":[{"id":1,"name":"Subdivision","value":"EC"},{"id":4,"name":"Milepost","value":"0.0139"},{"id":17,"name":"Train ID","value":"192-29"},{"id":16,"name":"Locomotive ID","value":"4055"},{"id":130,"name":"Impact","value":""},{"id":150,"name":"Time of Event (Mountain Time)","value":"16:37:44"},{"id":151,"name":"Denver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1"/>
        <v>start /low /b %USERPROFILE%\Documents\GitHub\eaglep3\Utilities\DownloadLogsFromS3.py --loco 4055 --day 2017-07-29</v>
      </c>
      <c r="AN105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22:37:44"},{"id":29,"name":"Sharepoint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802</v>
      </c>
      <c r="B106" s="7">
        <v>4012</v>
      </c>
      <c r="C106" s="21" t="s">
        <v>198</v>
      </c>
      <c r="D106" s="21" t="s">
        <v>396</v>
      </c>
      <c r="E106" s="13">
        <v>42945.632777777777</v>
      </c>
      <c r="F106" s="13">
        <v>42945.635821759257</v>
      </c>
      <c r="G106" s="7">
        <v>1</v>
      </c>
      <c r="H106" s="21" t="s">
        <v>962</v>
      </c>
      <c r="I106" s="13">
        <v>42945.66196759259</v>
      </c>
      <c r="J106" s="7">
        <v>0</v>
      </c>
      <c r="K106" s="89" t="str">
        <f t="shared" si="27"/>
        <v>4011/4012</v>
      </c>
      <c r="L106" s="21" t="str">
        <f>VLOOKUP(A106,'Trips&amp;Operators'!$C$1:$G$99999,5,FALSE)</f>
        <v>DUNCAN SHEILA</v>
      </c>
      <c r="M106" s="6">
        <f t="shared" si="28"/>
        <v>2.6145833333430346E-2</v>
      </c>
      <c r="N106" s="7">
        <f t="shared" si="43"/>
        <v>37.650000000139698</v>
      </c>
      <c r="O106" s="7"/>
      <c r="P106" s="7"/>
      <c r="Q106" s="22"/>
      <c r="R106" s="170"/>
      <c r="S106" s="213">
        <f t="shared" si="44"/>
        <v>1</v>
      </c>
      <c r="T106" s="195" t="str">
        <f t="shared" si="29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0"/>
        <v>https://d0f6bd738d7f1b3e5a7ca70fe4ff75f0.us-east-1.aws.found.io/app/kibana#/discover/Steve-Slow-Train-Analysis-(2080s-and-2083s)?_g=(refreshInterval:(display:Off,pause:!f,section:0,value:0),time:(from:'2017-07-29T14:11:12-0600',mode:absolute,to:'2017-07-29T16:53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6" s="197" t="str">
        <f>IF(AA106&lt;VLOOKUP(AG106,Variables!$AC$3:$AD$8,2,FALSE),"Y","N")</f>
        <v>N</v>
      </c>
      <c r="X106" s="197">
        <f t="shared" si="31"/>
        <v>1</v>
      </c>
      <c r="Y106" s="197">
        <f t="shared" si="32"/>
        <v>4.5499999999999999E-2</v>
      </c>
      <c r="Z106" s="197">
        <f t="shared" si="33"/>
        <v>23.3353</v>
      </c>
      <c r="AA106" s="197">
        <f t="shared" si="34"/>
        <v>23.2898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5"/>
        <v>193</v>
      </c>
      <c r="AE106" s="77" t="str">
        <f t="shared" si="36"/>
        <v>aws s3 cp s3://rtdc.mdm.uploadarchive.raw/RTDC4012/ "%USERPROFILE%\AppData\Local\Temp\OnboardLogs"\RTDC4012\2017-07-29 --exclude "*" --recursive --include "*20170729*" &amp; "%USERPROFILE%\Documents\GitHub\mrs-test-scripts\Headless Mode &amp; Sideloading\WalkAndUnGZ.bat" "%USERPROFILE%\AppData\Local\Temp\OnboardLogs"\RTDC4012\2017-07-29 &amp; aws s3 cp s3://rtdc.mdm.uploadarchive.raw/RTDC4012/ "%USERPROFILE%\AppData\Local\Temp\OnboardLogs"\RTDC4012\2017-07-30 --exclude "*" --recursive --include "*20170730*" &amp; "%USERPROFILE%\Documents\GitHub\mrs-test-scripts\Headless Mode &amp; Sideloading\WalkAndUnGZ.bat" "%USERPROFILE%\AppData\Local\Temp\OnboardLogs"\RTDC4012\2017-07-30</v>
      </c>
      <c r="AF106" s="74" t="str">
        <f t="shared" si="37"/>
        <v>"C:\Program Files (x86)\AstroGrep\AstroGrep.exe" /e /r /s /spath="%USERPROFILE%\AppData\Local\Temp\OnboardLogs" /stypes="app*4012*20170729*" /stext=" 21:.+((SYSTEM_STATE.+slice.+state.+changed )|(ment ac)|(multiple cpu faults)|(system.+state.+changed )|(\[timeout)|(PRM\|1\|D)|(kpr)|(kdp)|(train st.+moving)|(\|lc)|(penalty))"</v>
      </c>
      <c r="AG106" s="209" t="str">
        <f t="shared" si="38"/>
        <v>EC</v>
      </c>
      <c r="AH106" s="78" t="str">
        <f t="shared" si="39"/>
        <v>"%USERPROFILE%\Documents\GitHub\eaglep3\Utilities\RefineRTDCRunTimes.py" --tripid 193-29 --locoid 4012 --swversion DE.1.0.9.0 --startMP 204:455 --initTime 2017-07-29T15:11:12 --startdatetime 2017-07-29T15:15:35 --delay 1 --endMP 204:233353 --enddatetime 2017-07-29T15:53:14 --enforcementcount 0 &gt;&gt;C:\Users\stu\Documents\GitHub\eaglep3-reporting\EC\2017-07-29-refined-times.txt</v>
      </c>
      <c r="AI106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{"issue":{"subject":"","project_id":79,"tracker_id":40,"status_id":1,"priority_id":2,"assigned_to_id":23,"start_date":"2017-07-29","description":"","custom_fields":[{"id":1,"name":"Subdivision","value":"EC"},{"id":4,"name":"Milepost","value":"23.3353"},{"id":17,"name":"Train ID","value":"193-29"},{"id":16,"name":"Locomotive ID","value":"4012"},{"id":130,"name":"Impact","value":""},{"id":150,"name":"Time of Event (Mountain Time)","value":"15:53:14"},{"id":151,"name":"Denver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1"/>
        <v>start /low /b %USERPROFILE%\Documents\GitHub\eaglep3\Utilities\DownloadLogsFromS3.py --loco 4012 --day 2017-07-29</v>
      </c>
      <c r="AN106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21:53:14"},{"id":29,"name":"Sharepoint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810</v>
      </c>
      <c r="B107" s="7">
        <v>4011</v>
      </c>
      <c r="C107" s="21" t="s">
        <v>198</v>
      </c>
      <c r="D107" s="21" t="s">
        <v>967</v>
      </c>
      <c r="E107" s="13">
        <v>42945.670567129629</v>
      </c>
      <c r="F107" s="13">
        <v>42945.675162037034</v>
      </c>
      <c r="G107" s="7">
        <v>0</v>
      </c>
      <c r="H107" s="21" t="s">
        <v>342</v>
      </c>
      <c r="I107" s="13">
        <v>42945.702893518515</v>
      </c>
      <c r="J107" s="7">
        <v>0</v>
      </c>
      <c r="K107" s="89" t="str">
        <f t="shared" si="27"/>
        <v>4011/4012</v>
      </c>
      <c r="L107" s="21" t="str">
        <f>VLOOKUP(A107,'Trips&amp;Operators'!$C$1:$G$99999,5,FALSE)</f>
        <v>DUNCAN SHEILA</v>
      </c>
      <c r="M107" s="6">
        <f t="shared" si="28"/>
        <v>2.7731481481168885E-2</v>
      </c>
      <c r="N107" s="7">
        <f t="shared" si="43"/>
        <v>39.933333332883194</v>
      </c>
      <c r="O107" s="7"/>
      <c r="P107" s="7"/>
      <c r="Q107" s="22"/>
      <c r="R107" s="170"/>
      <c r="S107" s="213">
        <f t="shared" si="44"/>
        <v>1</v>
      </c>
      <c r="T107" s="195" t="str">
        <f t="shared" si="29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0"/>
        <v>https://d0f6bd738d7f1b3e5a7ca70fe4ff75f0.us-east-1.aws.found.io/app/kibana#/discover/Steve-Slow-Train-Analysis-(2080s-and-2083s)?_g=(refreshInterval:(display:Off,pause:!f,section:0,value:0),time:(from:'2017-07-29T15:05:37-0600',mode:absolute,to:'2017-07-29T17:52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7" s="197" t="str">
        <f>IF(AA107&lt;VLOOKUP(AG107,Variables!$AC$3:$AD$8,2,FALSE),"Y","N")</f>
        <v>N</v>
      </c>
      <c r="X107" s="197">
        <f t="shared" si="31"/>
        <v>1</v>
      </c>
      <c r="Y107" s="197">
        <f t="shared" si="32"/>
        <v>23.3048</v>
      </c>
      <c r="Z107" s="197">
        <f t="shared" si="33"/>
        <v>1.49E-2</v>
      </c>
      <c r="AA107" s="197">
        <f t="shared" si="34"/>
        <v>23.289899999999999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5"/>
        <v>194</v>
      </c>
      <c r="AE107" s="77" t="str">
        <f t="shared" si="36"/>
        <v>aws s3 cp s3://rtdc.mdm.uploadarchive.raw/RTDC4011/ "%USERPROFILE%\AppData\Local\Temp\OnboardLogs"\RTDC4011\2017-07-29 --exclude "*" --recursive --include "*20170729*" &amp; "%USERPROFILE%\Documents\GitHub\mrs-test-scripts\Headless Mode &amp; Sideloading\WalkAndUnGZ.bat" "%USERPROFILE%\AppData\Local\Temp\OnboardLogs"\RTDC4011\2017-07-29 &amp; aws s3 cp s3://rtdc.mdm.uploadarchive.raw/RTDC4011/ "%USERPROFILE%\AppData\Local\Temp\OnboardLogs"\RTDC4011\2017-07-30 --exclude "*" --recursive --include "*20170730*" &amp; "%USERPROFILE%\Documents\GitHub\mrs-test-scripts\Headless Mode &amp; Sideloading\WalkAndUnGZ.bat" "%USERPROFILE%\AppData\Local\Temp\OnboardLogs"\RTDC4011\2017-07-30</v>
      </c>
      <c r="AF107" s="74" t="str">
        <f t="shared" si="37"/>
        <v>"C:\Program Files (x86)\AstroGrep\AstroGrep.exe" /e /r /s /spath="%USERPROFILE%\AppData\Local\Temp\OnboardLogs" /stypes="app*4011*20170729*" /stext=" 22:.+((SYSTEM_STATE.+slice.+state.+changed )|(ment ac)|(multiple cpu faults)|(system.+state.+changed )|(\[timeout)|(PRM\|1\|D)|(kpr)|(kdp)|(train st.+moving)|(\|lc)|(penalty))"</v>
      </c>
      <c r="AG107" s="209" t="str">
        <f t="shared" si="38"/>
        <v>EC</v>
      </c>
      <c r="AH107" s="78" t="str">
        <f t="shared" si="39"/>
        <v>"%USERPROFILE%\Documents\GitHub\eaglep3\Utilities\RefineRTDCRunTimes.py" --tripid 194-29 --locoid 4011 --swversion DE.1.0.9.0 --startMP 204:233048 --initTime 2017-07-29T16:05:37 --startdatetime 2017-07-29T16:12:14 --delay 0 --endMP 204:149 --enddatetime 2017-07-29T16:52:10 --enforcementcount 0 &gt;&gt;C:\Users\stu\Documents\GitHub\eaglep3-reporting\EC\2017-07-29-refined-times.txt</v>
      </c>
      <c r="AI107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{"issue":{"subject":"","project_id":79,"tracker_id":40,"status_id":1,"priority_id":2,"assigned_to_id":23,"start_date":"2017-07-29","description":"","custom_fields":[{"id":1,"name":"Subdivision","value":"EC"},{"id":4,"name":"Milepost","value":"0.0149"},{"id":17,"name":"Train ID","value":"194-29"},{"id":16,"name":"Locomotive ID","value":"4011"},{"id":130,"name":"Impact","value":""},{"id":150,"name":"Time of Event (Mountain Time)","value":"16:52:10"},{"id":151,"name":"Denver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1"/>
        <v>start /low /b %USERPROFILE%\Documents\GitHub\eaglep3\Utilities\DownloadLogsFromS3.py --loco 4011 --day 2017-07-29</v>
      </c>
      <c r="AN107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22:52:10"},{"id":29,"name":"Sharepoint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804</v>
      </c>
      <c r="B108" s="7">
        <v>4042</v>
      </c>
      <c r="C108" s="21" t="s">
        <v>198</v>
      </c>
      <c r="D108" s="21" t="s">
        <v>348</v>
      </c>
      <c r="E108" s="13">
        <v>42945.644236111111</v>
      </c>
      <c r="F108" s="13">
        <v>42945.64634259259</v>
      </c>
      <c r="G108" s="7">
        <v>1</v>
      </c>
      <c r="H108" s="21" t="s">
        <v>519</v>
      </c>
      <c r="I108" s="13">
        <v>42945.6719212963</v>
      </c>
      <c r="J108" s="7">
        <v>0</v>
      </c>
      <c r="K108" s="89" t="str">
        <f t="shared" si="27"/>
        <v>4041/4042</v>
      </c>
      <c r="L108" s="21" t="str">
        <f>VLOOKUP(A108,'Trips&amp;Operators'!$C$1:$G$99999,5,FALSE)</f>
        <v>BERLING GARY</v>
      </c>
      <c r="M108" s="6">
        <f t="shared" si="28"/>
        <v>2.5578703709470574E-2</v>
      </c>
      <c r="N108" s="7">
        <f t="shared" si="43"/>
        <v>36.833333341637626</v>
      </c>
      <c r="O108" s="7"/>
      <c r="P108" s="7"/>
      <c r="Q108" s="22"/>
      <c r="R108" s="170"/>
      <c r="S108" s="213">
        <f t="shared" si="44"/>
        <v>1</v>
      </c>
      <c r="T108" s="195" t="str">
        <f t="shared" si="29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0"/>
        <v>https://d0f6bd738d7f1b3e5a7ca70fe4ff75f0.us-east-1.aws.found.io/app/kibana#/discover/Steve-Slow-Train-Analysis-(2080s-and-2083s)?_g=(refreshInterval:(display:Off,pause:!f,section:0,value:0),time:(from:'2017-07-29T14:27:42-0600',mode:absolute,to:'2017-07-29T17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8" s="197" t="str">
        <f>IF(AA108&lt;VLOOKUP(AG108,Variables!$AC$3:$AD$8,2,FALSE),"Y","N")</f>
        <v>N</v>
      </c>
      <c r="X108" s="197">
        <f t="shared" si="31"/>
        <v>1</v>
      </c>
      <c r="Y108" s="197">
        <f t="shared" si="32"/>
        <v>4.4699999999999997E-2</v>
      </c>
      <c r="Z108" s="197">
        <f t="shared" si="33"/>
        <v>23.332699999999999</v>
      </c>
      <c r="AA108" s="197">
        <f t="shared" si="34"/>
        <v>23.288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5"/>
        <v>195</v>
      </c>
      <c r="AE108" s="77" t="str">
        <f t="shared" si="36"/>
        <v>aws s3 cp s3://rtdc.mdm.uploadarchive.raw/RTDC4042/ "%USERPROFILE%\AppData\Local\Temp\OnboardLogs"\RTDC4042\2017-07-29 --exclude "*" --recursive --include "*20170729*" &amp; "%USERPROFILE%\Documents\GitHub\mrs-test-scripts\Headless Mode &amp; Sideloading\WalkAndUnGZ.bat" "%USERPROFILE%\AppData\Local\Temp\OnboardLogs"\RTDC4042\2017-07-29 &amp; aws s3 cp s3://rtdc.mdm.uploadarchive.raw/RTDC4042/ "%USERPROFILE%\AppData\Local\Temp\OnboardLogs"\RTDC4042\2017-07-30 --exclude "*" --recursive --include "*20170730*" &amp; "%USERPROFILE%\Documents\GitHub\mrs-test-scripts\Headless Mode &amp; Sideloading\WalkAndUnGZ.bat" "%USERPROFILE%\AppData\Local\Temp\OnboardLogs"\RTDC4042\2017-07-30</v>
      </c>
      <c r="AF108" s="74" t="str">
        <f t="shared" si="37"/>
        <v>"C:\Program Files (x86)\AstroGrep\AstroGrep.exe" /e /r /s /spath="%USERPROFILE%\AppData\Local\Temp\OnboardLogs" /stypes="app*4042*20170729*" /stext=" 22:.+((SYSTEM_STATE.+slice.+state.+changed )|(ment ac)|(multiple cpu faults)|(system.+state.+changed )|(\[timeout)|(PRM\|1\|D)|(kpr)|(kdp)|(train st.+moving)|(\|lc)|(penalty))"</v>
      </c>
      <c r="AG108" s="209" t="str">
        <f t="shared" si="38"/>
        <v>EC</v>
      </c>
      <c r="AH108" s="78" t="str">
        <f t="shared" si="39"/>
        <v>"%USERPROFILE%\Documents\GitHub\eaglep3\Utilities\RefineRTDCRunTimes.py" --tripid 195-29 --locoid 4042 --swversion DE.1.0.9.0 --startMP 204:447 --initTime 2017-07-29T15:27:42 --startdatetime 2017-07-29T15:30:44 --delay 1 --endMP 204:233327 --enddatetime 2017-07-29T16:07:34 --enforcementcount 0 &gt;&gt;C:\Users\stu\Documents\GitHub\eaglep3-reporting\EC\2017-07-29-refined-times.txt</v>
      </c>
      <c r="AI108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{"issue":{"subject":"","project_id":79,"tracker_id":40,"status_id":1,"priority_id":2,"assigned_to_id":23,"start_date":"2017-07-29","description":"","custom_fields":[{"id":1,"name":"Subdivision","value":"EC"},{"id":4,"name":"Milepost","value":"23.3327"},{"id":17,"name":"Train ID","value":"195-29"},{"id":16,"name":"Locomotive ID","value":"4042"},{"id":130,"name":"Impact","value":""},{"id":150,"name":"Time of Event (Mountain Time)","value":"16:07:34"},{"id":151,"name":"Denver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1"/>
        <v>start /low /b %USERPROFILE%\Documents\GitHub\eaglep3\Utilities\DownloadLogsFromS3.py --loco 4042 --day 2017-07-29</v>
      </c>
      <c r="AN108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22:07:34"},{"id":29,"name":"Sharepoint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813</v>
      </c>
      <c r="B109" s="7">
        <v>4041</v>
      </c>
      <c r="C109" s="21" t="s">
        <v>198</v>
      </c>
      <c r="D109" s="21" t="s">
        <v>391</v>
      </c>
      <c r="E109" s="13">
        <v>42945.679745370369</v>
      </c>
      <c r="F109" s="13">
        <v>42945.687662037039</v>
      </c>
      <c r="G109" s="7">
        <v>1</v>
      </c>
      <c r="H109" s="21" t="s">
        <v>603</v>
      </c>
      <c r="I109" s="13">
        <v>42945.715462962966</v>
      </c>
      <c r="J109" s="7">
        <v>0</v>
      </c>
      <c r="K109" s="89" t="str">
        <f t="shared" si="27"/>
        <v>4041/4042</v>
      </c>
      <c r="L109" s="21" t="str">
        <f>VLOOKUP(A109,'Trips&amp;Operators'!$C$1:$G$99999,5,FALSE)</f>
        <v>BERLING GARY</v>
      </c>
      <c r="M109" s="6">
        <f t="shared" si="28"/>
        <v>2.7800925927294884E-2</v>
      </c>
      <c r="N109" s="7">
        <f t="shared" si="43"/>
        <v>40.033333335304633</v>
      </c>
      <c r="O109" s="7"/>
      <c r="P109" s="7"/>
      <c r="Q109" s="22"/>
      <c r="R109" s="170"/>
      <c r="S109" s="213">
        <f t="shared" si="44"/>
        <v>1</v>
      </c>
      <c r="T109" s="195" t="str">
        <f t="shared" si="29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0"/>
        <v>https://d0f6bd738d7f1b3e5a7ca70fe4ff75f0.us-east-1.aws.found.io/app/kibana#/discover/Steve-Slow-Train-Analysis-(2080s-and-2083s)?_g=(refreshInterval:(display:Off,pause:!f,section:0,value:0),time:(from:'2017-07-29T15:18:50-0600',mode:absolute,to:'2017-07-29T18:10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9" s="197" t="str">
        <f>IF(AA109&lt;VLOOKUP(AG109,Variables!$AC$3:$AD$8,2,FALSE),"Y","N")</f>
        <v>N</v>
      </c>
      <c r="X109" s="197">
        <f t="shared" ref="X109:X140" si="45">VALUE(LEFT(AD109,4))-VALUE(LEFT(AD108,4))</f>
        <v>1</v>
      </c>
      <c r="Y109" s="197">
        <f t="shared" si="32"/>
        <v>23.299600000000002</v>
      </c>
      <c r="Z109" s="197">
        <f t="shared" si="33"/>
        <v>1.2500000000000001E-2</v>
      </c>
      <c r="AA109" s="197">
        <f t="shared" si="34"/>
        <v>23.287100000000002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5"/>
        <v>196</v>
      </c>
      <c r="AE109" s="77" t="str">
        <f t="shared" si="36"/>
        <v>aws s3 cp s3://rtdc.mdm.uploadarchive.raw/RTDC4041/ "%USERPROFILE%\AppData\Local\Temp\OnboardLogs"\RTDC4041\2017-07-29 --exclude "*" --recursive --include "*20170729*" &amp; "%USERPROFILE%\Documents\GitHub\mrs-test-scripts\Headless Mode &amp; Sideloading\WalkAndUnGZ.bat" "%USERPROFILE%\AppData\Local\Temp\OnboardLogs"\RTDC4041\2017-07-29 &amp; aws s3 cp s3://rtdc.mdm.uploadarchive.raw/RTDC4041/ "%USERPROFILE%\AppData\Local\Temp\OnboardLogs"\RTDC4041\2017-07-30 --exclude "*" --recursive --include "*20170730*" &amp; "%USERPROFILE%\Documents\GitHub\mrs-test-scripts\Headless Mode &amp; Sideloading\WalkAndUnGZ.bat" "%USERPROFILE%\AppData\Local\Temp\OnboardLogs"\RTDC4041\2017-07-30</v>
      </c>
      <c r="AF109" s="74" t="str">
        <f t="shared" si="37"/>
        <v>"C:\Program Files (x86)\AstroGrep\AstroGrep.exe" /e /r /s /spath="%USERPROFILE%\AppData\Local\Temp\OnboardLogs" /stypes="app*4041*20170729*" /stext=" 23:.+((SYSTEM_STATE.+slice.+state.+changed )|(ment ac)|(multiple cpu faults)|(system.+state.+changed )|(\[timeout)|(PRM\|1\|D)|(kpr)|(kdp)|(train st.+moving)|(\|lc)|(penalty))"</v>
      </c>
      <c r="AG109" s="209" t="str">
        <f t="shared" si="38"/>
        <v>EC</v>
      </c>
      <c r="AH109" s="78" t="str">
        <f t="shared" si="39"/>
        <v>"%USERPROFILE%\Documents\GitHub\eaglep3\Utilities\RefineRTDCRunTimes.py" --tripid 196-29 --locoid 4041 --swversion DE.1.0.9.0 --startMP 204:232996 --initTime 2017-07-29T16:18:50 --startdatetime 2017-07-29T16:30:14 --delay 1 --endMP 204:125 --enddatetime 2017-07-29T17:10:16 --enforcementcount 0 &gt;&gt;C:\Users\stu\Documents\GitHub\eaglep3-reporting\EC\2017-07-29-refined-times.txt</v>
      </c>
      <c r="AI109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{"issue":{"subject":"","project_id":79,"tracker_id":40,"status_id":1,"priority_id":2,"assigned_to_id":23,"start_date":"2017-07-29","description":"","custom_fields":[{"id":1,"name":"Subdivision","value":"EC"},{"id":4,"name":"Milepost","value":"0.0125"},{"id":17,"name":"Train ID","value":"196-29"},{"id":16,"name":"Locomotive ID","value":"4041"},{"id":130,"name":"Impact","value":""},{"id":150,"name":"Time of Event (Mountain Time)","value":"17:10:16"},{"id":151,"name":"Denver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1"/>
        <v>start /low /b %USERPROFILE%\Documents\GitHub\eaglep3\Utilities\DownloadLogsFromS3.py --loco 4041 --day 2017-07-29</v>
      </c>
      <c r="AN109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23:10:16"},{"id":29,"name":"Sharepoint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807</v>
      </c>
      <c r="B110" s="7">
        <v>4028</v>
      </c>
      <c r="C110" s="21" t="s">
        <v>198</v>
      </c>
      <c r="D110" s="21" t="s">
        <v>900</v>
      </c>
      <c r="E110" s="13">
        <v>42945.652060185188</v>
      </c>
      <c r="F110" s="13">
        <v>42945.656770833331</v>
      </c>
      <c r="G110" s="7">
        <v>3</v>
      </c>
      <c r="H110" s="21" t="s">
        <v>968</v>
      </c>
      <c r="I110" s="13">
        <v>42945.681909722225</v>
      </c>
      <c r="J110" s="7">
        <v>0</v>
      </c>
      <c r="K110" s="89" t="str">
        <f t="shared" si="27"/>
        <v>4027/4028</v>
      </c>
      <c r="L110" s="21" t="str">
        <f>VLOOKUP(A110,'Trips&amp;Operators'!$C$1:$G$99999,5,FALSE)</f>
        <v>DELGADO DIANAH</v>
      </c>
      <c r="M110" s="6">
        <f t="shared" si="28"/>
        <v>2.513888889370719E-2</v>
      </c>
      <c r="N110" s="7">
        <f t="shared" si="43"/>
        <v>36.200000006938353</v>
      </c>
      <c r="O110" s="7"/>
      <c r="P110" s="7"/>
      <c r="Q110" s="22"/>
      <c r="R110" s="170"/>
      <c r="S110" s="213">
        <f t="shared" si="44"/>
        <v>1</v>
      </c>
      <c r="T110" s="195" t="str">
        <f t="shared" si="29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0"/>
        <v>https://d0f6bd738d7f1b3e5a7ca70fe4ff75f0.us-east-1.aws.found.io/app/kibana#/discover/Steve-Slow-Train-Analysis-(2080s-and-2083s)?_g=(refreshInterval:(display:Off,pause:!f,section:0,value:0),time:(from:'2017-07-29T14:38:58-0600',mode:absolute,to:'2017-07-29T17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0" s="197" t="str">
        <f>IF(AA110&lt;VLOOKUP(AG110,Variables!$AC$3:$AD$8,2,FALSE),"Y","N")</f>
        <v>N</v>
      </c>
      <c r="X110" s="197">
        <f t="shared" si="45"/>
        <v>1</v>
      </c>
      <c r="Y110" s="197">
        <f t="shared" si="32"/>
        <v>4.7500000000000001E-2</v>
      </c>
      <c r="Z110" s="197">
        <f t="shared" si="33"/>
        <v>23.335899999999999</v>
      </c>
      <c r="AA110" s="197">
        <f t="shared" si="34"/>
        <v>23.288399999999999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5"/>
        <v>197</v>
      </c>
      <c r="AE110" s="77" t="str">
        <f t="shared" si="36"/>
        <v>aws s3 cp s3://rtdc.mdm.uploadarchive.raw/RTDC4028/ "%USERPROFILE%\AppData\Local\Temp\OnboardLogs"\RTDC4028\2017-07-29 --exclude "*" --recursive --include "*20170729*" &amp; "%USERPROFILE%\Documents\GitHub\mrs-test-scripts\Headless Mode &amp; Sideloading\WalkAndUnGZ.bat" "%USERPROFILE%\AppData\Local\Temp\OnboardLogs"\RTDC4028\2017-07-29 &amp; aws s3 cp s3://rtdc.mdm.uploadarchive.raw/RTDC4028/ "%USERPROFILE%\AppData\Local\Temp\OnboardLogs"\RTDC4028\2017-07-30 --exclude "*" --recursive --include "*20170730*" &amp; "%USERPROFILE%\Documents\GitHub\mrs-test-scripts\Headless Mode &amp; Sideloading\WalkAndUnGZ.bat" "%USERPROFILE%\AppData\Local\Temp\OnboardLogs"\RTDC4028\2017-07-30</v>
      </c>
      <c r="AF110" s="74" t="str">
        <f t="shared" si="37"/>
        <v>"C:\Program Files (x86)\AstroGrep\AstroGrep.exe" /e /r /s /spath="%USERPROFILE%\AppData\Local\Temp\OnboardLogs" /stypes="app*4028*20170729*" /stext=" 22:.+((SYSTEM_STATE.+slice.+state.+changed )|(ment ac)|(multiple cpu faults)|(system.+state.+changed )|(\[timeout)|(PRM\|1\|D)|(kpr)|(kdp)|(train st.+moving)|(\|lc)|(penalty))"</v>
      </c>
      <c r="AG110" s="209" t="str">
        <f t="shared" si="38"/>
        <v>EC</v>
      </c>
      <c r="AH110" s="78" t="str">
        <f t="shared" si="39"/>
        <v>"%USERPROFILE%\Documents\GitHub\eaglep3\Utilities\RefineRTDCRunTimes.py" --tripid 197-29 --locoid 4028 --swversion DE.1.0.9.0 --startMP 204:475 --initTime 2017-07-29T15:38:58 --startdatetime 2017-07-29T15:45:45 --delay 3 --endMP 204:233359 --enddatetime 2017-07-29T16:21:57 --enforcementcount 0 &gt;&gt;C:\Users\stu\Documents\GitHub\eaglep3-reporting\EC\2017-07-29-refined-times.txt</v>
      </c>
      <c r="AI110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{"issue":{"subject":"","project_id":79,"tracker_id":40,"status_id":1,"priority_id":2,"assigned_to_id":23,"start_date":"2017-07-29","description":"","custom_fields":[{"id":1,"name":"Subdivision","value":"EC"},{"id":4,"name":"Milepost","value":"23.3359"},{"id":17,"name":"Train ID","value":"197-29"},{"id":16,"name":"Locomotive ID","value":"4028"},{"id":130,"name":"Impact","value":""},{"id":150,"name":"Time of Event (Mountain Time)","value":"16:21:57"},{"id":151,"name":"Denver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1"/>
        <v>start /low /b %USERPROFILE%\Documents\GitHub\eaglep3\Utilities\DownloadLogsFromS3.py --loco 4028 --day 2017-07-29</v>
      </c>
      <c r="AN110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22:21:57"},{"id":29,"name":"Sharepoint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653</v>
      </c>
      <c r="B111" s="7">
        <v>4027</v>
      </c>
      <c r="C111" s="21" t="s">
        <v>198</v>
      </c>
      <c r="D111" s="21" t="s">
        <v>969</v>
      </c>
      <c r="E111" s="13">
        <v>42945.689629629633</v>
      </c>
      <c r="F111" s="13">
        <v>42945.697546296295</v>
      </c>
      <c r="G111" s="7">
        <v>1</v>
      </c>
      <c r="H111" s="21" t="s">
        <v>970</v>
      </c>
      <c r="I111" s="13">
        <v>42945.724305555559</v>
      </c>
      <c r="J111" s="7">
        <v>0</v>
      </c>
      <c r="K111" s="89" t="str">
        <f t="shared" si="27"/>
        <v>4027/4028</v>
      </c>
      <c r="L111" s="21" t="str">
        <f>VLOOKUP(A111,'Trips&amp;Operators'!$C$1:$G$99999,5,FALSE)</f>
        <v>DELGADO DIANAH</v>
      </c>
      <c r="M111" s="6">
        <f t="shared" si="28"/>
        <v>2.6759259264508728E-2</v>
      </c>
      <c r="N111" s="7">
        <f t="shared" si="43"/>
        <v>38.533333340892568</v>
      </c>
      <c r="O111" s="7"/>
      <c r="P111" s="7"/>
      <c r="Q111" s="22"/>
      <c r="R111" s="170"/>
      <c r="S111" s="213">
        <f t="shared" si="44"/>
        <v>1</v>
      </c>
      <c r="T111" s="195" t="str">
        <f t="shared" si="29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0"/>
        <v>https://d0f6bd738d7f1b3e5a7ca70fe4ff75f0.us-east-1.aws.found.io/app/kibana#/discover/Steve-Slow-Train-Analysis-(2080s-and-2083s)?_g=(refreshInterval:(display:Off,pause:!f,section:0,value:0),time:(from:'2017-07-29T15:33:04-0600',mode:absolute,to:'2017-07-29T18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1" s="197" t="str">
        <f>IF(AA111&lt;VLOOKUP(AG111,Variables!$AC$3:$AD$8,2,FALSE),"Y","N")</f>
        <v>N</v>
      </c>
      <c r="X111" s="197">
        <f t="shared" si="45"/>
        <v>1</v>
      </c>
      <c r="Y111" s="197">
        <f t="shared" si="32"/>
        <v>23.307600000000001</v>
      </c>
      <c r="Z111" s="197">
        <f t="shared" si="33"/>
        <v>1.18E-2</v>
      </c>
      <c r="AA111" s="197">
        <f t="shared" si="34"/>
        <v>23.2958</v>
      </c>
      <c r="AB111" s="54" t="str">
        <f>VLOOKUP(A111,Enforcements!$C$7:$K$13,8,0)</f>
        <v>Bulletin (2)</v>
      </c>
      <c r="AC111" s="51" t="str">
        <f>VLOOKUP(A111,Enforcements!$C$7:$E$13,3,0)</f>
        <v>GRADE CROSSING</v>
      </c>
      <c r="AD111" s="206">
        <f t="shared" si="35"/>
        <v>198</v>
      </c>
      <c r="AE111" s="77" t="str">
        <f t="shared" si="36"/>
        <v>aws s3 cp s3://rtdc.mdm.uploadarchive.raw/RTDC4027/ "%USERPROFILE%\AppData\Local\Temp\OnboardLogs"\RTDC4027\2017-07-29 --exclude "*" --recursive --include "*20170729*" &amp; "%USERPROFILE%\Documents\GitHub\mrs-test-scripts\Headless Mode &amp; Sideloading\WalkAndUnGZ.bat" "%USERPROFILE%\AppData\Local\Temp\OnboardLogs"\RTDC4027\2017-07-29 &amp; aws s3 cp s3://rtdc.mdm.uploadarchive.raw/RTDC4027/ "%USERPROFILE%\AppData\Local\Temp\OnboardLogs"\RTDC4027\2017-07-30 --exclude "*" --recursive --include "*20170730*" &amp; "%USERPROFILE%\Documents\GitHub\mrs-test-scripts\Headless Mode &amp; Sideloading\WalkAndUnGZ.bat" "%USERPROFILE%\AppData\Local\Temp\OnboardLogs"\RTDC4027\2017-07-30</v>
      </c>
      <c r="AF111" s="74" t="str">
        <f t="shared" si="37"/>
        <v>"C:\Program Files (x86)\AstroGrep\AstroGrep.exe" /e /r /s /spath="%USERPROFILE%\AppData\Local\Temp\OnboardLogs" /stypes="app*4027*20170729*" /stext=" 23:.+((SYSTEM_STATE.+slice.+state.+changed )|(ment ac)|(multiple cpu faults)|(system.+state.+changed )|(\[timeout)|(PRM\|1\|D)|(kpr)|(kdp)|(train st.+moving)|(\|lc)|(penalty))"</v>
      </c>
      <c r="AG111" s="209" t="str">
        <f t="shared" si="38"/>
        <v>EC</v>
      </c>
      <c r="AH111" s="78" t="str">
        <f t="shared" si="39"/>
        <v>"%USERPROFILE%\Documents\GitHub\eaglep3\Utilities\RefineRTDCRunTimes.py" --tripid 198-29 --locoid 4027 --swversion DE.1.0.9.0 --startMP 204:233076 --initTime 2017-07-29T16:33:04 --startdatetime 2017-07-29T16:44:28 --delay 1 --endMP 204:118 --enddatetime 2017-07-29T17:23:00 --enforcementcount 0 &gt;&gt;C:\Users\stu\Documents\GitHub\eaglep3-reporting\EC\2017-07-29-refined-times.txt</v>
      </c>
      <c r="AI111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{"issue":{"subject":"","project_id":79,"tracker_id":40,"status_id":1,"priority_id":2,"assigned_to_id":23,"start_date":"2017-07-29","description":"","custom_fields":[{"id":1,"name":"Subdivision","value":"EC"},{"id":4,"name":"Milepost","value":"0.0118"},{"id":17,"name":"Train ID","value":"198-29"},{"id":16,"name":"Locomotive ID","value":"4027"},{"id":130,"name":"Impact","value":""},{"id":150,"name":"Time of Event (Mountain Time)","value":"17:23:00"},{"id":151,"name":"Denver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1"/>
        <v>start /low /b %USERPROFILE%\Documents\GitHub\eaglep3\Utilities\DownloadLogsFromS3.py --loco 4027 --day 2017-07-29</v>
      </c>
      <c r="AN111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23:23:00"},{"id":29,"name":"Sharepoint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809</v>
      </c>
      <c r="B112" s="7">
        <v>4008</v>
      </c>
      <c r="C112" s="21" t="s">
        <v>198</v>
      </c>
      <c r="D112" s="21" t="s">
        <v>499</v>
      </c>
      <c r="E112" s="13">
        <v>42945.664375</v>
      </c>
      <c r="F112" s="13">
        <v>42945.667222222219</v>
      </c>
      <c r="G112" s="7">
        <v>1</v>
      </c>
      <c r="H112" s="21" t="s">
        <v>452</v>
      </c>
      <c r="I112" s="13">
        <v>42945.693854166668</v>
      </c>
      <c r="J112" s="7">
        <v>0</v>
      </c>
      <c r="K112" s="89" t="str">
        <f t="shared" si="27"/>
        <v>4007/4008</v>
      </c>
      <c r="L112" s="21" t="str">
        <f>VLOOKUP(A112,'Trips&amp;Operators'!$C$1:$G$99999,5,FALSE)</f>
        <v>STEWART MICHAEL</v>
      </c>
      <c r="M112" s="6">
        <f t="shared" si="28"/>
        <v>2.6631944449036382E-2</v>
      </c>
      <c r="N112" s="7">
        <f t="shared" si="43"/>
        <v>38.35000000661239</v>
      </c>
      <c r="O112" s="7"/>
      <c r="P112" s="7"/>
      <c r="Q112" s="22"/>
      <c r="R112" s="170"/>
      <c r="S112" s="213">
        <f t="shared" si="44"/>
        <v>1</v>
      </c>
      <c r="T112" s="195" t="str">
        <f t="shared" si="29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0"/>
        <v>https://d0f6bd738d7f1b3e5a7ca70fe4ff75f0.us-east-1.aws.found.io/app/kibana#/discover/Steve-Slow-Train-Analysis-(2080s-and-2083s)?_g=(refreshInterval:(display:Off,pause:!f,section:0,value:0),time:(from:'2017-07-29T14:56:42-0600',mode:absolute,to:'2017-07-29T17:39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2" s="197" t="str">
        <f>IF(AA112&lt;VLOOKUP(AG112,Variables!$AC$3:$AD$8,2,FALSE),"Y","N")</f>
        <v>N</v>
      </c>
      <c r="X112" s="197">
        <f t="shared" si="45"/>
        <v>1</v>
      </c>
      <c r="Y112" s="197">
        <f t="shared" si="32"/>
        <v>4.2599999999999999E-2</v>
      </c>
      <c r="Z112" s="197">
        <f t="shared" si="33"/>
        <v>23.3291</v>
      </c>
      <c r="AA112" s="197">
        <f t="shared" si="34"/>
        <v>23.2865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5"/>
        <v>199</v>
      </c>
      <c r="AE112" s="77" t="str">
        <f t="shared" si="36"/>
        <v>aws s3 cp s3://rtdc.mdm.uploadarchive.raw/RTDC4008/ "%USERPROFILE%\AppData\Local\Temp\OnboardLogs"\RTDC4008\2017-07-29 --exclude "*" --recursive --include "*20170729*" &amp; "%USERPROFILE%\Documents\GitHub\mrs-test-scripts\Headless Mode &amp; Sideloading\WalkAndUnGZ.bat" "%USERPROFILE%\AppData\Local\Temp\OnboardLogs"\RTDC4008\2017-07-29 &amp; aws s3 cp s3://rtdc.mdm.uploadarchive.raw/RTDC4008/ "%USERPROFILE%\AppData\Local\Temp\OnboardLogs"\RTDC4008\2017-07-30 --exclude "*" --recursive --include "*20170730*" &amp; "%USERPROFILE%\Documents\GitHub\mrs-test-scripts\Headless Mode &amp; Sideloading\WalkAndUnGZ.bat" "%USERPROFILE%\AppData\Local\Temp\OnboardLogs"\RTDC4008\2017-07-30</v>
      </c>
      <c r="AF112" s="74" t="str">
        <f t="shared" si="37"/>
        <v>"C:\Program Files (x86)\AstroGrep\AstroGrep.exe" /e /r /s /spath="%USERPROFILE%\AppData\Local\Temp\OnboardLogs" /stypes="app*4008*20170729*" /stext=" 22:.+((SYSTEM_STATE.+slice.+state.+changed )|(ment ac)|(multiple cpu faults)|(system.+state.+changed )|(\[timeout)|(PRM\|1\|D)|(kpr)|(kdp)|(train st.+moving)|(\|lc)|(penalty))"</v>
      </c>
      <c r="AG112" s="209" t="str">
        <f t="shared" si="38"/>
        <v>EC</v>
      </c>
      <c r="AH112" s="78" t="str">
        <f t="shared" si="39"/>
        <v>"%USERPROFILE%\Documents\GitHub\eaglep3\Utilities\RefineRTDCRunTimes.py" --tripid 199-29 --locoid 4008 --swversion DE.1.0.9.0 --startMP 204:426 --initTime 2017-07-29T15:56:42 --startdatetime 2017-07-29T16:00:48 --delay 1 --endMP 204:233291 --enddatetime 2017-07-29T16:39:09 --enforcementcount 0 &gt;&gt;C:\Users\stu\Documents\GitHub\eaglep3-reporting\EC\2017-07-29-refined-times.txt</v>
      </c>
      <c r="AI112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{"issue":{"subject":"","project_id":79,"tracker_id":40,"status_id":1,"priority_id":2,"assigned_to_id":23,"start_date":"2017-07-29","description":"","custom_fields":[{"id":1,"name":"Subdivision","value":"EC"},{"id":4,"name":"Milepost","value":"23.3291"},{"id":17,"name":"Train ID","value":"199-29"},{"id":16,"name":"Locomotive ID","value":"4008"},{"id":130,"name":"Impact","value":""},{"id":150,"name":"Time of Event (Mountain Time)","value":"16:39:09"},{"id":151,"name":"Denver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1"/>
        <v>start /low /b %USERPROFILE%\Documents\GitHub\eaglep3\Utilities\DownloadLogsFromS3.py --loco 4008 --day 2017-07-29</v>
      </c>
      <c r="AN112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22:39:09"},{"id":29,"name":"Sharepoint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816</v>
      </c>
      <c r="B113" s="7">
        <v>4007</v>
      </c>
      <c r="C113" s="21" t="s">
        <v>198</v>
      </c>
      <c r="D113" s="21" t="s">
        <v>525</v>
      </c>
      <c r="E113" s="13">
        <v>42945.703055555554</v>
      </c>
      <c r="F113" s="13">
        <v>42945.706574074073</v>
      </c>
      <c r="G113" s="7">
        <v>1</v>
      </c>
      <c r="H113" s="21" t="s">
        <v>342</v>
      </c>
      <c r="I113" s="13">
        <v>42945.734918981485</v>
      </c>
      <c r="J113" s="7">
        <v>0</v>
      </c>
      <c r="K113" s="89" t="str">
        <f t="shared" si="27"/>
        <v>4007/4008</v>
      </c>
      <c r="L113" s="21" t="str">
        <f>VLOOKUP(A113,'Trips&amp;Operators'!$C$1:$G$99999,5,FALSE)</f>
        <v>STEWART MICHAEL</v>
      </c>
      <c r="M113" s="6">
        <f t="shared" si="28"/>
        <v>2.8344907412247267E-2</v>
      </c>
      <c r="N113" s="7">
        <f t="shared" si="43"/>
        <v>40.816666673636064</v>
      </c>
      <c r="O113" s="7"/>
      <c r="P113" s="7"/>
      <c r="Q113" s="22"/>
      <c r="R113" s="170"/>
      <c r="S113" s="213">
        <f t="shared" si="44"/>
        <v>1</v>
      </c>
      <c r="T113" s="195" t="str">
        <f t="shared" si="29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0"/>
        <v>https://d0f6bd738d7f1b3e5a7ca70fe4ff75f0.us-east-1.aws.found.io/app/kibana#/discover/Steve-Slow-Train-Analysis-(2080s-and-2083s)?_g=(refreshInterval:(display:Off,pause:!f,section:0,value:0),time:(from:'2017-07-29T15:52:24-0600',mode:absolute,to:'2017-07-29T18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3" s="197" t="str">
        <f>IF(AA113&lt;VLOOKUP(AG113,Variables!$AC$3:$AD$8,2,FALSE),"Y","N")</f>
        <v>N</v>
      </c>
      <c r="X113" s="197">
        <f t="shared" si="45"/>
        <v>1</v>
      </c>
      <c r="Y113" s="197">
        <f t="shared" si="32"/>
        <v>23.298100000000002</v>
      </c>
      <c r="Z113" s="197">
        <f t="shared" si="33"/>
        <v>1.49E-2</v>
      </c>
      <c r="AA113" s="197">
        <f t="shared" si="34"/>
        <v>23.283200000000001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5"/>
        <v>200</v>
      </c>
      <c r="AE113" s="77" t="str">
        <f t="shared" si="36"/>
        <v>aws s3 cp s3://rtdc.mdm.uploadarchive.raw/RTDC4007/ "%USERPROFILE%\AppData\Local\Temp\OnboardLogs"\RTDC4007\2017-07-29 --exclude "*" --recursive --include "*20170729*" &amp; "%USERPROFILE%\Documents\GitHub\mrs-test-scripts\Headless Mode &amp; Sideloading\WalkAndUnGZ.bat" "%USERPROFILE%\AppData\Local\Temp\OnboardLogs"\RTDC4007\2017-07-29 &amp; aws s3 cp s3://rtdc.mdm.uploadarchive.raw/RTDC4007/ "%USERPROFILE%\AppData\Local\Temp\OnboardLogs"\RTDC4007\2017-07-30 --exclude "*" --recursive --include "*20170730*" &amp; "%USERPROFILE%\Documents\GitHub\mrs-test-scripts\Headless Mode &amp; Sideloading\WalkAndUnGZ.bat" "%USERPROFILE%\AppData\Local\Temp\OnboardLogs"\RTDC4007\2017-07-30</v>
      </c>
      <c r="AF113" s="74" t="str">
        <f t="shared" si="37"/>
        <v>"C:\Program Files (x86)\AstroGrep\AstroGrep.exe" /e /r /s /spath="%USERPROFILE%\AppData\Local\Temp\OnboardLogs" /stypes="app*4007*20170729*" /stext=" 23:.+((SYSTEM_STATE.+slice.+state.+changed )|(ment ac)|(multiple cpu faults)|(system.+state.+changed )|(\[timeout)|(PRM\|1\|D)|(kpr)|(kdp)|(train st.+moving)|(\|lc)|(penalty))"</v>
      </c>
      <c r="AG113" s="209" t="str">
        <f t="shared" si="38"/>
        <v>EC</v>
      </c>
      <c r="AH113" s="78" t="str">
        <f t="shared" si="39"/>
        <v>"%USERPROFILE%\Documents\GitHub\eaglep3\Utilities\RefineRTDCRunTimes.py" --tripid 200-29 --locoid 4007 --swversion DE.1.0.9.0 --startMP 204:232981 --initTime 2017-07-29T16:52:24 --startdatetime 2017-07-29T16:57:28 --delay 1 --endMP 204:149 --enddatetime 2017-07-29T17:38:17 --enforcementcount 0 &gt;&gt;C:\Users\stu\Documents\GitHub\eaglep3-reporting\EC\2017-07-29-refined-times.txt</v>
      </c>
      <c r="AI113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{"issue":{"subject":"","project_id":79,"tracker_id":40,"status_id":1,"priority_id":2,"assigned_to_id":23,"start_date":"2017-07-29","description":"","custom_fields":[{"id":1,"name":"Subdivision","value":"EC"},{"id":4,"name":"Milepost","value":"0.0149"},{"id":17,"name":"Train ID","value":"200-29"},{"id":16,"name":"Locomotive ID","value":"4007"},{"id":130,"name":"Impact","value":""},{"id":150,"name":"Time of Event (Mountain Time)","value":"17:38:17"},{"id":151,"name":"Denver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1"/>
        <v>start /low /b %USERPROFILE%\Documents\GitHub\eaglep3\Utilities\DownloadLogsFromS3.py --loco 4007 --day 2017-07-29</v>
      </c>
      <c r="AN113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23:38:17"},{"id":29,"name":"Sharepoint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811</v>
      </c>
      <c r="B114" s="7">
        <v>4030</v>
      </c>
      <c r="C114" s="21" t="s">
        <v>198</v>
      </c>
      <c r="D114" s="21" t="s">
        <v>971</v>
      </c>
      <c r="E114" s="13">
        <v>42945.674745370372</v>
      </c>
      <c r="F114" s="13">
        <v>42945.677627314813</v>
      </c>
      <c r="G114" s="7">
        <v>1</v>
      </c>
      <c r="H114" s="21" t="s">
        <v>516</v>
      </c>
      <c r="I114" s="13">
        <v>42945.703541666669</v>
      </c>
      <c r="J114" s="7">
        <v>0</v>
      </c>
      <c r="K114" s="89" t="str">
        <f t="shared" si="27"/>
        <v>4029/4030</v>
      </c>
      <c r="L114" s="21" t="str">
        <f>VLOOKUP(A114,'Trips&amp;Operators'!$C$1:$G$99999,5,FALSE)</f>
        <v>HOLCOMB KAMDEN</v>
      </c>
      <c r="M114" s="6">
        <f t="shared" si="28"/>
        <v>2.5914351856044959E-2</v>
      </c>
      <c r="N114" s="7">
        <f t="shared" si="43"/>
        <v>37.316666672704741</v>
      </c>
      <c r="O114" s="7"/>
      <c r="P114" s="7"/>
      <c r="Q114" s="22"/>
      <c r="R114" s="170"/>
      <c r="S114" s="213">
        <f t="shared" si="44"/>
        <v>1</v>
      </c>
      <c r="T114" s="195" t="str">
        <f t="shared" si="29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0"/>
        <v>https://d0f6bd738d7f1b3e5a7ca70fe4ff75f0.us-east-1.aws.found.io/app/kibana#/discover/Steve-Slow-Train-Analysis-(2080s-and-2083s)?_g=(refreshInterval:(display:Off,pause:!f,section:0,value:0),time:(from:'2017-07-29T15:11:38-0600',mode:absolute,to:'2017-07-29T17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4" s="197" t="str">
        <f>IF(AA114&lt;VLOOKUP(AG114,Variables!$AC$3:$AD$8,2,FALSE),"Y","N")</f>
        <v>N</v>
      </c>
      <c r="X114" s="197">
        <f t="shared" si="45"/>
        <v>1</v>
      </c>
      <c r="Y114" s="197">
        <f t="shared" si="32"/>
        <v>4.24E-2</v>
      </c>
      <c r="Z114" s="197">
        <f t="shared" si="33"/>
        <v>23.330100000000002</v>
      </c>
      <c r="AA114" s="197">
        <f t="shared" si="34"/>
        <v>23.287700000000001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5"/>
        <v>201</v>
      </c>
      <c r="AE114" s="77" t="str">
        <f t="shared" si="36"/>
        <v>aws s3 cp s3://rtdc.mdm.uploadarchive.raw/RTDC4030/ "%USERPROFILE%\AppData\Local\Temp\OnboardLogs"\RTDC4030\2017-07-29 --exclude "*" --recursive --include "*20170729*" &amp; "%USERPROFILE%\Documents\GitHub\mrs-test-scripts\Headless Mode &amp; Sideloading\WalkAndUnGZ.bat" "%USERPROFILE%\AppData\Local\Temp\OnboardLogs"\RTDC4030\2017-07-29 &amp; aws s3 cp s3://rtdc.mdm.uploadarchive.raw/RTDC4030/ "%USERPROFILE%\AppData\Local\Temp\OnboardLogs"\RTDC4030\2017-07-30 --exclude "*" --recursive --include "*20170730*" &amp; "%USERPROFILE%\Documents\GitHub\mrs-test-scripts\Headless Mode &amp; Sideloading\WalkAndUnGZ.bat" "%USERPROFILE%\AppData\Local\Temp\OnboardLogs"\RTDC4030\2017-07-30</v>
      </c>
      <c r="AF114" s="74" t="str">
        <f t="shared" si="37"/>
        <v>"C:\Program Files (x86)\AstroGrep\AstroGrep.exe" /e /r /s /spath="%USERPROFILE%\AppData\Local\Temp\OnboardLogs" /stypes="app*4030*20170729*" /stext=" 22:.+((SYSTEM_STATE.+slice.+state.+changed )|(ment ac)|(multiple cpu faults)|(system.+state.+changed )|(\[timeout)|(PRM\|1\|D)|(kpr)|(kdp)|(train st.+moving)|(\|lc)|(penalty))"</v>
      </c>
      <c r="AG114" s="209" t="str">
        <f t="shared" si="38"/>
        <v>EC</v>
      </c>
      <c r="AH114" s="78" t="str">
        <f t="shared" si="39"/>
        <v>"%USERPROFILE%\Documents\GitHub\eaglep3\Utilities\RefineRTDCRunTimes.py" --tripid 201-29 --locoid 4030 --swversion DE.1.0.9.0 --startMP 204:424 --initTime 2017-07-29T16:11:38 --startdatetime 2017-07-29T16:15:47 --delay 1 --endMP 204:233301 --enddatetime 2017-07-29T16:53:06 --enforcementcount 0 &gt;&gt;C:\Users\stu\Documents\GitHub\eaglep3-reporting\EC\2017-07-29-refined-times.txt</v>
      </c>
      <c r="AI114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{"issue":{"subject":"","project_id":79,"tracker_id":40,"status_id":1,"priority_id":2,"assigned_to_id":23,"start_date":"2017-07-29","description":"","custom_fields":[{"id":1,"name":"Subdivision","value":"EC"},{"id":4,"name":"Milepost","value":"23.3301"},{"id":17,"name":"Train ID","value":"201-29"},{"id":16,"name":"Locomotive ID","value":"4030"},{"id":130,"name":"Impact","value":""},{"id":150,"name":"Time of Event (Mountain Time)","value":"16:53:06"},{"id":151,"name":"Denver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1"/>
        <v>start /low /b %USERPROFILE%\Documents\GitHub\eaglep3\Utilities\DownloadLogsFromS3.py --loco 4030 --day 2017-07-29</v>
      </c>
      <c r="AN114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22:53:06"},{"id":29,"name":"Sharepoint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818</v>
      </c>
      <c r="B115" s="7">
        <v>4029</v>
      </c>
      <c r="C115" s="21" t="s">
        <v>198</v>
      </c>
      <c r="D115" s="21" t="s">
        <v>972</v>
      </c>
      <c r="E115" s="13">
        <v>42945.711018518516</v>
      </c>
      <c r="F115" s="13">
        <v>42945.716840277775</v>
      </c>
      <c r="G115" s="7">
        <v>1</v>
      </c>
      <c r="H115" s="21" t="s">
        <v>341</v>
      </c>
      <c r="I115" s="13">
        <v>42945.74417824074</v>
      </c>
      <c r="J115" s="7">
        <v>0</v>
      </c>
      <c r="K115" s="89" t="str">
        <f t="shared" si="27"/>
        <v>4029/4030</v>
      </c>
      <c r="L115" s="21" t="str">
        <f>VLOOKUP(A115,'Trips&amp;Operators'!$C$1:$G$99999,5,FALSE)</f>
        <v>HOLCOMB KAMDEN</v>
      </c>
      <c r="M115" s="6">
        <f t="shared" si="28"/>
        <v>2.7337962965248153E-2</v>
      </c>
      <c r="N115" s="7">
        <f t="shared" si="43"/>
        <v>39.36666666995734</v>
      </c>
      <c r="O115" s="7"/>
      <c r="P115" s="7"/>
      <c r="Q115" s="22"/>
      <c r="R115" s="170"/>
      <c r="S115" s="213">
        <f t="shared" si="44"/>
        <v>1</v>
      </c>
      <c r="T115" s="195" t="str">
        <f t="shared" si="29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0"/>
        <v>https://d0f6bd738d7f1b3e5a7ca70fe4ff75f0.us-east-1.aws.found.io/app/kibana#/discover/Steve-Slow-Train-Analysis-(2080s-and-2083s)?_g=(refreshInterval:(display:Off,pause:!f,section:0,value:0),time:(from:'2017-07-29T16:03:52-0600',mode:absolute,to:'2017-07-29T18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5" s="197" t="str">
        <f>IF(AA115&lt;VLOOKUP(AG115,Variables!$AC$3:$AD$8,2,FALSE),"Y","N")</f>
        <v>N</v>
      </c>
      <c r="X115" s="197">
        <f t="shared" si="45"/>
        <v>1</v>
      </c>
      <c r="Y115" s="197">
        <f t="shared" si="32"/>
        <v>23.298400000000001</v>
      </c>
      <c r="Z115" s="197">
        <f t="shared" si="33"/>
        <v>1.4999999999999999E-2</v>
      </c>
      <c r="AA115" s="197">
        <f t="shared" si="34"/>
        <v>23.2834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5"/>
        <v>202</v>
      </c>
      <c r="AE115" s="77" t="str">
        <f t="shared" si="36"/>
        <v>aws s3 cp s3://rtdc.mdm.uploadarchive.raw/RTDC4029/ "%USERPROFILE%\AppData\Local\Temp\OnboardLogs"\RTDC4029\2017-07-29 --exclude "*" --recursive --include "*20170729*" &amp; "%USERPROFILE%\Documents\GitHub\mrs-test-scripts\Headless Mode &amp; Sideloading\WalkAndUnGZ.bat" "%USERPROFILE%\AppData\Local\Temp\OnboardLogs"\RTDC4029\2017-07-29 &amp; aws s3 cp s3://rtdc.mdm.uploadarchive.raw/RTDC4029/ "%USERPROFILE%\AppData\Local\Temp\OnboardLogs"\RTDC4029\2017-07-30 --exclude "*" --recursive --include "*20170730*" &amp; "%USERPROFILE%\Documents\GitHub\mrs-test-scripts\Headless Mode &amp; Sideloading\WalkAndUnGZ.bat" "%USERPROFILE%\AppData\Local\Temp\OnboardLogs"\RTDC4029\2017-07-30</v>
      </c>
      <c r="AF115" s="74" t="str">
        <f t="shared" si="37"/>
        <v>"C:\Program Files (x86)\AstroGrep\AstroGrep.exe" /e /r /s /spath="%USERPROFILE%\AppData\Local\Temp\OnboardLogs" /stypes="app*4029*20170729*" /stext=" 23:.+((SYSTEM_STATE.+slice.+state.+changed )|(ment ac)|(multiple cpu faults)|(system.+state.+changed )|(\[timeout)|(PRM\|1\|D)|(kpr)|(kdp)|(train st.+moving)|(\|lc)|(penalty))"</v>
      </c>
      <c r="AG115" s="209" t="str">
        <f t="shared" si="38"/>
        <v>EC</v>
      </c>
      <c r="AH115" s="78" t="str">
        <f t="shared" si="39"/>
        <v>"%USERPROFILE%\Documents\GitHub\eaglep3\Utilities\RefineRTDCRunTimes.py" --tripid 202-29 --locoid 4029 --swversion DE.1.0.9.0 --startMP 204:232984 --initTime 2017-07-29T17:03:52 --startdatetime 2017-07-29T17:12:15 --delay 1 --endMP 204:150 --enddatetime 2017-07-29T17:51:37 --enforcementcount 0 &gt;&gt;C:\Users\stu\Documents\GitHub\eaglep3-reporting\EC\2017-07-29-refined-times.txt</v>
      </c>
      <c r="AI115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{"issue":{"subject":"","project_id":79,"tracker_id":40,"status_id":1,"priority_id":2,"assigned_to_id":23,"start_date":"2017-07-29","description":"","custom_fields":[{"id":1,"name":"Subdivision","value":"EC"},{"id":4,"name":"Milepost","value":"0.015"},{"id":17,"name":"Train ID","value":"202-29"},{"id":16,"name":"Locomotive ID","value":"4029"},{"id":130,"name":"Impact","value":""},{"id":150,"name":"Time of Event (Mountain Time)","value":"17:51:37"},{"id":151,"name":"Denver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1"/>
        <v>start /low /b %USERPROFILE%\Documents\GitHub\eaglep3\Utilities\DownloadLogsFromS3.py --loco 4029 --day 2017-07-29</v>
      </c>
      <c r="AN115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23:51:37"},{"id":29,"name":"Sharepoint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814</v>
      </c>
      <c r="B116" s="7">
        <v>4024</v>
      </c>
      <c r="C116" s="21" t="s">
        <v>198</v>
      </c>
      <c r="D116" s="21" t="s">
        <v>453</v>
      </c>
      <c r="E116" s="13">
        <v>42945.683576388888</v>
      </c>
      <c r="F116" s="13">
        <v>42945.688067129631</v>
      </c>
      <c r="G116" s="7">
        <v>1</v>
      </c>
      <c r="H116" s="21" t="s">
        <v>973</v>
      </c>
      <c r="I116" s="13">
        <v>42945.713449074072</v>
      </c>
      <c r="J116" s="7">
        <v>0</v>
      </c>
      <c r="K116" s="89" t="str">
        <f t="shared" si="27"/>
        <v>4023/4024</v>
      </c>
      <c r="L116" s="21" t="str">
        <f>VLOOKUP(A116,'Trips&amp;Operators'!$C$1:$G$99999,5,FALSE)</f>
        <v>SAFIEF AEIMEN</v>
      </c>
      <c r="M116" s="6">
        <f t="shared" si="28"/>
        <v>2.5381944440596271E-2</v>
      </c>
      <c r="N116" s="7">
        <f t="shared" si="43"/>
        <v>36.549999994458631</v>
      </c>
      <c r="O116" s="7"/>
      <c r="P116" s="7"/>
      <c r="Q116" s="22"/>
      <c r="R116" s="170"/>
      <c r="S116" s="213">
        <f t="shared" si="44"/>
        <v>1</v>
      </c>
      <c r="T116" s="195" t="str">
        <f t="shared" si="29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0"/>
        <v>https://d0f6bd738d7f1b3e5a7ca70fe4ff75f0.us-east-1.aws.found.io/app/kibana#/discover/Steve-Slow-Train-Analysis-(2080s-and-2083s)?_g=(refreshInterval:(display:Off,pause:!f,section:0,value:0),time:(from:'2017-07-29T15:24:21-0600',mode:absolute,to:'2017-07-29T18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6" s="197" t="str">
        <f>IF(AA116&lt;VLOOKUP(AG116,Variables!$AC$3:$AD$8,2,FALSE),"Y","N")</f>
        <v>N</v>
      </c>
      <c r="X116" s="197">
        <f t="shared" si="45"/>
        <v>1</v>
      </c>
      <c r="Y116" s="197">
        <f t="shared" si="32"/>
        <v>4.5999999999999999E-2</v>
      </c>
      <c r="Z116" s="197">
        <f t="shared" si="33"/>
        <v>23.334199999999999</v>
      </c>
      <c r="AA116" s="197">
        <f t="shared" si="34"/>
        <v>23.2882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5"/>
        <v>203</v>
      </c>
      <c r="AE116" s="77" t="str">
        <f t="shared" si="36"/>
        <v>aws s3 cp s3://rtdc.mdm.uploadarchive.raw/RTDC4024/ "%USERPROFILE%\AppData\Local\Temp\OnboardLogs"\RTDC4024\2017-07-29 --exclude "*" --recursive --include "*20170729*" &amp; "%USERPROFILE%\Documents\GitHub\mrs-test-scripts\Headless Mode &amp; Sideloading\WalkAndUnGZ.bat" "%USERPROFILE%\AppData\Local\Temp\OnboardLogs"\RTDC4024\2017-07-29 &amp; aws s3 cp s3://rtdc.mdm.uploadarchive.raw/RTDC4024/ "%USERPROFILE%\AppData\Local\Temp\OnboardLogs"\RTDC4024\2017-07-30 --exclude "*" --recursive --include "*20170730*" &amp; "%USERPROFILE%\Documents\GitHub\mrs-test-scripts\Headless Mode &amp; Sideloading\WalkAndUnGZ.bat" "%USERPROFILE%\AppData\Local\Temp\OnboardLogs"\RTDC4024\2017-07-30</v>
      </c>
      <c r="AF116" s="74" t="str">
        <f t="shared" si="37"/>
        <v>"C:\Program Files (x86)\AstroGrep\AstroGrep.exe" /e /r /s /spath="%USERPROFILE%\AppData\Local\Temp\OnboardLogs" /stypes="app*4024*20170729*" /stext=" 23:.+((SYSTEM_STATE.+slice.+state.+changed )|(ment ac)|(multiple cpu faults)|(system.+state.+changed )|(\[timeout)|(PRM\|1\|D)|(kpr)|(kdp)|(train st.+moving)|(\|lc)|(penalty))"</v>
      </c>
      <c r="AG116" s="209" t="str">
        <f t="shared" si="38"/>
        <v>EC</v>
      </c>
      <c r="AH116" s="78" t="str">
        <f t="shared" si="39"/>
        <v>"%USERPROFILE%\Documents\GitHub\eaglep3\Utilities\RefineRTDCRunTimes.py" --tripid 203-29 --locoid 4024 --swversion DE.1.0.9.0 --startMP 204:460 --initTime 2017-07-29T16:24:21 --startdatetime 2017-07-29T16:30:49 --delay 1 --endMP 204:233342 --enddatetime 2017-07-29T17:07:22 --enforcementcount 0 &gt;&gt;C:\Users\stu\Documents\GitHub\eaglep3-reporting\EC\2017-07-29-refined-times.txt</v>
      </c>
      <c r="AI116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{"issue":{"subject":"","project_id":79,"tracker_id":40,"status_id":1,"priority_id":2,"assigned_to_id":23,"start_date":"2017-07-29","description":"","custom_fields":[{"id":1,"name":"Subdivision","value":"EC"},{"id":4,"name":"Milepost","value":"23.3342"},{"id":17,"name":"Train ID","value":"203-29"},{"id":16,"name":"Locomotive ID","value":"4024"},{"id":130,"name":"Impact","value":""},{"id":150,"name":"Time of Event (Mountain Time)","value":"17:07:22"},{"id":151,"name":"Denver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1"/>
        <v>start /low /b %USERPROFILE%\Documents\GitHub\eaglep3\Utilities\DownloadLogsFromS3.py --loco 4024 --day 2017-07-29</v>
      </c>
      <c r="AN116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23:07:22"},{"id":29,"name":"Sharepoint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819</v>
      </c>
      <c r="B117" s="7">
        <v>4023</v>
      </c>
      <c r="C117" s="21" t="s">
        <v>198</v>
      </c>
      <c r="D117" s="21" t="s">
        <v>617</v>
      </c>
      <c r="E117" s="13">
        <v>42945.715543981481</v>
      </c>
      <c r="F117" s="13">
        <v>42945.727303240739</v>
      </c>
      <c r="G117" s="7">
        <v>2</v>
      </c>
      <c r="H117" s="21" t="s">
        <v>352</v>
      </c>
      <c r="I117" s="13">
        <v>42945.755057870374</v>
      </c>
      <c r="J117" s="7">
        <v>0</v>
      </c>
      <c r="K117" s="89" t="str">
        <f t="shared" si="27"/>
        <v>4023/4024</v>
      </c>
      <c r="L117" s="21" t="str">
        <f>VLOOKUP(A117,'Trips&amp;Operators'!$C$1:$G$99999,5,FALSE)</f>
        <v>SAFIEF AEIMEN</v>
      </c>
      <c r="M117" s="6">
        <f t="shared" si="28"/>
        <v>2.775462963472819E-2</v>
      </c>
      <c r="N117" s="7">
        <f t="shared" si="43"/>
        <v>39.966666674008593</v>
      </c>
      <c r="O117" s="7"/>
      <c r="P117" s="7"/>
      <c r="Q117" s="22"/>
      <c r="R117" s="170"/>
      <c r="S117" s="213">
        <f t="shared" si="44"/>
        <v>1</v>
      </c>
      <c r="T117" s="195" t="str">
        <f t="shared" si="29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0"/>
        <v>https://d0f6bd738d7f1b3e5a7ca70fe4ff75f0.us-east-1.aws.found.io/app/kibana#/discover/Steve-Slow-Train-Analysis-(2080s-and-2083s)?_g=(refreshInterval:(display:Off,pause:!f,section:0,value:0),time:(from:'2017-07-29T16:10:23-0600',mode:absolute,to:'2017-07-29T19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7" s="197" t="str">
        <f>IF(AA117&lt;VLOOKUP(AG117,Variables!$AC$3:$AD$8,2,FALSE),"Y","N")</f>
        <v>N</v>
      </c>
      <c r="X117" s="197">
        <f t="shared" si="45"/>
        <v>1</v>
      </c>
      <c r="Y117" s="197">
        <f t="shared" si="32"/>
        <v>23.302700000000002</v>
      </c>
      <c r="Z117" s="197">
        <f t="shared" si="33"/>
        <v>1.47E-2</v>
      </c>
      <c r="AA117" s="197">
        <f t="shared" si="34"/>
        <v>23.288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5"/>
        <v>204</v>
      </c>
      <c r="AE117" s="77" t="str">
        <f t="shared" si="36"/>
        <v>aws s3 cp s3://rtdc.mdm.uploadarchive.raw/RTDC4023/ "%USERPROFILE%\AppData\Local\Temp\OnboardLogs"\RTDC4023\2017-07-29 --exclude "*" --recursive --include "*20170729*" &amp; "%USERPROFILE%\Documents\GitHub\mrs-test-scripts\Headless Mode &amp; Sideloading\WalkAndUnGZ.bat" "%USERPROFILE%\AppData\Local\Temp\OnboardLogs"\RTDC4023\2017-07-29 &amp; aws s3 cp s3://rtdc.mdm.uploadarchive.raw/RTDC4023/ "%USERPROFILE%\AppData\Local\Temp\OnboardLogs"\RTDC4023\2017-07-30 --exclude "*" --recursive --include "*20170730*" &amp; "%USERPROFILE%\Documents\GitHub\mrs-test-scripts\Headless Mode &amp; Sideloading\WalkAndUnGZ.bat" "%USERPROFILE%\AppData\Local\Temp\OnboardLogs"\RTDC4023\2017-07-30</v>
      </c>
      <c r="AF117" s="74" t="str">
        <f t="shared" si="37"/>
        <v>"C:\Program Files (x86)\AstroGrep\AstroGrep.exe" /e /r /s /spath="%USERPROFILE%\AppData\Local\Temp\OnboardLogs" /stypes="app*4023*20170730*" /stext=" 00:.+((SYSTEM_STATE.+slice.+state.+changed )|(ment ac)|(multiple cpu faults)|(system.+state.+changed )|(\[timeout)|(PRM\|1\|D)|(kpr)|(kdp)|(train st.+moving)|(\|lc)|(penalty))"</v>
      </c>
      <c r="AG117" s="209" t="str">
        <f t="shared" si="38"/>
        <v>EC</v>
      </c>
      <c r="AH117" s="78" t="str">
        <f t="shared" si="39"/>
        <v>"%USERPROFILE%\Documents\GitHub\eaglep3\Utilities\RefineRTDCRunTimes.py" --tripid 204-29 --locoid 4023 --swversion DE.1.0.9.0 --startMP 204:233027 --initTime 2017-07-29T17:10:23 --startdatetime 2017-07-29T17:27:19 --delay 2 --endMP 204:147 --enddatetime 2017-07-29T18:07:17 --enforcementcount 0 &gt;&gt;C:\Users\stu\Documents\GitHub\eaglep3-reporting\EC\2017-07-29-refined-times.txt</v>
      </c>
      <c r="AI117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{"issue":{"subject":"","project_id":79,"tracker_id":40,"status_id":1,"priority_id":2,"assigned_to_id":23,"start_date":"2017-07-29","description":"","custom_fields":[{"id":1,"name":"Subdivision","value":"EC"},{"id":4,"name":"Milepost","value":"0.0147"},{"id":17,"name":"Train ID","value":"204-29"},{"id":16,"name":"Locomotive ID","value":"4023"},{"id":130,"name":"Impact","value":""},{"id":150,"name":"Time of Event (Mountain Time)","value":"18:07:17"},{"id":151,"name":"Denver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1"/>
        <v>start /low /b %USERPROFILE%\Documents\GitHub\eaglep3\Utilities\DownloadLogsFromS3.py --loco 4023 --day 2017-07-29</v>
      </c>
      <c r="AN117" s="151" t="str">
        <f t="shared" si="42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00:07:17"},{"id":29,"name":"Sharepoint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654</v>
      </c>
      <c r="B118" s="7">
        <v>4056</v>
      </c>
      <c r="C118" s="21" t="s">
        <v>198</v>
      </c>
      <c r="D118" s="21" t="s">
        <v>479</v>
      </c>
      <c r="E118" s="13">
        <v>42945.695891203701</v>
      </c>
      <c r="F118" s="13">
        <v>42945.698553240742</v>
      </c>
      <c r="G118" s="7">
        <v>1</v>
      </c>
      <c r="H118" s="21" t="s">
        <v>517</v>
      </c>
      <c r="I118" s="13">
        <v>42945.72488425926</v>
      </c>
      <c r="J118" s="7">
        <v>0</v>
      </c>
      <c r="K118" s="89" t="str">
        <f t="shared" si="27"/>
        <v>4055/4056</v>
      </c>
      <c r="L118" s="21" t="str">
        <f>VLOOKUP(A118,'Trips&amp;Operators'!$C$1:$G$99999,5,FALSE)</f>
        <v>THOMPSON LESTER</v>
      </c>
      <c r="M118" s="6">
        <f t="shared" si="28"/>
        <v>2.6331018518249039E-2</v>
      </c>
      <c r="N118" s="7">
        <f t="shared" si="43"/>
        <v>37.916666666278616</v>
      </c>
      <c r="O118" s="7"/>
      <c r="P118" s="7"/>
      <c r="Q118" s="22"/>
      <c r="R118" s="170"/>
      <c r="S118" s="213">
        <f t="shared" si="44"/>
        <v>1</v>
      </c>
      <c r="T118" s="195" t="str">
        <f t="shared" si="29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0"/>
        <v>https://d0f6bd738d7f1b3e5a7ca70fe4ff75f0.us-east-1.aws.found.io/app/kibana#/discover/Steve-Slow-Train-Analysis-(2080s-and-2083s)?_g=(refreshInterval:(display:Off,pause:!f,section:0,value:0),time:(from:'2017-07-29T15:42:05-0600',mode:absolute,to:'2017-07-29T18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8" s="197" t="str">
        <f>IF(AA118&lt;VLOOKUP(AG118,Variables!$AC$3:$AD$8,2,FALSE),"Y","N")</f>
        <v>N</v>
      </c>
      <c r="X118" s="197">
        <f t="shared" si="45"/>
        <v>1</v>
      </c>
      <c r="Y118" s="197">
        <f t="shared" si="32"/>
        <v>4.5699999999999998E-2</v>
      </c>
      <c r="Z118" s="197">
        <f t="shared" si="33"/>
        <v>23.327999999999999</v>
      </c>
      <c r="AA118" s="197">
        <f t="shared" si="34"/>
        <v>23.282299999999999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5"/>
        <v>205</v>
      </c>
      <c r="AE118" s="77" t="str">
        <f t="shared" si="36"/>
        <v>aws s3 cp s3://rtdc.mdm.uploadarchive.raw/RTDC4056/ "%USERPROFILE%\AppData\Local\Temp\OnboardLogs"\RTDC4056\2017-07-29 --exclude "*" --recursive --include "*20170729*" &amp; "%USERPROFILE%\Documents\GitHub\mrs-test-scripts\Headless Mode &amp; Sideloading\WalkAndUnGZ.bat" "%USERPROFILE%\AppData\Local\Temp\OnboardLogs"\RTDC4056\2017-07-29 &amp; aws s3 cp s3://rtdc.mdm.uploadarchive.raw/RTDC4056/ "%USERPROFILE%\AppData\Local\Temp\OnboardLogs"\RTDC4056\2017-07-30 --exclude "*" --recursive --include "*20170730*" &amp; "%USERPROFILE%\Documents\GitHub\mrs-test-scripts\Headless Mode &amp; Sideloading\WalkAndUnGZ.bat" "%USERPROFILE%\AppData\Local\Temp\OnboardLogs"\RTDC4056\2017-07-30</v>
      </c>
      <c r="AF118" s="74" t="str">
        <f t="shared" si="37"/>
        <v>"C:\Program Files (x86)\AstroGrep\AstroGrep.exe" /e /r /s /spath="%USERPROFILE%\AppData\Local\Temp\OnboardLogs" /stypes="app*4056*20170729*" /stext=" 23:.+((SYSTEM_STATE.+slice.+state.+changed )|(ment ac)|(multiple cpu faults)|(system.+state.+changed )|(\[timeout)|(PRM\|1\|D)|(kpr)|(kdp)|(train st.+moving)|(\|lc)|(penalty))"</v>
      </c>
      <c r="AG118" s="209" t="str">
        <f t="shared" si="38"/>
        <v>EC</v>
      </c>
      <c r="AH118" s="78" t="str">
        <f t="shared" si="39"/>
        <v>"%USERPROFILE%\Documents\GitHub\eaglep3\Utilities\RefineRTDCRunTimes.py" --tripid 205-29 --locoid 4056 --swversion DE.1.0.9.0 --startMP 204:457 --initTime 2017-07-29T16:42:05 --startdatetime 2017-07-29T16:45:55 --delay 1 --endMP 204:233280 --enddatetime 2017-07-29T17:23:50 --enforcementcount 0 &gt;&gt;C:\Users\stu\Documents\GitHub\eaglep3-reporting\EC\2017-07-29-refined-times.txt</v>
      </c>
      <c r="AI118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{"issue":{"subject":"","project_id":79,"tracker_id":40,"status_id":1,"priority_id":2,"assigned_to_id":23,"start_date":"2017-07-29","description":"","custom_fields":[{"id":1,"name":"Subdivision","value":"EC"},{"id":4,"name":"Milepost","value":"23.328"},{"id":17,"name":"Train ID","value":"205-29"},{"id":16,"name":"Locomotive ID","value":"4056"},{"id":130,"name":"Impact","value":""},{"id":150,"name":"Time of Event (Mountain Time)","value":"17:23:50"},{"id":151,"name":"Denver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1"/>
        <v>start /low /b %USERPROFILE%\Documents\GitHub\eaglep3\Utilities\DownloadLogsFromS3.py --loco 4056 --day 2017-07-29</v>
      </c>
      <c r="AN118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23:23:50"},{"id":29,"name":"Sharepoint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655</v>
      </c>
      <c r="B119" s="7">
        <v>4055</v>
      </c>
      <c r="C119" s="21" t="s">
        <v>198</v>
      </c>
      <c r="D119" s="21" t="s">
        <v>895</v>
      </c>
      <c r="E119" s="13">
        <v>42945.735763888886</v>
      </c>
      <c r="F119" s="13">
        <v>42945.73773148148</v>
      </c>
      <c r="G119" s="7">
        <v>1</v>
      </c>
      <c r="H119" s="21" t="s">
        <v>451</v>
      </c>
      <c r="I119" s="13">
        <v>42945.766261574077</v>
      </c>
      <c r="J119" s="7">
        <v>0</v>
      </c>
      <c r="K119" s="89" t="str">
        <f t="shared" si="27"/>
        <v>4055/4056</v>
      </c>
      <c r="L119" s="21" t="str">
        <f>VLOOKUP(A119,'Trips&amp;Operators'!$C$1:$G$99999,5,FALSE)</f>
        <v>THOMPSON LESTER</v>
      </c>
      <c r="M119" s="6">
        <f t="shared" si="28"/>
        <v>2.8530092597065959E-2</v>
      </c>
      <c r="N119" s="7">
        <f t="shared" si="43"/>
        <v>41.083333339774981</v>
      </c>
      <c r="O119" s="7"/>
      <c r="P119" s="7"/>
      <c r="Q119" s="22"/>
      <c r="R119" s="170"/>
      <c r="S119" s="213">
        <f t="shared" si="44"/>
        <v>1</v>
      </c>
      <c r="T119" s="195" t="str">
        <f t="shared" si="29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0"/>
        <v>https://d0f6bd738d7f1b3e5a7ca70fe4ff75f0.us-east-1.aws.found.io/app/kibana#/discover/Steve-Slow-Train-Analysis-(2080s-and-2083s)?_g=(refreshInterval:(display:Off,pause:!f,section:0,value:0),time:(from:'2017-07-29T16:39:30-0600',mode:absolute,to:'2017-07-29T19:23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9" s="197" t="str">
        <f>IF(AA119&lt;VLOOKUP(AG119,Variables!$AC$3:$AD$8,2,FALSE),"Y","N")</f>
        <v>N</v>
      </c>
      <c r="X119" s="197">
        <f t="shared" si="45"/>
        <v>1</v>
      </c>
      <c r="Y119" s="197">
        <f t="shared" si="32"/>
        <v>23.301100000000002</v>
      </c>
      <c r="Z119" s="197">
        <f t="shared" si="33"/>
        <v>1.52E-2</v>
      </c>
      <c r="AA119" s="197">
        <f t="shared" si="34"/>
        <v>23.285900000000002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5"/>
        <v>206</v>
      </c>
      <c r="AE119" s="77" t="str">
        <f t="shared" si="36"/>
        <v>aws s3 cp s3://rtdc.mdm.uploadarchive.raw/RTDC4055/ "%USERPROFILE%\AppData\Local\Temp\OnboardLogs"\RTDC4055\2017-07-29 --exclude "*" --recursive --include "*20170729*" &amp; "%USERPROFILE%\Documents\GitHub\mrs-test-scripts\Headless Mode &amp; Sideloading\WalkAndUnGZ.bat" "%USERPROFILE%\AppData\Local\Temp\OnboardLogs"\RTDC4055\2017-07-29 &amp; aws s3 cp s3://rtdc.mdm.uploadarchive.raw/RTDC4055/ "%USERPROFILE%\AppData\Local\Temp\OnboardLogs"\RTDC4055\2017-07-30 --exclude "*" --recursive --include "*20170730*" &amp; "%USERPROFILE%\Documents\GitHub\mrs-test-scripts\Headless Mode &amp; Sideloading\WalkAndUnGZ.bat" "%USERPROFILE%\AppData\Local\Temp\OnboardLogs"\RTDC4055\2017-07-30</v>
      </c>
      <c r="AF119" s="74" t="str">
        <f t="shared" si="37"/>
        <v>"C:\Program Files (x86)\AstroGrep\AstroGrep.exe" /e /r /s /spath="%USERPROFILE%\AppData\Local\Temp\OnboardLogs" /stypes="app*4055*20170730*" /stext=" 00:.+((SYSTEM_STATE.+slice.+state.+changed )|(ment ac)|(multiple cpu faults)|(system.+state.+changed )|(\[timeout)|(PRM\|1\|D)|(kpr)|(kdp)|(train st.+moving)|(\|lc)|(penalty))"</v>
      </c>
      <c r="AG119" s="209" t="str">
        <f t="shared" si="38"/>
        <v>EC</v>
      </c>
      <c r="AH119" s="78" t="str">
        <f t="shared" si="39"/>
        <v>"%USERPROFILE%\Documents\GitHub\eaglep3\Utilities\RefineRTDCRunTimes.py" --tripid 206-29 --locoid 4055 --swversion DE.1.0.9.0 --startMP 204:233011 --initTime 2017-07-29T17:39:30 --startdatetime 2017-07-29T17:42:20 --delay 1 --endMP 204:152 --enddatetime 2017-07-29T18:23:25 --enforcementcount 0 &gt;&gt;C:\Users\stu\Documents\GitHub\eaglep3-reporting\EC\2017-07-29-refined-times.txt</v>
      </c>
      <c r="AI119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{"issue":{"subject":"","project_id":79,"tracker_id":40,"status_id":1,"priority_id":2,"assigned_to_id":23,"start_date":"2017-07-29","description":"","custom_fields":[{"id":1,"name":"Subdivision","value":"EC"},{"id":4,"name":"Milepost","value":"0.0152"},{"id":17,"name":"Train ID","value":"206-29"},{"id":16,"name":"Locomotive ID","value":"4055"},{"id":130,"name":"Impact","value":""},{"id":150,"name":"Time of Event (Mountain Time)","value":"18:23:25"},{"id":151,"name":"Denver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1"/>
        <v>start /low /b %USERPROFILE%\Documents\GitHub\eaglep3\Utilities\DownloadLogsFromS3.py --loco 4055 --day 2017-07-29</v>
      </c>
      <c r="AN119" s="151" t="str">
        <f t="shared" si="42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00:23:25"},{"id":29,"name":"Sharepoint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817</v>
      </c>
      <c r="B120" s="7">
        <v>4012</v>
      </c>
      <c r="C120" s="21" t="s">
        <v>198</v>
      </c>
      <c r="D120" s="21" t="s">
        <v>348</v>
      </c>
      <c r="E120" s="13">
        <v>42945.704641203702</v>
      </c>
      <c r="F120" s="13">
        <v>42945.708680555559</v>
      </c>
      <c r="G120" s="7">
        <v>1</v>
      </c>
      <c r="H120" s="21" t="s">
        <v>465</v>
      </c>
      <c r="I120" s="13">
        <v>42945.734247685185</v>
      </c>
      <c r="J120" s="7">
        <v>0</v>
      </c>
      <c r="K120" s="89" t="str">
        <f t="shared" si="27"/>
        <v>4011/4012</v>
      </c>
      <c r="L120" s="21" t="str">
        <f>VLOOKUP(A120,'Trips&amp;Operators'!$C$1:$G$99999,5,FALSE)</f>
        <v>DUNCAN SHEILA</v>
      </c>
      <c r="M120" s="6">
        <f t="shared" si="28"/>
        <v>2.5567129625414964E-2</v>
      </c>
      <c r="N120" s="7">
        <f t="shared" si="43"/>
        <v>36.816666660597548</v>
      </c>
      <c r="O120" s="7"/>
      <c r="P120" s="7"/>
      <c r="Q120" s="22"/>
      <c r="R120" s="170"/>
      <c r="S120" s="213">
        <f t="shared" si="44"/>
        <v>1</v>
      </c>
      <c r="T120" s="195" t="str">
        <f t="shared" si="29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0"/>
        <v>https://d0f6bd738d7f1b3e5a7ca70fe4ff75f0.us-east-1.aws.found.io/app/kibana#/discover/Steve-Slow-Train-Analysis-(2080s-and-2083s)?_g=(refreshInterval:(display:Off,pause:!f,section:0,value:0),time:(from:'2017-07-29T15:54:41-0600',mode:absolute,to:'2017-07-29T18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0" s="197" t="str">
        <f>IF(AA120&lt;VLOOKUP(AG120,Variables!$AC$3:$AD$8,2,FALSE),"Y","N")</f>
        <v>N</v>
      </c>
      <c r="X120" s="197">
        <f t="shared" si="45"/>
        <v>1</v>
      </c>
      <c r="Y120" s="197">
        <f t="shared" si="32"/>
        <v>4.4699999999999997E-2</v>
      </c>
      <c r="Z120" s="197">
        <f t="shared" si="33"/>
        <v>23.331</v>
      </c>
      <c r="AA120" s="197">
        <f t="shared" si="34"/>
        <v>23.286300000000001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5"/>
        <v>207</v>
      </c>
      <c r="AE120" s="77" t="str">
        <f t="shared" si="36"/>
        <v>aws s3 cp s3://rtdc.mdm.uploadarchive.raw/RTDC4012/ "%USERPROFILE%\AppData\Local\Temp\OnboardLogs"\RTDC4012\2017-07-29 --exclude "*" --recursive --include "*20170729*" &amp; "%USERPROFILE%\Documents\GitHub\mrs-test-scripts\Headless Mode &amp; Sideloading\WalkAndUnGZ.bat" "%USERPROFILE%\AppData\Local\Temp\OnboardLogs"\RTDC4012\2017-07-29 &amp; aws s3 cp s3://rtdc.mdm.uploadarchive.raw/RTDC4012/ "%USERPROFILE%\AppData\Local\Temp\OnboardLogs"\RTDC4012\2017-07-30 --exclude "*" --recursive --include "*20170730*" &amp; "%USERPROFILE%\Documents\GitHub\mrs-test-scripts\Headless Mode &amp; Sideloading\WalkAndUnGZ.bat" "%USERPROFILE%\AppData\Local\Temp\OnboardLogs"\RTDC4012\2017-07-30</v>
      </c>
      <c r="AF120" s="74" t="str">
        <f t="shared" si="37"/>
        <v>"C:\Program Files (x86)\AstroGrep\AstroGrep.exe" /e /r /s /spath="%USERPROFILE%\AppData\Local\Temp\OnboardLogs" /stypes="app*4012*20170729*" /stext=" 23:.+((SYSTEM_STATE.+slice.+state.+changed )|(ment ac)|(multiple cpu faults)|(system.+state.+changed )|(\[timeout)|(PRM\|1\|D)|(kpr)|(kdp)|(train st.+moving)|(\|lc)|(penalty))"</v>
      </c>
      <c r="AG120" s="209" t="str">
        <f t="shared" si="38"/>
        <v>EC</v>
      </c>
      <c r="AH120" s="78" t="str">
        <f t="shared" si="39"/>
        <v>"%USERPROFILE%\Documents\GitHub\eaglep3\Utilities\RefineRTDCRunTimes.py" --tripid 207-29 --locoid 4012 --swversion DE.1.0.9.0 --startMP 204:447 --initTime 2017-07-29T16:54:41 --startdatetime 2017-07-29T17:00:30 --delay 1 --endMP 204:233310 --enddatetime 2017-07-29T17:37:19 --enforcementcount 0 &gt;&gt;C:\Users\stu\Documents\GitHub\eaglep3-reporting\EC\2017-07-29-refined-times.txt</v>
      </c>
      <c r="AI120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{"issue":{"subject":"","project_id":79,"tracker_id":40,"status_id":1,"priority_id":2,"assigned_to_id":23,"start_date":"2017-07-29","description":"","custom_fields":[{"id":1,"name":"Subdivision","value":"EC"},{"id":4,"name":"Milepost","value":"23.331"},{"id":17,"name":"Train ID","value":"207-29"},{"id":16,"name":"Locomotive ID","value":"4012"},{"id":130,"name":"Impact","value":""},{"id":150,"name":"Time of Event (Mountain Time)","value":"17:37:19"},{"id":151,"name":"Denver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1"/>
        <v>start /low /b %USERPROFILE%\Documents\GitHub\eaglep3\Utilities\DownloadLogsFromS3.py --loco 4012 --day 2017-07-29</v>
      </c>
      <c r="AN120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23:37:19"},{"id":29,"name":"Sharepoint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827</v>
      </c>
      <c r="B121" s="7">
        <v>4011</v>
      </c>
      <c r="C121" s="21" t="s">
        <v>198</v>
      </c>
      <c r="D121" s="21" t="s">
        <v>495</v>
      </c>
      <c r="E121" s="13">
        <v>42945.743298611109</v>
      </c>
      <c r="F121" s="13">
        <v>42945.748240740744</v>
      </c>
      <c r="G121" s="7">
        <v>1</v>
      </c>
      <c r="H121" s="21" t="s">
        <v>341</v>
      </c>
      <c r="I121" s="13">
        <v>42945.775740740741</v>
      </c>
      <c r="J121" s="7">
        <v>0</v>
      </c>
      <c r="K121" s="89" t="str">
        <f t="shared" si="27"/>
        <v>4011/4012</v>
      </c>
      <c r="L121" s="21" t="str">
        <f>VLOOKUP(A121,'Trips&amp;Operators'!$C$1:$G$99999,5,FALSE)</f>
        <v>DUNCAN SHEILA</v>
      </c>
      <c r="M121" s="6">
        <f t="shared" si="28"/>
        <v>2.749999999650754E-2</v>
      </c>
      <c r="N121" s="7">
        <f t="shared" si="43"/>
        <v>39.599999994970858</v>
      </c>
      <c r="O121" s="7"/>
      <c r="P121" s="7"/>
      <c r="Q121" s="22"/>
      <c r="R121" s="170"/>
      <c r="S121" s="213">
        <f t="shared" si="44"/>
        <v>1</v>
      </c>
      <c r="T121" s="195" t="str">
        <f t="shared" si="29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0"/>
        <v>https://d0f6bd738d7f1b3e5a7ca70fe4ff75f0.us-east-1.aws.found.io/app/kibana#/discover/Steve-Slow-Train-Analysis-(2080s-and-2083s)?_g=(refreshInterval:(display:Off,pause:!f,section:0,value:0),time:(from:'2017-07-29T16:50:21-0600',mode:absolute,to:'2017-07-29T19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1" s="197" t="str">
        <f>IF(AA121&lt;VLOOKUP(AG121,Variables!$AC$3:$AD$8,2,FALSE),"Y","N")</f>
        <v>N</v>
      </c>
      <c r="X121" s="197">
        <f t="shared" si="45"/>
        <v>1</v>
      </c>
      <c r="Y121" s="197">
        <f t="shared" si="32"/>
        <v>23.2989</v>
      </c>
      <c r="Z121" s="197">
        <f t="shared" si="33"/>
        <v>1.4999999999999999E-2</v>
      </c>
      <c r="AA121" s="197">
        <f t="shared" si="34"/>
        <v>23.283899999999999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5"/>
        <v>208</v>
      </c>
      <c r="AE121" s="77" t="str">
        <f t="shared" si="36"/>
        <v>aws s3 cp s3://rtdc.mdm.uploadarchive.raw/RTDC4011/ "%USERPROFILE%\AppData\Local\Temp\OnboardLogs"\RTDC4011\2017-07-29 --exclude "*" --recursive --include "*20170729*" &amp; "%USERPROFILE%\Documents\GitHub\mrs-test-scripts\Headless Mode &amp; Sideloading\WalkAndUnGZ.bat" "%USERPROFILE%\AppData\Local\Temp\OnboardLogs"\RTDC4011\2017-07-29 &amp; aws s3 cp s3://rtdc.mdm.uploadarchive.raw/RTDC4011/ "%USERPROFILE%\AppData\Local\Temp\OnboardLogs"\RTDC4011\2017-07-30 --exclude "*" --recursive --include "*20170730*" &amp; "%USERPROFILE%\Documents\GitHub\mrs-test-scripts\Headless Mode &amp; Sideloading\WalkAndUnGZ.bat" "%USERPROFILE%\AppData\Local\Temp\OnboardLogs"\RTDC4011\2017-07-30</v>
      </c>
      <c r="AF121" s="74" t="str">
        <f t="shared" si="37"/>
        <v>"C:\Program Files (x86)\AstroGrep\AstroGrep.exe" /e /r /s /spath="%USERPROFILE%\AppData\Local\Temp\OnboardLogs" /stypes="app*4011*20170730*" /stext=" 00:.+((SYSTEM_STATE.+slice.+state.+changed )|(ment ac)|(multiple cpu faults)|(system.+state.+changed )|(\[timeout)|(PRM\|1\|D)|(kpr)|(kdp)|(train st.+moving)|(\|lc)|(penalty))"</v>
      </c>
      <c r="AG121" s="209" t="str">
        <f t="shared" si="38"/>
        <v>EC</v>
      </c>
      <c r="AH121" s="78" t="str">
        <f t="shared" si="39"/>
        <v>"%USERPROFILE%\Documents\GitHub\eaglep3\Utilities\RefineRTDCRunTimes.py" --tripid 208-29 --locoid 4011 --swversion DE.1.0.9.0 --startMP 204:232989 --initTime 2017-07-29T17:50:21 --startdatetime 2017-07-29T17:57:28 --delay 1 --endMP 204:150 --enddatetime 2017-07-29T18:37:04 --enforcementcount 0 &gt;&gt;C:\Users\stu\Documents\GitHub\eaglep3-reporting\EC\2017-07-29-refined-times.txt</v>
      </c>
      <c r="AI121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{"issue":{"subject":"","project_id":79,"tracker_id":40,"status_id":1,"priority_id":2,"assigned_to_id":23,"start_date":"2017-07-29","description":"","custom_fields":[{"id":1,"name":"Subdivision","value":"EC"},{"id":4,"name":"Milepost","value":"0.015"},{"id":17,"name":"Train ID","value":"208-29"},{"id":16,"name":"Locomotive ID","value":"4011"},{"id":130,"name":"Impact","value":""},{"id":150,"name":"Time of Event (Mountain Time)","value":"18:37:04"},{"id":151,"name":"Denver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1"/>
        <v>start /low /b %USERPROFILE%\Documents\GitHub\eaglep3\Utilities\DownloadLogsFromS3.py --loco 4011 --day 2017-07-29</v>
      </c>
      <c r="AN121" s="151" t="str">
        <f t="shared" si="42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00:37:04"},{"id":29,"name":"Sharepoint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820</v>
      </c>
      <c r="B122" s="7">
        <v>4042</v>
      </c>
      <c r="C122" s="21" t="s">
        <v>198</v>
      </c>
      <c r="D122" s="21" t="s">
        <v>406</v>
      </c>
      <c r="E122" s="13">
        <v>42945.716469907406</v>
      </c>
      <c r="F122" s="13">
        <v>42945.719259259262</v>
      </c>
      <c r="G122" s="7">
        <v>1</v>
      </c>
      <c r="H122" s="21" t="s">
        <v>901</v>
      </c>
      <c r="I122" s="13">
        <v>42945.745196759257</v>
      </c>
      <c r="J122" s="7">
        <v>0</v>
      </c>
      <c r="K122" s="89" t="str">
        <f t="shared" si="27"/>
        <v>4041/4042</v>
      </c>
      <c r="L122" s="21" t="str">
        <f>VLOOKUP(A122,'Trips&amp;Operators'!$C$1:$G$99999,5,FALSE)</f>
        <v>BERLING GARY</v>
      </c>
      <c r="M122" s="6">
        <f t="shared" si="28"/>
        <v>2.5937499995052349E-2</v>
      </c>
      <c r="N122" s="7">
        <f t="shared" si="43"/>
        <v>37.349999992875382</v>
      </c>
      <c r="O122" s="7"/>
      <c r="P122" s="7"/>
      <c r="Q122" s="22"/>
      <c r="R122" s="170"/>
      <c r="S122" s="213">
        <f t="shared" si="44"/>
        <v>1</v>
      </c>
      <c r="T122" s="195" t="str">
        <f t="shared" si="29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0"/>
        <v>https://d0f6bd738d7f1b3e5a7ca70fe4ff75f0.us-east-1.aws.found.io/app/kibana#/discover/Steve-Slow-Train-Analysis-(2080s-and-2083s)?_g=(refreshInterval:(display:Off,pause:!f,section:0,value:0),time:(from:'2017-07-29T16:11:43-0600',mode:absolute,to:'2017-07-29T18:53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2" s="197" t="str">
        <f>IF(AA122&lt;VLOOKUP(AG122,Variables!$AC$3:$AD$8,2,FALSE),"Y","N")</f>
        <v>N</v>
      </c>
      <c r="X122" s="197">
        <f t="shared" si="45"/>
        <v>1</v>
      </c>
      <c r="Y122" s="197">
        <f t="shared" si="32"/>
        <v>4.58E-2</v>
      </c>
      <c r="Z122" s="197">
        <f t="shared" si="33"/>
        <v>23.332000000000001</v>
      </c>
      <c r="AA122" s="197">
        <f t="shared" si="34"/>
        <v>23.286200000000001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5"/>
        <v>209</v>
      </c>
      <c r="AE122" s="77" t="str">
        <f t="shared" si="36"/>
        <v>aws s3 cp s3://rtdc.mdm.uploadarchive.raw/RTDC4042/ "%USERPROFILE%\AppData\Local\Temp\OnboardLogs"\RTDC4042\2017-07-29 --exclude "*" --recursive --include "*20170729*" &amp; "%USERPROFILE%\Documents\GitHub\mrs-test-scripts\Headless Mode &amp; Sideloading\WalkAndUnGZ.bat" "%USERPROFILE%\AppData\Local\Temp\OnboardLogs"\RTDC4042\2017-07-29 &amp; aws s3 cp s3://rtdc.mdm.uploadarchive.raw/RTDC4042/ "%USERPROFILE%\AppData\Local\Temp\OnboardLogs"\RTDC4042\2017-07-30 --exclude "*" --recursive --include "*20170730*" &amp; "%USERPROFILE%\Documents\GitHub\mrs-test-scripts\Headless Mode &amp; Sideloading\WalkAndUnGZ.bat" "%USERPROFILE%\AppData\Local\Temp\OnboardLogs"\RTDC4042\2017-07-30</v>
      </c>
      <c r="AF122" s="74" t="str">
        <f t="shared" si="37"/>
        <v>"C:\Program Files (x86)\AstroGrep\AstroGrep.exe" /e /r /s /spath="%USERPROFILE%\AppData\Local\Temp\OnboardLogs" /stypes="app*4042*20170729*" /stext=" 23:.+((SYSTEM_STATE.+slice.+state.+changed )|(ment ac)|(multiple cpu faults)|(system.+state.+changed )|(\[timeout)|(PRM\|1\|D)|(kpr)|(kdp)|(train st.+moving)|(\|lc)|(penalty))"</v>
      </c>
      <c r="AG122" s="209" t="str">
        <f t="shared" si="38"/>
        <v>EC</v>
      </c>
      <c r="AH122" s="78" t="str">
        <f t="shared" si="39"/>
        <v>"%USERPROFILE%\Documents\GitHub\eaglep3\Utilities\RefineRTDCRunTimes.py" --tripid 209-29 --locoid 4042 --swversion DE.1.0.9.0 --startMP 204:458 --initTime 2017-07-29T17:11:43 --startdatetime 2017-07-29T17:15:44 --delay 1 --endMP 204:233320 --enddatetime 2017-07-29T17:53:05 --enforcementcount 0 &gt;&gt;C:\Users\stu\Documents\GitHub\eaglep3-reporting\EC\2017-07-29-refined-times.txt</v>
      </c>
      <c r="AI122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{"issue":{"subject":"","project_id":79,"tracker_id":40,"status_id":1,"priority_id":2,"assigned_to_id":23,"start_date":"2017-07-29","description":"","custom_fields":[{"id":1,"name":"Subdivision","value":"EC"},{"id":4,"name":"Milepost","value":"23.332"},{"id":17,"name":"Train ID","value":"209-29"},{"id":16,"name":"Locomotive ID","value":"4042"},{"id":130,"name":"Impact","value":""},{"id":150,"name":"Time of Event (Mountain Time)","value":"17:53:05"},{"id":151,"name":"Denver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1"/>
        <v>start /low /b %USERPROFILE%\Documents\GitHub\eaglep3\Utilities\DownloadLogsFromS3.py --loco 4042 --day 2017-07-29</v>
      </c>
      <c r="AN122" s="151" t="str">
        <f t="shared" si="42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23:53:05"},{"id":29,"name":"Sharepoint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829</v>
      </c>
      <c r="B123" s="7">
        <v>4041</v>
      </c>
      <c r="C123" s="21" t="s">
        <v>198</v>
      </c>
      <c r="D123" s="21" t="s">
        <v>974</v>
      </c>
      <c r="E123" s="13">
        <v>42945.747164351851</v>
      </c>
      <c r="F123" s="13">
        <v>42945.758530092593</v>
      </c>
      <c r="G123" s="7">
        <v>1</v>
      </c>
      <c r="H123" s="21" t="s">
        <v>611</v>
      </c>
      <c r="I123" s="13">
        <v>42945.786400462966</v>
      </c>
      <c r="J123" s="7">
        <v>0</v>
      </c>
      <c r="K123" s="89" t="str">
        <f t="shared" si="27"/>
        <v>4041/4042</v>
      </c>
      <c r="L123" s="21" t="str">
        <f>VLOOKUP(A123,'Trips&amp;Operators'!$C$1:$G$99999,5,FALSE)</f>
        <v>BERLING GARY</v>
      </c>
      <c r="M123" s="6">
        <f t="shared" si="28"/>
        <v>2.7870370373420883E-2</v>
      </c>
      <c r="N123" s="7">
        <f t="shared" si="43"/>
        <v>40.133333337726071</v>
      </c>
      <c r="O123" s="7"/>
      <c r="P123" s="7"/>
      <c r="Q123" s="22"/>
      <c r="R123" s="170"/>
      <c r="S123" s="213">
        <f t="shared" si="44"/>
        <v>1</v>
      </c>
      <c r="T123" s="195" t="str">
        <f t="shared" si="29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0"/>
        <v>https://d0f6bd738d7f1b3e5a7ca70fe4ff75f0.us-east-1.aws.found.io/app/kibana#/discover/Steve-Slow-Train-Analysis-(2080s-and-2083s)?_g=(refreshInterval:(display:Off,pause:!f,section:0,value:0),time:(from:'2017-07-29T16:55:55-0600',mode:absolute,to:'2017-07-29T19:52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3" s="197" t="str">
        <f>IF(AA123&lt;VLOOKUP(AG123,Variables!$AC$3:$AD$8,2,FALSE),"Y","N")</f>
        <v>N</v>
      </c>
      <c r="X123" s="197">
        <f t="shared" si="45"/>
        <v>1</v>
      </c>
      <c r="Y123" s="197">
        <f t="shared" si="32"/>
        <v>23.3001</v>
      </c>
      <c r="Z123" s="197">
        <f t="shared" si="33"/>
        <v>1.29E-2</v>
      </c>
      <c r="AA123" s="197">
        <f t="shared" si="34"/>
        <v>23.287200000000002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5"/>
        <v>210</v>
      </c>
      <c r="AE123" s="77" t="str">
        <f t="shared" si="36"/>
        <v>aws s3 cp s3://rtdc.mdm.uploadarchive.raw/RTDC4041/ "%USERPROFILE%\AppData\Local\Temp\OnboardLogs"\RTDC4041\2017-07-29 --exclude "*" --recursive --include "*20170729*" &amp; "%USERPROFILE%\Documents\GitHub\mrs-test-scripts\Headless Mode &amp; Sideloading\WalkAndUnGZ.bat" "%USERPROFILE%\AppData\Local\Temp\OnboardLogs"\RTDC4041\2017-07-29 &amp; aws s3 cp s3://rtdc.mdm.uploadarchive.raw/RTDC4041/ "%USERPROFILE%\AppData\Local\Temp\OnboardLogs"\RTDC4041\2017-07-30 --exclude "*" --recursive --include "*20170730*" &amp; "%USERPROFILE%\Documents\GitHub\mrs-test-scripts\Headless Mode &amp; Sideloading\WalkAndUnGZ.bat" "%USERPROFILE%\AppData\Local\Temp\OnboardLogs"\RTDC4041\2017-07-30</v>
      </c>
      <c r="AF123" s="74" t="str">
        <f t="shared" si="37"/>
        <v>"C:\Program Files (x86)\AstroGrep\AstroGrep.exe" /e /r /s /spath="%USERPROFILE%\AppData\Local\Temp\OnboardLogs" /stypes="app*4041*20170730*" /stext=" 00:.+((SYSTEM_STATE.+slice.+state.+changed )|(ment ac)|(multiple cpu faults)|(system.+state.+changed )|(\[timeout)|(PRM\|1\|D)|(kpr)|(kdp)|(train st.+moving)|(\|lc)|(penalty))"</v>
      </c>
      <c r="AG123" s="209" t="str">
        <f t="shared" si="38"/>
        <v>EC</v>
      </c>
      <c r="AH123" s="78" t="str">
        <f t="shared" si="39"/>
        <v>"%USERPROFILE%\Documents\GitHub\eaglep3\Utilities\RefineRTDCRunTimes.py" --tripid 210-29 --locoid 4041 --swversion DE.1.0.9.0 --startMP 204:233001 --initTime 2017-07-29T17:55:55 --startdatetime 2017-07-29T18:12:17 --delay 1 --endMP 204:129 --enddatetime 2017-07-29T18:52:25 --enforcementcount 0 &gt;&gt;C:\Users\stu\Documents\GitHub\eaglep3-reporting\EC\2017-07-29-refined-times.txt</v>
      </c>
      <c r="AI123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{"issue":{"subject":"","project_id":79,"tracker_id":40,"status_id":1,"priority_id":2,"assigned_to_id":23,"start_date":"2017-07-29","description":"","custom_fields":[{"id":1,"name":"Subdivision","value":"EC"},{"id":4,"name":"Milepost","value":"0.0129"},{"id":17,"name":"Train ID","value":"210-29"},{"id":16,"name":"Locomotive ID","value":"4041"},{"id":130,"name":"Impact","value":""},{"id":150,"name":"Time of Event (Mountain Time)","value":"18:52:25"},{"id":151,"name":"Denver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1"/>
        <v>start /low /b %USERPROFILE%\Documents\GitHub\eaglep3\Utilities\DownloadLogsFromS3.py --loco 4041 --day 2017-07-29</v>
      </c>
      <c r="AN123" s="151" t="str">
        <f t="shared" si="42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00:52:25"},{"id":29,"name":"Sharepoint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823</v>
      </c>
      <c r="B124" s="7">
        <v>4028</v>
      </c>
      <c r="C124" s="21" t="s">
        <v>198</v>
      </c>
      <c r="D124" s="21" t="s">
        <v>454</v>
      </c>
      <c r="E124" s="13">
        <v>42945.726817129631</v>
      </c>
      <c r="F124" s="13">
        <v>42945.729675925926</v>
      </c>
      <c r="G124" s="7">
        <v>1</v>
      </c>
      <c r="H124" s="21" t="s">
        <v>975</v>
      </c>
      <c r="I124" s="13">
        <v>42945.754282407404</v>
      </c>
      <c r="J124" s="7">
        <v>0</v>
      </c>
      <c r="K124" s="89" t="str">
        <f t="shared" si="27"/>
        <v>4027/4028</v>
      </c>
      <c r="L124" s="21" t="str">
        <f>VLOOKUP(A124,'Trips&amp;Operators'!$C$1:$G$99999,5,FALSE)</f>
        <v>DELGADO DIANAH</v>
      </c>
      <c r="M124" s="6">
        <f t="shared" si="28"/>
        <v>2.4606481478258502E-2</v>
      </c>
      <c r="N124" s="7">
        <f t="shared" si="43"/>
        <v>35.433333328692243</v>
      </c>
      <c r="O124" s="7"/>
      <c r="P124" s="7"/>
      <c r="Q124" s="22"/>
      <c r="R124" s="170"/>
      <c r="S124" s="213">
        <f t="shared" si="44"/>
        <v>1</v>
      </c>
      <c r="T124" s="195" t="str">
        <f t="shared" si="29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0"/>
        <v>https://d0f6bd738d7f1b3e5a7ca70fe4ff75f0.us-east-1.aws.found.io/app/kibana#/discover/Steve-Slow-Train-Analysis-(2080s-and-2083s)?_g=(refreshInterval:(display:Off,pause:!f,section:0,value:0),time:(from:'2017-07-29T16:26:37-0600',mode:absolute,to:'2017-07-29T19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4" s="197" t="str">
        <f>IF(AA124&lt;VLOOKUP(AG124,Variables!$AC$3:$AD$8,2,FALSE),"Y","N")</f>
        <v>N</v>
      </c>
      <c r="X124" s="197">
        <f t="shared" si="45"/>
        <v>1</v>
      </c>
      <c r="Y124" s="197">
        <f t="shared" si="32"/>
        <v>4.4900000000000002E-2</v>
      </c>
      <c r="Z124" s="197">
        <f t="shared" si="33"/>
        <v>23.3444</v>
      </c>
      <c r="AA124" s="197">
        <f t="shared" si="34"/>
        <v>23.299500000000002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5"/>
        <v>211</v>
      </c>
      <c r="AE124" s="77" t="str">
        <f t="shared" si="36"/>
        <v>aws s3 cp s3://rtdc.mdm.uploadarchive.raw/RTDC4028/ "%USERPROFILE%\AppData\Local\Temp\OnboardLogs"\RTDC4028\2017-07-29 --exclude "*" --recursive --include "*20170729*" &amp; "%USERPROFILE%\Documents\GitHub\mrs-test-scripts\Headless Mode &amp; Sideloading\WalkAndUnGZ.bat" "%USERPROFILE%\AppData\Local\Temp\OnboardLogs"\RTDC4028\2017-07-29 &amp; aws s3 cp s3://rtdc.mdm.uploadarchive.raw/RTDC4028/ "%USERPROFILE%\AppData\Local\Temp\OnboardLogs"\RTDC4028\2017-07-30 --exclude "*" --recursive --include "*20170730*" &amp; "%USERPROFILE%\Documents\GitHub\mrs-test-scripts\Headless Mode &amp; Sideloading\WalkAndUnGZ.bat" "%USERPROFILE%\AppData\Local\Temp\OnboardLogs"\RTDC4028\2017-07-30</v>
      </c>
      <c r="AF124" s="74" t="str">
        <f t="shared" si="37"/>
        <v>"C:\Program Files (x86)\AstroGrep\AstroGrep.exe" /e /r /s /spath="%USERPROFILE%\AppData\Local\Temp\OnboardLogs" /stypes="app*4028*20170730*" /stext=" 00:.+((SYSTEM_STATE.+slice.+state.+changed )|(ment ac)|(multiple cpu faults)|(system.+state.+changed )|(\[timeout)|(PRM\|1\|D)|(kpr)|(kdp)|(train st.+moving)|(\|lc)|(penalty))"</v>
      </c>
      <c r="AG124" s="209" t="str">
        <f t="shared" si="38"/>
        <v>EC</v>
      </c>
      <c r="AH124" s="78" t="str">
        <f t="shared" si="39"/>
        <v>"%USERPROFILE%\Documents\GitHub\eaglep3\Utilities\RefineRTDCRunTimes.py" --tripid 211-29 --locoid 4028 --swversion DE.1.0.9.0 --startMP 204:449 --initTime 2017-07-29T17:26:37 --startdatetime 2017-07-29T17:30:44 --delay 1 --endMP 204:233444 --enddatetime 2017-07-29T18:06:10 --enforcementcount 0 &gt;&gt;C:\Users\stu\Documents\GitHub\eaglep3-reporting\EC\2017-07-29-refined-times.txt</v>
      </c>
      <c r="AI124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{"issue":{"subject":"","project_id":79,"tracker_id":40,"status_id":1,"priority_id":2,"assigned_to_id":23,"start_date":"2017-07-29","description":"","custom_fields":[{"id":1,"name":"Subdivision","value":"EC"},{"id":4,"name":"Milepost","value":"23.3444"},{"id":17,"name":"Train ID","value":"211-29"},{"id":16,"name":"Locomotive ID","value":"4028"},{"id":130,"name":"Impact","value":""},{"id":150,"name":"Time of Event (Mountain Time)","value":"18:06:10"},{"id":151,"name":"Denver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1"/>
        <v>start /low /b %USERPROFILE%\Documents\GitHub\eaglep3\Utilities\DownloadLogsFromS3.py --loco 4028 --day 2017-07-29</v>
      </c>
      <c r="AN124" s="151" t="str">
        <f t="shared" si="42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00:06:10"},{"id":29,"name":"Sharepoint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656</v>
      </c>
      <c r="B125" s="7">
        <v>4027</v>
      </c>
      <c r="C125" s="21" t="s">
        <v>198</v>
      </c>
      <c r="D125" s="21" t="s">
        <v>976</v>
      </c>
      <c r="E125" s="13">
        <v>42945.764606481483</v>
      </c>
      <c r="F125" s="13">
        <v>42945.769016203703</v>
      </c>
      <c r="G125" s="7">
        <v>1</v>
      </c>
      <c r="H125" s="21" t="s">
        <v>342</v>
      </c>
      <c r="I125" s="13">
        <v>42945.795752314814</v>
      </c>
      <c r="J125" s="7">
        <v>0</v>
      </c>
      <c r="K125" s="89" t="str">
        <f t="shared" si="27"/>
        <v>4027/4028</v>
      </c>
      <c r="L125" s="21" t="str">
        <f>VLOOKUP(A125,'Trips&amp;Operators'!$C$1:$G$99999,5,FALSE)</f>
        <v>DELGADO DIANAH</v>
      </c>
      <c r="M125" s="6">
        <f t="shared" si="28"/>
        <v>2.6736111110949423E-2</v>
      </c>
      <c r="N125" s="7">
        <f t="shared" si="43"/>
        <v>38.499999999767169</v>
      </c>
      <c r="O125" s="7"/>
      <c r="P125" s="7"/>
      <c r="Q125" s="22"/>
      <c r="R125" s="170"/>
      <c r="S125" s="213">
        <f t="shared" si="44"/>
        <v>1</v>
      </c>
      <c r="T125" s="195" t="str">
        <f t="shared" si="29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0"/>
        <v>https://d0f6bd738d7f1b3e5a7ca70fe4ff75f0.us-east-1.aws.found.io/app/kibana#/discover/Steve-Slow-Train-Analysis-(2080s-and-2083s)?_g=(refreshInterval:(display:Off,pause:!f,section:0,value:0),time:(from:'2017-07-29T17:21:02-0600',mode:absolute,to:'2017-07-29T20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5" s="197" t="str">
        <f>IF(AA125&lt;VLOOKUP(AG125,Variables!$AC$3:$AD$8,2,FALSE),"Y","N")</f>
        <v>N</v>
      </c>
      <c r="X125" s="197">
        <f t="shared" si="45"/>
        <v>1</v>
      </c>
      <c r="Y125" s="197">
        <f t="shared" si="32"/>
        <v>23.3096</v>
      </c>
      <c r="Z125" s="197">
        <f t="shared" si="33"/>
        <v>1.49E-2</v>
      </c>
      <c r="AA125" s="197">
        <f t="shared" si="34"/>
        <v>23.294699999999999</v>
      </c>
      <c r="AB125" s="54" t="str">
        <f>VLOOKUP(A125,Enforcements!$C$7:$K$13,8,0)</f>
        <v>Bulletin (2)</v>
      </c>
      <c r="AC125" s="51" t="str">
        <f>VLOOKUP(A125,Enforcements!$C$7:$E$13,3,0)</f>
        <v>GRADE CROSSING</v>
      </c>
      <c r="AD125" s="206">
        <f t="shared" si="35"/>
        <v>212</v>
      </c>
      <c r="AE125" s="77" t="str">
        <f t="shared" si="36"/>
        <v>aws s3 cp s3://rtdc.mdm.uploadarchive.raw/RTDC4027/ "%USERPROFILE%\AppData\Local\Temp\OnboardLogs"\RTDC4027\2017-07-29 --exclude "*" --recursive --include "*20170729*" &amp; "%USERPROFILE%\Documents\GitHub\mrs-test-scripts\Headless Mode &amp; Sideloading\WalkAndUnGZ.bat" "%USERPROFILE%\AppData\Local\Temp\OnboardLogs"\RTDC4027\2017-07-29 &amp; aws s3 cp s3://rtdc.mdm.uploadarchive.raw/RTDC4027/ "%USERPROFILE%\AppData\Local\Temp\OnboardLogs"\RTDC4027\2017-07-30 --exclude "*" --recursive --include "*20170730*" &amp; "%USERPROFILE%\Documents\GitHub\mrs-test-scripts\Headless Mode &amp; Sideloading\WalkAndUnGZ.bat" "%USERPROFILE%\AppData\Local\Temp\OnboardLogs"\RTDC4027\2017-07-30</v>
      </c>
      <c r="AF125" s="74" t="str">
        <f t="shared" si="37"/>
        <v>"C:\Program Files (x86)\AstroGrep\AstroGrep.exe" /e /r /s /spath="%USERPROFILE%\AppData\Local\Temp\OnboardLogs" /stypes="app*4027*20170730*" /stext=" 01:.+((SYSTEM_STATE.+slice.+state.+changed )|(ment ac)|(multiple cpu faults)|(system.+state.+changed )|(\[timeout)|(PRM\|1\|D)|(kpr)|(kdp)|(train st.+moving)|(\|lc)|(penalty))"</v>
      </c>
      <c r="AG125" s="209" t="str">
        <f t="shared" si="38"/>
        <v>EC</v>
      </c>
      <c r="AH125" s="78" t="str">
        <f t="shared" si="39"/>
        <v>"%USERPROFILE%\Documents\GitHub\eaglep3\Utilities\RefineRTDCRunTimes.py" --tripid 212-29 --locoid 4027 --swversion DE.1.0.9.0 --startMP 204:233096 --initTime 2017-07-29T18:21:02 --startdatetime 2017-07-29T18:27:23 --delay 1 --endMP 204:149 --enddatetime 2017-07-29T19:05:53 --enforcementcount 0 &gt;&gt;C:\Users\stu\Documents\GitHub\eaglep3-reporting\EC\2017-07-29-refined-times.txt</v>
      </c>
      <c r="AI125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{"issue":{"subject":"","project_id":79,"tracker_id":40,"status_id":1,"priority_id":2,"assigned_to_id":23,"start_date":"2017-07-29","description":"","custom_fields":[{"id":1,"name":"Subdivision","value":"EC"},{"id":4,"name":"Milepost","value":"0.0149"},{"id":17,"name":"Train ID","value":"212-29"},{"id":16,"name":"Locomotive ID","value":"4027"},{"id":130,"name":"Impact","value":""},{"id":150,"name":"Time of Event (Mountain Time)","value":"19:05:53"},{"id":151,"name":"Denver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1"/>
        <v>start /low /b %USERPROFILE%\Documents\GitHub\eaglep3\Utilities\DownloadLogsFromS3.py --loco 4027 --day 2017-07-29</v>
      </c>
      <c r="AN125" s="151" t="str">
        <f t="shared" si="42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01:05:53"},{"id":29,"name":"Sharepoint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826</v>
      </c>
      <c r="B126" s="7">
        <v>4008</v>
      </c>
      <c r="C126" s="21" t="s">
        <v>198</v>
      </c>
      <c r="D126" s="21" t="s">
        <v>347</v>
      </c>
      <c r="E126" s="13">
        <v>42945.737615740742</v>
      </c>
      <c r="F126" s="13">
        <v>42945.740173611113</v>
      </c>
      <c r="G126" s="7">
        <v>2</v>
      </c>
      <c r="H126" s="21" t="s">
        <v>968</v>
      </c>
      <c r="I126" s="13">
        <v>42945.766284722224</v>
      </c>
      <c r="J126" s="7">
        <v>0</v>
      </c>
      <c r="K126" s="89" t="str">
        <f t="shared" si="27"/>
        <v>4007/4008</v>
      </c>
      <c r="L126" s="21" t="str">
        <f>VLOOKUP(A126,'Trips&amp;Operators'!$C$1:$G$99999,5,FALSE)</f>
        <v>YANG JAN</v>
      </c>
      <c r="M126" s="6">
        <f t="shared" si="28"/>
        <v>2.6111111110367347E-2</v>
      </c>
      <c r="N126" s="7">
        <f t="shared" si="43"/>
        <v>37.599999998928979</v>
      </c>
      <c r="O126" s="7"/>
      <c r="P126" s="7"/>
      <c r="Q126" s="22"/>
      <c r="R126" s="170"/>
      <c r="S126" s="213">
        <f t="shared" si="44"/>
        <v>1</v>
      </c>
      <c r="T126" s="195" t="str">
        <f t="shared" si="29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0"/>
        <v>https://d0f6bd738d7f1b3e5a7ca70fe4ff75f0.us-east-1.aws.found.io/app/kibana#/discover/Steve-Slow-Train-Analysis-(2080s-and-2083s)?_g=(refreshInterval:(display:Off,pause:!f,section:0,value:0),time:(from:'2017-07-29T16:42:10-0600',mode:absolute,to:'2017-07-29T19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6" s="197" t="str">
        <f>IF(AA126&lt;VLOOKUP(AG126,Variables!$AC$3:$AD$8,2,FALSE),"Y","N")</f>
        <v>N</v>
      </c>
      <c r="X126" s="197">
        <f t="shared" si="45"/>
        <v>1</v>
      </c>
      <c r="Y126" s="197">
        <f t="shared" si="32"/>
        <v>4.53E-2</v>
      </c>
      <c r="Z126" s="197">
        <f t="shared" si="33"/>
        <v>23.335899999999999</v>
      </c>
      <c r="AA126" s="197">
        <f t="shared" si="34"/>
        <v>23.290599999999998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5"/>
        <v>213</v>
      </c>
      <c r="AE126" s="77" t="str">
        <f t="shared" si="36"/>
        <v>aws s3 cp s3://rtdc.mdm.uploadarchive.raw/RTDC4008/ "%USERPROFILE%\AppData\Local\Temp\OnboardLogs"\RTDC4008\2017-07-29 --exclude "*" --recursive --include "*20170729*" &amp; "%USERPROFILE%\Documents\GitHub\mrs-test-scripts\Headless Mode &amp; Sideloading\WalkAndUnGZ.bat" "%USERPROFILE%\AppData\Local\Temp\OnboardLogs"\RTDC4008\2017-07-29 &amp; aws s3 cp s3://rtdc.mdm.uploadarchive.raw/RTDC4008/ "%USERPROFILE%\AppData\Local\Temp\OnboardLogs"\RTDC4008\2017-07-30 --exclude "*" --recursive --include "*20170730*" &amp; "%USERPROFILE%\Documents\GitHub\mrs-test-scripts\Headless Mode &amp; Sideloading\WalkAndUnGZ.bat" "%USERPROFILE%\AppData\Local\Temp\OnboardLogs"\RTDC4008\2017-07-30</v>
      </c>
      <c r="AF126" s="74" t="str">
        <f t="shared" si="37"/>
        <v>"C:\Program Files (x86)\AstroGrep\AstroGrep.exe" /e /r /s /spath="%USERPROFILE%\AppData\Local\Temp\OnboardLogs" /stypes="app*4008*20170730*" /stext=" 00:.+((SYSTEM_STATE.+slice.+state.+changed )|(ment ac)|(multiple cpu faults)|(system.+state.+changed )|(\[timeout)|(PRM\|1\|D)|(kpr)|(kdp)|(train st.+moving)|(\|lc)|(penalty))"</v>
      </c>
      <c r="AG126" s="209" t="str">
        <f t="shared" si="38"/>
        <v>EC</v>
      </c>
      <c r="AH126" s="78" t="str">
        <f t="shared" si="39"/>
        <v>"%USERPROFILE%\Documents\GitHub\eaglep3\Utilities\RefineRTDCRunTimes.py" --tripid 213-29 --locoid 4008 --swversion DE.1.0.9.0 --startMP 204:453 --initTime 2017-07-29T17:42:10 --startdatetime 2017-07-29T17:45:51 --delay 2 --endMP 204:233359 --enddatetime 2017-07-29T18:23:27 --enforcementcount 0 &gt;&gt;C:\Users\stu\Documents\GitHub\eaglep3-reporting\EC\2017-07-29-refined-times.txt</v>
      </c>
      <c r="AI126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{"issue":{"subject":"","project_id":79,"tracker_id":40,"status_id":1,"priority_id":2,"assigned_to_id":23,"start_date":"2017-07-29","description":"","custom_fields":[{"id":1,"name":"Subdivision","value":"EC"},{"id":4,"name":"Milepost","value":"23.3359"},{"id":17,"name":"Train ID","value":"213-29"},{"id":16,"name":"Locomotive ID","value":"4008"},{"id":130,"name":"Impact","value":""},{"id":150,"name":"Time of Event (Mountain Time)","value":"18:23:27"},{"id":151,"name":"Denver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1"/>
        <v>start /low /b %USERPROFILE%\Documents\GitHub\eaglep3\Utilities\DownloadLogsFromS3.py --loco 4008 --day 2017-07-29</v>
      </c>
      <c r="AN126" s="151" t="str">
        <f t="shared" si="42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00:23:27"},{"id":29,"name":"Sharepoint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834</v>
      </c>
      <c r="B127" s="7">
        <v>4007</v>
      </c>
      <c r="C127" s="21" t="s">
        <v>198</v>
      </c>
      <c r="D127" s="21" t="s">
        <v>977</v>
      </c>
      <c r="E127" s="13">
        <v>42945.775416666664</v>
      </c>
      <c r="F127" s="13">
        <v>42945.779606481483</v>
      </c>
      <c r="G127" s="7">
        <v>1</v>
      </c>
      <c r="H127" s="21" t="s">
        <v>616</v>
      </c>
      <c r="I127" s="13">
        <v>42945.806423611109</v>
      </c>
      <c r="J127" s="7">
        <v>0</v>
      </c>
      <c r="K127" s="89" t="str">
        <f t="shared" si="27"/>
        <v>4007/4008</v>
      </c>
      <c r="L127" s="21" t="str">
        <f>VLOOKUP(A127,'Trips&amp;Operators'!$C$1:$G$99999,5,FALSE)</f>
        <v>YANG JAN</v>
      </c>
      <c r="M127" s="6">
        <f t="shared" si="28"/>
        <v>2.6817129626579117E-2</v>
      </c>
      <c r="N127" s="7">
        <f t="shared" si="43"/>
        <v>38.616666662273929</v>
      </c>
      <c r="O127" s="7"/>
      <c r="P127" s="7"/>
      <c r="Q127" s="22"/>
      <c r="R127" s="170"/>
      <c r="S127" s="213">
        <f t="shared" si="44"/>
        <v>1</v>
      </c>
      <c r="T127" s="195" t="str">
        <f t="shared" si="29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0"/>
        <v>https://d0f6bd738d7f1b3e5a7ca70fe4ff75f0.us-east-1.aws.found.io/app/kibana#/discover/Steve-Slow-Train-Analysis-(2080s-and-2083s)?_g=(refreshInterval:(display:Off,pause:!f,section:0,value:0),time:(from:'2017-07-29T17:36:36-0600',mode:absolute,to:'2017-07-29T20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7" s="197" t="str">
        <f>IF(AA127&lt;VLOOKUP(AG127,Variables!$AC$3:$AD$8,2,FALSE),"Y","N")</f>
        <v>N</v>
      </c>
      <c r="X127" s="197">
        <f t="shared" si="45"/>
        <v>1</v>
      </c>
      <c r="Y127" s="197">
        <f t="shared" si="32"/>
        <v>23.302299999999999</v>
      </c>
      <c r="Z127" s="197">
        <f t="shared" si="33"/>
        <v>1.3599999999999999E-2</v>
      </c>
      <c r="AA127" s="197">
        <f t="shared" si="34"/>
        <v>23.288699999999999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5"/>
        <v>214</v>
      </c>
      <c r="AE127" s="77" t="str">
        <f t="shared" si="36"/>
        <v>aws s3 cp s3://rtdc.mdm.uploadarchive.raw/RTDC4007/ "%USERPROFILE%\AppData\Local\Temp\OnboardLogs"\RTDC4007\2017-07-29 --exclude "*" --recursive --include "*20170729*" &amp; "%USERPROFILE%\Documents\GitHub\mrs-test-scripts\Headless Mode &amp; Sideloading\WalkAndUnGZ.bat" "%USERPROFILE%\AppData\Local\Temp\OnboardLogs"\RTDC4007\2017-07-29 &amp; aws s3 cp s3://rtdc.mdm.uploadarchive.raw/RTDC4007/ "%USERPROFILE%\AppData\Local\Temp\OnboardLogs"\RTDC4007\2017-07-30 --exclude "*" --recursive --include "*20170730*" &amp; "%USERPROFILE%\Documents\GitHub\mrs-test-scripts\Headless Mode &amp; Sideloading\WalkAndUnGZ.bat" "%USERPROFILE%\AppData\Local\Temp\OnboardLogs"\RTDC4007\2017-07-30</v>
      </c>
      <c r="AF127" s="74" t="str">
        <f t="shared" si="37"/>
        <v>"C:\Program Files (x86)\AstroGrep\AstroGrep.exe" /e /r /s /spath="%USERPROFILE%\AppData\Local\Temp\OnboardLogs" /stypes="app*4007*20170730*" /stext=" 01:.+((SYSTEM_STATE.+slice.+state.+changed )|(ment ac)|(multiple cpu faults)|(system.+state.+changed )|(\[timeout)|(PRM\|1\|D)|(kpr)|(kdp)|(train st.+moving)|(\|lc)|(penalty))"</v>
      </c>
      <c r="AG127" s="209" t="str">
        <f t="shared" si="38"/>
        <v>EC</v>
      </c>
      <c r="AH127" s="78" t="str">
        <f t="shared" si="39"/>
        <v>"%USERPROFILE%\Documents\GitHub\eaglep3\Utilities\RefineRTDCRunTimes.py" --tripid 214-29 --locoid 4007 --swversion DE.1.0.9.0 --startMP 204:233023 --initTime 2017-07-29T18:36:36 --startdatetime 2017-07-29T18:42:38 --delay 1 --endMP 204:136 --enddatetime 2017-07-29T19:21:15 --enforcementcount 0 &gt;&gt;C:\Users\stu\Documents\GitHub\eaglep3-reporting\EC\2017-07-29-refined-times.txt</v>
      </c>
      <c r="AI127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{"issue":{"subject":"","project_id":79,"tracker_id":40,"status_id":1,"priority_id":2,"assigned_to_id":23,"start_date":"2017-07-29","description":"","custom_fields":[{"id":1,"name":"Subdivision","value":"EC"},{"id":4,"name":"Milepost","value":"0.0136"},{"id":17,"name":"Train ID","value":"214-29"},{"id":16,"name":"Locomotive ID","value":"4007"},{"id":130,"name":"Impact","value":""},{"id":150,"name":"Time of Event (Mountain Time)","value":"19:21:15"},{"id":151,"name":"Denver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1"/>
        <v>start /low /b %USERPROFILE%\Documents\GitHub\eaglep3\Utilities\DownloadLogsFromS3.py --loco 4007 --day 2017-07-29</v>
      </c>
      <c r="AN127" s="151" t="str">
        <f t="shared" si="42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01:21:15"},{"id":29,"name":"Sharepoint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828</v>
      </c>
      <c r="B128" s="7">
        <v>4030</v>
      </c>
      <c r="C128" s="21" t="s">
        <v>198</v>
      </c>
      <c r="D128" s="21" t="s">
        <v>340</v>
      </c>
      <c r="E128" s="13">
        <v>42945.747129629628</v>
      </c>
      <c r="F128" s="13">
        <v>42945.750543981485</v>
      </c>
      <c r="G128" s="7">
        <v>1</v>
      </c>
      <c r="H128" s="21" t="s">
        <v>978</v>
      </c>
      <c r="I128" s="13">
        <v>42945.775451388887</v>
      </c>
      <c r="J128" s="7">
        <v>0</v>
      </c>
      <c r="K128" s="89" t="str">
        <f t="shared" si="27"/>
        <v>4029/4030</v>
      </c>
      <c r="L128" s="21" t="str">
        <f>VLOOKUP(A128,'Trips&amp;Operators'!$C$1:$G$99999,5,FALSE)</f>
        <v>HOLCOMB KAMDEN</v>
      </c>
      <c r="M128" s="6">
        <f t="shared" si="28"/>
        <v>2.4907407401769888E-2</v>
      </c>
      <c r="N128" s="7">
        <f t="shared" si="43"/>
        <v>35.866666658548638</v>
      </c>
      <c r="O128" s="7"/>
      <c r="P128" s="7"/>
      <c r="Q128" s="22"/>
      <c r="R128" s="170"/>
      <c r="S128" s="213">
        <f t="shared" si="44"/>
        <v>1</v>
      </c>
      <c r="T128" s="195" t="str">
        <f t="shared" si="29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0"/>
        <v>https://d0f6bd738d7f1b3e5a7ca70fe4ff75f0.us-east-1.aws.found.io/app/kibana#/discover/Steve-Slow-Train-Analysis-(2080s-and-2083s)?_g=(refreshInterval:(display:Off,pause:!f,section:0,value:0),time:(from:'2017-07-29T16:55:52-0600',mode:absolute,to:'2017-07-29T19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8" s="197" t="str">
        <f>IF(AA128&lt;VLOOKUP(AG128,Variables!$AC$3:$AD$8,2,FALSE),"Y","N")</f>
        <v>N</v>
      </c>
      <c r="X128" s="197">
        <f t="shared" si="45"/>
        <v>1</v>
      </c>
      <c r="Y128" s="197">
        <f t="shared" si="32"/>
        <v>4.4600000000000001E-2</v>
      </c>
      <c r="Z128" s="197">
        <f t="shared" si="33"/>
        <v>23.335699999999999</v>
      </c>
      <c r="AA128" s="197">
        <f t="shared" si="34"/>
        <v>23.2911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5"/>
        <v>215</v>
      </c>
      <c r="AE128" s="77" t="str">
        <f t="shared" si="36"/>
        <v>aws s3 cp s3://rtdc.mdm.uploadarchive.raw/RTDC4030/ "%USERPROFILE%\AppData\Local\Temp\OnboardLogs"\RTDC4030\2017-07-29 --exclude "*" --recursive --include "*20170729*" &amp; "%USERPROFILE%\Documents\GitHub\mrs-test-scripts\Headless Mode &amp; Sideloading\WalkAndUnGZ.bat" "%USERPROFILE%\AppData\Local\Temp\OnboardLogs"\RTDC4030\2017-07-29 &amp; aws s3 cp s3://rtdc.mdm.uploadarchive.raw/RTDC4030/ "%USERPROFILE%\AppData\Local\Temp\OnboardLogs"\RTDC4030\2017-07-30 --exclude "*" --recursive --include "*20170730*" &amp; "%USERPROFILE%\Documents\GitHub\mrs-test-scripts\Headless Mode &amp; Sideloading\WalkAndUnGZ.bat" "%USERPROFILE%\AppData\Local\Temp\OnboardLogs"\RTDC4030\2017-07-30</v>
      </c>
      <c r="AF128" s="74" t="str">
        <f t="shared" si="37"/>
        <v>"C:\Program Files (x86)\AstroGrep\AstroGrep.exe" /e /r /s /spath="%USERPROFILE%\AppData\Local\Temp\OnboardLogs" /stypes="app*4030*20170730*" /stext=" 00:.+((SYSTEM_STATE.+slice.+state.+changed )|(ment ac)|(multiple cpu faults)|(system.+state.+changed )|(\[timeout)|(PRM\|1\|D)|(kpr)|(kdp)|(train st.+moving)|(\|lc)|(penalty))"</v>
      </c>
      <c r="AG128" s="209" t="str">
        <f t="shared" si="38"/>
        <v>EC</v>
      </c>
      <c r="AH128" s="78" t="str">
        <f t="shared" si="39"/>
        <v>"%USERPROFILE%\Documents\GitHub\eaglep3\Utilities\RefineRTDCRunTimes.py" --tripid 215-29 --locoid 4030 --swversion DE.1.0.9.0 --startMP 204:446 --initTime 2017-07-29T17:55:52 --startdatetime 2017-07-29T18:00:47 --delay 1 --endMP 204:233357 --enddatetime 2017-07-29T18:36:39 --enforcementcount 0 &gt;&gt;C:\Users\stu\Documents\GitHub\eaglep3-reporting\EC\2017-07-29-refined-times.txt</v>
      </c>
      <c r="AI128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{"issue":{"subject":"","project_id":79,"tracker_id":40,"status_id":1,"priority_id":2,"assigned_to_id":23,"start_date":"2017-07-29","description":"","custom_fields":[{"id":1,"name":"Subdivision","value":"EC"},{"id":4,"name":"Milepost","value":"23.3357"},{"id":17,"name":"Train ID","value":"215-29"},{"id":16,"name":"Locomotive ID","value":"4030"},{"id":130,"name":"Impact","value":""},{"id":150,"name":"Time of Event (Mountain Time)","value":"18:36:39"},{"id":151,"name":"Denver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1"/>
        <v>start /low /b %USERPROFILE%\Documents\GitHub\eaglep3\Utilities\DownloadLogsFromS3.py --loco 4030 --day 2017-07-29</v>
      </c>
      <c r="AN128" s="151" t="str">
        <f t="shared" si="42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00:36:39"},{"id":29,"name":"Sharepoint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837</v>
      </c>
      <c r="B129" s="7">
        <v>4029</v>
      </c>
      <c r="C129" s="21" t="s">
        <v>198</v>
      </c>
      <c r="D129" s="21" t="s">
        <v>979</v>
      </c>
      <c r="E129" s="13">
        <v>42945.786238425928</v>
      </c>
      <c r="F129" s="13">
        <v>42945.789780092593</v>
      </c>
      <c r="G129" s="7">
        <v>1</v>
      </c>
      <c r="H129" s="21" t="s">
        <v>601</v>
      </c>
      <c r="I129" s="13">
        <v>42945.816817129627</v>
      </c>
      <c r="J129" s="7">
        <v>0</v>
      </c>
      <c r="K129" s="89" t="str">
        <f t="shared" si="27"/>
        <v>4029/4030</v>
      </c>
      <c r="L129" s="21" t="str">
        <f>VLOOKUP(A129,'Trips&amp;Operators'!$C$1:$G$99999,5,FALSE)</f>
        <v>HOLCOMB KAMDEN</v>
      </c>
      <c r="M129" s="6">
        <f t="shared" si="28"/>
        <v>2.7037037034460809E-2</v>
      </c>
      <c r="N129" s="7">
        <f t="shared" si="43"/>
        <v>38.933333329623565</v>
      </c>
      <c r="O129" s="7"/>
      <c r="P129" s="7"/>
      <c r="Q129" s="22"/>
      <c r="R129" s="170"/>
      <c r="S129" s="213">
        <f t="shared" si="44"/>
        <v>1</v>
      </c>
      <c r="T129" s="195" t="str">
        <f t="shared" si="29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0"/>
        <v>https://d0f6bd738d7f1b3e5a7ca70fe4ff75f0.us-east-1.aws.found.io/app/kibana#/discover/Steve-Slow-Train-Analysis-(2080s-and-2083s)?_g=(refreshInterval:(display:Off,pause:!f,section:0,value:0),time:(from:'2017-07-29T17:52:11-0600',mode:absolute,to:'2017-07-29T20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9" s="197" t="str">
        <f>IF(AA129&lt;VLOOKUP(AG129,Variables!$AC$3:$AD$8,2,FALSE),"Y","N")</f>
        <v>N</v>
      </c>
      <c r="X129" s="197">
        <f t="shared" si="45"/>
        <v>1</v>
      </c>
      <c r="Y129" s="197">
        <f t="shared" si="32"/>
        <v>23.305099999999999</v>
      </c>
      <c r="Z129" s="197">
        <f t="shared" si="33"/>
        <v>1.32E-2</v>
      </c>
      <c r="AA129" s="197">
        <f t="shared" si="34"/>
        <v>23.291899999999998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5"/>
        <v>216</v>
      </c>
      <c r="AE129" s="77" t="str">
        <f t="shared" si="36"/>
        <v>aws s3 cp s3://rtdc.mdm.uploadarchive.raw/RTDC4029/ "%USERPROFILE%\AppData\Local\Temp\OnboardLogs"\RTDC4029\2017-07-29 --exclude "*" --recursive --include "*20170729*" &amp; "%USERPROFILE%\Documents\GitHub\mrs-test-scripts\Headless Mode &amp; Sideloading\WalkAndUnGZ.bat" "%USERPROFILE%\AppData\Local\Temp\OnboardLogs"\RTDC4029\2017-07-29 &amp; aws s3 cp s3://rtdc.mdm.uploadarchive.raw/RTDC4029/ "%USERPROFILE%\AppData\Local\Temp\OnboardLogs"\RTDC4029\2017-07-30 --exclude "*" --recursive --include "*20170730*" &amp; "%USERPROFILE%\Documents\GitHub\mrs-test-scripts\Headless Mode &amp; Sideloading\WalkAndUnGZ.bat" "%USERPROFILE%\AppData\Local\Temp\OnboardLogs"\RTDC4029\2017-07-30</v>
      </c>
      <c r="AF129" s="74" t="str">
        <f t="shared" si="37"/>
        <v>"C:\Program Files (x86)\AstroGrep\AstroGrep.exe" /e /r /s /spath="%USERPROFILE%\AppData\Local\Temp\OnboardLogs" /stypes="app*4029*20170730*" /stext=" 01:.+((SYSTEM_STATE.+slice.+state.+changed )|(ment ac)|(multiple cpu faults)|(system.+state.+changed )|(\[timeout)|(PRM\|1\|D)|(kpr)|(kdp)|(train st.+moving)|(\|lc)|(penalty))"</v>
      </c>
      <c r="AG129" s="209" t="str">
        <f t="shared" si="38"/>
        <v>EC</v>
      </c>
      <c r="AH129" s="78" t="str">
        <f t="shared" si="39"/>
        <v>"%USERPROFILE%\Documents\GitHub\eaglep3\Utilities\RefineRTDCRunTimes.py" --tripid 216-29 --locoid 4029 --swversion DE.1.0.9.0 --startMP 204:233051 --initTime 2017-07-29T18:52:11 --startdatetime 2017-07-29T18:57:17 --delay 1 --endMP 204:132 --enddatetime 2017-07-29T19:36:13 --enforcementcount 0 &gt;&gt;C:\Users\stu\Documents\GitHub\eaglep3-reporting\EC\2017-07-29-refined-times.txt</v>
      </c>
      <c r="AI129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{"issue":{"subject":"","project_id":79,"tracker_id":40,"status_id":1,"priority_id":2,"assigned_to_id":23,"start_date":"2017-07-29","description":"","custom_fields":[{"id":1,"name":"Subdivision","value":"EC"},{"id":4,"name":"Milepost","value":"0.0132"},{"id":17,"name":"Train ID","value":"216-29"},{"id":16,"name":"Locomotive ID","value":"4029"},{"id":130,"name":"Impact","value":""},{"id":150,"name":"Time of Event (Mountain Time)","value":"19:36:13"},{"id":151,"name":"Denver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1"/>
        <v>start /low /b %USERPROFILE%\Documents\GitHub\eaglep3\Utilities\DownloadLogsFromS3.py --loco 4029 --day 2017-07-29</v>
      </c>
      <c r="AN129" s="151" t="str">
        <f t="shared" si="42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01:36:13"},{"id":29,"name":"Sharepoint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831</v>
      </c>
      <c r="B130" s="7">
        <v>4024</v>
      </c>
      <c r="C130" s="21" t="s">
        <v>198</v>
      </c>
      <c r="D130" s="21" t="s">
        <v>344</v>
      </c>
      <c r="E130" s="13">
        <v>42945.756736111114</v>
      </c>
      <c r="F130" s="13">
        <v>42945.761041666665</v>
      </c>
      <c r="G130" s="7">
        <v>1</v>
      </c>
      <c r="H130" s="21" t="s">
        <v>461</v>
      </c>
      <c r="I130" s="13">
        <v>42945.786631944444</v>
      </c>
      <c r="J130" s="7">
        <v>0</v>
      </c>
      <c r="K130" s="89" t="str">
        <f t="shared" si="27"/>
        <v>4023/4024</v>
      </c>
      <c r="L130" s="21" t="str">
        <f>VLOOKUP(A130,'Trips&amp;Operators'!$C$1:$G$99999,5,FALSE)</f>
        <v>PERKINS DARREN</v>
      </c>
      <c r="M130" s="6">
        <f t="shared" si="28"/>
        <v>2.5590277778974269E-2</v>
      </c>
      <c r="N130" s="7">
        <f t="shared" ref="N130:N144" si="46">24*60*SUM($M130:$M130)</f>
        <v>36.850000001722947</v>
      </c>
      <c r="O130" s="7"/>
      <c r="P130" s="7"/>
      <c r="Q130" s="22"/>
      <c r="R130" s="170"/>
      <c r="S130" s="213">
        <f t="shared" ref="S130:S144" si="47">1/IF(AG130="EC",12,1)*SUM(U130:U130)</f>
        <v>1</v>
      </c>
      <c r="T130" s="195" t="str">
        <f t="shared" si="29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0"/>
        <v>https://d0f6bd738d7f1b3e5a7ca70fe4ff75f0.us-east-1.aws.found.io/app/kibana#/discover/Steve-Slow-Train-Analysis-(2080s-and-2083s)?_g=(refreshInterval:(display:Off,pause:!f,section:0,value:0),time:(from:'2017-07-29T17:09:42-0600',mode:absolute,to:'2017-07-29T19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0" s="197" t="str">
        <f>IF(AA130&lt;VLOOKUP(AG130,Variables!$AC$3:$AD$8,2,FALSE),"Y","N")</f>
        <v>N</v>
      </c>
      <c r="X130" s="197">
        <f t="shared" si="45"/>
        <v>1</v>
      </c>
      <c r="Y130" s="197">
        <f t="shared" si="32"/>
        <v>4.6600000000000003E-2</v>
      </c>
      <c r="Z130" s="197">
        <f t="shared" si="33"/>
        <v>23.329499999999999</v>
      </c>
      <c r="AA130" s="197">
        <f t="shared" si="34"/>
        <v>23.282899999999998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5"/>
        <v>217</v>
      </c>
      <c r="AE130" s="77" t="str">
        <f t="shared" si="36"/>
        <v>aws s3 cp s3://rtdc.mdm.uploadarchive.raw/RTDC4024/ "%USERPROFILE%\AppData\Local\Temp\OnboardLogs"\RTDC4024\2017-07-29 --exclude "*" --recursive --include "*20170729*" &amp; "%USERPROFILE%\Documents\GitHub\mrs-test-scripts\Headless Mode &amp; Sideloading\WalkAndUnGZ.bat" "%USERPROFILE%\AppData\Local\Temp\OnboardLogs"\RTDC4024\2017-07-29 &amp; aws s3 cp s3://rtdc.mdm.uploadarchive.raw/RTDC4024/ "%USERPROFILE%\AppData\Local\Temp\OnboardLogs"\RTDC4024\2017-07-30 --exclude "*" --recursive --include "*20170730*" &amp; "%USERPROFILE%\Documents\GitHub\mrs-test-scripts\Headless Mode &amp; Sideloading\WalkAndUnGZ.bat" "%USERPROFILE%\AppData\Local\Temp\OnboardLogs"\RTDC4024\2017-07-30</v>
      </c>
      <c r="AF130" s="74" t="str">
        <f t="shared" si="37"/>
        <v>"C:\Program Files (x86)\AstroGrep\AstroGrep.exe" /e /r /s /spath="%USERPROFILE%\AppData\Local\Temp\OnboardLogs" /stypes="app*4024*20170730*" /stext=" 00:.+((SYSTEM_STATE.+slice.+state.+changed )|(ment ac)|(multiple cpu faults)|(system.+state.+changed )|(\[timeout)|(PRM\|1\|D)|(kpr)|(kdp)|(train st.+moving)|(\|lc)|(penalty))"</v>
      </c>
      <c r="AG130" s="209" t="str">
        <f t="shared" si="38"/>
        <v>EC</v>
      </c>
      <c r="AH130" s="78" t="str">
        <f t="shared" si="39"/>
        <v>"%USERPROFILE%\Documents\GitHub\eaglep3\Utilities\RefineRTDCRunTimes.py" --tripid 217-29 --locoid 4024 --swversion DE.1.0.9.0 --startMP 204:466 --initTime 2017-07-29T18:09:42 --startdatetime 2017-07-29T18:15:54 --delay 1 --endMP 204:233295 --enddatetime 2017-07-29T18:52:45 --enforcementcount 0 &gt;&gt;C:\Users\stu\Documents\GitHub\eaglep3-reporting\EC\2017-07-29-refined-times.txt</v>
      </c>
      <c r="AI130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{"issue":{"subject":"","project_id":79,"tracker_id":40,"status_id":1,"priority_id":2,"assigned_to_id":23,"start_date":"2017-07-29","description":"","custom_fields":[{"id":1,"name":"Subdivision","value":"EC"},{"id":4,"name":"Milepost","value":"23.3295"},{"id":17,"name":"Train ID","value":"217-29"},{"id":16,"name":"Locomotive ID","value":"4024"},{"id":130,"name":"Impact","value":""},{"id":150,"name":"Time of Event (Mountain Time)","value":"18:52:45"},{"id":151,"name":"Denver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1"/>
        <v>start /low /b %USERPROFILE%\Documents\GitHub\eaglep3\Utilities\DownloadLogsFromS3.py --loco 4024 --day 2017-07-29</v>
      </c>
      <c r="AN130" s="151" t="str">
        <f t="shared" si="42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00:52:45"},{"id":29,"name":"Sharepoint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840</v>
      </c>
      <c r="B131" s="7">
        <v>4023</v>
      </c>
      <c r="C131" s="21" t="s">
        <v>198</v>
      </c>
      <c r="D131" s="21" t="s">
        <v>460</v>
      </c>
      <c r="E131" s="13">
        <v>42945.797407407408</v>
      </c>
      <c r="F131" s="13">
        <v>42945.800381944442</v>
      </c>
      <c r="G131" s="7">
        <v>1</v>
      </c>
      <c r="H131" s="21" t="s">
        <v>980</v>
      </c>
      <c r="I131" s="13">
        <v>42945.828576388885</v>
      </c>
      <c r="J131" s="7">
        <v>0</v>
      </c>
      <c r="K131" s="89" t="str">
        <f t="shared" si="27"/>
        <v>4023/4024</v>
      </c>
      <c r="L131" s="21" t="str">
        <f>VLOOKUP(A131,'Trips&amp;Operators'!$C$1:$G$99999,5,FALSE)</f>
        <v>PERKINS DARREN</v>
      </c>
      <c r="M131" s="6">
        <f t="shared" si="28"/>
        <v>2.8194444443215616E-2</v>
      </c>
      <c r="N131" s="7">
        <f t="shared" si="46"/>
        <v>40.599999998230487</v>
      </c>
      <c r="O131" s="7"/>
      <c r="P131" s="7"/>
      <c r="Q131" s="22"/>
      <c r="R131" s="170"/>
      <c r="S131" s="213">
        <f t="shared" si="47"/>
        <v>1</v>
      </c>
      <c r="T131" s="195" t="str">
        <f t="shared" si="29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0"/>
        <v>https://d0f6bd738d7f1b3e5a7ca70fe4ff75f0.us-east-1.aws.found.io/app/kibana#/discover/Steve-Slow-Train-Analysis-(2080s-and-2083s)?_g=(refreshInterval:(display:Off,pause:!f,section:0,value:0),time:(from:'2017-07-29T18:08:16-0600',mode:absolute,to:'2017-07-29T20:53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1" s="197" t="str">
        <f>IF(AA131&lt;VLOOKUP(AG131,Variables!$AC$3:$AD$8,2,FALSE),"Y","N")</f>
        <v>N</v>
      </c>
      <c r="X131" s="197">
        <f t="shared" si="45"/>
        <v>1</v>
      </c>
      <c r="Y131" s="197">
        <f t="shared" si="32"/>
        <v>23.299800000000001</v>
      </c>
      <c r="Z131" s="197">
        <f t="shared" si="33"/>
        <v>1.23E-2</v>
      </c>
      <c r="AA131" s="197">
        <f t="shared" si="34"/>
        <v>23.287500000000001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5"/>
        <v>218</v>
      </c>
      <c r="AE131" s="77" t="str">
        <f t="shared" si="36"/>
        <v>aws s3 cp s3://rtdc.mdm.uploadarchive.raw/RTDC4023/ "%USERPROFILE%\AppData\Local\Temp\OnboardLogs"\RTDC4023\2017-07-29 --exclude "*" --recursive --include "*20170729*" &amp; "%USERPROFILE%\Documents\GitHub\mrs-test-scripts\Headless Mode &amp; Sideloading\WalkAndUnGZ.bat" "%USERPROFILE%\AppData\Local\Temp\OnboardLogs"\RTDC4023\2017-07-29 &amp; aws s3 cp s3://rtdc.mdm.uploadarchive.raw/RTDC4023/ "%USERPROFILE%\AppData\Local\Temp\OnboardLogs"\RTDC4023\2017-07-30 --exclude "*" --recursive --include "*20170730*" &amp; "%USERPROFILE%\Documents\GitHub\mrs-test-scripts\Headless Mode &amp; Sideloading\WalkAndUnGZ.bat" "%USERPROFILE%\AppData\Local\Temp\OnboardLogs"\RTDC4023\2017-07-30</v>
      </c>
      <c r="AF131" s="74" t="str">
        <f t="shared" si="37"/>
        <v>"C:\Program Files (x86)\AstroGrep\AstroGrep.exe" /e /r /s /spath="%USERPROFILE%\AppData\Local\Temp\OnboardLogs" /stypes="app*4023*20170730*" /stext=" 01:.+((SYSTEM_STATE.+slice.+state.+changed )|(ment ac)|(multiple cpu faults)|(system.+state.+changed )|(\[timeout)|(PRM\|1\|D)|(kpr)|(kdp)|(train st.+moving)|(\|lc)|(penalty))"</v>
      </c>
      <c r="AG131" s="209" t="str">
        <f t="shared" si="38"/>
        <v>EC</v>
      </c>
      <c r="AH131" s="78" t="str">
        <f t="shared" si="39"/>
        <v>"%USERPROFILE%\Documents\GitHub\eaglep3\Utilities\RefineRTDCRunTimes.py" --tripid 218-29 --locoid 4023 --swversion DE.1.0.9.0 --startMP 204:232998 --initTime 2017-07-29T19:08:16 --startdatetime 2017-07-29T19:12:33 --delay 1 --endMP 204:123 --enddatetime 2017-07-29T19:53:09 --enforcementcount 0 &gt;&gt;C:\Users\stu\Documents\GitHub\eaglep3-reporting\EC\2017-07-29-refined-times.txt</v>
      </c>
      <c r="AI131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{"issue":{"subject":"","project_id":79,"tracker_id":40,"status_id":1,"priority_id":2,"assigned_to_id":23,"start_date":"2017-07-29","description":"","custom_fields":[{"id":1,"name":"Subdivision","value":"EC"},{"id":4,"name":"Milepost","value":"0.0123"},{"id":17,"name":"Train ID","value":"218-29"},{"id":16,"name":"Locomotive ID","value":"4023"},{"id":130,"name":"Impact","value":""},{"id":150,"name":"Time of Event (Mountain Time)","value":"19:53:09"},{"id":151,"name":"Denver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1"/>
        <v>start /low /b %USERPROFILE%\Documents\GitHub\eaglep3\Utilities\DownloadLogsFromS3.py --loco 4023 --day 2017-07-29</v>
      </c>
      <c r="AN131" s="151" t="str">
        <f t="shared" si="42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01:53:09"},{"id":29,"name":"Sharepoint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833</v>
      </c>
      <c r="B132" s="7">
        <v>4056</v>
      </c>
      <c r="C132" s="21" t="s">
        <v>198</v>
      </c>
      <c r="D132" s="21" t="s">
        <v>479</v>
      </c>
      <c r="E132" s="13">
        <v>42945.768310185187</v>
      </c>
      <c r="F132" s="13">
        <v>42945.771365740744</v>
      </c>
      <c r="G132" s="7">
        <v>1</v>
      </c>
      <c r="H132" s="21" t="s">
        <v>981</v>
      </c>
      <c r="I132" s="13">
        <v>42945.797013888892</v>
      </c>
      <c r="J132" s="7">
        <v>0</v>
      </c>
      <c r="K132" s="89" t="str">
        <f t="shared" si="27"/>
        <v>4055/4056</v>
      </c>
      <c r="L132" s="21" t="str">
        <f>VLOOKUP(A132,'Trips&amp;Operators'!$C$1:$G$99999,5,FALSE)</f>
        <v>FORTUNATO FRANK</v>
      </c>
      <c r="M132" s="6">
        <f t="shared" si="28"/>
        <v>2.5648148148320615E-2</v>
      </c>
      <c r="N132" s="7">
        <f t="shared" si="46"/>
        <v>36.933333333581686</v>
      </c>
      <c r="O132" s="7"/>
      <c r="P132" s="7"/>
      <c r="Q132" s="22"/>
      <c r="R132" s="170"/>
      <c r="S132" s="213">
        <f t="shared" si="47"/>
        <v>1</v>
      </c>
      <c r="T132" s="195" t="str">
        <f t="shared" si="29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0"/>
        <v>https://d0f6bd738d7f1b3e5a7ca70fe4ff75f0.us-east-1.aws.found.io/app/kibana#/discover/Steve-Slow-Train-Analysis-(2080s-and-2083s)?_g=(refreshInterval:(display:Off,pause:!f,section:0,value:0),time:(from:'2017-07-29T17:26:22-0600',mode:absolute,to:'2017-07-29T20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2" s="197" t="str">
        <f>IF(AA132&lt;VLOOKUP(AG132,Variables!$AC$3:$AD$8,2,FALSE),"Y","N")</f>
        <v>N</v>
      </c>
      <c r="X132" s="197">
        <f t="shared" si="45"/>
        <v>1</v>
      </c>
      <c r="Y132" s="197">
        <f t="shared" si="32"/>
        <v>4.5699999999999998E-2</v>
      </c>
      <c r="Z132" s="197">
        <f t="shared" si="33"/>
        <v>23.3263</v>
      </c>
      <c r="AA132" s="197">
        <f t="shared" si="34"/>
        <v>23.2806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5"/>
        <v>219</v>
      </c>
      <c r="AE132" s="77" t="str">
        <f t="shared" si="36"/>
        <v>aws s3 cp s3://rtdc.mdm.uploadarchive.raw/RTDC4056/ "%USERPROFILE%\AppData\Local\Temp\OnboardLogs"\RTDC4056\2017-07-29 --exclude "*" --recursive --include "*20170729*" &amp; "%USERPROFILE%\Documents\GitHub\mrs-test-scripts\Headless Mode &amp; Sideloading\WalkAndUnGZ.bat" "%USERPROFILE%\AppData\Local\Temp\OnboardLogs"\RTDC4056\2017-07-29 &amp; aws s3 cp s3://rtdc.mdm.uploadarchive.raw/RTDC4056/ "%USERPROFILE%\AppData\Local\Temp\OnboardLogs"\RTDC4056\2017-07-30 --exclude "*" --recursive --include "*20170730*" &amp; "%USERPROFILE%\Documents\GitHub\mrs-test-scripts\Headless Mode &amp; Sideloading\WalkAndUnGZ.bat" "%USERPROFILE%\AppData\Local\Temp\OnboardLogs"\RTDC4056\2017-07-30</v>
      </c>
      <c r="AF132" s="74" t="str">
        <f t="shared" si="37"/>
        <v>"C:\Program Files (x86)\AstroGrep\AstroGrep.exe" /e /r /s /spath="%USERPROFILE%\AppData\Local\Temp\OnboardLogs" /stypes="app*4056*20170730*" /stext=" 01:.+((SYSTEM_STATE.+slice.+state.+changed )|(ment ac)|(multiple cpu faults)|(system.+state.+changed )|(\[timeout)|(PRM\|1\|D)|(kpr)|(kdp)|(train st.+moving)|(\|lc)|(penalty))"</v>
      </c>
      <c r="AG132" s="209" t="str">
        <f t="shared" si="38"/>
        <v>EC</v>
      </c>
      <c r="AH132" s="78" t="str">
        <f t="shared" si="39"/>
        <v>"%USERPROFILE%\Documents\GitHub\eaglep3\Utilities\RefineRTDCRunTimes.py" --tripid 219-29 --locoid 4056 --swversion DE.1.0.9.0 --startMP 204:457 --initTime 2017-07-29T18:26:22 --startdatetime 2017-07-29T18:30:46 --delay 1 --endMP 204:233263 --enddatetime 2017-07-29T19:07:42 --enforcementcount 0 &gt;&gt;C:\Users\stu\Documents\GitHub\eaglep3-reporting\EC\2017-07-29-refined-times.txt</v>
      </c>
      <c r="AI132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{"issue":{"subject":"","project_id":79,"tracker_id":40,"status_id":1,"priority_id":2,"assigned_to_id":23,"start_date":"2017-07-29","description":"","custom_fields":[{"id":1,"name":"Subdivision","value":"EC"},{"id":4,"name":"Milepost","value":"23.3263"},{"id":17,"name":"Train ID","value":"219-29"},{"id":16,"name":"Locomotive ID","value":"4056"},{"id":130,"name":"Impact","value":""},{"id":150,"name":"Time of Event (Mountain Time)","value":"19:07:42"},{"id":151,"name":"Denver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1"/>
        <v>start /low /b %USERPROFILE%\Documents\GitHub\eaglep3\Utilities\DownloadLogsFromS3.py --loco 4056 --day 2017-07-29</v>
      </c>
      <c r="AN132" s="151" t="str">
        <f t="shared" si="42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01:07:42"},{"id":29,"name":"Sharepoint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842</v>
      </c>
      <c r="B133" s="7">
        <v>4055</v>
      </c>
      <c r="C133" s="21" t="s">
        <v>198</v>
      </c>
      <c r="D133" s="21" t="s">
        <v>466</v>
      </c>
      <c r="E133" s="13">
        <v>42945.801990740743</v>
      </c>
      <c r="F133" s="13">
        <v>42945.810578703706</v>
      </c>
      <c r="G133" s="7">
        <v>1</v>
      </c>
      <c r="H133" s="21" t="s">
        <v>451</v>
      </c>
      <c r="I133" s="13">
        <v>42945.838113425925</v>
      </c>
      <c r="J133" s="7">
        <v>0</v>
      </c>
      <c r="K133" s="89" t="str">
        <f t="shared" si="27"/>
        <v>4055/4056</v>
      </c>
      <c r="L133" s="21" t="str">
        <f>VLOOKUP(A133,'Trips&amp;Operators'!$C$1:$G$99999,5,FALSE)</f>
        <v>FORTUNATO FRANK</v>
      </c>
      <c r="M133" s="6">
        <f t="shared" si="28"/>
        <v>2.753472221957054E-2</v>
      </c>
      <c r="N133" s="7">
        <f t="shared" si="46"/>
        <v>39.649999996181577</v>
      </c>
      <c r="O133" s="7"/>
      <c r="P133" s="7"/>
      <c r="Q133" s="22"/>
      <c r="R133" s="170"/>
      <c r="S133" s="213">
        <f t="shared" si="47"/>
        <v>1</v>
      </c>
      <c r="T133" s="195" t="str">
        <f t="shared" si="29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0"/>
        <v>https://d0f6bd738d7f1b3e5a7ca70fe4ff75f0.us-east-1.aws.found.io/app/kibana#/discover/Steve-Slow-Train-Analysis-(2080s-and-2083s)?_g=(refreshInterval:(display:Off,pause:!f,section:0,value:0),time:(from:'2017-07-29T18:14:52-0600',mode:absolute,to:'2017-07-29T21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3" s="197" t="str">
        <f>IF(AA133&lt;VLOOKUP(AG133,Variables!$AC$3:$AD$8,2,FALSE),"Y","N")</f>
        <v>N</v>
      </c>
      <c r="X133" s="197">
        <f t="shared" si="45"/>
        <v>1</v>
      </c>
      <c r="Y133" s="197">
        <f t="shared" si="32"/>
        <v>23.3002</v>
      </c>
      <c r="Z133" s="197">
        <f t="shared" si="33"/>
        <v>1.52E-2</v>
      </c>
      <c r="AA133" s="197">
        <f t="shared" si="34"/>
        <v>23.285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5"/>
        <v>220</v>
      </c>
      <c r="AE133" s="77" t="str">
        <f t="shared" si="36"/>
        <v>aws s3 cp s3://rtdc.mdm.uploadarchive.raw/RTDC4055/ "%USERPROFILE%\AppData\Local\Temp\OnboardLogs"\RTDC4055\2017-07-29 --exclude "*" --recursive --include "*20170729*" &amp; "%USERPROFILE%\Documents\GitHub\mrs-test-scripts\Headless Mode &amp; Sideloading\WalkAndUnGZ.bat" "%USERPROFILE%\AppData\Local\Temp\OnboardLogs"\RTDC4055\2017-07-29 &amp; aws s3 cp s3://rtdc.mdm.uploadarchive.raw/RTDC4055/ "%USERPROFILE%\AppData\Local\Temp\OnboardLogs"\RTDC4055\2017-07-30 --exclude "*" --recursive --include "*20170730*" &amp; "%USERPROFILE%\Documents\GitHub\mrs-test-scripts\Headless Mode &amp; Sideloading\WalkAndUnGZ.bat" "%USERPROFILE%\AppData\Local\Temp\OnboardLogs"\RTDC4055\2017-07-30</v>
      </c>
      <c r="AF133" s="74" t="str">
        <f t="shared" si="37"/>
        <v>"C:\Program Files (x86)\AstroGrep\AstroGrep.exe" /e /r /s /spath="%USERPROFILE%\AppData\Local\Temp\OnboardLogs" /stypes="app*4055*20170730*" /stext=" 02:.+((SYSTEM_STATE.+slice.+state.+changed )|(ment ac)|(multiple cpu faults)|(system.+state.+changed )|(\[timeout)|(PRM\|1\|D)|(kpr)|(kdp)|(train st.+moving)|(\|lc)|(penalty))"</v>
      </c>
      <c r="AG133" s="209" t="str">
        <f t="shared" si="38"/>
        <v>EC</v>
      </c>
      <c r="AH133" s="78" t="str">
        <f t="shared" si="39"/>
        <v>"%USERPROFILE%\Documents\GitHub\eaglep3\Utilities\RefineRTDCRunTimes.py" --tripid 220-29 --locoid 4055 --swversion DE.1.0.9.0 --startMP 204:233002 --initTime 2017-07-29T19:14:52 --startdatetime 2017-07-29T19:27:14 --delay 1 --endMP 204:152 --enddatetime 2017-07-29T20:06:53 --enforcementcount 0 &gt;&gt;C:\Users\stu\Documents\GitHub\eaglep3-reporting\EC\2017-07-29-refined-times.txt</v>
      </c>
      <c r="AI133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{"issue":{"subject":"","project_id":79,"tracker_id":40,"status_id":1,"priority_id":2,"assigned_to_id":23,"start_date":"2017-07-29","description":"","custom_fields":[{"id":1,"name":"Subdivision","value":"EC"},{"id":4,"name":"Milepost","value":"0.0152"},{"id":17,"name":"Train ID","value":"220-29"},{"id":16,"name":"Locomotive ID","value":"4055"},{"id":130,"name":"Impact","value":""},{"id":150,"name":"Time of Event (Mountain Time)","value":"20:06:53"},{"id":151,"name":"Denver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1"/>
        <v>start /low /b %USERPROFILE%\Documents\GitHub\eaglep3\Utilities\DownloadLogsFromS3.py --loco 4055 --day 2017-07-29</v>
      </c>
      <c r="AN133" s="151" t="str">
        <f t="shared" si="42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02:06:53"},{"id":29,"name":"Sharepoint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838</v>
      </c>
      <c r="B134" s="7">
        <v>4042</v>
      </c>
      <c r="C134" s="21" t="s">
        <v>198</v>
      </c>
      <c r="D134" s="21" t="s">
        <v>613</v>
      </c>
      <c r="E134" s="13">
        <v>42945.7890625</v>
      </c>
      <c r="F134" s="13">
        <v>42945.792175925926</v>
      </c>
      <c r="G134" s="7">
        <v>2</v>
      </c>
      <c r="H134" s="21" t="s">
        <v>982</v>
      </c>
      <c r="I134" s="13">
        <v>42945.817789351851</v>
      </c>
      <c r="J134" s="7">
        <v>0</v>
      </c>
      <c r="K134" s="89" t="str">
        <f t="shared" si="27"/>
        <v>4041/4042</v>
      </c>
      <c r="L134" s="21" t="str">
        <f>VLOOKUP(A134,'Trips&amp;Operators'!$C$1:$G$99999,5,FALSE)</f>
        <v>LAMAR NEKESHA</v>
      </c>
      <c r="M134" s="6">
        <f t="shared" si="28"/>
        <v>2.5613425925257616E-2</v>
      </c>
      <c r="N134" s="7">
        <f t="shared" si="46"/>
        <v>36.883333332370967</v>
      </c>
      <c r="O134" s="7"/>
      <c r="P134" s="7"/>
      <c r="Q134" s="22"/>
      <c r="R134" s="170"/>
      <c r="S134" s="213">
        <f t="shared" si="47"/>
        <v>1</v>
      </c>
      <c r="T134" s="195" t="str">
        <f t="shared" si="29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0"/>
        <v>https://d0f6bd738d7f1b3e5a7ca70fe4ff75f0.us-east-1.aws.found.io/app/kibana#/discover/Steve-Slow-Train-Analysis-(2080s-and-2083s)?_g=(refreshInterval:(display:Off,pause:!f,section:0,value:0),time:(from:'2017-07-29T17:56:15-0600',mode:absolute,to:'2017-07-29T20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4" s="197" t="str">
        <f>IF(AA134&lt;VLOOKUP(AG134,Variables!$AC$3:$AD$8,2,FALSE),"Y","N")</f>
        <v>N</v>
      </c>
      <c r="X134" s="197">
        <f t="shared" si="45"/>
        <v>1</v>
      </c>
      <c r="Y134" s="197">
        <f t="shared" si="32"/>
        <v>4.3700000000000003E-2</v>
      </c>
      <c r="Z134" s="197">
        <f t="shared" si="33"/>
        <v>23.327000000000002</v>
      </c>
      <c r="AA134" s="197">
        <f t="shared" si="34"/>
        <v>23.283300000000001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5"/>
        <v>221</v>
      </c>
      <c r="AE134" s="77" t="str">
        <f t="shared" si="36"/>
        <v>aws s3 cp s3://rtdc.mdm.uploadarchive.raw/RTDC4042/ "%USERPROFILE%\AppData\Local\Temp\OnboardLogs"\RTDC4042\2017-07-29 --exclude "*" --recursive --include "*20170729*" &amp; "%USERPROFILE%\Documents\GitHub\mrs-test-scripts\Headless Mode &amp; Sideloading\WalkAndUnGZ.bat" "%USERPROFILE%\AppData\Local\Temp\OnboardLogs"\RTDC4042\2017-07-29 &amp; aws s3 cp s3://rtdc.mdm.uploadarchive.raw/RTDC4042/ "%USERPROFILE%\AppData\Local\Temp\OnboardLogs"\RTDC4042\2017-07-30 --exclude "*" --recursive --include "*20170730*" &amp; "%USERPROFILE%\Documents\GitHub\mrs-test-scripts\Headless Mode &amp; Sideloading\WalkAndUnGZ.bat" "%USERPROFILE%\AppData\Local\Temp\OnboardLogs"\RTDC4042\2017-07-30</v>
      </c>
      <c r="AF134" s="74" t="str">
        <f t="shared" si="37"/>
        <v>"C:\Program Files (x86)\AstroGrep\AstroGrep.exe" /e /r /s /spath="%USERPROFILE%\AppData\Local\Temp\OnboardLogs" /stypes="app*4042*20170730*" /stext=" 01:.+((SYSTEM_STATE.+slice.+state.+changed )|(ment ac)|(multiple cpu faults)|(system.+state.+changed )|(\[timeout)|(PRM\|1\|D)|(kpr)|(kdp)|(train st.+moving)|(\|lc)|(penalty))"</v>
      </c>
      <c r="AG134" s="209" t="str">
        <f t="shared" si="38"/>
        <v>EC</v>
      </c>
      <c r="AH134" s="78" t="str">
        <f t="shared" si="39"/>
        <v>"%USERPROFILE%\Documents\GitHub\eaglep3\Utilities\RefineRTDCRunTimes.py" --tripid 221-29 --locoid 4042 --swversion DE.1.0.9.0 --startMP 204:437 --initTime 2017-07-29T18:56:15 --startdatetime 2017-07-29T19:00:44 --delay 2 --endMP 204:233270 --enddatetime 2017-07-29T19:37:37 --enforcementcount 0 &gt;&gt;C:\Users\stu\Documents\GitHub\eaglep3-reporting\EC\2017-07-29-refined-times.txt</v>
      </c>
      <c r="AI134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{"issue":{"subject":"","project_id":79,"tracker_id":40,"status_id":1,"priority_id":2,"assigned_to_id":23,"start_date":"2017-07-29","description":"","custom_fields":[{"id":1,"name":"Subdivision","value":"EC"},{"id":4,"name":"Milepost","value":"23.327"},{"id":17,"name":"Train ID","value":"221-29"},{"id":16,"name":"Locomotive ID","value":"4042"},{"id":130,"name":"Impact","value":""},{"id":150,"name":"Time of Event (Mountain Time)","value":"19:37:37"},{"id":151,"name":"Denver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1"/>
        <v>start /low /b %USERPROFILE%\Documents\GitHub\eaglep3\Utilities\DownloadLogsFromS3.py --loco 4042 --day 2017-07-29</v>
      </c>
      <c r="AN134" s="151" t="str">
        <f t="shared" si="42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01:37:37"},{"id":29,"name":"Sharepoint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846</v>
      </c>
      <c r="B135" s="7">
        <v>4041</v>
      </c>
      <c r="C135" s="21" t="s">
        <v>198</v>
      </c>
      <c r="D135" s="21" t="s">
        <v>983</v>
      </c>
      <c r="E135" s="13">
        <v>42945.822847222225</v>
      </c>
      <c r="F135" s="13">
        <v>42945.831562500003</v>
      </c>
      <c r="G135" s="7">
        <v>1</v>
      </c>
      <c r="H135" s="21" t="s">
        <v>451</v>
      </c>
      <c r="I135" s="13">
        <v>42945.8594212963</v>
      </c>
      <c r="J135" s="7">
        <v>0</v>
      </c>
      <c r="K135" s="89" t="str">
        <f t="shared" si="27"/>
        <v>4041/4042</v>
      </c>
      <c r="L135" s="21" t="str">
        <f>VLOOKUP(A135,'Trips&amp;Operators'!$C$1:$G$99999,5,FALSE)</f>
        <v>LAMAR NEKESHA</v>
      </c>
      <c r="M135" s="6">
        <f t="shared" si="28"/>
        <v>2.7858796296641231E-2</v>
      </c>
      <c r="N135" s="7">
        <f t="shared" si="46"/>
        <v>40.116666667163372</v>
      </c>
      <c r="O135" s="7"/>
      <c r="P135" s="7"/>
      <c r="Q135" s="22"/>
      <c r="R135" s="170"/>
      <c r="S135" s="213">
        <f t="shared" si="47"/>
        <v>1</v>
      </c>
      <c r="T135" s="195" t="str">
        <f t="shared" si="29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0"/>
        <v>https://d0f6bd738d7f1b3e5a7ca70fe4ff75f0.us-east-1.aws.found.io/app/kibana#/discover/Steve-Slow-Train-Analysis-(2080s-and-2083s)?_g=(refreshInterval:(display:Off,pause:!f,section:0,value:0),time:(from:'2017-07-29T18:44:54-0600',mode:absolute,to:'2017-07-29T21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5" s="197" t="str">
        <f>IF(AA135&lt;VLOOKUP(AG135,Variables!$AC$3:$AD$8,2,FALSE),"Y","N")</f>
        <v>N</v>
      </c>
      <c r="X135" s="197">
        <f t="shared" si="45"/>
        <v>1</v>
      </c>
      <c r="Y135" s="197">
        <f t="shared" si="32"/>
        <v>23.296500000000002</v>
      </c>
      <c r="Z135" s="197">
        <f t="shared" si="33"/>
        <v>1.52E-2</v>
      </c>
      <c r="AA135" s="197">
        <f t="shared" si="34"/>
        <v>23.281300000000002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5"/>
        <v>222</v>
      </c>
      <c r="AE135" s="77" t="str">
        <f t="shared" si="36"/>
        <v>aws s3 cp s3://rtdc.mdm.uploadarchive.raw/RTDC4041/ "%USERPROFILE%\AppData\Local\Temp\OnboardLogs"\RTDC4041\2017-07-29 --exclude "*" --recursive --include "*20170729*" &amp; "%USERPROFILE%\Documents\GitHub\mrs-test-scripts\Headless Mode &amp; Sideloading\WalkAndUnGZ.bat" "%USERPROFILE%\AppData\Local\Temp\OnboardLogs"\RTDC4041\2017-07-29 &amp; aws s3 cp s3://rtdc.mdm.uploadarchive.raw/RTDC4041/ "%USERPROFILE%\AppData\Local\Temp\OnboardLogs"\RTDC4041\2017-07-30 --exclude "*" --recursive --include "*20170730*" &amp; "%USERPROFILE%\Documents\GitHub\mrs-test-scripts\Headless Mode &amp; Sideloading\WalkAndUnGZ.bat" "%USERPROFILE%\AppData\Local\Temp\OnboardLogs"\RTDC4041\2017-07-30</v>
      </c>
      <c r="AF135" s="74" t="str">
        <f t="shared" si="37"/>
        <v>"C:\Program Files (x86)\AstroGrep\AstroGrep.exe" /e /r /s /spath="%USERPROFILE%\AppData\Local\Temp\OnboardLogs" /stypes="app*4041*20170730*" /stext=" 02:.+((SYSTEM_STATE.+slice.+state.+changed )|(ment ac)|(multiple cpu faults)|(system.+state.+changed )|(\[timeout)|(PRM\|1\|D)|(kpr)|(kdp)|(train st.+moving)|(\|lc)|(penalty))"</v>
      </c>
      <c r="AG135" s="209" t="str">
        <f t="shared" si="38"/>
        <v>EC</v>
      </c>
      <c r="AH135" s="78" t="str">
        <f t="shared" si="39"/>
        <v>"%USERPROFILE%\Documents\GitHub\eaglep3\Utilities\RefineRTDCRunTimes.py" --tripid 222-29 --locoid 4041 --swversion DE.1.0.9.0 --startMP 204:232965 --initTime 2017-07-29T19:44:54 --startdatetime 2017-07-29T19:57:27 --delay 1 --endMP 204:152 --enddatetime 2017-07-29T20:37:34 --enforcementcount 0 &gt;&gt;C:\Users\stu\Documents\GitHub\eaglep3-reporting\EC\2017-07-29-refined-times.txt</v>
      </c>
      <c r="AI135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{"issue":{"subject":"","project_id":79,"tracker_id":40,"status_id":1,"priority_id":2,"assigned_to_id":23,"start_date":"2017-07-29","description":"","custom_fields":[{"id":1,"name":"Subdivision","value":"EC"},{"id":4,"name":"Milepost","value":"0.0152"},{"id":17,"name":"Train ID","value":"222-29"},{"id":16,"name":"Locomotive ID","value":"4041"},{"id":130,"name":"Impact","value":""},{"id":150,"name":"Time of Event (Mountain Time)","value":"20:37:34"},{"id":151,"name":"Denver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1"/>
        <v>start /low /b %USERPROFILE%\Documents\GitHub\eaglep3\Utilities\DownloadLogsFromS3.py --loco 4041 --day 2017-07-29</v>
      </c>
      <c r="AN135" s="151" t="str">
        <f t="shared" si="42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02:37:34"},{"id":29,"name":"Sharepoint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843</v>
      </c>
      <c r="B136" s="7">
        <v>4008</v>
      </c>
      <c r="C136" s="21" t="s">
        <v>198</v>
      </c>
      <c r="D136" s="21" t="s">
        <v>449</v>
      </c>
      <c r="E136" s="13">
        <v>42945.808958333335</v>
      </c>
      <c r="F136" s="13">
        <v>42945.813032407408</v>
      </c>
      <c r="G136" s="7">
        <v>1</v>
      </c>
      <c r="H136" s="21" t="s">
        <v>886</v>
      </c>
      <c r="I136" s="13">
        <v>42945.839201388888</v>
      </c>
      <c r="J136" s="7">
        <v>0</v>
      </c>
      <c r="K136" s="89" t="str">
        <f t="shared" si="27"/>
        <v>4007/4008</v>
      </c>
      <c r="L136" s="21" t="str">
        <f>VLOOKUP(A136,'Trips&amp;Operators'!$C$1:$G$99999,5,FALSE)</f>
        <v>YANG JAN</v>
      </c>
      <c r="M136" s="6">
        <f t="shared" si="28"/>
        <v>2.6168981479713693E-2</v>
      </c>
      <c r="N136" s="7">
        <f t="shared" si="46"/>
        <v>37.683333330787718</v>
      </c>
      <c r="O136" s="7"/>
      <c r="P136" s="7"/>
      <c r="Q136" s="22"/>
      <c r="R136" s="170"/>
      <c r="S136" s="213">
        <f t="shared" si="47"/>
        <v>1</v>
      </c>
      <c r="T136" s="195" t="str">
        <f t="shared" si="29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0"/>
        <v>https://d0f6bd738d7f1b3e5a7ca70fe4ff75f0.us-east-1.aws.found.io/app/kibana#/discover/Steve-Slow-Train-Analysis-(2080s-and-2083s)?_g=(refreshInterval:(display:Off,pause:!f,section:0,value:0),time:(from:'2017-07-29T18:24:54-0600',mode:absolute,to:'2017-07-29T21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6" s="197" t="str">
        <f>IF(AA136&lt;VLOOKUP(AG136,Variables!$AC$3:$AD$8,2,FALSE),"Y","N")</f>
        <v>N</v>
      </c>
      <c r="X136" s="197">
        <f t="shared" si="45"/>
        <v>1</v>
      </c>
      <c r="Y136" s="197">
        <f t="shared" si="32"/>
        <v>4.4200000000000003E-2</v>
      </c>
      <c r="Z136" s="197">
        <f t="shared" si="33"/>
        <v>23.330500000000001</v>
      </c>
      <c r="AA136" s="197">
        <f t="shared" si="34"/>
        <v>23.286300000000001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5"/>
        <v>223</v>
      </c>
      <c r="AE136" s="77" t="str">
        <f t="shared" si="36"/>
        <v>aws s3 cp s3://rtdc.mdm.uploadarchive.raw/RTDC4008/ "%USERPROFILE%\AppData\Local\Temp\OnboardLogs"\RTDC4008\2017-07-29 --exclude "*" --recursive --include "*20170729*" &amp; "%USERPROFILE%\Documents\GitHub\mrs-test-scripts\Headless Mode &amp; Sideloading\WalkAndUnGZ.bat" "%USERPROFILE%\AppData\Local\Temp\OnboardLogs"\RTDC4008\2017-07-29 &amp; aws s3 cp s3://rtdc.mdm.uploadarchive.raw/RTDC4008/ "%USERPROFILE%\AppData\Local\Temp\OnboardLogs"\RTDC4008\2017-07-30 --exclude "*" --recursive --include "*20170730*" &amp; "%USERPROFILE%\Documents\GitHub\mrs-test-scripts\Headless Mode &amp; Sideloading\WalkAndUnGZ.bat" "%USERPROFILE%\AppData\Local\Temp\OnboardLogs"\RTDC4008\2017-07-30</v>
      </c>
      <c r="AF136" s="74" t="str">
        <f t="shared" si="37"/>
        <v>"C:\Program Files (x86)\AstroGrep\AstroGrep.exe" /e /r /s /spath="%USERPROFILE%\AppData\Local\Temp\OnboardLogs" /stypes="app*4008*20170730*" /stext=" 02:.+((SYSTEM_STATE.+slice.+state.+changed )|(ment ac)|(multiple cpu faults)|(system.+state.+changed )|(\[timeout)|(PRM\|1\|D)|(kpr)|(kdp)|(train st.+moving)|(\|lc)|(penalty))"</v>
      </c>
      <c r="AG136" s="209" t="str">
        <f t="shared" si="38"/>
        <v>EC</v>
      </c>
      <c r="AH136" s="78" t="str">
        <f t="shared" si="39"/>
        <v>"%USERPROFILE%\Documents\GitHub\eaglep3\Utilities\RefineRTDCRunTimes.py" --tripid 223-29 --locoid 4008 --swversion DE.1.0.9.0 --startMP 204:442 --initTime 2017-07-29T19:24:54 --startdatetime 2017-07-29T19:30:46 --delay 1 --endMP 204:233305 --enddatetime 2017-07-29T20:08:27 --enforcementcount 0 &gt;&gt;C:\Users\stu\Documents\GitHub\eaglep3-reporting\EC\2017-07-29-refined-times.txt</v>
      </c>
      <c r="AI136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{"issue":{"subject":"","project_id":79,"tracker_id":40,"status_id":1,"priority_id":2,"assigned_to_id":23,"start_date":"2017-07-29","description":"","custom_fields":[{"id":1,"name":"Subdivision","value":"EC"},{"id":4,"name":"Milepost","value":"23.3305"},{"id":17,"name":"Train ID","value":"223-29"},{"id":16,"name":"Locomotive ID","value":"4008"},{"id":130,"name":"Impact","value":""},{"id":150,"name":"Time of Event (Mountain Time)","value":"20:08:27"},{"id":151,"name":"Denver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1"/>
        <v>start /low /b %USERPROFILE%\Documents\GitHub\eaglep3\Utilities\DownloadLogsFromS3.py --loco 4008 --day 2017-07-29</v>
      </c>
      <c r="AN136" s="151" t="str">
        <f t="shared" si="42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02:08:27"},{"id":29,"name":"Sharepoint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849</v>
      </c>
      <c r="B137" s="7">
        <v>4007</v>
      </c>
      <c r="C137" s="21" t="s">
        <v>198</v>
      </c>
      <c r="D137" s="21" t="s">
        <v>469</v>
      </c>
      <c r="E137" s="13">
        <v>42945.848680555559</v>
      </c>
      <c r="F137" s="13">
        <v>42945.852395833332</v>
      </c>
      <c r="G137" s="7">
        <v>1</v>
      </c>
      <c r="H137" s="21" t="s">
        <v>448</v>
      </c>
      <c r="I137" s="13">
        <v>42945.880416666667</v>
      </c>
      <c r="J137" s="7">
        <v>0</v>
      </c>
      <c r="K137" s="89" t="str">
        <f t="shared" si="27"/>
        <v>4007/4008</v>
      </c>
      <c r="L137" s="21" t="str">
        <f>VLOOKUP(A137,'Trips&amp;Operators'!$C$1:$G$99999,5,FALSE)</f>
        <v>YANG JAN</v>
      </c>
      <c r="M137" s="6">
        <f t="shared" si="28"/>
        <v>2.8020833335176576E-2</v>
      </c>
      <c r="N137" s="7">
        <f t="shared" si="46"/>
        <v>40.350000002654269</v>
      </c>
      <c r="O137" s="7"/>
      <c r="P137" s="7"/>
      <c r="Q137" s="22"/>
      <c r="R137" s="170"/>
      <c r="S137" s="213">
        <f t="shared" si="47"/>
        <v>1</v>
      </c>
      <c r="T137" s="195" t="str">
        <f t="shared" si="29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0"/>
        <v>https://d0f6bd738d7f1b3e5a7ca70fe4ff75f0.us-east-1.aws.found.io/app/kibana#/discover/Steve-Slow-Train-Analysis-(2080s-and-2083s)?_g=(refreshInterval:(display:Off,pause:!f,section:0,value:0),time:(from:'2017-07-29T19:22:06-0600',mode:absolute,to:'2017-07-29T22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7" s="197" t="str">
        <f>IF(AA137&lt;VLOOKUP(AG137,Variables!$AC$3:$AD$8,2,FALSE),"Y","N")</f>
        <v>N</v>
      </c>
      <c r="X137" s="197">
        <f t="shared" si="45"/>
        <v>1</v>
      </c>
      <c r="Y137" s="197">
        <f t="shared" si="32"/>
        <v>23.297799999999999</v>
      </c>
      <c r="Z137" s="197">
        <f t="shared" si="33"/>
        <v>1.5800000000000002E-2</v>
      </c>
      <c r="AA137" s="197">
        <f t="shared" si="34"/>
        <v>23.282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5"/>
        <v>224</v>
      </c>
      <c r="AE137" s="77" t="str">
        <f t="shared" si="36"/>
        <v>aws s3 cp s3://rtdc.mdm.uploadarchive.raw/RTDC4007/ "%USERPROFILE%\AppData\Local\Temp\OnboardLogs"\RTDC4007\2017-07-29 --exclude "*" --recursive --include "*20170729*" &amp; "%USERPROFILE%\Documents\GitHub\mrs-test-scripts\Headless Mode &amp; Sideloading\WalkAndUnGZ.bat" "%USERPROFILE%\AppData\Local\Temp\OnboardLogs"\RTDC4007\2017-07-29 &amp; aws s3 cp s3://rtdc.mdm.uploadarchive.raw/RTDC4007/ "%USERPROFILE%\AppData\Local\Temp\OnboardLogs"\RTDC4007\2017-07-30 --exclude "*" --recursive --include "*20170730*" &amp; "%USERPROFILE%\Documents\GitHub\mrs-test-scripts\Headless Mode &amp; Sideloading\WalkAndUnGZ.bat" "%USERPROFILE%\AppData\Local\Temp\OnboardLogs"\RTDC4007\2017-07-30</v>
      </c>
      <c r="AF137" s="74" t="str">
        <f t="shared" si="37"/>
        <v>"C:\Program Files (x86)\AstroGrep\AstroGrep.exe" /e /r /s /spath="%USERPROFILE%\AppData\Local\Temp\OnboardLogs" /stypes="app*4007*20170730*" /stext=" 03:.+((SYSTEM_STATE.+slice.+state.+changed )|(ment ac)|(multiple cpu faults)|(system.+state.+changed )|(\[timeout)|(PRM\|1\|D)|(kpr)|(kdp)|(train st.+moving)|(\|lc)|(penalty))"</v>
      </c>
      <c r="AG137" s="209" t="str">
        <f t="shared" si="38"/>
        <v>EC</v>
      </c>
      <c r="AH137" s="78" t="str">
        <f t="shared" si="39"/>
        <v>"%USERPROFILE%\Documents\GitHub\eaglep3\Utilities\RefineRTDCRunTimes.py" --tripid 224-29 --locoid 4007 --swversion DE.1.0.9.0 --startMP 204:232978 --initTime 2017-07-29T20:22:06 --startdatetime 2017-07-29T20:27:27 --delay 1 --endMP 204:158 --enddatetime 2017-07-29T21:07:48 --enforcementcount 0 &gt;&gt;C:\Users\stu\Documents\GitHub\eaglep3-reporting\EC\2017-07-29-refined-times.txt</v>
      </c>
      <c r="AI137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{"issue":{"subject":"","project_id":79,"tracker_id":40,"status_id":1,"priority_id":2,"assigned_to_id":23,"start_date":"2017-07-29","description":"","custom_fields":[{"id":1,"name":"Subdivision","value":"EC"},{"id":4,"name":"Milepost","value":"0.0158"},{"id":17,"name":"Train ID","value":"224-29"},{"id":16,"name":"Locomotive ID","value":"4007"},{"id":130,"name":"Impact","value":""},{"id":150,"name":"Time of Event (Mountain Time)","value":"21:07:48"},{"id":151,"name":"Denver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1"/>
        <v>start /low /b %USERPROFILE%\Documents\GitHub\eaglep3\Utilities\DownloadLogsFromS3.py --loco 4007 --day 2017-07-29</v>
      </c>
      <c r="AN137" s="151" t="str">
        <f t="shared" si="42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03:07:48"},{"id":29,"name":"Sharepoint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657</v>
      </c>
      <c r="B138" s="7">
        <v>4024</v>
      </c>
      <c r="C138" s="21" t="s">
        <v>198</v>
      </c>
      <c r="D138" s="21" t="s">
        <v>621</v>
      </c>
      <c r="E138" s="13">
        <v>42945.830543981479</v>
      </c>
      <c r="F138" s="13">
        <v>42945.833877314813</v>
      </c>
      <c r="G138" s="7">
        <v>1</v>
      </c>
      <c r="H138" s="21" t="s">
        <v>880</v>
      </c>
      <c r="I138" s="13">
        <v>42945.860497685186</v>
      </c>
      <c r="J138" s="7">
        <v>0</v>
      </c>
      <c r="K138" s="89" t="str">
        <f t="shared" si="27"/>
        <v>4023/4024</v>
      </c>
      <c r="L138" s="21" t="str">
        <f>VLOOKUP(A138,'Trips&amp;Operators'!$C$1:$G$99999,5,FALSE)</f>
        <v>PERKINS DARREN</v>
      </c>
      <c r="M138" s="6">
        <f t="shared" si="28"/>
        <v>2.662037037225673E-2</v>
      </c>
      <c r="N138" s="7">
        <f t="shared" si="46"/>
        <v>38.333333336049691</v>
      </c>
      <c r="O138" s="7"/>
      <c r="P138" s="7"/>
      <c r="Q138" s="22"/>
      <c r="R138" s="170"/>
      <c r="S138" s="213">
        <f t="shared" si="47"/>
        <v>1</v>
      </c>
      <c r="T138" s="195" t="str">
        <f t="shared" si="29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0"/>
        <v>https://d0f6bd738d7f1b3e5a7ca70fe4ff75f0.us-east-1.aws.found.io/app/kibana#/discover/Steve-Slow-Train-Analysis-(2080s-and-2083s)?_g=(refreshInterval:(display:Off,pause:!f,section:0,value:0),time:(from:'2017-07-29T18:55:59-0600',mode:absolute,to:'2017-07-29T21:39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8" s="197" t="str">
        <f>IF(AA138&lt;VLOOKUP(AG138,Variables!$AC$3:$AD$8,2,FALSE),"Y","N")</f>
        <v>N</v>
      </c>
      <c r="X138" s="197">
        <f t="shared" si="45"/>
        <v>1</v>
      </c>
      <c r="Y138" s="197">
        <f t="shared" si="32"/>
        <v>4.2000000000000003E-2</v>
      </c>
      <c r="Z138" s="197">
        <f t="shared" si="33"/>
        <v>23.331800000000001</v>
      </c>
      <c r="AA138" s="197">
        <f t="shared" si="34"/>
        <v>23.2898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5"/>
        <v>225</v>
      </c>
      <c r="AE138" s="77" t="str">
        <f t="shared" si="36"/>
        <v>aws s3 cp s3://rtdc.mdm.uploadarchive.raw/RTDC4024/ "%USERPROFILE%\AppData\Local\Temp\OnboardLogs"\RTDC4024\2017-07-29 --exclude "*" --recursive --include "*20170729*" &amp; "%USERPROFILE%\Documents\GitHub\mrs-test-scripts\Headless Mode &amp; Sideloading\WalkAndUnGZ.bat" "%USERPROFILE%\AppData\Local\Temp\OnboardLogs"\RTDC4024\2017-07-29 &amp; aws s3 cp s3://rtdc.mdm.uploadarchive.raw/RTDC4024/ "%USERPROFILE%\AppData\Local\Temp\OnboardLogs"\RTDC4024\2017-07-30 --exclude "*" --recursive --include "*20170730*" &amp; "%USERPROFILE%\Documents\GitHub\mrs-test-scripts\Headless Mode &amp; Sideloading\WalkAndUnGZ.bat" "%USERPROFILE%\AppData\Local\Temp\OnboardLogs"\RTDC4024\2017-07-30</v>
      </c>
      <c r="AF138" s="74" t="str">
        <f t="shared" si="37"/>
        <v>"C:\Program Files (x86)\AstroGrep\AstroGrep.exe" /e /r /s /spath="%USERPROFILE%\AppData\Local\Temp\OnboardLogs" /stypes="app*4024*20170730*" /stext=" 02:.+((SYSTEM_STATE.+slice.+state.+changed )|(ment ac)|(multiple cpu faults)|(system.+state.+changed )|(\[timeout)|(PRM\|1\|D)|(kpr)|(kdp)|(train st.+moving)|(\|lc)|(penalty))"</v>
      </c>
      <c r="AG138" s="209" t="str">
        <f t="shared" si="38"/>
        <v>EC</v>
      </c>
      <c r="AH138" s="78" t="str">
        <f t="shared" si="39"/>
        <v>"%USERPROFILE%\Documents\GitHub\eaglep3\Utilities\RefineRTDCRunTimes.py" --tripid 225-29 --locoid 4024 --swversion DE.1.0.9.0 --startMP 204:420 --initTime 2017-07-29T19:55:59 --startdatetime 2017-07-29T20:00:47 --delay 1 --endMP 204:233318 --enddatetime 2017-07-29T20:39:07 --enforcementcount 0 &gt;&gt;C:\Users\stu\Documents\GitHub\eaglep3-reporting\EC\2017-07-29-refined-times.txt</v>
      </c>
      <c r="AI138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{"issue":{"subject":"","project_id":79,"tracker_id":40,"status_id":1,"priority_id":2,"assigned_to_id":23,"start_date":"2017-07-29","description":"","custom_fields":[{"id":1,"name":"Subdivision","value":"EC"},{"id":4,"name":"Milepost","value":"23.3318"},{"id":17,"name":"Train ID","value":"225-29"},{"id":16,"name":"Locomotive ID","value":"4024"},{"id":130,"name":"Impact","value":""},{"id":150,"name":"Time of Event (Mountain Time)","value":"20:39:07"},{"id":151,"name":"Denver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1"/>
        <v>start /low /b %USERPROFILE%\Documents\GitHub\eaglep3\Utilities\DownloadLogsFromS3.py --loco 4024 --day 2017-07-29</v>
      </c>
      <c r="AN138" s="151" t="str">
        <f t="shared" si="42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02:39:07"},{"id":29,"name":"Sharepoint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658</v>
      </c>
      <c r="B139" s="7">
        <v>4023</v>
      </c>
      <c r="C139" s="21" t="s">
        <v>198</v>
      </c>
      <c r="D139" s="21" t="s">
        <v>907</v>
      </c>
      <c r="E139" s="13">
        <v>42945.868888888886</v>
      </c>
      <c r="F139" s="13">
        <v>42945.873252314814</v>
      </c>
      <c r="G139" s="7">
        <v>1</v>
      </c>
      <c r="H139" s="21" t="s">
        <v>984</v>
      </c>
      <c r="I139" s="13">
        <v>42945.901678240742</v>
      </c>
      <c r="J139" s="7">
        <v>0</v>
      </c>
      <c r="K139" s="89" t="str">
        <f t="shared" si="27"/>
        <v>4023/4024</v>
      </c>
      <c r="L139" s="21" t="str">
        <f>VLOOKUP(A139,'Trips&amp;Operators'!$C$1:$G$99999,5,FALSE)</f>
        <v>PERKINS DARREN</v>
      </c>
      <c r="M139" s="6">
        <f t="shared" si="28"/>
        <v>2.842592592787696E-2</v>
      </c>
      <c r="N139" s="7">
        <f t="shared" si="46"/>
        <v>40.933333336142823</v>
      </c>
      <c r="O139" s="7"/>
      <c r="P139" s="7"/>
      <c r="Q139" s="22"/>
      <c r="R139" s="170"/>
      <c r="S139" s="213">
        <f t="shared" si="47"/>
        <v>1</v>
      </c>
      <c r="T139" s="195" t="str">
        <f t="shared" si="29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0"/>
        <v>https://d0f6bd738d7f1b3e5a7ca70fe4ff75f0.us-east-1.aws.found.io/app/kibana#/discover/Steve-Slow-Train-Analysis-(2080s-and-2083s)?_g=(refreshInterval:(display:Off,pause:!f,section:0,value:0),time:(from:'2017-07-29T19:51:12-0600',mode:absolute,to:'2017-07-29T22:38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9" s="197" t="str">
        <f>IF(AA139&lt;VLOOKUP(AG139,Variables!$AC$3:$AD$8,2,FALSE),"Y","N")</f>
        <v>N</v>
      </c>
      <c r="X139" s="197">
        <f t="shared" si="45"/>
        <v>1</v>
      </c>
      <c r="Y139" s="197">
        <f t="shared" si="32"/>
        <v>23.302099999999999</v>
      </c>
      <c r="Z139" s="197">
        <f t="shared" si="33"/>
        <v>1.1599999999999999E-2</v>
      </c>
      <c r="AA139" s="197">
        <f t="shared" si="34"/>
        <v>23.290499999999998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5"/>
        <v>226</v>
      </c>
      <c r="AE139" s="77" t="str">
        <f t="shared" si="36"/>
        <v>aws s3 cp s3://rtdc.mdm.uploadarchive.raw/RTDC4023/ "%USERPROFILE%\AppData\Local\Temp\OnboardLogs"\RTDC4023\2017-07-29 --exclude "*" --recursive --include "*20170729*" &amp; "%USERPROFILE%\Documents\GitHub\mrs-test-scripts\Headless Mode &amp; Sideloading\WalkAndUnGZ.bat" "%USERPROFILE%\AppData\Local\Temp\OnboardLogs"\RTDC4023\2017-07-29 &amp; aws s3 cp s3://rtdc.mdm.uploadarchive.raw/RTDC4023/ "%USERPROFILE%\AppData\Local\Temp\OnboardLogs"\RTDC4023\2017-07-30 --exclude "*" --recursive --include "*20170730*" &amp; "%USERPROFILE%\Documents\GitHub\mrs-test-scripts\Headless Mode &amp; Sideloading\WalkAndUnGZ.bat" "%USERPROFILE%\AppData\Local\Temp\OnboardLogs"\RTDC4023\2017-07-30</v>
      </c>
      <c r="AF139" s="74" t="str">
        <f t="shared" si="37"/>
        <v>"C:\Program Files (x86)\AstroGrep\AstroGrep.exe" /e /r /s /spath="%USERPROFILE%\AppData\Local\Temp\OnboardLogs" /stypes="app*4023*20170730*" /stext=" 03:.+((SYSTEM_STATE.+slice.+state.+changed )|(ment ac)|(multiple cpu faults)|(system.+state.+changed )|(\[timeout)|(PRM\|1\|D)|(kpr)|(kdp)|(train st.+moving)|(\|lc)|(penalty))"</v>
      </c>
      <c r="AG139" s="209" t="str">
        <f t="shared" si="38"/>
        <v>EC</v>
      </c>
      <c r="AH139" s="78" t="str">
        <f t="shared" si="39"/>
        <v>"%USERPROFILE%\Documents\GitHub\eaglep3\Utilities\RefineRTDCRunTimes.py" --tripid 226-29 --locoid 4023 --swversion DE.1.0.9.0 --startMP 204:233021 --initTime 2017-07-29T20:51:12 --startdatetime 2017-07-29T20:57:29 --delay 1 --endMP 204:116 --enddatetime 2017-07-29T21:38:25 --enforcementcount 0 &gt;&gt;C:\Users\stu\Documents\GitHub\eaglep3-reporting\EC\2017-07-29-refined-times.txt</v>
      </c>
      <c r="AI139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{"issue":{"subject":"","project_id":79,"tracker_id":40,"status_id":1,"priority_id":2,"assigned_to_id":23,"start_date":"2017-07-29","description":"","custom_fields":[{"id":1,"name":"Subdivision","value":"EC"},{"id":4,"name":"Milepost","value":"0.0116"},{"id":17,"name":"Train ID","value":"226-29"},{"id":16,"name":"Locomotive ID","value":"4023"},{"id":130,"name":"Impact","value":""},{"id":150,"name":"Time of Event (Mountain Time)","value":"21:38:25"},{"id":151,"name":"Denver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1"/>
        <v>start /low /b %USERPROFILE%\Documents\GitHub\eaglep3\Utilities\DownloadLogsFromS3.py --loco 4023 --day 2017-07-29</v>
      </c>
      <c r="AN139" s="151" t="str">
        <f t="shared" si="42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03:38:25"},{"id":29,"name":"Sharepoint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848</v>
      </c>
      <c r="B140" s="7">
        <v>4056</v>
      </c>
      <c r="C140" s="21" t="s">
        <v>198</v>
      </c>
      <c r="D140" s="21" t="s">
        <v>985</v>
      </c>
      <c r="E140" s="13">
        <v>42945.843252314815</v>
      </c>
      <c r="F140" s="13">
        <v>42945.854687500003</v>
      </c>
      <c r="G140" s="7">
        <v>1</v>
      </c>
      <c r="H140" s="21" t="s">
        <v>886</v>
      </c>
      <c r="I140" s="13">
        <v>42945.881215277775</v>
      </c>
      <c r="J140" s="7">
        <v>0</v>
      </c>
      <c r="K140" s="89" t="str">
        <f t="shared" si="27"/>
        <v>4055/4056</v>
      </c>
      <c r="L140" s="21" t="str">
        <f>VLOOKUP(A140,'Trips&amp;Operators'!$C$1:$G$99999,5,FALSE)</f>
        <v>FORTUNATO FRANK</v>
      </c>
      <c r="M140" s="6">
        <f t="shared" si="28"/>
        <v>2.6527777772571426E-2</v>
      </c>
      <c r="N140" s="7">
        <f t="shared" si="46"/>
        <v>38.199999992502853</v>
      </c>
      <c r="O140" s="7"/>
      <c r="P140" s="7"/>
      <c r="Q140" s="22"/>
      <c r="R140" s="170"/>
      <c r="S140" s="213">
        <f t="shared" si="47"/>
        <v>1</v>
      </c>
      <c r="T140" s="195" t="str">
        <f t="shared" si="29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0"/>
        <v>https://d0f6bd738d7f1b3e5a7ca70fe4ff75f0.us-east-1.aws.found.io/app/kibana#/discover/Steve-Slow-Train-Analysis-(2080s-and-2083s)?_g=(refreshInterval:(display:Off,pause:!f,section:0,value:0),time:(from:'2017-07-29T19:14:17-0600',mode:absolute,to:'2017-07-29T22:08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0" s="197" t="str">
        <f>IF(AA140&lt;VLOOKUP(AG140,Variables!$AC$3:$AD$8,2,FALSE),"Y","N")</f>
        <v>N</v>
      </c>
      <c r="X140" s="197">
        <f t="shared" si="45"/>
        <v>1</v>
      </c>
      <c r="Y140" s="197">
        <f t="shared" si="32"/>
        <v>4.3099999999999999E-2</v>
      </c>
      <c r="Z140" s="197">
        <f t="shared" si="33"/>
        <v>23.330500000000001</v>
      </c>
      <c r="AA140" s="197">
        <f t="shared" si="34"/>
        <v>23.287400000000002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5"/>
        <v>227</v>
      </c>
      <c r="AE140" s="77" t="str">
        <f t="shared" si="36"/>
        <v>aws s3 cp s3://rtdc.mdm.uploadarchive.raw/RTDC4056/ "%USERPROFILE%\AppData\Local\Temp\OnboardLogs"\RTDC4056\2017-07-29 --exclude "*" --recursive --include "*20170729*" &amp; "%USERPROFILE%\Documents\GitHub\mrs-test-scripts\Headless Mode &amp; Sideloading\WalkAndUnGZ.bat" "%USERPROFILE%\AppData\Local\Temp\OnboardLogs"\RTDC4056\2017-07-29 &amp; aws s3 cp s3://rtdc.mdm.uploadarchive.raw/RTDC4056/ "%USERPROFILE%\AppData\Local\Temp\OnboardLogs"\RTDC4056\2017-07-30 --exclude "*" --recursive --include "*20170730*" &amp; "%USERPROFILE%\Documents\GitHub\mrs-test-scripts\Headless Mode &amp; Sideloading\WalkAndUnGZ.bat" "%USERPROFILE%\AppData\Local\Temp\OnboardLogs"\RTDC4056\2017-07-30</v>
      </c>
      <c r="AF140" s="74" t="str">
        <f t="shared" si="37"/>
        <v>"C:\Program Files (x86)\AstroGrep\AstroGrep.exe" /e /r /s /spath="%USERPROFILE%\AppData\Local\Temp\OnboardLogs" /stypes="app*4056*20170730*" /stext=" 03:.+((SYSTEM_STATE.+slice.+state.+changed )|(ment ac)|(multiple cpu faults)|(system.+state.+changed )|(\[timeout)|(PRM\|1\|D)|(kpr)|(kdp)|(train st.+moving)|(\|lc)|(penalty))"</v>
      </c>
      <c r="AG140" s="209" t="str">
        <f t="shared" si="38"/>
        <v>EC</v>
      </c>
      <c r="AH140" s="78" t="str">
        <f t="shared" si="39"/>
        <v>"%USERPROFILE%\Documents\GitHub\eaglep3\Utilities\RefineRTDCRunTimes.py" --tripid 227-29 --locoid 4056 --swversion DE.1.0.9.0 --startMP 204:431 --initTime 2017-07-29T20:14:17 --startdatetime 2017-07-29T20:30:45 --delay 1 --endMP 204:233305 --enddatetime 2017-07-29T21:08:57 --enforcementcount 0 &gt;&gt;C:\Users\stu\Documents\GitHub\eaglep3-reporting\EC\2017-07-29-refined-times.txt</v>
      </c>
      <c r="AI140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{"issue":{"subject":"","project_id":79,"tracker_id":40,"status_id":1,"priority_id":2,"assigned_to_id":23,"start_date":"2017-07-29","description":"","custom_fields":[{"id":1,"name":"Subdivision","value":"EC"},{"id":4,"name":"Milepost","value":"23.3305"},{"id":17,"name":"Train ID","value":"227-29"},{"id":16,"name":"Locomotive ID","value":"4056"},{"id":130,"name":"Impact","value":""},{"id":150,"name":"Time of Event (Mountain Time)","value":"21:08:57"},{"id":151,"name":"Denver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1"/>
        <v>start /low /b %USERPROFILE%\Documents\GitHub\eaglep3\Utilities\DownloadLogsFromS3.py --loco 4056 --day 2017-07-29</v>
      </c>
      <c r="AN140" s="151" t="str">
        <f t="shared" si="42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03:08:57"},{"id":29,"name":"Sharepoint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852</v>
      </c>
      <c r="B141" s="7">
        <v>4055</v>
      </c>
      <c r="C141" s="21" t="s">
        <v>198</v>
      </c>
      <c r="D141" s="21" t="s">
        <v>986</v>
      </c>
      <c r="E141" s="13">
        <v>42945.883194444446</v>
      </c>
      <c r="F141" s="13">
        <v>42945.893912037034</v>
      </c>
      <c r="G141" s="7">
        <v>0</v>
      </c>
      <c r="H141" s="21" t="s">
        <v>498</v>
      </c>
      <c r="I141" s="13">
        <v>42945.925636574073</v>
      </c>
      <c r="J141" s="7">
        <v>0</v>
      </c>
      <c r="K141" s="89" t="str">
        <f t="shared" ref="K141:K204" si="48">IF(ISEVEN(B141),(B141-1)&amp;"/"&amp;B141,B141&amp;"/"&amp;(B141+1))</f>
        <v>4055/4056</v>
      </c>
      <c r="L141" s="21" t="str">
        <f>VLOOKUP(A141,'Trips&amp;Operators'!$C$1:$G$99999,5,FALSE)</f>
        <v>FORTUNATO FRANK</v>
      </c>
      <c r="M141" s="6">
        <f t="shared" ref="M141:M204" si="49">I141-F141</f>
        <v>3.1724537038826384E-2</v>
      </c>
      <c r="N141" s="7">
        <f t="shared" si="46"/>
        <v>45.683333335909992</v>
      </c>
      <c r="O141" s="7"/>
      <c r="P141" s="7"/>
      <c r="Q141" s="22"/>
      <c r="R141" s="170"/>
      <c r="S141" s="213">
        <f t="shared" si="47"/>
        <v>1</v>
      </c>
      <c r="T141" s="195" t="str">
        <f t="shared" ref="T141:T204" si="50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5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-29T20:11:48-0600',mode:absolute,to:'2017-07-29T23:12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1" s="197" t="str">
        <f>IF(AA141&lt;VLOOKUP(AG141,Variables!$AC$3:$AD$8,2,FALSE),"Y","N")</f>
        <v>N</v>
      </c>
      <c r="X141" s="197">
        <f t="shared" ref="X141:X159" si="52">VALUE(LEFT(AD141,4))-VALUE(LEFT(AD140,4))</f>
        <v>1</v>
      </c>
      <c r="Y141" s="197">
        <f t="shared" ref="Y141:Y204" si="53">RIGHT(D141,LEN(D141)-4)/10000</f>
        <v>23.299199999999999</v>
      </c>
      <c r="Z141" s="197">
        <f t="shared" ref="Z141:Z204" si="54">RIGHT(H141,LEN(H141)-4)/10000</f>
        <v>1.6899999999999998E-2</v>
      </c>
      <c r="AA141" s="197">
        <f t="shared" ref="AA141:AA204" si="55">ABS(Z141-Y141)</f>
        <v>23.282299999999999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56">VALUE(LEFT(A141,LEN(A141)-3))</f>
        <v>228</v>
      </c>
      <c r="AE141" s="77" t="str">
        <f t="shared" ref="AE141:AE204" si="5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s3://rtdc.mdm.uploadarchive.raw/RTDC4055/ "%USERPROFILE%\AppData\Local\Temp\OnboardLogs"\RTDC4055\2017-07-29 --exclude "*" --recursive --include "*20170729*" &amp; "%USERPROFILE%\Documents\GitHub\mrs-test-scripts\Headless Mode &amp; Sideloading\WalkAndUnGZ.bat" "%USERPROFILE%\AppData\Local\Temp\OnboardLogs"\RTDC4055\2017-07-29 &amp; aws s3 cp s3://rtdc.mdm.uploadarchive.raw/RTDC4055/ "%USERPROFILE%\AppData\Local\Temp\OnboardLogs"\RTDC4055\2017-07-30 --exclude "*" --recursive --include "*20170730*" &amp; "%USERPROFILE%\Documents\GitHub\mrs-test-scripts\Headless Mode &amp; Sideloading\WalkAndUnGZ.bat" "%USERPROFILE%\AppData\Local\Temp\OnboardLogs"\RTDC4055\2017-07-30</v>
      </c>
      <c r="AF141" s="74" t="str">
        <f t="shared" ref="AF141:AF204" si="5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/stypes="app*4055*20170730*" /stext=" 04:.+((SYSTEM_STATE.+slice.+state.+changed )|(ment ac)|(multiple cpu faults)|(system.+state.+changed )|(\[timeout)|(PRM\|1\|D)|(kpr)|(kdp)|(train st.+moving)|(\|lc)|(penalty))"</v>
      </c>
      <c r="AG141" s="209" t="str">
        <f t="shared" ref="AG141:AG204" si="59">DetSubdiv(A141)</f>
        <v>EC</v>
      </c>
      <c r="AH141" s="78" t="str">
        <f t="shared" si="39"/>
        <v>"%USERPROFILE%\Documents\GitHub\eaglep3\Utilities\RefineRTDCRunTimes.py" --tripid 228-29 --locoid 4055 --swversion DE.1.0.9.0 --startMP 204:232992 --initTime 2017-07-29T21:11:48 --startdatetime 2017-07-29T21:27:14 --delay 0 --endMP 204:169 --enddatetime 2017-07-29T22:12:55 --enforcementcount 0 &gt;&gt;C:\Users\stu\Documents\GitHub\eaglep3-reporting\EC\2017-07-29-refined-times.txt</v>
      </c>
      <c r="AI141" s="96" t="str">
        <f t="shared" si="40"/>
        <v>echo {"issue":{"subject":"","project_id":79,"tracker_id":40,"status_id":1,"priority_id":2,"assigned_to_id":23,"start_date":"2017-07-29","description":"","custom_fields":[{"id":1,"name":"Subdivision","value":"EC"},{"id":4,"name":"Milepost","value":"0.0169"},{"id":17,"name":"Train ID","value":"228-29"},{"id":16,"name":"Locomotive ID","value":"4055"},{"id":130,"name":"Impact","value":""},{"id":150,"name":"Time of Event (Mountain Time)","value":"22:12:55"},{"id":151,"name":"Denver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1"/>
        <v>start /low /b %USERPROFILE%\Documents\GitHub\eaglep3\Utilities\DownloadLogsFromS3.py --loco 4055 --day 2017-07-29</v>
      </c>
      <c r="AN141" s="151" t="str">
        <f t="shared" si="42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04:12:55"},{"id":29,"name":"Sharepoint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851</v>
      </c>
      <c r="B142" s="7">
        <v>4042</v>
      </c>
      <c r="C142" s="21" t="s">
        <v>198</v>
      </c>
      <c r="D142" s="21" t="s">
        <v>900</v>
      </c>
      <c r="E142" s="13">
        <v>42945.872557870367</v>
      </c>
      <c r="F142" s="13">
        <v>42945.875509259262</v>
      </c>
      <c r="G142" s="7">
        <v>1</v>
      </c>
      <c r="H142" s="21" t="s">
        <v>410</v>
      </c>
      <c r="I142" s="13">
        <v>42945.903425925928</v>
      </c>
      <c r="J142" s="7">
        <v>0</v>
      </c>
      <c r="K142" s="89" t="str">
        <f t="shared" si="48"/>
        <v>4041/4042</v>
      </c>
      <c r="L142" s="21" t="str">
        <f>VLOOKUP(A142,'Trips&amp;Operators'!$C$1:$G$99999,5,FALSE)</f>
        <v>LAMAR NEKESHA</v>
      </c>
      <c r="M142" s="6">
        <f t="shared" si="49"/>
        <v>2.7916666665987577E-2</v>
      </c>
      <c r="N142" s="7">
        <f t="shared" si="46"/>
        <v>40.199999999022111</v>
      </c>
      <c r="O142" s="7"/>
      <c r="P142" s="7"/>
      <c r="Q142" s="22"/>
      <c r="R142" s="170"/>
      <c r="S142" s="213">
        <f t="shared" si="47"/>
        <v>1</v>
      </c>
      <c r="T142" s="195" t="str">
        <f t="shared" si="50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51"/>
        <v>https://d0f6bd738d7f1b3e5a7ca70fe4ff75f0.us-east-1.aws.found.io/app/kibana#/discover/Steve-Slow-Train-Analysis-(2080s-and-2083s)?_g=(refreshInterval:(display:Off,pause:!f,section:0,value:0),time:(from:'2017-07-29T19:56:29-0600',mode:absolute,to:'2017-07-29T22:40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2" s="197" t="str">
        <f>IF(AA142&lt;VLOOKUP(AG142,Variables!$AC$3:$AD$8,2,FALSE),"Y","N")</f>
        <v>N</v>
      </c>
      <c r="X142" s="197">
        <f t="shared" si="52"/>
        <v>1</v>
      </c>
      <c r="Y142" s="197">
        <f t="shared" si="53"/>
        <v>4.7500000000000001E-2</v>
      </c>
      <c r="Z142" s="197">
        <f t="shared" si="54"/>
        <v>23.329699999999999</v>
      </c>
      <c r="AA142" s="197">
        <f t="shared" si="55"/>
        <v>23.2822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56"/>
        <v>229</v>
      </c>
      <c r="AE142" s="77" t="str">
        <f t="shared" si="57"/>
        <v>aws s3 cp s3://rtdc.mdm.uploadarchive.raw/RTDC4042/ "%USERPROFILE%\AppData\Local\Temp\OnboardLogs"\RTDC4042\2017-07-29 --exclude "*" --recursive --include "*20170729*" &amp; "%USERPROFILE%\Documents\GitHub\mrs-test-scripts\Headless Mode &amp; Sideloading\WalkAndUnGZ.bat" "%USERPROFILE%\AppData\Local\Temp\OnboardLogs"\RTDC4042\2017-07-29 &amp; aws s3 cp s3://rtdc.mdm.uploadarchive.raw/RTDC4042/ "%USERPROFILE%\AppData\Local\Temp\OnboardLogs"\RTDC4042\2017-07-30 --exclude "*" --recursive --include "*20170730*" &amp; "%USERPROFILE%\Documents\GitHub\mrs-test-scripts\Headless Mode &amp; Sideloading\WalkAndUnGZ.bat" "%USERPROFILE%\AppData\Local\Temp\OnboardLogs"\RTDC4042\2017-07-30</v>
      </c>
      <c r="AF142" s="74" t="str">
        <f t="shared" si="58"/>
        <v>"C:\Program Files (x86)\AstroGrep\AstroGrep.exe" /e /r /s /spath="%USERPROFILE%\AppData\Local\Temp\OnboardLogs" /stypes="app*4042*20170730*" /stext=" 03:.+((SYSTEM_STATE.+slice.+state.+changed )|(ment ac)|(multiple cpu faults)|(system.+state.+changed )|(\[timeout)|(PRM\|1\|D)|(kpr)|(kdp)|(train st.+moving)|(\|lc)|(penalty))"</v>
      </c>
      <c r="AG142" s="209" t="str">
        <f t="shared" si="59"/>
        <v>EC</v>
      </c>
      <c r="AH142" s="78" t="str">
        <f t="shared" ref="AH142:AH204" si="60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229-29 --locoid 4042 --swversion DE.1.0.9.0 --startMP 204:475 --initTime 2017-07-29T20:56:29 --startdatetime 2017-07-29T21:00:44 --delay 1 --endMP 204:233297 --enddatetime 2017-07-29T21:40:56 --enforcementcount 0 &gt;&gt;C:\Users\stu\Documents\GitHub\eaglep3-reporting\EC\2017-07-29-refined-times.txt</v>
      </c>
      <c r="AI142" s="96" t="str">
        <f t="shared" ref="AI142:AI204" si="61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{"issue":{"subject":"","project_id":79,"tracker_id":40,"status_id":1,"priority_id":2,"assigned_to_id":23,"start_date":"2017-07-29","description":"","custom_fields":[{"id":1,"name":"Subdivision","value":"EC"},{"id":4,"name":"Milepost","value":"23.3297"},{"id":17,"name":"Train ID","value":"229-29"},{"id":16,"name":"Locomotive ID","value":"4042"},{"id":130,"name":"Impact","value":""},{"id":150,"name":"Time of Event (Mountain Time)","value":"21:40:56"},{"id":151,"name":"Denver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4" si="62">"start /low /b "&amp;dls3logs&amp;" --loco "&amp;B142&amp;" --day "&amp;TEXT(F142,"YYYY-MM-DD")</f>
        <v>start /low /b %USERPROFILE%\Documents\GitHub\eaglep3\Utilities\DownloadLogsFromS3.py --loco 4042 --day 2017-07-29</v>
      </c>
      <c r="AN142" s="151" t="str">
        <f t="shared" ref="AN142:AN204" si="63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03:40:56"},{"id":29,"name":"Sharepoint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659</v>
      </c>
      <c r="B143" s="7">
        <v>4041</v>
      </c>
      <c r="C143" s="21" t="s">
        <v>198</v>
      </c>
      <c r="D143" s="21" t="s">
        <v>987</v>
      </c>
      <c r="E143" s="13">
        <v>42945.909930555557</v>
      </c>
      <c r="F143" s="13">
        <v>42945.914780092593</v>
      </c>
      <c r="G143" s="7">
        <v>1</v>
      </c>
      <c r="H143" s="21" t="s">
        <v>879</v>
      </c>
      <c r="I143" s="13">
        <v>42945.943472222221</v>
      </c>
      <c r="J143" s="7">
        <v>0</v>
      </c>
      <c r="K143" s="89" t="str">
        <f t="shared" si="48"/>
        <v>4041/4042</v>
      </c>
      <c r="L143" s="21" t="str">
        <f>VLOOKUP(A143,'Trips&amp;Operators'!$C$1:$G$99999,5,FALSE)</f>
        <v>LAMAR NEKESHA</v>
      </c>
      <c r="M143" s="6">
        <f t="shared" si="49"/>
        <v>2.8692129628325347E-2</v>
      </c>
      <c r="N143" s="7">
        <f t="shared" si="46"/>
        <v>41.316666664788499</v>
      </c>
      <c r="O143" s="7"/>
      <c r="P143" s="7"/>
      <c r="Q143" s="22"/>
      <c r="R143" s="170"/>
      <c r="S143" s="213">
        <f t="shared" si="47"/>
        <v>1</v>
      </c>
      <c r="T143" s="195" t="str">
        <f t="shared" si="50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51"/>
        <v>https://d0f6bd738d7f1b3e5a7ca70fe4ff75f0.us-east-1.aws.found.io/app/kibana#/discover/Steve-Slow-Train-Analysis-(2080s-and-2083s)?_g=(refreshInterval:(display:Off,pause:!f,section:0,value:0),time:(from:'2017-07-29T20:50:18-0600',mode:absolute,to:'2017-07-29T23:38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3" s="197" t="str">
        <f>IF(AA143&lt;VLOOKUP(AG143,Variables!$AC$3:$AD$8,2,FALSE),"Y","N")</f>
        <v>N</v>
      </c>
      <c r="X143" s="197">
        <f t="shared" si="52"/>
        <v>1</v>
      </c>
      <c r="Y143" s="197">
        <f t="shared" si="53"/>
        <v>23.2957</v>
      </c>
      <c r="Z143" s="197">
        <f t="shared" si="54"/>
        <v>1.7600000000000001E-2</v>
      </c>
      <c r="AA143" s="197">
        <f t="shared" si="55"/>
        <v>23.278099999999998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56"/>
        <v>230</v>
      </c>
      <c r="AE143" s="77" t="str">
        <f t="shared" si="57"/>
        <v>aws s3 cp s3://rtdc.mdm.uploadarchive.raw/RTDC4041/ "%USERPROFILE%\AppData\Local\Temp\OnboardLogs"\RTDC4041\2017-07-29 --exclude "*" --recursive --include "*20170729*" &amp; "%USERPROFILE%\Documents\GitHub\mrs-test-scripts\Headless Mode &amp; Sideloading\WalkAndUnGZ.bat" "%USERPROFILE%\AppData\Local\Temp\OnboardLogs"\RTDC4041\2017-07-29 &amp; aws s3 cp s3://rtdc.mdm.uploadarchive.raw/RTDC4041/ "%USERPROFILE%\AppData\Local\Temp\OnboardLogs"\RTDC4041\2017-07-30 --exclude "*" --recursive --include "*20170730*" &amp; "%USERPROFILE%\Documents\GitHub\mrs-test-scripts\Headless Mode &amp; Sideloading\WalkAndUnGZ.bat" "%USERPROFILE%\AppData\Local\Temp\OnboardLogs"\RTDC4041\2017-07-30</v>
      </c>
      <c r="AF143" s="74" t="str">
        <f t="shared" si="58"/>
        <v>"C:\Program Files (x86)\AstroGrep\AstroGrep.exe" /e /r /s /spath="%USERPROFILE%\AppData\Local\Temp\OnboardLogs" /stypes="app*4041*20170730*" /stext=" 04:.+((SYSTEM_STATE.+slice.+state.+changed )|(ment ac)|(multiple cpu faults)|(system.+state.+changed )|(\[timeout)|(PRM\|1\|D)|(kpr)|(kdp)|(train st.+moving)|(\|lc)|(penalty))"</v>
      </c>
      <c r="AG143" s="209" t="str">
        <f t="shared" si="59"/>
        <v>EC</v>
      </c>
      <c r="AH143" s="78" t="str">
        <f t="shared" si="60"/>
        <v>"%USERPROFILE%\Documents\GitHub\eaglep3\Utilities\RefineRTDCRunTimes.py" --tripid 230-29 --locoid 4041 --swversion DE.1.0.9.0 --startMP 204:232957 --initTime 2017-07-29T21:50:18 --startdatetime 2017-07-29T21:57:17 --delay 1 --endMP 204:176 --enddatetime 2017-07-29T22:38:36 --enforcementcount 0 &gt;&gt;C:\Users\stu\Documents\GitHub\eaglep3-reporting\EC\2017-07-29-refined-times.txt</v>
      </c>
      <c r="AI143" s="96" t="str">
        <f t="shared" si="61"/>
        <v>echo {"issue":{"subject":"","project_id":79,"tracker_id":40,"status_id":1,"priority_id":2,"assigned_to_id":23,"start_date":"2017-07-29","description":"","custom_fields":[{"id":1,"name":"Subdivision","value":"EC"},{"id":4,"name":"Milepost","value":"0.0176"},{"id":17,"name":"Train ID","value":"230-29"},{"id":16,"name":"Locomotive ID","value":"4041"},{"id":130,"name":"Impact","value":""},{"id":150,"name":"Time of Event (Mountain Time)","value":"22:38:36"},{"id":151,"name":"Denver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2"/>
        <v>start /low /b %USERPROFILE%\Documents\GitHub\eaglep3\Utilities\DownloadLogsFromS3.py --loco 4041 --day 2017-07-29</v>
      </c>
      <c r="AN143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04:38:36"},{"id":29,"name":"Sharepoint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854</v>
      </c>
      <c r="B144" s="7">
        <v>4008</v>
      </c>
      <c r="C144" s="21" t="s">
        <v>198</v>
      </c>
      <c r="D144" s="21" t="s">
        <v>453</v>
      </c>
      <c r="E144" s="13">
        <v>42945.888657407406</v>
      </c>
      <c r="F144" s="13">
        <v>42945.89640046296</v>
      </c>
      <c r="G144" s="7">
        <v>1</v>
      </c>
      <c r="H144" s="21" t="s">
        <v>527</v>
      </c>
      <c r="I144" s="13">
        <v>42945.922546296293</v>
      </c>
      <c r="J144" s="7">
        <v>0</v>
      </c>
      <c r="K144" s="89" t="str">
        <f t="shared" si="48"/>
        <v>4007/4008</v>
      </c>
      <c r="L144" s="21" t="str">
        <f>VLOOKUP(A144,'Trips&amp;Operators'!$C$1:$G$99999,5,FALSE)</f>
        <v>YANG JAN</v>
      </c>
      <c r="M144" s="6">
        <f t="shared" si="49"/>
        <v>2.6145833333430346E-2</v>
      </c>
      <c r="N144" s="7">
        <f t="shared" si="46"/>
        <v>37.650000000139698</v>
      </c>
      <c r="O144" s="7"/>
      <c r="P144" s="7"/>
      <c r="Q144" s="22"/>
      <c r="R144" s="170"/>
      <c r="S144" s="213">
        <f t="shared" si="47"/>
        <v>1</v>
      </c>
      <c r="T144" s="195" t="str">
        <f t="shared" si="50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51"/>
        <v>https://d0f6bd738d7f1b3e5a7ca70fe4ff75f0.us-east-1.aws.found.io/app/kibana#/discover/Steve-Slow-Train-Analysis-(2080s-and-2083s)?_g=(refreshInterval:(display:Off,pause:!f,section:0,value:0),time:(from:'2017-07-29T20:19:40-0600',mode:absolute,to:'2017-07-29T23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4" s="197" t="str">
        <f>IF(AA144&lt;VLOOKUP(AG144,Variables!$AC$3:$AD$8,2,FALSE),"Y","N")</f>
        <v>N</v>
      </c>
      <c r="X144" s="197">
        <f t="shared" si="52"/>
        <v>1</v>
      </c>
      <c r="Y144" s="197">
        <f t="shared" si="53"/>
        <v>4.5999999999999999E-2</v>
      </c>
      <c r="Z144" s="197">
        <f t="shared" si="54"/>
        <v>23.331199999999999</v>
      </c>
      <c r="AA144" s="197">
        <f t="shared" si="55"/>
        <v>23.2852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56"/>
        <v>231</v>
      </c>
      <c r="AE144" s="77" t="str">
        <f t="shared" si="57"/>
        <v>aws s3 cp s3://rtdc.mdm.uploadarchive.raw/RTDC4008/ "%USERPROFILE%\AppData\Local\Temp\OnboardLogs"\RTDC4008\2017-07-29 --exclude "*" --recursive --include "*20170729*" &amp; "%USERPROFILE%\Documents\GitHub\mrs-test-scripts\Headless Mode &amp; Sideloading\WalkAndUnGZ.bat" "%USERPROFILE%\AppData\Local\Temp\OnboardLogs"\RTDC4008\2017-07-29 &amp; aws s3 cp s3://rtdc.mdm.uploadarchive.raw/RTDC4008/ "%USERPROFILE%\AppData\Local\Temp\OnboardLogs"\RTDC4008\2017-07-30 --exclude "*" --recursive --include "*20170730*" &amp; "%USERPROFILE%\Documents\GitHub\mrs-test-scripts\Headless Mode &amp; Sideloading\WalkAndUnGZ.bat" "%USERPROFILE%\AppData\Local\Temp\OnboardLogs"\RTDC4008\2017-07-30</v>
      </c>
      <c r="AF144" s="74" t="str">
        <f t="shared" si="58"/>
        <v>"C:\Program Files (x86)\AstroGrep\AstroGrep.exe" /e /r /s /spath="%USERPROFILE%\AppData\Local\Temp\OnboardLogs" /stypes="app*4008*20170730*" /stext=" 04:.+((SYSTEM_STATE.+slice.+state.+changed )|(ment ac)|(multiple cpu faults)|(system.+state.+changed )|(\[timeout)|(PRM\|1\|D)|(kpr)|(kdp)|(train st.+moving)|(\|lc)|(penalty))"</v>
      </c>
      <c r="AG144" s="209" t="str">
        <f t="shared" si="59"/>
        <v>EC</v>
      </c>
      <c r="AH144" s="78" t="str">
        <f t="shared" si="60"/>
        <v>"%USERPROFILE%\Documents\GitHub\eaglep3\Utilities\RefineRTDCRunTimes.py" --tripid 231-29 --locoid 4008 --swversion DE.1.0.9.0 --startMP 204:460 --initTime 2017-07-29T21:19:40 --startdatetime 2017-07-29T21:30:49 --delay 1 --endMP 204:233312 --enddatetime 2017-07-29T22:08:28 --enforcementcount 0 &gt;&gt;C:\Users\stu\Documents\GitHub\eaglep3-reporting\EC\2017-07-29-refined-times.txt</v>
      </c>
      <c r="AI144" s="96" t="str">
        <f t="shared" si="61"/>
        <v>echo {"issue":{"subject":"","project_id":79,"tracker_id":40,"status_id":1,"priority_id":2,"assigned_to_id":23,"start_date":"2017-07-29","description":"","custom_fields":[{"id":1,"name":"Subdivision","value":"EC"},{"id":4,"name":"Milepost","value":"23.3312"},{"id":17,"name":"Train ID","value":"231-29"},{"id":16,"name":"Locomotive ID","value":"4008"},{"id":130,"name":"Impact","value":""},{"id":150,"name":"Time of Event (Mountain Time)","value":"22:08:28"},{"id":151,"name":"Denver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2"/>
        <v>start /low /b %USERPROFILE%\Documents\GitHub\eaglep3\Utilities\DownloadLogsFromS3.py --loco 4008 --day 2017-07-29</v>
      </c>
      <c r="AN144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04:08:28"},{"id":29,"name":"Sharepoint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859</v>
      </c>
      <c r="B145" s="7">
        <v>4007</v>
      </c>
      <c r="C145" s="21" t="s">
        <v>198</v>
      </c>
      <c r="D145" s="21" t="s">
        <v>615</v>
      </c>
      <c r="E145" s="13">
        <v>42945.930891203701</v>
      </c>
      <c r="F145" s="13">
        <v>42945.959062499998</v>
      </c>
      <c r="G145" s="7">
        <v>1</v>
      </c>
      <c r="H145" s="21" t="s">
        <v>988</v>
      </c>
      <c r="I145" s="13">
        <v>42945.966053240743</v>
      </c>
      <c r="J145" s="7">
        <v>0</v>
      </c>
      <c r="K145" s="89" t="str">
        <f t="shared" si="48"/>
        <v>4007/4008</v>
      </c>
      <c r="L145" s="21" t="str">
        <f>VLOOKUP(A145,'Trips&amp;Operators'!$C$1:$G$99999,5,FALSE)</f>
        <v>YANG JAN</v>
      </c>
      <c r="M145" s="6">
        <f t="shared" si="49"/>
        <v>6.9907407450955361E-3</v>
      </c>
      <c r="N145" s="7"/>
      <c r="O145" s="7"/>
      <c r="P145" s="7">
        <f>24*60*SUM($M145:$M145)</f>
        <v>10.066666672937572</v>
      </c>
      <c r="Q145" s="22"/>
      <c r="R145" s="170" t="s">
        <v>1035</v>
      </c>
      <c r="S145" s="213">
        <f>1/IF(AG145="EC",12,1)*SUM(U145:U146)</f>
        <v>1</v>
      </c>
      <c r="T145" s="195" t="str">
        <f t="shared" si="50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9</v>
      </c>
      <c r="V145" s="196" t="str">
        <f t="shared" si="51"/>
        <v>https://d0f6bd738d7f1b3e5a7ca70fe4ff75f0.us-east-1.aws.found.io/app/kibana#/discover/Steve-Slow-Train-Analysis-(2080s-and-2083s)?_g=(refreshInterval:(display:Off,pause:!f,section:0,value:0),time:(from:'2017-07-29T21:20:29-0600',mode:absolute,to:'2017-07-30T00:11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5" s="197" t="str">
        <f>IF(AA145&lt;VLOOKUP(AG145,Variables!$AC$3:$AD$8,2,FALSE),"Y","N")</f>
        <v>Y</v>
      </c>
      <c r="X145" s="197">
        <f t="shared" si="52"/>
        <v>1</v>
      </c>
      <c r="Y145" s="197">
        <f t="shared" si="53"/>
        <v>23.298999999999999</v>
      </c>
      <c r="Z145" s="197">
        <f t="shared" si="54"/>
        <v>3.6941999999999999</v>
      </c>
      <c r="AA145" s="197">
        <f t="shared" si="55"/>
        <v>19.604800000000001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56"/>
        <v>232</v>
      </c>
      <c r="AE145" s="77" t="str">
        <f t="shared" si="57"/>
        <v>aws s3 cp s3://rtdc.mdm.uploadarchive.raw/RTDC4007/ "%USERPROFILE%\AppData\Local\Temp\OnboardLogs"\RTDC4007\2017-07-29 --exclude "*" --recursive --include "*20170729*" &amp; "%USERPROFILE%\Documents\GitHub\mrs-test-scripts\Headless Mode &amp; Sideloading\WalkAndUnGZ.bat" "%USERPROFILE%\AppData\Local\Temp\OnboardLogs"\RTDC4007\2017-07-29 &amp; aws s3 cp s3://rtdc.mdm.uploadarchive.raw/RTDC4007/ "%USERPROFILE%\AppData\Local\Temp\OnboardLogs"\RTDC4007\2017-07-30 --exclude "*" --recursive --include "*20170730*" &amp; "%USERPROFILE%\Documents\GitHub\mrs-test-scripts\Headless Mode &amp; Sideloading\WalkAndUnGZ.bat" "%USERPROFILE%\AppData\Local\Temp\OnboardLogs"\RTDC4007\2017-07-30</v>
      </c>
      <c r="AF145" s="74" t="str">
        <f t="shared" si="58"/>
        <v>"C:\Program Files (x86)\AstroGrep\AstroGrep.exe" /e /r /s /spath="%USERPROFILE%\AppData\Local\Temp\OnboardLogs" /stypes="app*4007*20170730*" /stext=" 05:.+((SYSTEM_STATE.+slice.+state.+changed )|(ment ac)|(multiple cpu faults)|(system.+state.+changed )|(\[timeout)|(PRM\|1\|D)|(kpr)|(kdp)|(train st.+moving)|(\|lc)|(penalty))"</v>
      </c>
      <c r="AG145" s="209" t="str">
        <f t="shared" si="59"/>
        <v>EC</v>
      </c>
      <c r="AH145" s="78" t="str">
        <f t="shared" si="60"/>
        <v>"%USERPROFILE%\Documents\GitHub\eaglep3\Utilities\RefineRTDCRunTimes.py" --tripid 232-29 --locoid 4007 --swversion DE.1.0.9.0 --startMP 204:232990 --initTime 2017-07-29T22:20:29 --startdatetime 2017-07-29T23:01:03 --delay 1 --endMP 204:36942 --enddatetime 2017-07-29T23:11:07 --enforcementcount 0 &gt;&gt;C:\Users\stu\Documents\GitHub\eaglep3-reporting\EC\2017-07-29-refined-times.txt</v>
      </c>
      <c r="AI145" s="96" t="str">
        <f t="shared" si="61"/>
        <v>echo {"issue":{"subject":"Minor onboard in-route failure caused signal unknown banner","project_id":79,"tracker_id":40,"status_id":1,"priority_id":2,"assigned_to_id":23,"start_date":"2017-07-29","description":"","custom_fields":[{"id":1,"name":"Subdivision","value":"EC"},{"id":4,"name":"Milepost","value":"3.6942"},{"id":17,"name":"Train ID","value":"232-29"},{"id":16,"name":"Locomotive ID","value":"4007"},{"id":130,"name":"Impact","value":""},{"id":150,"name":"Time of Event (Mountain Time)","value":"23:11:07"},{"id":151,"name":"Denver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2"/>
        <v>start /low /b %USERPROFILE%\Documents\GitHub\eaglep3\Utilities\DownloadLogsFromS3.py --loco 4007 --day 2017-07-29</v>
      </c>
      <c r="AN145" s="151" t="str">
        <f t="shared" si="63"/>
        <v>echo {"issue":{"subject":"Minor onboard in-route failure caused signal unknown banner","project_id":30,"tracker_id":4,"status_id":1,"priority_id":1,"assigned_to_id":10,"start_date":"2017-07-30","description":"","custom_fields":[{"id":30,"name":"Category","value":"Issue"},{"id":3,"name":"Functional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05:11:07"},{"id":29,"name":"Sharepoint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859</v>
      </c>
      <c r="B146" s="7">
        <v>4007</v>
      </c>
      <c r="C146" s="21" t="s">
        <v>198</v>
      </c>
      <c r="D146" s="21" t="s">
        <v>989</v>
      </c>
      <c r="E146" s="13">
        <v>42945.958101851851</v>
      </c>
      <c r="F146" s="13">
        <v>42945.959062499998</v>
      </c>
      <c r="G146" s="7">
        <v>1</v>
      </c>
      <c r="H146" s="21" t="s">
        <v>351</v>
      </c>
      <c r="I146" s="13">
        <v>42945.966053240743</v>
      </c>
      <c r="J146" s="7">
        <v>0</v>
      </c>
      <c r="K146" s="89" t="str">
        <f t="shared" si="48"/>
        <v>4007/4008</v>
      </c>
      <c r="L146" s="21" t="str">
        <f>VLOOKUP(A146,'Trips&amp;Operators'!$C$1:$G$99999,5,FALSE)</f>
        <v>YANG JAN</v>
      </c>
      <c r="M146" s="6">
        <f t="shared" si="49"/>
        <v>6.9907407450955361E-3</v>
      </c>
      <c r="N146" s="7"/>
      <c r="O146" s="7"/>
      <c r="P146" s="7"/>
      <c r="Q146" s="22"/>
      <c r="R146" s="170"/>
      <c r="S146" s="213"/>
      <c r="T146" s="195" t="str">
        <f t="shared" si="50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3</v>
      </c>
      <c r="V146" s="196" t="str">
        <f t="shared" si="51"/>
        <v>https://d0f6bd738d7f1b3e5a7ca70fe4ff75f0.us-east-1.aws.found.io/app/kibana#/discover/Steve-Slow-Train-Analysis-(2080s-and-2083s)?_g=(refreshInterval:(display:Off,pause:!f,section:0,value:0),time:(from:'2017-07-29T21:59:40-0600',mode:absolute,to:'2017-07-30T00:11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6" s="197" t="str">
        <f>IF(AA146&lt;VLOOKUP(AG146,Variables!$AC$3:$AD$8,2,FALSE),"Y","N")</f>
        <v>Y</v>
      </c>
      <c r="X146" s="197">
        <f t="shared" si="52"/>
        <v>0</v>
      </c>
      <c r="Y146" s="197">
        <f t="shared" si="53"/>
        <v>3.6781000000000001</v>
      </c>
      <c r="Z146" s="197">
        <f t="shared" si="54"/>
        <v>1.41E-2</v>
      </c>
      <c r="AA146" s="197">
        <f t="shared" si="55"/>
        <v>3.6640000000000001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56"/>
        <v>232</v>
      </c>
      <c r="AE146" s="77" t="str">
        <f t="shared" si="57"/>
        <v>aws s3 cp s3://rtdc.mdm.uploadarchive.raw/RTDC4007/ "%USERPROFILE%\AppData\Local\Temp\OnboardLogs"\RTDC4007\2017-07-29 --exclude "*" --recursive --include "*20170729*" &amp; "%USERPROFILE%\Documents\GitHub\mrs-test-scripts\Headless Mode &amp; Sideloading\WalkAndUnGZ.bat" "%USERPROFILE%\AppData\Local\Temp\OnboardLogs"\RTDC4007\2017-07-29 &amp; aws s3 cp s3://rtdc.mdm.uploadarchive.raw/RTDC4007/ "%USERPROFILE%\AppData\Local\Temp\OnboardLogs"\RTDC4007\2017-07-30 --exclude "*" --recursive --include "*20170730*" &amp; "%USERPROFILE%\Documents\GitHub\mrs-test-scripts\Headless Mode &amp; Sideloading\WalkAndUnGZ.bat" "%USERPROFILE%\AppData\Local\Temp\OnboardLogs"\RTDC4007\2017-07-30</v>
      </c>
      <c r="AF146" s="74" t="str">
        <f t="shared" si="58"/>
        <v>"C:\Program Files (x86)\AstroGrep\AstroGrep.exe" /e /r /s /spath="%USERPROFILE%\AppData\Local\Temp\OnboardLogs" /stypes="app*4007*20170730*" /stext=" 05:.+((SYSTEM_STATE.+slice.+state.+changed )|(ment ac)|(multiple cpu faults)|(system.+state.+changed )|(\[timeout)|(PRM\|1\|D)|(kpr)|(kdp)|(train st.+moving)|(\|lc)|(penalty))"</v>
      </c>
      <c r="AG146" s="209" t="str">
        <f t="shared" si="59"/>
        <v>EC</v>
      </c>
      <c r="AH146" s="78" t="str">
        <f t="shared" si="60"/>
        <v>"%USERPROFILE%\Documents\GitHub\eaglep3\Utilities\RefineRTDCRunTimes.py" --tripid 232-29 --locoid 4007 --swversion DE.1.0.9.0 --startMP 204:36781 --initTime 2017-07-29T22:59:40 --startdatetime 2017-07-29T23:01:03 --delay 1 --endMP 204:141 --enddatetime 2017-07-29T23:11:07 --enforcementcount 0 &gt;&gt;C:\Users\stu\Documents\GitHub\eaglep3-reporting\EC\2017-07-29-refined-times.txt</v>
      </c>
      <c r="AI146" s="96" t="str">
        <f t="shared" si="61"/>
        <v>echo {"issue":{"subject":"","project_id":79,"tracker_id":40,"status_id":1,"priority_id":2,"assigned_to_id":23,"start_date":"2017-07-29","description":"","custom_fields":[{"id":1,"name":"Subdivision","value":"EC"},{"id":4,"name":"Milepost","value":"0.0141"},{"id":17,"name":"Train ID","value":"232-29"},{"id":16,"name":"Locomotive ID","value":"4007"},{"id":130,"name":"Impact","value":""},{"id":150,"name":"Time of Event (Mountain Time)","value":"23:11:07"},{"id":151,"name":"Denver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2"/>
        <v>start /low /b %USERPROFILE%\Documents\GitHub\eaglep3\Utilities\DownloadLogsFromS3.py --loco 4007 --day 2017-07-29</v>
      </c>
      <c r="AN146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05:11:07"},{"id":29,"name":"Sharepoint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856</v>
      </c>
      <c r="B147" s="7">
        <v>4024</v>
      </c>
      <c r="C147" s="21" t="s">
        <v>198</v>
      </c>
      <c r="D147" s="21" t="s">
        <v>449</v>
      </c>
      <c r="E147" s="13">
        <v>42945.906064814815</v>
      </c>
      <c r="F147" s="13">
        <v>42945.917245370372</v>
      </c>
      <c r="G147" s="7">
        <v>1</v>
      </c>
      <c r="H147" s="21" t="s">
        <v>410</v>
      </c>
      <c r="I147" s="13">
        <v>42945.94258101852</v>
      </c>
      <c r="J147" s="7">
        <v>0</v>
      </c>
      <c r="K147" s="89" t="str">
        <f t="shared" si="48"/>
        <v>4023/4024</v>
      </c>
      <c r="L147" s="21" t="str">
        <f>VLOOKUP(A147,'Trips&amp;Operators'!$C$1:$G$99999,5,FALSE)</f>
        <v>PERKINS DARREN</v>
      </c>
      <c r="M147" s="6">
        <f t="shared" si="49"/>
        <v>2.5335648148029577E-2</v>
      </c>
      <c r="N147" s="7">
        <f t="shared" ref="N147:N178" si="64">24*60*SUM($M147:$M147)</f>
        <v>36.483333333162591</v>
      </c>
      <c r="O147" s="7"/>
      <c r="P147" s="7"/>
      <c r="Q147" s="22"/>
      <c r="R147" s="170"/>
      <c r="S147" s="213">
        <f t="shared" ref="S147:S178" si="65">1/IF(AG147="EC",12,1)*SUM(U147:U147)</f>
        <v>1</v>
      </c>
      <c r="T147" s="195" t="str">
        <f t="shared" si="50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51"/>
        <v>https://d0f6bd738d7f1b3e5a7ca70fe4ff75f0.us-east-1.aws.found.io/app/kibana#/discover/Steve-Slow-Train-Analysis-(2080s-and-2083s)?_g=(refreshInterval:(display:Off,pause:!f,section:0,value:0),time:(from:'2017-07-29T20:44:44-0600',mode:absolute,to:'2017-07-29T23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7" s="197" t="str">
        <f>IF(AA147&lt;VLOOKUP(AG147,Variables!$AC$3:$AD$8,2,FALSE),"Y","N")</f>
        <v>N</v>
      </c>
      <c r="X147" s="197">
        <f t="shared" si="52"/>
        <v>1</v>
      </c>
      <c r="Y147" s="197">
        <f t="shared" si="53"/>
        <v>4.4200000000000003E-2</v>
      </c>
      <c r="Z147" s="197">
        <f t="shared" si="54"/>
        <v>23.329699999999999</v>
      </c>
      <c r="AA147" s="197">
        <f t="shared" si="55"/>
        <v>23.285499999999999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56"/>
        <v>233</v>
      </c>
      <c r="AE147" s="77" t="str">
        <f t="shared" si="57"/>
        <v>aws s3 cp s3://rtdc.mdm.uploadarchive.raw/RTDC4024/ "%USERPROFILE%\AppData\Local\Temp\OnboardLogs"\RTDC4024\2017-07-29 --exclude "*" --recursive --include "*20170729*" &amp; "%USERPROFILE%\Documents\GitHub\mrs-test-scripts\Headless Mode &amp; Sideloading\WalkAndUnGZ.bat" "%USERPROFILE%\AppData\Local\Temp\OnboardLogs"\RTDC4024\2017-07-29 &amp; aws s3 cp s3://rtdc.mdm.uploadarchive.raw/RTDC4024/ "%USERPROFILE%\AppData\Local\Temp\OnboardLogs"\RTDC4024\2017-07-30 --exclude "*" --recursive --include "*20170730*" &amp; "%USERPROFILE%\Documents\GitHub\mrs-test-scripts\Headless Mode &amp; Sideloading\WalkAndUnGZ.bat" "%USERPROFILE%\AppData\Local\Temp\OnboardLogs"\RTDC4024\2017-07-30</v>
      </c>
      <c r="AF147" s="74" t="str">
        <f t="shared" si="58"/>
        <v>"C:\Program Files (x86)\AstroGrep\AstroGrep.exe" /e /r /s /spath="%USERPROFILE%\AppData\Local\Temp\OnboardLogs" /stypes="app*4024*20170730*" /stext=" 04:.+((SYSTEM_STATE.+slice.+state.+changed )|(ment ac)|(multiple cpu faults)|(system.+state.+changed )|(\[timeout)|(PRM\|1\|D)|(kpr)|(kdp)|(train st.+moving)|(\|lc)|(penalty))"</v>
      </c>
      <c r="AG147" s="209" t="str">
        <f t="shared" si="59"/>
        <v>EC</v>
      </c>
      <c r="AH147" s="78" t="str">
        <f t="shared" si="60"/>
        <v>"%USERPROFILE%\Documents\GitHub\eaglep3\Utilities\RefineRTDCRunTimes.py" --tripid 233-29 --locoid 4024 --swversion DE.1.0.9.0 --startMP 204:442 --initTime 2017-07-29T21:44:44 --startdatetime 2017-07-29T22:00:50 --delay 1 --endMP 204:233297 --enddatetime 2017-07-29T22:37:19 --enforcementcount 0 &gt;&gt;C:\Users\stu\Documents\GitHub\eaglep3-reporting\EC\2017-07-29-refined-times.txt</v>
      </c>
      <c r="AI147" s="96" t="str">
        <f t="shared" si="61"/>
        <v>echo {"issue":{"subject":"","project_id":79,"tracker_id":40,"status_id":1,"priority_id":2,"assigned_to_id":23,"start_date":"2017-07-29","description":"","custom_fields":[{"id":1,"name":"Subdivision","value":"EC"},{"id":4,"name":"Milepost","value":"23.3297"},{"id":17,"name":"Train ID","value":"233-29"},{"id":16,"name":"Locomotive ID","value":"4024"},{"id":130,"name":"Impact","value":""},{"id":150,"name":"Time of Event (Mountain Time)","value":"22:37:19"},{"id":151,"name":"Denver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2"/>
        <v>start /low /b %USERPROFILE%\Documents\GitHub\eaglep3\Utilities\DownloadLogsFromS3.py --loco 4024 --day 2017-07-29</v>
      </c>
      <c r="AN147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04:37:19"},{"id":29,"name":"Sharepoint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660</v>
      </c>
      <c r="B148" s="7">
        <v>4023</v>
      </c>
      <c r="C148" s="21" t="s">
        <v>198</v>
      </c>
      <c r="D148" s="21" t="s">
        <v>391</v>
      </c>
      <c r="E148" s="13">
        <v>42945.95175925926</v>
      </c>
      <c r="F148" s="13">
        <v>42945.956458333334</v>
      </c>
      <c r="G148" s="7">
        <v>1</v>
      </c>
      <c r="H148" s="21" t="s">
        <v>990</v>
      </c>
      <c r="I148" s="13">
        <v>42945.984918981485</v>
      </c>
      <c r="J148" s="7">
        <v>0</v>
      </c>
      <c r="K148" s="89" t="str">
        <f t="shared" si="48"/>
        <v>4023/4024</v>
      </c>
      <c r="L148" s="21" t="str">
        <f>VLOOKUP(A148,'Trips&amp;Operators'!$C$1:$G$99999,5,FALSE)</f>
        <v>PERKINS DARREN</v>
      </c>
      <c r="M148" s="6">
        <f t="shared" si="49"/>
        <v>2.846064815093996E-2</v>
      </c>
      <c r="N148" s="7">
        <f t="shared" si="64"/>
        <v>40.983333337353542</v>
      </c>
      <c r="O148" s="7"/>
      <c r="P148" s="7"/>
      <c r="Q148" s="22"/>
      <c r="R148" s="170"/>
      <c r="S148" s="213">
        <f t="shared" si="65"/>
        <v>1</v>
      </c>
      <c r="T148" s="195" t="str">
        <f t="shared" si="50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51"/>
        <v>https://d0f6bd738d7f1b3e5a7ca70fe4ff75f0.us-east-1.aws.found.io/app/kibana#/discover/Steve-Slow-Train-Analysis-(2080s-and-2083s)?_g=(refreshInterval:(display:Off,pause:!f,section:0,value:0),time:(from:'2017-07-29T21:50:32-0600',mode:absolute,to:'2017-07-30T00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8" s="197" t="str">
        <f>IF(AA148&lt;VLOOKUP(AG148,Variables!$AC$3:$AD$8,2,FALSE),"Y","N")</f>
        <v>N</v>
      </c>
      <c r="X148" s="197">
        <f t="shared" si="52"/>
        <v>1</v>
      </c>
      <c r="Y148" s="197">
        <f t="shared" si="53"/>
        <v>23.299600000000002</v>
      </c>
      <c r="Z148" s="197">
        <f t="shared" si="54"/>
        <v>1.14E-2</v>
      </c>
      <c r="AA148" s="197">
        <f t="shared" si="55"/>
        <v>23.288200000000003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56"/>
        <v>234</v>
      </c>
      <c r="AE148" s="77" t="str">
        <f t="shared" si="57"/>
        <v>aws s3 cp s3://rtdc.mdm.uploadarchive.raw/RTDC4023/ "%USERPROFILE%\AppData\Local\Temp\OnboardLogs"\RTDC4023\2017-07-29 --exclude "*" --recursive --include "*20170729*" &amp; "%USERPROFILE%\Documents\GitHub\mrs-test-scripts\Headless Mode &amp; Sideloading\WalkAndUnGZ.bat" "%USERPROFILE%\AppData\Local\Temp\OnboardLogs"\RTDC4023\2017-07-29 &amp; aws s3 cp s3://rtdc.mdm.uploadarchive.raw/RTDC4023/ "%USERPROFILE%\AppData\Local\Temp\OnboardLogs"\RTDC4023\2017-07-30 --exclude "*" --recursive --include "*20170730*" &amp; "%USERPROFILE%\Documents\GitHub\mrs-test-scripts\Headless Mode &amp; Sideloading\WalkAndUnGZ.bat" "%USERPROFILE%\AppData\Local\Temp\OnboardLogs"\RTDC4023\2017-07-30</v>
      </c>
      <c r="AF148" s="74" t="str">
        <f t="shared" si="58"/>
        <v>"C:\Program Files (x86)\AstroGrep\AstroGrep.exe" /e /r /s /spath="%USERPROFILE%\AppData\Local\Temp\OnboardLogs" /stypes="app*4023*20170730*" /stext=" 05:.+((SYSTEM_STATE.+slice.+state.+changed )|(ment ac)|(multiple cpu faults)|(system.+state.+changed )|(\[timeout)|(PRM\|1\|D)|(kpr)|(kdp)|(train st.+moving)|(\|lc)|(penalty))"</v>
      </c>
      <c r="AG148" s="209" t="str">
        <f t="shared" si="59"/>
        <v>EC</v>
      </c>
      <c r="AH148" s="78" t="str">
        <f t="shared" si="60"/>
        <v>"%USERPROFILE%\Documents\GitHub\eaglep3\Utilities\RefineRTDCRunTimes.py" --tripid 234-29 --locoid 4023 --swversion DE.1.0.9.0 --startMP 204:232996 --initTime 2017-07-29T22:50:32 --startdatetime 2017-07-29T22:57:18 --delay 1 --endMP 204:114 --enddatetime 2017-07-29T23:38:17 --enforcementcount 0 &gt;&gt;C:\Users\stu\Documents\GitHub\eaglep3-reporting\EC\2017-07-29-refined-times.txt</v>
      </c>
      <c r="AI148" s="96" t="str">
        <f t="shared" si="61"/>
        <v>echo {"issue":{"subject":"","project_id":79,"tracker_id":40,"status_id":1,"priority_id":2,"assigned_to_id":23,"start_date":"2017-07-29","description":"","custom_fields":[{"id":1,"name":"Subdivision","value":"EC"},{"id":4,"name":"Milepost","value":"0.0114"},{"id":17,"name":"Train ID","value":"234-29"},{"id":16,"name":"Locomotive ID","value":"4023"},{"id":130,"name":"Impact","value":""},{"id":150,"name":"Time of Event (Mountain Time)","value":"23:38:17"},{"id":151,"name":"Denver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2"/>
        <v>start /low /b %USERPROFILE%\Documents\GitHub\eaglep3\Utilities\DownloadLogsFromS3.py --loco 4023 --day 2017-07-29</v>
      </c>
      <c r="AN148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05:38:17"},{"id":29,"name":"Sharepoint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857</v>
      </c>
      <c r="B149" s="7">
        <v>4056</v>
      </c>
      <c r="C149" s="21" t="s">
        <v>198</v>
      </c>
      <c r="D149" s="21" t="s">
        <v>411</v>
      </c>
      <c r="E149" s="13">
        <v>42945.927546296298</v>
      </c>
      <c r="F149" s="13">
        <v>42945.938009259262</v>
      </c>
      <c r="G149" s="7">
        <v>1</v>
      </c>
      <c r="H149" s="21" t="s">
        <v>880</v>
      </c>
      <c r="I149" s="13">
        <v>42945.963402777779</v>
      </c>
      <c r="J149" s="7">
        <v>0</v>
      </c>
      <c r="K149" s="89" t="str">
        <f t="shared" si="48"/>
        <v>4055/4056</v>
      </c>
      <c r="L149" s="21" t="str">
        <f>VLOOKUP(A149,'Trips&amp;Operators'!$C$1:$G$99999,5,FALSE)</f>
        <v>FORTUNATO FRANK</v>
      </c>
      <c r="M149" s="6">
        <f t="shared" si="49"/>
        <v>2.5393518517375924E-2</v>
      </c>
      <c r="N149" s="7">
        <f t="shared" si="64"/>
        <v>36.56666666502133</v>
      </c>
      <c r="O149" s="7"/>
      <c r="P149" s="7"/>
      <c r="Q149" s="22"/>
      <c r="R149" s="170"/>
      <c r="S149" s="213">
        <f t="shared" si="65"/>
        <v>1</v>
      </c>
      <c r="T149" s="195" t="str">
        <f t="shared" si="50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51"/>
        <v>https://d0f6bd738d7f1b3e5a7ca70fe4ff75f0.us-east-1.aws.found.io/app/kibana#/discover/Steve-Slow-Train-Analysis-(2080s-and-2083s)?_g=(refreshInterval:(display:Off,pause:!f,section:0,value:0),time:(from:'2017-07-29T21:15:40-0600',mode:absolute,to:'2017-07-30T00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9" s="197" t="str">
        <f>IF(AA149&lt;VLOOKUP(AG149,Variables!$AC$3:$AD$8,2,FALSE),"Y","N")</f>
        <v>N</v>
      </c>
      <c r="X149" s="197">
        <f t="shared" si="52"/>
        <v>1</v>
      </c>
      <c r="Y149" s="197">
        <f t="shared" si="53"/>
        <v>4.3499999999999997E-2</v>
      </c>
      <c r="Z149" s="197">
        <f t="shared" si="54"/>
        <v>23.331800000000001</v>
      </c>
      <c r="AA149" s="197">
        <f t="shared" si="55"/>
        <v>23.2883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56"/>
        <v>235</v>
      </c>
      <c r="AE149" s="77" t="str">
        <f t="shared" si="57"/>
        <v>aws s3 cp s3://rtdc.mdm.uploadarchive.raw/RTDC4056/ "%USERPROFILE%\AppData\Local\Temp\OnboardLogs"\RTDC4056\2017-07-29 --exclude "*" --recursive --include "*20170729*" &amp; "%USERPROFILE%\Documents\GitHub\mrs-test-scripts\Headless Mode &amp; Sideloading\WalkAndUnGZ.bat" "%USERPROFILE%\AppData\Local\Temp\OnboardLogs"\RTDC4056\2017-07-29 &amp; aws s3 cp s3://rtdc.mdm.uploadarchive.raw/RTDC4056/ "%USERPROFILE%\AppData\Local\Temp\OnboardLogs"\RTDC4056\2017-07-30 --exclude "*" --recursive --include "*20170730*" &amp; "%USERPROFILE%\Documents\GitHub\mrs-test-scripts\Headless Mode &amp; Sideloading\WalkAndUnGZ.bat" "%USERPROFILE%\AppData\Local\Temp\OnboardLogs"\RTDC4056\2017-07-30</v>
      </c>
      <c r="AF149" s="74" t="str">
        <f t="shared" si="58"/>
        <v>"C:\Program Files (x86)\AstroGrep\AstroGrep.exe" /e /r /s /spath="%USERPROFILE%\AppData\Local\Temp\OnboardLogs" /stypes="app*4056*20170730*" /stext=" 05:.+((SYSTEM_STATE.+slice.+state.+changed )|(ment ac)|(multiple cpu faults)|(system.+state.+changed )|(\[timeout)|(PRM\|1\|D)|(kpr)|(kdp)|(train st.+moving)|(\|lc)|(penalty))"</v>
      </c>
      <c r="AG149" s="209" t="str">
        <f t="shared" si="59"/>
        <v>EC</v>
      </c>
      <c r="AH149" s="78" t="str">
        <f t="shared" si="60"/>
        <v>"%USERPROFILE%\Documents\GitHub\eaglep3\Utilities\RefineRTDCRunTimes.py" --tripid 235-29 --locoid 4056 --swversion DE.1.0.9.0 --startMP 204:435 --initTime 2017-07-29T22:15:40 --startdatetime 2017-07-29T22:30:44 --delay 1 --endMP 204:233318 --enddatetime 2017-07-29T23:07:18 --enforcementcount 0 &gt;&gt;C:\Users\stu\Documents\GitHub\eaglep3-reporting\EC\2017-07-29-refined-times.txt</v>
      </c>
      <c r="AI149" s="96" t="str">
        <f t="shared" si="61"/>
        <v>echo {"issue":{"subject":"","project_id":79,"tracker_id":40,"status_id":1,"priority_id":2,"assigned_to_id":23,"start_date":"2017-07-29","description":"","custom_fields":[{"id":1,"name":"Subdivision","value":"EC"},{"id":4,"name":"Milepost","value":"23.3318"},{"id":17,"name":"Train ID","value":"235-29"},{"id":16,"name":"Locomotive ID","value":"4056"},{"id":130,"name":"Impact","value":""},{"id":150,"name":"Time of Event (Mountain Time)","value":"23:07:18"},{"id":151,"name":"Denver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2"/>
        <v>start /low /b %USERPROFILE%\Documents\GitHub\eaglep3\Utilities\DownloadLogsFromS3.py --loco 4056 --day 2017-07-29</v>
      </c>
      <c r="AN149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05:07:18"},{"id":29,"name":"Sharepoint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862</v>
      </c>
      <c r="B150" s="7">
        <v>4055</v>
      </c>
      <c r="C150" s="21" t="s">
        <v>198</v>
      </c>
      <c r="D150" s="21" t="s">
        <v>986</v>
      </c>
      <c r="E150" s="13">
        <v>42945.964872685188</v>
      </c>
      <c r="F150" s="13">
        <v>42945.977372685185</v>
      </c>
      <c r="G150" s="7">
        <v>0</v>
      </c>
      <c r="H150" s="21" t="s">
        <v>991</v>
      </c>
      <c r="I150" s="13">
        <v>42946.006307870368</v>
      </c>
      <c r="J150" s="7">
        <v>0</v>
      </c>
      <c r="K150" s="89" t="str">
        <f t="shared" si="48"/>
        <v>4055/4056</v>
      </c>
      <c r="L150" s="21" t="str">
        <f>VLOOKUP(A150,'Trips&amp;Operators'!$C$1:$G$99999,5,FALSE)</f>
        <v>FORTUNATO FRANK</v>
      </c>
      <c r="M150" s="6">
        <f t="shared" si="49"/>
        <v>2.8935185182490386E-2</v>
      </c>
      <c r="N150" s="7">
        <f t="shared" si="64"/>
        <v>41.666666662786156</v>
      </c>
      <c r="O150" s="7"/>
      <c r="P150" s="7"/>
      <c r="Q150" s="22"/>
      <c r="R150" s="170"/>
      <c r="S150" s="213">
        <f t="shared" si="65"/>
        <v>1</v>
      </c>
      <c r="T150" s="195" t="str">
        <f t="shared" si="50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51"/>
        <v>https://d0f6bd738d7f1b3e5a7ca70fe4ff75f0.us-east-1.aws.found.io/app/kibana#/discover/Steve-Slow-Train-Analysis-(2080s-and-2083s)?_g=(refreshInterval:(display:Off,pause:!f,section:0,value:0),time:(from:'2017-07-29T22:09:25-0600',mode:absolute,to:'2017-07-30T01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0" s="197" t="str">
        <f>IF(AA150&lt;VLOOKUP(AG150,Variables!$AC$3:$AD$8,2,FALSE),"Y","N")</f>
        <v>N</v>
      </c>
      <c r="X150" s="197">
        <f t="shared" si="52"/>
        <v>1</v>
      </c>
      <c r="Y150" s="197">
        <f t="shared" si="53"/>
        <v>23.299199999999999</v>
      </c>
      <c r="Z150" s="197">
        <f t="shared" si="54"/>
        <v>1.72E-2</v>
      </c>
      <c r="AA150" s="197">
        <f t="shared" si="55"/>
        <v>23.282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56"/>
        <v>236</v>
      </c>
      <c r="AE150" s="77" t="str">
        <f t="shared" si="57"/>
        <v>aws s3 cp s3://rtdc.mdm.uploadarchive.raw/RTDC4055/ "%USERPROFILE%\AppData\Local\Temp\OnboardLogs"\RTDC4055\2017-07-29 --exclude "*" --recursive --include "*20170729*" &amp; "%USERPROFILE%\Documents\GitHub\mrs-test-scripts\Headless Mode &amp; Sideloading\WalkAndUnGZ.bat" "%USERPROFILE%\AppData\Local\Temp\OnboardLogs"\RTDC4055\2017-07-29 &amp; aws s3 cp s3://rtdc.mdm.uploadarchive.raw/RTDC4055/ "%USERPROFILE%\AppData\Local\Temp\OnboardLogs"\RTDC4055\2017-07-30 --exclude "*" --recursive --include "*20170730*" &amp; "%USERPROFILE%\Documents\GitHub\mrs-test-scripts\Headless Mode &amp; Sideloading\WalkAndUnGZ.bat" "%USERPROFILE%\AppData\Local\Temp\OnboardLogs"\RTDC4055\2017-07-30</v>
      </c>
      <c r="AF150" s="74" t="str">
        <f t="shared" si="58"/>
        <v>"C:\Program Files (x86)\AstroGrep\AstroGrep.exe" /e /r /s /spath="%USERPROFILE%\AppData\Local\Temp\OnboardLogs" /stypes="app*4055*20170730*" /stext=" 06:.+((SYSTEM_STATE.+slice.+state.+changed )|(ment ac)|(multiple cpu faults)|(system.+state.+changed )|(\[timeout)|(PRM\|1\|D)|(kpr)|(kdp)|(train st.+moving)|(\|lc)|(penalty))"</v>
      </c>
      <c r="AG150" s="209" t="str">
        <f t="shared" si="59"/>
        <v>EC</v>
      </c>
      <c r="AH150" s="78" t="str">
        <f t="shared" si="60"/>
        <v>"%USERPROFILE%\Documents\GitHub\eaglep3\Utilities\RefineRTDCRunTimes.py" --tripid 236-29 --locoid 4055 --swversion DE.1.0.9.0 --startMP 204:232992 --initTime 2017-07-29T23:09:25 --startdatetime 2017-07-29T23:27:25 --delay 0 --endMP 204:172 --enddatetime 2017-07-30T00:09:05 --enforcementcount 0 &gt;&gt;C:\Users\stu\Documents\GitHub\eaglep3-reporting\EC\2017-07-29-refined-times.txt</v>
      </c>
      <c r="AI150" s="96" t="str">
        <f t="shared" si="61"/>
        <v>echo {"issue":{"subject":"","project_id":79,"tracker_id":40,"status_id":1,"priority_id":2,"assigned_to_id":23,"start_date":"2017-07-30","description":"","custom_fields":[{"id":1,"name":"Subdivision","value":"EC"},{"id":4,"name":"Milepost","value":"0.0172"},{"id":17,"name":"Train ID","value":"236-29"},{"id":16,"name":"Locomotive ID","value":"4055"},{"id":130,"name":"Impact","value":""},{"id":150,"name":"Time of Event (Mountain Time)","value":"00:09:05"},{"id":151,"name":"Denver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62"/>
        <v>start /low /b %USERPROFILE%\Documents\GitHub\eaglep3\Utilities\DownloadLogsFromS3.py --loco 4055 --day 2017-07-29</v>
      </c>
      <c r="AN150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06:09:05"},{"id":29,"name":"Sharepoint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861</v>
      </c>
      <c r="B151" s="7">
        <v>4042</v>
      </c>
      <c r="C151" s="21" t="s">
        <v>198</v>
      </c>
      <c r="D151" s="21" t="s">
        <v>992</v>
      </c>
      <c r="E151" s="13">
        <v>42945.95521990741</v>
      </c>
      <c r="F151" s="13">
        <v>42945.958854166667</v>
      </c>
      <c r="G151" s="7">
        <v>1</v>
      </c>
      <c r="H151" s="21" t="s">
        <v>513</v>
      </c>
      <c r="I151" s="13">
        <v>42945.985798611109</v>
      </c>
      <c r="J151" s="7">
        <v>0</v>
      </c>
      <c r="K151" s="89" t="str">
        <f t="shared" si="48"/>
        <v>4041/4042</v>
      </c>
      <c r="L151" s="21" t="str">
        <f>VLOOKUP(A151,'Trips&amp;Operators'!$C$1:$G$99999,5,FALSE)</f>
        <v>LAMAR NEKESHA</v>
      </c>
      <c r="M151" s="6">
        <f t="shared" si="49"/>
        <v>2.6944444442051463E-2</v>
      </c>
      <c r="N151" s="7">
        <f t="shared" si="64"/>
        <v>38.799999996554106</v>
      </c>
      <c r="O151" s="7"/>
      <c r="P151" s="7"/>
      <c r="Q151" s="22"/>
      <c r="R151" s="170"/>
      <c r="S151" s="213">
        <f t="shared" si="65"/>
        <v>1</v>
      </c>
      <c r="T151" s="195" t="str">
        <f t="shared" si="50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51"/>
        <v>https://d0f6bd738d7f1b3e5a7ca70fe4ff75f0.us-east-1.aws.found.io/app/kibana#/discover/Steve-Slow-Train-Analysis-(2080s-and-2083s)?_g=(refreshInterval:(display:Off,pause:!f,section:0,value:0),time:(from:'2017-07-29T21:55:31-0600',mode:absolute,to:'2017-07-30T00:39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1" s="197" t="str">
        <f>IF(AA151&lt;VLOOKUP(AG151,Variables!$AC$3:$AD$8,2,FALSE),"Y","N")</f>
        <v>N</v>
      </c>
      <c r="X151" s="197">
        <f t="shared" si="52"/>
        <v>1</v>
      </c>
      <c r="Y151" s="197">
        <f t="shared" si="53"/>
        <v>4.8000000000000001E-2</v>
      </c>
      <c r="Z151" s="197">
        <f t="shared" si="54"/>
        <v>23.328299999999999</v>
      </c>
      <c r="AA151" s="197">
        <f t="shared" si="55"/>
        <v>23.2803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56"/>
        <v>237</v>
      </c>
      <c r="AE151" s="77" t="str">
        <f t="shared" si="57"/>
        <v>aws s3 cp s3://rtdc.mdm.uploadarchive.raw/RTDC4042/ "%USERPROFILE%\AppData\Local\Temp\OnboardLogs"\RTDC4042\2017-07-29 --exclude "*" --recursive --include "*20170729*" &amp; "%USERPROFILE%\Documents\GitHub\mrs-test-scripts\Headless Mode &amp; Sideloading\WalkAndUnGZ.bat" "%USERPROFILE%\AppData\Local\Temp\OnboardLogs"\RTDC4042\2017-07-29 &amp; aws s3 cp s3://rtdc.mdm.uploadarchive.raw/RTDC4042/ "%USERPROFILE%\AppData\Local\Temp\OnboardLogs"\RTDC4042\2017-07-30 --exclude "*" --recursive --include "*20170730*" &amp; "%USERPROFILE%\Documents\GitHub\mrs-test-scripts\Headless Mode &amp; Sideloading\WalkAndUnGZ.bat" "%USERPROFILE%\AppData\Local\Temp\OnboardLogs"\RTDC4042\2017-07-30</v>
      </c>
      <c r="AF151" s="74" t="str">
        <f t="shared" si="58"/>
        <v>"C:\Program Files (x86)\AstroGrep\AstroGrep.exe" /e /r /s /spath="%USERPROFILE%\AppData\Local\Temp\OnboardLogs" /stypes="app*4042*20170730*" /stext=" 05:.+((SYSTEM_STATE.+slice.+state.+changed )|(ment ac)|(multiple cpu faults)|(system.+state.+changed )|(\[timeout)|(PRM\|1\|D)|(kpr)|(kdp)|(train st.+moving)|(\|lc)|(penalty))"</v>
      </c>
      <c r="AG151" s="209" t="str">
        <f t="shared" si="59"/>
        <v>EC</v>
      </c>
      <c r="AH151" s="78" t="str">
        <f t="shared" si="60"/>
        <v>"%USERPROFILE%\Documents\GitHub\eaglep3\Utilities\RefineRTDCRunTimes.py" --tripid 237-29 --locoid 4042 --swversion DE.1.0.9.0 --startMP 204:480 --initTime 2017-07-29T22:55:31 --startdatetime 2017-07-29T23:00:45 --delay 1 --endMP 204:233283 --enddatetime 2017-07-29T23:39:33 --enforcementcount 0 &gt;&gt;C:\Users\stu\Documents\GitHub\eaglep3-reporting\EC\2017-07-29-refined-times.txt</v>
      </c>
      <c r="AI151" s="96" t="str">
        <f t="shared" si="61"/>
        <v>echo {"issue":{"subject":"","project_id":79,"tracker_id":40,"status_id":1,"priority_id":2,"assigned_to_id":23,"start_date":"2017-07-29","description":"","custom_fields":[{"id":1,"name":"Subdivision","value":"EC"},{"id":4,"name":"Milepost","value":"23.3283"},{"id":17,"name":"Train ID","value":"237-29"},{"id":16,"name":"Locomotive ID","value":"4042"},{"id":130,"name":"Impact","value":""},{"id":150,"name":"Time of Event (Mountain Time)","value":"23:39:33"},{"id":151,"name":"Denver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2" t="str">
        <f t="shared" si="62"/>
        <v>start /low /b %USERPROFILE%\Documents\GitHub\eaglep3\Utilities\DownloadLogsFromS3.py --loco 4042 --day 2017-07-29</v>
      </c>
      <c r="AN151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05:39:33"},{"id":29,"name":"Sharepoint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</row>
    <row r="152" spans="1:91" x14ac:dyDescent="0.25">
      <c r="A152" s="32" t="s">
        <v>866</v>
      </c>
      <c r="B152" s="7">
        <v>4041</v>
      </c>
      <c r="C152" s="21" t="s">
        <v>198</v>
      </c>
      <c r="D152" s="21" t="s">
        <v>993</v>
      </c>
      <c r="E152" s="13">
        <v>42945.994050925925</v>
      </c>
      <c r="F152" s="13">
        <v>42945.998078703706</v>
      </c>
      <c r="G152" s="7">
        <v>1</v>
      </c>
      <c r="H152" s="21" t="s">
        <v>342</v>
      </c>
      <c r="I152" s="13">
        <v>42946.027199074073</v>
      </c>
      <c r="J152" s="7">
        <v>0</v>
      </c>
      <c r="K152" s="89" t="str">
        <f t="shared" si="48"/>
        <v>4041/4042</v>
      </c>
      <c r="L152" s="21" t="str">
        <f>VLOOKUP(A152,'Trips&amp;Operators'!$C$1:$G$99999,5,FALSE)</f>
        <v>LAMAR NEKESHA</v>
      </c>
      <c r="M152" s="6">
        <f t="shared" si="49"/>
        <v>2.9120370367309079E-2</v>
      </c>
      <c r="N152" s="7">
        <f t="shared" si="64"/>
        <v>41.933333328925073</v>
      </c>
      <c r="O152" s="7"/>
      <c r="P152" s="7"/>
      <c r="Q152" s="22"/>
      <c r="R152" s="170"/>
      <c r="S152" s="213">
        <f t="shared" si="65"/>
        <v>1</v>
      </c>
      <c r="T152" s="195" t="str">
        <f t="shared" si="50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51"/>
        <v>https://d0f6bd738d7f1b3e5a7ca70fe4ff75f0.us-east-1.aws.found.io/app/kibana#/discover/Steve-Slow-Train-Analysis-(2080s-and-2083s)?_g=(refreshInterval:(display:Off,pause:!f,section:0,value:0),time:(from:'2017-07-29T22:51:26-0600',mode:absolute,to:'2017-07-30T01:39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2" s="197" t="str">
        <f>IF(AA152&lt;VLOOKUP(AG152,Variables!$AC$3:$AD$8,2,FALSE),"Y","N")</f>
        <v>N</v>
      </c>
      <c r="X152" s="197">
        <f t="shared" si="52"/>
        <v>1</v>
      </c>
      <c r="Y152" s="197">
        <f t="shared" si="53"/>
        <v>23.2959</v>
      </c>
      <c r="Z152" s="197">
        <f t="shared" si="54"/>
        <v>1.49E-2</v>
      </c>
      <c r="AA152" s="197">
        <f t="shared" si="55"/>
        <v>23.280999999999999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56"/>
        <v>238</v>
      </c>
      <c r="AE152" s="77" t="str">
        <f t="shared" si="57"/>
        <v>aws s3 cp s3://rtdc.mdm.uploadarchive.raw/RTDC4041/ "%USERPROFILE%\AppData\Local\Temp\OnboardLogs"\RTDC4041\2017-07-29 --exclude "*" --recursive --include "*20170729*" &amp; "%USERPROFILE%\Documents\GitHub\mrs-test-scripts\Headless Mode &amp; Sideloading\WalkAndUnGZ.bat" "%USERPROFILE%\AppData\Local\Temp\OnboardLogs"\RTDC4041\2017-07-29 &amp; aws s3 cp s3://rtdc.mdm.uploadarchive.raw/RTDC4041/ "%USERPROFILE%\AppData\Local\Temp\OnboardLogs"\RTDC4041\2017-07-30 --exclude "*" --recursive --include "*20170730*" &amp; "%USERPROFILE%\Documents\GitHub\mrs-test-scripts\Headless Mode &amp; Sideloading\WalkAndUnGZ.bat" "%USERPROFILE%\AppData\Local\Temp\OnboardLogs"\RTDC4041\2017-07-30</v>
      </c>
      <c r="AF152" s="74" t="str">
        <f t="shared" si="58"/>
        <v>"C:\Program Files (x86)\AstroGrep\AstroGrep.exe" /e /r /s /spath="%USERPROFILE%\AppData\Local\Temp\OnboardLogs" /stypes="app*4041*20170730*" /stext=" 06:.+((SYSTEM_STATE.+slice.+state.+changed )|(ment ac)|(multiple cpu faults)|(system.+state.+changed )|(\[timeout)|(PRM\|1\|D)|(kpr)|(kdp)|(train st.+moving)|(\|lc)|(penalty))"</v>
      </c>
      <c r="AG152" s="209" t="str">
        <f t="shared" si="59"/>
        <v>EC</v>
      </c>
      <c r="AH152" s="78" t="str">
        <f t="shared" si="60"/>
        <v>"%USERPROFILE%\Documents\GitHub\eaglep3\Utilities\RefineRTDCRunTimes.py" --tripid 238-29 --locoid 4041 --swversion DE.1.0.9.0 --startMP 204:232959 --initTime 2017-07-29T23:51:26 --startdatetime 2017-07-29T23:57:14 --delay 1 --endMP 204:149 --enddatetime 2017-07-30T00:39:10 --enforcementcount 0 &gt;&gt;C:\Users\stu\Documents\GitHub\eaglep3-reporting\EC\2017-07-29-refined-times.txt</v>
      </c>
      <c r="AI152" s="96" t="str">
        <f t="shared" si="61"/>
        <v>echo {"issue":{"subject":"","project_id":79,"tracker_id":40,"status_id":1,"priority_id":2,"assigned_to_id":23,"start_date":"2017-07-30","description":"","custom_fields":[{"id":1,"name":"Subdivision","value":"EC"},{"id":4,"name":"Milepost","value":"0.0149"},{"id":17,"name":"Train ID","value":"238-29"},{"id":16,"name":"Locomotive ID","value":"4041"},{"id":130,"name":"Impact","value":""},{"id":150,"name":"Time of Event (Mountain Time)","value":"00:39:10"},{"id":151,"name":"Denver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2" t="str">
        <f t="shared" si="62"/>
        <v>start /low /b %USERPROFILE%\Documents\GitHub\eaglep3\Utilities\DownloadLogsFromS3.py --loco 4041 --day 2017-07-29</v>
      </c>
      <c r="AN152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06:39:10"},{"id":29,"name":"Sharepoint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</row>
    <row r="153" spans="1:91" s="20" customFormat="1" x14ac:dyDescent="0.25">
      <c r="A153" s="32" t="s">
        <v>863</v>
      </c>
      <c r="B153" s="7">
        <v>4008</v>
      </c>
      <c r="C153" s="21" t="s">
        <v>198</v>
      </c>
      <c r="D153" s="21" t="s">
        <v>412</v>
      </c>
      <c r="E153" s="13">
        <v>42945.969953703701</v>
      </c>
      <c r="F153" s="13">
        <v>42945.979756944442</v>
      </c>
      <c r="G153" s="7">
        <v>1</v>
      </c>
      <c r="H153" s="21" t="s">
        <v>618</v>
      </c>
      <c r="I153" s="13">
        <v>42946.007233796299</v>
      </c>
      <c r="J153" s="7">
        <v>0</v>
      </c>
      <c r="K153" s="89" t="str">
        <f t="shared" si="48"/>
        <v>4007/4008</v>
      </c>
      <c r="L153" s="21" t="str">
        <f>VLOOKUP(A153,'Trips&amp;Operators'!$C$1:$G$99999,5,FALSE)</f>
        <v>YANG JAN</v>
      </c>
      <c r="M153" s="6">
        <f t="shared" si="49"/>
        <v>2.7476851857500151E-2</v>
      </c>
      <c r="N153" s="7">
        <f t="shared" si="64"/>
        <v>39.566666674800217</v>
      </c>
      <c r="O153" s="7"/>
      <c r="P153" s="7"/>
      <c r="Q153" s="22"/>
      <c r="R153" s="170"/>
      <c r="S153" s="213">
        <f t="shared" si="65"/>
        <v>1</v>
      </c>
      <c r="T153" s="195" t="str">
        <f t="shared" si="50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51"/>
        <v>https://d0f6bd738d7f1b3e5a7ca70fe4ff75f0.us-east-1.aws.found.io/app/kibana#/discover/Steve-Slow-Train-Analysis-(2080s-and-2083s)?_g=(refreshInterval:(display:Off,pause:!f,section:0,value:0),time:(from:'2017-07-29T22:16:44-0600',mode:absolute,to:'2017-07-30T01:10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3" s="197" t="str">
        <f>IF(AA153&lt;VLOOKUP(AG153,Variables!$AC$3:$AD$8,2,FALSE),"Y","N")</f>
        <v>N</v>
      </c>
      <c r="X153" s="197">
        <f t="shared" si="52"/>
        <v>1</v>
      </c>
      <c r="Y153" s="197">
        <f t="shared" si="53"/>
        <v>4.7100000000000003E-2</v>
      </c>
      <c r="Z153" s="197">
        <f t="shared" si="54"/>
        <v>23.332899999999999</v>
      </c>
      <c r="AA153" s="197">
        <f t="shared" si="55"/>
        <v>23.285799999999998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56"/>
        <v>239</v>
      </c>
      <c r="AE153" s="77" t="str">
        <f t="shared" si="57"/>
        <v>aws s3 cp s3://rtdc.mdm.uploadarchive.raw/RTDC4008/ "%USERPROFILE%\AppData\Local\Temp\OnboardLogs"\RTDC4008\2017-07-29 --exclude "*" --recursive --include "*20170729*" &amp; "%USERPROFILE%\Documents\GitHub\mrs-test-scripts\Headless Mode &amp; Sideloading\WalkAndUnGZ.bat" "%USERPROFILE%\AppData\Local\Temp\OnboardLogs"\RTDC4008\2017-07-29 &amp; aws s3 cp s3://rtdc.mdm.uploadarchive.raw/RTDC4008/ "%USERPROFILE%\AppData\Local\Temp\OnboardLogs"\RTDC4008\2017-07-30 --exclude "*" --recursive --include "*20170730*" &amp; "%USERPROFILE%\Documents\GitHub\mrs-test-scripts\Headless Mode &amp; Sideloading\WalkAndUnGZ.bat" "%USERPROFILE%\AppData\Local\Temp\OnboardLogs"\RTDC4008\2017-07-30</v>
      </c>
      <c r="AF153" s="74" t="str">
        <f t="shared" si="58"/>
        <v>"C:\Program Files (x86)\AstroGrep\AstroGrep.exe" /e /r /s /spath="%USERPROFILE%\AppData\Local\Temp\OnboardLogs" /stypes="app*4008*20170730*" /stext=" 06:.+((SYSTEM_STATE.+slice.+state.+changed )|(ment ac)|(multiple cpu faults)|(system.+state.+changed )|(\[timeout)|(PRM\|1\|D)|(kpr)|(kdp)|(train st.+moving)|(\|lc)|(penalty))"</v>
      </c>
      <c r="AG153" s="209" t="str">
        <f t="shared" si="59"/>
        <v>EC</v>
      </c>
      <c r="AH153" s="78" t="str">
        <f t="shared" si="60"/>
        <v>"%USERPROFILE%\Documents\GitHub\eaglep3\Utilities\RefineRTDCRunTimes.py" --tripid 239-29 --locoid 4008 --swversion DE.1.0.9.0 --startMP 204:471 --initTime 2017-07-29T23:16:44 --startdatetime 2017-07-29T23:30:51 --delay 1 --endMP 204:233329 --enddatetime 2017-07-30T00:10:25 --enforcementcount 0 &gt;&gt;C:\Users\stu\Documents\GitHub\eaglep3-reporting\EC\2017-07-29-refined-times.txt</v>
      </c>
      <c r="AI153" s="96" t="str">
        <f t="shared" si="61"/>
        <v>echo {"issue":{"subject":"","project_id":79,"tracker_id":40,"status_id":1,"priority_id":2,"assigned_to_id":23,"start_date":"2017-07-30","description":"","custom_fields":[{"id":1,"name":"Subdivision","value":"EC"},{"id":4,"name":"Milepost","value":"23.3329"},{"id":17,"name":"Train ID","value":"239-29"},{"id":16,"name":"Locomotive ID","value":"4008"},{"id":130,"name":"Impact","value":""},{"id":150,"name":"Time of Event (Mountain Time)","value":"00:10:25"},{"id":151,"name":"Denver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62"/>
        <v>start /low /b %USERPROFILE%\Documents\GitHub\eaglep3\Utilities\DownloadLogsFromS3.py --loco 4008 --day 2017-07-29</v>
      </c>
      <c r="AN153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06:10:25"},{"id":29,"name":"Sharepoint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868</v>
      </c>
      <c r="B154" s="7">
        <v>4007</v>
      </c>
      <c r="C154" s="21" t="s">
        <v>198</v>
      </c>
      <c r="D154" s="21" t="s">
        <v>895</v>
      </c>
      <c r="E154" s="13">
        <v>42946.015821759262</v>
      </c>
      <c r="F154" s="13">
        <v>42946.01898148148</v>
      </c>
      <c r="G154" s="7">
        <v>1</v>
      </c>
      <c r="H154" s="21" t="s">
        <v>377</v>
      </c>
      <c r="I154" s="13">
        <v>42946.045925925922</v>
      </c>
      <c r="J154" s="7">
        <v>0</v>
      </c>
      <c r="K154" s="89" t="str">
        <f t="shared" si="48"/>
        <v>4007/4008</v>
      </c>
      <c r="L154" s="21" t="str">
        <f>VLOOKUP(A154,'Trips&amp;Operators'!$C$1:$G$99999,5,FALSE)</f>
        <v>YANG JAN</v>
      </c>
      <c r="M154" s="6">
        <f t="shared" si="49"/>
        <v>2.6944444442051463E-2</v>
      </c>
      <c r="N154" s="7">
        <f t="shared" si="64"/>
        <v>38.799999996554106</v>
      </c>
      <c r="O154" s="7"/>
      <c r="P154" s="7"/>
      <c r="Q154" s="22"/>
      <c r="R154" s="170"/>
      <c r="S154" s="213">
        <f t="shared" si="65"/>
        <v>1</v>
      </c>
      <c r="T154" s="195" t="str">
        <f t="shared" si="50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51"/>
        <v>https://d0f6bd738d7f1b3e5a7ca70fe4ff75f0.us-east-1.aws.found.io/app/kibana#/discover/Steve-Slow-Train-Analysis-(2080s-and-2083s)?_g=(refreshInterval:(display:Off,pause:!f,section:0,value:0),time:(from:'2017-07-29T23:22:47-0600',mode:absolute,to:'2017-07-30T02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4" s="197" t="str">
        <f>IF(AA154&lt;VLOOKUP(AG154,Variables!$AC$3:$AD$8,2,FALSE),"Y","N")</f>
        <v>N</v>
      </c>
      <c r="X154" s="197">
        <f t="shared" si="52"/>
        <v>1</v>
      </c>
      <c r="Y154" s="197">
        <f t="shared" si="53"/>
        <v>23.301100000000002</v>
      </c>
      <c r="Z154" s="197">
        <f t="shared" si="54"/>
        <v>1.54E-2</v>
      </c>
      <c r="AA154" s="197">
        <f t="shared" si="55"/>
        <v>23.285700000000002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56"/>
        <v>240</v>
      </c>
      <c r="AE154" s="77" t="str">
        <f t="shared" si="57"/>
        <v>aws s3 cp s3://rtdc.mdm.uploadarchive.raw/RTDC4007/ "%USERPROFILE%\AppData\Local\Temp\OnboardLogs"\RTDC4007\2017-07-30 --exclude "*" --recursive --include "*20170730*" &amp; "%USERPROFILE%\Documents\GitHub\mrs-test-scripts\Headless Mode &amp; Sideloading\WalkAndUnGZ.bat" "%USERPROFILE%\AppData\Local\Temp\OnboardLogs"\RTDC4007\2017-07-30 &amp; aws s3 cp s3://rtdc.mdm.uploadarchive.raw/RTDC4007/ "%USERPROFILE%\AppData\Local\Temp\OnboardLogs"\RTDC4007\2017-07-31 --exclude "*" --recursive --include "*20170731*" &amp; "%USERPROFILE%\Documents\GitHub\mrs-test-scripts\Headless Mode &amp; Sideloading\WalkAndUnGZ.bat" "%USERPROFILE%\AppData\Local\Temp\OnboardLogs"\RTDC4007\2017-07-31</v>
      </c>
      <c r="AF154" s="74" t="str">
        <f t="shared" si="58"/>
        <v>"C:\Program Files (x86)\AstroGrep\AstroGrep.exe" /e /r /s /spath="%USERPROFILE%\AppData\Local\Temp\OnboardLogs" /stypes="app*4007*20170730*" /stext=" 07:.+((SYSTEM_STATE.+slice.+state.+changed )|(ment ac)|(multiple cpu faults)|(system.+state.+changed )|(\[timeout)|(PRM\|1\|D)|(kpr)|(kdp)|(train st.+moving)|(\|lc)|(penalty))"</v>
      </c>
      <c r="AG154" s="209" t="str">
        <f t="shared" si="59"/>
        <v>EC</v>
      </c>
      <c r="AH154" s="78" t="str">
        <f t="shared" si="60"/>
        <v>"%USERPROFILE%\Documents\GitHub\eaglep3\Utilities\RefineRTDCRunTimes.py" --tripid 240-29 --locoid 4007 --swversion DE.1.0.9.0 --startMP 204:233011 --initTime 2017-07-30T00:22:47 --startdatetime 2017-07-30T00:27:20 --delay 1 --endMP 204:154 --enddatetime 2017-07-30T01:06:08 --enforcementcount 0 &gt;&gt;C:\Users\stu\Documents\GitHub\eaglep3-reporting\EC\2017-07-29-refined-times.txt</v>
      </c>
      <c r="AI154" s="96" t="str">
        <f t="shared" si="61"/>
        <v>echo {"issue":{"subject":"","project_id":79,"tracker_id":40,"status_id":1,"priority_id":2,"assigned_to_id":23,"start_date":"2017-07-30","description":"","custom_fields":[{"id":1,"name":"Subdivision","value":"EC"},{"id":4,"name":"Milepost","value":"0.0154"},{"id":17,"name":"Train ID","value":"240-29"},{"id":16,"name":"Locomotive ID","value":"4007"},{"id":130,"name":"Impact","value":""},{"id":150,"name":"Time of Event (Mountain Time)","value":"01:06:08"},{"id":151,"name":"Denver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62"/>
        <v>start /low /b %USERPROFILE%\Documents\GitHub\eaglep3\Utilities\DownloadLogsFromS3.py --loco 4007 --day 2017-07-30</v>
      </c>
      <c r="AN154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07:06:08"},{"id":29,"name":"Sharepoint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x14ac:dyDescent="0.25">
      <c r="A155" s="32" t="s">
        <v>865</v>
      </c>
      <c r="B155" s="7">
        <v>4024</v>
      </c>
      <c r="C155" s="21" t="s">
        <v>198</v>
      </c>
      <c r="D155" s="21" t="s">
        <v>499</v>
      </c>
      <c r="E155" s="13">
        <v>42945.986435185187</v>
      </c>
      <c r="F155" s="13">
        <v>42946.000856481478</v>
      </c>
      <c r="G155" s="7">
        <v>1</v>
      </c>
      <c r="H155" s="21" t="s">
        <v>614</v>
      </c>
      <c r="I155" s="13">
        <v>42946.026365740741</v>
      </c>
      <c r="J155" s="7">
        <v>0</v>
      </c>
      <c r="K155" s="89" t="str">
        <f t="shared" si="48"/>
        <v>4023/4024</v>
      </c>
      <c r="L155" s="21" t="str">
        <f>VLOOKUP(A155,'Trips&amp;Operators'!$C$1:$G$99999,5,FALSE)</f>
        <v>PERKINS DARREN</v>
      </c>
      <c r="M155" s="6">
        <f t="shared" si="49"/>
        <v>2.5509259263344575E-2</v>
      </c>
      <c r="N155" s="7">
        <f t="shared" si="64"/>
        <v>36.733333339216188</v>
      </c>
      <c r="O155" s="7"/>
      <c r="P155" s="7"/>
      <c r="Q155" s="22"/>
      <c r="R155" s="170"/>
      <c r="S155" s="213">
        <f t="shared" si="65"/>
        <v>1</v>
      </c>
      <c r="T155" s="195" t="str">
        <f t="shared" si="50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51"/>
        <v>https://d0f6bd738d7f1b3e5a7ca70fe4ff75f0.us-east-1.aws.found.io/app/kibana#/discover/Steve-Slow-Train-Analysis-(2080s-and-2083s)?_g=(refreshInterval:(display:Off,pause:!f,section:0,value:0),time:(from:'2017-07-29T22:40:28-0600',mode:absolute,to:'2017-07-30T01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5" s="197" t="str">
        <f>IF(AA155&lt;VLOOKUP(AG155,Variables!$AC$3:$AD$8,2,FALSE),"Y","N")</f>
        <v>N</v>
      </c>
      <c r="X155" s="197">
        <f t="shared" si="52"/>
        <v>1</v>
      </c>
      <c r="Y155" s="197">
        <f t="shared" si="53"/>
        <v>4.2599999999999999E-2</v>
      </c>
      <c r="Z155" s="197">
        <f t="shared" si="54"/>
        <v>23.334099999999999</v>
      </c>
      <c r="AA155" s="197">
        <f t="shared" si="55"/>
        <v>23.291499999999999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56"/>
        <v>241</v>
      </c>
      <c r="AE155" s="77" t="str">
        <f t="shared" si="57"/>
        <v>aws s3 cp s3://rtdc.mdm.uploadarchive.raw/RTDC4024/ "%USERPROFILE%\AppData\Local\Temp\OnboardLogs"\RTDC4024\2017-07-30 --exclude "*" --recursive --include "*20170730*" &amp; "%USERPROFILE%\Documents\GitHub\mrs-test-scripts\Headless Mode &amp; Sideloading\WalkAndUnGZ.bat" "%USERPROFILE%\AppData\Local\Temp\OnboardLogs"\RTDC4024\2017-07-30 &amp; aws s3 cp s3://rtdc.mdm.uploadarchive.raw/RTDC4024/ "%USERPROFILE%\AppData\Local\Temp\OnboardLogs"\RTDC4024\2017-07-31 --exclude "*" --recursive --include "*20170731*" &amp; "%USERPROFILE%\Documents\GitHub\mrs-test-scripts\Headless Mode &amp; Sideloading\WalkAndUnGZ.bat" "%USERPROFILE%\AppData\Local\Temp\OnboardLogs"\RTDC4024\2017-07-31</v>
      </c>
      <c r="AF155" s="74" t="str">
        <f t="shared" si="58"/>
        <v>"C:\Program Files (x86)\AstroGrep\AstroGrep.exe" /e /r /s /spath="%USERPROFILE%\AppData\Local\Temp\OnboardLogs" /stypes="app*4024*20170730*" /stext=" 06:.+((SYSTEM_STATE.+slice.+state.+changed )|(ment ac)|(multiple cpu faults)|(system.+state.+changed )|(\[timeout)|(PRM\|1\|D)|(kpr)|(kdp)|(train st.+moving)|(\|lc)|(penalty))"</v>
      </c>
      <c r="AG155" s="209" t="str">
        <f t="shared" si="59"/>
        <v>EC</v>
      </c>
      <c r="AH155" s="78" t="str">
        <f t="shared" si="60"/>
        <v>"%USERPROFILE%\Documents\GitHub\eaglep3\Utilities\RefineRTDCRunTimes.py" --tripid 241-29 --locoid 4024 --swversion DE.1.0.9.0 --startMP 204:426 --initTime 2017-07-29T23:40:28 --startdatetime 2017-07-30T00:01:14 --delay 1 --endMP 204:233341 --enddatetime 2017-07-30T00:37:58 --enforcementcount 0 &gt;&gt;C:\Users\stu\Documents\GitHub\eaglep3-reporting\EC\2017-07-29-refined-times.txt</v>
      </c>
      <c r="AI155" s="96" t="str">
        <f t="shared" si="61"/>
        <v>echo {"issue":{"subject":"","project_id":79,"tracker_id":40,"status_id":1,"priority_id":2,"assigned_to_id":23,"start_date":"2017-07-30","description":"","custom_fields":[{"id":1,"name":"Subdivision","value":"EC"},{"id":4,"name":"Milepost","value":"23.3341"},{"id":17,"name":"Train ID","value":"241-29"},{"id":16,"name":"Locomotive ID","value":"4024"},{"id":130,"name":"Impact","value":""},{"id":150,"name":"Time of Event (Mountain Time)","value":"00:37:58"},{"id":151,"name":"Denver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62"/>
        <v>start /low /b %USERPROFILE%\Documents\GitHub\eaglep3\Utilities\DownloadLogsFromS3.py --loco 4024 --day 2017-07-30</v>
      </c>
      <c r="AN155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06:37:58"},{"id":29,"name":"Sharepoint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</row>
    <row r="156" spans="1:91" s="20" customFormat="1" x14ac:dyDescent="0.25">
      <c r="A156" s="32" t="s">
        <v>661</v>
      </c>
      <c r="B156" s="7">
        <v>4023</v>
      </c>
      <c r="C156" s="21" t="s">
        <v>198</v>
      </c>
      <c r="D156" s="21" t="s">
        <v>524</v>
      </c>
      <c r="E156" s="13">
        <v>42946.03324074074</v>
      </c>
      <c r="F156" s="13">
        <v>42946.039849537039</v>
      </c>
      <c r="G156" s="7">
        <v>1</v>
      </c>
      <c r="H156" s="21" t="s">
        <v>994</v>
      </c>
      <c r="I156" s="13">
        <v>42946.065775462965</v>
      </c>
      <c r="J156" s="7">
        <v>0</v>
      </c>
      <c r="K156" s="89" t="str">
        <f t="shared" si="48"/>
        <v>4023/4024</v>
      </c>
      <c r="L156" s="21" t="str">
        <f>VLOOKUP(A156,'Trips&amp;Operators'!$C$1:$G$99999,5,FALSE)</f>
        <v>PERKINS DARREN</v>
      </c>
      <c r="M156" s="6">
        <f t="shared" si="49"/>
        <v>2.5925925925548654E-2</v>
      </c>
      <c r="N156" s="7">
        <f t="shared" si="64"/>
        <v>37.333333332790062</v>
      </c>
      <c r="O156" s="7"/>
      <c r="P156" s="7"/>
      <c r="Q156" s="22"/>
      <c r="R156" s="170"/>
      <c r="S156" s="213">
        <f t="shared" si="65"/>
        <v>1</v>
      </c>
      <c r="T156" s="195" t="str">
        <f t="shared" si="50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51"/>
        <v>https://d0f6bd738d7f1b3e5a7ca70fe4ff75f0.us-east-1.aws.found.io/app/kibana#/discover/Steve-Slow-Train-Analysis-(2080s-and-2083s)?_g=(refreshInterval:(display:Off,pause:!f,section:0,value:0),time:(from:'2017-07-29T23:47:52-0600',mode:absolute,to:'2017-07-30T02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6" s="197" t="str">
        <f>IF(AA156&lt;VLOOKUP(AG156,Variables!$AC$3:$AD$8,2,FALSE),"Y","N")</f>
        <v>N</v>
      </c>
      <c r="X156" s="197">
        <f t="shared" si="52"/>
        <v>1</v>
      </c>
      <c r="Y156" s="197">
        <f t="shared" si="53"/>
        <v>23.306699999999999</v>
      </c>
      <c r="Z156" s="197">
        <f t="shared" si="54"/>
        <v>3.4700000000000002E-2</v>
      </c>
      <c r="AA156" s="197">
        <f t="shared" si="55"/>
        <v>23.271999999999998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56"/>
        <v>242</v>
      </c>
      <c r="AE156" s="77" t="str">
        <f t="shared" si="57"/>
        <v>aws s3 cp s3://rtdc.mdm.uploadarchive.raw/RTDC4023/ "%USERPROFILE%\AppData\Local\Temp\OnboardLogs"\RTDC4023\2017-07-30 --exclude "*" --recursive --include "*20170730*" &amp; "%USERPROFILE%\Documents\GitHub\mrs-test-scripts\Headless Mode &amp; Sideloading\WalkAndUnGZ.bat" "%USERPROFILE%\AppData\Local\Temp\OnboardLogs"\RTDC4023\2017-07-30 &amp; aws s3 cp s3://rtdc.mdm.uploadarchive.raw/RTDC4023/ "%USERPROFILE%\AppData\Local\Temp\OnboardLogs"\RTDC4023\2017-07-31 --exclude "*" --recursive --include "*20170731*" &amp; "%USERPROFILE%\Documents\GitHub\mrs-test-scripts\Headless Mode &amp; Sideloading\WalkAndUnGZ.bat" "%USERPROFILE%\AppData\Local\Temp\OnboardLogs"\RTDC4023\2017-07-31</v>
      </c>
      <c r="AF156" s="74" t="str">
        <f t="shared" si="58"/>
        <v>"C:\Program Files (x86)\AstroGrep\AstroGrep.exe" /e /r /s /spath="%USERPROFILE%\AppData\Local\Temp\OnboardLogs" /stypes="app*4023*20170730*" /stext=" 07:.+((SYSTEM_STATE.+slice.+state.+changed )|(ment ac)|(multiple cpu faults)|(system.+state.+changed )|(\[timeout)|(PRM\|1\|D)|(kpr)|(kdp)|(train st.+moving)|(\|lc)|(penalty))"</v>
      </c>
      <c r="AG156" s="209" t="str">
        <f t="shared" si="59"/>
        <v>EC</v>
      </c>
      <c r="AH156" s="78" t="str">
        <f t="shared" si="60"/>
        <v>"%USERPROFILE%\Documents\GitHub\eaglep3\Utilities\RefineRTDCRunTimes.py" --tripid 242-29 --locoid 4023 --swversion DE.1.0.9.0 --startMP 204:233067 --initTime 2017-07-30T00:47:52 --startdatetime 2017-07-30T00:57:23 --delay 1 --endMP 204:347 --enddatetime 2017-07-30T01:34:43 --enforcementcount 0 &gt;&gt;C:\Users\stu\Documents\GitHub\eaglep3-reporting\EC\2017-07-29-refined-times.txt</v>
      </c>
      <c r="AI156" s="96" t="str">
        <f t="shared" si="61"/>
        <v>echo {"issue":{"subject":"","project_id":79,"tracker_id":40,"status_id":1,"priority_id":2,"assigned_to_id":23,"start_date":"2017-07-30","description":"","custom_fields":[{"id":1,"name":"Subdivision","value":"EC"},{"id":4,"name":"Milepost","value":"0.0347"},{"id":17,"name":"Train ID","value":"242-29"},{"id":16,"name":"Locomotive ID","value":"4023"},{"id":130,"name":"Impact","value":""},{"id":150,"name":"Time of Event (Mountain Time)","value":"01:34:43"},{"id":151,"name":"Denver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62"/>
        <v>start /low /b %USERPROFILE%\Documents\GitHub\eaglep3\Utilities\DownloadLogsFromS3.py --loco 4023 --day 2017-07-30</v>
      </c>
      <c r="AN156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07:34:43"},{"id":29,"name":"Sharepoint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867</v>
      </c>
      <c r="B157" s="7">
        <v>4056</v>
      </c>
      <c r="C157" s="21" t="s">
        <v>198</v>
      </c>
      <c r="D157" s="21" t="s">
        <v>995</v>
      </c>
      <c r="E157" s="13">
        <v>42946.0155787037</v>
      </c>
      <c r="F157" s="13">
        <v>42946.021365740744</v>
      </c>
      <c r="G157" s="7">
        <v>1</v>
      </c>
      <c r="H157" s="21" t="s">
        <v>511</v>
      </c>
      <c r="I157" s="13">
        <v>42946.046574074076</v>
      </c>
      <c r="J157" s="7">
        <v>0</v>
      </c>
      <c r="K157" s="89" t="str">
        <f t="shared" si="48"/>
        <v>4055/4056</v>
      </c>
      <c r="L157" s="21" t="str">
        <f>VLOOKUP(A157,'Trips&amp;Operators'!$C$1:$G$99999,5,FALSE)</f>
        <v>FORTUNATO FRANK</v>
      </c>
      <c r="M157" s="6">
        <f t="shared" si="49"/>
        <v>2.5208333332557231E-2</v>
      </c>
      <c r="N157" s="7">
        <f t="shared" si="64"/>
        <v>36.299999998882413</v>
      </c>
      <c r="O157" s="7"/>
      <c r="P157" s="7"/>
      <c r="Q157" s="22"/>
      <c r="R157" s="170"/>
      <c r="S157" s="213">
        <f t="shared" si="65"/>
        <v>1</v>
      </c>
      <c r="T157" s="195" t="str">
        <f t="shared" si="50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51"/>
        <v>https://d0f6bd738d7f1b3e5a7ca70fe4ff75f0.us-east-1.aws.found.io/app/kibana#/discover/Steve-Slow-Train-Analysis-(2080s-and-2083s)?_g=(refreshInterval:(display:Off,pause:!f,section:0,value:0),time:(from:'2017-07-29T23:22:26-0600',mode:absolute,to:'2017-07-30T02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7" s="197" t="str">
        <f>IF(AA157&lt;VLOOKUP(AG157,Variables!$AC$3:$AD$8,2,FALSE),"Y","N")</f>
        <v>N</v>
      </c>
      <c r="X157" s="197">
        <f t="shared" si="52"/>
        <v>1</v>
      </c>
      <c r="Y157" s="197">
        <f t="shared" si="53"/>
        <v>4.7699999999999999E-2</v>
      </c>
      <c r="Z157" s="197">
        <f t="shared" si="54"/>
        <v>23.330200000000001</v>
      </c>
      <c r="AA157" s="197">
        <f t="shared" si="55"/>
        <v>23.282500000000002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56"/>
        <v>243</v>
      </c>
      <c r="AE157" s="77" t="str">
        <f t="shared" si="57"/>
        <v>aws s3 cp s3://rtdc.mdm.uploadarchive.raw/RTDC4056/ "%USERPROFILE%\AppData\Local\Temp\OnboardLogs"\RTDC4056\2017-07-30 --exclude "*" --recursive --include "*20170730*" &amp; "%USERPROFILE%\Documents\GitHub\mrs-test-scripts\Headless Mode &amp; Sideloading\WalkAndUnGZ.bat" "%USERPROFILE%\AppData\Local\Temp\OnboardLogs"\RTDC4056\2017-07-30 &amp; aws s3 cp s3://rtdc.mdm.uploadarchive.raw/RTDC4056/ "%USERPROFILE%\AppData\Local\Temp\OnboardLogs"\RTDC4056\2017-07-31 --exclude "*" --recursive --include "*20170731*" &amp; "%USERPROFILE%\Documents\GitHub\mrs-test-scripts\Headless Mode &amp; Sideloading\WalkAndUnGZ.bat" "%USERPROFILE%\AppData\Local\Temp\OnboardLogs"\RTDC4056\2017-07-31</v>
      </c>
      <c r="AF157" s="74" t="str">
        <f t="shared" si="58"/>
        <v>"C:\Program Files (x86)\AstroGrep\AstroGrep.exe" /e /r /s /spath="%USERPROFILE%\AppData\Local\Temp\OnboardLogs" /stypes="app*4056*20170730*" /stext=" 07:.+((SYSTEM_STATE.+slice.+state.+changed )|(ment ac)|(multiple cpu faults)|(system.+state.+changed )|(\[timeout)|(PRM\|1\|D)|(kpr)|(kdp)|(train st.+moving)|(\|lc)|(penalty))"</v>
      </c>
      <c r="AG157" s="209" t="str">
        <f t="shared" si="59"/>
        <v>EC</v>
      </c>
      <c r="AH157" s="78" t="str">
        <f t="shared" si="60"/>
        <v>"%USERPROFILE%\Documents\GitHub\eaglep3\Utilities\RefineRTDCRunTimes.py" --tripid 243-29 --locoid 4056 --swversion DE.1.0.9.0 --startMP 204:477 --initTime 2017-07-30T00:22:26 --startdatetime 2017-07-30T00:30:46 --delay 1 --endMP 204:233302 --enddatetime 2017-07-30T01:07:04 --enforcementcount 0 &gt;&gt;C:\Users\stu\Documents\GitHub\eaglep3-reporting\EC\2017-07-29-refined-times.txt</v>
      </c>
      <c r="AI157" s="96" t="str">
        <f t="shared" si="61"/>
        <v>echo {"issue":{"subject":"","project_id":79,"tracker_id":40,"status_id":1,"priority_id":2,"assigned_to_id":23,"start_date":"2017-07-30","description":"","custom_fields":[{"id":1,"name":"Subdivision","value":"EC"},{"id":4,"name":"Milepost","value":"23.3302"},{"id":17,"name":"Train ID","value":"243-29"},{"id":16,"name":"Locomotive ID","value":"4056"},{"id":130,"name":"Impact","value":""},{"id":150,"name":"Time of Event (Mountain Time)","value":"01:07:04"},{"id":151,"name":"Denver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62"/>
        <v>start /low /b %USERPROFILE%\Documents\GitHub\eaglep3\Utilities\DownloadLogsFromS3.py --loco 4056 --day 2017-07-30</v>
      </c>
      <c r="AN157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07:07:04"},{"id":29,"name":"Sharepoint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871</v>
      </c>
      <c r="B158" s="7">
        <v>4055</v>
      </c>
      <c r="C158" s="21" t="s">
        <v>198</v>
      </c>
      <c r="D158" s="21" t="s">
        <v>604</v>
      </c>
      <c r="E158" s="13">
        <v>42946.048217592594</v>
      </c>
      <c r="F158" s="13">
        <v>42946.060624999998</v>
      </c>
      <c r="G158" s="7">
        <v>1</v>
      </c>
      <c r="H158" s="21" t="s">
        <v>343</v>
      </c>
      <c r="I158" s="13">
        <v>42946.087164351855</v>
      </c>
      <c r="J158" s="7">
        <v>0</v>
      </c>
      <c r="K158" s="89" t="str">
        <f t="shared" si="48"/>
        <v>4055/4056</v>
      </c>
      <c r="L158" s="21" t="str">
        <f>VLOOKUP(A158,'Trips&amp;Operators'!$C$1:$G$99999,5,FALSE)</f>
        <v>FORTUNATO FRANK</v>
      </c>
      <c r="M158" s="6">
        <f t="shared" si="49"/>
        <v>2.6539351856627036E-2</v>
      </c>
      <c r="N158" s="7">
        <f t="shared" si="64"/>
        <v>38.216666673542932</v>
      </c>
      <c r="O158" s="7"/>
      <c r="P158" s="7"/>
      <c r="Q158" s="22"/>
      <c r="R158" s="170"/>
      <c r="S158" s="213">
        <f t="shared" si="65"/>
        <v>1</v>
      </c>
      <c r="T158" s="195" t="str">
        <f t="shared" si="50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51"/>
        <v>https://d0f6bd738d7f1b3e5a7ca70fe4ff75f0.us-east-1.aws.found.io/app/kibana#/discover/Steve-Slow-Train-Analysis-(2080s-and-2083s)?_g=(refreshInterval:(display:Off,pause:!f,section:0,value:0),time:(from:'2017-07-30T00:09:26-0600',mode:absolute,to:'2017-07-30T03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8" s="197" t="str">
        <f>IF(AA158&lt;VLOOKUP(AG158,Variables!$AC$3:$AD$8,2,FALSE),"Y","N")</f>
        <v>N</v>
      </c>
      <c r="X158" s="197">
        <f t="shared" si="52"/>
        <v>1</v>
      </c>
      <c r="Y158" s="197">
        <f t="shared" si="53"/>
        <v>23.300599999999999</v>
      </c>
      <c r="Z158" s="197">
        <f t="shared" si="54"/>
        <v>1.43E-2</v>
      </c>
      <c r="AA158" s="197">
        <f t="shared" si="55"/>
        <v>23.286300000000001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56"/>
        <v>244</v>
      </c>
      <c r="AE158" s="77" t="str">
        <f t="shared" si="57"/>
        <v>aws s3 cp s3://rtdc.mdm.uploadarchive.raw/RTDC4055/ "%USERPROFILE%\AppData\Local\Temp\OnboardLogs"\RTDC4055\2017-07-30 --exclude "*" --recursive --include "*20170730*" &amp; "%USERPROFILE%\Documents\GitHub\mrs-test-scripts\Headless Mode &amp; Sideloading\WalkAndUnGZ.bat" "%USERPROFILE%\AppData\Local\Temp\OnboardLogs"\RTDC4055\2017-07-30 &amp; aws s3 cp s3://rtdc.mdm.uploadarchive.raw/RTDC4055/ "%USERPROFILE%\AppData\Local\Temp\OnboardLogs"\RTDC4055\2017-07-31 --exclude "*" --recursive --include "*20170731*" &amp; "%USERPROFILE%\Documents\GitHub\mrs-test-scripts\Headless Mode &amp; Sideloading\WalkAndUnGZ.bat" "%USERPROFILE%\AppData\Local\Temp\OnboardLogs"\RTDC4055\2017-07-31</v>
      </c>
      <c r="AF158" s="74" t="str">
        <f t="shared" si="58"/>
        <v>"C:\Program Files (x86)\AstroGrep\AstroGrep.exe" /e /r /s /spath="%USERPROFILE%\AppData\Local\Temp\OnboardLogs" /stypes="app*4055*20170730*" /stext=" 08:.+((SYSTEM_STATE.+slice.+state.+changed )|(ment ac)|(multiple cpu faults)|(system.+state.+changed )|(\[timeout)|(PRM\|1\|D)|(kpr)|(kdp)|(train st.+moving)|(\|lc)|(penalty))"</v>
      </c>
      <c r="AG158" s="209" t="str">
        <f t="shared" si="59"/>
        <v>EC</v>
      </c>
      <c r="AH158" s="78" t="str">
        <f t="shared" si="60"/>
        <v>"%USERPROFILE%\Documents\GitHub\eaglep3\Utilities\RefineRTDCRunTimes.py" --tripid 244-29 --locoid 4055 --swversion DE.1.0.9.0 --startMP 204:233006 --initTime 2017-07-30T01:09:26 --startdatetime 2017-07-30T01:27:18 --delay 1 --endMP 204:143 --enddatetime 2017-07-30T02:05:31 --enforcementcount 0 &gt;&gt;C:\Users\stu\Documents\GitHub\eaglep3-reporting\EC\2017-07-29-refined-times.txt</v>
      </c>
      <c r="AI158" s="96" t="str">
        <f t="shared" si="61"/>
        <v>echo {"issue":{"subject":"","project_id":79,"tracker_id":40,"status_id":1,"priority_id":2,"assigned_to_id":23,"start_date":"2017-07-30","description":"","custom_fields":[{"id":1,"name":"Subdivision","value":"EC"},{"id":4,"name":"Milepost","value":"0.0143"},{"id":17,"name":"Train ID","value":"244-29"},{"id":16,"name":"Locomotive ID","value":"4055"},{"id":130,"name":"Impact","value":""},{"id":150,"name":"Time of Event (Mountain Time)","value":"02:05:31"},{"id":151,"name":"Denver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62"/>
        <v>start /low /b %USERPROFILE%\Documents\GitHub\eaglep3\Utilities\DownloadLogsFromS3.py --loco 4055 --day 2017-07-30</v>
      </c>
      <c r="AN158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08:05:31"},{"id":29,"name":"Sharepoint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869</v>
      </c>
      <c r="B159" s="7">
        <v>4042</v>
      </c>
      <c r="C159" s="21" t="s">
        <v>198</v>
      </c>
      <c r="D159" s="21" t="s">
        <v>996</v>
      </c>
      <c r="E159" s="13">
        <v>42946.037442129629</v>
      </c>
      <c r="F159" s="13">
        <v>42946.042314814818</v>
      </c>
      <c r="G159" s="7">
        <v>1</v>
      </c>
      <c r="H159" s="21" t="s">
        <v>960</v>
      </c>
      <c r="I159" s="13">
        <v>42946.067025462966</v>
      </c>
      <c r="J159" s="7">
        <v>0</v>
      </c>
      <c r="K159" s="89" t="str">
        <f t="shared" si="48"/>
        <v>4041/4042</v>
      </c>
      <c r="L159" s="21" t="str">
        <f>VLOOKUP(A159,'Trips&amp;Operators'!$C$1:$G$99999,5,FALSE)</f>
        <v>LAMAR NEKESHA</v>
      </c>
      <c r="M159" s="6">
        <f t="shared" si="49"/>
        <v>2.47106481474475E-2</v>
      </c>
      <c r="N159" s="7">
        <f t="shared" si="64"/>
        <v>35.583333332324401</v>
      </c>
      <c r="O159" s="7"/>
      <c r="P159" s="7"/>
      <c r="Q159" s="22"/>
      <c r="R159" s="170"/>
      <c r="S159" s="213">
        <f t="shared" si="65"/>
        <v>1</v>
      </c>
      <c r="T159" s="195" t="str">
        <f t="shared" si="50"/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51"/>
        <v>https://d0f6bd738d7f1b3e5a7ca70fe4ff75f0.us-east-1.aws.found.io/app/kibana#/discover/Steve-Slow-Train-Analysis-(2080s-and-2083s)?_g=(refreshInterval:(display:Off,pause:!f,section:0,value:0),time:(from:'2017-07-29T23:53:55-0600',mode:absolute,to:'2017-07-30T02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9" s="197" t="str">
        <f>IF(AA159&lt;VLOOKUP(AG159,Variables!$AC$3:$AD$8,2,FALSE),"Y","N")</f>
        <v>N</v>
      </c>
      <c r="X159" s="197">
        <f t="shared" si="52"/>
        <v>1</v>
      </c>
      <c r="Y159" s="197">
        <f t="shared" si="53"/>
        <v>4.9099999999999998E-2</v>
      </c>
      <c r="Z159" s="197">
        <f t="shared" si="54"/>
        <v>23.3276</v>
      </c>
      <c r="AA159" s="197">
        <f t="shared" si="55"/>
        <v>23.278500000000001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56"/>
        <v>245</v>
      </c>
      <c r="AE159" s="77" t="str">
        <f t="shared" si="57"/>
        <v>aws s3 cp s3://rtdc.mdm.uploadarchive.raw/RTDC4042/ "%USERPROFILE%\AppData\Local\Temp\OnboardLogs"\RTDC4042\2017-07-30 --exclude "*" --recursive --include "*20170730*" &amp; "%USERPROFILE%\Documents\GitHub\mrs-test-scripts\Headless Mode &amp; Sideloading\WalkAndUnGZ.bat" "%USERPROFILE%\AppData\Local\Temp\OnboardLogs"\RTDC4042\2017-07-30 &amp; aws s3 cp s3://rtdc.mdm.uploadarchive.raw/RTDC4042/ "%USERPROFILE%\AppData\Local\Temp\OnboardLogs"\RTDC4042\2017-07-31 --exclude "*" --recursive --include "*20170731*" &amp; "%USERPROFILE%\Documents\GitHub\mrs-test-scripts\Headless Mode &amp; Sideloading\WalkAndUnGZ.bat" "%USERPROFILE%\AppData\Local\Temp\OnboardLogs"\RTDC4042\2017-07-31</v>
      </c>
      <c r="AF159" s="74" t="str">
        <f t="shared" si="58"/>
        <v>"C:\Program Files (x86)\AstroGrep\AstroGrep.exe" /e /r /s /spath="%USERPROFILE%\AppData\Local\Temp\OnboardLogs" /stypes="app*4042*20170730*" /stext=" 07:.+((SYSTEM_STATE.+slice.+state.+changed )|(ment ac)|(multiple cpu faults)|(system.+state.+changed )|(\[timeout)|(PRM\|1\|D)|(kpr)|(kdp)|(train st.+moving)|(\|lc)|(penalty))"</v>
      </c>
      <c r="AG159" s="209" t="str">
        <f t="shared" si="59"/>
        <v>EC</v>
      </c>
      <c r="AH159" s="78" t="str">
        <f t="shared" si="60"/>
        <v>"%USERPROFILE%\Documents\GitHub\eaglep3\Utilities\RefineRTDCRunTimes.py" --tripid 245-29 --locoid 4042 --swversion DE.1.0.9.0 --startMP 204:491 --initTime 2017-07-30T00:53:55 --startdatetime 2017-07-30T01:00:56 --delay 1 --endMP 204:233276 --enddatetime 2017-07-30T01:36:31 --enforcementcount 0 &gt;&gt;C:\Users\stu\Documents\GitHub\eaglep3-reporting\EC\2017-07-29-refined-times.txt</v>
      </c>
      <c r="AI159" s="96" t="str">
        <f t="shared" si="61"/>
        <v>echo {"issue":{"subject":"","project_id":79,"tracker_id":40,"status_id":1,"priority_id":2,"assigned_to_id":23,"start_date":"2017-07-30","description":"","custom_fields":[{"id":1,"name":"Subdivision","value":"EC"},{"id":4,"name":"Milepost","value":"23.3276"},{"id":17,"name":"Train ID","value":"245-29"},{"id":16,"name":"Locomotive ID","value":"4042"},{"id":130,"name":"Impact","value":""},{"id":150,"name":"Time of Event (Mountain Time)","value":"01:36:31"},{"id":151,"name":"Denver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62"/>
        <v>start /low /b %USERPROFILE%\Documents\GitHub\eaglep3\Utilities\DownloadLogsFromS3.py --loco 4042 --day 2017-07-30</v>
      </c>
      <c r="AN159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07:36:31"},{"id":29,"name":"Sharepoint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873</v>
      </c>
      <c r="B160" s="7">
        <v>4041</v>
      </c>
      <c r="C160" s="21" t="s">
        <v>198</v>
      </c>
      <c r="D160" s="21" t="s">
        <v>997</v>
      </c>
      <c r="E160" s="13">
        <v>42946.076284722221</v>
      </c>
      <c r="F160" s="13">
        <v>42946.081435185188</v>
      </c>
      <c r="G160" s="7">
        <v>1</v>
      </c>
      <c r="H160" s="21" t="s">
        <v>530</v>
      </c>
      <c r="I160" s="13">
        <v>42946.107557870368</v>
      </c>
      <c r="J160" s="7">
        <v>0</v>
      </c>
      <c r="K160" s="89" t="str">
        <f t="shared" si="48"/>
        <v>4041/4042</v>
      </c>
      <c r="L160" s="21" t="str">
        <f>VLOOKUP(A160,'Trips&amp;Operators'!$C$1:$G$99999,5,FALSE)</f>
        <v>LAMAR NEKESHA</v>
      </c>
      <c r="M160" s="6">
        <f t="shared" si="49"/>
        <v>2.6122685179871041E-2</v>
      </c>
      <c r="N160" s="7">
        <f t="shared" si="64"/>
        <v>37.6166666590143</v>
      </c>
      <c r="O160" s="7"/>
      <c r="P160" s="7"/>
      <c r="Q160" s="22"/>
      <c r="R160" s="170"/>
      <c r="S160" s="213">
        <f t="shared" si="65"/>
        <v>1</v>
      </c>
      <c r="T160" s="195" t="str">
        <f t="shared" si="50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6" t="str">
        <f t="shared" si="51"/>
        <v>https://d0f6bd738d7f1b3e5a7ca70fe4ff75f0.us-east-1.aws.found.io/app/kibana#/discover/Steve-Slow-Train-Analysis-(2080s-and-2083s)?_g=(refreshInterval:(display:Off,pause:!f,section:0,value:0),time:(from:'2017-07-30T00:49:51-0600',mode:absolute,to:'2017-07-30T03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0" s="197" t="str">
        <f>IF(AA160&lt;VLOOKUP(AG160,Variables!$AC$3:$AD$8,2,FALSE),"Y","N")</f>
        <v>N</v>
      </c>
      <c r="X160" s="197">
        <f t="shared" ref="X160:X163" si="66">VALUE(LEFT(AD160,4))-VALUE(LEFT(AD159,4))</f>
        <v>1</v>
      </c>
      <c r="Y160" s="197">
        <f t="shared" si="53"/>
        <v>23.295300000000001</v>
      </c>
      <c r="Z160" s="197">
        <f t="shared" si="54"/>
        <v>1.67E-2</v>
      </c>
      <c r="AA160" s="197">
        <f t="shared" si="55"/>
        <v>23.278600000000001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56"/>
        <v>246</v>
      </c>
      <c r="AE160" s="77" t="str">
        <f t="shared" si="57"/>
        <v>aws s3 cp s3://rtdc.mdm.uploadarchive.raw/RTDC4041/ "%USERPROFILE%\AppData\Local\Temp\OnboardLogs"\RTDC4041\2017-07-30 --exclude "*" --recursive --include "*20170730*" &amp; "%USERPROFILE%\Documents\GitHub\mrs-test-scripts\Headless Mode &amp; Sideloading\WalkAndUnGZ.bat" "%USERPROFILE%\AppData\Local\Temp\OnboardLogs"\RTDC4041\2017-07-30 &amp; aws s3 cp s3://rtdc.mdm.uploadarchive.raw/RTDC4041/ "%USERPROFILE%\AppData\Local\Temp\OnboardLogs"\RTDC4041\2017-07-31 --exclude "*" --recursive --include "*20170731*" &amp; "%USERPROFILE%\Documents\GitHub\mrs-test-scripts\Headless Mode &amp; Sideloading\WalkAndUnGZ.bat" "%USERPROFILE%\AppData\Local\Temp\OnboardLogs"\RTDC4041\2017-07-31</v>
      </c>
      <c r="AF160" s="74" t="str">
        <f t="shared" si="58"/>
        <v>"C:\Program Files (x86)\AstroGrep\AstroGrep.exe" /e /r /s /spath="%USERPROFILE%\AppData\Local\Temp\OnboardLogs" /stypes="app*4041*20170730*" /stext=" 08:.+((SYSTEM_STATE.+slice.+state.+changed )|(ment ac)|(multiple cpu faults)|(system.+state.+changed )|(\[timeout)|(PRM\|1\|D)|(kpr)|(kdp)|(train st.+moving)|(\|lc)|(penalty))"</v>
      </c>
      <c r="AG160" s="209" t="str">
        <f t="shared" si="59"/>
        <v>EC</v>
      </c>
      <c r="AH160" s="78" t="str">
        <f t="shared" si="60"/>
        <v>"%USERPROFILE%\Documents\GitHub\eaglep3\Utilities\RefineRTDCRunTimes.py" --tripid 246-29 --locoid 4041 --swversion DE.1.0.9.0 --startMP 204:232953 --initTime 2017-07-30T01:49:51 --startdatetime 2017-07-30T01:57:16 --delay 1 --endMP 204:167 --enddatetime 2017-07-30T02:34:53 --enforcementcount 0 &gt;&gt;C:\Users\stu\Documents\GitHub\eaglep3-reporting\EC\2017-07-29-refined-times.txt</v>
      </c>
      <c r="AI160" s="96" t="str">
        <f t="shared" si="61"/>
        <v>echo {"issue":{"subject":"","project_id":79,"tracker_id":40,"status_id":1,"priority_id":2,"assigned_to_id":23,"start_date":"2017-07-30","description":"","custom_fields":[{"id":1,"name":"Subdivision","value":"EC"},{"id":4,"name":"Milepost","value":"0.0167"},{"id":17,"name":"Train ID","value":"246-29"},{"id":16,"name":"Locomotive ID","value":"4041"},{"id":130,"name":"Impact","value":""},{"id":150,"name":"Time of Event (Mountain Time)","value":"02:34:53"},{"id":151,"name":"Denver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62"/>
        <v>start /low /b %USERPROFILE%\Documents\GitHub\eaglep3\Utilities\DownloadLogsFromS3.py --loco 4041 --day 2017-07-30</v>
      </c>
      <c r="AN160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08:34:53"},{"id":29,"name":"Sharepoint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x14ac:dyDescent="0.25">
      <c r="A161" s="32" t="s">
        <v>708</v>
      </c>
      <c r="B161" s="7">
        <v>4053</v>
      </c>
      <c r="C161" s="21" t="s">
        <v>198</v>
      </c>
      <c r="D161" s="21" t="s">
        <v>915</v>
      </c>
      <c r="E161" s="13">
        <v>42945.23333333333</v>
      </c>
      <c r="F161" s="13">
        <v>42945.234722222223</v>
      </c>
      <c r="G161" s="7">
        <v>1</v>
      </c>
      <c r="H161" s="21" t="s">
        <v>916</v>
      </c>
      <c r="I161" s="13">
        <v>42945.246701388889</v>
      </c>
      <c r="J161" s="7">
        <v>0</v>
      </c>
      <c r="K161" s="89" t="str">
        <f t="shared" si="48"/>
        <v>4053/4054</v>
      </c>
      <c r="L161" s="21" t="str">
        <f>VLOOKUP(A161,'Trips&amp;Operators'!$C$1:$G$99999,5,FALSE)</f>
        <v>MACDONALD THOMAS</v>
      </c>
      <c r="M161" s="6">
        <f t="shared" si="49"/>
        <v>1.1979166665696539E-2</v>
      </c>
      <c r="N161" s="7">
        <f t="shared" si="64"/>
        <v>17.249999998603016</v>
      </c>
      <c r="O161" s="7"/>
      <c r="P161" s="7"/>
      <c r="Q161" s="22"/>
      <c r="R161" s="170"/>
      <c r="S161" s="213">
        <f t="shared" si="65"/>
        <v>1</v>
      </c>
      <c r="T161" s="195" t="str">
        <f t="shared" si="50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51"/>
        <v>https://d0f6bd738d7f1b3e5a7ca70fe4ff75f0.us-east-1.aws.found.io/app/kibana#/discover/Steve-Slow-Train-Analysis-(2080s-and-2083s)?_g=(refreshInterval:(display:Off,pause:!f,section:0,value:0),time:(from:'2017-07-29T04:36:00-0600',mode:absolute,to:'2017-07-29T06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1" s="197" t="str">
        <f>IF(AA161&lt;VLOOKUP(AG161,Variables!$AC$3:$AD$8,2,FALSE),"Y","N")</f>
        <v>N</v>
      </c>
      <c r="X161" s="197">
        <f t="shared" si="66"/>
        <v>1554</v>
      </c>
      <c r="Y161" s="197">
        <f t="shared" si="53"/>
        <v>5.8609</v>
      </c>
      <c r="Z161" s="197">
        <f t="shared" si="54"/>
        <v>7.1300000000000002E-2</v>
      </c>
      <c r="AA161" s="197">
        <f t="shared" si="55"/>
        <v>5.7896000000000001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56"/>
        <v>1800</v>
      </c>
      <c r="AE161" s="77" t="str">
        <f t="shared" si="57"/>
        <v>aws s3 cp s3://rtdc.mdm.uploadarchive.raw/RTDC4053/ "%USERPROFILE%\AppData\Local\Temp\OnboardLogs"\RTDC4053\2017-07-29 --exclude "*" --recursive --include "*20170729*" &amp; "%USERPROFILE%\Documents\GitHub\mrs-test-scripts\Headless Mode &amp; Sideloading\WalkAndUnGZ.bat" "%USERPROFILE%\AppData\Local\Temp\OnboardLogs"\RTDC4053\2017-07-29 &amp; aws s3 cp s3://rtdc.mdm.uploadarchive.raw/RTDC4053/ "%USERPROFILE%\AppData\Local\Temp\OnboardLogs"\RTDC4053\2017-07-30 --exclude "*" --recursive --include "*20170730*" &amp; "%USERPROFILE%\Documents\GitHub\mrs-test-scripts\Headless Mode &amp; Sideloading\WalkAndUnGZ.bat" "%USERPROFILE%\AppData\Local\Temp\OnboardLogs"\RTDC4053\2017-07-30</v>
      </c>
      <c r="AF161" s="74" t="str">
        <f t="shared" si="58"/>
        <v>"C:\Program Files (x86)\AstroGrep\AstroGrep.exe" /e /r /s /spath="%USERPROFILE%\AppData\Local\Temp\OnboardLogs" /stypes="app*4053*20170729*" /stext=" 11:.+((SYSTEM_STATE.+slice.+state.+changed )|(ment ac)|(multiple cpu faults)|(system.+state.+changed )|(\[timeout)|(PRM\|1\|D)|(kpr)|(kdp)|(train st.+moving)|(\|lc)|(penalty))"</v>
      </c>
      <c r="AG161" s="209" t="str">
        <f t="shared" si="59"/>
        <v>NW</v>
      </c>
      <c r="AH161" s="78" t="str">
        <f t="shared" si="60"/>
        <v>"%USERPROFILE%\Documents\GitHub\eaglep3\Utilities\RefineRTDCRunTimes.py" --tripid 1800-29 --locoid 4053 --swversion DE.1.0.9.0 --startMP 300:58609 --initTime 2017-07-29T05:36:00 --startdatetime 2017-07-29T05:38:00 --delay 1 --endMP 204:713 --enddatetime 2017-07-29T05:55:15 --enforcementcount 0 &gt;&gt;C:\Users\stu\Documents\GitHub\eaglep3-reporting\EC\2017-07-29-refined-times.txt</v>
      </c>
      <c r="AI161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{"issue":{"subject":"","project_id":79,"tracker_id":40,"status_id":1,"priority_id":2,"assigned_to_id":23,"start_date":"2017-07-29","description":"","custom_fields":[{"id":1,"name":"Subdivision","value":"NW"},{"id":4,"name":"Milepost","value":"0.0713"},{"id":17,"name":"Train ID","value":"1800-29"},{"id":16,"name":"Locomotive ID","value":"4053"},{"id":130,"name":"Impact","value":""},{"id":150,"name":"Time of Event (Mountain Time)","value":"05:55:15"},{"id":151,"name":"Denver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62"/>
        <v>start /low /b %USERPROFILE%\Documents\GitHub\eaglep3\Utilities\DownloadLogsFromS3.py --loco 4053 --day 2017-07-29</v>
      </c>
      <c r="AN161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11:55:15"},{"id":29,"name":"Sharepoint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x14ac:dyDescent="0.25">
      <c r="A162" s="32" t="s">
        <v>710</v>
      </c>
      <c r="B162" s="7">
        <v>4054</v>
      </c>
      <c r="C162" s="21" t="s">
        <v>198</v>
      </c>
      <c r="D162" s="21" t="s">
        <v>471</v>
      </c>
      <c r="E162" s="13">
        <v>42945.248124999998</v>
      </c>
      <c r="F162" s="13">
        <v>42945.264930555553</v>
      </c>
      <c r="G162" s="7">
        <v>1</v>
      </c>
      <c r="H162" s="21" t="s">
        <v>917</v>
      </c>
      <c r="I162" s="13">
        <v>42945.273981481485</v>
      </c>
      <c r="J162" s="7">
        <v>0</v>
      </c>
      <c r="K162" s="89" t="str">
        <f t="shared" si="48"/>
        <v>4053/4054</v>
      </c>
      <c r="L162" s="21" t="str">
        <f>VLOOKUP(A162,'Trips&amp;Operators'!$C$1:$G$99999,5,FALSE)</f>
        <v>MACDONALD THOMAS</v>
      </c>
      <c r="M162" s="6">
        <f t="shared" si="49"/>
        <v>9.0509259316604584E-3</v>
      </c>
      <c r="N162" s="7">
        <f t="shared" si="64"/>
        <v>13.03333334159106</v>
      </c>
      <c r="O162" s="7"/>
      <c r="P162" s="7"/>
      <c r="Q162" s="22"/>
      <c r="R162" s="170"/>
      <c r="S162" s="213">
        <f t="shared" si="65"/>
        <v>1</v>
      </c>
      <c r="T162" s="195" t="str">
        <f t="shared" si="50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51"/>
        <v>https://d0f6bd738d7f1b3e5a7ca70fe4ff75f0.us-east-1.aws.found.io/app/kibana#/discover/Steve-Slow-Train-Analysis-(2080s-and-2083s)?_g=(refreshInterval:(display:Off,pause:!f,section:0,value:0),time:(from:'2017-07-29T04:57:18-0600',mode:absolute,to:'2017-07-29T07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2" s="197" t="str">
        <f>IF(AA162&lt;VLOOKUP(AG162,Variables!$AC$3:$AD$8,2,FALSE),"Y","N")</f>
        <v>N</v>
      </c>
      <c r="X162" s="197">
        <f t="shared" si="66"/>
        <v>1</v>
      </c>
      <c r="Y162" s="197">
        <f t="shared" si="53"/>
        <v>9.8799999999999999E-2</v>
      </c>
      <c r="Z162" s="197">
        <f t="shared" si="54"/>
        <v>5.8895</v>
      </c>
      <c r="AA162" s="197">
        <f t="shared" si="55"/>
        <v>5.7907000000000002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56"/>
        <v>1801</v>
      </c>
      <c r="AE162" s="77" t="str">
        <f t="shared" si="57"/>
        <v>aws s3 cp s3://rtdc.mdm.uploadarchive.raw/RTDC4054/ "%USERPROFILE%\AppData\Local\Temp\OnboardLogs"\RTDC4054\2017-07-29 --exclude "*" --recursive --include "*20170729*" &amp; "%USERPROFILE%\Documents\GitHub\mrs-test-scripts\Headless Mode &amp; Sideloading\WalkAndUnGZ.bat" "%USERPROFILE%\AppData\Local\Temp\OnboardLogs"\RTDC4054\2017-07-29 &amp; aws s3 cp s3://rtdc.mdm.uploadarchive.raw/RTDC4054/ "%USERPROFILE%\AppData\Local\Temp\OnboardLogs"\RTDC4054\2017-07-30 --exclude "*" --recursive --include "*20170730*" &amp; "%USERPROFILE%\Documents\GitHub\mrs-test-scripts\Headless Mode &amp; Sideloading\WalkAndUnGZ.bat" "%USERPROFILE%\AppData\Local\Temp\OnboardLogs"\RTDC4054\2017-07-30</v>
      </c>
      <c r="AF162" s="74" t="str">
        <f t="shared" si="58"/>
        <v>"C:\Program Files (x86)\AstroGrep\AstroGrep.exe" /e /r /s /spath="%USERPROFILE%\AppData\Local\Temp\OnboardLogs" /stypes="app*4054*20170729*" /stext=" 12:.+((SYSTEM_STATE.+slice.+state.+changed )|(ment ac)|(multiple cpu faults)|(system.+state.+changed )|(\[timeout)|(PRM\|1\|D)|(kpr)|(kdp)|(train st.+moving)|(\|lc)|(penalty))"</v>
      </c>
      <c r="AG162" s="209" t="str">
        <f t="shared" si="59"/>
        <v>NW</v>
      </c>
      <c r="AH162" s="78" t="str">
        <f t="shared" si="60"/>
        <v>"%USERPROFILE%\Documents\GitHub\eaglep3\Utilities\RefineRTDCRunTimes.py" --tripid 1801-29 --locoid 4054 --swversion DE.1.0.9.0 --startMP 204:988 --initTime 2017-07-29T05:57:18 --startdatetime 2017-07-29T06:21:30 --delay 1 --endMP 300:58895 --enddatetime 2017-07-29T06:34:32 --enforcementcount 0 &gt;&gt;C:\Users\stu\Documents\GitHub\eaglep3-reporting\EC\2017-07-29-refined-times.txt</v>
      </c>
      <c r="AI162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{"issue":{"subject":"","project_id":79,"tracker_id":40,"status_id":1,"priority_id":2,"assigned_to_id":23,"start_date":"2017-07-29","description":"","custom_fields":[{"id":1,"name":"Subdivision","value":"NW"},{"id":4,"name":"Milepost","value":"5.8895"},{"id":17,"name":"Train ID","value":"1801-29"},{"id":16,"name":"Locomotive ID","value":"4054"},{"id":130,"name":"Impact","value":""},{"id":150,"name":"Time of Event (Mountain Time)","value":"06:34:32"},{"id":151,"name":"Denver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62"/>
        <v>start /low /b %USERPROFILE%\Documents\GitHub\eaglep3\Utilities\DownloadLogsFromS3.py --loco 4054 --day 2017-07-29</v>
      </c>
      <c r="AN162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12:34:32"},{"id":29,"name":"Sharepoint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x14ac:dyDescent="0.25">
      <c r="A163" s="32" t="s">
        <v>716</v>
      </c>
      <c r="B163" s="7">
        <v>4053</v>
      </c>
      <c r="C163" s="21" t="s">
        <v>198</v>
      </c>
      <c r="D163" s="21" t="s">
        <v>918</v>
      </c>
      <c r="E163" s="13">
        <v>42945.274826388886</v>
      </c>
      <c r="F163" s="13">
        <v>42945.276134259257</v>
      </c>
      <c r="G163" s="7">
        <v>1</v>
      </c>
      <c r="H163" s="21" t="s">
        <v>631</v>
      </c>
      <c r="I163" s="13">
        <v>42945.28806712963</v>
      </c>
      <c r="J163" s="7">
        <v>0</v>
      </c>
      <c r="K163" s="89" t="str">
        <f t="shared" si="48"/>
        <v>4053/4054</v>
      </c>
      <c r="L163" s="21" t="str">
        <f>VLOOKUP(A163,'Trips&amp;Operators'!$C$1:$G$99999,5,FALSE)</f>
        <v>MACDONALD THOMAS</v>
      </c>
      <c r="M163" s="6">
        <f t="shared" si="49"/>
        <v>1.1932870373129845E-2</v>
      </c>
      <c r="N163" s="7">
        <f t="shared" si="64"/>
        <v>17.183333337306976</v>
      </c>
      <c r="O163" s="7"/>
      <c r="P163" s="7"/>
      <c r="Q163" s="22"/>
      <c r="R163" s="170"/>
      <c r="S163" s="213">
        <f t="shared" si="65"/>
        <v>1</v>
      </c>
      <c r="T163" s="195" t="str">
        <f t="shared" si="50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51"/>
        <v>https://d0f6bd738d7f1b3e5a7ca70fe4ff75f0.us-east-1.aws.found.io/app/kibana#/discover/Steve-Slow-Train-Analysis-(2080s-and-2083s)?_g=(refreshInterval:(display:Off,pause:!f,section:0,value:0),time:(from:'2017-07-29T05:35:45-0600',mode:absolute,to:'2017-07-29T07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3" s="197" t="str">
        <f>IF(AA163&lt;VLOOKUP(AG163,Variables!$AC$3:$AD$8,2,FALSE),"Y","N")</f>
        <v>N</v>
      </c>
      <c r="X163" s="197">
        <f t="shared" si="66"/>
        <v>1</v>
      </c>
      <c r="Y163" s="197">
        <f t="shared" si="53"/>
        <v>5.8582999999999998</v>
      </c>
      <c r="Z163" s="197">
        <f t="shared" si="54"/>
        <v>6.9599999999999995E-2</v>
      </c>
      <c r="AA163" s="197">
        <f t="shared" si="55"/>
        <v>5.7886999999999995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56"/>
        <v>1802</v>
      </c>
      <c r="AE163" s="77" t="str">
        <f t="shared" si="57"/>
        <v>aws s3 cp s3://rtdc.mdm.uploadarchive.raw/RTDC4053/ "%USERPROFILE%\AppData\Local\Temp\OnboardLogs"\RTDC4053\2017-07-29 --exclude "*" --recursive --include "*20170729*" &amp; "%USERPROFILE%\Documents\GitHub\mrs-test-scripts\Headless Mode &amp; Sideloading\WalkAndUnGZ.bat" "%USERPROFILE%\AppData\Local\Temp\OnboardLogs"\RTDC4053\2017-07-29 &amp; aws s3 cp s3://rtdc.mdm.uploadarchive.raw/RTDC4053/ "%USERPROFILE%\AppData\Local\Temp\OnboardLogs"\RTDC4053\2017-07-30 --exclude "*" --recursive --include "*20170730*" &amp; "%USERPROFILE%\Documents\GitHub\mrs-test-scripts\Headless Mode &amp; Sideloading\WalkAndUnGZ.bat" "%USERPROFILE%\AppData\Local\Temp\OnboardLogs"\RTDC4053\2017-07-30</v>
      </c>
      <c r="AF163" s="74" t="str">
        <f t="shared" si="58"/>
        <v>"C:\Program Files (x86)\AstroGrep\AstroGrep.exe" /e /r /s /spath="%USERPROFILE%\AppData\Local\Temp\OnboardLogs" /stypes="app*4053*20170729*" /stext=" 12:.+((SYSTEM_STATE.+slice.+state.+changed )|(ment ac)|(multiple cpu faults)|(system.+state.+changed )|(\[timeout)|(PRM\|1\|D)|(kpr)|(kdp)|(train st.+moving)|(\|lc)|(penalty))"</v>
      </c>
      <c r="AG163" s="209" t="str">
        <f t="shared" si="59"/>
        <v>NW</v>
      </c>
      <c r="AH163" s="78" t="str">
        <f t="shared" si="60"/>
        <v>"%USERPROFILE%\Documents\GitHub\eaglep3\Utilities\RefineRTDCRunTimes.py" --tripid 1802-29 --locoid 4053 --swversion DE.1.0.9.0 --startMP 300:58583 --initTime 2017-07-29T06:35:45 --startdatetime 2017-07-29T06:37:38 --delay 1 --endMP 204:696 --enddatetime 2017-07-29T06:54:49 --enforcementcount 0 &gt;&gt;C:\Users\stu\Documents\GitHub\eaglep3-reporting\EC\2017-07-29-refined-times.txt</v>
      </c>
      <c r="AI163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{"issue":{"subject":"","project_id":79,"tracker_id":40,"status_id":1,"priority_id":2,"assigned_to_id":23,"start_date":"2017-07-29","description":"","custom_fields":[{"id":1,"name":"Subdivision","value":"NW"},{"id":4,"name":"Milepost","value":"0.0696"},{"id":17,"name":"Train ID","value":"1802-29"},{"id":16,"name":"Locomotive ID","value":"4053"},{"id":130,"name":"Impact","value":""},{"id":150,"name":"Time of Event (Mountain Time)","value":"06:54:49"},{"id":151,"name":"Denver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62"/>
        <v>start /low /b %USERPROFILE%\Documents\GitHub\eaglep3\Utilities\DownloadLogsFromS3.py --loco 4053 --day 2017-07-29</v>
      </c>
      <c r="AN163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12:54:49"},{"id":29,"name":"Sharepoint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s="20" customFormat="1" x14ac:dyDescent="0.25">
      <c r="A164" s="32" t="s">
        <v>720</v>
      </c>
      <c r="B164" s="7">
        <v>4054</v>
      </c>
      <c r="C164" s="21" t="s">
        <v>198</v>
      </c>
      <c r="D164" s="21" t="s">
        <v>500</v>
      </c>
      <c r="E164" s="13">
        <v>42945.289143518516</v>
      </c>
      <c r="F164" s="13">
        <v>42945.307118055556</v>
      </c>
      <c r="G164" s="7">
        <v>1</v>
      </c>
      <c r="H164" s="21" t="s">
        <v>919</v>
      </c>
      <c r="I164" s="13">
        <v>42945.316307870373</v>
      </c>
      <c r="J164" s="7">
        <v>0</v>
      </c>
      <c r="K164" s="89" t="str">
        <f t="shared" si="48"/>
        <v>4053/4054</v>
      </c>
      <c r="L164" s="21" t="str">
        <f>VLOOKUP(A164,'Trips&amp;Operators'!$C$1:$G$99999,5,FALSE)</f>
        <v>MACDONALD THOMAS</v>
      </c>
      <c r="M164" s="6">
        <f t="shared" si="49"/>
        <v>9.189814816636499E-3</v>
      </c>
      <c r="N164" s="7">
        <f t="shared" si="64"/>
        <v>13.233333335956559</v>
      </c>
      <c r="O164" s="7"/>
      <c r="P164" s="7"/>
      <c r="Q164" s="22"/>
      <c r="R164" s="170"/>
      <c r="S164" s="213">
        <f t="shared" si="65"/>
        <v>1</v>
      </c>
      <c r="T164" s="195" t="str">
        <f t="shared" si="50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51"/>
        <v>https://d0f6bd738d7f1b3e5a7ca70fe4ff75f0.us-east-1.aws.found.io/app/kibana#/discover/Steve-Slow-Train-Analysis-(2080s-and-2083s)?_g=(refreshInterval:(display:Off,pause:!f,section:0,value:0),time:(from:'2017-07-29T05:56:22-0600',mode:absolute,to:'2017-07-29T08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4" s="197" t="str">
        <f>IF(AA164&lt;VLOOKUP(AG164,Variables!$AC$3:$AD$8,2,FALSE),"Y","N")</f>
        <v>N</v>
      </c>
      <c r="X164" s="197">
        <f t="shared" ref="X164:X195" si="67">VALUE(LEFT(AD164,4))-VALUE(LEFT(AD163,4))</f>
        <v>1</v>
      </c>
      <c r="Y164" s="197">
        <f t="shared" si="53"/>
        <v>9.9299999999999999E-2</v>
      </c>
      <c r="Z164" s="197">
        <f t="shared" si="54"/>
        <v>5.8921999999999999</v>
      </c>
      <c r="AA164" s="197">
        <f t="shared" si="55"/>
        <v>5.7928999999999995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56"/>
        <v>1803</v>
      </c>
      <c r="AE164" s="77" t="str">
        <f t="shared" si="57"/>
        <v>aws s3 cp s3://rtdc.mdm.uploadarchive.raw/RTDC4054/ "%USERPROFILE%\AppData\Local\Temp\OnboardLogs"\RTDC4054\2017-07-29 --exclude "*" --recursive --include "*20170729*" &amp; "%USERPROFILE%\Documents\GitHub\mrs-test-scripts\Headless Mode &amp; Sideloading\WalkAndUnGZ.bat" "%USERPROFILE%\AppData\Local\Temp\OnboardLogs"\RTDC4054\2017-07-29 &amp; aws s3 cp s3://rtdc.mdm.uploadarchive.raw/RTDC4054/ "%USERPROFILE%\AppData\Local\Temp\OnboardLogs"\RTDC4054\2017-07-30 --exclude "*" --recursive --include "*20170730*" &amp; "%USERPROFILE%\Documents\GitHub\mrs-test-scripts\Headless Mode &amp; Sideloading\WalkAndUnGZ.bat" "%USERPROFILE%\AppData\Local\Temp\OnboardLogs"\RTDC4054\2017-07-30</v>
      </c>
      <c r="AF164" s="74" t="str">
        <f t="shared" si="58"/>
        <v>"C:\Program Files (x86)\AstroGrep\AstroGrep.exe" /e /r /s /spath="%USERPROFILE%\AppData\Local\Temp\OnboardLogs" /stypes="app*4054*20170729*" /stext=" 13:.+((SYSTEM_STATE.+slice.+state.+changed )|(ment ac)|(multiple cpu faults)|(system.+state.+changed )|(\[timeout)|(PRM\|1\|D)|(kpr)|(kdp)|(train st.+moving)|(\|lc)|(penalty))"</v>
      </c>
      <c r="AG164" s="209" t="str">
        <f t="shared" si="59"/>
        <v>NW</v>
      </c>
      <c r="AH164" s="78" t="str">
        <f t="shared" si="60"/>
        <v>"%USERPROFILE%\Documents\GitHub\eaglep3\Utilities\RefineRTDCRunTimes.py" --tripid 1803-29 --locoid 4054 --swversion DE.1.0.9.0 --startMP 204:993 --initTime 2017-07-29T06:56:22 --startdatetime 2017-07-29T07:22:15 --delay 1 --endMP 300:58922 --enddatetime 2017-07-29T07:35:29 --enforcementcount 0 &gt;&gt;C:\Users\stu\Documents\GitHub\eaglep3-reporting\EC\2017-07-29-refined-times.txt</v>
      </c>
      <c r="AI164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{"issue":{"subject":"","project_id":79,"tracker_id":40,"status_id":1,"priority_id":2,"assigned_to_id":23,"start_date":"2017-07-29","description":"","custom_fields":[{"id":1,"name":"Subdivision","value":"NW"},{"id":4,"name":"Milepost","value":"5.8922"},{"id":17,"name":"Train ID","value":"1803-29"},{"id":16,"name":"Locomotive ID","value":"4054"},{"id":130,"name":"Impact","value":""},{"id":150,"name":"Time of Event (Mountain Time)","value":"07:35:29"},{"id":151,"name":"Denver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62"/>
        <v>start /low /b %USERPROFILE%\Documents\GitHub\eaglep3\Utilities\DownloadLogsFromS3.py --loco 4054 --day 2017-07-29</v>
      </c>
      <c r="AN164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13:35:29"},{"id":29,"name":"Sharepoint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725</v>
      </c>
      <c r="B165" s="7">
        <v>4053</v>
      </c>
      <c r="C165" s="21" t="s">
        <v>198</v>
      </c>
      <c r="D165" s="21" t="s">
        <v>920</v>
      </c>
      <c r="E165" s="13">
        <v>42945.317106481481</v>
      </c>
      <c r="F165" s="13">
        <v>42945.31827546296</v>
      </c>
      <c r="G165" s="7">
        <v>1</v>
      </c>
      <c r="H165" s="21" t="s">
        <v>921</v>
      </c>
      <c r="I165" s="13">
        <v>42945.330081018517</v>
      </c>
      <c r="J165" s="7">
        <v>0</v>
      </c>
      <c r="K165" s="89" t="str">
        <f t="shared" si="48"/>
        <v>4053/4054</v>
      </c>
      <c r="L165" s="21" t="str">
        <f>VLOOKUP(A165,'Trips&amp;Operators'!$C$1:$G$99999,5,FALSE)</f>
        <v>MACDONALD THOMAS</v>
      </c>
      <c r="M165" s="6">
        <f t="shared" si="49"/>
        <v>1.1805555557657499E-2</v>
      </c>
      <c r="N165" s="7">
        <f t="shared" si="64"/>
        <v>17.000000003026798</v>
      </c>
      <c r="O165" s="7"/>
      <c r="P165" s="7"/>
      <c r="Q165" s="22"/>
      <c r="R165" s="170"/>
      <c r="S165" s="213">
        <f t="shared" si="65"/>
        <v>1</v>
      </c>
      <c r="T165" s="195" t="str">
        <f t="shared" si="50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51"/>
        <v>https://d0f6bd738d7f1b3e5a7ca70fe4ff75f0.us-east-1.aws.found.io/app/kibana#/discover/Steve-Slow-Train-Analysis-(2080s-and-2083s)?_g=(refreshInterval:(display:Off,pause:!f,section:0,value:0),time:(from:'2017-07-29T06:36:38-0600',mode:absolute,to:'2017-07-29T08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5" s="197" t="str">
        <f>IF(AA165&lt;VLOOKUP(AG165,Variables!$AC$3:$AD$8,2,FALSE),"Y","N")</f>
        <v>N</v>
      </c>
      <c r="X165" s="197">
        <f t="shared" si="67"/>
        <v>1</v>
      </c>
      <c r="Y165" s="197">
        <f t="shared" si="53"/>
        <v>5.8608000000000002</v>
      </c>
      <c r="Z165" s="197">
        <f t="shared" si="54"/>
        <v>7.1499999999999994E-2</v>
      </c>
      <c r="AA165" s="197">
        <f t="shared" si="55"/>
        <v>5.7892999999999999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56"/>
        <v>1804</v>
      </c>
      <c r="AE165" s="77" t="str">
        <f t="shared" si="57"/>
        <v>aws s3 cp s3://rtdc.mdm.uploadarchive.raw/RTDC4053/ "%USERPROFILE%\AppData\Local\Temp\OnboardLogs"\RTDC4053\2017-07-29 --exclude "*" --recursive --include "*20170729*" &amp; "%USERPROFILE%\Documents\GitHub\mrs-test-scripts\Headless Mode &amp; Sideloading\WalkAndUnGZ.bat" "%USERPROFILE%\AppData\Local\Temp\OnboardLogs"\RTDC4053\2017-07-29 &amp; aws s3 cp s3://rtdc.mdm.uploadarchive.raw/RTDC4053/ "%USERPROFILE%\AppData\Local\Temp\OnboardLogs"\RTDC4053\2017-07-30 --exclude "*" --recursive --include "*20170730*" &amp; "%USERPROFILE%\Documents\GitHub\mrs-test-scripts\Headless Mode &amp; Sideloading\WalkAndUnGZ.bat" "%USERPROFILE%\AppData\Local\Temp\OnboardLogs"\RTDC4053\2017-07-30</v>
      </c>
      <c r="AF165" s="74" t="str">
        <f t="shared" si="58"/>
        <v>"C:\Program Files (x86)\AstroGrep\AstroGrep.exe" /e /r /s /spath="%USERPROFILE%\AppData\Local\Temp\OnboardLogs" /stypes="app*4053*20170729*" /stext=" 13:.+((SYSTEM_STATE.+slice.+state.+changed )|(ment ac)|(multiple cpu faults)|(system.+state.+changed )|(\[timeout)|(PRM\|1\|D)|(kpr)|(kdp)|(train st.+moving)|(\|lc)|(penalty))"</v>
      </c>
      <c r="AG165" s="209" t="str">
        <f t="shared" si="59"/>
        <v>NW</v>
      </c>
      <c r="AH165" s="78" t="str">
        <f t="shared" si="60"/>
        <v>"%USERPROFILE%\Documents\GitHub\eaglep3\Utilities\RefineRTDCRunTimes.py" --tripid 1804-29 --locoid 4053 --swversion DE.1.0.9.0 --startMP 300:58608 --initTime 2017-07-29T07:36:38 --startdatetime 2017-07-29T07:38:19 --delay 1 --endMP 204:715 --enddatetime 2017-07-29T07:55:19 --enforcementcount 0 &gt;&gt;C:\Users\stu\Documents\GitHub\eaglep3-reporting\EC\2017-07-29-refined-times.txt</v>
      </c>
      <c r="AI165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{"issue":{"subject":"","project_id":79,"tracker_id":40,"status_id":1,"priority_id":2,"assigned_to_id":23,"start_date":"2017-07-29","description":"","custom_fields":[{"id":1,"name":"Subdivision","value":"NW"},{"id":4,"name":"Milepost","value":"0.0715"},{"id":17,"name":"Train ID","value":"1804-29"},{"id":16,"name":"Locomotive ID","value":"4053"},{"id":130,"name":"Impact","value":""},{"id":150,"name":"Time of Event (Mountain Time)","value":"07:55:19"},{"id":151,"name":"Denver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62"/>
        <v>start /low /b %USERPROFILE%\Documents\GitHub\eaglep3\Utilities\DownloadLogsFromS3.py --loco 4053 --day 2017-07-29</v>
      </c>
      <c r="AN165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13:55:19"},{"id":29,"name":"Sharepoint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s="20" customFormat="1" x14ac:dyDescent="0.25">
      <c r="A166" s="32" t="s">
        <v>729</v>
      </c>
      <c r="B166" s="7">
        <v>4054</v>
      </c>
      <c r="C166" s="21" t="s">
        <v>198</v>
      </c>
      <c r="D166" s="21" t="s">
        <v>623</v>
      </c>
      <c r="E166" s="13">
        <v>42945.33090277778</v>
      </c>
      <c r="F166" s="13">
        <v>42945.348553240743</v>
      </c>
      <c r="G166" s="7">
        <v>2</v>
      </c>
      <c r="H166" s="21" t="s">
        <v>629</v>
      </c>
      <c r="I166" s="13">
        <v>42945.357569444444</v>
      </c>
      <c r="J166" s="7">
        <v>0</v>
      </c>
      <c r="K166" s="89" t="str">
        <f t="shared" si="48"/>
        <v>4053/4054</v>
      </c>
      <c r="L166" s="21" t="str">
        <f>VLOOKUP(A166,'Trips&amp;Operators'!$C$1:$G$99999,5,FALSE)</f>
        <v>MACDONALD THOMAS</v>
      </c>
      <c r="M166" s="6">
        <f t="shared" si="49"/>
        <v>9.0162037013215013E-3</v>
      </c>
      <c r="N166" s="7">
        <f t="shared" si="64"/>
        <v>12.983333329902962</v>
      </c>
      <c r="O166" s="7"/>
      <c r="P166" s="7"/>
      <c r="Q166" s="22"/>
      <c r="R166" s="170"/>
      <c r="S166" s="213">
        <f t="shared" si="65"/>
        <v>1</v>
      </c>
      <c r="T166" s="195" t="str">
        <f t="shared" si="50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51"/>
        <v>https://d0f6bd738d7f1b3e5a7ca70fe4ff75f0.us-east-1.aws.found.io/app/kibana#/discover/Steve-Slow-Train-Analysis-(2080s-and-2083s)?_g=(refreshInterval:(display:Off,pause:!f,section:0,value:0),time:(from:'2017-07-29T06:56:30-0600',mode:absolute,to:'2017-07-29T09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6" s="197" t="str">
        <f>IF(AA166&lt;VLOOKUP(AG166,Variables!$AC$3:$AD$8,2,FALSE),"Y","N")</f>
        <v>N</v>
      </c>
      <c r="X166" s="197">
        <f t="shared" si="67"/>
        <v>1</v>
      </c>
      <c r="Y166" s="197">
        <f t="shared" si="53"/>
        <v>0.1</v>
      </c>
      <c r="Z166" s="197">
        <f t="shared" si="54"/>
        <v>5.8920000000000003</v>
      </c>
      <c r="AA166" s="197">
        <f t="shared" si="55"/>
        <v>5.7920000000000007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56"/>
        <v>1805</v>
      </c>
      <c r="AE166" s="77" t="str">
        <f t="shared" si="57"/>
        <v>aws s3 cp s3://rtdc.mdm.uploadarchive.raw/RTDC4054/ "%USERPROFILE%\AppData\Local\Temp\OnboardLogs"\RTDC4054\2017-07-29 --exclude "*" --recursive --include "*20170729*" &amp; "%USERPROFILE%\Documents\GitHub\mrs-test-scripts\Headless Mode &amp; Sideloading\WalkAndUnGZ.bat" "%USERPROFILE%\AppData\Local\Temp\OnboardLogs"\RTDC4054\2017-07-29 &amp; aws s3 cp s3://rtdc.mdm.uploadarchive.raw/RTDC4054/ "%USERPROFILE%\AppData\Local\Temp\OnboardLogs"\RTDC4054\2017-07-30 --exclude "*" --recursive --include "*20170730*" &amp; "%USERPROFILE%\Documents\GitHub\mrs-test-scripts\Headless Mode &amp; Sideloading\WalkAndUnGZ.bat" "%USERPROFILE%\AppData\Local\Temp\OnboardLogs"\RTDC4054\2017-07-30</v>
      </c>
      <c r="AF166" s="74" t="str">
        <f t="shared" si="58"/>
        <v>"C:\Program Files (x86)\AstroGrep\AstroGrep.exe" /e /r /s /spath="%USERPROFILE%\AppData\Local\Temp\OnboardLogs" /stypes="app*4054*20170729*" /stext=" 14:.+((SYSTEM_STATE.+slice.+state.+changed )|(ment ac)|(multiple cpu faults)|(system.+state.+changed )|(\[timeout)|(PRM\|1\|D)|(kpr)|(kdp)|(train st.+moving)|(\|lc)|(penalty))"</v>
      </c>
      <c r="AG166" s="209" t="str">
        <f t="shared" si="59"/>
        <v>NW</v>
      </c>
      <c r="AH166" s="78" t="str">
        <f t="shared" si="60"/>
        <v>"%USERPROFILE%\Documents\GitHub\eaglep3\Utilities\RefineRTDCRunTimes.py" --tripid 1805-29 --locoid 4054 --swversion DE.1.0.9.0 --startMP 204:1000 --initTime 2017-07-29T07:56:30 --startdatetime 2017-07-29T08:21:55 --delay 2 --endMP 300:58920 --enddatetime 2017-07-29T08:34:54 --enforcementcount 0 &gt;&gt;C:\Users\stu\Documents\GitHub\eaglep3-reporting\EC\2017-07-29-refined-times.txt</v>
      </c>
      <c r="AI166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{"issue":{"subject":"","project_id":79,"tracker_id":40,"status_id":1,"priority_id":2,"assigned_to_id":23,"start_date":"2017-07-29","description":"","custom_fields":[{"id":1,"name":"Subdivision","value":"NW"},{"id":4,"name":"Milepost","value":"5.892"},{"id":17,"name":"Train ID","value":"1805-29"},{"id":16,"name":"Locomotive ID","value":"4054"},{"id":130,"name":"Impact","value":""},{"id":150,"name":"Time of Event (Mountain Time)","value":"08:34:54"},{"id":151,"name":"Denver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62"/>
        <v>start /low /b %USERPROFILE%\Documents\GitHub\eaglep3\Utilities\DownloadLogsFromS3.py --loco 4054 --day 2017-07-29</v>
      </c>
      <c r="AN166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14:34:54"},{"id":29,"name":"Sharepoint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733</v>
      </c>
      <c r="B167" s="7">
        <v>4053</v>
      </c>
      <c r="C167" s="21" t="s">
        <v>198</v>
      </c>
      <c r="D167" s="21" t="s">
        <v>915</v>
      </c>
      <c r="E167" s="13">
        <v>42945.358518518522</v>
      </c>
      <c r="F167" s="13">
        <v>42945.360185185185</v>
      </c>
      <c r="G167" s="7">
        <v>1</v>
      </c>
      <c r="H167" s="21" t="s">
        <v>922</v>
      </c>
      <c r="I167" s="13">
        <v>42945.37159722222</v>
      </c>
      <c r="J167" s="7">
        <v>0</v>
      </c>
      <c r="K167" s="89" t="str">
        <f t="shared" si="48"/>
        <v>4053/4054</v>
      </c>
      <c r="L167" s="21" t="str">
        <f>VLOOKUP(A167,'Trips&amp;Operators'!$C$1:$G$99999,5,FALSE)</f>
        <v>MACDONALD THOMAS</v>
      </c>
      <c r="M167" s="6">
        <f t="shared" si="49"/>
        <v>1.1412037034460809E-2</v>
      </c>
      <c r="N167" s="7">
        <f t="shared" si="64"/>
        <v>16.433333329623565</v>
      </c>
      <c r="O167" s="7"/>
      <c r="P167" s="7"/>
      <c r="Q167" s="22"/>
      <c r="R167" s="170"/>
      <c r="S167" s="213">
        <f t="shared" si="65"/>
        <v>1</v>
      </c>
      <c r="T167" s="195" t="str">
        <f t="shared" si="50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51"/>
        <v>https://d0f6bd738d7f1b3e5a7ca70fe4ff75f0.us-east-1.aws.found.io/app/kibana#/discover/Steve-Slow-Train-Analysis-(2080s-and-2083s)?_g=(refreshInterval:(display:Off,pause:!f,section:0,value:0),time:(from:'2017-07-29T07:36:16-0600',mode:absolute,to:'2017-07-29T09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7" s="197" t="str">
        <f>IF(AA167&lt;VLOOKUP(AG167,Variables!$AC$3:$AD$8,2,FALSE),"Y","N")</f>
        <v>N</v>
      </c>
      <c r="X167" s="197">
        <f t="shared" si="67"/>
        <v>1</v>
      </c>
      <c r="Y167" s="197">
        <f t="shared" si="53"/>
        <v>5.8609</v>
      </c>
      <c r="Z167" s="197">
        <f t="shared" si="54"/>
        <v>7.3599999999999999E-2</v>
      </c>
      <c r="AA167" s="197">
        <f t="shared" si="55"/>
        <v>5.7873000000000001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56"/>
        <v>1806</v>
      </c>
      <c r="AE167" s="77" t="str">
        <f t="shared" si="57"/>
        <v>aws s3 cp s3://rtdc.mdm.uploadarchive.raw/RTDC4053/ "%USERPROFILE%\AppData\Local\Temp\OnboardLogs"\RTDC4053\2017-07-29 --exclude "*" --recursive --include "*20170729*" &amp; "%USERPROFILE%\Documents\GitHub\mrs-test-scripts\Headless Mode &amp; Sideloading\WalkAndUnGZ.bat" "%USERPROFILE%\AppData\Local\Temp\OnboardLogs"\RTDC4053\2017-07-29 &amp; aws s3 cp s3://rtdc.mdm.uploadarchive.raw/RTDC4053/ "%USERPROFILE%\AppData\Local\Temp\OnboardLogs"\RTDC4053\2017-07-30 --exclude "*" --recursive --include "*20170730*" &amp; "%USERPROFILE%\Documents\GitHub\mrs-test-scripts\Headless Mode &amp; Sideloading\WalkAndUnGZ.bat" "%USERPROFILE%\AppData\Local\Temp\OnboardLogs"\RTDC4053\2017-07-30</v>
      </c>
      <c r="AF167" s="74" t="str">
        <f t="shared" si="58"/>
        <v>"C:\Program Files (x86)\AstroGrep\AstroGrep.exe" /e /r /s /spath="%USERPROFILE%\AppData\Local\Temp\OnboardLogs" /stypes="app*4053*20170729*" /stext=" 14:.+((SYSTEM_STATE.+slice.+state.+changed )|(ment ac)|(multiple cpu faults)|(system.+state.+changed )|(\[timeout)|(PRM\|1\|D)|(kpr)|(kdp)|(train st.+moving)|(\|lc)|(penalty))"</v>
      </c>
      <c r="AG167" s="209" t="str">
        <f t="shared" si="59"/>
        <v>NW</v>
      </c>
      <c r="AH167" s="78" t="str">
        <f t="shared" si="60"/>
        <v>"%USERPROFILE%\Documents\GitHub\eaglep3\Utilities\RefineRTDCRunTimes.py" --tripid 1806-29 --locoid 4053 --swversion DE.1.0.9.0 --startMP 300:58609 --initTime 2017-07-29T08:36:16 --startdatetime 2017-07-29T08:38:40 --delay 1 --endMP 204:736 --enddatetime 2017-07-29T08:55:06 --enforcementcount 0 &gt;&gt;C:\Users\stu\Documents\GitHub\eaglep3-reporting\EC\2017-07-29-refined-times.txt</v>
      </c>
      <c r="AI167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{"issue":{"subject":"","project_id":79,"tracker_id":40,"status_id":1,"priority_id":2,"assigned_to_id":23,"start_date":"2017-07-29","description":"","custom_fields":[{"id":1,"name":"Subdivision","value":"NW"},{"id":4,"name":"Milepost","value":"0.0736"},{"id":17,"name":"Train ID","value":"1806-29"},{"id":16,"name":"Locomotive ID","value":"4053"},{"id":130,"name":"Impact","value":""},{"id":150,"name":"Time of Event (Mountain Time)","value":"08:55:06"},{"id":151,"name":"Denver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62"/>
        <v>start /low /b %USERPROFILE%\Documents\GitHub\eaglep3\Utilities\DownloadLogsFromS3.py --loco 4053 --day 2017-07-29</v>
      </c>
      <c r="AN167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14:55:06"},{"id":29,"name":"Sharepoint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738</v>
      </c>
      <c r="B168" s="7">
        <v>4054</v>
      </c>
      <c r="C168" s="21" t="s">
        <v>198</v>
      </c>
      <c r="D168" s="21" t="s">
        <v>923</v>
      </c>
      <c r="E168" s="13">
        <v>42945.372465277775</v>
      </c>
      <c r="F168" s="13">
        <v>42945.390370370369</v>
      </c>
      <c r="G168" s="7">
        <v>1</v>
      </c>
      <c r="H168" s="21" t="s">
        <v>924</v>
      </c>
      <c r="I168" s="13">
        <v>42945.399421296293</v>
      </c>
      <c r="J168" s="7">
        <v>0</v>
      </c>
      <c r="K168" s="89" t="str">
        <f t="shared" si="48"/>
        <v>4053/4054</v>
      </c>
      <c r="L168" s="21" t="str">
        <f>VLOOKUP(A168,'Trips&amp;Operators'!$C$1:$G$99999,5,FALSE)</f>
        <v>MACDONALD THOMAS</v>
      </c>
      <c r="M168" s="6">
        <f t="shared" si="49"/>
        <v>9.0509259243845008E-3</v>
      </c>
      <c r="N168" s="7">
        <f t="shared" si="64"/>
        <v>13.033333331113681</v>
      </c>
      <c r="O168" s="7"/>
      <c r="P168" s="7"/>
      <c r="Q168" s="22"/>
      <c r="R168" s="170"/>
      <c r="S168" s="213">
        <f t="shared" si="65"/>
        <v>1</v>
      </c>
      <c r="T168" s="195" t="str">
        <f t="shared" si="50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51"/>
        <v>https://d0f6bd738d7f1b3e5a7ca70fe4ff75f0.us-east-1.aws.found.io/app/kibana#/discover/Steve-Slow-Train-Analysis-(2080s-and-2083s)?_g=(refreshInterval:(display:Off,pause:!f,section:0,value:0),time:(from:'2017-07-29T07:56:21-0600',mode:absolute,to:'2017-07-29T10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8" s="197" t="str">
        <f>IF(AA168&lt;VLOOKUP(AG168,Variables!$AC$3:$AD$8,2,FALSE),"Y","N")</f>
        <v>N</v>
      </c>
      <c r="X168" s="197">
        <f t="shared" si="67"/>
        <v>1</v>
      </c>
      <c r="Y168" s="197">
        <f t="shared" si="53"/>
        <v>0.10199999999999999</v>
      </c>
      <c r="Z168" s="197">
        <f t="shared" si="54"/>
        <v>5.8902999999999999</v>
      </c>
      <c r="AA168" s="197">
        <f t="shared" si="55"/>
        <v>5.7882999999999996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56"/>
        <v>1807</v>
      </c>
      <c r="AE168" s="77" t="str">
        <f t="shared" si="57"/>
        <v>aws s3 cp s3://rtdc.mdm.uploadarchive.raw/RTDC4054/ "%USERPROFILE%\AppData\Local\Temp\OnboardLogs"\RTDC4054\2017-07-29 --exclude "*" --recursive --include "*20170729*" &amp; "%USERPROFILE%\Documents\GitHub\mrs-test-scripts\Headless Mode &amp; Sideloading\WalkAndUnGZ.bat" "%USERPROFILE%\AppData\Local\Temp\OnboardLogs"\RTDC4054\2017-07-29 &amp; aws s3 cp s3://rtdc.mdm.uploadarchive.raw/RTDC4054/ "%USERPROFILE%\AppData\Local\Temp\OnboardLogs"\RTDC4054\2017-07-30 --exclude "*" --recursive --include "*20170730*" &amp; "%USERPROFILE%\Documents\GitHub\mrs-test-scripts\Headless Mode &amp; Sideloading\WalkAndUnGZ.bat" "%USERPROFILE%\AppData\Local\Temp\OnboardLogs"\RTDC4054\2017-07-30</v>
      </c>
      <c r="AF168" s="74" t="str">
        <f t="shared" si="58"/>
        <v>"C:\Program Files (x86)\AstroGrep\AstroGrep.exe" /e /r /s /spath="%USERPROFILE%\AppData\Local\Temp\OnboardLogs" /stypes="app*4054*20170729*" /stext=" 15:.+((SYSTEM_STATE.+slice.+state.+changed )|(ment ac)|(multiple cpu faults)|(system.+state.+changed )|(\[timeout)|(PRM\|1\|D)|(kpr)|(kdp)|(train st.+moving)|(\|lc)|(penalty))"</v>
      </c>
      <c r="AG168" s="209" t="str">
        <f t="shared" si="59"/>
        <v>NW</v>
      </c>
      <c r="AH168" s="78" t="str">
        <f t="shared" si="60"/>
        <v>"%USERPROFILE%\Documents\GitHub\eaglep3\Utilities\RefineRTDCRunTimes.py" --tripid 1807-29 --locoid 4054 --swversion DE.1.0.9.0 --startMP 204:1020 --initTime 2017-07-29T08:56:21 --startdatetime 2017-07-29T09:22:08 --delay 1 --endMP 300:58903 --enddatetime 2017-07-29T09:35:10 --enforcementcount 0 &gt;&gt;C:\Users\stu\Documents\GitHub\eaglep3-reporting\EC\2017-07-29-refined-times.txt</v>
      </c>
      <c r="AI168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{"issue":{"subject":"","project_id":79,"tracker_id":40,"status_id":1,"priority_id":2,"assigned_to_id":23,"start_date":"2017-07-29","description":"","custom_fields":[{"id":1,"name":"Subdivision","value":"NW"},{"id":4,"name":"Milepost","value":"5.8903"},{"id":17,"name":"Train ID","value":"1807-29"},{"id":16,"name":"Locomotive ID","value":"4054"},{"id":130,"name":"Impact","value":""},{"id":150,"name":"Time of Event (Mountain Time)","value":"09:35:10"},{"id":151,"name":"Denver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62"/>
        <v>start /low /b %USERPROFILE%\Documents\GitHub\eaglep3\Utilities\DownloadLogsFromS3.py --loco 4054 --day 2017-07-29</v>
      </c>
      <c r="AN168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15:35:10"},{"id":29,"name":"Sharepoint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2" t="s">
        <v>640</v>
      </c>
      <c r="B169" s="7">
        <v>4053</v>
      </c>
      <c r="C169" s="21" t="s">
        <v>198</v>
      </c>
      <c r="D169" s="21" t="s">
        <v>925</v>
      </c>
      <c r="E169" s="13">
        <v>42945.40047453704</v>
      </c>
      <c r="F169" s="13">
        <v>42945.402430555558</v>
      </c>
      <c r="G169" s="7">
        <v>1</v>
      </c>
      <c r="H169" s="21" t="s">
        <v>926</v>
      </c>
      <c r="I169" s="13">
        <v>42945.413715277777</v>
      </c>
      <c r="J169" s="7">
        <v>0</v>
      </c>
      <c r="K169" s="89" t="str">
        <f t="shared" si="48"/>
        <v>4053/4054</v>
      </c>
      <c r="L169" s="21" t="str">
        <f>VLOOKUP(A169,'Trips&amp;Operators'!$C$1:$G$99999,5,FALSE)</f>
        <v>MACDONALD THOMAS</v>
      </c>
      <c r="M169" s="6">
        <f t="shared" si="49"/>
        <v>1.1284722218988463E-2</v>
      </c>
      <c r="N169" s="7">
        <f t="shared" si="64"/>
        <v>16.249999995343387</v>
      </c>
      <c r="O169" s="7"/>
      <c r="P169" s="7"/>
      <c r="Q169" s="22"/>
      <c r="R169" s="170"/>
      <c r="S169" s="213">
        <f t="shared" si="65"/>
        <v>1</v>
      </c>
      <c r="T169" s="195" t="str">
        <f t="shared" si="50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51"/>
        <v>https://d0f6bd738d7f1b3e5a7ca70fe4ff75f0.us-east-1.aws.found.io/app/kibana#/discover/Steve-Slow-Train-Analysis-(2080s-and-2083s)?_g=(refreshInterval:(display:Off,pause:!f,section:0,value:0),time:(from:'2017-07-29T08:36:41-0600',mode:absolute,to:'2017-07-29T10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9" s="197" t="str">
        <f>IF(AA169&lt;VLOOKUP(AG169,Variables!$AC$3:$AD$8,2,FALSE),"Y","N")</f>
        <v>N</v>
      </c>
      <c r="X169" s="197">
        <f t="shared" si="67"/>
        <v>1</v>
      </c>
      <c r="Y169" s="197">
        <f t="shared" si="53"/>
        <v>5.8593999999999999</v>
      </c>
      <c r="Z169" s="197">
        <f t="shared" si="54"/>
        <v>7.5700000000000003E-2</v>
      </c>
      <c r="AA169" s="197">
        <f t="shared" si="55"/>
        <v>5.7836999999999996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56"/>
        <v>1808</v>
      </c>
      <c r="AE169" s="77" t="str">
        <f t="shared" si="57"/>
        <v>aws s3 cp s3://rtdc.mdm.uploadarchive.raw/RTDC4053/ "%USERPROFILE%\AppData\Local\Temp\OnboardLogs"\RTDC4053\2017-07-29 --exclude "*" --recursive --include "*20170729*" &amp; "%USERPROFILE%\Documents\GitHub\mrs-test-scripts\Headless Mode &amp; Sideloading\WalkAndUnGZ.bat" "%USERPROFILE%\AppData\Local\Temp\OnboardLogs"\RTDC4053\2017-07-29 &amp; aws s3 cp s3://rtdc.mdm.uploadarchive.raw/RTDC4053/ "%USERPROFILE%\AppData\Local\Temp\OnboardLogs"\RTDC4053\2017-07-30 --exclude "*" --recursive --include "*20170730*" &amp; "%USERPROFILE%\Documents\GitHub\mrs-test-scripts\Headless Mode &amp; Sideloading\WalkAndUnGZ.bat" "%USERPROFILE%\AppData\Local\Temp\OnboardLogs"\RTDC4053\2017-07-30</v>
      </c>
      <c r="AF169" s="74" t="str">
        <f t="shared" si="58"/>
        <v>"C:\Program Files (x86)\AstroGrep\AstroGrep.exe" /e /r /s /spath="%USERPROFILE%\AppData\Local\Temp\OnboardLogs" /stypes="app*4053*20170729*" /stext=" 15:.+((SYSTEM_STATE.+slice.+state.+changed )|(ment ac)|(multiple cpu faults)|(system.+state.+changed )|(\[timeout)|(PRM\|1\|D)|(kpr)|(kdp)|(train st.+moving)|(\|lc)|(penalty))"</v>
      </c>
      <c r="AG169" s="209" t="str">
        <f t="shared" si="59"/>
        <v>NW</v>
      </c>
      <c r="AH169" s="78" t="str">
        <f t="shared" si="60"/>
        <v>"%USERPROFILE%\Documents\GitHub\eaglep3\Utilities\RefineRTDCRunTimes.py" --tripid 1808-29 --locoid 4053 --swversion DE.1.0.9.0 --startMP 300:58594 --initTime 2017-07-29T09:36:41 --startdatetime 2017-07-29T09:39:30 --delay 1 --endMP 204:757 --enddatetime 2017-07-29T09:55:45 --enforcementcount 0 &gt;&gt;C:\Users\stu\Documents\GitHub\eaglep3-reporting\EC\2017-07-29-refined-times.txt</v>
      </c>
      <c r="AI169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{"issue":{"subject":"","project_id":79,"tracker_id":40,"status_id":1,"priority_id":2,"assigned_to_id":23,"start_date":"2017-07-29","description":"","custom_fields":[{"id":1,"name":"Subdivision","value":"NW"},{"id":4,"name":"Milepost","value":"0.0757"},{"id":17,"name":"Train ID","value":"1808-29"},{"id":16,"name":"Locomotive ID","value":"4053"},{"id":130,"name":"Impact","value":""},{"id":150,"name":"Time of Event (Mountain Time)","value":"09:55:45"},{"id":151,"name":"Denver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62"/>
        <v>start /low /b %USERPROFILE%\Documents\GitHub\eaglep3\Utilities\DownloadLogsFromS3.py --loco 4053 --day 2017-07-29</v>
      </c>
      <c r="AN169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15:55:45"},{"id":29,"name":"Sharepoint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x14ac:dyDescent="0.25">
      <c r="A170" s="32" t="s">
        <v>748</v>
      </c>
      <c r="B170" s="7">
        <v>4054</v>
      </c>
      <c r="C170" s="21" t="s">
        <v>198</v>
      </c>
      <c r="D170" s="21" t="s">
        <v>927</v>
      </c>
      <c r="E170" s="13">
        <v>42945.414629629631</v>
      </c>
      <c r="F170" s="13">
        <v>42945.431689814817</v>
      </c>
      <c r="G170" s="7">
        <v>1</v>
      </c>
      <c r="H170" s="21" t="s">
        <v>928</v>
      </c>
      <c r="I170" s="13">
        <v>42945.440798611111</v>
      </c>
      <c r="J170" s="7">
        <v>0</v>
      </c>
      <c r="K170" s="89" t="str">
        <f t="shared" si="48"/>
        <v>4053/4054</v>
      </c>
      <c r="L170" s="21" t="str">
        <f>VLOOKUP(A170,'Trips&amp;Operators'!$C$1:$G$99999,5,FALSE)</f>
        <v>MACDONALD THOMAS</v>
      </c>
      <c r="M170" s="6">
        <f t="shared" si="49"/>
        <v>9.1087962937308475E-3</v>
      </c>
      <c r="N170" s="7">
        <f t="shared" si="64"/>
        <v>13.11666666297242</v>
      </c>
      <c r="O170" s="7"/>
      <c r="P170" s="7"/>
      <c r="Q170" s="22"/>
      <c r="R170" s="170"/>
      <c r="S170" s="213">
        <f t="shared" si="65"/>
        <v>1</v>
      </c>
      <c r="T170" s="195" t="str">
        <f t="shared" si="50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51"/>
        <v>https://d0f6bd738d7f1b3e5a7ca70fe4ff75f0.us-east-1.aws.found.io/app/kibana#/discover/Steve-Slow-Train-Analysis-(2080s-and-2083s)?_g=(refreshInterval:(display:Off,pause:!f,section:0,value:0),time:(from:'2017-07-29T08:57:04-0600',mode:absolute,to:'2017-07-29T11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0" s="197" t="str">
        <f>IF(AA170&lt;VLOOKUP(AG170,Variables!$AC$3:$AD$8,2,FALSE),"Y","N")</f>
        <v>N</v>
      </c>
      <c r="X170" s="197">
        <f t="shared" si="67"/>
        <v>1</v>
      </c>
      <c r="Y170" s="197">
        <f t="shared" si="53"/>
        <v>0.1056</v>
      </c>
      <c r="Z170" s="197">
        <f t="shared" si="54"/>
        <v>5.8906999999999998</v>
      </c>
      <c r="AA170" s="197">
        <f t="shared" si="55"/>
        <v>5.7850999999999999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56"/>
        <v>1809</v>
      </c>
      <c r="AE170" s="77" t="str">
        <f t="shared" si="57"/>
        <v>aws s3 cp s3://rtdc.mdm.uploadarchive.raw/RTDC4054/ "%USERPROFILE%\AppData\Local\Temp\OnboardLogs"\RTDC4054\2017-07-29 --exclude "*" --recursive --include "*20170729*" &amp; "%USERPROFILE%\Documents\GitHub\mrs-test-scripts\Headless Mode &amp; Sideloading\WalkAndUnGZ.bat" "%USERPROFILE%\AppData\Local\Temp\OnboardLogs"\RTDC4054\2017-07-29 &amp; aws s3 cp s3://rtdc.mdm.uploadarchive.raw/RTDC4054/ "%USERPROFILE%\AppData\Local\Temp\OnboardLogs"\RTDC4054\2017-07-30 --exclude "*" --recursive --include "*20170730*" &amp; "%USERPROFILE%\Documents\GitHub\mrs-test-scripts\Headless Mode &amp; Sideloading\WalkAndUnGZ.bat" "%USERPROFILE%\AppData\Local\Temp\OnboardLogs"\RTDC4054\2017-07-30</v>
      </c>
      <c r="AF170" s="74" t="str">
        <f t="shared" si="58"/>
        <v>"C:\Program Files (x86)\AstroGrep\AstroGrep.exe" /e /r /s /spath="%USERPROFILE%\AppData\Local\Temp\OnboardLogs" /stypes="app*4054*20170729*" /stext=" 16:.+((SYSTEM_STATE.+slice.+state.+changed )|(ment ac)|(multiple cpu faults)|(system.+state.+changed )|(\[timeout)|(PRM\|1\|D)|(kpr)|(kdp)|(train st.+moving)|(\|lc)|(penalty))"</v>
      </c>
      <c r="AG170" s="209" t="str">
        <f t="shared" si="59"/>
        <v>NW</v>
      </c>
      <c r="AH170" s="78" t="str">
        <f t="shared" si="60"/>
        <v>"%USERPROFILE%\Documents\GitHub\eaglep3\Utilities\RefineRTDCRunTimes.py" --tripid 1809-29 --locoid 4054 --swversion DE.1.0.9.0 --startMP 204:1056 --initTime 2017-07-29T09:57:04 --startdatetime 2017-07-29T10:21:38 --delay 1 --endMP 300:58907 --enddatetime 2017-07-29T10:34:45 --enforcementcount 0 &gt;&gt;C:\Users\stu\Documents\GitHub\eaglep3-reporting\EC\2017-07-29-refined-times.txt</v>
      </c>
      <c r="AI170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{"issue":{"subject":"","project_id":79,"tracker_id":40,"status_id":1,"priority_id":2,"assigned_to_id":23,"start_date":"2017-07-29","description":"","custom_fields":[{"id":1,"name":"Subdivision","value":"NW"},{"id":4,"name":"Milepost","value":"5.8907"},{"id":17,"name":"Train ID","value":"1809-29"},{"id":16,"name":"Locomotive ID","value":"4054"},{"id":130,"name":"Impact","value":""},{"id":150,"name":"Time of Event (Mountain Time)","value":"10:34:45"},{"id":151,"name":"Denver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62"/>
        <v>start /low /b %USERPROFILE%\Documents\GitHub\eaglep3\Utilities\DownloadLogsFromS3.py --loco 4054 --day 2017-07-29</v>
      </c>
      <c r="AN170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16:34:45"},{"id":29,"name":"Sharepoint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s="20" customFormat="1" x14ac:dyDescent="0.25">
      <c r="A171" s="32" t="s">
        <v>752</v>
      </c>
      <c r="B171" s="7">
        <v>4053</v>
      </c>
      <c r="C171" s="21" t="s">
        <v>198</v>
      </c>
      <c r="D171" s="21" t="s">
        <v>929</v>
      </c>
      <c r="E171" s="13">
        <v>42945.441805555558</v>
      </c>
      <c r="F171" s="13">
        <v>42945.443703703706</v>
      </c>
      <c r="G171" s="7">
        <v>2</v>
      </c>
      <c r="H171" s="21" t="s">
        <v>534</v>
      </c>
      <c r="I171" s="13">
        <v>42945.454606481479</v>
      </c>
      <c r="J171" s="7">
        <v>0</v>
      </c>
      <c r="K171" s="89" t="str">
        <f t="shared" si="48"/>
        <v>4053/4054</v>
      </c>
      <c r="L171" s="21" t="str">
        <f>VLOOKUP(A171,'Trips&amp;Operators'!$C$1:$G$99999,5,FALSE)</f>
        <v>MACDONALD THOMAS</v>
      </c>
      <c r="M171" s="6">
        <f t="shared" si="49"/>
        <v>1.0902777772571426E-2</v>
      </c>
      <c r="N171" s="7">
        <f t="shared" si="64"/>
        <v>15.699999992502853</v>
      </c>
      <c r="O171" s="7"/>
      <c r="P171" s="7"/>
      <c r="Q171" s="22"/>
      <c r="R171" s="170"/>
      <c r="S171" s="213">
        <f t="shared" si="65"/>
        <v>1</v>
      </c>
      <c r="T171" s="195" t="str">
        <f t="shared" si="50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51"/>
        <v>https://d0f6bd738d7f1b3e5a7ca70fe4ff75f0.us-east-1.aws.found.io/app/kibana#/discover/Steve-Slow-Train-Analysis-(2080s-and-2083s)?_g=(refreshInterval:(display:Off,pause:!f,section:0,value:0),time:(from:'2017-07-29T09:36:12-0600',mode:absolute,to:'2017-07-29T11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1" s="197" t="str">
        <f>IF(AA171&lt;VLOOKUP(AG171,Variables!$AC$3:$AD$8,2,FALSE),"Y","N")</f>
        <v>N</v>
      </c>
      <c r="X171" s="197">
        <f t="shared" si="67"/>
        <v>1</v>
      </c>
      <c r="Y171" s="197">
        <f t="shared" si="53"/>
        <v>5.8601999999999999</v>
      </c>
      <c r="Z171" s="197">
        <f t="shared" si="54"/>
        <v>7.3800000000000004E-2</v>
      </c>
      <c r="AA171" s="197">
        <f t="shared" si="55"/>
        <v>5.7863999999999995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56"/>
        <v>1810</v>
      </c>
      <c r="AE171" s="77" t="str">
        <f t="shared" si="57"/>
        <v>aws s3 cp s3://rtdc.mdm.uploadarchive.raw/RTDC4053/ "%USERPROFILE%\AppData\Local\Temp\OnboardLogs"\RTDC4053\2017-07-29 --exclude "*" --recursive --include "*20170729*" &amp; "%USERPROFILE%\Documents\GitHub\mrs-test-scripts\Headless Mode &amp; Sideloading\WalkAndUnGZ.bat" "%USERPROFILE%\AppData\Local\Temp\OnboardLogs"\RTDC4053\2017-07-29 &amp; aws s3 cp s3://rtdc.mdm.uploadarchive.raw/RTDC4053/ "%USERPROFILE%\AppData\Local\Temp\OnboardLogs"\RTDC4053\2017-07-30 --exclude "*" --recursive --include "*20170730*" &amp; "%USERPROFILE%\Documents\GitHub\mrs-test-scripts\Headless Mode &amp; Sideloading\WalkAndUnGZ.bat" "%USERPROFILE%\AppData\Local\Temp\OnboardLogs"\RTDC4053\2017-07-30</v>
      </c>
      <c r="AF171" s="74" t="str">
        <f t="shared" si="58"/>
        <v>"C:\Program Files (x86)\AstroGrep\AstroGrep.exe" /e /r /s /spath="%USERPROFILE%\AppData\Local\Temp\OnboardLogs" /stypes="app*4053*20170729*" /stext=" 16:.+((SYSTEM_STATE.+slice.+state.+changed )|(ment ac)|(multiple cpu faults)|(system.+state.+changed )|(\[timeout)|(PRM\|1\|D)|(kpr)|(kdp)|(train st.+moving)|(\|lc)|(penalty))"</v>
      </c>
      <c r="AG171" s="209" t="str">
        <f t="shared" si="59"/>
        <v>NW</v>
      </c>
      <c r="AH171" s="78" t="str">
        <f t="shared" si="60"/>
        <v>"%USERPROFILE%\Documents\GitHub\eaglep3\Utilities\RefineRTDCRunTimes.py" --tripid 1810-29 --locoid 4053 --swversion DE.1.0.9.0 --startMP 300:58602 --initTime 2017-07-29T10:36:12 --startdatetime 2017-07-29T10:38:56 --delay 2 --endMP 204:738 --enddatetime 2017-07-29T10:54:38 --enforcementcount 0 &gt;&gt;C:\Users\stu\Documents\GitHub\eaglep3-reporting\EC\2017-07-29-refined-times.txt</v>
      </c>
      <c r="AI171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{"issue":{"subject":"","project_id":79,"tracker_id":40,"status_id":1,"priority_id":2,"assigned_to_id":23,"start_date":"2017-07-29","description":"","custom_fields":[{"id":1,"name":"Subdivision","value":"NW"},{"id":4,"name":"Milepost","value":"0.0738"},{"id":17,"name":"Train ID","value":"1810-29"},{"id":16,"name":"Locomotive ID","value":"4053"},{"id":130,"name":"Impact","value":""},{"id":150,"name":"Time of Event (Mountain Time)","value":"10:54:38"},{"id":151,"name":"Denver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62"/>
        <v>start /low /b %USERPROFILE%\Documents\GitHub\eaglep3\Utilities\DownloadLogsFromS3.py --loco 4053 --day 2017-07-29</v>
      </c>
      <c r="AN171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16:54:38"},{"id":29,"name":"Sharepoint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756</v>
      </c>
      <c r="B172" s="7">
        <v>4054</v>
      </c>
      <c r="C172" s="21" t="s">
        <v>198</v>
      </c>
      <c r="D172" s="21" t="s">
        <v>930</v>
      </c>
      <c r="E172" s="13">
        <v>42945.456157407411</v>
      </c>
      <c r="F172" s="13">
        <v>42945.473391203705</v>
      </c>
      <c r="G172" s="7">
        <v>1</v>
      </c>
      <c r="H172" s="21" t="s">
        <v>931</v>
      </c>
      <c r="I172" s="13">
        <v>42945.482824074075</v>
      </c>
      <c r="J172" s="7">
        <v>0</v>
      </c>
      <c r="K172" s="89" t="str">
        <f t="shared" si="48"/>
        <v>4053/4054</v>
      </c>
      <c r="L172" s="21" t="str">
        <f>VLOOKUP(A172,'Trips&amp;Operators'!$C$1:$G$99999,5,FALSE)</f>
        <v>MACDONALD THOMAS</v>
      </c>
      <c r="M172" s="6">
        <f t="shared" si="49"/>
        <v>9.4328703708015382E-3</v>
      </c>
      <c r="N172" s="7">
        <f t="shared" si="64"/>
        <v>13.583333333954215</v>
      </c>
      <c r="O172" s="7"/>
      <c r="P172" s="7"/>
      <c r="Q172" s="22"/>
      <c r="R172" s="170"/>
      <c r="S172" s="213">
        <f t="shared" si="65"/>
        <v>1</v>
      </c>
      <c r="T172" s="195" t="str">
        <f t="shared" si="50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51"/>
        <v>https://d0f6bd738d7f1b3e5a7ca70fe4ff75f0.us-east-1.aws.found.io/app/kibana#/discover/Steve-Slow-Train-Analysis-(2080s-and-2083s)?_g=(refreshInterval:(display:Off,pause:!f,section:0,value:0),time:(from:'2017-07-29T09:56:52-0600',mode:absolute,to:'2017-07-29T12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2" s="197" t="str">
        <f>IF(AA172&lt;VLOOKUP(AG172,Variables!$AC$3:$AD$8,2,FALSE),"Y","N")</f>
        <v>N</v>
      </c>
      <c r="X172" s="197">
        <f t="shared" si="67"/>
        <v>1</v>
      </c>
      <c r="Y172" s="197">
        <f t="shared" si="53"/>
        <v>0.1028</v>
      </c>
      <c r="Z172" s="197">
        <f t="shared" si="54"/>
        <v>5.8910999999999998</v>
      </c>
      <c r="AA172" s="197">
        <f t="shared" si="55"/>
        <v>5.7882999999999996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56"/>
        <v>1811</v>
      </c>
      <c r="AE172" s="77" t="str">
        <f t="shared" si="57"/>
        <v>aws s3 cp s3://rtdc.mdm.uploadarchive.raw/RTDC4054/ "%USERPROFILE%\AppData\Local\Temp\OnboardLogs"\RTDC4054\2017-07-29 --exclude "*" --recursive --include "*20170729*" &amp; "%USERPROFILE%\Documents\GitHub\mrs-test-scripts\Headless Mode &amp; Sideloading\WalkAndUnGZ.bat" "%USERPROFILE%\AppData\Local\Temp\OnboardLogs"\RTDC4054\2017-07-29 &amp; aws s3 cp s3://rtdc.mdm.uploadarchive.raw/RTDC4054/ "%USERPROFILE%\AppData\Local\Temp\OnboardLogs"\RTDC4054\2017-07-30 --exclude "*" --recursive --include "*20170730*" &amp; "%USERPROFILE%\Documents\GitHub\mrs-test-scripts\Headless Mode &amp; Sideloading\WalkAndUnGZ.bat" "%USERPROFILE%\AppData\Local\Temp\OnboardLogs"\RTDC4054\2017-07-30</v>
      </c>
      <c r="AF172" s="74" t="str">
        <f t="shared" si="58"/>
        <v>"C:\Program Files (x86)\AstroGrep\AstroGrep.exe" /e /r /s /spath="%USERPROFILE%\AppData\Local\Temp\OnboardLogs" /stypes="app*4054*20170729*" /stext=" 17:.+((SYSTEM_STATE.+slice.+state.+changed )|(ment ac)|(multiple cpu faults)|(system.+state.+changed )|(\[timeout)|(PRM\|1\|D)|(kpr)|(kdp)|(train st.+moving)|(\|lc)|(penalty))"</v>
      </c>
      <c r="AG172" s="209" t="str">
        <f t="shared" si="59"/>
        <v>NW</v>
      </c>
      <c r="AH172" s="78" t="str">
        <f t="shared" si="60"/>
        <v>"%USERPROFILE%\Documents\GitHub\eaglep3\Utilities\RefineRTDCRunTimes.py" --tripid 1811-29 --locoid 4054 --swversion DE.1.0.9.0 --startMP 204:1028 --initTime 2017-07-29T10:56:52 --startdatetime 2017-07-29T11:21:41 --delay 1 --endMP 300:58911 --enddatetime 2017-07-29T11:35:16 --enforcementcount 0 &gt;&gt;C:\Users\stu\Documents\GitHub\eaglep3-reporting\EC\2017-07-29-refined-times.txt</v>
      </c>
      <c r="AI172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{"issue":{"subject":"","project_id":79,"tracker_id":40,"status_id":1,"priority_id":2,"assigned_to_id":23,"start_date":"2017-07-29","description":"","custom_fields":[{"id":1,"name":"Subdivision","value":"NW"},{"id":4,"name":"Milepost","value":"5.8911"},{"id":17,"name":"Train ID","value":"1811-29"},{"id":16,"name":"Locomotive ID","value":"4054"},{"id":130,"name":"Impact","value":""},{"id":150,"name":"Time of Event (Mountain Time)","value":"11:35:16"},{"id":151,"name":"Denver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62"/>
        <v>start /low /b %USERPROFILE%\Documents\GitHub\eaglep3\Utilities\DownloadLogsFromS3.py --loco 4054 --day 2017-07-29</v>
      </c>
      <c r="AN172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17:35:16"},{"id":29,"name":"Sharepoint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765</v>
      </c>
      <c r="B173" s="7">
        <v>4053</v>
      </c>
      <c r="C173" s="21" t="s">
        <v>198</v>
      </c>
      <c r="D173" s="21" t="s">
        <v>929</v>
      </c>
      <c r="E173" s="13">
        <v>42945.483854166669</v>
      </c>
      <c r="F173" s="13">
        <v>42945.485023148147</v>
      </c>
      <c r="G173" s="7">
        <v>1</v>
      </c>
      <c r="H173" s="21" t="s">
        <v>932</v>
      </c>
      <c r="I173" s="13">
        <v>42945.49622685185</v>
      </c>
      <c r="J173" s="7">
        <v>0</v>
      </c>
      <c r="K173" s="89" t="str">
        <f t="shared" si="48"/>
        <v>4053/4054</v>
      </c>
      <c r="L173" s="21" t="str">
        <f>VLOOKUP(A173,'Trips&amp;Operators'!$C$1:$G$99999,5,FALSE)</f>
        <v>MACDONALD THOMAS</v>
      </c>
      <c r="M173" s="6">
        <f t="shared" si="49"/>
        <v>1.1203703703358769E-2</v>
      </c>
      <c r="N173" s="7">
        <f t="shared" si="64"/>
        <v>16.133333332836628</v>
      </c>
      <c r="O173" s="7"/>
      <c r="P173" s="7"/>
      <c r="Q173" s="22"/>
      <c r="R173" s="170"/>
      <c r="S173" s="213">
        <f t="shared" si="65"/>
        <v>1</v>
      </c>
      <c r="T173" s="195" t="str">
        <f t="shared" si="50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51"/>
        <v>https://d0f6bd738d7f1b3e5a7ca70fe4ff75f0.us-east-1.aws.found.io/app/kibana#/discover/Steve-Slow-Train-Analysis-(2080s-and-2083s)?_g=(refreshInterval:(display:Off,pause:!f,section:0,value:0),time:(from:'2017-07-29T10:36:45-0600',mode:absolute,to:'2017-07-29T12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3" s="197" t="str">
        <f>IF(AA173&lt;VLOOKUP(AG173,Variables!$AC$3:$AD$8,2,FALSE),"Y","N")</f>
        <v>N</v>
      </c>
      <c r="X173" s="197">
        <f t="shared" si="67"/>
        <v>1</v>
      </c>
      <c r="Y173" s="197">
        <f t="shared" si="53"/>
        <v>5.8601999999999999</v>
      </c>
      <c r="Z173" s="197">
        <f t="shared" si="54"/>
        <v>7.6899999999999996E-2</v>
      </c>
      <c r="AA173" s="197">
        <f t="shared" si="55"/>
        <v>5.7832999999999997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56"/>
        <v>1812</v>
      </c>
      <c r="AE173" s="77" t="str">
        <f t="shared" si="57"/>
        <v>aws s3 cp s3://rtdc.mdm.uploadarchive.raw/RTDC4053/ "%USERPROFILE%\AppData\Local\Temp\OnboardLogs"\RTDC4053\2017-07-29 --exclude "*" --recursive --include "*20170729*" &amp; "%USERPROFILE%\Documents\GitHub\mrs-test-scripts\Headless Mode &amp; Sideloading\WalkAndUnGZ.bat" "%USERPROFILE%\AppData\Local\Temp\OnboardLogs"\RTDC4053\2017-07-29 &amp; aws s3 cp s3://rtdc.mdm.uploadarchive.raw/RTDC4053/ "%USERPROFILE%\AppData\Local\Temp\OnboardLogs"\RTDC4053\2017-07-30 --exclude "*" --recursive --include "*20170730*" &amp; "%USERPROFILE%\Documents\GitHub\mrs-test-scripts\Headless Mode &amp; Sideloading\WalkAndUnGZ.bat" "%USERPROFILE%\AppData\Local\Temp\OnboardLogs"\RTDC4053\2017-07-30</v>
      </c>
      <c r="AF173" s="74" t="str">
        <f t="shared" si="58"/>
        <v>"C:\Program Files (x86)\AstroGrep\AstroGrep.exe" /e /r /s /spath="%USERPROFILE%\AppData\Local\Temp\OnboardLogs" /stypes="app*4053*20170729*" /stext=" 17:.+((SYSTEM_STATE.+slice.+state.+changed )|(ment ac)|(multiple cpu faults)|(system.+state.+changed )|(\[timeout)|(PRM\|1\|D)|(kpr)|(kdp)|(train st.+moving)|(\|lc)|(penalty))"</v>
      </c>
      <c r="AG173" s="209" t="str">
        <f t="shared" si="59"/>
        <v>NW</v>
      </c>
      <c r="AH173" s="78" t="str">
        <f t="shared" si="60"/>
        <v>"%USERPROFILE%\Documents\GitHub\eaglep3\Utilities\RefineRTDCRunTimes.py" --tripid 1812-29 --locoid 4053 --swversion DE.1.0.9.0 --startMP 300:58602 --initTime 2017-07-29T11:36:45 --startdatetime 2017-07-29T11:38:26 --delay 1 --endMP 204:769 --enddatetime 2017-07-29T11:54:34 --enforcementcount 0 &gt;&gt;C:\Users\stu\Documents\GitHub\eaglep3-reporting\EC\2017-07-29-refined-times.txt</v>
      </c>
      <c r="AI173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{"issue":{"subject":"","project_id":79,"tracker_id":40,"status_id":1,"priority_id":2,"assigned_to_id":23,"start_date":"2017-07-29","description":"","custom_fields":[{"id":1,"name":"Subdivision","value":"NW"},{"id":4,"name":"Milepost","value":"0.0769"},{"id":17,"name":"Train ID","value":"1812-29"},{"id":16,"name":"Locomotive ID","value":"4053"},{"id":130,"name":"Impact","value":""},{"id":150,"name":"Time of Event (Mountain Time)","value":"11:54:34"},{"id":151,"name":"Denver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62"/>
        <v>start /low /b %USERPROFILE%\Documents\GitHub\eaglep3\Utilities\DownloadLogsFromS3.py --loco 4053 --day 2017-07-29</v>
      </c>
      <c r="AN173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17:54:34"},{"id":29,"name":"Sharepoint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773</v>
      </c>
      <c r="B174" s="7">
        <v>4054</v>
      </c>
      <c r="C174" s="21" t="s">
        <v>198</v>
      </c>
      <c r="D174" s="21" t="s">
        <v>933</v>
      </c>
      <c r="E174" s="13">
        <v>42945.498495370368</v>
      </c>
      <c r="F174" s="13">
        <v>42945.51489583333</v>
      </c>
      <c r="G174" s="7">
        <v>1</v>
      </c>
      <c r="H174" s="21" t="s">
        <v>934</v>
      </c>
      <c r="I174" s="13">
        <v>42945.523472222223</v>
      </c>
      <c r="J174" s="7">
        <v>0</v>
      </c>
      <c r="K174" s="89" t="str">
        <f t="shared" si="48"/>
        <v>4053/4054</v>
      </c>
      <c r="L174" s="21" t="str">
        <f>VLOOKUP(A174,'Trips&amp;Operators'!$C$1:$G$99999,5,FALSE)</f>
        <v>MACDONALD THOMAS</v>
      </c>
      <c r="M174" s="6">
        <f t="shared" si="49"/>
        <v>8.5763888928340748E-3</v>
      </c>
      <c r="N174" s="7">
        <f t="shared" si="64"/>
        <v>12.350000005681068</v>
      </c>
      <c r="O174" s="7"/>
      <c r="P174" s="7"/>
      <c r="Q174" s="22"/>
      <c r="R174" s="170"/>
      <c r="S174" s="213">
        <f t="shared" si="65"/>
        <v>1</v>
      </c>
      <c r="T174" s="195" t="str">
        <f t="shared" si="50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51"/>
        <v>https://d0f6bd738d7f1b3e5a7ca70fe4ff75f0.us-east-1.aws.found.io/app/kibana#/discover/Steve-Slow-Train-Analysis-(2080s-and-2083s)?_g=(refreshInterval:(display:Off,pause:!f,section:0,value:0),time:(from:'2017-07-29T10:57:50-0600',mode:absolute,to:'2017-07-29T13:33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4" s="197" t="str">
        <f>IF(AA174&lt;VLOOKUP(AG174,Variables!$AC$3:$AD$8,2,FALSE),"Y","N")</f>
        <v>N</v>
      </c>
      <c r="X174" s="197">
        <f t="shared" si="67"/>
        <v>1</v>
      </c>
      <c r="Y174" s="197">
        <f t="shared" si="53"/>
        <v>0.1055</v>
      </c>
      <c r="Z174" s="197">
        <f t="shared" si="54"/>
        <v>5.8068</v>
      </c>
      <c r="AA174" s="197">
        <f t="shared" si="55"/>
        <v>5.7012999999999998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56"/>
        <v>1813</v>
      </c>
      <c r="AE174" s="77" t="str">
        <f t="shared" si="57"/>
        <v>aws s3 cp s3://rtdc.mdm.uploadarchive.raw/RTDC4054/ "%USERPROFILE%\AppData\Local\Temp\OnboardLogs"\RTDC4054\2017-07-29 --exclude "*" --recursive --include "*20170729*" &amp; "%USERPROFILE%\Documents\GitHub\mrs-test-scripts\Headless Mode &amp; Sideloading\WalkAndUnGZ.bat" "%USERPROFILE%\AppData\Local\Temp\OnboardLogs"\RTDC4054\2017-07-29 &amp; aws s3 cp s3://rtdc.mdm.uploadarchive.raw/RTDC4054/ "%USERPROFILE%\AppData\Local\Temp\OnboardLogs"\RTDC4054\2017-07-30 --exclude "*" --recursive --include "*20170730*" &amp; "%USERPROFILE%\Documents\GitHub\mrs-test-scripts\Headless Mode &amp; Sideloading\WalkAndUnGZ.bat" "%USERPROFILE%\AppData\Local\Temp\OnboardLogs"\RTDC4054\2017-07-30</v>
      </c>
      <c r="AF174" s="74" t="str">
        <f t="shared" si="58"/>
        <v>"C:\Program Files (x86)\AstroGrep\AstroGrep.exe" /e /r /s /spath="%USERPROFILE%\AppData\Local\Temp\OnboardLogs" /stypes="app*4054*20170729*" /stext=" 18:.+((SYSTEM_STATE.+slice.+state.+changed )|(ment ac)|(multiple cpu faults)|(system.+state.+changed )|(\[timeout)|(PRM\|1\|D)|(kpr)|(kdp)|(train st.+moving)|(\|lc)|(penalty))"</v>
      </c>
      <c r="AG174" s="209" t="str">
        <f t="shared" si="59"/>
        <v>NW</v>
      </c>
      <c r="AH174" s="78" t="str">
        <f t="shared" si="60"/>
        <v>"%USERPROFILE%\Documents\GitHub\eaglep3\Utilities\RefineRTDCRunTimes.py" --tripid 1813-29 --locoid 4054 --swversion DE.1.0.9.0 --startMP 204:1055 --initTime 2017-07-29T11:57:50 --startdatetime 2017-07-29T12:21:27 --delay 1 --endMP 300:58068 --enddatetime 2017-07-29T12:33:48 --enforcementcount 0 &gt;&gt;C:\Users\stu\Documents\GitHub\eaglep3-reporting\EC\2017-07-29-refined-times.txt</v>
      </c>
      <c r="AI174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{"issue":{"subject":"","project_id":79,"tracker_id":40,"status_id":1,"priority_id":2,"assigned_to_id":23,"start_date":"2017-07-29","description":"","custom_fields":[{"id":1,"name":"Subdivision","value":"NW"},{"id":4,"name":"Milepost","value":"5.8068"},{"id":17,"name":"Train ID","value":"1813-29"},{"id":16,"name":"Locomotive ID","value":"4054"},{"id":130,"name":"Impact","value":""},{"id":150,"name":"Time of Event (Mountain Time)","value":"12:33:48"},{"id":151,"name":"Denver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62"/>
        <v>start /low /b %USERPROFILE%\Documents\GitHub\eaglep3\Utilities\DownloadLogsFromS3.py --loco 4054 --day 2017-07-29</v>
      </c>
      <c r="AN174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18:33:48"},{"id":29,"name":"Sharepoint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780</v>
      </c>
      <c r="B175" s="7">
        <v>4053</v>
      </c>
      <c r="C175" s="21" t="s">
        <v>198</v>
      </c>
      <c r="D175" s="21" t="s">
        <v>935</v>
      </c>
      <c r="E175" s="13">
        <v>42945.525057870371</v>
      </c>
      <c r="F175" s="13">
        <v>42945.526400462964</v>
      </c>
      <c r="G175" s="7">
        <v>1</v>
      </c>
      <c r="H175" s="21" t="s">
        <v>921</v>
      </c>
      <c r="I175" s="13">
        <v>42945.538194444445</v>
      </c>
      <c r="J175" s="7">
        <v>0</v>
      </c>
      <c r="K175" s="89" t="str">
        <f t="shared" si="48"/>
        <v>4053/4054</v>
      </c>
      <c r="L175" s="21" t="str">
        <f>VLOOKUP(A175,'Trips&amp;Operators'!$C$1:$G$99999,5,FALSE)</f>
        <v>MACDONALD THOMAS</v>
      </c>
      <c r="M175" s="6">
        <f t="shared" si="49"/>
        <v>1.1793981480877846E-2</v>
      </c>
      <c r="N175" s="7">
        <f t="shared" si="64"/>
        <v>16.983333332464099</v>
      </c>
      <c r="O175" s="7"/>
      <c r="P175" s="7"/>
      <c r="Q175" s="22"/>
      <c r="R175" s="170"/>
      <c r="S175" s="213">
        <f t="shared" si="65"/>
        <v>1</v>
      </c>
      <c r="T175" s="195" t="str">
        <f t="shared" si="50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51"/>
        <v>https://d0f6bd738d7f1b3e5a7ca70fe4ff75f0.us-east-1.aws.found.io/app/kibana#/discover/Steve-Slow-Train-Analysis-(2080s-and-2083s)?_g=(refreshInterval:(display:Off,pause:!f,section:0,value:0),time:(from:'2017-07-29T11:36:05-0600',mode:absolute,to:'2017-07-29T13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5" s="197" t="str">
        <f>IF(AA175&lt;VLOOKUP(AG175,Variables!$AC$3:$AD$8,2,FALSE),"Y","N")</f>
        <v>N</v>
      </c>
      <c r="X175" s="197">
        <f t="shared" si="67"/>
        <v>1</v>
      </c>
      <c r="Y175" s="197">
        <f t="shared" si="53"/>
        <v>5.8597999999999999</v>
      </c>
      <c r="Z175" s="197">
        <f t="shared" si="54"/>
        <v>7.1499999999999994E-2</v>
      </c>
      <c r="AA175" s="197">
        <f t="shared" si="55"/>
        <v>5.7882999999999996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56"/>
        <v>1814</v>
      </c>
      <c r="AE175" s="77" t="str">
        <f t="shared" si="57"/>
        <v>aws s3 cp s3://rtdc.mdm.uploadarchive.raw/RTDC4053/ "%USERPROFILE%\AppData\Local\Temp\OnboardLogs"\RTDC4053\2017-07-29 --exclude "*" --recursive --include "*20170729*" &amp; "%USERPROFILE%\Documents\GitHub\mrs-test-scripts\Headless Mode &amp; Sideloading\WalkAndUnGZ.bat" "%USERPROFILE%\AppData\Local\Temp\OnboardLogs"\RTDC4053\2017-07-29 &amp; aws s3 cp s3://rtdc.mdm.uploadarchive.raw/RTDC4053/ "%USERPROFILE%\AppData\Local\Temp\OnboardLogs"\RTDC4053\2017-07-30 --exclude "*" --recursive --include "*20170730*" &amp; "%USERPROFILE%\Documents\GitHub\mrs-test-scripts\Headless Mode &amp; Sideloading\WalkAndUnGZ.bat" "%USERPROFILE%\AppData\Local\Temp\OnboardLogs"\RTDC4053\2017-07-30</v>
      </c>
      <c r="AF175" s="74" t="str">
        <f t="shared" si="58"/>
        <v>"C:\Program Files (x86)\AstroGrep\AstroGrep.exe" /e /r /s /spath="%USERPROFILE%\AppData\Local\Temp\OnboardLogs" /stypes="app*4053*20170729*" /stext=" 18:.+((SYSTEM_STATE.+slice.+state.+changed )|(ment ac)|(multiple cpu faults)|(system.+state.+changed )|(\[timeout)|(PRM\|1\|D)|(kpr)|(kdp)|(train st.+moving)|(\|lc)|(penalty))"</v>
      </c>
      <c r="AG175" s="209" t="str">
        <f t="shared" si="59"/>
        <v>NW</v>
      </c>
      <c r="AH175" s="78" t="str">
        <f t="shared" si="60"/>
        <v>"%USERPROFILE%\Documents\GitHub\eaglep3\Utilities\RefineRTDCRunTimes.py" --tripid 1814-29 --locoid 4053 --swversion DE.1.0.9.0 --startMP 300:58598 --initTime 2017-07-29T12:36:05 --startdatetime 2017-07-29T12:38:01 --delay 1 --endMP 204:715 --enddatetime 2017-07-29T12:55:00 --enforcementcount 0 &gt;&gt;C:\Users\stu\Documents\GitHub\eaglep3-reporting\EC\2017-07-29-refined-times.txt</v>
      </c>
      <c r="AI175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{"issue":{"subject":"","project_id":79,"tracker_id":40,"status_id":1,"priority_id":2,"assigned_to_id":23,"start_date":"2017-07-29","description":"","custom_fields":[{"id":1,"name":"Subdivision","value":"NW"},{"id":4,"name":"Milepost","value":"0.0715"},{"id":17,"name":"Train ID","value":"1814-29"},{"id":16,"name":"Locomotive ID","value":"4053"},{"id":130,"name":"Impact","value":""},{"id":150,"name":"Time of Event (Mountain Time)","value":"12:55:00"},{"id":151,"name":"Denver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62"/>
        <v>start /low /b %USERPROFILE%\Documents\GitHub\eaglep3\Utilities\DownloadLogsFromS3.py --loco 4053 --day 2017-07-29</v>
      </c>
      <c r="AN175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18:55:00"},{"id":29,"name":"Sharepoint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784</v>
      </c>
      <c r="B176" s="7">
        <v>4054</v>
      </c>
      <c r="C176" s="21" t="s">
        <v>198</v>
      </c>
      <c r="D176" s="21" t="s">
        <v>628</v>
      </c>
      <c r="E176" s="13">
        <v>42945.539120370369</v>
      </c>
      <c r="F176" s="13">
        <v>42945.556886574072</v>
      </c>
      <c r="G176" s="7">
        <v>0</v>
      </c>
      <c r="H176" s="21" t="s">
        <v>629</v>
      </c>
      <c r="I176" s="13">
        <v>42945.566793981481</v>
      </c>
      <c r="J176" s="7">
        <v>0</v>
      </c>
      <c r="K176" s="89" t="str">
        <f t="shared" si="48"/>
        <v>4053/4054</v>
      </c>
      <c r="L176" s="21" t="str">
        <f>VLOOKUP(A176,'Trips&amp;Operators'!$C$1:$G$99999,5,FALSE)</f>
        <v>MACDONALD THOMAS</v>
      </c>
      <c r="M176" s="6">
        <f t="shared" si="49"/>
        <v>9.9074074096279219E-3</v>
      </c>
      <c r="N176" s="7">
        <f t="shared" si="64"/>
        <v>14.266666669864208</v>
      </c>
      <c r="O176" s="7"/>
      <c r="P176" s="7"/>
      <c r="Q176" s="22"/>
      <c r="R176" s="170"/>
      <c r="S176" s="213">
        <f t="shared" si="65"/>
        <v>1</v>
      </c>
      <c r="T176" s="195" t="str">
        <f t="shared" si="50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51"/>
        <v>https://d0f6bd738d7f1b3e5a7ca70fe4ff75f0.us-east-1.aws.found.io/app/kibana#/discover/Steve-Slow-Train-Analysis-(2080s-and-2083s)?_g=(refreshInterval:(display:Off,pause:!f,section:0,value:0),time:(from:'2017-07-29T11:56:20-0600',mode:absolute,to:'2017-07-29T14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6" s="197" t="str">
        <f>IF(AA176&lt;VLOOKUP(AG176,Variables!$AC$3:$AD$8,2,FALSE),"Y","N")</f>
        <v>N</v>
      </c>
      <c r="X176" s="197">
        <f t="shared" si="67"/>
        <v>1</v>
      </c>
      <c r="Y176" s="197">
        <f t="shared" si="53"/>
        <v>9.7900000000000001E-2</v>
      </c>
      <c r="Z176" s="197">
        <f t="shared" si="54"/>
        <v>5.8920000000000003</v>
      </c>
      <c r="AA176" s="197">
        <f t="shared" si="55"/>
        <v>5.7941000000000003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56"/>
        <v>1815</v>
      </c>
      <c r="AE176" s="77" t="str">
        <f t="shared" si="57"/>
        <v>aws s3 cp s3://rtdc.mdm.uploadarchive.raw/RTDC4054/ "%USERPROFILE%\AppData\Local\Temp\OnboardLogs"\RTDC4054\2017-07-29 --exclude "*" --recursive --include "*20170729*" &amp; "%USERPROFILE%\Documents\GitHub\mrs-test-scripts\Headless Mode &amp; Sideloading\WalkAndUnGZ.bat" "%USERPROFILE%\AppData\Local\Temp\OnboardLogs"\RTDC4054\2017-07-29 &amp; aws s3 cp s3://rtdc.mdm.uploadarchive.raw/RTDC4054/ "%USERPROFILE%\AppData\Local\Temp\OnboardLogs"\RTDC4054\2017-07-30 --exclude "*" --recursive --include "*20170730*" &amp; "%USERPROFILE%\Documents\GitHub\mrs-test-scripts\Headless Mode &amp; Sideloading\WalkAndUnGZ.bat" "%USERPROFILE%\AppData\Local\Temp\OnboardLogs"\RTDC4054\2017-07-30</v>
      </c>
      <c r="AF176" s="74" t="str">
        <f t="shared" si="58"/>
        <v>"C:\Program Files (x86)\AstroGrep\AstroGrep.exe" /e /r /s /spath="%USERPROFILE%\AppData\Local\Temp\OnboardLogs" /stypes="app*4054*20170729*" /stext=" 19:.+((SYSTEM_STATE.+slice.+state.+changed )|(ment ac)|(multiple cpu faults)|(system.+state.+changed )|(\[timeout)|(PRM\|1\|D)|(kpr)|(kdp)|(train st.+moving)|(\|lc)|(penalty))"</v>
      </c>
      <c r="AG176" s="209" t="str">
        <f t="shared" si="59"/>
        <v>NW</v>
      </c>
      <c r="AH176" s="78" t="str">
        <f t="shared" si="60"/>
        <v>"%USERPROFILE%\Documents\GitHub\eaglep3\Utilities\RefineRTDCRunTimes.py" --tripid 1815-29 --locoid 4054 --swversion DE.1.0.9.0 --startMP 204:979 --initTime 2017-07-29T12:56:20 --startdatetime 2017-07-29T13:21:55 --delay 0 --endMP 300:58920 --enddatetime 2017-07-29T13:36:11 --enforcementcount 0 &gt;&gt;C:\Users\stu\Documents\GitHub\eaglep3-reporting\EC\2017-07-29-refined-times.txt</v>
      </c>
      <c r="AI176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{"issue":{"subject":"","project_id":79,"tracker_id":40,"status_id":1,"priority_id":2,"assigned_to_id":23,"start_date":"2017-07-29","description":"","custom_fields":[{"id":1,"name":"Subdivision","value":"NW"},{"id":4,"name":"Milepost","value":"5.892"},{"id":17,"name":"Train ID","value":"1815-29"},{"id":16,"name":"Locomotive ID","value":"4054"},{"id":130,"name":"Impact","value":""},{"id":150,"name":"Time of Event (Mountain Time)","value":"13:36:11"},{"id":151,"name":"Denver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62"/>
        <v>start /low /b %USERPROFILE%\Documents\GitHub\eaglep3\Utilities\DownloadLogsFromS3.py --loco 4054 --day 2017-07-29</v>
      </c>
      <c r="AN176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19:36:11"},{"id":29,"name":"Sharepoint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s="20" customFormat="1" x14ac:dyDescent="0.25">
      <c r="A177" s="32" t="s">
        <v>789</v>
      </c>
      <c r="B177" s="7">
        <v>4053</v>
      </c>
      <c r="C177" s="21" t="s">
        <v>198</v>
      </c>
      <c r="D177" s="21" t="s">
        <v>936</v>
      </c>
      <c r="E177" s="13">
        <v>42945.567986111113</v>
      </c>
      <c r="F177" s="13">
        <v>42945.569548611114</v>
      </c>
      <c r="G177" s="7">
        <v>1</v>
      </c>
      <c r="H177" s="21" t="s">
        <v>937</v>
      </c>
      <c r="I177" s="13">
        <v>42945.579988425925</v>
      </c>
      <c r="J177" s="7">
        <v>0</v>
      </c>
      <c r="K177" s="89" t="str">
        <f t="shared" si="48"/>
        <v>4053/4054</v>
      </c>
      <c r="L177" s="21" t="str">
        <f>VLOOKUP(A177,'Trips&amp;Operators'!$C$1:$G$99999,5,FALSE)</f>
        <v>MACDONALD THOMAS</v>
      </c>
      <c r="M177" s="6">
        <f t="shared" si="49"/>
        <v>1.0439814810524695E-2</v>
      </c>
      <c r="N177" s="7">
        <f t="shared" si="64"/>
        <v>15.03333332715556</v>
      </c>
      <c r="O177" s="7"/>
      <c r="P177" s="7"/>
      <c r="Q177" s="22"/>
      <c r="R177" s="170"/>
      <c r="S177" s="213">
        <f t="shared" si="65"/>
        <v>1</v>
      </c>
      <c r="T177" s="195" t="str">
        <f t="shared" si="50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51"/>
        <v>https://d0f6bd738d7f1b3e5a7ca70fe4ff75f0.us-east-1.aws.found.io/app/kibana#/discover/Steve-Slow-Train-Analysis-(2080s-and-2083s)?_g=(refreshInterval:(display:Off,pause:!f,section:0,value:0),time:(from:'2017-07-29T12:37:54-0600',mode:absolute,to:'2017-07-29T14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7" s="197" t="str">
        <f>IF(AA177&lt;VLOOKUP(AG177,Variables!$AC$3:$AD$8,2,FALSE),"Y","N")</f>
        <v>N</v>
      </c>
      <c r="X177" s="197">
        <f t="shared" si="67"/>
        <v>1</v>
      </c>
      <c r="Y177" s="197">
        <f t="shared" si="53"/>
        <v>5.8604000000000003</v>
      </c>
      <c r="Z177" s="197">
        <f t="shared" si="54"/>
        <v>7.3099999999999998E-2</v>
      </c>
      <c r="AA177" s="197">
        <f t="shared" si="55"/>
        <v>5.7873000000000001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56"/>
        <v>1816</v>
      </c>
      <c r="AE177" s="77" t="str">
        <f t="shared" si="57"/>
        <v>aws s3 cp s3://rtdc.mdm.uploadarchive.raw/RTDC4053/ "%USERPROFILE%\AppData\Local\Temp\OnboardLogs"\RTDC4053\2017-07-29 --exclude "*" --recursive --include "*20170729*" &amp; "%USERPROFILE%\Documents\GitHub\mrs-test-scripts\Headless Mode &amp; Sideloading\WalkAndUnGZ.bat" "%USERPROFILE%\AppData\Local\Temp\OnboardLogs"\RTDC4053\2017-07-29 &amp; aws s3 cp s3://rtdc.mdm.uploadarchive.raw/RTDC4053/ "%USERPROFILE%\AppData\Local\Temp\OnboardLogs"\RTDC4053\2017-07-30 --exclude "*" --recursive --include "*20170730*" &amp; "%USERPROFILE%\Documents\GitHub\mrs-test-scripts\Headless Mode &amp; Sideloading\WalkAndUnGZ.bat" "%USERPROFILE%\AppData\Local\Temp\OnboardLogs"\RTDC4053\2017-07-30</v>
      </c>
      <c r="AF177" s="74" t="str">
        <f t="shared" si="58"/>
        <v>"C:\Program Files (x86)\AstroGrep\AstroGrep.exe" /e /r /s /spath="%USERPROFILE%\AppData\Local\Temp\OnboardLogs" /stypes="app*4053*20170729*" /stext=" 19:.+((SYSTEM_STATE.+slice.+state.+changed )|(ment ac)|(multiple cpu faults)|(system.+state.+changed )|(\[timeout)|(PRM\|1\|D)|(kpr)|(kdp)|(train st.+moving)|(\|lc)|(penalty))"</v>
      </c>
      <c r="AG177" s="209" t="str">
        <f t="shared" si="59"/>
        <v>NW</v>
      </c>
      <c r="AH177" s="78" t="str">
        <f t="shared" si="60"/>
        <v>"%USERPROFILE%\Documents\GitHub\eaglep3\Utilities\RefineRTDCRunTimes.py" --tripid 1816-29 --locoid 4053 --swversion DE.1.0.9.0 --startMP 300:58604 --initTime 2017-07-29T13:37:54 --startdatetime 2017-07-29T13:40:09 --delay 1 --endMP 204:731 --enddatetime 2017-07-29T13:55:11 --enforcementcount 0 &gt;&gt;C:\Users\stu\Documents\GitHub\eaglep3-reporting\EC\2017-07-29-refined-times.txt</v>
      </c>
      <c r="AI177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{"issue":{"subject":"","project_id":79,"tracker_id":40,"status_id":1,"priority_id":2,"assigned_to_id":23,"start_date":"2017-07-29","description":"","custom_fields":[{"id":1,"name":"Subdivision","value":"NW"},{"id":4,"name":"Milepost","value":"0.0731"},{"id":17,"name":"Train ID","value":"1816-29"},{"id":16,"name":"Locomotive ID","value":"4053"},{"id":130,"name":"Impact","value":""},{"id":150,"name":"Time of Event (Mountain Time)","value":"13:55:11"},{"id":151,"name":"Denver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62"/>
        <v>start /low /b %USERPROFILE%\Documents\GitHub\eaglep3\Utilities\DownloadLogsFromS3.py --loco 4053 --day 2017-07-29</v>
      </c>
      <c r="AN177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19:55:11"},{"id":29,"name":"Sharepoint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793</v>
      </c>
      <c r="B178" s="7">
        <v>4054</v>
      </c>
      <c r="C178" s="21" t="s">
        <v>198</v>
      </c>
      <c r="D178" s="21" t="s">
        <v>938</v>
      </c>
      <c r="E178" s="13">
        <v>42945.583611111113</v>
      </c>
      <c r="F178" s="13">
        <v>42945.598599537036</v>
      </c>
      <c r="G178" s="7">
        <v>1</v>
      </c>
      <c r="H178" s="21" t="s">
        <v>939</v>
      </c>
      <c r="I178" s="13">
        <v>42945.608622685184</v>
      </c>
      <c r="J178" s="7">
        <v>0</v>
      </c>
      <c r="K178" s="89" t="str">
        <f t="shared" si="48"/>
        <v>4053/4054</v>
      </c>
      <c r="L178" s="21" t="str">
        <f>VLOOKUP(A178,'Trips&amp;Operators'!$C$1:$G$99999,5,FALSE)</f>
        <v>MCREYNOLDS KYLE</v>
      </c>
      <c r="M178" s="6">
        <f t="shared" si="49"/>
        <v>1.0023148148320615E-2</v>
      </c>
      <c r="N178" s="7">
        <f t="shared" si="64"/>
        <v>14.433333333581686</v>
      </c>
      <c r="O178" s="7"/>
      <c r="P178" s="7"/>
      <c r="Q178" s="22"/>
      <c r="R178" s="170"/>
      <c r="S178" s="213">
        <f t="shared" si="65"/>
        <v>1</v>
      </c>
      <c r="T178" s="195" t="str">
        <f t="shared" si="50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51"/>
        <v>https://d0f6bd738d7f1b3e5a7ca70fe4ff75f0.us-east-1.aws.found.io/app/kibana#/discover/Steve-Slow-Train-Analysis-(2080s-and-2083s)?_g=(refreshInterval:(display:Off,pause:!f,section:0,value:0),time:(from:'2017-07-29T13:00:24-0600',mode:absolute,to:'2017-07-29T15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8" s="197" t="str">
        <f>IF(AA178&lt;VLOOKUP(AG178,Variables!$AC$3:$AD$8,2,FALSE),"Y","N")</f>
        <v>N</v>
      </c>
      <c r="X178" s="197">
        <f t="shared" si="67"/>
        <v>1</v>
      </c>
      <c r="Y178" s="197">
        <f t="shared" si="53"/>
        <v>0.1016</v>
      </c>
      <c r="Z178" s="197">
        <f t="shared" si="54"/>
        <v>5.8939000000000004</v>
      </c>
      <c r="AA178" s="197">
        <f t="shared" si="55"/>
        <v>5.7923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56"/>
        <v>1817</v>
      </c>
      <c r="AE178" s="77" t="str">
        <f t="shared" si="57"/>
        <v>aws s3 cp s3://rtdc.mdm.uploadarchive.raw/RTDC4054/ "%USERPROFILE%\AppData\Local\Temp\OnboardLogs"\RTDC4054\2017-07-29 --exclude "*" --recursive --include "*20170729*" &amp; "%USERPROFILE%\Documents\GitHub\mrs-test-scripts\Headless Mode &amp; Sideloading\WalkAndUnGZ.bat" "%USERPROFILE%\AppData\Local\Temp\OnboardLogs"\RTDC4054\2017-07-29 &amp; aws s3 cp s3://rtdc.mdm.uploadarchive.raw/RTDC4054/ "%USERPROFILE%\AppData\Local\Temp\OnboardLogs"\RTDC4054\2017-07-30 --exclude "*" --recursive --include "*20170730*" &amp; "%USERPROFILE%\Documents\GitHub\mrs-test-scripts\Headless Mode &amp; Sideloading\WalkAndUnGZ.bat" "%USERPROFILE%\AppData\Local\Temp\OnboardLogs"\RTDC4054\2017-07-30</v>
      </c>
      <c r="AF178" s="74" t="str">
        <f t="shared" si="58"/>
        <v>"C:\Program Files (x86)\AstroGrep\AstroGrep.exe" /e /r /s /spath="%USERPROFILE%\AppData\Local\Temp\OnboardLogs" /stypes="app*4054*20170729*" /stext=" 20:.+((SYSTEM_STATE.+slice.+state.+changed )|(ment ac)|(multiple cpu faults)|(system.+state.+changed )|(\[timeout)|(PRM\|1\|D)|(kpr)|(kdp)|(train st.+moving)|(\|lc)|(penalty))"</v>
      </c>
      <c r="AG178" s="209" t="str">
        <f t="shared" si="59"/>
        <v>NW</v>
      </c>
      <c r="AH178" s="78" t="str">
        <f t="shared" si="60"/>
        <v>"%USERPROFILE%\Documents\GitHub\eaglep3\Utilities\RefineRTDCRunTimes.py" --tripid 1817-29 --locoid 4054 --swversion DE.1.0.9.0 --startMP 204:1016 --initTime 2017-07-29T14:00:24 --startdatetime 2017-07-29T14:21:59 --delay 1 --endMP 300:58939 --enddatetime 2017-07-29T14:36:25 --enforcementcount 0 &gt;&gt;C:\Users\stu\Documents\GitHub\eaglep3-reporting\EC\2017-07-29-refined-times.txt</v>
      </c>
      <c r="AI178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{"issue":{"subject":"","project_id":79,"tracker_id":40,"status_id":1,"priority_id":2,"assigned_to_id":23,"start_date":"2017-07-29","description":"","custom_fields":[{"id":1,"name":"Subdivision","value":"NW"},{"id":4,"name":"Milepost","value":"5.8939"},{"id":17,"name":"Train ID","value":"1817-29"},{"id":16,"name":"Locomotive ID","value":"4054"},{"id":130,"name":"Impact","value":""},{"id":150,"name":"Time of Event (Mountain Time)","value":"14:36:25"},{"id":151,"name":"Denver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62"/>
        <v>start /low /b %USERPROFILE%\Documents\GitHub\eaglep3\Utilities\DownloadLogsFromS3.py --loco 4054 --day 2017-07-29</v>
      </c>
      <c r="AN178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20:36:25"},{"id":29,"name":"Sharepoint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798</v>
      </c>
      <c r="B179" s="7">
        <v>4053</v>
      </c>
      <c r="C179" s="21" t="s">
        <v>198</v>
      </c>
      <c r="D179" s="21" t="s">
        <v>940</v>
      </c>
      <c r="E179" s="13">
        <v>42945.609895833331</v>
      </c>
      <c r="F179" s="13">
        <v>42945.612303240741</v>
      </c>
      <c r="G179" s="7">
        <v>1</v>
      </c>
      <c r="H179" s="21" t="s">
        <v>625</v>
      </c>
      <c r="I179" s="13">
        <v>42945.621423611112</v>
      </c>
      <c r="J179" s="7">
        <v>0</v>
      </c>
      <c r="K179" s="89" t="str">
        <f t="shared" si="48"/>
        <v>4053/4054</v>
      </c>
      <c r="L179" s="21" t="str">
        <f>VLOOKUP(A179,'Trips&amp;Operators'!$C$1:$G$99999,5,FALSE)</f>
        <v>MCREYNOLDS KYLE</v>
      </c>
      <c r="M179" s="6">
        <f t="shared" si="49"/>
        <v>9.1203703705104999E-3</v>
      </c>
      <c r="N179" s="7">
        <f t="shared" ref="N179:N210" si="68">24*60*SUM($M179:$M179)</f>
        <v>13.13333333353512</v>
      </c>
      <c r="O179" s="7"/>
      <c r="P179" s="7"/>
      <c r="Q179" s="22"/>
      <c r="R179" s="170"/>
      <c r="S179" s="213">
        <f t="shared" ref="S179:S210" si="69">1/IF(AG179="EC",12,1)*SUM(U179:U179)</f>
        <v>1</v>
      </c>
      <c r="T179" s="195" t="str">
        <f t="shared" si="50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51"/>
        <v>https://d0f6bd738d7f1b3e5a7ca70fe4ff75f0.us-east-1.aws.found.io/app/kibana#/discover/Steve-Slow-Train-Analysis-(2080s-and-2083s)?_g=(refreshInterval:(display:Off,pause:!f,section:0,value:0),time:(from:'2017-07-29T13:38:15-0600',mode:absolute,to:'2017-07-29T15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9" s="197" t="str">
        <f>IF(AA179&lt;VLOOKUP(AG179,Variables!$AC$3:$AD$8,2,FALSE),"Y","N")</f>
        <v>N</v>
      </c>
      <c r="X179" s="197">
        <f t="shared" si="67"/>
        <v>1</v>
      </c>
      <c r="Y179" s="197">
        <f t="shared" si="53"/>
        <v>5.8616999999999999</v>
      </c>
      <c r="Z179" s="197">
        <f t="shared" si="54"/>
        <v>6.7299999999999999E-2</v>
      </c>
      <c r="AA179" s="197">
        <f t="shared" si="55"/>
        <v>5.7943999999999996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56"/>
        <v>1818</v>
      </c>
      <c r="AE179" s="77" t="str">
        <f t="shared" si="57"/>
        <v>aws s3 cp s3://rtdc.mdm.uploadarchive.raw/RTDC4053/ "%USERPROFILE%\AppData\Local\Temp\OnboardLogs"\RTDC4053\2017-07-29 --exclude "*" --recursive --include "*20170729*" &amp; "%USERPROFILE%\Documents\GitHub\mrs-test-scripts\Headless Mode &amp; Sideloading\WalkAndUnGZ.bat" "%USERPROFILE%\AppData\Local\Temp\OnboardLogs"\RTDC4053\2017-07-29 &amp; aws s3 cp s3://rtdc.mdm.uploadarchive.raw/RTDC4053/ "%USERPROFILE%\AppData\Local\Temp\OnboardLogs"\RTDC4053\2017-07-30 --exclude "*" --recursive --include "*20170730*" &amp; "%USERPROFILE%\Documents\GitHub\mrs-test-scripts\Headless Mode &amp; Sideloading\WalkAndUnGZ.bat" "%USERPROFILE%\AppData\Local\Temp\OnboardLogs"\RTDC4053\2017-07-30</v>
      </c>
      <c r="AF179" s="74" t="str">
        <f t="shared" si="58"/>
        <v>"C:\Program Files (x86)\AstroGrep\AstroGrep.exe" /e /r /s /spath="%USERPROFILE%\AppData\Local\Temp\OnboardLogs" /stypes="app*4053*20170729*" /stext=" 20:.+((SYSTEM_STATE.+slice.+state.+changed )|(ment ac)|(multiple cpu faults)|(system.+state.+changed )|(\[timeout)|(PRM\|1\|D)|(kpr)|(kdp)|(train st.+moving)|(\|lc)|(penalty))"</v>
      </c>
      <c r="AG179" s="209" t="str">
        <f t="shared" si="59"/>
        <v>NW</v>
      </c>
      <c r="AH179" s="78" t="str">
        <f t="shared" si="60"/>
        <v>"%USERPROFILE%\Documents\GitHub\eaglep3\Utilities\RefineRTDCRunTimes.py" --tripid 1818-29 --locoid 4053 --swversion DE.1.0.9.0 --startMP 300:58617 --initTime 2017-07-29T14:38:15 --startdatetime 2017-07-29T14:41:43 --delay 1 --endMP 204:673 --enddatetime 2017-07-29T14:54:51 --enforcementcount 0 &gt;&gt;C:\Users\stu\Documents\GitHub\eaglep3-reporting\EC\2017-07-29-refined-times.txt</v>
      </c>
      <c r="AI179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{"issue":{"subject":"","project_id":79,"tracker_id":40,"status_id":1,"priority_id":2,"assigned_to_id":23,"start_date":"2017-07-29","description":"","custom_fields":[{"id":1,"name":"Subdivision","value":"NW"},{"id":4,"name":"Milepost","value":"0.0673"},{"id":17,"name":"Train ID","value":"1818-29"},{"id":16,"name":"Locomotive ID","value":"4053"},{"id":130,"name":"Impact","value":""},{"id":150,"name":"Time of Event (Mountain Time)","value":"14:54:51"},{"id":151,"name":"Denver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62"/>
        <v>start /low /b %USERPROFILE%\Documents\GitHub\eaglep3\Utilities\DownloadLogsFromS3.py --loco 4053 --day 2017-07-29</v>
      </c>
      <c r="AN179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20:54:51"},{"id":29,"name":"Sharepoint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803</v>
      </c>
      <c r="B180" s="7">
        <v>4054</v>
      </c>
      <c r="C180" s="21" t="s">
        <v>198</v>
      </c>
      <c r="D180" s="21" t="s">
        <v>941</v>
      </c>
      <c r="E180" s="13">
        <v>42945.63652777778</v>
      </c>
      <c r="F180" s="13">
        <v>42945.639733796299</v>
      </c>
      <c r="G180" s="7">
        <v>0</v>
      </c>
      <c r="H180" s="21" t="s">
        <v>942</v>
      </c>
      <c r="I180" s="13">
        <v>42945.649178240739</v>
      </c>
      <c r="J180" s="7">
        <v>0</v>
      </c>
      <c r="K180" s="89" t="str">
        <f t="shared" si="48"/>
        <v>4053/4054</v>
      </c>
      <c r="L180" s="21" t="str">
        <f>VLOOKUP(A180,'Trips&amp;Operators'!$C$1:$G$99999,5,FALSE)</f>
        <v>MCREYNOLDS KYLE</v>
      </c>
      <c r="M180" s="6">
        <f t="shared" si="49"/>
        <v>9.444444440305233E-3</v>
      </c>
      <c r="N180" s="7">
        <f t="shared" si="68"/>
        <v>13.599999994039536</v>
      </c>
      <c r="O180" s="7"/>
      <c r="P180" s="7"/>
      <c r="Q180" s="22"/>
      <c r="R180" s="170"/>
      <c r="S180" s="213">
        <f t="shared" si="69"/>
        <v>1</v>
      </c>
      <c r="T180" s="195" t="str">
        <f t="shared" si="50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51"/>
        <v>https://d0f6bd738d7f1b3e5a7ca70fe4ff75f0.us-east-1.aws.found.io/app/kibana#/discover/Steve-Slow-Train-Analysis-(2080s-and-2083s)?_g=(refreshInterval:(display:Off,pause:!f,section:0,value:0),time:(from:'2017-07-29T14:16:36-0600',mode:absolute,to:'2017-07-29T16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0" s="197" t="str">
        <f>IF(AA180&lt;VLOOKUP(AG180,Variables!$AC$3:$AD$8,2,FALSE),"Y","N")</f>
        <v>N</v>
      </c>
      <c r="X180" s="197">
        <f t="shared" si="67"/>
        <v>1</v>
      </c>
      <c r="Y180" s="197">
        <f t="shared" si="53"/>
        <v>9.6199999999999994E-2</v>
      </c>
      <c r="Z180" s="197">
        <f t="shared" si="54"/>
        <v>5.8973000000000004</v>
      </c>
      <c r="AA180" s="197">
        <f t="shared" si="55"/>
        <v>5.8011000000000008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56"/>
        <v>1819</v>
      </c>
      <c r="AE180" s="77" t="str">
        <f t="shared" si="57"/>
        <v>aws s3 cp s3://rtdc.mdm.uploadarchive.raw/RTDC4054/ "%USERPROFILE%\AppData\Local\Temp\OnboardLogs"\RTDC4054\2017-07-29 --exclude "*" --recursive --include "*20170729*" &amp; "%USERPROFILE%\Documents\GitHub\mrs-test-scripts\Headless Mode &amp; Sideloading\WalkAndUnGZ.bat" "%USERPROFILE%\AppData\Local\Temp\OnboardLogs"\RTDC4054\2017-07-29 &amp; aws s3 cp s3://rtdc.mdm.uploadarchive.raw/RTDC4054/ "%USERPROFILE%\AppData\Local\Temp\OnboardLogs"\RTDC4054\2017-07-30 --exclude "*" --recursive --include "*20170730*" &amp; "%USERPROFILE%\Documents\GitHub\mrs-test-scripts\Headless Mode &amp; Sideloading\WalkAndUnGZ.bat" "%USERPROFILE%\AppData\Local\Temp\OnboardLogs"\RTDC4054\2017-07-30</v>
      </c>
      <c r="AF180" s="74" t="str">
        <f t="shared" si="58"/>
        <v>"C:\Program Files (x86)\AstroGrep\AstroGrep.exe" /e /r /s /spath="%USERPROFILE%\AppData\Local\Temp\OnboardLogs" /stypes="app*4054*20170729*" /stext=" 21:.+((SYSTEM_STATE.+slice.+state.+changed )|(ment ac)|(multiple cpu faults)|(system.+state.+changed )|(\[timeout)|(PRM\|1\|D)|(kpr)|(kdp)|(train st.+moving)|(\|lc)|(penalty))"</v>
      </c>
      <c r="AG180" s="209" t="str">
        <f t="shared" si="59"/>
        <v>NW</v>
      </c>
      <c r="AH180" s="78" t="str">
        <f t="shared" si="60"/>
        <v>"%USERPROFILE%\Documents\GitHub\eaglep3\Utilities\RefineRTDCRunTimes.py" --tripid 1819-29 --locoid 4054 --swversion DE.1.0.9.0 --startMP 204:962 --initTime 2017-07-29T15:16:36 --startdatetime 2017-07-29T15:21:13 --delay 0 --endMP 300:58973 --enddatetime 2017-07-29T15:34:49 --enforcementcount 0 &gt;&gt;C:\Users\stu\Documents\GitHub\eaglep3-reporting\EC\2017-07-29-refined-times.txt</v>
      </c>
      <c r="AI180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{"issue":{"subject":"","project_id":79,"tracker_id":40,"status_id":1,"priority_id":2,"assigned_to_id":23,"start_date":"2017-07-29","description":"","custom_fields":[{"id":1,"name":"Subdivision","value":"NW"},{"id":4,"name":"Milepost","value":"5.8973"},{"id":17,"name":"Train ID","value":"1819-29"},{"id":16,"name":"Locomotive ID","value":"4054"},{"id":130,"name":"Impact","value":""},{"id":150,"name":"Time of Event (Mountain Time)","value":"15:34:49"},{"id":151,"name":"Denver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62"/>
        <v>start /low /b %USERPROFILE%\Documents\GitHub\eaglep3\Utilities\DownloadLogsFromS3.py --loco 4054 --day 2017-07-29</v>
      </c>
      <c r="AN180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21:34:49"},{"id":29,"name":"Sharepoint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s="20" customFormat="1" x14ac:dyDescent="0.25">
      <c r="A181" s="32" t="s">
        <v>806</v>
      </c>
      <c r="B181" s="7">
        <v>4053</v>
      </c>
      <c r="C181" s="21" t="s">
        <v>198</v>
      </c>
      <c r="D181" s="21" t="s">
        <v>943</v>
      </c>
      <c r="E181" s="13">
        <v>42945.651307870372</v>
      </c>
      <c r="F181" s="13">
        <v>42945.654027777775</v>
      </c>
      <c r="G181" s="7">
        <v>1</v>
      </c>
      <c r="H181" s="21" t="s">
        <v>944</v>
      </c>
      <c r="I181" s="13">
        <v>42945.663460648146</v>
      </c>
      <c r="J181" s="7">
        <v>0</v>
      </c>
      <c r="K181" s="89" t="str">
        <f t="shared" si="48"/>
        <v>4053/4054</v>
      </c>
      <c r="L181" s="21" t="str">
        <f>VLOOKUP(A181,'Trips&amp;Operators'!$C$1:$G$99999,5,FALSE)</f>
        <v>MCREYNOLDS KYLE</v>
      </c>
      <c r="M181" s="6">
        <f t="shared" si="49"/>
        <v>9.4328703708015382E-3</v>
      </c>
      <c r="N181" s="7">
        <f t="shared" si="68"/>
        <v>13.583333333954215</v>
      </c>
      <c r="O181" s="7"/>
      <c r="P181" s="7"/>
      <c r="Q181" s="22"/>
      <c r="R181" s="170"/>
      <c r="S181" s="213">
        <f t="shared" si="69"/>
        <v>1</v>
      </c>
      <c r="T181" s="195" t="str">
        <f t="shared" si="50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51"/>
        <v>https://d0f6bd738d7f1b3e5a7ca70fe4ff75f0.us-east-1.aws.found.io/app/kibana#/discover/Steve-Slow-Train-Analysis-(2080s-and-2083s)?_g=(refreshInterval:(display:Off,pause:!f,section:0,value:0),time:(from:'2017-07-29T14:37:53-0600',mode:absolute,to:'2017-07-29T16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1" s="197" t="str">
        <f>IF(AA181&lt;VLOOKUP(AG181,Variables!$AC$3:$AD$8,2,FALSE),"Y","N")</f>
        <v>N</v>
      </c>
      <c r="X181" s="197">
        <f t="shared" si="67"/>
        <v>1</v>
      </c>
      <c r="Y181" s="197">
        <f t="shared" si="53"/>
        <v>5.8647</v>
      </c>
      <c r="Z181" s="197">
        <f t="shared" si="54"/>
        <v>7.3999999999999996E-2</v>
      </c>
      <c r="AA181" s="197">
        <f t="shared" si="55"/>
        <v>5.7907000000000002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56"/>
        <v>1820</v>
      </c>
      <c r="AE181" s="77" t="str">
        <f t="shared" si="57"/>
        <v>aws s3 cp s3://rtdc.mdm.uploadarchive.raw/RTDC4053/ "%USERPROFILE%\AppData\Local\Temp\OnboardLogs"\RTDC4053\2017-07-29 --exclude "*" --recursive --include "*20170729*" &amp; "%USERPROFILE%\Documents\GitHub\mrs-test-scripts\Headless Mode &amp; Sideloading\WalkAndUnGZ.bat" "%USERPROFILE%\AppData\Local\Temp\OnboardLogs"\RTDC4053\2017-07-29 &amp; aws s3 cp s3://rtdc.mdm.uploadarchive.raw/RTDC4053/ "%USERPROFILE%\AppData\Local\Temp\OnboardLogs"\RTDC4053\2017-07-30 --exclude "*" --recursive --include "*20170730*" &amp; "%USERPROFILE%\Documents\GitHub\mrs-test-scripts\Headless Mode &amp; Sideloading\WalkAndUnGZ.bat" "%USERPROFILE%\AppData\Local\Temp\OnboardLogs"\RTDC4053\2017-07-30</v>
      </c>
      <c r="AF181" s="74" t="str">
        <f t="shared" si="58"/>
        <v>"C:\Program Files (x86)\AstroGrep\AstroGrep.exe" /e /r /s /spath="%USERPROFILE%\AppData\Local\Temp\OnboardLogs" /stypes="app*4053*20170729*" /stext=" 21:.+((SYSTEM_STATE.+slice.+state.+changed )|(ment ac)|(multiple cpu faults)|(system.+state.+changed )|(\[timeout)|(PRM\|1\|D)|(kpr)|(kdp)|(train st.+moving)|(\|lc)|(penalty))"</v>
      </c>
      <c r="AG181" s="209" t="str">
        <f t="shared" si="59"/>
        <v>NW</v>
      </c>
      <c r="AH181" s="78" t="str">
        <f t="shared" si="60"/>
        <v>"%USERPROFILE%\Documents\GitHub\eaglep3\Utilities\RefineRTDCRunTimes.py" --tripid 1820-29 --locoid 4053 --swversion DE.1.0.9.0 --startMP 300:58647 --initTime 2017-07-29T15:37:53 --startdatetime 2017-07-29T15:41:48 --delay 1 --endMP 204:740 --enddatetime 2017-07-29T15:55:23 --enforcementcount 0 &gt;&gt;C:\Users\stu\Documents\GitHub\eaglep3-reporting\EC\2017-07-29-refined-times.txt</v>
      </c>
      <c r="AI181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{"issue":{"subject":"","project_id":79,"tracker_id":40,"status_id":1,"priority_id":2,"assigned_to_id":23,"start_date":"2017-07-29","description":"","custom_fields":[{"id":1,"name":"Subdivision","value":"NW"},{"id":4,"name":"Milepost","value":"0.074"},{"id":17,"name":"Train ID","value":"1820-29"},{"id":16,"name":"Locomotive ID","value":"4053"},{"id":130,"name":"Impact","value":""},{"id":150,"name":"Time of Event (Mountain Time)","value":"15:55:23"},{"id":151,"name":"Denver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62"/>
        <v>start /low /b %USERPROFILE%\Documents\GitHub\eaglep3\Utilities\DownloadLogsFromS3.py --loco 4053 --day 2017-07-29</v>
      </c>
      <c r="AN181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21:55:23"},{"id":29,"name":"Sharepoint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2" t="s">
        <v>812</v>
      </c>
      <c r="B182" s="7">
        <v>4054</v>
      </c>
      <c r="C182" s="21" t="s">
        <v>198</v>
      </c>
      <c r="D182" s="21" t="s">
        <v>623</v>
      </c>
      <c r="E182" s="13">
        <v>42945.677951388891</v>
      </c>
      <c r="F182" s="13">
        <v>42945.681388888886</v>
      </c>
      <c r="G182" s="7">
        <v>1</v>
      </c>
      <c r="H182" s="21" t="s">
        <v>945</v>
      </c>
      <c r="I182" s="13">
        <v>42945.690844907411</v>
      </c>
      <c r="J182" s="7">
        <v>0</v>
      </c>
      <c r="K182" s="89" t="str">
        <f t="shared" si="48"/>
        <v>4053/4054</v>
      </c>
      <c r="L182" s="21" t="str">
        <f>VLOOKUP(A182,'Trips&amp;Operators'!$C$1:$G$99999,5,FALSE)</f>
        <v>MCREYNOLDS KYLE</v>
      </c>
      <c r="M182" s="6">
        <f t="shared" si="49"/>
        <v>9.456018524360843E-3</v>
      </c>
      <c r="N182" s="7">
        <f t="shared" si="68"/>
        <v>13.616666675079614</v>
      </c>
      <c r="O182" s="7"/>
      <c r="P182" s="7"/>
      <c r="Q182" s="22"/>
      <c r="R182" s="170"/>
      <c r="S182" s="213">
        <f t="shared" si="69"/>
        <v>1</v>
      </c>
      <c r="T182" s="195" t="str">
        <f t="shared" si="50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51"/>
        <v>https://d0f6bd738d7f1b3e5a7ca70fe4ff75f0.us-east-1.aws.found.io/app/kibana#/discover/Steve-Slow-Train-Analysis-(2080s-and-2083s)?_g=(refreshInterval:(display:Off,pause:!f,section:0,value:0),time:(from:'2017-07-29T15:16:15-0600',mode:absolute,to:'2017-07-29T17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2" s="197" t="str">
        <f>IF(AA182&lt;VLOOKUP(AG182,Variables!$AC$3:$AD$8,2,FALSE),"Y","N")</f>
        <v>N</v>
      </c>
      <c r="X182" s="197">
        <f t="shared" si="67"/>
        <v>1</v>
      </c>
      <c r="Y182" s="197">
        <f t="shared" si="53"/>
        <v>0.1</v>
      </c>
      <c r="Z182" s="197">
        <f t="shared" si="54"/>
        <v>5.8964999999999996</v>
      </c>
      <c r="AA182" s="197">
        <f t="shared" si="55"/>
        <v>5.7965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56"/>
        <v>1821</v>
      </c>
      <c r="AE182" s="77" t="str">
        <f t="shared" si="57"/>
        <v>aws s3 cp s3://rtdc.mdm.uploadarchive.raw/RTDC4054/ "%USERPROFILE%\AppData\Local\Temp\OnboardLogs"\RTDC4054\2017-07-29 --exclude "*" --recursive --include "*20170729*" &amp; "%USERPROFILE%\Documents\GitHub\mrs-test-scripts\Headless Mode &amp; Sideloading\WalkAndUnGZ.bat" "%USERPROFILE%\AppData\Local\Temp\OnboardLogs"\RTDC4054\2017-07-29 &amp; aws s3 cp s3://rtdc.mdm.uploadarchive.raw/RTDC4054/ "%USERPROFILE%\AppData\Local\Temp\OnboardLogs"\RTDC4054\2017-07-30 --exclude "*" --recursive --include "*20170730*" &amp; "%USERPROFILE%\Documents\GitHub\mrs-test-scripts\Headless Mode &amp; Sideloading\WalkAndUnGZ.bat" "%USERPROFILE%\AppData\Local\Temp\OnboardLogs"\RTDC4054\2017-07-30</v>
      </c>
      <c r="AF182" s="74" t="str">
        <f t="shared" si="58"/>
        <v>"C:\Program Files (x86)\AstroGrep\AstroGrep.exe" /e /r /s /spath="%USERPROFILE%\AppData\Local\Temp\OnboardLogs" /stypes="app*4054*20170729*" /stext=" 22:.+((SYSTEM_STATE.+slice.+state.+changed )|(ment ac)|(multiple cpu faults)|(system.+state.+changed )|(\[timeout)|(PRM\|1\|D)|(kpr)|(kdp)|(train st.+moving)|(\|lc)|(penalty))"</v>
      </c>
      <c r="AG182" s="209" t="str">
        <f t="shared" si="59"/>
        <v>NW</v>
      </c>
      <c r="AH182" s="78" t="str">
        <f t="shared" si="60"/>
        <v>"%USERPROFILE%\Documents\GitHub\eaglep3\Utilities\RefineRTDCRunTimes.py" --tripid 1821-29 --locoid 4054 --swversion DE.1.0.9.0 --startMP 204:1000 --initTime 2017-07-29T16:16:15 --startdatetime 2017-07-29T16:21:12 --delay 1 --endMP 300:58965 --enddatetime 2017-07-29T16:34:49 --enforcementcount 0 &gt;&gt;C:\Users\stu\Documents\GitHub\eaglep3-reporting\EC\2017-07-29-refined-times.txt</v>
      </c>
      <c r="AI182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{"issue":{"subject":"","project_id":79,"tracker_id":40,"status_id":1,"priority_id":2,"assigned_to_id":23,"start_date":"2017-07-29","description":"","custom_fields":[{"id":1,"name":"Subdivision","value":"NW"},{"id":4,"name":"Milepost","value":"5.8965"},{"id":17,"name":"Train ID","value":"1821-29"},{"id":16,"name":"Locomotive ID","value":"4054"},{"id":130,"name":"Impact","value":""},{"id":150,"name":"Time of Event (Mountain Time)","value":"16:34:49"},{"id":151,"name":"Denver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62"/>
        <v>start /low /b %USERPROFILE%\Documents\GitHub\eaglep3\Utilities\DownloadLogsFromS3.py --loco 4054 --day 2017-07-29</v>
      </c>
      <c r="AN182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22:34:49"},{"id":29,"name":"Sharepoint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815</v>
      </c>
      <c r="B183" s="7">
        <v>4053</v>
      </c>
      <c r="C183" s="21" t="s">
        <v>198</v>
      </c>
      <c r="D183" s="21" t="s">
        <v>946</v>
      </c>
      <c r="E183" s="13">
        <v>42945.692361111112</v>
      </c>
      <c r="F183" s="13">
        <v>42945.694965277777</v>
      </c>
      <c r="G183" s="7">
        <v>1</v>
      </c>
      <c r="H183" s="21" t="s">
        <v>533</v>
      </c>
      <c r="I183" s="13">
        <v>42945.704560185186</v>
      </c>
      <c r="J183" s="7">
        <v>0</v>
      </c>
      <c r="K183" s="89" t="str">
        <f t="shared" si="48"/>
        <v>4053/4054</v>
      </c>
      <c r="L183" s="21" t="str">
        <f>VLOOKUP(A183,'Trips&amp;Operators'!$C$1:$G$99999,5,FALSE)</f>
        <v>MCREYNOLDS KYLE</v>
      </c>
      <c r="M183" s="6">
        <f t="shared" si="49"/>
        <v>9.5949074093368836E-3</v>
      </c>
      <c r="N183" s="7">
        <f t="shared" si="68"/>
        <v>13.816666669445112</v>
      </c>
      <c r="O183" s="7"/>
      <c r="P183" s="7"/>
      <c r="Q183" s="22"/>
      <c r="R183" s="170"/>
      <c r="S183" s="213">
        <f t="shared" si="69"/>
        <v>1</v>
      </c>
      <c r="T183" s="195" t="str">
        <f t="shared" si="50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51"/>
        <v>https://d0f6bd738d7f1b3e5a7ca70fe4ff75f0.us-east-1.aws.found.io/app/kibana#/discover/Steve-Slow-Train-Analysis-(2080s-and-2083s)?_g=(refreshInterval:(display:Off,pause:!f,section:0,value:0),time:(from:'2017-07-29T15:37:00-0600',mode:absolute,to:'2017-07-29T17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3" s="197" t="str">
        <f>IF(AA183&lt;VLOOKUP(AG183,Variables!$AC$3:$AD$8,2,FALSE),"Y","N")</f>
        <v>N</v>
      </c>
      <c r="X183" s="197">
        <f t="shared" si="67"/>
        <v>1</v>
      </c>
      <c r="Y183" s="197">
        <f t="shared" si="53"/>
        <v>5.8651</v>
      </c>
      <c r="Z183" s="197">
        <f t="shared" si="54"/>
        <v>7.2599999999999998E-2</v>
      </c>
      <c r="AA183" s="197">
        <f t="shared" si="55"/>
        <v>5.7925000000000004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56"/>
        <v>1822</v>
      </c>
      <c r="AE183" s="77" t="str">
        <f t="shared" si="57"/>
        <v>aws s3 cp s3://rtdc.mdm.uploadarchive.raw/RTDC4053/ "%USERPROFILE%\AppData\Local\Temp\OnboardLogs"\RTDC4053\2017-07-29 --exclude "*" --recursive --include "*20170729*" &amp; "%USERPROFILE%\Documents\GitHub\mrs-test-scripts\Headless Mode &amp; Sideloading\WalkAndUnGZ.bat" "%USERPROFILE%\AppData\Local\Temp\OnboardLogs"\RTDC4053\2017-07-29 &amp; aws s3 cp s3://rtdc.mdm.uploadarchive.raw/RTDC4053/ "%USERPROFILE%\AppData\Local\Temp\OnboardLogs"\RTDC4053\2017-07-30 --exclude "*" --recursive --include "*20170730*" &amp; "%USERPROFILE%\Documents\GitHub\mrs-test-scripts\Headless Mode &amp; Sideloading\WalkAndUnGZ.bat" "%USERPROFILE%\AppData\Local\Temp\OnboardLogs"\RTDC4053\2017-07-30</v>
      </c>
      <c r="AF183" s="74" t="str">
        <f t="shared" si="58"/>
        <v>"C:\Program Files (x86)\AstroGrep\AstroGrep.exe" /e /r /s /spath="%USERPROFILE%\AppData\Local\Temp\OnboardLogs" /stypes="app*4053*20170729*" /stext=" 22:.+((SYSTEM_STATE.+slice.+state.+changed )|(ment ac)|(multiple cpu faults)|(system.+state.+changed )|(\[timeout)|(PRM\|1\|D)|(kpr)|(kdp)|(train st.+moving)|(\|lc)|(penalty))"</v>
      </c>
      <c r="AG183" s="209" t="str">
        <f t="shared" si="59"/>
        <v>NW</v>
      </c>
      <c r="AH183" s="78" t="str">
        <f t="shared" si="60"/>
        <v>"%USERPROFILE%\Documents\GitHub\eaglep3\Utilities\RefineRTDCRunTimes.py" --tripid 1822-29 --locoid 4053 --swversion DE.1.0.9.0 --startMP 300:58651 --initTime 2017-07-29T16:37:00 --startdatetime 2017-07-29T16:40:45 --delay 1 --endMP 204:726 --enddatetime 2017-07-29T16:54:34 --enforcementcount 0 &gt;&gt;C:\Users\stu\Documents\GitHub\eaglep3-reporting\EC\2017-07-29-refined-times.txt</v>
      </c>
      <c r="AI183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{"issue":{"subject":"","project_id":79,"tracker_id":40,"status_id":1,"priority_id":2,"assigned_to_id":23,"start_date":"2017-07-29","description":"","custom_fields":[{"id":1,"name":"Subdivision","value":"NW"},{"id":4,"name":"Milepost","value":"0.0726"},{"id":17,"name":"Train ID","value":"1822-29"},{"id":16,"name":"Locomotive ID","value":"4053"},{"id":130,"name":"Impact","value":""},{"id":150,"name":"Time of Event (Mountain Time)","value":"16:54:34"},{"id":151,"name":"Denver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62"/>
        <v>start /low /b %USERPROFILE%\Documents\GitHub\eaglep3\Utilities\DownloadLogsFromS3.py --loco 4053 --day 2017-07-29</v>
      </c>
      <c r="AN183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22:54:34"},{"id":29,"name":"Sharepoint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2" t="s">
        <v>821</v>
      </c>
      <c r="B184" s="7">
        <v>4054</v>
      </c>
      <c r="C184" s="21" t="s">
        <v>198</v>
      </c>
      <c r="D184" s="21" t="s">
        <v>532</v>
      </c>
      <c r="E184" s="13">
        <v>42945.718912037039</v>
      </c>
      <c r="F184" s="13">
        <v>42945.736828703702</v>
      </c>
      <c r="G184" s="7">
        <v>0</v>
      </c>
      <c r="H184" s="21" t="s">
        <v>626</v>
      </c>
      <c r="I184" s="13">
        <v>42945.747395833336</v>
      </c>
      <c r="J184" s="7">
        <v>0</v>
      </c>
      <c r="K184" s="89" t="str">
        <f t="shared" si="48"/>
        <v>4053/4054</v>
      </c>
      <c r="L184" s="21" t="str">
        <f>VLOOKUP(A184,'Trips&amp;Operators'!$C$1:$G$99999,5,FALSE)</f>
        <v>MCREYNOLDS KYLE</v>
      </c>
      <c r="M184" s="6">
        <f t="shared" si="49"/>
        <v>1.0567129633272998E-2</v>
      </c>
      <c r="N184" s="7">
        <f t="shared" si="68"/>
        <v>15.216666671913117</v>
      </c>
      <c r="O184" s="7"/>
      <c r="P184" s="7"/>
      <c r="Q184" s="22"/>
      <c r="R184" s="170"/>
      <c r="S184" s="213">
        <f t="shared" si="69"/>
        <v>1</v>
      </c>
      <c r="T184" s="195" t="str">
        <f t="shared" si="50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51"/>
        <v>https://d0f6bd738d7f1b3e5a7ca70fe4ff75f0.us-east-1.aws.found.io/app/kibana#/discover/Steve-Slow-Train-Analysis-(2080s-and-2083s)?_g=(refreshInterval:(display:Off,pause:!f,section:0,value:0),time:(from:'2017-07-29T16:15:14-0600',mode:absolute,to:'2017-07-29T18:56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4" s="197" t="str">
        <f>IF(AA184&lt;VLOOKUP(AG184,Variables!$AC$3:$AD$8,2,FALSE),"Y","N")</f>
        <v>N</v>
      </c>
      <c r="X184" s="197">
        <f t="shared" si="67"/>
        <v>1</v>
      </c>
      <c r="Y184" s="197">
        <f t="shared" si="53"/>
        <v>0.1004</v>
      </c>
      <c r="Z184" s="197">
        <f t="shared" si="54"/>
        <v>5.8954000000000004</v>
      </c>
      <c r="AA184" s="197">
        <f t="shared" si="55"/>
        <v>5.7950000000000008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56"/>
        <v>1823</v>
      </c>
      <c r="AE184" s="77" t="str">
        <f t="shared" si="57"/>
        <v>aws s3 cp s3://rtdc.mdm.uploadarchive.raw/RTDC4054/ "%USERPROFILE%\AppData\Local\Temp\OnboardLogs"\RTDC4054\2017-07-29 --exclude "*" --recursive --include "*20170729*" &amp; "%USERPROFILE%\Documents\GitHub\mrs-test-scripts\Headless Mode &amp; Sideloading\WalkAndUnGZ.bat" "%USERPROFILE%\AppData\Local\Temp\OnboardLogs"\RTDC4054\2017-07-29 &amp; aws s3 cp s3://rtdc.mdm.uploadarchive.raw/RTDC4054/ "%USERPROFILE%\AppData\Local\Temp\OnboardLogs"\RTDC4054\2017-07-30 --exclude "*" --recursive --include "*20170730*" &amp; "%USERPROFILE%\Documents\GitHub\mrs-test-scripts\Headless Mode &amp; Sideloading\WalkAndUnGZ.bat" "%USERPROFILE%\AppData\Local\Temp\OnboardLogs"\RTDC4054\2017-07-30</v>
      </c>
      <c r="AF184" s="74" t="str">
        <f t="shared" si="58"/>
        <v>"C:\Program Files (x86)\AstroGrep\AstroGrep.exe" /e /r /s /spath="%USERPROFILE%\AppData\Local\Temp\OnboardLogs" /stypes="app*4054*20170729*" /stext=" 23:.+((SYSTEM_STATE.+slice.+state.+changed )|(ment ac)|(multiple cpu faults)|(system.+state.+changed )|(\[timeout)|(PRM\|1\|D)|(kpr)|(kdp)|(train st.+moving)|(\|lc)|(penalty))"</v>
      </c>
      <c r="AG184" s="209" t="str">
        <f t="shared" si="59"/>
        <v>NW</v>
      </c>
      <c r="AH184" s="78" t="str">
        <f t="shared" si="60"/>
        <v>"%USERPROFILE%\Documents\GitHub\eaglep3\Utilities\RefineRTDCRunTimes.py" --tripid 1823-29 --locoid 4054 --swversion DE.1.0.9.0 --startMP 204:1004 --initTime 2017-07-29T17:15:14 --startdatetime 2017-07-29T17:41:02 --delay 0 --endMP 300:58954 --enddatetime 2017-07-29T17:56:15 --enforcementcount 0 &gt;&gt;C:\Users\stu\Documents\GitHub\eaglep3-reporting\EC\2017-07-29-refined-times.txt</v>
      </c>
      <c r="AI184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{"issue":{"subject":"","project_id":79,"tracker_id":40,"status_id":1,"priority_id":2,"assigned_to_id":23,"start_date":"2017-07-29","description":"","custom_fields":[{"id":1,"name":"Subdivision","value":"NW"},{"id":4,"name":"Milepost","value":"5.8954"},{"id":17,"name":"Train ID","value":"1823-29"},{"id":16,"name":"Locomotive ID","value":"4054"},{"id":130,"name":"Impact","value":""},{"id":150,"name":"Time of Event (Mountain Time)","value":"17:56:15"},{"id":151,"name":"Denver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62"/>
        <v>start /low /b %USERPROFILE%\Documents\GitHub\eaglep3\Utilities\DownloadLogsFromS3.py --loco 4054 --day 2017-07-29</v>
      </c>
      <c r="AN184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23:56:15"},{"id":29,"name":"Sharepoint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825</v>
      </c>
      <c r="B185" s="7">
        <v>4053</v>
      </c>
      <c r="C185" s="21" t="s">
        <v>198</v>
      </c>
      <c r="D185" s="21" t="s">
        <v>943</v>
      </c>
      <c r="E185" s="13">
        <v>42945.735069444447</v>
      </c>
      <c r="F185" s="13">
        <v>42945.736828703702</v>
      </c>
      <c r="G185" s="7">
        <v>1</v>
      </c>
      <c r="H185" s="21" t="s">
        <v>947</v>
      </c>
      <c r="I185" s="13">
        <v>42945.747395833336</v>
      </c>
      <c r="J185" s="7">
        <v>0</v>
      </c>
      <c r="K185" s="89" t="str">
        <f t="shared" si="48"/>
        <v>4053/4054</v>
      </c>
      <c r="L185" s="21" t="str">
        <f>VLOOKUP(A185,'Trips&amp;Operators'!$C$1:$G$99999,5,FALSE)</f>
        <v>MCREYNOLDS KYLE</v>
      </c>
      <c r="M185" s="6">
        <f t="shared" si="49"/>
        <v>1.0567129633272998E-2</v>
      </c>
      <c r="N185" s="7">
        <f t="shared" si="68"/>
        <v>15.216666671913117</v>
      </c>
      <c r="O185" s="7"/>
      <c r="P185" s="7"/>
      <c r="Q185" s="22"/>
      <c r="R185" s="170"/>
      <c r="S185" s="213">
        <f t="shared" si="69"/>
        <v>1</v>
      </c>
      <c r="T185" s="195" t="str">
        <f t="shared" si="50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51"/>
        <v>https://d0f6bd738d7f1b3e5a7ca70fe4ff75f0.us-east-1.aws.found.io/app/kibana#/discover/Steve-Slow-Train-Analysis-(2080s-and-2083s)?_g=(refreshInterval:(display:Off,pause:!f,section:0,value:0),time:(from:'2017-07-29T16:38:30-0600',mode:absolute,to:'2017-07-29T18:56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5" s="197" t="str">
        <f>IF(AA185&lt;VLOOKUP(AG185,Variables!$AC$3:$AD$8,2,FALSE),"Y","N")</f>
        <v>N</v>
      </c>
      <c r="X185" s="197">
        <f t="shared" si="67"/>
        <v>1</v>
      </c>
      <c r="Y185" s="197">
        <f t="shared" si="53"/>
        <v>5.8647</v>
      </c>
      <c r="Z185" s="197">
        <f t="shared" si="54"/>
        <v>7.0300000000000001E-2</v>
      </c>
      <c r="AA185" s="197">
        <f t="shared" si="55"/>
        <v>5.7944000000000004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56"/>
        <v>1824</v>
      </c>
      <c r="AE185" s="77" t="str">
        <f t="shared" si="57"/>
        <v>aws s3 cp s3://rtdc.mdm.uploadarchive.raw/RTDC4053/ "%USERPROFILE%\AppData\Local\Temp\OnboardLogs"\RTDC4053\2017-07-29 --exclude "*" --recursive --include "*20170729*" &amp; "%USERPROFILE%\Documents\GitHub\mrs-test-scripts\Headless Mode &amp; Sideloading\WalkAndUnGZ.bat" "%USERPROFILE%\AppData\Local\Temp\OnboardLogs"\RTDC4053\2017-07-29 &amp; aws s3 cp s3://rtdc.mdm.uploadarchive.raw/RTDC4053/ "%USERPROFILE%\AppData\Local\Temp\OnboardLogs"\RTDC4053\2017-07-30 --exclude "*" --recursive --include "*20170730*" &amp; "%USERPROFILE%\Documents\GitHub\mrs-test-scripts\Headless Mode &amp; Sideloading\WalkAndUnGZ.bat" "%USERPROFILE%\AppData\Local\Temp\OnboardLogs"\RTDC4053\2017-07-30</v>
      </c>
      <c r="AF185" s="74" t="str">
        <f t="shared" si="58"/>
        <v>"C:\Program Files (x86)\AstroGrep\AstroGrep.exe" /e /r /s /spath="%USERPROFILE%\AppData\Local\Temp\OnboardLogs" /stypes="app*4053*20170729*" /stext=" 23:.+((SYSTEM_STATE.+slice.+state.+changed )|(ment ac)|(multiple cpu faults)|(system.+state.+changed )|(\[timeout)|(PRM\|1\|D)|(kpr)|(kdp)|(train st.+moving)|(\|lc)|(penalty))"</v>
      </c>
      <c r="AG185" s="209" t="str">
        <f t="shared" si="59"/>
        <v>NW</v>
      </c>
      <c r="AH185" s="78" t="str">
        <f t="shared" si="60"/>
        <v>"%USERPROFILE%\Documents\GitHub\eaglep3\Utilities\RefineRTDCRunTimes.py" --tripid 1824-29 --locoid 4053 --swversion DE.1.0.9.0 --startMP 300:58647 --initTime 2017-07-29T17:38:30 --startdatetime 2017-07-29T17:41:02 --delay 1 --endMP 204:703 --enddatetime 2017-07-29T17:56:15 --enforcementcount 0 &gt;&gt;C:\Users\stu\Documents\GitHub\eaglep3-reporting\EC\2017-07-29-refined-times.txt</v>
      </c>
      <c r="AI185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{"issue":{"subject":"","project_id":79,"tracker_id":40,"status_id":1,"priority_id":2,"assigned_to_id":23,"start_date":"2017-07-29","description":"","custom_fields":[{"id":1,"name":"Subdivision","value":"NW"},{"id":4,"name":"Milepost","value":"0.0703"},{"id":17,"name":"Train ID","value":"1824-29"},{"id":16,"name":"Locomotive ID","value":"4053"},{"id":130,"name":"Impact","value":""},{"id":150,"name":"Time of Event (Mountain Time)","value":"17:56:15"},{"id":151,"name":"Denver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62"/>
        <v>start /low /b %USERPROFILE%\Documents\GitHub\eaglep3\Utilities\DownloadLogsFromS3.py --loco 4053 --day 2017-07-29</v>
      </c>
      <c r="AN185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23:56:15"},{"id":29,"name":"Sharepoint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832</v>
      </c>
      <c r="B186" s="7">
        <v>4054</v>
      </c>
      <c r="C186" s="21" t="s">
        <v>198</v>
      </c>
      <c r="D186" s="21" t="s">
        <v>471</v>
      </c>
      <c r="E186" s="13">
        <v>42945.76053240741</v>
      </c>
      <c r="F186" s="13">
        <v>42945.764733796299</v>
      </c>
      <c r="G186" s="7">
        <v>1</v>
      </c>
      <c r="H186" s="21" t="s">
        <v>948</v>
      </c>
      <c r="I186" s="13">
        <v>42945.774398148147</v>
      </c>
      <c r="J186" s="7">
        <v>0</v>
      </c>
      <c r="K186" s="89" t="str">
        <f t="shared" si="48"/>
        <v>4053/4054</v>
      </c>
      <c r="L186" s="21" t="str">
        <f>VLOOKUP(A186,'Trips&amp;Operators'!$C$1:$G$99999,5,FALSE)</f>
        <v>MCREYNOLDS KYLE</v>
      </c>
      <c r="M186" s="6">
        <f t="shared" si="49"/>
        <v>9.6643518481869251E-3</v>
      </c>
      <c r="N186" s="7">
        <f t="shared" si="68"/>
        <v>13.916666661389172</v>
      </c>
      <c r="O186" s="7"/>
      <c r="P186" s="7"/>
      <c r="Q186" s="22"/>
      <c r="R186" s="170"/>
      <c r="S186" s="213">
        <f t="shared" si="69"/>
        <v>1</v>
      </c>
      <c r="T186" s="195" t="str">
        <f t="shared" si="50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51"/>
        <v>https://d0f6bd738d7f1b3e5a7ca70fe4ff75f0.us-east-1.aws.found.io/app/kibana#/discover/Steve-Slow-Train-Analysis-(2080s-and-2083s)?_g=(refreshInterval:(display:Off,pause:!f,section:0,value:0),time:(from:'2017-07-29T17:15:10-0600',mode:absolute,to:'2017-07-29T19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6" s="197" t="str">
        <f>IF(AA186&lt;VLOOKUP(AG186,Variables!$AC$3:$AD$8,2,FALSE),"Y","N")</f>
        <v>N</v>
      </c>
      <c r="X186" s="197">
        <f t="shared" si="67"/>
        <v>1</v>
      </c>
      <c r="Y186" s="197">
        <f t="shared" si="53"/>
        <v>9.8799999999999999E-2</v>
      </c>
      <c r="Z186" s="197">
        <f t="shared" si="54"/>
        <v>5.8930999999999996</v>
      </c>
      <c r="AA186" s="197">
        <f t="shared" si="55"/>
        <v>5.7942999999999998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56"/>
        <v>1825</v>
      </c>
      <c r="AE186" s="77" t="str">
        <f t="shared" si="57"/>
        <v>aws s3 cp s3://rtdc.mdm.uploadarchive.raw/RTDC4054/ "%USERPROFILE%\AppData\Local\Temp\OnboardLogs"\RTDC4054\2017-07-29 --exclude "*" --recursive --include "*20170729*" &amp; "%USERPROFILE%\Documents\GitHub\mrs-test-scripts\Headless Mode &amp; Sideloading\WalkAndUnGZ.bat" "%USERPROFILE%\AppData\Local\Temp\OnboardLogs"\RTDC4054\2017-07-29 &amp; aws s3 cp s3://rtdc.mdm.uploadarchive.raw/RTDC4054/ "%USERPROFILE%\AppData\Local\Temp\OnboardLogs"\RTDC4054\2017-07-30 --exclude "*" --recursive --include "*20170730*" &amp; "%USERPROFILE%\Documents\GitHub\mrs-test-scripts\Headless Mode &amp; Sideloading\WalkAndUnGZ.bat" "%USERPROFILE%\AppData\Local\Temp\OnboardLogs"\RTDC4054\2017-07-30</v>
      </c>
      <c r="AF186" s="74" t="str">
        <f t="shared" si="58"/>
        <v>"C:\Program Files (x86)\AstroGrep\AstroGrep.exe" /e /r /s /spath="%USERPROFILE%\AppData\Local\Temp\OnboardLogs" /stypes="app*4054*20170730*" /stext=" 00:.+((SYSTEM_STATE.+slice.+state.+changed )|(ment ac)|(multiple cpu faults)|(system.+state.+changed )|(\[timeout)|(PRM\|1\|D)|(kpr)|(kdp)|(train st.+moving)|(\|lc)|(penalty))"</v>
      </c>
      <c r="AG186" s="209" t="str">
        <f t="shared" si="59"/>
        <v>NW</v>
      </c>
      <c r="AH186" s="78" t="str">
        <f t="shared" si="60"/>
        <v>"%USERPROFILE%\Documents\GitHub\eaglep3\Utilities\RefineRTDCRunTimes.py" --tripid 1825-29 --locoid 4054 --swversion DE.1.0.9.0 --startMP 204:988 --initTime 2017-07-29T18:15:10 --startdatetime 2017-07-29T18:21:13 --delay 1 --endMP 300:58931 --enddatetime 2017-07-29T18:35:08 --enforcementcount 0 &gt;&gt;C:\Users\stu\Documents\GitHub\eaglep3-reporting\EC\2017-07-29-refined-times.txt</v>
      </c>
      <c r="AI186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{"issue":{"subject":"","project_id":79,"tracker_id":40,"status_id":1,"priority_id":2,"assigned_to_id":23,"start_date":"2017-07-29","description":"","custom_fields":[{"id":1,"name":"Subdivision","value":"NW"},{"id":4,"name":"Milepost","value":"5.8931"},{"id":17,"name":"Train ID","value":"1825-29"},{"id":16,"name":"Locomotive ID","value":"4054"},{"id":130,"name":"Impact","value":""},{"id":150,"name":"Time of Event (Mountain Time)","value":"18:35:08"},{"id":151,"name":"Denver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62"/>
        <v>start /low /b %USERPROFILE%\Documents\GitHub\eaglep3\Utilities\DownloadLogsFromS3.py --loco 4054 --day 2017-07-29</v>
      </c>
      <c r="AN186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00:35:08"},{"id":29,"name":"Sharepoint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s="20" customFormat="1" x14ac:dyDescent="0.25">
      <c r="A187" s="32" t="s">
        <v>835</v>
      </c>
      <c r="B187" s="7">
        <v>4053</v>
      </c>
      <c r="C187" s="21" t="s">
        <v>198</v>
      </c>
      <c r="D187" s="21" t="s">
        <v>949</v>
      </c>
      <c r="E187" s="13">
        <v>42945.776296296295</v>
      </c>
      <c r="F187" s="13">
        <v>42945.778298611112</v>
      </c>
      <c r="G187" s="7">
        <v>1</v>
      </c>
      <c r="H187" s="21" t="s">
        <v>950</v>
      </c>
      <c r="I187" s="13">
        <v>42945.788425925923</v>
      </c>
      <c r="J187" s="7">
        <v>0</v>
      </c>
      <c r="K187" s="89" t="str">
        <f t="shared" si="48"/>
        <v>4053/4054</v>
      </c>
      <c r="L187" s="21" t="str">
        <f>VLOOKUP(A187,'Trips&amp;Operators'!$C$1:$G$99999,5,FALSE)</f>
        <v>MCREYNOLDS KYLE</v>
      </c>
      <c r="M187" s="6">
        <f t="shared" si="49"/>
        <v>1.0127314810233656E-2</v>
      </c>
      <c r="N187" s="7">
        <f t="shared" si="68"/>
        <v>14.583333326736465</v>
      </c>
      <c r="O187" s="7"/>
      <c r="P187" s="7"/>
      <c r="Q187" s="22"/>
      <c r="R187" s="170"/>
      <c r="S187" s="213">
        <f t="shared" si="69"/>
        <v>1</v>
      </c>
      <c r="T187" s="195" t="str">
        <f t="shared" si="50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51"/>
        <v>https://d0f6bd738d7f1b3e5a7ca70fe4ff75f0.us-east-1.aws.found.io/app/kibana#/discover/Steve-Slow-Train-Analysis-(2080s-and-2083s)?_g=(refreshInterval:(display:Off,pause:!f,section:0,value:0),time:(from:'2017-07-29T17:37:52-0600',mode:absolute,to:'2017-07-29T19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7" s="197" t="str">
        <f>IF(AA187&lt;VLOOKUP(AG187,Variables!$AC$3:$AD$8,2,FALSE),"Y","N")</f>
        <v>N</v>
      </c>
      <c r="X187" s="197">
        <f t="shared" si="67"/>
        <v>1</v>
      </c>
      <c r="Y187" s="197">
        <f t="shared" si="53"/>
        <v>5.8624000000000001</v>
      </c>
      <c r="Z187" s="197">
        <f t="shared" si="54"/>
        <v>7.0499999999999993E-2</v>
      </c>
      <c r="AA187" s="197">
        <f t="shared" si="55"/>
        <v>5.7919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56"/>
        <v>1826</v>
      </c>
      <c r="AE187" s="77" t="str">
        <f t="shared" si="57"/>
        <v>aws s3 cp s3://rtdc.mdm.uploadarchive.raw/RTDC4053/ "%USERPROFILE%\AppData\Local\Temp\OnboardLogs"\RTDC4053\2017-07-29 --exclude "*" --recursive --include "*20170729*" &amp; "%USERPROFILE%\Documents\GitHub\mrs-test-scripts\Headless Mode &amp; Sideloading\WalkAndUnGZ.bat" "%USERPROFILE%\AppData\Local\Temp\OnboardLogs"\RTDC4053\2017-07-29 &amp; aws s3 cp s3://rtdc.mdm.uploadarchive.raw/RTDC4053/ "%USERPROFILE%\AppData\Local\Temp\OnboardLogs"\RTDC4053\2017-07-30 --exclude "*" --recursive --include "*20170730*" &amp; "%USERPROFILE%\Documents\GitHub\mrs-test-scripts\Headless Mode &amp; Sideloading\WalkAndUnGZ.bat" "%USERPROFILE%\AppData\Local\Temp\OnboardLogs"\RTDC4053\2017-07-30</v>
      </c>
      <c r="AF187" s="74" t="str">
        <f t="shared" si="58"/>
        <v>"C:\Program Files (x86)\AstroGrep\AstroGrep.exe" /e /r /s /spath="%USERPROFILE%\AppData\Local\Temp\OnboardLogs" /stypes="app*4053*20170730*" /stext=" 00:.+((SYSTEM_STATE.+slice.+state.+changed )|(ment ac)|(multiple cpu faults)|(system.+state.+changed )|(\[timeout)|(PRM\|1\|D)|(kpr)|(kdp)|(train st.+moving)|(\|lc)|(penalty))"</v>
      </c>
      <c r="AG187" s="209" t="str">
        <f t="shared" si="59"/>
        <v>NW</v>
      </c>
      <c r="AH187" s="78" t="str">
        <f t="shared" si="60"/>
        <v>"%USERPROFILE%\Documents\GitHub\eaglep3\Utilities\RefineRTDCRunTimes.py" --tripid 1826-29 --locoid 4053 --swversion DE.1.0.9.0 --startMP 300:58624 --initTime 2017-07-29T18:37:52 --startdatetime 2017-07-29T18:40:45 --delay 1 --endMP 204:705 --enddatetime 2017-07-29T18:55:20 --enforcementcount 0 &gt;&gt;C:\Users\stu\Documents\GitHub\eaglep3-reporting\EC\2017-07-29-refined-times.txt</v>
      </c>
      <c r="AI187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{"issue":{"subject":"","project_id":79,"tracker_id":40,"status_id":1,"priority_id":2,"assigned_to_id":23,"start_date":"2017-07-29","description":"","custom_fields":[{"id":1,"name":"Subdivision","value":"NW"},{"id":4,"name":"Milepost","value":"0.0705"},{"id":17,"name":"Train ID","value":"1826-29"},{"id":16,"name":"Locomotive ID","value":"4053"},{"id":130,"name":"Impact","value":""},{"id":150,"name":"Time of Event (Mountain Time)","value":"18:55:20"},{"id":151,"name":"Denver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62"/>
        <v>start /low /b %USERPROFILE%\Documents\GitHub\eaglep3\Utilities\DownloadLogsFromS3.py --loco 4053 --day 2017-07-29</v>
      </c>
      <c r="AN187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00:55:20"},{"id":29,"name":"Sharepoint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2" t="s">
        <v>839</v>
      </c>
      <c r="B188" s="7">
        <v>4054</v>
      </c>
      <c r="C188" s="21" t="s">
        <v>198</v>
      </c>
      <c r="D188" s="21" t="s">
        <v>630</v>
      </c>
      <c r="E188" s="13">
        <v>42945.789884259262</v>
      </c>
      <c r="F188" s="13">
        <v>42945.80641203704</v>
      </c>
      <c r="G188" s="7">
        <v>1</v>
      </c>
      <c r="H188" s="21" t="s">
        <v>951</v>
      </c>
      <c r="I188" s="13">
        <v>42945.816018518519</v>
      </c>
      <c r="J188" s="7">
        <v>0</v>
      </c>
      <c r="K188" s="89" t="str">
        <f t="shared" si="48"/>
        <v>4053/4054</v>
      </c>
      <c r="L188" s="21" t="str">
        <f>VLOOKUP(A188,'Trips&amp;Operators'!$C$1:$G$99999,5,FALSE)</f>
        <v>MCREYNOLDS KYLE</v>
      </c>
      <c r="M188" s="6">
        <f t="shared" si="49"/>
        <v>9.6064814788405783E-3</v>
      </c>
      <c r="N188" s="7">
        <f t="shared" si="68"/>
        <v>13.833333329530433</v>
      </c>
      <c r="O188" s="7"/>
      <c r="P188" s="7"/>
      <c r="Q188" s="22"/>
      <c r="R188" s="170"/>
      <c r="S188" s="213">
        <f t="shared" si="69"/>
        <v>1</v>
      </c>
      <c r="T188" s="195" t="str">
        <f t="shared" si="50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51"/>
        <v>https://d0f6bd738d7f1b3e5a7ca70fe4ff75f0.us-east-1.aws.found.io/app/kibana#/discover/Steve-Slow-Train-Analysis-(2080s-and-2083s)?_g=(refreshInterval:(display:Off,pause:!f,section:0,value:0),time:(from:'2017-07-29T17:57:26-0600',mode:absolute,to:'2017-07-29T20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8" s="197" t="str">
        <f>IF(AA188&lt;VLOOKUP(AG188,Variables!$AC$3:$AD$8,2,FALSE),"Y","N")</f>
        <v>N</v>
      </c>
      <c r="X188" s="197">
        <f t="shared" si="67"/>
        <v>1</v>
      </c>
      <c r="Y188" s="197">
        <f t="shared" si="53"/>
        <v>9.8299999999999998E-2</v>
      </c>
      <c r="Z188" s="197">
        <f t="shared" si="54"/>
        <v>5.8945999999999996</v>
      </c>
      <c r="AA188" s="197">
        <f t="shared" si="55"/>
        <v>5.7962999999999996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56"/>
        <v>1827</v>
      </c>
      <c r="AE188" s="77" t="str">
        <f t="shared" si="57"/>
        <v>aws s3 cp s3://rtdc.mdm.uploadarchive.raw/RTDC4054/ "%USERPROFILE%\AppData\Local\Temp\OnboardLogs"\RTDC4054\2017-07-29 --exclude "*" --recursive --include "*20170729*" &amp; "%USERPROFILE%\Documents\GitHub\mrs-test-scripts\Headless Mode &amp; Sideloading\WalkAndUnGZ.bat" "%USERPROFILE%\AppData\Local\Temp\OnboardLogs"\RTDC4054\2017-07-29 &amp; aws s3 cp s3://rtdc.mdm.uploadarchive.raw/RTDC4054/ "%USERPROFILE%\AppData\Local\Temp\OnboardLogs"\RTDC4054\2017-07-30 --exclude "*" --recursive --include "*20170730*" &amp; "%USERPROFILE%\Documents\GitHub\mrs-test-scripts\Headless Mode &amp; Sideloading\WalkAndUnGZ.bat" "%USERPROFILE%\AppData\Local\Temp\OnboardLogs"\RTDC4054\2017-07-30</v>
      </c>
      <c r="AF188" s="74" t="str">
        <f t="shared" si="58"/>
        <v>"C:\Program Files (x86)\AstroGrep\AstroGrep.exe" /e /r /s /spath="%USERPROFILE%\AppData\Local\Temp\OnboardLogs" /stypes="app*4054*20170730*" /stext=" 01:.+((SYSTEM_STATE.+slice.+state.+changed )|(ment ac)|(multiple cpu faults)|(system.+state.+changed )|(\[timeout)|(PRM\|1\|D)|(kpr)|(kdp)|(train st.+moving)|(\|lc)|(penalty))"</v>
      </c>
      <c r="AG188" s="209" t="str">
        <f t="shared" si="59"/>
        <v>NW</v>
      </c>
      <c r="AH188" s="78" t="str">
        <f t="shared" si="60"/>
        <v>"%USERPROFILE%\Documents\GitHub\eaglep3\Utilities\RefineRTDCRunTimes.py" --tripid 1827-29 --locoid 4054 --swversion DE.1.0.9.0 --startMP 204:983 --initTime 2017-07-29T18:57:26 --startdatetime 2017-07-29T19:21:14 --delay 1 --endMP 300:58946 --enddatetime 2017-07-29T19:35:04 --enforcementcount 0 &gt;&gt;C:\Users\stu\Documents\GitHub\eaglep3-reporting\EC\2017-07-29-refined-times.txt</v>
      </c>
      <c r="AI188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{"issue":{"subject":"","project_id":79,"tracker_id":40,"status_id":1,"priority_id":2,"assigned_to_id":23,"start_date":"2017-07-29","description":"","custom_fields":[{"id":1,"name":"Subdivision","value":"NW"},{"id":4,"name":"Milepost","value":"5.8946"},{"id":17,"name":"Train ID","value":"1827-29"},{"id":16,"name":"Locomotive ID","value":"4054"},{"id":130,"name":"Impact","value":""},{"id":150,"name":"Time of Event (Mountain Time)","value":"19:35:04"},{"id":151,"name":"Denver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62"/>
        <v>start /low /b %USERPROFILE%\Documents\GitHub\eaglep3\Utilities\DownloadLogsFromS3.py --loco 4054 --day 2017-07-29</v>
      </c>
      <c r="AN188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01:35:04"},{"id":29,"name":"Sharepoint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844</v>
      </c>
      <c r="B189" s="7">
        <v>4053</v>
      </c>
      <c r="C189" s="21" t="s">
        <v>198</v>
      </c>
      <c r="D189" s="21" t="s">
        <v>481</v>
      </c>
      <c r="E189" s="13">
        <v>42945.817430555559</v>
      </c>
      <c r="F189" s="13">
        <v>42945.819803240738</v>
      </c>
      <c r="G189" s="7">
        <v>1</v>
      </c>
      <c r="H189" s="21" t="s">
        <v>952</v>
      </c>
      <c r="I189" s="13">
        <v>42945.830405092594</v>
      </c>
      <c r="J189" s="7">
        <v>0</v>
      </c>
      <c r="K189" s="89" t="str">
        <f t="shared" si="48"/>
        <v>4053/4054</v>
      </c>
      <c r="L189" s="21" t="str">
        <f>VLOOKUP(A189,'Trips&amp;Operators'!$C$1:$G$99999,5,FALSE)</f>
        <v>MCREYNOLDS KYLE</v>
      </c>
      <c r="M189" s="6">
        <f t="shared" si="49"/>
        <v>1.0601851856335998E-2</v>
      </c>
      <c r="N189" s="7">
        <f t="shared" si="68"/>
        <v>15.266666673123837</v>
      </c>
      <c r="O189" s="7"/>
      <c r="P189" s="7"/>
      <c r="Q189" s="22"/>
      <c r="R189" s="170"/>
      <c r="S189" s="213">
        <f t="shared" si="69"/>
        <v>1</v>
      </c>
      <c r="T189" s="195" t="str">
        <f t="shared" si="50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51"/>
        <v>https://d0f6bd738d7f1b3e5a7ca70fe4ff75f0.us-east-1.aws.found.io/app/kibana#/discover/Steve-Slow-Train-Analysis-(2080s-and-2083s)?_g=(refreshInterval:(display:Off,pause:!f,section:0,value:0),time:(from:'2017-07-29T18:37:06-0600',mode:absolute,to:'2017-07-29T20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9" s="197" t="str">
        <f>IF(AA189&lt;VLOOKUP(AG189,Variables!$AC$3:$AD$8,2,FALSE),"Y","N")</f>
        <v>N</v>
      </c>
      <c r="X189" s="197">
        <f t="shared" si="67"/>
        <v>1</v>
      </c>
      <c r="Y189" s="197">
        <f t="shared" si="53"/>
        <v>5.8635999999999999</v>
      </c>
      <c r="Z189" s="197">
        <f t="shared" si="54"/>
        <v>7.17E-2</v>
      </c>
      <c r="AA189" s="197">
        <f t="shared" si="55"/>
        <v>5.7919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56"/>
        <v>1828</v>
      </c>
      <c r="AE189" s="77" t="str">
        <f t="shared" si="57"/>
        <v>aws s3 cp s3://rtdc.mdm.uploadarchive.raw/RTDC4053/ "%USERPROFILE%\AppData\Local\Temp\OnboardLogs"\RTDC4053\2017-07-29 --exclude "*" --recursive --include "*20170729*" &amp; "%USERPROFILE%\Documents\GitHub\mrs-test-scripts\Headless Mode &amp; Sideloading\WalkAndUnGZ.bat" "%USERPROFILE%\AppData\Local\Temp\OnboardLogs"\RTDC4053\2017-07-29 &amp; aws s3 cp s3://rtdc.mdm.uploadarchive.raw/RTDC4053/ "%USERPROFILE%\AppData\Local\Temp\OnboardLogs"\RTDC4053\2017-07-30 --exclude "*" --recursive --include "*20170730*" &amp; "%USERPROFILE%\Documents\GitHub\mrs-test-scripts\Headless Mode &amp; Sideloading\WalkAndUnGZ.bat" "%USERPROFILE%\AppData\Local\Temp\OnboardLogs"\RTDC4053\2017-07-30</v>
      </c>
      <c r="AF189" s="74" t="str">
        <f t="shared" si="58"/>
        <v>"C:\Program Files (x86)\AstroGrep\AstroGrep.exe" /e /r /s /spath="%USERPROFILE%\AppData\Local\Temp\OnboardLogs" /stypes="app*4053*20170730*" /stext=" 01:.+((SYSTEM_STATE.+slice.+state.+changed )|(ment ac)|(multiple cpu faults)|(system.+state.+changed )|(\[timeout)|(PRM\|1\|D)|(kpr)|(kdp)|(train st.+moving)|(\|lc)|(penalty))"</v>
      </c>
      <c r="AG189" s="209" t="str">
        <f t="shared" si="59"/>
        <v>NW</v>
      </c>
      <c r="AH189" s="78" t="str">
        <f t="shared" si="60"/>
        <v>"%USERPROFILE%\Documents\GitHub\eaglep3\Utilities\RefineRTDCRunTimes.py" --tripid 1828-29 --locoid 4053 --swversion DE.1.0.9.0 --startMP 300:58636 --initTime 2017-07-29T19:37:06 --startdatetime 2017-07-29T19:40:31 --delay 1 --endMP 204:717 --enddatetime 2017-07-29T19:55:47 --enforcementcount 0 &gt;&gt;C:\Users\stu\Documents\GitHub\eaglep3-reporting\EC\2017-07-29-refined-times.txt</v>
      </c>
      <c r="AI189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{"issue":{"subject":"","project_id":79,"tracker_id":40,"status_id":1,"priority_id":2,"assigned_to_id":23,"start_date":"2017-07-29","description":"","custom_fields":[{"id":1,"name":"Subdivision","value":"NW"},{"id":4,"name":"Milepost","value":"0.0717"},{"id":17,"name":"Train ID","value":"1828-29"},{"id":16,"name":"Locomotive ID","value":"4053"},{"id":130,"name":"Impact","value":""},{"id":150,"name":"Time of Event (Mountain Time)","value":"19:55:47"},{"id":151,"name":"Denver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62"/>
        <v>start /low /b %USERPROFILE%\Documents\GitHub\eaglep3\Utilities\DownloadLogsFromS3.py --loco 4053 --day 2017-07-29</v>
      </c>
      <c r="AN189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01:55:47"},{"id":29,"name":"Sharepoint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847</v>
      </c>
      <c r="B190" s="7">
        <v>4054</v>
      </c>
      <c r="C190" s="21" t="s">
        <v>198</v>
      </c>
      <c r="D190" s="21" t="s">
        <v>953</v>
      </c>
      <c r="E190" s="13">
        <v>42945.831863425927</v>
      </c>
      <c r="F190" s="13">
        <v>42945.848078703704</v>
      </c>
      <c r="G190" s="7">
        <v>1</v>
      </c>
      <c r="H190" s="21" t="s">
        <v>954</v>
      </c>
      <c r="I190" s="13">
        <v>42945.857685185183</v>
      </c>
      <c r="J190" s="7">
        <v>0</v>
      </c>
      <c r="K190" s="89" t="str">
        <f t="shared" si="48"/>
        <v>4053/4054</v>
      </c>
      <c r="L190" s="21" t="str">
        <f>VLOOKUP(A190,'Trips&amp;Operators'!$C$1:$G$99999,5,FALSE)</f>
        <v>MCREYNOLDS KYLE</v>
      </c>
      <c r="M190" s="6">
        <f t="shared" si="49"/>
        <v>9.6064814788405783E-3</v>
      </c>
      <c r="N190" s="7">
        <f t="shared" si="68"/>
        <v>13.833333329530433</v>
      </c>
      <c r="O190" s="7"/>
      <c r="P190" s="7"/>
      <c r="Q190" s="22"/>
      <c r="R190" s="170"/>
      <c r="S190" s="213">
        <f t="shared" si="69"/>
        <v>1</v>
      </c>
      <c r="T190" s="195" t="str">
        <f t="shared" si="50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51"/>
        <v>https://d0f6bd738d7f1b3e5a7ca70fe4ff75f0.us-east-1.aws.found.io/app/kibana#/discover/Steve-Slow-Train-Analysis-(2080s-and-2083s)?_g=(refreshInterval:(display:Off,pause:!f,section:0,value:0),time:(from:'2017-07-29T18:57:53-0600',mode:absolute,to:'2017-07-29T21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0" s="197" t="str">
        <f>IF(AA190&lt;VLOOKUP(AG190,Variables!$AC$3:$AD$8,2,FALSE),"Y","N")</f>
        <v>N</v>
      </c>
      <c r="X190" s="197">
        <f t="shared" si="67"/>
        <v>1</v>
      </c>
      <c r="Y190" s="197">
        <f t="shared" si="53"/>
        <v>0.1013</v>
      </c>
      <c r="Z190" s="197">
        <f t="shared" si="54"/>
        <v>5.8943000000000003</v>
      </c>
      <c r="AA190" s="197">
        <f t="shared" si="55"/>
        <v>5.7930000000000001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56"/>
        <v>1829</v>
      </c>
      <c r="AE190" s="77" t="str">
        <f t="shared" si="57"/>
        <v>aws s3 cp s3://rtdc.mdm.uploadarchive.raw/RTDC4054/ "%USERPROFILE%\AppData\Local\Temp\OnboardLogs"\RTDC4054\2017-07-29 --exclude "*" --recursive --include "*20170729*" &amp; "%USERPROFILE%\Documents\GitHub\mrs-test-scripts\Headless Mode &amp; Sideloading\WalkAndUnGZ.bat" "%USERPROFILE%\AppData\Local\Temp\OnboardLogs"\RTDC4054\2017-07-29 &amp; aws s3 cp s3://rtdc.mdm.uploadarchive.raw/RTDC4054/ "%USERPROFILE%\AppData\Local\Temp\OnboardLogs"\RTDC4054\2017-07-30 --exclude "*" --recursive --include "*20170730*" &amp; "%USERPROFILE%\Documents\GitHub\mrs-test-scripts\Headless Mode &amp; Sideloading\WalkAndUnGZ.bat" "%USERPROFILE%\AppData\Local\Temp\OnboardLogs"\RTDC4054\2017-07-30</v>
      </c>
      <c r="AF190" s="74" t="str">
        <f t="shared" si="58"/>
        <v>"C:\Program Files (x86)\AstroGrep\AstroGrep.exe" /e /r /s /spath="%USERPROFILE%\AppData\Local\Temp\OnboardLogs" /stypes="app*4054*20170730*" /stext=" 02:.+((SYSTEM_STATE.+slice.+state.+changed )|(ment ac)|(multiple cpu faults)|(system.+state.+changed )|(\[timeout)|(PRM\|1\|D)|(kpr)|(kdp)|(train st.+moving)|(\|lc)|(penalty))"</v>
      </c>
      <c r="AG190" s="209" t="str">
        <f t="shared" si="59"/>
        <v>NW</v>
      </c>
      <c r="AH190" s="78" t="str">
        <f t="shared" si="60"/>
        <v>"%USERPROFILE%\Documents\GitHub\eaglep3\Utilities\RefineRTDCRunTimes.py" --tripid 1829-29 --locoid 4054 --swversion DE.1.0.9.0 --startMP 204:1013 --initTime 2017-07-29T19:57:53 --startdatetime 2017-07-29T20:21:14 --delay 1 --endMP 300:58943 --enddatetime 2017-07-29T20:35:04 --enforcementcount 0 &gt;&gt;C:\Users\stu\Documents\GitHub\eaglep3-reporting\EC\2017-07-29-refined-times.txt</v>
      </c>
      <c r="AI190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{"issue":{"subject":"","project_id":79,"tracker_id":40,"status_id":1,"priority_id":2,"assigned_to_id":23,"start_date":"2017-07-29","description":"","custom_fields":[{"id":1,"name":"Subdivision","value":"NW"},{"id":4,"name":"Milepost","value":"5.8943"},{"id":17,"name":"Train ID","value":"1829-29"},{"id":16,"name":"Locomotive ID","value":"4054"},{"id":130,"name":"Impact","value":""},{"id":150,"name":"Time of Event (Mountain Time)","value":"20:35:04"},{"id":151,"name":"Denver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62"/>
        <v>start /low /b %USERPROFILE%\Documents\GitHub\eaglep3\Utilities\DownloadLogsFromS3.py --loco 4054 --day 2017-07-29</v>
      </c>
      <c r="AN190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02:35:04"},{"id":29,"name":"Sharepoint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s="20" customFormat="1" x14ac:dyDescent="0.25">
      <c r="A191" s="32" t="s">
        <v>850</v>
      </c>
      <c r="B191" s="7">
        <v>4053</v>
      </c>
      <c r="C191" s="21" t="s">
        <v>198</v>
      </c>
      <c r="D191" s="21" t="s">
        <v>470</v>
      </c>
      <c r="E191" s="13">
        <v>42945.859340277777</v>
      </c>
      <c r="F191" s="13">
        <v>42945.861666666664</v>
      </c>
      <c r="G191" s="7">
        <v>0</v>
      </c>
      <c r="H191" s="21" t="s">
        <v>956</v>
      </c>
      <c r="I191" s="13">
        <v>42945.871527777781</v>
      </c>
      <c r="J191" s="7">
        <v>0</v>
      </c>
      <c r="K191" s="89" t="str">
        <f t="shared" si="48"/>
        <v>4053/4054</v>
      </c>
      <c r="L191" s="21" t="str">
        <f>VLOOKUP(A191,'Trips&amp;Operators'!$C$1:$G$99999,5,FALSE)</f>
        <v>MCREYNOLDS KYLE</v>
      </c>
      <c r="M191" s="6">
        <f t="shared" si="49"/>
        <v>9.8611111170612276E-3</v>
      </c>
      <c r="N191" s="7">
        <f t="shared" si="68"/>
        <v>14.200000008568168</v>
      </c>
      <c r="O191" s="7"/>
      <c r="P191" s="7"/>
      <c r="Q191" s="22"/>
      <c r="R191" s="170"/>
      <c r="S191" s="213">
        <f t="shared" si="69"/>
        <v>1</v>
      </c>
      <c r="T191" s="195" t="str">
        <f t="shared" si="50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51"/>
        <v>https://d0f6bd738d7f1b3e5a7ca70fe4ff75f0.us-east-1.aws.found.io/app/kibana#/discover/Steve-Slow-Train-Analysis-(2080s-and-2083s)?_g=(refreshInterval:(display:Off,pause:!f,section:0,value:0),time:(from:'2017-07-29T19:37:27-0600',mode:absolute,to:'2017-07-29T21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1" s="197" t="str">
        <f>IF(AA191&lt;VLOOKUP(AG191,Variables!$AC$3:$AD$8,2,FALSE),"Y","N")</f>
        <v>N</v>
      </c>
      <c r="X191" s="197">
        <f t="shared" si="67"/>
        <v>1</v>
      </c>
      <c r="Y191" s="197">
        <f t="shared" si="53"/>
        <v>5.8625999999999996</v>
      </c>
      <c r="Z191" s="197">
        <f t="shared" si="54"/>
        <v>7.22E-2</v>
      </c>
      <c r="AA191" s="197">
        <f t="shared" si="55"/>
        <v>5.7904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56"/>
        <v>1830</v>
      </c>
      <c r="AE191" s="77" t="str">
        <f t="shared" si="57"/>
        <v>aws s3 cp s3://rtdc.mdm.uploadarchive.raw/RTDC4053/ "%USERPROFILE%\AppData\Local\Temp\OnboardLogs"\RTDC4053\2017-07-29 --exclude "*" --recursive --include "*20170729*" &amp; "%USERPROFILE%\Documents\GitHub\mrs-test-scripts\Headless Mode &amp; Sideloading\WalkAndUnGZ.bat" "%USERPROFILE%\AppData\Local\Temp\OnboardLogs"\RTDC4053\2017-07-29 &amp; aws s3 cp s3://rtdc.mdm.uploadarchive.raw/RTDC4053/ "%USERPROFILE%\AppData\Local\Temp\OnboardLogs"\RTDC4053\2017-07-30 --exclude "*" --recursive --include "*20170730*" &amp; "%USERPROFILE%\Documents\GitHub\mrs-test-scripts\Headless Mode &amp; Sideloading\WalkAndUnGZ.bat" "%USERPROFILE%\AppData\Local\Temp\OnboardLogs"\RTDC4053\2017-07-30</v>
      </c>
      <c r="AF191" s="74" t="str">
        <f t="shared" si="58"/>
        <v>"C:\Program Files (x86)\AstroGrep\AstroGrep.exe" /e /r /s /spath="%USERPROFILE%\AppData\Local\Temp\OnboardLogs" /stypes="app*4053*20170730*" /stext=" 02:.+((SYSTEM_STATE.+slice.+state.+changed )|(ment ac)|(multiple cpu faults)|(system.+state.+changed )|(\[timeout)|(PRM\|1\|D)|(kpr)|(kdp)|(train st.+moving)|(\|lc)|(penalty))"</v>
      </c>
      <c r="AG191" s="209" t="str">
        <f t="shared" si="59"/>
        <v>NW</v>
      </c>
      <c r="AH191" s="78" t="str">
        <f t="shared" si="60"/>
        <v>"%USERPROFILE%\Documents\GitHub\eaglep3\Utilities\RefineRTDCRunTimes.py" --tripid 1830-29 --locoid 4053 --swversion DE.1.0.9.0 --startMP 300:58626 --initTime 2017-07-29T20:37:27 --startdatetime 2017-07-29T20:40:48 --delay 0 --endMP 204:722 --enddatetime 2017-07-29T20:55:00 --enforcementcount 0 &gt;&gt;C:\Users\stu\Documents\GitHub\eaglep3-reporting\EC\2017-07-29-refined-times.txt</v>
      </c>
      <c r="AI191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{"issue":{"subject":"","project_id":79,"tracker_id":40,"status_id":1,"priority_id":2,"assigned_to_id":23,"start_date":"2017-07-29","description":"","custom_fields":[{"id":1,"name":"Subdivision","value":"NW"},{"id":4,"name":"Milepost","value":"0.0722"},{"id":17,"name":"Train ID","value":"1830-29"},{"id":16,"name":"Locomotive ID","value":"4053"},{"id":130,"name":"Impact","value":""},{"id":150,"name":"Time of Event (Mountain Time)","value":"20:55:00"},{"id":151,"name":"Denver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62"/>
        <v>start /low /b %USERPROFILE%\Documents\GitHub\eaglep3\Utilities\DownloadLogsFromS3.py --loco 4053 --day 2017-07-29</v>
      </c>
      <c r="AN191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02:55:00"},{"id":29,"name":"Sharepoint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853</v>
      </c>
      <c r="B192" s="7">
        <v>4054</v>
      </c>
      <c r="C192" s="21" t="s">
        <v>198</v>
      </c>
      <c r="D192" s="21" t="s">
        <v>532</v>
      </c>
      <c r="E192" s="13">
        <v>42945.886018518519</v>
      </c>
      <c r="F192" s="13">
        <v>42945.889745370368</v>
      </c>
      <c r="G192" s="7">
        <v>1</v>
      </c>
      <c r="H192" s="21" t="s">
        <v>624</v>
      </c>
      <c r="I192" s="13">
        <v>42945.89949074074</v>
      </c>
      <c r="J192" s="7">
        <v>0</v>
      </c>
      <c r="K192" s="89" t="str">
        <f t="shared" si="48"/>
        <v>4053/4054</v>
      </c>
      <c r="L192" s="21" t="str">
        <f>VLOOKUP(A192,'Trips&amp;Operators'!$C$1:$G$99999,5,FALSE)</f>
        <v>MCREYNOLDS KYLE</v>
      </c>
      <c r="M192" s="6">
        <f t="shared" si="49"/>
        <v>9.7453703710925765E-3</v>
      </c>
      <c r="N192" s="7">
        <f t="shared" si="68"/>
        <v>14.03333333437331</v>
      </c>
      <c r="O192" s="7"/>
      <c r="P192" s="7"/>
      <c r="Q192" s="22"/>
      <c r="R192" s="170"/>
      <c r="S192" s="213">
        <f t="shared" si="69"/>
        <v>1</v>
      </c>
      <c r="T192" s="195" t="str">
        <f t="shared" si="50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51"/>
        <v>https://d0f6bd738d7f1b3e5a7ca70fe4ff75f0.us-east-1.aws.found.io/app/kibana#/discover/Steve-Slow-Train-Analysis-(2080s-and-2083s)?_g=(refreshInterval:(display:Off,pause:!f,section:0,value:0),time:(from:'2017-07-29T20:15:52-0600',mode:absolute,to:'2017-07-29T22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2" s="197" t="str">
        <f>IF(AA192&lt;VLOOKUP(AG192,Variables!$AC$3:$AD$8,2,FALSE),"Y","N")</f>
        <v>N</v>
      </c>
      <c r="X192" s="197">
        <f t="shared" si="67"/>
        <v>1</v>
      </c>
      <c r="Y192" s="197">
        <f t="shared" si="53"/>
        <v>0.1004</v>
      </c>
      <c r="Z192" s="197">
        <f t="shared" si="54"/>
        <v>5.8960999999999997</v>
      </c>
      <c r="AA192" s="197">
        <f t="shared" si="55"/>
        <v>5.7957000000000001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56"/>
        <v>1831</v>
      </c>
      <c r="AE192" s="77" t="str">
        <f t="shared" si="57"/>
        <v>aws s3 cp s3://rtdc.mdm.uploadarchive.raw/RTDC4054/ "%USERPROFILE%\AppData\Local\Temp\OnboardLogs"\RTDC4054\2017-07-29 --exclude "*" --recursive --include "*20170729*" &amp; "%USERPROFILE%\Documents\GitHub\mrs-test-scripts\Headless Mode &amp; Sideloading\WalkAndUnGZ.bat" "%USERPROFILE%\AppData\Local\Temp\OnboardLogs"\RTDC4054\2017-07-29 &amp; aws s3 cp s3://rtdc.mdm.uploadarchive.raw/RTDC4054/ "%USERPROFILE%\AppData\Local\Temp\OnboardLogs"\RTDC4054\2017-07-30 --exclude "*" --recursive --include "*20170730*" &amp; "%USERPROFILE%\Documents\GitHub\mrs-test-scripts\Headless Mode &amp; Sideloading\WalkAndUnGZ.bat" "%USERPROFILE%\AppData\Local\Temp\OnboardLogs"\RTDC4054\2017-07-30</v>
      </c>
      <c r="AF192" s="74" t="str">
        <f t="shared" si="58"/>
        <v>"C:\Program Files (x86)\AstroGrep\AstroGrep.exe" /e /r /s /spath="%USERPROFILE%\AppData\Local\Temp\OnboardLogs" /stypes="app*4054*20170730*" /stext=" 03:.+((SYSTEM_STATE.+slice.+state.+changed )|(ment ac)|(multiple cpu faults)|(system.+state.+changed )|(\[timeout)|(PRM\|1\|D)|(kpr)|(kdp)|(train st.+moving)|(\|lc)|(penalty))"</v>
      </c>
      <c r="AG192" s="209" t="str">
        <f t="shared" si="59"/>
        <v>NW</v>
      </c>
      <c r="AH192" s="78" t="str">
        <f t="shared" si="60"/>
        <v>"%USERPROFILE%\Documents\GitHub\eaglep3\Utilities\RefineRTDCRunTimes.py" --tripid 1831-29 --locoid 4054 --swversion DE.1.0.9.0 --startMP 204:1004 --initTime 2017-07-29T21:15:52 --startdatetime 2017-07-29T21:21:14 --delay 1 --endMP 300:58961 --enddatetime 2017-07-29T21:35:16 --enforcementcount 0 &gt;&gt;C:\Users\stu\Documents\GitHub\eaglep3-reporting\EC\2017-07-29-refined-times.txt</v>
      </c>
      <c r="AI192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{"issue":{"subject":"","project_id":79,"tracker_id":40,"status_id":1,"priority_id":2,"assigned_to_id":23,"start_date":"2017-07-29","description":"","custom_fields":[{"id":1,"name":"Subdivision","value":"NW"},{"id":4,"name":"Milepost","value":"5.8961"},{"id":17,"name":"Train ID","value":"1831-29"},{"id":16,"name":"Locomotive ID","value":"4054"},{"id":130,"name":"Impact","value":""},{"id":150,"name":"Time of Event (Mountain Time)","value":"21:35:16"},{"id":151,"name":"Denver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62"/>
        <v>start /low /b %USERPROFILE%\Documents\GitHub\eaglep3\Utilities\DownloadLogsFromS3.py --loco 4054 --day 2017-07-29</v>
      </c>
      <c r="AN192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03:35:16"},{"id":29,"name":"Sharepoint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855</v>
      </c>
      <c r="B193" s="7">
        <v>4053</v>
      </c>
      <c r="C193" s="21" t="s">
        <v>198</v>
      </c>
      <c r="D193" s="21" t="s">
        <v>627</v>
      </c>
      <c r="E193" s="13">
        <v>42945.901087962964</v>
      </c>
      <c r="F193" s="13">
        <v>42945.903587962966</v>
      </c>
      <c r="G193" s="7">
        <v>1</v>
      </c>
      <c r="H193" s="21" t="s">
        <v>957</v>
      </c>
      <c r="I193" s="13">
        <v>42945.912939814814</v>
      </c>
      <c r="J193" s="7">
        <v>0</v>
      </c>
      <c r="K193" s="89" t="str">
        <f t="shared" si="48"/>
        <v>4053/4054</v>
      </c>
      <c r="L193" s="21" t="str">
        <f>VLOOKUP(A193,'Trips&amp;Operators'!$C$1:$G$99999,5,FALSE)</f>
        <v>MCREYNOLDS KYLE</v>
      </c>
      <c r="M193" s="6">
        <f t="shared" si="49"/>
        <v>9.3518518478958867E-3</v>
      </c>
      <c r="N193" s="7">
        <f t="shared" si="68"/>
        <v>13.466666660970077</v>
      </c>
      <c r="O193" s="7"/>
      <c r="P193" s="7"/>
      <c r="Q193" s="22"/>
      <c r="R193" s="170"/>
      <c r="S193" s="213">
        <f t="shared" si="69"/>
        <v>1</v>
      </c>
      <c r="T193" s="195" t="str">
        <f t="shared" si="50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51"/>
        <v>https://d0f6bd738d7f1b3e5a7ca70fe4ff75f0.us-east-1.aws.found.io/app/kibana#/discover/Steve-Slow-Train-Analysis-(2080s-and-2083s)?_g=(refreshInterval:(display:Off,pause:!f,section:0,value:0),time:(from:'2017-07-29T20:37:34-0600',mode:absolute,to:'2017-07-29T22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3" s="197" t="str">
        <f>IF(AA193&lt;VLOOKUP(AG193,Variables!$AC$3:$AD$8,2,FALSE),"Y","N")</f>
        <v>N</v>
      </c>
      <c r="X193" s="197">
        <f t="shared" si="67"/>
        <v>1</v>
      </c>
      <c r="Y193" s="197">
        <f t="shared" si="53"/>
        <v>5.8643000000000001</v>
      </c>
      <c r="Z193" s="197">
        <f t="shared" si="54"/>
        <v>6.5199999999999994E-2</v>
      </c>
      <c r="AA193" s="197">
        <f t="shared" si="55"/>
        <v>5.7991000000000001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56"/>
        <v>1832</v>
      </c>
      <c r="AE193" s="77" t="str">
        <f t="shared" si="57"/>
        <v>aws s3 cp s3://rtdc.mdm.uploadarchive.raw/RTDC4053/ "%USERPROFILE%\AppData\Local\Temp\OnboardLogs"\RTDC4053\2017-07-29 --exclude "*" --recursive --include "*20170729*" &amp; "%USERPROFILE%\Documents\GitHub\mrs-test-scripts\Headless Mode &amp; Sideloading\WalkAndUnGZ.bat" "%USERPROFILE%\AppData\Local\Temp\OnboardLogs"\RTDC4053\2017-07-29 &amp; aws s3 cp s3://rtdc.mdm.uploadarchive.raw/RTDC4053/ "%USERPROFILE%\AppData\Local\Temp\OnboardLogs"\RTDC4053\2017-07-30 --exclude "*" --recursive --include "*20170730*" &amp; "%USERPROFILE%\Documents\GitHub\mrs-test-scripts\Headless Mode &amp; Sideloading\WalkAndUnGZ.bat" "%USERPROFILE%\AppData\Local\Temp\OnboardLogs"\RTDC4053\2017-07-30</v>
      </c>
      <c r="AF193" s="74" t="str">
        <f t="shared" si="58"/>
        <v>"C:\Program Files (x86)\AstroGrep\AstroGrep.exe" /e /r /s /spath="%USERPROFILE%\AppData\Local\Temp\OnboardLogs" /stypes="app*4053*20170730*" /stext=" 03:.+((SYSTEM_STATE.+slice.+state.+changed )|(ment ac)|(multiple cpu faults)|(system.+state.+changed )|(\[timeout)|(PRM\|1\|D)|(kpr)|(kdp)|(train st.+moving)|(\|lc)|(penalty))"</v>
      </c>
      <c r="AG193" s="209" t="str">
        <f t="shared" si="59"/>
        <v>NW</v>
      </c>
      <c r="AH193" s="78" t="str">
        <f t="shared" si="60"/>
        <v>"%USERPROFILE%\Documents\GitHub\eaglep3\Utilities\RefineRTDCRunTimes.py" --tripid 1832-29 --locoid 4053 --swversion DE.1.0.9.0 --startMP 300:58643 --initTime 2017-07-29T21:37:34 --startdatetime 2017-07-29T21:41:10 --delay 1 --endMP 204:652 --enddatetime 2017-07-29T21:54:38 --enforcementcount 0 &gt;&gt;C:\Users\stu\Documents\GitHub\eaglep3-reporting\EC\2017-07-29-refined-times.txt</v>
      </c>
      <c r="AI193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{"issue":{"subject":"","project_id":79,"tracker_id":40,"status_id":1,"priority_id":2,"assigned_to_id":23,"start_date":"2017-07-29","description":"","custom_fields":[{"id":1,"name":"Subdivision","value":"NW"},{"id":4,"name":"Milepost","value":"0.0652"},{"id":17,"name":"Train ID","value":"1832-29"},{"id":16,"name":"Locomotive ID","value":"4053"},{"id":130,"name":"Impact","value":""},{"id":150,"name":"Time of Event (Mountain Time)","value":"21:54:38"},{"id":151,"name":"Denver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62"/>
        <v>start /low /b %USERPROFILE%\Documents\GitHub\eaglep3\Utilities\DownloadLogsFromS3.py --loco 4053 --day 2017-07-29</v>
      </c>
      <c r="AN193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03:54:38"},{"id":29,"name":"Sharepoint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858</v>
      </c>
      <c r="B194" s="7">
        <v>4054</v>
      </c>
      <c r="C194" s="21" t="s">
        <v>198</v>
      </c>
      <c r="D194" s="21" t="s">
        <v>958</v>
      </c>
      <c r="E194" s="13">
        <v>42945.92765046296</v>
      </c>
      <c r="F194" s="13">
        <v>42945.93167824074</v>
      </c>
      <c r="G194" s="7">
        <v>1</v>
      </c>
      <c r="H194" s="21" t="s">
        <v>632</v>
      </c>
      <c r="I194" s="13">
        <v>42945.941446759258</v>
      </c>
      <c r="J194" s="7">
        <v>0</v>
      </c>
      <c r="K194" s="89" t="str">
        <f t="shared" si="48"/>
        <v>4053/4054</v>
      </c>
      <c r="L194" s="21" t="str">
        <f>VLOOKUP(A194,'Trips&amp;Operators'!$C$1:$G$99999,5,FALSE)</f>
        <v>MCREYNOLDS KYLE</v>
      </c>
      <c r="M194" s="6">
        <f t="shared" si="49"/>
        <v>9.7685185173759237E-3</v>
      </c>
      <c r="N194" s="7">
        <f t="shared" si="68"/>
        <v>14.06666666502133</v>
      </c>
      <c r="O194" s="7"/>
      <c r="P194" s="7"/>
      <c r="Q194" s="22"/>
      <c r="R194" s="170"/>
      <c r="S194" s="213">
        <f t="shared" si="69"/>
        <v>1</v>
      </c>
      <c r="T194" s="195" t="str">
        <f t="shared" si="50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51"/>
        <v>https://d0f6bd738d7f1b3e5a7ca70fe4ff75f0.us-east-1.aws.found.io/app/kibana#/discover/Steve-Slow-Train-Analysis-(2080s-and-2083s)?_g=(refreshInterval:(display:Off,pause:!f,section:0,value:0),time:(from:'2017-07-29T21:15:49-0600',mode:absolute,to:'2017-07-29T23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4" s="197" t="str">
        <f>IF(AA194&lt;VLOOKUP(AG194,Variables!$AC$3:$AD$8,2,FALSE),"Y","N")</f>
        <v>N</v>
      </c>
      <c r="X194" s="197">
        <f t="shared" si="67"/>
        <v>1</v>
      </c>
      <c r="Y194" s="197">
        <f t="shared" si="53"/>
        <v>9.4299999999999995E-2</v>
      </c>
      <c r="Z194" s="197">
        <f t="shared" si="54"/>
        <v>5.8971</v>
      </c>
      <c r="AA194" s="197">
        <f t="shared" si="55"/>
        <v>5.8028000000000004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56"/>
        <v>1833</v>
      </c>
      <c r="AE194" s="77" t="str">
        <f t="shared" si="57"/>
        <v>aws s3 cp s3://rtdc.mdm.uploadarchive.raw/RTDC4054/ "%USERPROFILE%\AppData\Local\Temp\OnboardLogs"\RTDC4054\2017-07-29 --exclude "*" --recursive --include "*20170729*" &amp; "%USERPROFILE%\Documents\GitHub\mrs-test-scripts\Headless Mode &amp; Sideloading\WalkAndUnGZ.bat" "%USERPROFILE%\AppData\Local\Temp\OnboardLogs"\RTDC4054\2017-07-29 &amp; aws s3 cp s3://rtdc.mdm.uploadarchive.raw/RTDC4054/ "%USERPROFILE%\AppData\Local\Temp\OnboardLogs"\RTDC4054\2017-07-30 --exclude "*" --recursive --include "*20170730*" &amp; "%USERPROFILE%\Documents\GitHub\mrs-test-scripts\Headless Mode &amp; Sideloading\WalkAndUnGZ.bat" "%USERPROFILE%\AppData\Local\Temp\OnboardLogs"\RTDC4054\2017-07-30</v>
      </c>
      <c r="AF194" s="74" t="str">
        <f t="shared" si="58"/>
        <v>"C:\Program Files (x86)\AstroGrep\AstroGrep.exe" /e /r /s /spath="%USERPROFILE%\AppData\Local\Temp\OnboardLogs" /stypes="app*4054*20170730*" /stext=" 04:.+((SYSTEM_STATE.+slice.+state.+changed )|(ment ac)|(multiple cpu faults)|(system.+state.+changed )|(\[timeout)|(PRM\|1\|D)|(kpr)|(kdp)|(train st.+moving)|(\|lc)|(penalty))"</v>
      </c>
      <c r="AG194" s="209" t="str">
        <f t="shared" si="59"/>
        <v>NW</v>
      </c>
      <c r="AH194" s="78" t="str">
        <f t="shared" si="60"/>
        <v>"%USERPROFILE%\Documents\GitHub\eaglep3\Utilities\RefineRTDCRunTimes.py" --tripid 1833-29 --locoid 4054 --swversion DE.1.0.9.0 --startMP 204:943 --initTime 2017-07-29T22:15:49 --startdatetime 2017-07-29T22:21:37 --delay 1 --endMP 300:58971 --enddatetime 2017-07-29T22:35:41 --enforcementcount 0 &gt;&gt;C:\Users\stu\Documents\GitHub\eaglep3-reporting\EC\2017-07-29-refined-times.txt</v>
      </c>
      <c r="AI194" s="96" t="str">
        <f t="shared" si="61"/>
        <v>echo {"issue":{"subject":"","project_id":79,"tracker_id":40,"status_id":1,"priority_id":2,"assigned_to_id":23,"start_date":"2017-07-29","description":"","custom_fields":[{"id":1,"name":"Subdivision","value":"NW"},{"id":4,"name":"Milepost","value":"5.8971"},{"id":17,"name":"Train ID","value":"1833-29"},{"id":16,"name":"Locomotive ID","value":"4054"},{"id":130,"name":"Impact","value":""},{"id":150,"name":"Time of Event (Mountain Time)","value":"22:35:41"},{"id":151,"name":"Denver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62"/>
        <v>start /low /b %USERPROFILE%\Documents\GitHub\eaglep3\Utilities\DownloadLogsFromS3.py --loco 4054 --day 2017-07-29</v>
      </c>
      <c r="AN194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04:35:41"},{"id":29,"name":"Sharepoint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675</v>
      </c>
      <c r="B195" s="7">
        <v>4065</v>
      </c>
      <c r="C195" s="21" t="s">
        <v>198</v>
      </c>
      <c r="D195" s="21" t="s">
        <v>998</v>
      </c>
      <c r="E195" s="13">
        <v>42945.116643518515</v>
      </c>
      <c r="F195" s="13">
        <v>42945.121099537035</v>
      </c>
      <c r="G195" s="7">
        <v>6</v>
      </c>
      <c r="H195" s="21" t="s">
        <v>343</v>
      </c>
      <c r="I195" s="13">
        <v>42945.12636574074</v>
      </c>
      <c r="J195" s="7">
        <v>0</v>
      </c>
      <c r="K195" s="89" t="str">
        <f t="shared" si="48"/>
        <v>4065/4066</v>
      </c>
      <c r="L195" s="21" t="str">
        <f>VLOOKUP(A195,'Trips&amp;Operators'!$C$1:$G$99999,5,FALSE)</f>
        <v>MAELZER KURT</v>
      </c>
      <c r="M195" s="6">
        <f t="shared" si="49"/>
        <v>5.2662037051049992E-3</v>
      </c>
      <c r="N195" s="7">
        <f t="shared" si="68"/>
        <v>7.5833333353511989</v>
      </c>
      <c r="O195" s="7"/>
      <c r="P195" s="7"/>
      <c r="Q195" s="22"/>
      <c r="R195" s="170"/>
      <c r="S195" s="213">
        <f t="shared" si="69"/>
        <v>1</v>
      </c>
      <c r="T195" s="195" t="str">
        <f t="shared" si="50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51"/>
        <v>https://d0f6bd738d7f1b3e5a7ca70fe4ff75f0.us-east-1.aws.found.io/app/kibana#/discover/Steve-Slow-Train-Analysis-(2080s-and-2083s)?_g=(refreshInterval:(display:Off,pause:!f,section:0,value:0),time:(from:'2017-07-29T01:47:58-0600',mode:absolute,to:'2017-07-29T04:01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5" s="197" t="str">
        <f>IF(AA195&lt;VLOOKUP(AG195,Variables!$AC$3:$AD$8,2,FALSE),"Y","N")</f>
        <v>Y</v>
      </c>
      <c r="X195" s="197">
        <f t="shared" si="67"/>
        <v>-1533</v>
      </c>
      <c r="Y195" s="197">
        <f t="shared" si="53"/>
        <v>2.0405000000000002</v>
      </c>
      <c r="Z195" s="197">
        <f t="shared" si="54"/>
        <v>1.43E-2</v>
      </c>
      <c r="AA195" s="197">
        <f t="shared" si="55"/>
        <v>2.0262000000000002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56"/>
        <v>300</v>
      </c>
      <c r="AE195" s="77" t="str">
        <f t="shared" si="57"/>
        <v>aws s3 cp s3://rtdc.mdm.uploadarchive.raw/RTDC4065/ "%USERPROFILE%\AppData\Local\Temp\OnboardLogs"\RTDC4065\2017-07-29 --exclude "*" --recursive --include "*20170729*" &amp; "%USERPROFILE%\Documents\GitHub\mrs-test-scripts\Headless Mode &amp; Sideloading\WalkAndUnGZ.bat" "%USERPROFILE%\AppData\Local\Temp\OnboardLogs"\RTDC4065\2017-07-29 &amp; aws s3 cp s3://rtdc.mdm.uploadarchive.raw/RTDC4065/ "%USERPROFILE%\AppData\Local\Temp\OnboardLogs"\RTDC4065\2017-07-30 --exclude "*" --recursive --include "*20170730*" &amp; "%USERPROFILE%\Documents\GitHub\mrs-test-scripts\Headless Mode &amp; Sideloading\WalkAndUnGZ.bat" "%USERPROFILE%\AppData\Local\Temp\OnboardLogs"\RTDC4065\2017-07-30</v>
      </c>
      <c r="AF195" s="74" t="str">
        <f t="shared" si="58"/>
        <v>"C:\Program Files (x86)\AstroGrep\AstroGrep.exe" /e /r /s /spath="%USERPROFILE%\AppData\Local\Temp\OnboardLogs" /stypes="app*4065*20170729*" /stext=" 09:.+((SYSTEM_STATE.+slice.+state.+changed )|(ment ac)|(multiple cpu faults)|(system.+state.+changed )|(\[timeout)|(PRM\|1\|D)|(kpr)|(kdp)|(train st.+moving)|(\|lc)|(penalty))"</v>
      </c>
      <c r="AG195" s="209" t="str">
        <f t="shared" si="59"/>
        <v>Other</v>
      </c>
      <c r="AH195" s="78" t="str">
        <f t="shared" si="60"/>
        <v>"%USERPROFILE%\Documents\GitHub\eaglep3\Utilities\RefineRTDCRunTimes.py" --tripid 300-29 --locoid 4065 --swversion DE.1.0.9.0 --startMP 300:20405 --initTime 2017-07-29T02:47:58 --startdatetime 2017-07-29T02:54:23 --delay 6 --endMP 204:143 --enddatetime 2017-07-29T03:01:58 --enforcementcount 0 &gt;&gt;C:\Users\stu\Documents\GitHub\eaglep3-reporting\EC\2017-07-29-refined-times.txt</v>
      </c>
      <c r="AI195" s="96" t="str">
        <f t="shared" si="61"/>
        <v>echo {"issue":{"subject":"","project_id":79,"tracker_id":40,"status_id":1,"priority_id":2,"assigned_to_id":23,"start_date":"2017-07-29","description":"","custom_fields":[{"id":1,"name":"Subdivision","value":"Other"},{"id":4,"name":"Milepost","value":"0.0143"},{"id":17,"name":"Train ID","value":"300-29"},{"id":16,"name":"Locomotive ID","value":"4065"},{"id":130,"name":"Impact","value":""},{"id":150,"name":"Time of Event (Mountain Time)","value":"03:01:58"},{"id":151,"name":"Denver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62"/>
        <v>start /low /b %USERPROFILE%\Documents\GitHub\eaglep3\Utilities\DownloadLogsFromS3.py --loco 4065 --day 2017-07-29</v>
      </c>
      <c r="AN195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09:01:58"},{"id":29,"name":"Sharepoint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836</v>
      </c>
      <c r="B196" s="7">
        <v>4012</v>
      </c>
      <c r="C196" s="21" t="s">
        <v>198</v>
      </c>
      <c r="D196" s="21" t="s">
        <v>515</v>
      </c>
      <c r="E196" s="13">
        <v>42945.777638888889</v>
      </c>
      <c r="F196" s="13">
        <v>42945.778900462959</v>
      </c>
      <c r="G196" s="7">
        <v>1</v>
      </c>
      <c r="H196" s="21" t="s">
        <v>999</v>
      </c>
      <c r="I196" s="13">
        <v>42945.786435185182</v>
      </c>
      <c r="J196" s="7">
        <v>0</v>
      </c>
      <c r="K196" s="89" t="str">
        <f t="shared" si="48"/>
        <v>4011/4012</v>
      </c>
      <c r="L196" s="21" t="str">
        <f>VLOOKUP(A196,'Trips&amp;Operators'!$C$1:$G$99999,5,FALSE)</f>
        <v>DUNCAN SHEILA</v>
      </c>
      <c r="M196" s="6">
        <f t="shared" si="49"/>
        <v>7.5347222227719612E-3</v>
      </c>
      <c r="N196" s="7">
        <f t="shared" si="68"/>
        <v>10.850000000791624</v>
      </c>
      <c r="O196" s="7"/>
      <c r="P196" s="7"/>
      <c r="Q196" s="22"/>
      <c r="R196" s="170"/>
      <c r="S196" s="213">
        <f t="shared" si="69"/>
        <v>1</v>
      </c>
      <c r="T196" s="195" t="str">
        <f t="shared" si="50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51"/>
        <v>https://d0f6bd738d7f1b3e5a7ca70fe4ff75f0.us-east-1.aws.found.io/app/kibana#/discover/Steve-Slow-Train-Analysis-(2080s-and-2083s)?_g=(refreshInterval:(display:Off,pause:!f,section:0,value:0),time:(from:'2017-07-29T17:39:48-0600',mode:absolute,to:'2017-07-29T19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6" s="197" t="str">
        <f>IF(AA196&lt;VLOOKUP(AG196,Variables!$AC$3:$AD$8,2,FALSE),"Y","N")</f>
        <v>Y</v>
      </c>
      <c r="X196" s="197">
        <f t="shared" ref="X196:X218" si="70">VALUE(LEFT(AD196,4))-VALUE(LEFT(AD195,4))</f>
        <v>1</v>
      </c>
      <c r="Y196" s="197">
        <f t="shared" si="53"/>
        <v>4.4400000000000002E-2</v>
      </c>
      <c r="Z196" s="197">
        <f t="shared" si="54"/>
        <v>2.3287</v>
      </c>
      <c r="AA196" s="197">
        <f t="shared" si="55"/>
        <v>2.2843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56"/>
        <v>301</v>
      </c>
      <c r="AE196" s="77" t="str">
        <f t="shared" si="57"/>
        <v>aws s3 cp s3://rtdc.mdm.uploadarchive.raw/RTDC4012/ "%USERPROFILE%\AppData\Local\Temp\OnboardLogs"\RTDC4012\2017-07-29 --exclude "*" --recursive --include "*20170729*" &amp; "%USERPROFILE%\Documents\GitHub\mrs-test-scripts\Headless Mode &amp; Sideloading\WalkAndUnGZ.bat" "%USERPROFILE%\AppData\Local\Temp\OnboardLogs"\RTDC4012\2017-07-29 &amp; aws s3 cp s3://rtdc.mdm.uploadarchive.raw/RTDC4012/ "%USERPROFILE%\AppData\Local\Temp\OnboardLogs"\RTDC4012\2017-07-30 --exclude "*" --recursive --include "*20170730*" &amp; "%USERPROFILE%\Documents\GitHub\mrs-test-scripts\Headless Mode &amp; Sideloading\WalkAndUnGZ.bat" "%USERPROFILE%\AppData\Local\Temp\OnboardLogs"\RTDC4012\2017-07-30</v>
      </c>
      <c r="AF196" s="74" t="str">
        <f t="shared" si="58"/>
        <v>"C:\Program Files (x86)\AstroGrep\AstroGrep.exe" /e /r /s /spath="%USERPROFILE%\AppData\Local\Temp\OnboardLogs" /stypes="app*4012*20170730*" /stext=" 00:.+((SYSTEM_STATE.+slice.+state.+changed )|(ment ac)|(multiple cpu faults)|(system.+state.+changed )|(\[timeout)|(PRM\|1\|D)|(kpr)|(kdp)|(train st.+moving)|(\|lc)|(penalty))"</v>
      </c>
      <c r="AG196" s="209" t="str">
        <f t="shared" si="59"/>
        <v>Other</v>
      </c>
      <c r="AH196" s="78" t="str">
        <f t="shared" si="60"/>
        <v>"%USERPROFILE%\Documents\GitHub\eaglep3\Utilities\RefineRTDCRunTimes.py" --tripid 301-29 --locoid 4012 --swversion DE.1.0.9.0 --startMP 204:444 --initTime 2017-07-29T18:39:48 --startdatetime 2017-07-29T18:41:37 --delay 1 --endMP 300:23287 --enddatetime 2017-07-29T18:52:28 --enforcementcount 0 &gt;&gt;C:\Users\stu\Documents\GitHub\eaglep3-reporting\EC\2017-07-29-refined-times.txt</v>
      </c>
      <c r="AI196" s="96" t="str">
        <f t="shared" si="61"/>
        <v>echo {"issue":{"subject":"","project_id":79,"tracker_id":40,"status_id":1,"priority_id":2,"assigned_to_id":23,"start_date":"2017-07-29","description":"","custom_fields":[{"id":1,"name":"Subdivision","value":"Other"},{"id":4,"name":"Milepost","value":"2.3287"},{"id":17,"name":"Train ID","value":"301-29"},{"id":16,"name":"Locomotive ID","value":"4012"},{"id":130,"name":"Impact","value":""},{"id":150,"name":"Time of Event (Mountain Time)","value":"18:52:28"},{"id":151,"name":"Denver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62"/>
        <v>start /low /b %USERPROFILE%\Documents\GitHub\eaglep3\Utilities\DownloadLogsFromS3.py --loco 4012 --day 2017-07-29</v>
      </c>
      <c r="AN196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00:52:28"},{"id":29,"name":"Sharepoint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678</v>
      </c>
      <c r="B197" s="7">
        <v>4007</v>
      </c>
      <c r="C197" s="21" t="s">
        <v>198</v>
      </c>
      <c r="D197" s="21" t="s">
        <v>1000</v>
      </c>
      <c r="E197" s="13">
        <v>42945.136886574073</v>
      </c>
      <c r="F197" s="13">
        <v>42945.140555555554</v>
      </c>
      <c r="G197" s="7">
        <v>5</v>
      </c>
      <c r="H197" s="21" t="s">
        <v>480</v>
      </c>
      <c r="I197" s="13">
        <v>42945.14634259259</v>
      </c>
      <c r="J197" s="7">
        <v>0</v>
      </c>
      <c r="K197" s="89" t="str">
        <f t="shared" si="48"/>
        <v>4007/4008</v>
      </c>
      <c r="L197" s="21" t="str">
        <f>VLOOKUP(A197,'Trips&amp;Operators'!$C$1:$G$99999,5,FALSE)</f>
        <v>WILLIAMS DONTE</v>
      </c>
      <c r="M197" s="6">
        <f t="shared" si="49"/>
        <v>5.7870370364980772E-3</v>
      </c>
      <c r="N197" s="7">
        <f t="shared" si="68"/>
        <v>8.3333333325572312</v>
      </c>
      <c r="O197" s="7"/>
      <c r="P197" s="7"/>
      <c r="Q197" s="22"/>
      <c r="R197" s="170"/>
      <c r="S197" s="213">
        <f t="shared" si="69"/>
        <v>1</v>
      </c>
      <c r="T197" s="195" t="str">
        <f t="shared" si="50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51"/>
        <v>https://d0f6bd738d7f1b3e5a7ca70fe4ff75f0.us-east-1.aws.found.io/app/kibana#/discover/Steve-Slow-Train-Analysis-(2080s-and-2083s)?_g=(refreshInterval:(display:Off,pause:!f,section:0,value:0),time:(from:'2017-07-29T02:17:07-0600',mode:absolute,to:'2017-07-29T04:30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7" s="197" t="str">
        <f>IF(AA197&lt;VLOOKUP(AG197,Variables!$AC$3:$AD$8,2,FALSE),"Y","N")</f>
        <v>Y</v>
      </c>
      <c r="X197" s="197">
        <f t="shared" si="70"/>
        <v>1</v>
      </c>
      <c r="Y197" s="197">
        <f t="shared" si="53"/>
        <v>2.3774999999999999</v>
      </c>
      <c r="Z197" s="197">
        <f t="shared" si="54"/>
        <v>1.61E-2</v>
      </c>
      <c r="AA197" s="197">
        <f t="shared" si="55"/>
        <v>2.3614000000000002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56"/>
        <v>302</v>
      </c>
      <c r="AE197" s="77" t="str">
        <f t="shared" si="57"/>
        <v>aws s3 cp s3://rtdc.mdm.uploadarchive.raw/RTDC4007/ "%USERPROFILE%\AppData\Local\Temp\OnboardLogs"\RTDC4007\2017-07-29 --exclude "*" --recursive --include "*20170729*" &amp; "%USERPROFILE%\Documents\GitHub\mrs-test-scripts\Headless Mode &amp; Sideloading\WalkAndUnGZ.bat" "%USERPROFILE%\AppData\Local\Temp\OnboardLogs"\RTDC4007\2017-07-29 &amp; aws s3 cp s3://rtdc.mdm.uploadarchive.raw/RTDC4007/ "%USERPROFILE%\AppData\Local\Temp\OnboardLogs"\RTDC4007\2017-07-30 --exclude "*" --recursive --include "*20170730*" &amp; "%USERPROFILE%\Documents\GitHub\mrs-test-scripts\Headless Mode &amp; Sideloading\WalkAndUnGZ.bat" "%USERPROFILE%\AppData\Local\Temp\OnboardLogs"\RTDC4007\2017-07-30</v>
      </c>
      <c r="AF197" s="74" t="str">
        <f t="shared" si="58"/>
        <v>"C:\Program Files (x86)\AstroGrep\AstroGrep.exe" /e /r /s /spath="%USERPROFILE%\AppData\Local\Temp\OnboardLogs" /stypes="app*4007*20170729*" /stext=" 09:.+((SYSTEM_STATE.+slice.+state.+changed )|(ment ac)|(multiple cpu faults)|(system.+state.+changed )|(\[timeout)|(PRM\|1\|D)|(kpr)|(kdp)|(train st.+moving)|(\|lc)|(penalty))"</v>
      </c>
      <c r="AG197" s="209" t="str">
        <f t="shared" si="59"/>
        <v>Other</v>
      </c>
      <c r="AH197" s="78" t="str">
        <f t="shared" si="60"/>
        <v>"%USERPROFILE%\Documents\GitHub\eaglep3\Utilities\RefineRTDCRunTimes.py" --tripid 302-29 --locoid 4007 --swversion DE.1.0.9.0 --startMP 300:23775 --initTime 2017-07-29T03:17:07 --startdatetime 2017-07-29T03:22:24 --delay 5 --endMP 204:161 --enddatetime 2017-07-29T03:30:44 --enforcementcount 0 &gt;&gt;C:\Users\stu\Documents\GitHub\eaglep3-reporting\EC\2017-07-29-refined-times.txt</v>
      </c>
      <c r="AI197" s="96" t="str">
        <f t="shared" si="61"/>
        <v>echo {"issue":{"subject":"","project_id":79,"tracker_id":40,"status_id":1,"priority_id":2,"assigned_to_id":23,"start_date":"2017-07-29","description":"","custom_fields":[{"id":1,"name":"Subdivision","value":"Other"},{"id":4,"name":"Milepost","value":"0.0161"},{"id":17,"name":"Train ID","value":"302-29"},{"id":16,"name":"Locomotive ID","value":"4007"},{"id":130,"name":"Impact","value":""},{"id":150,"name":"Time of Event (Mountain Time)","value":"03:30:44"},{"id":151,"name":"Denver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62"/>
        <v>start /low /b %USERPROFILE%\Documents\GitHub\eaglep3\Utilities\DownloadLogsFromS3.py --loco 4007 --day 2017-07-29</v>
      </c>
      <c r="AN197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09:30:44"},{"id":29,"name":"Sharepoint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841</v>
      </c>
      <c r="B198" s="7">
        <v>4028</v>
      </c>
      <c r="C198" s="21" t="s">
        <v>198</v>
      </c>
      <c r="D198" s="21" t="s">
        <v>515</v>
      </c>
      <c r="E198" s="13">
        <v>42945.799398148149</v>
      </c>
      <c r="F198" s="13">
        <v>42945.800787037035</v>
      </c>
      <c r="G198" s="7">
        <v>1</v>
      </c>
      <c r="H198" s="21" t="s">
        <v>1001</v>
      </c>
      <c r="I198" s="13">
        <v>42945.807395833333</v>
      </c>
      <c r="J198" s="7">
        <v>0</v>
      </c>
      <c r="K198" s="89" t="str">
        <f t="shared" si="48"/>
        <v>4027/4028</v>
      </c>
      <c r="L198" s="21" t="str">
        <f>VLOOKUP(A198,'Trips&amp;Operators'!$C$1:$G$99999,5,FALSE)</f>
        <v>DELGADO DIANAH</v>
      </c>
      <c r="M198" s="6">
        <f t="shared" si="49"/>
        <v>6.6087962986784987E-3</v>
      </c>
      <c r="N198" s="7">
        <f t="shared" si="68"/>
        <v>9.5166666700970381</v>
      </c>
      <c r="O198" s="7"/>
      <c r="P198" s="7"/>
      <c r="Q198" s="22"/>
      <c r="R198" s="170"/>
      <c r="S198" s="213">
        <f t="shared" si="69"/>
        <v>1</v>
      </c>
      <c r="T198" s="195" t="str">
        <f t="shared" si="50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51"/>
        <v>https://d0f6bd738d7f1b3e5a7ca70fe4ff75f0.us-east-1.aws.found.io/app/kibana#/discover/Steve-Slow-Train-Analysis-(2080s-and-2083s)?_g=(refreshInterval:(display:Off,pause:!f,section:0,value:0),time:(from:'2017-07-29T18:11:08-0600',mode:absolute,to:'2017-07-29T20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8" s="197" t="str">
        <f>IF(AA198&lt;VLOOKUP(AG198,Variables!$AC$3:$AD$8,2,FALSE),"Y","N")</f>
        <v>Y</v>
      </c>
      <c r="X198" s="197">
        <f t="shared" si="70"/>
        <v>1</v>
      </c>
      <c r="Y198" s="197">
        <f t="shared" si="53"/>
        <v>4.4400000000000002E-2</v>
      </c>
      <c r="Z198" s="197">
        <f t="shared" si="54"/>
        <v>2.3308</v>
      </c>
      <c r="AA198" s="197">
        <f t="shared" si="55"/>
        <v>2.2864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56"/>
        <v>303</v>
      </c>
      <c r="AE198" s="77" t="str">
        <f t="shared" si="57"/>
        <v>aws s3 cp s3://rtdc.mdm.uploadarchive.raw/RTDC4028/ "%USERPROFILE%\AppData\Local\Temp\OnboardLogs"\RTDC4028\2017-07-29 --exclude "*" --recursive --include "*20170729*" &amp; "%USERPROFILE%\Documents\GitHub\mrs-test-scripts\Headless Mode &amp; Sideloading\WalkAndUnGZ.bat" "%USERPROFILE%\AppData\Local\Temp\OnboardLogs"\RTDC4028\2017-07-29 &amp; aws s3 cp s3://rtdc.mdm.uploadarchive.raw/RTDC4028/ "%USERPROFILE%\AppData\Local\Temp\OnboardLogs"\RTDC4028\2017-07-30 --exclude "*" --recursive --include "*20170730*" &amp; "%USERPROFILE%\Documents\GitHub\mrs-test-scripts\Headless Mode &amp; Sideloading\WalkAndUnGZ.bat" "%USERPROFILE%\AppData\Local\Temp\OnboardLogs"\RTDC4028\2017-07-30</v>
      </c>
      <c r="AF198" s="74" t="str">
        <f t="shared" si="58"/>
        <v>"C:\Program Files (x86)\AstroGrep\AstroGrep.exe" /e /r /s /spath="%USERPROFILE%\AppData\Local\Temp\OnboardLogs" /stypes="app*4028*20170730*" /stext=" 01:.+((SYSTEM_STATE.+slice.+state.+changed )|(ment ac)|(multiple cpu faults)|(system.+state.+changed )|(\[timeout)|(PRM\|1\|D)|(kpr)|(kdp)|(train st.+moving)|(\|lc)|(penalty))"</v>
      </c>
      <c r="AG198" s="209" t="str">
        <f t="shared" si="59"/>
        <v>Other</v>
      </c>
      <c r="AH198" s="78" t="str">
        <f t="shared" si="60"/>
        <v>"%USERPROFILE%\Documents\GitHub\eaglep3\Utilities\RefineRTDCRunTimes.py" --tripid 303-29 --locoid 4028 --swversion DE.1.0.9.0 --startMP 204:444 --initTime 2017-07-29T19:11:08 --startdatetime 2017-07-29T19:13:08 --delay 1 --endMP 300:23308 --enddatetime 2017-07-29T19:22:39 --enforcementcount 0 &gt;&gt;C:\Users\stu\Documents\GitHub\eaglep3-reporting\EC\2017-07-29-refined-times.txt</v>
      </c>
      <c r="AI198" s="96" t="str">
        <f t="shared" si="61"/>
        <v>echo {"issue":{"subject":"","project_id":79,"tracker_id":40,"status_id":1,"priority_id":2,"assigned_to_id":23,"start_date":"2017-07-29","description":"","custom_fields":[{"id":1,"name":"Subdivision","value":"Other"},{"id":4,"name":"Milepost","value":"2.3308"},{"id":17,"name":"Train ID","value":"303-29"},{"id":16,"name":"Locomotive ID","value":"4028"},{"id":130,"name":"Impact","value":""},{"id":150,"name":"Time of Event (Mountain Time)","value":"19:22:39"},{"id":151,"name":"Denver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62"/>
        <v>start /low /b %USERPROFILE%\Documents\GitHub\eaglep3\Utilities\DownloadLogsFromS3.py --loco 4028 --day 2017-07-29</v>
      </c>
      <c r="AN198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01:22:39"},{"id":29,"name":"Sharepoint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681</v>
      </c>
      <c r="B199" s="7">
        <v>4023</v>
      </c>
      <c r="C199" s="21" t="s">
        <v>198</v>
      </c>
      <c r="D199" s="21" t="s">
        <v>1002</v>
      </c>
      <c r="E199" s="13">
        <v>42945.154108796298</v>
      </c>
      <c r="F199" s="13">
        <v>42945.158634259256</v>
      </c>
      <c r="G199" s="7">
        <v>6</v>
      </c>
      <c r="H199" s="21" t="s">
        <v>881</v>
      </c>
      <c r="I199" s="13">
        <v>42945.164386574077</v>
      </c>
      <c r="J199" s="7">
        <v>0</v>
      </c>
      <c r="K199" s="89" t="str">
        <f t="shared" si="48"/>
        <v>4023/4024</v>
      </c>
      <c r="L199" s="21" t="str">
        <f>VLOOKUP(A199,'Trips&amp;Operators'!$C$1:$G$99999,5,FALSE)</f>
        <v>DAVIS WENDY</v>
      </c>
      <c r="M199" s="6">
        <f t="shared" si="49"/>
        <v>5.7523148207110353E-3</v>
      </c>
      <c r="N199" s="7">
        <f t="shared" si="68"/>
        <v>8.2833333418238908</v>
      </c>
      <c r="O199" s="7"/>
      <c r="P199" s="7"/>
      <c r="Q199" s="22"/>
      <c r="R199" s="170"/>
      <c r="S199" s="213">
        <f t="shared" si="69"/>
        <v>1</v>
      </c>
      <c r="T199" s="195" t="str">
        <f t="shared" si="50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51"/>
        <v>https://d0f6bd738d7f1b3e5a7ca70fe4ff75f0.us-east-1.aws.found.io/app/kibana#/discover/Steve-Slow-Train-Analysis-(2080s-and-2083s)?_g=(refreshInterval:(display:Off,pause:!f,section:0,value:0),time:(from:'2017-07-29T02:41:55-0600',mode:absolute,to:'2017-07-29T04:56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9" s="197" t="str">
        <f>IF(AA199&lt;VLOOKUP(AG199,Variables!$AC$3:$AD$8,2,FALSE),"Y","N")</f>
        <v>Y</v>
      </c>
      <c r="X199" s="197">
        <f t="shared" si="70"/>
        <v>1</v>
      </c>
      <c r="Y199" s="197">
        <f t="shared" si="53"/>
        <v>2.3020999999999998</v>
      </c>
      <c r="Z199" s="197">
        <f t="shared" si="54"/>
        <v>1.5599999999999999E-2</v>
      </c>
      <c r="AA199" s="197">
        <f t="shared" si="55"/>
        <v>2.2864999999999998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56"/>
        <v>304</v>
      </c>
      <c r="AE199" s="77" t="str">
        <f t="shared" si="57"/>
        <v>aws s3 cp s3://rtdc.mdm.uploadarchive.raw/RTDC4023/ "%USERPROFILE%\AppData\Local\Temp\OnboardLogs"\RTDC4023\2017-07-29 --exclude "*" --recursive --include "*20170729*" &amp; "%USERPROFILE%\Documents\GitHub\mrs-test-scripts\Headless Mode &amp; Sideloading\WalkAndUnGZ.bat" "%USERPROFILE%\AppData\Local\Temp\OnboardLogs"\RTDC4023\2017-07-29 &amp; aws s3 cp s3://rtdc.mdm.uploadarchive.raw/RTDC4023/ "%USERPROFILE%\AppData\Local\Temp\OnboardLogs"\RTDC4023\2017-07-30 --exclude "*" --recursive --include "*20170730*" &amp; "%USERPROFILE%\Documents\GitHub\mrs-test-scripts\Headless Mode &amp; Sideloading\WalkAndUnGZ.bat" "%USERPROFILE%\AppData\Local\Temp\OnboardLogs"\RTDC4023\2017-07-30</v>
      </c>
      <c r="AF199" s="74" t="str">
        <f t="shared" si="58"/>
        <v>"C:\Program Files (x86)\AstroGrep\AstroGrep.exe" /e /r /s /spath="%USERPROFILE%\AppData\Local\Temp\OnboardLogs" /stypes="app*4023*20170729*" /stext=" 09:.+((SYSTEM_STATE.+slice.+state.+changed )|(ment ac)|(multiple cpu faults)|(system.+state.+changed )|(\[timeout)|(PRM\|1\|D)|(kpr)|(kdp)|(train st.+moving)|(\|lc)|(penalty))"</v>
      </c>
      <c r="AG199" s="209" t="str">
        <f t="shared" si="59"/>
        <v>Other</v>
      </c>
      <c r="AH199" s="78" t="str">
        <f t="shared" si="60"/>
        <v>"%USERPROFILE%\Documents\GitHub\eaglep3\Utilities\RefineRTDCRunTimes.py" --tripid 304-29 --locoid 4023 --swversion DE.1.0.9.0 --startMP 300:23021 --initTime 2017-07-29T03:41:55 --startdatetime 2017-07-29T03:48:26 --delay 6 --endMP 204:156 --enddatetime 2017-07-29T03:56:43 --enforcementcount 0 &gt;&gt;C:\Users\stu\Documents\GitHub\eaglep3-reporting\EC\2017-07-29-refined-times.txt</v>
      </c>
      <c r="AI199" s="96" t="str">
        <f t="shared" si="61"/>
        <v>echo {"issue":{"subject":"","project_id":79,"tracker_id":40,"status_id":1,"priority_id":2,"assigned_to_id":23,"start_date":"2017-07-29","description":"","custom_fields":[{"id":1,"name":"Subdivision","value":"Other"},{"id":4,"name":"Milepost","value":"0.0156"},{"id":17,"name":"Train ID","value":"304-29"},{"id":16,"name":"Locomotive ID","value":"4023"},{"id":130,"name":"Impact","value":""},{"id":150,"name":"Time of Event (Mountain Time)","value":"03:56:43"},{"id":151,"name":"Denver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62"/>
        <v>start /low /b %USERPROFILE%\Documents\GitHub\eaglep3\Utilities\DownloadLogsFromS3.py --loco 4023 --day 2017-07-29</v>
      </c>
      <c r="AN199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09:56:43"},{"id":29,"name":"Sharepoint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683</v>
      </c>
      <c r="B200" s="7">
        <v>4055</v>
      </c>
      <c r="C200" s="21" t="s">
        <v>198</v>
      </c>
      <c r="D200" s="21" t="s">
        <v>1003</v>
      </c>
      <c r="E200" s="13">
        <v>42945.170439814814</v>
      </c>
      <c r="F200" s="13">
        <v>42945.174328703702</v>
      </c>
      <c r="G200" s="7">
        <v>5</v>
      </c>
      <c r="H200" s="21" t="s">
        <v>881</v>
      </c>
      <c r="I200" s="13">
        <v>42945.180914351855</v>
      </c>
      <c r="J200" s="7">
        <v>0</v>
      </c>
      <c r="K200" s="89" t="str">
        <f t="shared" si="48"/>
        <v>4055/4056</v>
      </c>
      <c r="L200" s="21" t="str">
        <f>VLOOKUP(A200,'Trips&amp;Operators'!$C$1:$G$99999,5,FALSE)</f>
        <v>GEBRETEKLE DAGNEW</v>
      </c>
      <c r="M200" s="6">
        <f t="shared" si="49"/>
        <v>6.5856481523951516E-3</v>
      </c>
      <c r="N200" s="7">
        <f t="shared" si="68"/>
        <v>9.4833333394490182</v>
      </c>
      <c r="O200" s="7"/>
      <c r="P200" s="7"/>
      <c r="Q200" s="22"/>
      <c r="R200" s="170"/>
      <c r="S200" s="213">
        <f t="shared" si="69"/>
        <v>1</v>
      </c>
      <c r="T200" s="195" t="str">
        <f t="shared" si="50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51"/>
        <v>https://d0f6bd738d7f1b3e5a7ca70fe4ff75f0.us-east-1.aws.found.io/app/kibana#/discover/Steve-Slow-Train-Analysis-(2080s-and-2083s)?_g=(refreshInterval:(display:Off,pause:!f,section:0,value:0),time:(from:'2017-07-29T03:05:26-0600',mode:absolute,to:'2017-07-29T05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0" s="197" t="str">
        <f>IF(AA200&lt;VLOOKUP(AG200,Variables!$AC$3:$AD$8,2,FALSE),"Y","N")</f>
        <v>Y</v>
      </c>
      <c r="X200" s="197">
        <f t="shared" si="70"/>
        <v>2</v>
      </c>
      <c r="Y200" s="197">
        <f t="shared" si="53"/>
        <v>2.3744999999999998</v>
      </c>
      <c r="Z200" s="197">
        <f t="shared" si="54"/>
        <v>1.5599999999999999E-2</v>
      </c>
      <c r="AA200" s="197">
        <f t="shared" si="55"/>
        <v>2.3588999999999998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56"/>
        <v>306</v>
      </c>
      <c r="AE200" s="77" t="str">
        <f t="shared" si="57"/>
        <v>aws s3 cp s3://rtdc.mdm.uploadarchive.raw/RTDC4055/ "%USERPROFILE%\AppData\Local\Temp\OnboardLogs"\RTDC4055\2017-07-29 --exclude "*" --recursive --include "*20170729*" &amp; "%USERPROFILE%\Documents\GitHub\mrs-test-scripts\Headless Mode &amp; Sideloading\WalkAndUnGZ.bat" "%USERPROFILE%\AppData\Local\Temp\OnboardLogs"\RTDC4055\2017-07-29 &amp; aws s3 cp s3://rtdc.mdm.uploadarchive.raw/RTDC4055/ "%USERPROFILE%\AppData\Local\Temp\OnboardLogs"\RTDC4055\2017-07-30 --exclude "*" --recursive --include "*20170730*" &amp; "%USERPROFILE%\Documents\GitHub\mrs-test-scripts\Headless Mode &amp; Sideloading\WalkAndUnGZ.bat" "%USERPROFILE%\AppData\Local\Temp\OnboardLogs"\RTDC4055\2017-07-30</v>
      </c>
      <c r="AF200" s="74" t="str">
        <f t="shared" si="58"/>
        <v>"C:\Program Files (x86)\AstroGrep\AstroGrep.exe" /e /r /s /spath="%USERPROFILE%\AppData\Local\Temp\OnboardLogs" /stypes="app*4055*20170729*" /stext=" 10:.+((SYSTEM_STATE.+slice.+state.+changed )|(ment ac)|(multiple cpu faults)|(system.+state.+changed )|(\[timeout)|(PRM\|1\|D)|(kpr)|(kdp)|(train st.+moving)|(\|lc)|(penalty))"</v>
      </c>
      <c r="AG200" s="209" t="str">
        <f t="shared" si="59"/>
        <v>Other</v>
      </c>
      <c r="AH200" s="78" t="str">
        <f t="shared" si="60"/>
        <v>"%USERPROFILE%\Documents\GitHub\eaglep3\Utilities\RefineRTDCRunTimes.py" --tripid 306-29 --locoid 4055 --swversion DE.1.0.9.0 --startMP 300:23745 --initTime 2017-07-29T04:05:26 --startdatetime 2017-07-29T04:11:02 --delay 5 --endMP 204:156 --enddatetime 2017-07-29T04:20:31 --enforcementcount 0 &gt;&gt;C:\Users\stu\Documents\GitHub\eaglep3-reporting\EC\2017-07-29-refined-times.txt</v>
      </c>
      <c r="AI200" s="96" t="str">
        <f t="shared" si="61"/>
        <v>echo {"issue":{"subject":"","project_id":79,"tracker_id":40,"status_id":1,"priority_id":2,"assigned_to_id":23,"start_date":"2017-07-29","description":"","custom_fields":[{"id":1,"name":"Subdivision","value":"Other"},{"id":4,"name":"Milepost","value":"0.0156"},{"id":17,"name":"Train ID","value":"306-29"},{"id":16,"name":"Locomotive ID","value":"4055"},{"id":130,"name":"Impact","value":""},{"id":150,"name":"Time of Event (Mountain Time)","value":"04:20:31"},{"id":151,"name":"Denver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62"/>
        <v>start /low /b %USERPROFILE%\Documents\GitHub\eaglep3\Utilities\DownloadLogsFromS3.py --loco 4055 --day 2017-07-29</v>
      </c>
      <c r="AN200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10:20:31"},{"id":29,"name":"Sharepoint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870</v>
      </c>
      <c r="B201" s="7">
        <v>4008</v>
      </c>
      <c r="C201" s="21" t="s">
        <v>198</v>
      </c>
      <c r="D201" s="21" t="s">
        <v>515</v>
      </c>
      <c r="E201" s="13">
        <v>42946.047384259262</v>
      </c>
      <c r="F201" s="13">
        <v>42946.049571759257</v>
      </c>
      <c r="G201" s="7">
        <v>1</v>
      </c>
      <c r="H201" s="21" t="s">
        <v>1001</v>
      </c>
      <c r="I201" s="13">
        <v>42946.057129629633</v>
      </c>
      <c r="J201" s="7">
        <v>0</v>
      </c>
      <c r="K201" s="89" t="str">
        <f t="shared" si="48"/>
        <v>4007/4008</v>
      </c>
      <c r="L201" s="21" t="str">
        <f>VLOOKUP(A201,'Trips&amp;Operators'!$C$1:$G$99999,5,FALSE)</f>
        <v>YANG JAN</v>
      </c>
      <c r="M201" s="6">
        <f t="shared" si="49"/>
        <v>7.557870376331266E-3</v>
      </c>
      <c r="N201" s="7">
        <f t="shared" si="68"/>
        <v>10.883333341917023</v>
      </c>
      <c r="O201" s="7"/>
      <c r="P201" s="7"/>
      <c r="Q201" s="22"/>
      <c r="R201" s="170"/>
      <c r="S201" s="213">
        <f t="shared" si="69"/>
        <v>1</v>
      </c>
      <c r="T201" s="195" t="str">
        <f t="shared" si="50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51"/>
        <v>https://d0f6bd738d7f1b3e5a7ca70fe4ff75f0.us-east-1.aws.found.io/app/kibana#/discover/Steve-Slow-Train-Analysis-(2080s-and-2083s)?_g=(refreshInterval:(display:Off,pause:!f,section:0,value:0),time:(from:'2017-07-30T00:08:14-0600',mode:absolute,to:'2017-07-30T02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1" s="197" t="str">
        <f>IF(AA201&lt;VLOOKUP(AG201,Variables!$AC$3:$AD$8,2,FALSE),"Y","N")</f>
        <v>Y</v>
      </c>
      <c r="X201" s="197">
        <f t="shared" si="70"/>
        <v>1</v>
      </c>
      <c r="Y201" s="197">
        <f t="shared" si="53"/>
        <v>4.4400000000000002E-2</v>
      </c>
      <c r="Z201" s="197">
        <f t="shared" si="54"/>
        <v>2.3308</v>
      </c>
      <c r="AA201" s="197">
        <f t="shared" si="55"/>
        <v>2.2864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56"/>
        <v>307</v>
      </c>
      <c r="AE201" s="77" t="str">
        <f t="shared" si="57"/>
        <v>aws s3 cp s3://rtdc.mdm.uploadarchive.raw/RTDC4008/ "%USERPROFILE%\AppData\Local\Temp\OnboardLogs"\RTDC4008\2017-07-30 --exclude "*" --recursive --include "*20170730*" &amp; "%USERPROFILE%\Documents\GitHub\mrs-test-scripts\Headless Mode &amp; Sideloading\WalkAndUnGZ.bat" "%USERPROFILE%\AppData\Local\Temp\OnboardLogs"\RTDC4008\2017-07-30 &amp; aws s3 cp s3://rtdc.mdm.uploadarchive.raw/RTDC4008/ "%USERPROFILE%\AppData\Local\Temp\OnboardLogs"\RTDC4008\2017-07-31 --exclude "*" --recursive --include "*20170731*" &amp; "%USERPROFILE%\Documents\GitHub\mrs-test-scripts\Headless Mode &amp; Sideloading\WalkAndUnGZ.bat" "%USERPROFILE%\AppData\Local\Temp\OnboardLogs"\RTDC4008\2017-07-31</v>
      </c>
      <c r="AF201" s="74" t="str">
        <f t="shared" si="58"/>
        <v>"C:\Program Files (x86)\AstroGrep\AstroGrep.exe" /e /r /s /spath="%USERPROFILE%\AppData\Local\Temp\OnboardLogs" /stypes="app*4008*20170730*" /stext=" 07:.+((SYSTEM_STATE.+slice.+state.+changed )|(ment ac)|(multiple cpu faults)|(system.+state.+changed )|(\[timeout)|(PRM\|1\|D)|(kpr)|(kdp)|(train st.+moving)|(\|lc)|(penalty))"</v>
      </c>
      <c r="AG201" s="209" t="str">
        <f t="shared" si="59"/>
        <v>Other</v>
      </c>
      <c r="AH201" s="78" t="str">
        <f t="shared" si="60"/>
        <v>"%USERPROFILE%\Documents\GitHub\eaglep3\Utilities\RefineRTDCRunTimes.py" --tripid 307-29 --locoid 4008 --swversion DE.1.0.9.0 --startMP 204:444 --initTime 2017-07-30T01:08:14 --startdatetime 2017-07-30T01:11:23 --delay 1 --endMP 300:23308 --enddatetime 2017-07-30T01:22:16 --enforcementcount 0 &gt;&gt;C:\Users\stu\Documents\GitHub\eaglep3-reporting\EC\2017-07-29-refined-times.txt</v>
      </c>
      <c r="AI201" s="96" t="str">
        <f t="shared" si="61"/>
        <v>echo {"issue":{"subject":"","project_id":79,"tracker_id":40,"status_id":1,"priority_id":2,"assigned_to_id":23,"start_date":"2017-07-30","description":"","custom_fields":[{"id":1,"name":"Subdivision","value":"Other"},{"id":4,"name":"Milepost","value":"2.3308"},{"id":17,"name":"Train ID","value":"307-29"},{"id":16,"name":"Locomotive ID","value":"4008"},{"id":130,"name":"Impact","value":""},{"id":150,"name":"Time of Event (Mountain Time)","value":"01:22:16"},{"id":151,"name":"Denver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62"/>
        <v>start /low /b %USERPROFILE%\Documents\GitHub\eaglep3\Utilities\DownloadLogsFromS3.py --loco 4008 --day 2017-07-30</v>
      </c>
      <c r="AN201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07:22:16"},{"id":29,"name":"Sharepoint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687</v>
      </c>
      <c r="B202" s="7">
        <v>4011</v>
      </c>
      <c r="C202" s="21" t="s">
        <v>198</v>
      </c>
      <c r="D202" s="21" t="s">
        <v>1004</v>
      </c>
      <c r="E202" s="13">
        <v>42945.181539351855</v>
      </c>
      <c r="F202" s="13">
        <v>42945.184976851851</v>
      </c>
      <c r="G202" s="7">
        <v>4</v>
      </c>
      <c r="H202" s="21" t="s">
        <v>341</v>
      </c>
      <c r="I202" s="13">
        <v>42945.191284722219</v>
      </c>
      <c r="J202" s="7">
        <v>0</v>
      </c>
      <c r="K202" s="89" t="str">
        <f t="shared" si="48"/>
        <v>4011/4012</v>
      </c>
      <c r="L202" s="21" t="str">
        <f>VLOOKUP(A202,'Trips&amp;Operators'!$C$1:$G$99999,5,FALSE)</f>
        <v>LALONDE GREGORY</v>
      </c>
      <c r="M202" s="6">
        <f t="shared" si="49"/>
        <v>6.3078703678911552E-3</v>
      </c>
      <c r="N202" s="7">
        <f t="shared" si="68"/>
        <v>9.0833333297632635</v>
      </c>
      <c r="O202" s="7"/>
      <c r="P202" s="7"/>
      <c r="Q202" s="22"/>
      <c r="R202" s="170"/>
      <c r="S202" s="213">
        <f t="shared" si="69"/>
        <v>1</v>
      </c>
      <c r="T202" s="195" t="str">
        <f t="shared" si="50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51"/>
        <v>https://d0f6bd738d7f1b3e5a7ca70fe4ff75f0.us-east-1.aws.found.io/app/kibana#/discover/Steve-Slow-Train-Analysis-(2080s-and-2083s)?_g=(refreshInterval:(display:Off,pause:!f,section:0,value:0),time:(from:'2017-07-29T03:21:25-0600',mode:absolute,to:'2017-07-29T05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2" s="197" t="str">
        <f>IF(AA202&lt;VLOOKUP(AG202,Variables!$AC$3:$AD$8,2,FALSE),"Y","N")</f>
        <v>Y</v>
      </c>
      <c r="X202" s="197">
        <f t="shared" si="70"/>
        <v>1</v>
      </c>
      <c r="Y202" s="197">
        <f t="shared" si="53"/>
        <v>2.3462999999999998</v>
      </c>
      <c r="Z202" s="197">
        <f t="shared" si="54"/>
        <v>1.4999999999999999E-2</v>
      </c>
      <c r="AA202" s="197">
        <f t="shared" si="55"/>
        <v>2.3312999999999997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56"/>
        <v>308</v>
      </c>
      <c r="AE202" s="77" t="str">
        <f t="shared" si="57"/>
        <v>aws s3 cp s3://rtdc.mdm.uploadarchive.raw/RTDC4011/ "%USERPROFILE%\AppData\Local\Temp\OnboardLogs"\RTDC4011\2017-07-29 --exclude "*" --recursive --include "*20170729*" &amp; "%USERPROFILE%\Documents\GitHub\mrs-test-scripts\Headless Mode &amp; Sideloading\WalkAndUnGZ.bat" "%USERPROFILE%\AppData\Local\Temp\OnboardLogs"\RTDC4011\2017-07-29 &amp; aws s3 cp s3://rtdc.mdm.uploadarchive.raw/RTDC4011/ "%USERPROFILE%\AppData\Local\Temp\OnboardLogs"\RTDC4011\2017-07-30 --exclude "*" --recursive --include "*20170730*" &amp; "%USERPROFILE%\Documents\GitHub\mrs-test-scripts\Headless Mode &amp; Sideloading\WalkAndUnGZ.bat" "%USERPROFILE%\AppData\Local\Temp\OnboardLogs"\RTDC4011\2017-07-30</v>
      </c>
      <c r="AF202" s="74" t="str">
        <f t="shared" si="58"/>
        <v>"C:\Program Files (x86)\AstroGrep\AstroGrep.exe" /e /r /s /spath="%USERPROFILE%\AppData\Local\Temp\OnboardLogs" /stypes="app*4011*20170729*" /stext=" 10:.+((SYSTEM_STATE.+slice.+state.+changed )|(ment ac)|(multiple cpu faults)|(system.+state.+changed )|(\[timeout)|(PRM\|1\|D)|(kpr)|(kdp)|(train st.+moving)|(\|lc)|(penalty))"</v>
      </c>
      <c r="AG202" s="209" t="str">
        <f t="shared" si="59"/>
        <v>Other</v>
      </c>
      <c r="AH202" s="78" t="str">
        <f t="shared" si="60"/>
        <v>"%USERPROFILE%\Documents\GitHub\eaglep3\Utilities\RefineRTDCRunTimes.py" --tripid 308-29 --locoid 4011 --swversion DE.1.0.9.0 --startMP 300:23463 --initTime 2017-07-29T04:21:25 --startdatetime 2017-07-29T04:26:22 --delay 4 --endMP 204:150 --enddatetime 2017-07-29T04:35:27 --enforcementcount 0 &gt;&gt;C:\Users\stu\Documents\GitHub\eaglep3-reporting\EC\2017-07-29-refined-times.txt</v>
      </c>
      <c r="AI202" s="96" t="str">
        <f t="shared" si="61"/>
        <v>echo {"issue":{"subject":"","project_id":79,"tracker_id":40,"status_id":1,"priority_id":2,"assigned_to_id":23,"start_date":"2017-07-29","description":"","custom_fields":[{"id":1,"name":"Subdivision","value":"Other"},{"id":4,"name":"Milepost","value":"0.015"},{"id":17,"name":"Train ID","value":"308-29"},{"id":16,"name":"Locomotive ID","value":"4011"},{"id":130,"name":"Impact","value":""},{"id":150,"name":"Time of Event (Mountain Time)","value":"04:35:27"},{"id":151,"name":"Denver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62"/>
        <v>start /low /b %USERPROFILE%\Documents\GitHub\eaglep3\Utilities\DownloadLogsFromS3.py --loco 4011 --day 2017-07-29</v>
      </c>
      <c r="AN202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10:35:27"},{"id":29,"name":"Sharepoint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670</v>
      </c>
      <c r="B203" s="7">
        <v>4021</v>
      </c>
      <c r="C203" s="21" t="s">
        <v>198</v>
      </c>
      <c r="D203" s="21" t="s">
        <v>1005</v>
      </c>
      <c r="E203" s="13">
        <v>42945.075833333336</v>
      </c>
      <c r="F203" s="13">
        <v>42945.077280092592</v>
      </c>
      <c r="G203" s="7">
        <v>1</v>
      </c>
      <c r="H203" s="21" t="s">
        <v>1006</v>
      </c>
      <c r="I203" s="13">
        <v>42945.077986111108</v>
      </c>
      <c r="J203" s="7">
        <v>0</v>
      </c>
      <c r="K203" s="89" t="str">
        <f t="shared" si="48"/>
        <v>4021/4022</v>
      </c>
      <c r="L203" s="21" t="str">
        <f>VLOOKUP(A203,'Trips&amp;Operators'!$C$1:$G$99999,5,FALSE)</f>
        <v>PERKINS DARREN</v>
      </c>
      <c r="M203" s="6">
        <f t="shared" si="49"/>
        <v>7.0601851621177047E-4</v>
      </c>
      <c r="N203" s="7">
        <f t="shared" si="68"/>
        <v>1.0166666633449495</v>
      </c>
      <c r="O203" s="7"/>
      <c r="P203" s="7"/>
      <c r="Q203" s="22"/>
      <c r="R203" s="170"/>
      <c r="S203" s="213">
        <f t="shared" si="69"/>
        <v>0</v>
      </c>
      <c r="T203" s="195" t="str">
        <f t="shared" si="50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96" t="str">
        <f t="shared" si="51"/>
        <v>https://d0f6bd738d7f1b3e5a7ca70fe4ff75f0.us-east-1.aws.found.io/app/kibana#/discover/Steve-Slow-Train-Analysis-(2080s-and-2083s)?_g=(refreshInterval:(display:Off,pause:!f,section:0,value:0),time:(from:'2017-07-29T00:49:12-0600',mode:absolute,to:'2017-07-29T02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3" s="197" t="str">
        <f>IF(AA203&lt;VLOOKUP(AG203,Variables!$AC$3:$AD$8,2,FALSE),"Y","N")</f>
        <v>Y</v>
      </c>
      <c r="X203" s="197">
        <f t="shared" si="70"/>
        <v>1</v>
      </c>
      <c r="Y203" s="197">
        <f t="shared" si="53"/>
        <v>0.39369999999999999</v>
      </c>
      <c r="Z203" s="197">
        <f t="shared" si="54"/>
        <v>0.13689999999999999</v>
      </c>
      <c r="AA203" s="197">
        <f t="shared" si="55"/>
        <v>0.25680000000000003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56"/>
        <v>309</v>
      </c>
      <c r="AE203" s="77" t="str">
        <f t="shared" si="57"/>
        <v>aws s3 cp s3://rtdc.mdm.uploadarchive.raw/RTDC4021/ "%USERPROFILE%\AppData\Local\Temp\OnboardLogs"\RTDC4021\2017-07-29 --exclude "*" --recursive --include "*20170729*" &amp; "%USERPROFILE%\Documents\GitHub\mrs-test-scripts\Headless Mode &amp; Sideloading\WalkAndUnGZ.bat" "%USERPROFILE%\AppData\Local\Temp\OnboardLogs"\RTDC4021\2017-07-29 &amp; aws s3 cp s3://rtdc.mdm.uploadarchive.raw/RTDC4021/ "%USERPROFILE%\AppData\Local\Temp\OnboardLogs"\RTDC4021\2017-07-30 --exclude "*" --recursive --include "*20170730*" &amp; "%USERPROFILE%\Documents\GitHub\mrs-test-scripts\Headless Mode &amp; Sideloading\WalkAndUnGZ.bat" "%USERPROFILE%\AppData\Local\Temp\OnboardLogs"\RTDC4021\2017-07-30</v>
      </c>
      <c r="AF203" s="74" t="str">
        <f t="shared" si="58"/>
        <v>"C:\Program Files (x86)\AstroGrep\AstroGrep.exe" /e /r /s /spath="%USERPROFILE%\AppData\Local\Temp\OnboardLogs" /stypes="app*4021*20170729*" /stext=" 07:.+((SYSTEM_STATE.+slice.+state.+changed )|(ment ac)|(multiple cpu faults)|(system.+state.+changed )|(\[timeout)|(PRM\|1\|D)|(kpr)|(kdp)|(train st.+moving)|(\|lc)|(penalty))"</v>
      </c>
      <c r="AG203" s="209" t="str">
        <f t="shared" si="59"/>
        <v>Other</v>
      </c>
      <c r="AH203" s="78" t="str">
        <f t="shared" si="60"/>
        <v>"%USERPROFILE%\Documents\GitHub\eaglep3\Utilities\RefineRTDCRunTimes.py" --tripid 309-28 --locoid 4021 --swversion DE.1.0.9.0 --startMP 204:3937 --initTime 2017-07-29T01:49:12 --startdatetime 2017-07-29T01:51:17 --delay 1 --endMP 204:1369 --enddatetime 2017-07-29T01:52:18 --enforcementcount 0 &gt;&gt;C:\Users\stu\Documents\GitHub\eaglep3-reporting\EC\2017-07-29-refined-times.txt</v>
      </c>
      <c r="AI203" s="96" t="str">
        <f t="shared" si="61"/>
        <v>echo {"issue":{"subject":"","project_id":79,"tracker_id":40,"status_id":1,"priority_id":2,"assigned_to_id":23,"start_date":"2017-07-29","description":"","custom_fields":[{"id":1,"name":"Subdivision","value":"Other"},{"id":4,"name":"Milepost","value":"0.1369"},{"id":17,"name":"Train ID","value":"309-28"},{"id":16,"name":"Locomotive ID","value":"4021"},{"id":130,"name":"Impact","value":""},{"id":150,"name":"Time of Event (Mountain Time)","value":"01:52:18"},{"id":151,"name":"Denver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62"/>
        <v>start /low /b %USERPROFILE%\Documents\GitHub\eaglep3\Utilities\DownloadLogsFromS3.py --loco 4021 --day 2017-07-29</v>
      </c>
      <c r="AN203" s="151" t="str">
        <f t="shared" si="63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07:52:18"},{"id":29,"name":"Sharepoint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872</v>
      </c>
      <c r="B204" s="7">
        <v>4024</v>
      </c>
      <c r="C204" s="21" t="s">
        <v>198</v>
      </c>
      <c r="D204" s="21" t="s">
        <v>1007</v>
      </c>
      <c r="E204" s="13">
        <v>42946.06759259259</v>
      </c>
      <c r="F204" s="13">
        <v>42946.069108796299</v>
      </c>
      <c r="G204" s="7">
        <v>1</v>
      </c>
      <c r="H204" s="21" t="s">
        <v>622</v>
      </c>
      <c r="I204" s="13">
        <v>42946.078113425923</v>
      </c>
      <c r="J204" s="7">
        <v>0</v>
      </c>
      <c r="K204" s="89" t="str">
        <f t="shared" si="48"/>
        <v>4023/4024</v>
      </c>
      <c r="L204" s="21" t="str">
        <f>VLOOKUP(A204,'Trips&amp;Operators'!$C$1:$G$99999,5,FALSE)</f>
        <v>PERKINS DARREN</v>
      </c>
      <c r="M204" s="6">
        <f t="shared" si="49"/>
        <v>9.0046296245418489E-3</v>
      </c>
      <c r="N204" s="7">
        <f t="shared" si="68"/>
        <v>12.966666659340262</v>
      </c>
      <c r="O204" s="7"/>
      <c r="P204" s="7"/>
      <c r="Q204" s="22"/>
      <c r="R204" s="170"/>
      <c r="S204" s="213">
        <f t="shared" si="69"/>
        <v>1</v>
      </c>
      <c r="T204" s="195" t="str">
        <f t="shared" si="50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51"/>
        <v>https://d0f6bd738d7f1b3e5a7ca70fe4ff75f0.us-east-1.aws.found.io/app/kibana#/discover/Steve-Slow-Train-Analysis-(2080s-and-2083s)?_g=(refreshInterval:(display:Off,pause:!f,section:0,value:0),time:(from:'2017-07-30T00:37:20-0600',mode:absolute,to:'2017-07-30T02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4" s="197" t="str">
        <f>IF(AA204&lt;VLOOKUP(AG204,Variables!$AC$3:$AD$8,2,FALSE),"Y","N")</f>
        <v>Y</v>
      </c>
      <c r="X204" s="197">
        <f t="shared" si="70"/>
        <v>0</v>
      </c>
      <c r="Y204" s="197">
        <f t="shared" si="53"/>
        <v>6.1699999999999998E-2</v>
      </c>
      <c r="Z204" s="197">
        <f t="shared" si="54"/>
        <v>2.3306</v>
      </c>
      <c r="AA204" s="197">
        <f t="shared" si="55"/>
        <v>2.2688999999999999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56"/>
        <v>309</v>
      </c>
      <c r="AE204" s="77" t="str">
        <f t="shared" si="57"/>
        <v>aws s3 cp s3://rtdc.mdm.uploadarchive.raw/RTDC4024/ "%USERPROFILE%\AppData\Local\Temp\OnboardLogs"\RTDC4024\2017-07-30 --exclude "*" --recursive --include "*20170730*" &amp; "%USERPROFILE%\Documents\GitHub\mrs-test-scripts\Headless Mode &amp; Sideloading\WalkAndUnGZ.bat" "%USERPROFILE%\AppData\Local\Temp\OnboardLogs"\RTDC4024\2017-07-30 &amp; aws s3 cp s3://rtdc.mdm.uploadarchive.raw/RTDC4024/ "%USERPROFILE%\AppData\Local\Temp\OnboardLogs"\RTDC4024\2017-07-31 --exclude "*" --recursive --include "*20170731*" &amp; "%USERPROFILE%\Documents\GitHub\mrs-test-scripts\Headless Mode &amp; Sideloading\WalkAndUnGZ.bat" "%USERPROFILE%\AppData\Local\Temp\OnboardLogs"\RTDC4024\2017-07-31</v>
      </c>
      <c r="AF204" s="74" t="str">
        <f t="shared" si="58"/>
        <v>"C:\Program Files (x86)\AstroGrep\AstroGrep.exe" /e /r /s /spath="%USERPROFILE%\AppData\Local\Temp\OnboardLogs" /stypes="app*4024*20170730*" /stext=" 07:.+((SYSTEM_STATE.+slice.+state.+changed )|(ment ac)|(multiple cpu faults)|(system.+state.+changed )|(\[timeout)|(PRM\|1\|D)|(kpr)|(kdp)|(train st.+moving)|(\|lc)|(penalty))"</v>
      </c>
      <c r="AG204" s="209" t="str">
        <f t="shared" si="59"/>
        <v>Other</v>
      </c>
      <c r="AH204" s="78" t="str">
        <f t="shared" si="60"/>
        <v>"%USERPROFILE%\Documents\GitHub\eaglep3\Utilities\RefineRTDCRunTimes.py" --tripid 309-29 --locoid 4024 --swversion DE.1.0.9.0 --startMP 204:617 --initTime 2017-07-30T01:37:20 --startdatetime 2017-07-30T01:39:31 --delay 1 --endMP 300:23306 --enddatetime 2017-07-30T01:52:29 --enforcementcount 0 &gt;&gt;C:\Users\stu\Documents\GitHub\eaglep3-reporting\EC\2017-07-29-refined-times.txt</v>
      </c>
      <c r="AI204" s="96" t="str">
        <f t="shared" si="61"/>
        <v>echo {"issue":{"subject":"","project_id":79,"tracker_id":40,"status_id":1,"priority_id":2,"assigned_to_id":23,"start_date":"2017-07-30","description":"","custom_fields":[{"id":1,"name":"Subdivision","value":"Other"},{"id":4,"name":"Milepost","value":"2.3306"},{"id":17,"name":"Train ID","value":"309-29"},{"id":16,"name":"Locomotive ID","value":"4024"},{"id":130,"name":"Impact","value":""},{"id":150,"name":"Time of Event (Mountain Time)","value":"01:52:29"},{"id":151,"name":"Denver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62"/>
        <v>start /low /b %USERPROFILE%\Documents\GitHub\eaglep3\Utilities\DownloadLogsFromS3.py --loco 4024 --day 2017-07-30</v>
      </c>
      <c r="AN204" s="151" t="str">
        <f t="shared" si="63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07:52:29"},{"id":29,"name":"Sharepoint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694</v>
      </c>
      <c r="B205" s="7">
        <v>4027</v>
      </c>
      <c r="C205" s="21" t="s">
        <v>198</v>
      </c>
      <c r="D205" s="21" t="s">
        <v>1008</v>
      </c>
      <c r="E205" s="13">
        <v>42945.198877314811</v>
      </c>
      <c r="F205" s="13">
        <v>42945.201909722222</v>
      </c>
      <c r="G205" s="7">
        <v>4</v>
      </c>
      <c r="H205" s="21" t="s">
        <v>343</v>
      </c>
      <c r="I205" s="13">
        <v>42945.208460648151</v>
      </c>
      <c r="J205" s="7">
        <v>0</v>
      </c>
      <c r="K205" s="89" t="str">
        <f t="shared" ref="K205:K218" si="71">IF(ISEVEN(B205),(B205-1)&amp;"/"&amp;B205,B205&amp;"/"&amp;(B205+1))</f>
        <v>4027/4028</v>
      </c>
      <c r="L205" s="21" t="str">
        <f>VLOOKUP(A205,'Trips&amp;Operators'!$C$1:$G$99999,5,FALSE)</f>
        <v>DAVIDSON DAVID</v>
      </c>
      <c r="M205" s="6">
        <f t="shared" ref="M205:M218" si="72">I205-F205</f>
        <v>6.550925929332152E-3</v>
      </c>
      <c r="N205" s="7">
        <f t="shared" si="68"/>
        <v>9.4333333382382989</v>
      </c>
      <c r="O205" s="7"/>
      <c r="P205" s="7"/>
      <c r="Q205" s="22"/>
      <c r="R205" s="170"/>
      <c r="S205" s="213">
        <f t="shared" si="69"/>
        <v>1</v>
      </c>
      <c r="T205" s="195" t="str">
        <f t="shared" ref="T205:T218" si="73"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18" si="7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-29T03:46:23-0600',mode:absolute,to:'2017-07-29T06:00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5" s="197" t="str">
        <f>IF(AA205&lt;VLOOKUP(AG205,Variables!$AC$3:$AD$8,2,FALSE),"Y","N")</f>
        <v>Y</v>
      </c>
      <c r="X205" s="197">
        <f t="shared" si="70"/>
        <v>1</v>
      </c>
      <c r="Y205" s="197">
        <f t="shared" ref="Y205:Y218" si="75">RIGHT(D205,LEN(D205)-4)/10000</f>
        <v>2.3374000000000001</v>
      </c>
      <c r="Z205" s="197">
        <f t="shared" ref="Z205:Z218" si="76">RIGHT(H205,LEN(H205)-4)/10000</f>
        <v>1.43E-2</v>
      </c>
      <c r="AA205" s="197">
        <f t="shared" ref="AA205:AA268" si="77">ABS(Z205-Y205)</f>
        <v>2.3231000000000002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18" si="78">VALUE(LEFT(A205,LEN(A205)-3))</f>
        <v>310</v>
      </c>
      <c r="AE205" s="77" t="str">
        <f t="shared" ref="AE205:AE218" si="7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s3://rtdc.mdm.uploadarchive.raw/RTDC4027/ "%USERPROFILE%\AppData\Local\Temp\OnboardLogs"\RTDC4027\2017-07-29 --exclude "*" --recursive --include "*20170729*" &amp; "%USERPROFILE%\Documents\GitHub\mrs-test-scripts\Headless Mode &amp; Sideloading\WalkAndUnGZ.bat" "%USERPROFILE%\AppData\Local\Temp\OnboardLogs"\RTDC4027\2017-07-29 &amp; aws s3 cp s3://rtdc.mdm.uploadarchive.raw/RTDC4027/ "%USERPROFILE%\AppData\Local\Temp\OnboardLogs"\RTDC4027\2017-07-30 --exclude "*" --recursive --include "*20170730*" &amp; "%USERPROFILE%\Documents\GitHub\mrs-test-scripts\Headless Mode &amp; Sideloading\WalkAndUnGZ.bat" "%USERPROFILE%\AppData\Local\Temp\OnboardLogs"\RTDC4027\2017-07-30</v>
      </c>
      <c r="AF205" s="74" t="str">
        <f t="shared" ref="AF205:AF218" si="8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/stypes="app*4027*20170729*" /stext=" 11:.+((SYSTEM_STATE.+slice.+state.+changed )|(ment ac)|(multiple cpu faults)|(system.+state.+changed )|(\[timeout)|(PRM\|1\|D)|(kpr)|(kdp)|(train st.+moving)|(\|lc)|(penalty))"</v>
      </c>
      <c r="AG205" s="209" t="str">
        <f t="shared" ref="AG205:AG218" si="81">DetSubdiv(A205)</f>
        <v>Other</v>
      </c>
      <c r="AH205" s="78" t="str">
        <f t="shared" ref="AH205:AH218" si="82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310-29 --locoid 4027 --swversion DE.1.0.9.0 --startMP 300:23374 --initTime 2017-07-29T04:46:23 --startdatetime 2017-07-29T04:50:45 --delay 4 --endMP 204:143 --enddatetime 2017-07-29T05:00:11 --enforcementcount 0 &gt;&gt;C:\Users\stu\Documents\GitHub\eaglep3-reporting\EC\2017-07-29-refined-times.txt</v>
      </c>
      <c r="AI205" s="96" t="str">
        <f t="shared" ref="AI205:AI218" si="83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{"issue":{"subject":"","project_id":79,"tracker_id":40,"status_id":1,"priority_id":2,"assigned_to_id":23,"start_date":"2017-07-29","description":"","custom_fields":[{"id":1,"name":"Subdivision","value":"Other"},{"id":4,"name":"Milepost","value":"0.0143"},{"id":17,"name":"Train ID","value":"310-29"},{"id":16,"name":"Locomotive ID","value":"4027"},{"id":130,"name":"Impact","value":""},{"id":150,"name":"Time of Event (Mountain Time)","value":"05:00:11"},{"id":151,"name":"Denver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ref="AM205:AM218" si="84">"start /low /b "&amp;dls3logs&amp;" --loco "&amp;B205&amp;" --day "&amp;TEXT(F205,"YYYY-MM-DD")</f>
        <v>start /low /b %USERPROFILE%\Documents\GitHub\eaglep3\Utilities\DownloadLogsFromS3.py --loco 4027 --day 2017-07-29</v>
      </c>
      <c r="AN205" s="151" t="str">
        <f t="shared" ref="AN205:AN218" si="85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11:00:11"},{"id":29,"name":"Sharepoint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s="20" customFormat="1" x14ac:dyDescent="0.25">
      <c r="A206" s="32" t="s">
        <v>673</v>
      </c>
      <c r="B206" s="7">
        <v>4044</v>
      </c>
      <c r="C206" s="21" t="s">
        <v>198</v>
      </c>
      <c r="D206" s="21" t="s">
        <v>995</v>
      </c>
      <c r="E206" s="13">
        <v>42945.09134259259</v>
      </c>
      <c r="F206" s="13">
        <v>42945.093715277777</v>
      </c>
      <c r="G206" s="7">
        <v>1</v>
      </c>
      <c r="H206" s="21" t="s">
        <v>1009</v>
      </c>
      <c r="I206" s="13">
        <v>42945.10359953704</v>
      </c>
      <c r="J206" s="7">
        <v>0</v>
      </c>
      <c r="K206" s="89" t="str">
        <f t="shared" si="71"/>
        <v>4043/4044</v>
      </c>
      <c r="L206" s="21" t="str">
        <f>VLOOKUP(A206,'Trips&amp;Operators'!$C$1:$G$99999,5,FALSE)</f>
        <v>FORTUNATO FRANK</v>
      </c>
      <c r="M206" s="6">
        <f t="shared" si="72"/>
        <v>9.8842592633445747E-3</v>
      </c>
      <c r="N206" s="7">
        <f t="shared" si="68"/>
        <v>14.233333339216188</v>
      </c>
      <c r="O206" s="7"/>
      <c r="P206" s="7"/>
      <c r="Q206" s="22"/>
      <c r="R206" s="170"/>
      <c r="S206" s="213">
        <f t="shared" si="69"/>
        <v>1</v>
      </c>
      <c r="T206" s="195" t="str">
        <f t="shared" si="73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74"/>
        <v>https://d0f6bd738d7f1b3e5a7ca70fe4ff75f0.us-east-1.aws.found.io/app/kibana#/discover/Steve-Slow-Train-Analysis-(2080s-and-2083s)?_g=(refreshInterval:(display:Off,pause:!f,section:0,value:0),time:(from:'2017-07-29T01:11:32-0600',mode:absolute,to:'2017-07-29T03:29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6" s="197" t="str">
        <f>IF(AA206&lt;VLOOKUP(AG206,Variables!$AC$3:$AD$8,2,FALSE),"Y","N")</f>
        <v>Y</v>
      </c>
      <c r="X206" s="197">
        <f t="shared" si="70"/>
        <v>1</v>
      </c>
      <c r="Y206" s="197">
        <f t="shared" si="75"/>
        <v>4.7699999999999999E-2</v>
      </c>
      <c r="Z206" s="197">
        <f t="shared" si="76"/>
        <v>2.3317999999999999</v>
      </c>
      <c r="AA206" s="197">
        <f t="shared" si="77"/>
        <v>2.2841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78"/>
        <v>311</v>
      </c>
      <c r="AE206" s="77" t="str">
        <f t="shared" si="79"/>
        <v>aws s3 cp s3://rtdc.mdm.uploadarchive.raw/RTDC4044/ "%USERPROFILE%\AppData\Local\Temp\OnboardLogs"\RTDC4044\2017-07-29 --exclude "*" --recursive --include "*20170729*" &amp; "%USERPROFILE%\Documents\GitHub\mrs-test-scripts\Headless Mode &amp; Sideloading\WalkAndUnGZ.bat" "%USERPROFILE%\AppData\Local\Temp\OnboardLogs"\RTDC4044\2017-07-29 &amp; aws s3 cp s3://rtdc.mdm.uploadarchive.raw/RTDC4044/ "%USERPROFILE%\AppData\Local\Temp\OnboardLogs"\RTDC4044\2017-07-30 --exclude "*" --recursive --include "*20170730*" &amp; "%USERPROFILE%\Documents\GitHub\mrs-test-scripts\Headless Mode &amp; Sideloading\WalkAndUnGZ.bat" "%USERPROFILE%\AppData\Local\Temp\OnboardLogs"\RTDC4044\2017-07-30</v>
      </c>
      <c r="AF206" s="74" t="str">
        <f t="shared" si="80"/>
        <v>"C:\Program Files (x86)\AstroGrep\AstroGrep.exe" /e /r /s /spath="%USERPROFILE%\AppData\Local\Temp\OnboardLogs" /stypes="app*4044*20170729*" /stext=" 08:.+((SYSTEM_STATE.+slice.+state.+changed )|(ment ac)|(multiple cpu faults)|(system.+state.+changed )|(\[timeout)|(PRM\|1\|D)|(kpr)|(kdp)|(train st.+moving)|(\|lc)|(penalty))"</v>
      </c>
      <c r="AG206" s="209" t="str">
        <f t="shared" si="81"/>
        <v>Other</v>
      </c>
      <c r="AH206" s="78" t="str">
        <f t="shared" si="82"/>
        <v>"%USERPROFILE%\Documents\GitHub\eaglep3\Utilities\RefineRTDCRunTimes.py" --tripid 311-28 --locoid 4044 --swversion DE.1.0.9.0 --startMP 204:477 --initTime 2017-07-29T02:11:32 --startdatetime 2017-07-29T02:14:57 --delay 1 --endMP 300:23318 --enddatetime 2017-07-29T02:29:11 --enforcementcount 0 &gt;&gt;C:\Users\stu\Documents\GitHub\eaglep3-reporting\EC\2017-07-29-refined-times.txt</v>
      </c>
      <c r="AI206" s="96" t="str">
        <f t="shared" si="83"/>
        <v>echo {"issue":{"subject":"","project_id":79,"tracker_id":40,"status_id":1,"priority_id":2,"assigned_to_id":23,"start_date":"2017-07-29","description":"","custom_fields":[{"id":1,"name":"Subdivision","value":"Other"},{"id":4,"name":"Milepost","value":"2.3318"},{"id":17,"name":"Train ID","value":"311-28"},{"id":16,"name":"Locomotive ID","value":"4044"},{"id":130,"name":"Impact","value":""},{"id":150,"name":"Time of Event (Mountain Time)","value":"02:29:11"},{"id":151,"name":"Denver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84"/>
        <v>start /low /b %USERPROFILE%\Documents\GitHub\eaglep3\Utilities\DownloadLogsFromS3.py --loco 4044 --day 2017-07-29</v>
      </c>
      <c r="AN206" s="151" t="str">
        <f t="shared" si="8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08:29:11"},{"id":29,"name":"Sharepoint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874</v>
      </c>
      <c r="B207" s="7">
        <v>4056</v>
      </c>
      <c r="C207" s="21" t="s">
        <v>198</v>
      </c>
      <c r="D207" s="21" t="s">
        <v>406</v>
      </c>
      <c r="E207" s="13">
        <v>42946.088784722226</v>
      </c>
      <c r="F207" s="13">
        <v>42946.090763888889</v>
      </c>
      <c r="G207" s="7">
        <v>1</v>
      </c>
      <c r="H207" s="21" t="s">
        <v>346</v>
      </c>
      <c r="I207" s="13">
        <v>42946.10056712963</v>
      </c>
      <c r="J207" s="7">
        <v>0</v>
      </c>
      <c r="K207" s="89" t="str">
        <f t="shared" si="71"/>
        <v>4055/4056</v>
      </c>
      <c r="L207" s="21" t="str">
        <f>VLOOKUP(A207,'Trips&amp;Operators'!$C$1:$G$99999,5,FALSE)</f>
        <v>FORTUNATO FRANK</v>
      </c>
      <c r="M207" s="6">
        <f t="shared" si="72"/>
        <v>9.8032407404389232E-3</v>
      </c>
      <c r="N207" s="7">
        <f t="shared" si="68"/>
        <v>14.116666666232049</v>
      </c>
      <c r="O207" s="7"/>
      <c r="P207" s="7"/>
      <c r="Q207" s="22"/>
      <c r="R207" s="170"/>
      <c r="S207" s="213">
        <f t="shared" si="69"/>
        <v>1</v>
      </c>
      <c r="T207" s="195" t="str">
        <f t="shared" si="73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74"/>
        <v>https://d0f6bd738d7f1b3e5a7ca70fe4ff75f0.us-east-1.aws.found.io/app/kibana#/discover/Steve-Slow-Train-Analysis-(2080s-and-2083s)?_g=(refreshInterval:(display:Off,pause:!f,section:0,value:0),time:(from:'2017-07-30T01:07:51-0600',mode:absolute,to:'2017-07-30T03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7" s="197" t="str">
        <f>IF(AA207&lt;VLOOKUP(AG207,Variables!$AC$3:$AD$8,2,FALSE),"Y","N")</f>
        <v>Y</v>
      </c>
      <c r="X207" s="197">
        <f t="shared" si="70"/>
        <v>0</v>
      </c>
      <c r="Y207" s="197">
        <f t="shared" si="75"/>
        <v>4.58E-2</v>
      </c>
      <c r="Z207" s="197">
        <f t="shared" si="76"/>
        <v>2.3346</v>
      </c>
      <c r="AA207" s="197">
        <f t="shared" si="77"/>
        <v>2.2888000000000002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78"/>
        <v>311</v>
      </c>
      <c r="AE207" s="77" t="str">
        <f t="shared" si="79"/>
        <v>aws s3 cp s3://rtdc.mdm.uploadarchive.raw/RTDC4056/ "%USERPROFILE%\AppData\Local\Temp\OnboardLogs"\RTDC4056\2017-07-30 --exclude "*" --recursive --include "*20170730*" &amp; "%USERPROFILE%\Documents\GitHub\mrs-test-scripts\Headless Mode &amp; Sideloading\WalkAndUnGZ.bat" "%USERPROFILE%\AppData\Local\Temp\OnboardLogs"\RTDC4056\2017-07-30 &amp; aws s3 cp s3://rtdc.mdm.uploadarchive.raw/RTDC4056/ "%USERPROFILE%\AppData\Local\Temp\OnboardLogs"\RTDC4056\2017-07-31 --exclude "*" --recursive --include "*20170731*" &amp; "%USERPROFILE%\Documents\GitHub\mrs-test-scripts\Headless Mode &amp; Sideloading\WalkAndUnGZ.bat" "%USERPROFILE%\AppData\Local\Temp\OnboardLogs"\RTDC4056\2017-07-31</v>
      </c>
      <c r="AF207" s="74" t="str">
        <f t="shared" si="80"/>
        <v>"C:\Program Files (x86)\AstroGrep\AstroGrep.exe" /e /r /s /spath="%USERPROFILE%\AppData\Local\Temp\OnboardLogs" /stypes="app*4056*20170730*" /stext=" 08:.+((SYSTEM_STATE.+slice.+state.+changed )|(ment ac)|(multiple cpu faults)|(system.+state.+changed )|(\[timeout)|(PRM\|1\|D)|(kpr)|(kdp)|(train st.+moving)|(\|lc)|(penalty))"</v>
      </c>
      <c r="AG207" s="209" t="str">
        <f t="shared" si="81"/>
        <v>Other</v>
      </c>
      <c r="AH207" s="78" t="str">
        <f t="shared" si="82"/>
        <v>"%USERPROFILE%\Documents\GitHub\eaglep3\Utilities\RefineRTDCRunTimes.py" --tripid 311-29 --locoid 4056 --swversion DE.1.0.9.0 --startMP 204:458 --initTime 2017-07-30T02:07:51 --startdatetime 2017-07-30T02:10:42 --delay 1 --endMP 300:23346 --enddatetime 2017-07-30T02:24:49 --enforcementcount 0 &gt;&gt;C:\Users\stu\Documents\GitHub\eaglep3-reporting\EC\2017-07-29-refined-times.txt</v>
      </c>
      <c r="AI207" s="96" t="str">
        <f t="shared" si="83"/>
        <v>echo {"issue":{"subject":"","project_id":79,"tracker_id":40,"status_id":1,"priority_id":2,"assigned_to_id":23,"start_date":"2017-07-30","description":"","custom_fields":[{"id":1,"name":"Subdivision","value":"Other"},{"id":4,"name":"Milepost","value":"2.3346"},{"id":17,"name":"Train ID","value":"311-29"},{"id":16,"name":"Locomotive ID","value":"4056"},{"id":130,"name":"Impact","value":""},{"id":150,"name":"Time of Event (Mountain Time)","value":"02:24:49"},{"id":151,"name":"Denver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84"/>
        <v>start /low /b %USERPROFILE%\Documents\GitHub\eaglep3\Utilities\DownloadLogsFromS3.py --loco 4056 --day 2017-07-30</v>
      </c>
      <c r="AN207" s="151" t="str">
        <f t="shared" si="85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08:24:49"},{"id":29,"name":"Sharepoint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701</v>
      </c>
      <c r="B208" s="7">
        <v>4029</v>
      </c>
      <c r="C208" s="21" t="s">
        <v>198</v>
      </c>
      <c r="D208" s="21" t="s">
        <v>1010</v>
      </c>
      <c r="E208" s="13">
        <v>42945.218854166669</v>
      </c>
      <c r="F208" s="13">
        <v>42945.222662037035</v>
      </c>
      <c r="G208" s="7">
        <v>5</v>
      </c>
      <c r="H208" s="21" t="s">
        <v>611</v>
      </c>
      <c r="I208" s="13">
        <v>42945.228877314818</v>
      </c>
      <c r="J208" s="7">
        <v>0</v>
      </c>
      <c r="K208" s="89" t="str">
        <f t="shared" si="71"/>
        <v>4029/4030</v>
      </c>
      <c r="L208" s="21" t="str">
        <f>VLOOKUP(A208,'Trips&amp;Operators'!$C$1:$G$99999,5,FALSE)</f>
        <v>GUZMAN DANNY</v>
      </c>
      <c r="M208" s="6">
        <f t="shared" si="72"/>
        <v>6.2152777827577665E-3</v>
      </c>
      <c r="N208" s="7">
        <f t="shared" si="68"/>
        <v>8.9500000071711838</v>
      </c>
      <c r="O208" s="7"/>
      <c r="P208" s="7"/>
      <c r="Q208" s="22"/>
      <c r="R208" s="170"/>
      <c r="S208" s="213">
        <f t="shared" si="69"/>
        <v>1</v>
      </c>
      <c r="T208" s="195" t="str">
        <f t="shared" si="73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74"/>
        <v>https://d0f6bd738d7f1b3e5a7ca70fe4ff75f0.us-east-1.aws.found.io/app/kibana#/discover/Steve-Slow-Train-Analysis-(2080s-and-2083s)?_g=(refreshInterval:(display:Off,pause:!f,section:0,value:0),time:(from:'2017-07-29T04:15:09-0600',mode:absolute,to:'2017-07-29T06:29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8" s="197" t="str">
        <f>IF(AA208&lt;VLOOKUP(AG208,Variables!$AC$3:$AD$8,2,FALSE),"Y","N")</f>
        <v>Y</v>
      </c>
      <c r="X208" s="197">
        <f t="shared" si="70"/>
        <v>1</v>
      </c>
      <c r="Y208" s="197">
        <f t="shared" si="75"/>
        <v>2.3525</v>
      </c>
      <c r="Z208" s="197">
        <f t="shared" si="76"/>
        <v>1.29E-2</v>
      </c>
      <c r="AA208" s="197">
        <f t="shared" si="77"/>
        <v>2.3395999999999999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78"/>
        <v>312</v>
      </c>
      <c r="AE208" s="77" t="str">
        <f t="shared" si="79"/>
        <v>aws s3 cp s3://rtdc.mdm.uploadarchive.raw/RTDC4029/ "%USERPROFILE%\AppData\Local\Temp\OnboardLogs"\RTDC4029\2017-07-29 --exclude "*" --recursive --include "*20170729*" &amp; "%USERPROFILE%\Documents\GitHub\mrs-test-scripts\Headless Mode &amp; Sideloading\WalkAndUnGZ.bat" "%USERPROFILE%\AppData\Local\Temp\OnboardLogs"\RTDC4029\2017-07-29 &amp; aws s3 cp s3://rtdc.mdm.uploadarchive.raw/RTDC4029/ "%USERPROFILE%\AppData\Local\Temp\OnboardLogs"\RTDC4029\2017-07-30 --exclude "*" --recursive --include "*20170730*" &amp; "%USERPROFILE%\Documents\GitHub\mrs-test-scripts\Headless Mode &amp; Sideloading\WalkAndUnGZ.bat" "%USERPROFILE%\AppData\Local\Temp\OnboardLogs"\RTDC4029\2017-07-30</v>
      </c>
      <c r="AF208" s="74" t="str">
        <f t="shared" si="80"/>
        <v>"C:\Program Files (x86)\AstroGrep\AstroGrep.exe" /e /r /s /spath="%USERPROFILE%\AppData\Local\Temp\OnboardLogs" /stypes="app*4029*20170729*" /stext=" 11:.+((SYSTEM_STATE.+slice.+state.+changed )|(ment ac)|(multiple cpu faults)|(system.+state.+changed )|(\[timeout)|(PRM\|1\|D)|(kpr)|(kdp)|(train st.+moving)|(\|lc)|(penalty))"</v>
      </c>
      <c r="AG208" s="209" t="str">
        <f t="shared" si="81"/>
        <v>Other</v>
      </c>
      <c r="AH208" s="78" t="str">
        <f t="shared" si="82"/>
        <v>"%USERPROFILE%\Documents\GitHub\eaglep3\Utilities\RefineRTDCRunTimes.py" --tripid 312-29 --locoid 4029 --swversion DE.1.0.9.0 --startMP 300:23525 --initTime 2017-07-29T05:15:09 --startdatetime 2017-07-29T05:20:38 --delay 5 --endMP 204:129 --enddatetime 2017-07-29T05:29:35 --enforcementcount 0 &gt;&gt;C:\Users\stu\Documents\GitHub\eaglep3-reporting\EC\2017-07-29-refined-times.txt</v>
      </c>
      <c r="AI208" s="96" t="str">
        <f t="shared" si="83"/>
        <v>echo {"issue":{"subject":"","project_id":79,"tracker_id":40,"status_id":1,"priority_id":2,"assigned_to_id":23,"start_date":"2017-07-29","description":"","custom_fields":[{"id":1,"name":"Subdivision","value":"Other"},{"id":4,"name":"Milepost","value":"0.0129"},{"id":17,"name":"Train ID","value":"312-29"},{"id":16,"name":"Locomotive ID","value":"4029"},{"id":130,"name":"Impact","value":""},{"id":150,"name":"Time of Event (Mountain Time)","value":"05:29:35"},{"id":151,"name":"Denver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84"/>
        <v>start /low /b %USERPROFILE%\Documents\GitHub\eaglep3\Utilities\DownloadLogsFromS3.py --loco 4029 --day 2017-07-29</v>
      </c>
      <c r="AN208" s="151" t="str">
        <f t="shared" si="8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11:29:35"},{"id":29,"name":"Sharepoint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s="20" customFormat="1" x14ac:dyDescent="0.25">
      <c r="A209" s="32" t="s">
        <v>674</v>
      </c>
      <c r="B209" s="7">
        <v>4006</v>
      </c>
      <c r="C209" s="21" t="s">
        <v>198</v>
      </c>
      <c r="D209" s="21" t="s">
        <v>605</v>
      </c>
      <c r="E209" s="13">
        <v>42945.110798611109</v>
      </c>
      <c r="F209" s="13">
        <v>42945.112708333334</v>
      </c>
      <c r="G209" s="7">
        <v>1</v>
      </c>
      <c r="H209" s="21" t="s">
        <v>346</v>
      </c>
      <c r="I209" s="13">
        <v>42945.122071759259</v>
      </c>
      <c r="J209" s="7">
        <v>0</v>
      </c>
      <c r="K209" s="89" t="str">
        <f t="shared" si="71"/>
        <v>4005/4006</v>
      </c>
      <c r="L209" s="21" t="str">
        <f>VLOOKUP(A209,'Trips&amp;Operators'!$C$1:$G$99999,5,FALSE)</f>
        <v>LAMAR NEKESHA</v>
      </c>
      <c r="M209" s="6">
        <f t="shared" si="72"/>
        <v>9.3634259246755391E-3</v>
      </c>
      <c r="N209" s="7">
        <f t="shared" si="68"/>
        <v>13.483333331532776</v>
      </c>
      <c r="O209" s="7"/>
      <c r="P209" s="7"/>
      <c r="Q209" s="22"/>
      <c r="R209" s="170"/>
      <c r="S209" s="213">
        <f t="shared" si="69"/>
        <v>1</v>
      </c>
      <c r="T209" s="195" t="str">
        <f t="shared" si="73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74"/>
        <v>https://d0f6bd738d7f1b3e5a7ca70fe4ff75f0.us-east-1.aws.found.io/app/kibana#/discover/Steve-Slow-Train-Analysis-(2080s-and-2083s)?_g=(refreshInterval:(display:Off,pause:!f,section:0,value:0),time:(from:'2017-07-29T01:39:33-0600',mode:absolute,to:'2017-07-29T03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9" s="197" t="str">
        <f>IF(AA209&lt;VLOOKUP(AG209,Variables!$AC$3:$AD$8,2,FALSE),"Y","N")</f>
        <v>Y</v>
      </c>
      <c r="X209" s="197">
        <f t="shared" si="70"/>
        <v>1</v>
      </c>
      <c r="Y209" s="197">
        <f t="shared" si="75"/>
        <v>4.6399999999999997E-2</v>
      </c>
      <c r="Z209" s="197">
        <f t="shared" si="76"/>
        <v>2.3346</v>
      </c>
      <c r="AA209" s="197">
        <f t="shared" si="77"/>
        <v>2.2881999999999998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78"/>
        <v>313</v>
      </c>
      <c r="AE209" s="77" t="str">
        <f t="shared" si="79"/>
        <v>aws s3 cp s3://rtdc.mdm.uploadarchive.raw/RTDC4006/ "%USERPROFILE%\AppData\Local\Temp\OnboardLogs"\RTDC4006\2017-07-29 --exclude "*" --recursive --include "*20170729*" &amp; "%USERPROFILE%\Documents\GitHub\mrs-test-scripts\Headless Mode &amp; Sideloading\WalkAndUnGZ.bat" "%USERPROFILE%\AppData\Local\Temp\OnboardLogs"\RTDC4006\2017-07-29 &amp; aws s3 cp s3://rtdc.mdm.uploadarchive.raw/RTDC4006/ "%USERPROFILE%\AppData\Local\Temp\OnboardLogs"\RTDC4006\2017-07-30 --exclude "*" --recursive --include "*20170730*" &amp; "%USERPROFILE%\Documents\GitHub\mrs-test-scripts\Headless Mode &amp; Sideloading\WalkAndUnGZ.bat" "%USERPROFILE%\AppData\Local\Temp\OnboardLogs"\RTDC4006\2017-07-30</v>
      </c>
      <c r="AF209" s="74" t="str">
        <f t="shared" si="80"/>
        <v>"C:\Program Files (x86)\AstroGrep\AstroGrep.exe" /e /r /s /spath="%USERPROFILE%\AppData\Local\Temp\OnboardLogs" /stypes="app*4006*20170729*" /stext=" 08:.+((SYSTEM_STATE.+slice.+state.+changed )|(ment ac)|(multiple cpu faults)|(system.+state.+changed )|(\[timeout)|(PRM\|1\|D)|(kpr)|(kdp)|(train st.+moving)|(\|lc)|(penalty))"</v>
      </c>
      <c r="AG209" s="209" t="str">
        <f t="shared" si="81"/>
        <v>Other</v>
      </c>
      <c r="AH209" s="78" t="str">
        <f t="shared" si="82"/>
        <v>"%USERPROFILE%\Documents\GitHub\eaglep3\Utilities\RefineRTDCRunTimes.py" --tripid 313-28 --locoid 4006 --swversion DE.1.0.9.0 --startMP 204:464 --initTime 2017-07-29T02:39:33 --startdatetime 2017-07-29T02:42:18 --delay 1 --endMP 300:23346 --enddatetime 2017-07-29T02:55:47 --enforcementcount 0 &gt;&gt;C:\Users\stu\Documents\GitHub\eaglep3-reporting\EC\2017-07-29-refined-times.txt</v>
      </c>
      <c r="AI209" s="96" t="str">
        <f t="shared" si="83"/>
        <v>echo {"issue":{"subject":"","project_id":79,"tracker_id":40,"status_id":1,"priority_id":2,"assigned_to_id":23,"start_date":"2017-07-29","description":"","custom_fields":[{"id":1,"name":"Subdivision","value":"Other"},{"id":4,"name":"Milepost","value":"2.3346"},{"id":17,"name":"Train ID","value":"313-28"},{"id":16,"name":"Locomotive ID","value":"4006"},{"id":130,"name":"Impact","value":""},{"id":150,"name":"Time of Event (Mountain Time)","value":"02:55:47"},{"id":151,"name":"Denver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84"/>
        <v>start /low /b %USERPROFILE%\Documents\GitHub\eaglep3\Utilities\DownloadLogsFromS3.py --loco 4006 --day 2017-07-29</v>
      </c>
      <c r="AN209" s="151" t="str">
        <f t="shared" si="8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08:55:47"},{"id":29,"name":"Sharepoint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2" t="s">
        <v>875</v>
      </c>
      <c r="B210" s="7">
        <v>4042</v>
      </c>
      <c r="C210" s="21" t="s">
        <v>198</v>
      </c>
      <c r="D210" s="21" t="s">
        <v>345</v>
      </c>
      <c r="E210" s="13">
        <v>42946.1096875</v>
      </c>
      <c r="F210" s="13">
        <v>42946.112696759257</v>
      </c>
      <c r="G210" s="7">
        <v>1</v>
      </c>
      <c r="H210" s="21" t="s">
        <v>346</v>
      </c>
      <c r="I210" s="13">
        <v>42946.121458333335</v>
      </c>
      <c r="J210" s="7">
        <v>0</v>
      </c>
      <c r="K210" s="89" t="str">
        <f t="shared" si="71"/>
        <v>4041/4042</v>
      </c>
      <c r="L210" s="21" t="str">
        <f>VLOOKUP(A210,'Trips&amp;Operators'!$C$1:$G$99999,5,FALSE)</f>
        <v>LAMAR NEKESHA</v>
      </c>
      <c r="M210" s="6">
        <f t="shared" si="72"/>
        <v>8.7615740776527673E-3</v>
      </c>
      <c r="N210" s="7">
        <f t="shared" si="68"/>
        <v>12.616666671819985</v>
      </c>
      <c r="O210" s="7"/>
      <c r="P210" s="7"/>
      <c r="Q210" s="22"/>
      <c r="R210" s="170"/>
      <c r="S210" s="213">
        <f t="shared" si="69"/>
        <v>1</v>
      </c>
      <c r="T210" s="195" t="str">
        <f t="shared" si="73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74"/>
        <v>https://d0f6bd738d7f1b3e5a7ca70fe4ff75f0.us-east-1.aws.found.io/app/kibana#/discover/Steve-Slow-Train-Analysis-(2080s-and-2083s)?_g=(refreshInterval:(display:Off,pause:!f,section:0,value:0),time:(from:'2017-07-30T01:37:57-0600',mode:absolute,to:'2017-07-30T03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0" s="197" t="str">
        <f>IF(AA210&lt;VLOOKUP(AG210,Variables!$AC$3:$AD$8,2,FALSE),"Y","N")</f>
        <v>Y</v>
      </c>
      <c r="X210" s="197">
        <f t="shared" si="70"/>
        <v>0</v>
      </c>
      <c r="Y210" s="197">
        <f t="shared" si="75"/>
        <v>4.5100000000000001E-2</v>
      </c>
      <c r="Z210" s="197">
        <f t="shared" si="76"/>
        <v>2.3346</v>
      </c>
      <c r="AA210" s="197">
        <f t="shared" si="77"/>
        <v>2.2894999999999999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78"/>
        <v>313</v>
      </c>
      <c r="AE210" s="77" t="str">
        <f t="shared" si="79"/>
        <v>aws s3 cp s3://rtdc.mdm.uploadarchive.raw/RTDC4042/ "%USERPROFILE%\AppData\Local\Temp\OnboardLogs"\RTDC4042\2017-07-30 --exclude "*" --recursive --include "*20170730*" &amp; "%USERPROFILE%\Documents\GitHub\mrs-test-scripts\Headless Mode &amp; Sideloading\WalkAndUnGZ.bat" "%USERPROFILE%\AppData\Local\Temp\OnboardLogs"\RTDC4042\2017-07-30 &amp; aws s3 cp s3://rtdc.mdm.uploadarchive.raw/RTDC4042/ "%USERPROFILE%\AppData\Local\Temp\OnboardLogs"\RTDC4042\2017-07-31 --exclude "*" --recursive --include "*20170731*" &amp; "%USERPROFILE%\Documents\GitHub\mrs-test-scripts\Headless Mode &amp; Sideloading\WalkAndUnGZ.bat" "%USERPROFILE%\AppData\Local\Temp\OnboardLogs"\RTDC4042\2017-07-31</v>
      </c>
      <c r="AF210" s="74" t="str">
        <f t="shared" si="80"/>
        <v>"C:\Program Files (x86)\AstroGrep\AstroGrep.exe" /e /r /s /spath="%USERPROFILE%\AppData\Local\Temp\OnboardLogs" /stypes="app*4042*20170730*" /stext=" 08:.+((SYSTEM_STATE.+slice.+state.+changed )|(ment ac)|(multiple cpu faults)|(system.+state.+changed )|(\[timeout)|(PRM\|1\|D)|(kpr)|(kdp)|(train st.+moving)|(\|lc)|(penalty))"</v>
      </c>
      <c r="AG210" s="209" t="str">
        <f t="shared" si="81"/>
        <v>Other</v>
      </c>
      <c r="AH210" s="78" t="str">
        <f t="shared" si="82"/>
        <v>"%USERPROFILE%\Documents\GitHub\eaglep3\Utilities\RefineRTDCRunTimes.py" --tripid 313-29 --locoid 4042 --swversion DE.1.0.9.0 --startMP 204:451 --initTime 2017-07-30T02:37:57 --startdatetime 2017-07-30T02:42:17 --delay 1 --endMP 300:23346 --enddatetime 2017-07-30T02:54:54 --enforcementcount 0 &gt;&gt;C:\Users\stu\Documents\GitHub\eaglep3-reporting\EC\2017-07-29-refined-times.txt</v>
      </c>
      <c r="AI210" s="96" t="str">
        <f t="shared" si="83"/>
        <v>echo {"issue":{"subject":"","project_id":79,"tracker_id":40,"status_id":1,"priority_id":2,"assigned_to_id":23,"start_date":"2017-07-30","description":"","custom_fields":[{"id":1,"name":"Subdivision","value":"Other"},{"id":4,"name":"Milepost","value":"2.3346"},{"id":17,"name":"Train ID","value":"313-29"},{"id":16,"name":"Locomotive ID","value":"4042"},{"id":130,"name":"Impact","value":""},{"id":150,"name":"Time of Event (Mountain Time)","value":"02:54:54"},{"id":151,"name":"Denver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84"/>
        <v>start /low /b %USERPROFILE%\Documents\GitHub\eaglep3\Utilities\DownloadLogsFromS3.py --loco 4042 --day 2017-07-30</v>
      </c>
      <c r="AN210" s="151" t="str">
        <f t="shared" si="85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08:54:54"},{"id":29,"name":"Sharepoint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703</v>
      </c>
      <c r="B211" s="7">
        <v>4054</v>
      </c>
      <c r="C211" s="21" t="s">
        <v>198</v>
      </c>
      <c r="D211" s="21" t="s">
        <v>964</v>
      </c>
      <c r="E211" s="13">
        <v>42945.222951388889</v>
      </c>
      <c r="F211" s="13">
        <v>42945.226585648146</v>
      </c>
      <c r="G211" s="7">
        <v>5</v>
      </c>
      <c r="H211" s="21" t="s">
        <v>629</v>
      </c>
      <c r="I211" s="13">
        <v>42945.232291666667</v>
      </c>
      <c r="J211" s="7">
        <v>0</v>
      </c>
      <c r="K211" s="89" t="str">
        <f t="shared" si="71"/>
        <v>4053/4054</v>
      </c>
      <c r="L211" s="21" t="str">
        <f>VLOOKUP(A211,'Trips&amp;Operators'!$C$1:$G$99999,5,FALSE)</f>
        <v>MACDONALD THOMAS</v>
      </c>
      <c r="M211" s="6">
        <f t="shared" si="72"/>
        <v>5.7060185208683833E-3</v>
      </c>
      <c r="N211" s="7">
        <f t="shared" ref="N211:N218" si="86">24*60*SUM($M211:$M211)</f>
        <v>8.216666670050472</v>
      </c>
      <c r="O211" s="7"/>
      <c r="P211" s="7"/>
      <c r="Q211" s="22"/>
      <c r="R211" s="170"/>
      <c r="S211" s="213">
        <f t="shared" ref="S211:S218" si="87">1/IF(AG211="EC",12,1)*SUM(U211:U211)</f>
        <v>0</v>
      </c>
      <c r="T211" s="195" t="str">
        <f t="shared" si="73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6" t="str">
        <f t="shared" si="74"/>
        <v>https://d0f6bd738d7f1b3e5a7ca70fe4ff75f0.us-east-1.aws.found.io/app/kibana#/discover/Steve-Slow-Train-Analysis-(2080s-and-2083s)?_g=(refreshInterval:(display:Off,pause:!f,section:0,value:0),time:(from:'2017-07-29T04:21:03-0600',mode:absolute,to:'2017-07-29T06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1" s="197" t="str">
        <f>IF(AA211&lt;VLOOKUP(AG211,Variables!$AC$3:$AD$8,2,FALSE),"Y","N")</f>
        <v>Y</v>
      </c>
      <c r="X211" s="197">
        <f t="shared" si="70"/>
        <v>1588</v>
      </c>
      <c r="Y211" s="197">
        <f t="shared" si="75"/>
        <v>2.9706000000000001</v>
      </c>
      <c r="Z211" s="197">
        <f t="shared" si="76"/>
        <v>5.8920000000000003</v>
      </c>
      <c r="AA211" s="197">
        <f t="shared" si="77"/>
        <v>2.9214000000000002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78"/>
        <v>1901</v>
      </c>
      <c r="AE211" s="77" t="str">
        <f t="shared" si="79"/>
        <v>aws s3 cp s3://rtdc.mdm.uploadarchive.raw/RTDC4054/ "%USERPROFILE%\AppData\Local\Temp\OnboardLogs"\RTDC4054\2017-07-29 --exclude "*" --recursive --include "*20170729*" &amp; "%USERPROFILE%\Documents\GitHub\mrs-test-scripts\Headless Mode &amp; Sideloading\WalkAndUnGZ.bat" "%USERPROFILE%\AppData\Local\Temp\OnboardLogs"\RTDC4054\2017-07-29 &amp; aws s3 cp s3://rtdc.mdm.uploadarchive.raw/RTDC4054/ "%USERPROFILE%\AppData\Local\Temp\OnboardLogs"\RTDC4054\2017-07-30 --exclude "*" --recursive --include "*20170730*" &amp; "%USERPROFILE%\Documents\GitHub\mrs-test-scripts\Headless Mode &amp; Sideloading\WalkAndUnGZ.bat" "%USERPROFILE%\AppData\Local\Temp\OnboardLogs"\RTDC4054\2017-07-30</v>
      </c>
      <c r="AF211" s="74" t="str">
        <f t="shared" si="80"/>
        <v>"C:\Program Files (x86)\AstroGrep\AstroGrep.exe" /e /r /s /spath="%USERPROFILE%\AppData\Local\Temp\OnboardLogs" /stypes="app*4054*20170729*" /stext=" 11:.+((SYSTEM_STATE.+slice.+state.+changed )|(ment ac)|(multiple cpu faults)|(system.+state.+changed )|(\[timeout)|(PRM\|1\|D)|(kpr)|(kdp)|(train st.+moving)|(\|lc)|(penalty))"</v>
      </c>
      <c r="AG211" s="209" t="str">
        <f t="shared" si="81"/>
        <v>Other</v>
      </c>
      <c r="AH211" s="78" t="str">
        <f t="shared" si="82"/>
        <v>"%USERPROFILE%\Documents\GitHub\eaglep3\Utilities\RefineRTDCRunTimes.py" --tripid 1901-29 --locoid 4054 --swversion DE.1.0.9.0 --startMP 300:29706 --initTime 2017-07-29T05:21:03 --startdatetime 2017-07-29T05:26:17 --delay 5 --endMP 300:58920 --enddatetime 2017-07-29T05:34:30 --enforcementcount 0 &gt;&gt;C:\Users\stu\Documents\GitHub\eaglep3-reporting\EC\2017-07-29-refined-times.txt</v>
      </c>
      <c r="AI211" s="96" t="str">
        <f t="shared" si="83"/>
        <v>echo {"issue":{"subject":"","project_id":79,"tracker_id":40,"status_id":1,"priority_id":2,"assigned_to_id":23,"start_date":"2017-07-29","description":"","custom_fields":[{"id":1,"name":"Subdivision","value":"Other"},{"id":4,"name":"Milepost","value":"5.892"},{"id":17,"name":"Train ID","value":"1901-29"},{"id":16,"name":"Locomotive ID","value":"4054"},{"id":130,"name":"Impact","value":""},{"id":150,"name":"Time of Event (Mountain Time)","value":"05:34:30"},{"id":151,"name":"Denver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84"/>
        <v>start /low /b %USERPROFILE%\Documents\GitHub\eaglep3\Utilities\DownloadLogsFromS3.py --loco 4054 --day 2017-07-29</v>
      </c>
      <c r="AN211" s="151" t="str">
        <f t="shared" si="8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11:34:30"},{"id":29,"name":"Sharepoint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830</v>
      </c>
      <c r="B212" s="7">
        <v>4015</v>
      </c>
      <c r="C212" s="21" t="s">
        <v>198</v>
      </c>
      <c r="D212" s="21" t="s">
        <v>1011</v>
      </c>
      <c r="E212" s="13">
        <v>42945.747083333335</v>
      </c>
      <c r="F212" s="13">
        <v>42945.749837962961</v>
      </c>
      <c r="G212" s="7">
        <v>3</v>
      </c>
      <c r="H212" s="21" t="s">
        <v>1012</v>
      </c>
      <c r="I212" s="13">
        <v>42945.754351851851</v>
      </c>
      <c r="J212" s="7">
        <v>0</v>
      </c>
      <c r="K212" s="89" t="str">
        <f t="shared" si="71"/>
        <v>4015/4016</v>
      </c>
      <c r="L212" s="21" t="str">
        <f>VLOOKUP(A212,'Trips&amp;Operators'!$C$1:$G$99999,5,FALSE)</f>
        <v>RESPASS AARON</v>
      </c>
      <c r="M212" s="6">
        <f t="shared" si="72"/>
        <v>4.5138888890505768E-3</v>
      </c>
      <c r="N212" s="7">
        <f t="shared" si="86"/>
        <v>6.5000000002328306</v>
      </c>
      <c r="O212" s="7"/>
      <c r="P212" s="7"/>
      <c r="Q212" s="22"/>
      <c r="R212" s="170"/>
      <c r="S212" s="213">
        <f t="shared" si="87"/>
        <v>1</v>
      </c>
      <c r="T212" s="195" t="str">
        <f t="shared" si="73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74"/>
        <v>https://d0f6bd738d7f1b3e5a7ca70fe4ff75f0.us-east-1.aws.found.io/app/kibana#/discover/Steve-Slow-Train-Analysis-(2080s-and-2083s)?_g=(refreshInterval:(display:Off,pause:!f,section:0,value:0),time:(from:'2017-07-29T16:55:48-0600',mode:absolute,to:'2017-07-29T19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2" s="197" t="str">
        <f>IF(AA212&lt;VLOOKUP(AG212,Variables!$AC$3:$AD$8,2,FALSE),"Y","N")</f>
        <v>Y</v>
      </c>
      <c r="X212" s="197">
        <f t="shared" si="70"/>
        <v>-1851</v>
      </c>
      <c r="Y212" s="197">
        <f t="shared" si="75"/>
        <v>2.1787999999999998</v>
      </c>
      <c r="Z212" s="197">
        <f t="shared" si="76"/>
        <v>0.19500000000000001</v>
      </c>
      <c r="AA212" s="197">
        <f t="shared" si="77"/>
        <v>1.9837999999999998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78"/>
        <v>50</v>
      </c>
      <c r="AE212" s="77" t="str">
        <f t="shared" si="79"/>
        <v>aws s3 cp s3://rtdc.mdm.uploadarchive.raw/RTDC4015/ "%USERPROFILE%\AppData\Local\Temp\OnboardLogs"\RTDC4015\2017-07-29 --exclude "*" --recursive --include "*20170729*" &amp; "%USERPROFILE%\Documents\GitHub\mrs-test-scripts\Headless Mode &amp; Sideloading\WalkAndUnGZ.bat" "%USERPROFILE%\AppData\Local\Temp\OnboardLogs"\RTDC4015\2017-07-29 &amp; aws s3 cp s3://rtdc.mdm.uploadarchive.raw/RTDC4015/ "%USERPROFILE%\AppData\Local\Temp\OnboardLogs"\RTDC4015\2017-07-30 --exclude "*" --recursive --include "*20170730*" &amp; "%USERPROFILE%\Documents\GitHub\mrs-test-scripts\Headless Mode &amp; Sideloading\WalkAndUnGZ.bat" "%USERPROFILE%\AppData\Local\Temp\OnboardLogs"\RTDC4015\2017-07-30</v>
      </c>
      <c r="AF212" s="74" t="str">
        <f t="shared" si="80"/>
        <v>"C:\Program Files (x86)\AstroGrep\AstroGrep.exe" /e /r /s /spath="%USERPROFILE%\AppData\Local\Temp\OnboardLogs" /stypes="app*4015*20170730*" /stext=" 00:.+((SYSTEM_STATE.+slice.+state.+changed )|(ment ac)|(multiple cpu faults)|(system.+state.+changed )|(\[timeout)|(PRM\|1\|D)|(kpr)|(kdp)|(train st.+moving)|(\|lc)|(penalty))"</v>
      </c>
      <c r="AG212" s="209" t="str">
        <f t="shared" si="81"/>
        <v>Shuttle/Test</v>
      </c>
      <c r="AH212" s="78" t="str">
        <f t="shared" si="82"/>
        <v>"%USERPROFILE%\Documents\GitHub\eaglep3\Utilities\RefineRTDCRunTimes.py" --tripid 50-29 --locoid 4015 --swversion DE.1.0.9.0 --startMP 300:21788 --initTime 2017-07-29T17:55:48 --startdatetime 2017-07-29T17:59:46 --delay 3 --endMP 204:1950 --enddatetime 2017-07-29T18:06:16 --enforcementcount 0 &gt;&gt;C:\Users\stu\Documents\GitHub\eaglep3-reporting\EC\2017-07-29-refined-times.txt</v>
      </c>
      <c r="AI212" s="96" t="str">
        <f t="shared" si="83"/>
        <v>echo {"issue":{"subject":"","project_id":79,"tracker_id":40,"status_id":1,"priority_id":2,"assigned_to_id":23,"start_date":"2017-07-29","description":"","custom_fields":[{"id":1,"name":"Subdivision","value":"Shuttle/Test"},{"id":4,"name":"Milepost","value":"0.195"},{"id":17,"name":"Train ID","value":"50-29"},{"id":16,"name":"Locomotive ID","value":"4015"},{"id":130,"name":"Impact","value":""},{"id":150,"name":"Time of Event (Mountain Time)","value":"18:06:16"},{"id":151,"name":"Denver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84"/>
        <v>start /low /b %USERPROFILE%\Documents\GitHub\eaglep3\Utilities\DownloadLogsFromS3.py --loco 4015 --day 2017-07-29</v>
      </c>
      <c r="AN212" s="151" t="str">
        <f t="shared" si="85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00:06:16"},{"id":29,"name":"Sharepoint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677</v>
      </c>
      <c r="B213" s="7">
        <v>4066</v>
      </c>
      <c r="C213" s="21" t="s">
        <v>198</v>
      </c>
      <c r="D213" s="21" t="s">
        <v>619</v>
      </c>
      <c r="E213" s="13">
        <v>42945.135787037034</v>
      </c>
      <c r="F213" s="13">
        <v>42945.138182870367</v>
      </c>
      <c r="G213" s="7">
        <v>1</v>
      </c>
      <c r="H213" s="21" t="s">
        <v>1013</v>
      </c>
      <c r="I213" s="13">
        <v>42945.139039351852</v>
      </c>
      <c r="J213" s="7">
        <v>0</v>
      </c>
      <c r="K213" s="89" t="str">
        <f t="shared" si="71"/>
        <v>4065/4066</v>
      </c>
      <c r="L213" s="21" t="str">
        <f>VLOOKUP(A213,'Trips&amp;Operators'!$C$1:$G$99999,5,FALSE)</f>
        <v>BEAM ROSS</v>
      </c>
      <c r="M213" s="6">
        <f t="shared" si="72"/>
        <v>8.5648148524342105E-4</v>
      </c>
      <c r="N213" s="7">
        <f t="shared" si="86"/>
        <v>1.2333333387505263</v>
      </c>
      <c r="O213" s="7"/>
      <c r="P213" s="7"/>
      <c r="Q213" s="22"/>
      <c r="R213" s="170"/>
      <c r="S213" s="213">
        <f t="shared" si="87"/>
        <v>0</v>
      </c>
      <c r="T213" s="195" t="str">
        <f t="shared" si="73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6" t="str">
        <f t="shared" si="74"/>
        <v>https://d0f6bd738d7f1b3e5a7ca70fe4ff75f0.us-east-1.aws.found.io/app/kibana#/discover/Steve-Slow-Train-Analysis-(2080s-and-2083s)?_g=(refreshInterval:(display:Off,pause:!f,section:0,value:0),time:(from:'2017-07-29T02:15:32-0600',mode:absolute,to:'2017-07-29T04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3" s="197" t="str">
        <f>IF(AA213&lt;VLOOKUP(AG213,Variables!$AC$3:$AD$8,2,FALSE),"Y","N")</f>
        <v>Y</v>
      </c>
      <c r="X213" s="197">
        <f t="shared" si="70"/>
        <v>15</v>
      </c>
      <c r="Y213" s="197">
        <f t="shared" si="75"/>
        <v>4.3299999999999998E-2</v>
      </c>
      <c r="Z213" s="197">
        <f t="shared" si="76"/>
        <v>0.33679999999999999</v>
      </c>
      <c r="AA213" s="197">
        <f t="shared" si="77"/>
        <v>0.29349999999999998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78"/>
        <v>65</v>
      </c>
      <c r="AE213" s="77" t="str">
        <f t="shared" si="79"/>
        <v>aws s3 cp s3://rtdc.mdm.uploadarchive.raw/RTDC4066/ "%USERPROFILE%\AppData\Local\Temp\OnboardLogs"\RTDC4066\2017-07-29 --exclude "*" --recursive --include "*20170729*" &amp; "%USERPROFILE%\Documents\GitHub\mrs-test-scripts\Headless Mode &amp; Sideloading\WalkAndUnGZ.bat" "%USERPROFILE%\AppData\Local\Temp\OnboardLogs"\RTDC4066\2017-07-29 &amp; aws s3 cp s3://rtdc.mdm.uploadarchive.raw/RTDC4066/ "%USERPROFILE%\AppData\Local\Temp\OnboardLogs"\RTDC4066\2017-07-30 --exclude "*" --recursive --include "*20170730*" &amp; "%USERPROFILE%\Documents\GitHub\mrs-test-scripts\Headless Mode &amp; Sideloading\WalkAndUnGZ.bat" "%USERPROFILE%\AppData\Local\Temp\OnboardLogs"\RTDC4066\2017-07-30</v>
      </c>
      <c r="AF213" s="74" t="str">
        <f t="shared" si="80"/>
        <v>"C:\Program Files (x86)\AstroGrep\AstroGrep.exe" /e /r /s /spath="%USERPROFILE%\AppData\Local\Temp\OnboardLogs" /stypes="app*4066*20170729*" /stext=" 09:.+((SYSTEM_STATE.+slice.+state.+changed )|(ment ac)|(multiple cpu faults)|(system.+state.+changed )|(\[timeout)|(PRM\|1\|D)|(kpr)|(kdp)|(train st.+moving)|(\|lc)|(penalty))"</v>
      </c>
      <c r="AG213" s="209" t="str">
        <f t="shared" si="81"/>
        <v>Shuttle/Test</v>
      </c>
      <c r="AH213" s="78" t="str">
        <f t="shared" si="82"/>
        <v>"%USERPROFILE%\Documents\GitHub\eaglep3\Utilities\RefineRTDCRunTimes.py" --tripid 65-29 --locoid 4066 --swversion DE.1.0.9.0 --startMP 204:433 --initTime 2017-07-29T03:15:32 --startdatetime 2017-07-29T03:18:59 --delay 1 --endMP 204:3368 --enddatetime 2017-07-29T03:20:13 --enforcementcount 0 &gt;&gt;C:\Users\stu\Documents\GitHub\eaglep3-reporting\EC\2017-07-29-refined-times.txt</v>
      </c>
      <c r="AI213" s="96" t="str">
        <f t="shared" si="83"/>
        <v>echo {"issue":{"subject":"","project_id":79,"tracker_id":40,"status_id":1,"priority_id":2,"assigned_to_id":23,"start_date":"2017-07-29","description":"","custom_fields":[{"id":1,"name":"Subdivision","value":"Shuttle/Test"},{"id":4,"name":"Milepost","value":"0.3368"},{"id":17,"name":"Train ID","value":"65-29"},{"id":16,"name":"Locomotive ID","value":"4066"},{"id":130,"name":"Impact","value":""},{"id":150,"name":"Time of Event (Mountain Time)","value":"03:20:13"},{"id":151,"name":"Denver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84"/>
        <v>start /low /b %USERPROFILE%\Documents\GitHub\eaglep3\Utilities\DownloadLogsFromS3.py --loco 4066 --day 2017-07-29</v>
      </c>
      <c r="AN213" s="151" t="str">
        <f t="shared" si="8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09:20:13"},{"id":29,"name":"Sharepoint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679</v>
      </c>
      <c r="B214" s="7">
        <v>4065</v>
      </c>
      <c r="C214" s="21" t="s">
        <v>198</v>
      </c>
      <c r="D214" s="21" t="s">
        <v>1014</v>
      </c>
      <c r="E214" s="13">
        <v>42945.139803240738</v>
      </c>
      <c r="F214" s="13">
        <v>42945.141076388885</v>
      </c>
      <c r="G214" s="7">
        <v>1</v>
      </c>
      <c r="H214" s="21" t="s">
        <v>633</v>
      </c>
      <c r="I214" s="13">
        <v>42945.142164351855</v>
      </c>
      <c r="J214" s="7">
        <v>0</v>
      </c>
      <c r="K214" s="89" t="str">
        <f t="shared" si="71"/>
        <v>4065/4066</v>
      </c>
      <c r="L214" s="21" t="str">
        <f>VLOOKUP(A214,'Trips&amp;Operators'!$C$1:$G$99999,5,FALSE)</f>
        <v>BEAM ROSS</v>
      </c>
      <c r="M214" s="6">
        <f t="shared" si="72"/>
        <v>1.0879629699047655E-3</v>
      </c>
      <c r="N214" s="7">
        <f t="shared" si="86"/>
        <v>1.5666666766628623</v>
      </c>
      <c r="O214" s="7"/>
      <c r="P214" s="7"/>
      <c r="Q214" s="22"/>
      <c r="R214" s="170"/>
      <c r="S214" s="213">
        <f t="shared" si="87"/>
        <v>0</v>
      </c>
      <c r="T214" s="195" t="str">
        <f t="shared" si="73"/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6" t="str">
        <f t="shared" si="74"/>
        <v>https://d0f6bd738d7f1b3e5a7ca70fe4ff75f0.us-east-1.aws.found.io/app/kibana#/discover/Steve-Slow-Train-Analysis-(2080s-and-2083s)?_g=(refreshInterval:(display:Off,pause:!f,section:0,value:0),time:(from:'2017-07-29T02:21:19-0600',mode:absolute,to:'2017-07-29T04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4" s="197" t="str">
        <f>IF(AA214&lt;VLOOKUP(AG214,Variables!$AC$3:$AD$8,2,FALSE),"Y","N")</f>
        <v>Y</v>
      </c>
      <c r="X214" s="197">
        <f t="shared" si="70"/>
        <v>1</v>
      </c>
      <c r="Y214" s="197">
        <f t="shared" si="75"/>
        <v>0.30220000000000002</v>
      </c>
      <c r="Z214" s="197">
        <f t="shared" si="76"/>
        <v>0.115</v>
      </c>
      <c r="AA214" s="197">
        <f t="shared" si="77"/>
        <v>0.18720000000000003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78"/>
        <v>66</v>
      </c>
      <c r="AE214" s="77" t="str">
        <f t="shared" si="79"/>
        <v>aws s3 cp s3://rtdc.mdm.uploadarchive.raw/RTDC4065/ "%USERPROFILE%\AppData\Local\Temp\OnboardLogs"\RTDC4065\2017-07-29 --exclude "*" --recursive --include "*20170729*" &amp; "%USERPROFILE%\Documents\GitHub\mrs-test-scripts\Headless Mode &amp; Sideloading\WalkAndUnGZ.bat" "%USERPROFILE%\AppData\Local\Temp\OnboardLogs"\RTDC4065\2017-07-29 &amp; aws s3 cp s3://rtdc.mdm.uploadarchive.raw/RTDC4065/ "%USERPROFILE%\AppData\Local\Temp\OnboardLogs"\RTDC4065\2017-07-30 --exclude "*" --recursive --include "*20170730*" &amp; "%USERPROFILE%\Documents\GitHub\mrs-test-scripts\Headless Mode &amp; Sideloading\WalkAndUnGZ.bat" "%USERPROFILE%\AppData\Local\Temp\OnboardLogs"\RTDC4065\2017-07-30</v>
      </c>
      <c r="AF214" s="74" t="str">
        <f t="shared" si="80"/>
        <v>"C:\Program Files (x86)\AstroGrep\AstroGrep.exe" /e /r /s /spath="%USERPROFILE%\AppData\Local\Temp\OnboardLogs" /stypes="app*4065*20170729*" /stext=" 09:.+((SYSTEM_STATE.+slice.+state.+changed )|(ment ac)|(multiple cpu faults)|(system.+state.+changed )|(\[timeout)|(PRM\|1\|D)|(kpr)|(kdp)|(train st.+moving)|(\|lc)|(penalty))"</v>
      </c>
      <c r="AG214" s="209" t="str">
        <f t="shared" si="81"/>
        <v>Shuttle/Test</v>
      </c>
      <c r="AH214" s="78" t="str">
        <f t="shared" si="82"/>
        <v>"%USERPROFILE%\Documents\GitHub\eaglep3\Utilities\RefineRTDCRunTimes.py" --tripid 66-29 --locoid 4065 --swversion DE.1.0.9.0 --startMP 204:3022 --initTime 2017-07-29T03:21:19 --startdatetime 2017-07-29T03:23:09 --delay 1 --endMP 204:1150 --enddatetime 2017-07-29T03:24:43 --enforcementcount 0 &gt;&gt;C:\Users\stu\Documents\GitHub\eaglep3-reporting\EC\2017-07-29-refined-times.txt</v>
      </c>
      <c r="AI214" s="96" t="str">
        <f t="shared" si="83"/>
        <v>echo {"issue":{"subject":"","project_id":79,"tracker_id":40,"status_id":1,"priority_id":2,"assigned_to_id":23,"start_date":"2017-07-29","description":"","custom_fields":[{"id":1,"name":"Subdivision","value":"Shuttle/Test"},{"id":4,"name":"Milepost","value":"0.115"},{"id":17,"name":"Train ID","value":"66-29"},{"id":16,"name":"Locomotive ID","value":"4065"},{"id":130,"name":"Impact","value":""},{"id":150,"name":"Time of Event (Mountain Time)","value":"03:24:43"},{"id":151,"name":"Denver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84"/>
        <v>start /low /b %USERPROFILE%\Documents\GitHub\eaglep3\Utilities\DownloadLogsFromS3.py --loco 4065 --day 2017-07-29</v>
      </c>
      <c r="AN214" s="151" t="str">
        <f t="shared" si="8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09:24:43"},{"id":29,"name":"Sharepoint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822</v>
      </c>
      <c r="B215" s="7">
        <v>4066</v>
      </c>
      <c r="C215" s="21" t="s">
        <v>198</v>
      </c>
      <c r="D215" s="21" t="s">
        <v>1015</v>
      </c>
      <c r="E215" s="13">
        <v>42945.72016203704</v>
      </c>
      <c r="F215" s="13">
        <v>42945.725115740737</v>
      </c>
      <c r="G215" s="7">
        <v>1</v>
      </c>
      <c r="H215" s="21" t="s">
        <v>346</v>
      </c>
      <c r="I215" s="13">
        <v>42945.735231481478</v>
      </c>
      <c r="J215" s="7">
        <v>0</v>
      </c>
      <c r="K215" s="89" t="str">
        <f t="shared" si="71"/>
        <v>4065/4066</v>
      </c>
      <c r="L215" s="21" t="str">
        <f>VLOOKUP(A215,'Trips&amp;Operators'!$C$1:$G$99999,5,FALSE)</f>
        <v>BADERTSCHER DIANE</v>
      </c>
      <c r="M215" s="6">
        <f t="shared" si="72"/>
        <v>1.0115740740729962E-2</v>
      </c>
      <c r="N215" s="7">
        <f t="shared" si="86"/>
        <v>14.566666666651145</v>
      </c>
      <c r="O215" s="7"/>
      <c r="P215" s="7"/>
      <c r="Q215" s="22"/>
      <c r="R215" s="170"/>
      <c r="S215" s="213">
        <f t="shared" si="87"/>
        <v>1</v>
      </c>
      <c r="T215" s="195" t="str">
        <f t="shared" si="73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74"/>
        <v>https://d0f6bd738d7f1b3e5a7ca70fe4ff75f0.us-east-1.aws.found.io/app/kibana#/discover/Steve-Slow-Train-Analysis-(2080s-and-2083s)?_g=(refreshInterval:(display:Off,pause:!f,section:0,value:0),time:(from:'2017-07-29T16:17:02-0600',mode:absolute,to:'2017-07-29T18:38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5" s="197" t="str">
        <f>IF(AA215&lt;VLOOKUP(AG215,Variables!$AC$3:$AD$8,2,FALSE),"Y","N")</f>
        <v>Y</v>
      </c>
      <c r="X215" s="197">
        <f t="shared" si="70"/>
        <v>5</v>
      </c>
      <c r="Y215" s="197">
        <f t="shared" si="75"/>
        <v>0.14829999999999999</v>
      </c>
      <c r="Z215" s="197">
        <f t="shared" si="76"/>
        <v>2.3346</v>
      </c>
      <c r="AA215" s="197">
        <f t="shared" si="77"/>
        <v>2.1863000000000001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78"/>
        <v>71</v>
      </c>
      <c r="AE215" s="77" t="str">
        <f t="shared" si="79"/>
        <v>aws s3 cp s3://rtdc.mdm.uploadarchive.raw/RTDC4066/ "%USERPROFILE%\AppData\Local\Temp\OnboardLogs"\RTDC4066\2017-07-29 --exclude "*" --recursive --include "*20170729*" &amp; "%USERPROFILE%\Documents\GitHub\mrs-test-scripts\Headless Mode &amp; Sideloading\WalkAndUnGZ.bat" "%USERPROFILE%\AppData\Local\Temp\OnboardLogs"\RTDC4066\2017-07-29 &amp; aws s3 cp s3://rtdc.mdm.uploadarchive.raw/RTDC4066/ "%USERPROFILE%\AppData\Local\Temp\OnboardLogs"\RTDC4066\2017-07-30 --exclude "*" --recursive --include "*20170730*" &amp; "%USERPROFILE%\Documents\GitHub\mrs-test-scripts\Headless Mode &amp; Sideloading\WalkAndUnGZ.bat" "%USERPROFILE%\AppData\Local\Temp\OnboardLogs"\RTDC4066\2017-07-30</v>
      </c>
      <c r="AF215" s="74" t="str">
        <f t="shared" si="80"/>
        <v>"C:\Program Files (x86)\AstroGrep\AstroGrep.exe" /e /r /s /spath="%USERPROFILE%\AppData\Local\Temp\OnboardLogs" /stypes="app*4066*20170729*" /stext=" 23:.+((SYSTEM_STATE.+slice.+state.+changed )|(ment ac)|(multiple cpu faults)|(system.+state.+changed )|(\[timeout)|(PRM\|1\|D)|(kpr)|(kdp)|(train st.+moving)|(\|lc)|(penalty))"</v>
      </c>
      <c r="AG215" s="209" t="str">
        <f t="shared" si="81"/>
        <v>Shuttle/Test</v>
      </c>
      <c r="AH215" s="78" t="str">
        <f t="shared" si="82"/>
        <v>"%USERPROFILE%\Documents\GitHub\eaglep3\Utilities\RefineRTDCRunTimes.py" --tripid 71-29 --locoid 4066 --swversion DE.1.0.9.0 --startMP 204:1483 --initTime 2017-07-29T17:17:02 --startdatetime 2017-07-29T17:24:10 --delay 1 --endMP 300:23346 --enddatetime 2017-07-29T17:38:44 --enforcementcount 0 &gt;&gt;C:\Users\stu\Documents\GitHub\eaglep3-reporting\EC\2017-07-29-refined-times.txt</v>
      </c>
      <c r="AI215" s="96" t="str">
        <f t="shared" si="83"/>
        <v>echo {"issue":{"subject":"","project_id":79,"tracker_id":40,"status_id":1,"priority_id":2,"assigned_to_id":23,"start_date":"2017-07-29","description":"","custom_fields":[{"id":1,"name":"Subdivision","value":"Shuttle/Test"},{"id":4,"name":"Milepost","value":"2.3346"},{"id":17,"name":"Train ID","value":"71-29"},{"id":16,"name":"Locomotive ID","value":"4066"},{"id":130,"name":"Impact","value":""},{"id":150,"name":"Time of Event (Mountain Time)","value":"17:38:44"},{"id":151,"name":"Denver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84"/>
        <v>start /low /b %USERPROFILE%\Documents\GitHub\eaglep3\Utilities\DownloadLogsFromS3.py --loco 4066 --day 2017-07-29</v>
      </c>
      <c r="AN215" s="151" t="str">
        <f t="shared" si="8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23:38:44"},{"id":29,"name":"Sharepoint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824</v>
      </c>
      <c r="B216" s="7">
        <v>4022</v>
      </c>
      <c r="C216" s="21" t="s">
        <v>198</v>
      </c>
      <c r="D216" s="21" t="s">
        <v>633</v>
      </c>
      <c r="E216" s="13">
        <v>42945.728958333333</v>
      </c>
      <c r="F216" s="13">
        <v>42945.735879629632</v>
      </c>
      <c r="G216" s="7">
        <v>1</v>
      </c>
      <c r="H216" s="21" t="s">
        <v>346</v>
      </c>
      <c r="I216" s="13">
        <v>42945.743981481479</v>
      </c>
      <c r="J216" s="7">
        <v>0</v>
      </c>
      <c r="K216" s="89" t="str">
        <f t="shared" si="71"/>
        <v>4021/4022</v>
      </c>
      <c r="L216" s="21" t="str">
        <f>VLOOKUP(A216,'Trips&amp;Operators'!$C$1:$G$99999,5,FALSE)</f>
        <v>NELSON ARIANE</v>
      </c>
      <c r="M216" s="6">
        <f t="shared" si="72"/>
        <v>8.1018518467317335E-3</v>
      </c>
      <c r="N216" s="7">
        <f t="shared" si="86"/>
        <v>11.666666659293696</v>
      </c>
      <c r="O216" s="7"/>
      <c r="P216" s="7"/>
      <c r="Q216" s="22"/>
      <c r="R216" s="170"/>
      <c r="S216" s="213">
        <f t="shared" si="87"/>
        <v>1</v>
      </c>
      <c r="T216" s="195" t="str">
        <f t="shared" si="73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74"/>
        <v>https://d0f6bd738d7f1b3e5a7ca70fe4ff75f0.us-east-1.aws.found.io/app/kibana#/discover/Steve-Slow-Train-Analysis-(2080s-and-2083s)?_g=(refreshInterval:(display:Off,pause:!f,section:0,value:0),time:(from:'2017-07-29T16:29:42-0600',mode:absolute,to:'2017-07-29T18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6" s="197" t="str">
        <f>IF(AA216&lt;VLOOKUP(AG216,Variables!$AC$3:$AD$8,2,FALSE),"Y","N")</f>
        <v>Y</v>
      </c>
      <c r="X216" s="197">
        <f t="shared" si="70"/>
        <v>2</v>
      </c>
      <c r="Y216" s="197">
        <f t="shared" si="75"/>
        <v>0.115</v>
      </c>
      <c r="Z216" s="197">
        <f t="shared" si="76"/>
        <v>2.3346</v>
      </c>
      <c r="AA216" s="197">
        <f t="shared" si="77"/>
        <v>2.2195999999999998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78"/>
        <v>73</v>
      </c>
      <c r="AE216" s="77" t="str">
        <f t="shared" si="79"/>
        <v>aws s3 cp s3://rtdc.mdm.uploadarchive.raw/RTDC4022/ "%USERPROFILE%\AppData\Local\Temp\OnboardLogs"\RTDC4022\2017-07-29 --exclude "*" --recursive --include "*20170729*" &amp; "%USERPROFILE%\Documents\GitHub\mrs-test-scripts\Headless Mode &amp; Sideloading\WalkAndUnGZ.bat" "%USERPROFILE%\AppData\Local\Temp\OnboardLogs"\RTDC4022\2017-07-29 &amp; aws s3 cp s3://rtdc.mdm.uploadarchive.raw/RTDC4022/ "%USERPROFILE%\AppData\Local\Temp\OnboardLogs"\RTDC4022\2017-07-30 --exclude "*" --recursive --include "*20170730*" &amp; "%USERPROFILE%\Documents\GitHub\mrs-test-scripts\Headless Mode &amp; Sideloading\WalkAndUnGZ.bat" "%USERPROFILE%\AppData\Local\Temp\OnboardLogs"\RTDC4022\2017-07-30</v>
      </c>
      <c r="AF216" s="74" t="str">
        <f t="shared" si="80"/>
        <v>"C:\Program Files (x86)\AstroGrep\AstroGrep.exe" /e /r /s /spath="%USERPROFILE%\AppData\Local\Temp\OnboardLogs" /stypes="app*4022*20170729*" /stext=" 23:.+((SYSTEM_STATE.+slice.+state.+changed )|(ment ac)|(multiple cpu faults)|(system.+state.+changed )|(\[timeout)|(PRM\|1\|D)|(kpr)|(kdp)|(train st.+moving)|(\|lc)|(penalty))"</v>
      </c>
      <c r="AG216" s="209" t="str">
        <f t="shared" si="81"/>
        <v>Shuttle/Test</v>
      </c>
      <c r="AH216" s="78" t="str">
        <f t="shared" si="82"/>
        <v>"%USERPROFILE%\Documents\GitHub\eaglep3\Utilities\RefineRTDCRunTimes.py" --tripid 73-29 --locoid 4022 --swversion DE.1.0.9.0 --startMP 204:1150 --initTime 2017-07-29T17:29:42 --startdatetime 2017-07-29T17:39:40 --delay 1 --endMP 300:23346 --enddatetime 2017-07-29T17:51:20 --enforcementcount 0 &gt;&gt;C:\Users\stu\Documents\GitHub\eaglep3-reporting\EC\2017-07-29-refined-times.txt</v>
      </c>
      <c r="AI216" s="96" t="str">
        <f t="shared" si="83"/>
        <v>echo {"issue":{"subject":"","project_id":79,"tracker_id":40,"status_id":1,"priority_id":2,"assigned_to_id":23,"start_date":"2017-07-29","description":"","custom_fields":[{"id":1,"name":"Subdivision","value":"Shuttle/Test"},{"id":4,"name":"Milepost","value":"2.3346"},{"id":17,"name":"Train ID","value":"73-29"},{"id":16,"name":"Locomotive ID","value":"4022"},{"id":130,"name":"Impact","value":""},{"id":150,"name":"Time of Event (Mountain Time)","value":"17:51:20"},{"id":151,"name":"Denver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84"/>
        <v>start /low /b %USERPROFILE%\Documents\GitHub\eaglep3\Utilities\DownloadLogsFromS3.py --loco 4022 --day 2017-07-29</v>
      </c>
      <c r="AN216" s="151" t="str">
        <f t="shared" si="85"/>
        <v>echo {"issue":{"subject":"","project_id":30,"tracker_id":4,"status_id":1,"priority_id":1,"assigned_to_id":10,"start_date":"2017-07-29","description":"","custom_fields":[{"id":30,"name":"Category","value":"Issue"},{"id":3,"name":"Functional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UTC","value":"2017-07-29 23:51:20"},{"id":29,"name":"Sharepoint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860</v>
      </c>
      <c r="B217" s="7">
        <v>4053</v>
      </c>
      <c r="C217" s="21" t="s">
        <v>198</v>
      </c>
      <c r="D217" s="21" t="s">
        <v>1016</v>
      </c>
      <c r="E217" s="13">
        <v>42945.943749999999</v>
      </c>
      <c r="F217" s="13">
        <v>42945.945555555554</v>
      </c>
      <c r="G217" s="7">
        <v>1</v>
      </c>
      <c r="H217" s="21" t="s">
        <v>448</v>
      </c>
      <c r="I217" s="13">
        <v>42945.955891203703</v>
      </c>
      <c r="J217" s="7">
        <v>0</v>
      </c>
      <c r="K217" s="89" t="str">
        <f t="shared" si="71"/>
        <v>4053/4054</v>
      </c>
      <c r="L217" s="21" t="str">
        <f>VLOOKUP(A217,'Trips&amp;Operators'!$C$1:$G$99999,5,FALSE)</f>
        <v>RESPASS AARON</v>
      </c>
      <c r="M217" s="6">
        <f t="shared" si="72"/>
        <v>1.0335648148611654E-2</v>
      </c>
      <c r="N217" s="7">
        <f t="shared" si="86"/>
        <v>14.883333334000781</v>
      </c>
      <c r="O217" s="7"/>
      <c r="P217" s="7"/>
      <c r="Q217" s="22"/>
      <c r="R217" s="170"/>
      <c r="S217" s="213">
        <f t="shared" si="87"/>
        <v>1</v>
      </c>
      <c r="T217" s="195" t="str">
        <f t="shared" si="73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74"/>
        <v>https://d0f6bd738d7f1b3e5a7ca70fe4ff75f0.us-east-1.aws.found.io/app/kibana#/discover/Steve-Slow-Train-Analysis-(2080s-and-2083s)?_g=(refreshInterval:(display:Off,pause:!f,section:0,value:0),time:(from:'2017-07-29T21:39:00-0600',mode:absolute,to:'2017-07-29T23:56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7" s="197" t="str">
        <f>IF(AA217&lt;VLOOKUP(AG217,Variables!$AC$3:$AD$8,2,FALSE),"Y","N")</f>
        <v>Y</v>
      </c>
      <c r="X217" s="197">
        <f t="shared" si="70"/>
        <v>3</v>
      </c>
      <c r="Y217" s="197">
        <f t="shared" si="75"/>
        <v>5.8658000000000001</v>
      </c>
      <c r="Z217" s="197">
        <f t="shared" si="76"/>
        <v>1.5800000000000002E-2</v>
      </c>
      <c r="AA217" s="197">
        <f t="shared" si="77"/>
        <v>5.8500000000000005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78"/>
        <v>76</v>
      </c>
      <c r="AE217" s="77" t="str">
        <f t="shared" si="79"/>
        <v>aws s3 cp s3://rtdc.mdm.uploadarchive.raw/RTDC4053/ "%USERPROFILE%\AppData\Local\Temp\OnboardLogs"\RTDC4053\2017-07-29 --exclude "*" --recursive --include "*20170729*" &amp; "%USERPROFILE%\Documents\GitHub\mrs-test-scripts\Headless Mode &amp; Sideloading\WalkAndUnGZ.bat" "%USERPROFILE%\AppData\Local\Temp\OnboardLogs"\RTDC4053\2017-07-29 &amp; aws s3 cp s3://rtdc.mdm.uploadarchive.raw/RTDC4053/ "%USERPROFILE%\AppData\Local\Temp\OnboardLogs"\RTDC4053\2017-07-30 --exclude "*" --recursive --include "*20170730*" &amp; "%USERPROFILE%\Documents\GitHub\mrs-test-scripts\Headless Mode &amp; Sideloading\WalkAndUnGZ.bat" "%USERPROFILE%\AppData\Local\Temp\OnboardLogs"\RTDC4053\2017-07-30</v>
      </c>
      <c r="AF217" s="74" t="str">
        <f t="shared" si="80"/>
        <v>"C:\Program Files (x86)\AstroGrep\AstroGrep.exe" /e /r /s /spath="%USERPROFILE%\AppData\Local\Temp\OnboardLogs" /stypes="app*4053*20170730*" /stext=" 04:.+((SYSTEM_STATE.+slice.+state.+changed )|(ment ac)|(multiple cpu faults)|(system.+state.+changed )|(\[timeout)|(PRM\|1\|D)|(kpr)|(kdp)|(train st.+moving)|(\|lc)|(penalty))"</v>
      </c>
      <c r="AG217" s="209" t="str">
        <f t="shared" si="81"/>
        <v>Shuttle/Test</v>
      </c>
      <c r="AH217" s="78" t="str">
        <f t="shared" si="82"/>
        <v>"%USERPROFILE%\Documents\GitHub\eaglep3\Utilities\RefineRTDCRunTimes.py" --tripid 76-29 --locoid 4053 --swversion DE.1.0.9.0 --startMP 300:58658 --initTime 2017-07-29T22:39:00 --startdatetime 2017-07-29T22:41:36 --delay 1 --endMP 204:158 --enddatetime 2017-07-29T22:56:29 --enforcementcount 0 &gt;&gt;C:\Users\stu\Documents\GitHub\eaglep3-reporting\EC\2017-07-29-refined-times.txt</v>
      </c>
      <c r="AI217" s="96" t="str">
        <f t="shared" si="83"/>
        <v>echo {"issue":{"subject":"","project_id":79,"tracker_id":40,"status_id":1,"priority_id":2,"assigned_to_id":23,"start_date":"2017-07-29","description":"","custom_fields":[{"id":1,"name":"Subdivision","value":"Shuttle/Test"},{"id":4,"name":"Milepost","value":"0.0158"},{"id":17,"name":"Train ID","value":"76-29"},{"id":16,"name":"Locomotive ID","value":"4053"},{"id":130,"name":"Impact","value":""},{"id":150,"name":"Time of Event (Mountain Time)","value":"22:56:29"},{"id":151,"name":"Denver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84"/>
        <v>start /low /b %USERPROFILE%\Documents\GitHub\eaglep3\Utilities\DownloadLogsFromS3.py --loco 4053 --day 2017-07-29</v>
      </c>
      <c r="AN217" s="151" t="str">
        <f t="shared" si="85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04:56:29"},{"id":29,"name":"Sharepoint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864</v>
      </c>
      <c r="B218" s="7">
        <v>4054</v>
      </c>
      <c r="C218" s="21" t="s">
        <v>198</v>
      </c>
      <c r="D218" s="21" t="s">
        <v>1017</v>
      </c>
      <c r="E218" s="13">
        <v>42945.982071759259</v>
      </c>
      <c r="F218" s="13">
        <v>42945.985451388886</v>
      </c>
      <c r="G218" s="7">
        <v>1</v>
      </c>
      <c r="H218" s="21" t="s">
        <v>1018</v>
      </c>
      <c r="I218" s="13">
        <v>42945.99759259259</v>
      </c>
      <c r="J218" s="7">
        <v>0</v>
      </c>
      <c r="K218" s="89" t="str">
        <f t="shared" si="71"/>
        <v>4053/4054</v>
      </c>
      <c r="L218" s="21" t="str">
        <f>VLOOKUP(A218,'Trips&amp;Operators'!$C$1:$G$99999,5,FALSE)</f>
        <v>RESPASS AARON</v>
      </c>
      <c r="M218" s="6">
        <f t="shared" si="72"/>
        <v>1.2141203704231884E-2</v>
      </c>
      <c r="N218" s="7">
        <f t="shared" si="86"/>
        <v>17.483333334093913</v>
      </c>
      <c r="O218" s="7"/>
      <c r="P218" s="7"/>
      <c r="Q218" s="22"/>
      <c r="R218" s="170"/>
      <c r="S218" s="213">
        <f t="shared" si="87"/>
        <v>1</v>
      </c>
      <c r="T218" s="195" t="str">
        <f t="shared" si="73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74"/>
        <v>https://d0f6bd738d7f1b3e5a7ca70fe4ff75f0.us-east-1.aws.found.io/app/kibana#/discover/Steve-Slow-Train-Analysis-(2080s-and-2083s)?_g=(refreshInterval:(display:Off,pause:!f,section:0,value:0),time:(from:'2017-07-29T22:34:11-0600',mode:absolute,to:'2017-07-30T00:56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8" s="197" t="str">
        <f>IF(AA218&lt;VLOOKUP(AG218,Variables!$AC$3:$AD$8,2,FALSE),"Y","N")</f>
        <v>Y</v>
      </c>
      <c r="X218" s="197">
        <f t="shared" si="70"/>
        <v>11</v>
      </c>
      <c r="Y218" s="197">
        <f t="shared" si="75"/>
        <v>4.41E-2</v>
      </c>
      <c r="Z218" s="197">
        <f t="shared" si="76"/>
        <v>2.3294999999999999</v>
      </c>
      <c r="AA218" s="197">
        <f t="shared" si="77"/>
        <v>2.2854000000000001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78"/>
        <v>87</v>
      </c>
      <c r="AE218" s="77" t="str">
        <f t="shared" si="79"/>
        <v>aws s3 cp s3://rtdc.mdm.uploadarchive.raw/RTDC4054/ "%USERPROFILE%\AppData\Local\Temp\OnboardLogs"\RTDC4054\2017-07-29 --exclude "*" --recursive --include "*20170729*" &amp; "%USERPROFILE%\Documents\GitHub\mrs-test-scripts\Headless Mode &amp; Sideloading\WalkAndUnGZ.bat" "%USERPROFILE%\AppData\Local\Temp\OnboardLogs"\RTDC4054\2017-07-29 &amp; aws s3 cp s3://rtdc.mdm.uploadarchive.raw/RTDC4054/ "%USERPROFILE%\AppData\Local\Temp\OnboardLogs"\RTDC4054\2017-07-30 --exclude "*" --recursive --include "*20170730*" &amp; "%USERPROFILE%\Documents\GitHub\mrs-test-scripts\Headless Mode &amp; Sideloading\WalkAndUnGZ.bat" "%USERPROFILE%\AppData\Local\Temp\OnboardLogs"\RTDC4054\2017-07-30</v>
      </c>
      <c r="AF218" s="74" t="str">
        <f t="shared" si="80"/>
        <v>"C:\Program Files (x86)\AstroGrep\AstroGrep.exe" /e /r /s /spath="%USERPROFILE%\AppData\Local\Temp\OnboardLogs" /stypes="app*4054*20170730*" /stext=" 05:.+((SYSTEM_STATE.+slice.+state.+changed )|(ment ac)|(multiple cpu faults)|(system.+state.+changed )|(\[timeout)|(PRM\|1\|D)|(kpr)|(kdp)|(train st.+moving)|(\|lc)|(penalty))"</v>
      </c>
      <c r="AG218" s="209" t="str">
        <f t="shared" si="81"/>
        <v>Shuttle/Test</v>
      </c>
      <c r="AH218" s="78" t="str">
        <f t="shared" si="82"/>
        <v>"%USERPROFILE%\Documents\GitHub\eaglep3\Utilities\RefineRTDCRunTimes.py" --tripid 87-29 --locoid 4054 --swversion DE.1.0.9.0 --startMP 204:441 --initTime 2017-07-29T23:34:11 --startdatetime 2017-07-29T23:39:03 --delay 1 --endMP 300:23295 --enddatetime 2017-07-29T23:56:32 --enforcementcount 0 &gt;&gt;C:\Users\stu\Documents\GitHub\eaglep3-reporting\EC\2017-07-29-refined-times.txt</v>
      </c>
      <c r="AI218" s="96" t="str">
        <f t="shared" si="83"/>
        <v>echo {"issue":{"subject":"","project_id":79,"tracker_id":40,"status_id":1,"priority_id":2,"assigned_to_id":23,"start_date":"2017-07-29","description":"","custom_fields":[{"id":1,"name":"Subdivision","value":"Shuttle/Test"},{"id":4,"name":"Milepost","value":"2.3295"},{"id":17,"name":"Train ID","value":"87-29"},{"id":16,"name":"Locomotive ID","value":"4054"},{"id":130,"name":"Impact","value":""},{"id":150,"name":"Time of Event (Mountain Time)","value":"23:56:32"},{"id":151,"name":"Denver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84"/>
        <v>start /low /b %USERPROFILE%\Documents\GitHub\eaglep3\Utilities\DownloadLogsFromS3.py --loco 4054 --day 2017-07-29</v>
      </c>
      <c r="AN218" s="151" t="str">
        <f t="shared" si="85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05:56:32"},{"id":29,"name":"Sharepoint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M219"/>
      <c r="AO219"/>
    </row>
    <row r="220" spans="1:91" s="20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M221"/>
      <c r="AO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M222"/>
      <c r="AO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M223"/>
      <c r="AO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M224"/>
      <c r="AO224"/>
    </row>
    <row r="225" spans="1:9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M225"/>
      <c r="AO225"/>
    </row>
    <row r="226" spans="1:91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M228"/>
      <c r="AO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M229"/>
      <c r="AO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</sheetData>
  <autoFilter ref="A12:AG261">
    <sortState ref="A13:AG261">
      <sortCondition ref="AG13:AG218"/>
      <sortCondition ref="AD13:AD218"/>
    </sortState>
  </autoFilter>
  <sortState ref="A13:AN218">
    <sortCondition ref="AG13:AG218"/>
    <sortCondition ref="AD13:AD218"/>
  </sortState>
  <mergeCells count="1">
    <mergeCell ref="A11:P11"/>
  </mergeCells>
  <conditionalFormatting sqref="W11:W12 W266:X1048576 W13:X218">
    <cfRule type="cellIs" dxfId="10" priority="415" operator="equal">
      <formula>"Y"</formula>
    </cfRule>
  </conditionalFormatting>
  <conditionalFormatting sqref="X266:X1048576 X13:X218">
    <cfRule type="cellIs" dxfId="9" priority="398" operator="greaterThan">
      <formula>1</formula>
    </cfRule>
  </conditionalFormatting>
  <conditionalFormatting sqref="X266:X1048576 X12:X218">
    <cfRule type="cellIs" dxfId="8" priority="395" operator="equal">
      <formula>0</formula>
    </cfRule>
  </conditionalFormatting>
  <conditionalFormatting sqref="A13:S218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AK13:AK218</xm:sqref>
        </x14:dataValidation>
        <x14:dataValidation type="list" allowBlank="1" showInputMessage="1" showErrorMessage="1">
          <x14:formula1>
            <xm:f>'Redmine List Values'!$C$2:$C$15</xm:f>
          </x14:formula1>
          <xm:sqref>AL13:AL218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1"/>
  <sheetViews>
    <sheetView topLeftCell="A5" workbookViewId="0">
      <selection activeCell="P27" sqref="A27:P28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COUNTIF($O$7:$O$272,"=Y")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COUNTA($O$7:$O$272)-O2</f>
        <v>29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- 2017-07-29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404</v>
      </c>
      <c r="X6" s="208" t="s">
        <v>397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42945.790856481479</v>
      </c>
      <c r="B7" s="30" t="s">
        <v>484</v>
      </c>
      <c r="C7" s="30" t="s">
        <v>656</v>
      </c>
      <c r="D7" s="30" t="s">
        <v>96</v>
      </c>
      <c r="E7" s="30" t="s">
        <v>187</v>
      </c>
      <c r="F7" s="42">
        <v>0</v>
      </c>
      <c r="G7" s="42">
        <v>94</v>
      </c>
      <c r="H7" s="42">
        <v>27325</v>
      </c>
      <c r="I7" s="42">
        <v>27235</v>
      </c>
      <c r="J7" s="30" t="s">
        <v>188</v>
      </c>
      <c r="K7" s="42">
        <v>27350</v>
      </c>
      <c r="L7" s="131" t="s">
        <v>51</v>
      </c>
      <c r="M7" s="132">
        <f t="shared" ref="M7:M37" si="0">CONVERT((I7-K7)/10000,"mi","ft")*IF(L7="Increasing Mileposts (1)",-1,1)</f>
        <v>-60.72</v>
      </c>
      <c r="N7" s="133" t="str">
        <f>VLOOKUP(C7,'Trips&amp;Operators'!$C$1:$G$99999,5,FALSE)</f>
        <v>DELGADO DIANAH</v>
      </c>
      <c r="O7" s="203" t="s">
        <v>180</v>
      </c>
      <c r="P7" s="134" t="s">
        <v>408</v>
      </c>
      <c r="Q7" s="30"/>
      <c r="R7" s="81" t="str">
        <f>VLOOKUP(C7,'Train Runs'!$A$13:$AE$9920,31,0)</f>
        <v>aws s3 cp s3://rtdc.mdm.uploadarchive.raw/RTDC4027/ "%USERPROFILE%\AppData\Local\Temp\OnboardLogs"\RTDC4027\2017-07-29 --exclude "*" --recursive --include "*20170729*" &amp; "%USERPROFILE%\Documents\GitHub\mrs-test-scripts\Headless Mode &amp; Sideloading\WalkAndUnGZ.bat" "%USERPROFILE%\AppData\Local\Temp\OnboardLogs"\RTDC4027\2017-07-29 &amp; aws s3 cp s3://rtdc.mdm.uploadarchive.raw/RTDC4027/ "%USERPROFILE%\AppData\Local\Temp\OnboardLogs"\RTDC4027\2017-07-30 --exclude "*" --recursive --include "*20170730*" &amp; "%USERPROFILE%\Documents\GitHub\mrs-test-scripts\Headless Mode &amp; Sideloading\WalkAndUnGZ.bat" "%USERPROFILE%\AppData\Local\Temp\OnboardLogs"\RTDC4027\2017-07-30</v>
      </c>
      <c r="S7" s="84" t="str">
        <f>VLOOKUP(C7,'Train Runs'!$A$13:$AE$9920,22,0)</f>
        <v>https://d0f6bd738d7f1b3e5a7ca70fe4ff75f0.us-east-1.aws.found.io/app/kibana#/discover/Steve-Slow-Train-Analysis-(2080s-and-2083s)?_g=(refreshInterval:(display:Off,pause:!f,section:0,value:0),time:(from:'2017-07-29T17:21:02-0600',mode:absolute,to:'2017-07-29T20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7" s="86" t="str">
        <f t="shared" ref="T7:T37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/stypes="*4027*201707300*" /stext=" 00:.+((SYSTEM_STATE.+slice.+state.+changed )|(ment ac)|(multiple cpu faults)|(system.+state.+changed )|(\[timeout)|(PRM\|1\|D)|(kpr)|(kdp)|(train st.+moving)|(\|lc)|(penalty))"</v>
      </c>
      <c r="U7" s="9" t="str">
        <f t="shared" ref="U7:U37" si="2">MID(B7,13,4)</f>
        <v>4027</v>
      </c>
      <c r="V7" s="31">
        <f t="shared" ref="V7:V37" si="3">A7-utc_offset/24</f>
        <v>42946.040856481479</v>
      </c>
      <c r="W7" s="45" t="str">
        <f t="shared" ref="W7:W37" si="4">DetSubdiv(C7)</f>
        <v>EC</v>
      </c>
      <c r="X7" s="22">
        <f t="shared" ref="X7:X37" si="5">VALUE(LEFT(C7,LEN(C7)-3))</f>
        <v>212</v>
      </c>
      <c r="Y7" s="96" t="str">
        <f t="shared" ref="Y7:Y3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arrival","project_id":79,"tracker_id":40,"status_id":1,"priority_id":2,"assigned_to_id":23,"start_date":"2017-07-29","description":"","custom_fields":[{"id":1,"name":"Subdivision","value":"EC"},{"id":4,"name":"Milepost","value":"2.735"},{"id":17,"name":"Train ID","value":"212-29"},{"id":16,"name":"Locomotive ID","value":"4027"},{"id":130,"name":"Impact","value":""},{"id":150,"name":"Time of Event (Mountain Time)","value":"18:58:50"},{"id":151,"name":"Denver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7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/c/Users/stu/AppData/Local/Temp/OnboardLogs/RTDC4027 --include="*4027*201707300*"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"%USERPROFILE%\AppData\Local\Temp\OnboardLogs"\RTDC4027\*4027*201707300* &gt;&gt; 2017-07-29-SliceDisagreementCheck.txt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4027 --day 2017-07-30</v>
      </c>
    </row>
    <row r="8" spans="1:32" s="1" customFormat="1" x14ac:dyDescent="0.25">
      <c r="A8" s="31">
        <v>42945.29959490741</v>
      </c>
      <c r="B8" s="30" t="s">
        <v>487</v>
      </c>
      <c r="C8" s="30" t="s">
        <v>636</v>
      </c>
      <c r="D8" s="30" t="s">
        <v>49</v>
      </c>
      <c r="E8" s="30" t="s">
        <v>187</v>
      </c>
      <c r="F8" s="42">
        <v>0</v>
      </c>
      <c r="G8" s="42">
        <v>256</v>
      </c>
      <c r="H8" s="42">
        <v>41744</v>
      </c>
      <c r="I8" s="42">
        <v>42232</v>
      </c>
      <c r="J8" s="30" t="s">
        <v>188</v>
      </c>
      <c r="K8" s="42">
        <v>42779</v>
      </c>
      <c r="L8" s="131" t="s">
        <v>50</v>
      </c>
      <c r="M8" s="132">
        <f t="shared" si="0"/>
        <v>288.81599999999997</v>
      </c>
      <c r="N8" s="133" t="str">
        <f>VLOOKUP(C8,'Trips&amp;Operators'!$C$1:$G$99999,5,FALSE)</f>
        <v>DAVIDSON DAVID</v>
      </c>
      <c r="O8" s="203" t="s">
        <v>180</v>
      </c>
      <c r="P8" s="134" t="s">
        <v>634</v>
      </c>
      <c r="Q8" s="30"/>
      <c r="R8" s="81" t="str">
        <f>VLOOKUP(C8,'Train Runs'!$A$13:$AE$9920,31,0)</f>
        <v>aws s3 cp s3://rtdc.mdm.uploadarchive.raw/RTDC4028/ "%USERPROFILE%\AppData\Local\Temp\OnboardLogs"\RTDC4028\2017-07-29 --exclude "*" --recursive --include "*20170729*" &amp; "%USERPROFILE%\Documents\GitHub\mrs-test-scripts\Headless Mode &amp; Sideloading\WalkAndUnGZ.bat" "%USERPROFILE%\AppData\Local\Temp\OnboardLogs"\RTDC4028\2017-07-29 &amp; aws s3 cp s3://rtdc.mdm.uploadarchive.raw/RTDC4028/ "%USERPROFILE%\AppData\Local\Temp\OnboardLogs"\RTDC4028\2017-07-30 --exclude "*" --recursive --include "*20170730*" &amp; "%USERPROFILE%\Documents\GitHub\mrs-test-scripts\Headless Mode &amp; Sideloading\WalkAndUnGZ.bat" "%USERPROFILE%\AppData\Local\Temp\OnboardLogs"\RTDC4028\2017-07-30</v>
      </c>
      <c r="S8" s="84" t="str">
        <f>VLOOKUP(C8,'Train Runs'!$A$13:$AE$9920,22,0)</f>
        <v>https://d0f6bd738d7f1b3e5a7ca70fe4ff75f0.us-east-1.aws.found.io/app/kibana#/discover/Steve-Slow-Train-Analysis-(2080s-and-2083s)?_g=(refreshInterval:(display:Off,pause:!f,section:0,value:0),time:(from:'2017-07-29T05:57:56-0600',mode:absolute,to:'2017-07-29T08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8" s="86" t="str">
        <f t="shared" si="1"/>
        <v>"C:\Program Files (x86)\AstroGrep\AstroGrep.exe" /e /r /s /spath="%USERPROFILE%\AppData\Local\Temp\OnboardLogs" /stypes="*4028*201707291*" /stext=" 13:.+((SYSTEM_STATE.+slice.+state.+changed )|(ment ac)|(multiple cpu faults)|(system.+state.+changed )|(\[timeout)|(PRM\|1\|D)|(kpr)|(kdp)|(train st.+moving)|(\|lc)|(penalty))"</v>
      </c>
      <c r="U8" s="9" t="str">
        <f t="shared" si="2"/>
        <v>4028</v>
      </c>
      <c r="V8" s="31">
        <f t="shared" si="3"/>
        <v>42945.54959490741</v>
      </c>
      <c r="W8" s="45" t="str">
        <f t="shared" si="4"/>
        <v>EC</v>
      </c>
      <c r="X8" s="22">
        <f t="shared" si="5"/>
        <v>127</v>
      </c>
      <c r="Y8" s="96" t="str">
        <f t="shared" si="6"/>
        <v>echo {"issue":{"subject":"Form C","project_id":79,"tracker_id":40,"status_id":1,"priority_id":2,"assigned_to_id":23,"start_date":"2017-07-29","description":"","custom_fields":[{"id":1,"name":"Subdivision","value":"EC"},{"id":4,"name":"Milepost","value":"4.2779"},{"id":17,"name":"Train ID","value":"127-29"},{"id":16,"name":"Locomotive ID","value":"4028"},{"id":130,"name":"Impact","value":""},{"id":150,"name":"Time of Event (Mountain Time)","value":"07:11:25"},{"id":151,"name":"Denver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/c/Users/stu/AppData/Local/Temp/OnboardLogs/RTDC4028 --include="*4028*201707291*"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"%USERPROFILE%\AppData\Local\Temp\OnboardLogs"\RTDC4028\*4028*201707291* &gt;&gt; 2017-07-29-SliceDisagreementCheck.txt</v>
      </c>
      <c r="AE8" s="145" t="str">
        <f t="shared" ref="AE8:AE37" si="9">"start /low /b "&amp;dls3logs&amp;" --loco "&amp;U8&amp;" --day "&amp;TEXT(V8,"YYYY-MM-DD")</f>
        <v>start /low /b %USERPROFILE%\Documents\GitHub\eaglep3\Utilities\DownloadLogsFromS3.py --loco 4028 --day 2017-07-29</v>
      </c>
    </row>
    <row r="9" spans="1:32" s="1" customFormat="1" x14ac:dyDescent="0.25">
      <c r="A9" s="31">
        <v>42945.549733796295</v>
      </c>
      <c r="B9" s="30" t="s">
        <v>456</v>
      </c>
      <c r="C9" s="30" t="s">
        <v>644</v>
      </c>
      <c r="D9" s="30" t="s">
        <v>49</v>
      </c>
      <c r="E9" s="30" t="s">
        <v>187</v>
      </c>
      <c r="F9" s="42">
        <v>0</v>
      </c>
      <c r="G9" s="42">
        <v>140</v>
      </c>
      <c r="H9" s="42">
        <v>42177</v>
      </c>
      <c r="I9" s="42">
        <v>42365</v>
      </c>
      <c r="J9" s="30" t="s">
        <v>188</v>
      </c>
      <c r="K9" s="42">
        <v>42779</v>
      </c>
      <c r="L9" s="131" t="s">
        <v>50</v>
      </c>
      <c r="M9" s="132">
        <f t="shared" si="0"/>
        <v>218.59200000000001</v>
      </c>
      <c r="N9" s="133" t="str">
        <f>VLOOKUP(C9,'Trips&amp;Operators'!$C$1:$G$99999,5,FALSE)</f>
        <v>SAFIEF AEIMEN</v>
      </c>
      <c r="O9" s="203" t="s">
        <v>180</v>
      </c>
      <c r="P9" s="134" t="s">
        <v>634</v>
      </c>
      <c r="Q9" s="30"/>
      <c r="R9" s="81" t="str">
        <f>VLOOKUP(C9,'Train Runs'!$A$13:$AE$9920,31,0)</f>
        <v>aws s3 cp s3://rtdc.mdm.uploadarchive.raw/RTDC4024/ "%USERPROFILE%\AppData\Local\Temp\OnboardLogs"\RTDC4024\2017-07-29 --exclude "*" --recursive --include "*20170729*" &amp; "%USERPROFILE%\Documents\GitHub\mrs-test-scripts\Headless Mode &amp; Sideloading\WalkAndUnGZ.bat" "%USERPROFILE%\AppData\Local\Temp\OnboardLogs"\RTDC4024\2017-07-29 &amp; aws s3 cp s3://rtdc.mdm.uploadarchive.raw/RTDC4024/ "%USERPROFILE%\AppData\Local\Temp\OnboardLogs"\RTDC4024\2017-07-30 --exclude "*" --recursive --include "*20170730*" &amp; "%USERPROFILE%\Documents\GitHub\mrs-test-scripts\Headless Mode &amp; Sideloading\WalkAndUnGZ.bat" "%USERPROFILE%\AppData\Local\Temp\OnboardLogs"\RTDC4024\2017-07-30</v>
      </c>
      <c r="S9" s="84" t="str">
        <f>VLOOKUP(C9,'Train Runs'!$A$13:$AE$9920,22,0)</f>
        <v>https://d0f6bd738d7f1b3e5a7ca70fe4ff75f0.us-east-1.aws.found.io/app/kibana#/discover/Steve-Slow-Train-Analysis-(2080s-and-2083s)?_g=(refreshInterval:(display:Off,pause:!f,section:0,value:0),time:(from:'2017-07-29T11:55:41-0600',mode:absolute,to:'2017-07-29T14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9" s="86" t="str">
        <f t="shared" si="1"/>
        <v>"C:\Program Files (x86)\AstroGrep\AstroGrep.exe" /e /r /s /spath="%USERPROFILE%\AppData\Local\Temp\OnboardLogs" /stypes="*4024*201707291*" /stext=" 19:.+((SYSTEM_STATE.+slice.+state.+changed )|(ment ac)|(multiple cpu faults)|(system.+state.+changed )|(\[timeout)|(PRM\|1\|D)|(kpr)|(kdp)|(train st.+moving)|(\|lc)|(penalty))"</v>
      </c>
      <c r="U9" s="9" t="str">
        <f t="shared" si="2"/>
        <v>4024</v>
      </c>
      <c r="V9" s="31">
        <f t="shared" si="3"/>
        <v>42945.799733796295</v>
      </c>
      <c r="W9" s="45" t="str">
        <f t="shared" si="4"/>
        <v>EC</v>
      </c>
      <c r="X9" s="22">
        <f t="shared" si="5"/>
        <v>175</v>
      </c>
      <c r="Y9" s="96" t="str">
        <f t="shared" si="6"/>
        <v>echo {"issue":{"subject":"Form C","project_id":79,"tracker_id":40,"status_id":1,"priority_id":2,"assigned_to_id":23,"start_date":"2017-07-29","description":"","custom_fields":[{"id":1,"name":"Subdivision","value":"EC"},{"id":4,"name":"Milepost","value":"4.2779"},{"id":17,"name":"Train ID","value":"175-29"},{"id":16,"name":"Locomotive ID","value":"4024"},{"id":130,"name":"Impact","value":""},{"id":150,"name":"Time of Event (Mountain Time)","value":"13:11:37"},{"id":151,"name":"Denver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/c/Users/stu/AppData/Local/Temp/OnboardLogs/RTDC4024 --include="*4024*201707291*"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"%USERPROFILE%\AppData\Local\Temp\OnboardLogs"\RTDC4024\*4024*201707291* &gt;&gt; 2017-07-29-SliceDisagreementCheck.txt</v>
      </c>
      <c r="AE9" s="145" t="str">
        <f t="shared" si="9"/>
        <v>start /low /b %USERPROFILE%\Documents\GitHub\eaglep3\Utilities\DownloadLogsFromS3.py --loco 4024 --day 2017-07-29</v>
      </c>
    </row>
    <row r="10" spans="1:32" s="1" customFormat="1" x14ac:dyDescent="0.25">
      <c r="A10" s="31">
        <v>42945.46497685185</v>
      </c>
      <c r="B10" s="30" t="s">
        <v>463</v>
      </c>
      <c r="C10" s="30" t="s">
        <v>643</v>
      </c>
      <c r="D10" s="30" t="s">
        <v>49</v>
      </c>
      <c r="E10" s="30" t="s">
        <v>187</v>
      </c>
      <c r="F10" s="42">
        <v>0</v>
      </c>
      <c r="G10" s="42">
        <v>241</v>
      </c>
      <c r="H10" s="42">
        <v>43927</v>
      </c>
      <c r="I10" s="42">
        <v>43554</v>
      </c>
      <c r="J10" s="30" t="s">
        <v>188</v>
      </c>
      <c r="K10" s="42">
        <v>42961</v>
      </c>
      <c r="L10" s="131" t="s">
        <v>51</v>
      </c>
      <c r="M10" s="132">
        <f t="shared" si="0"/>
        <v>313.10399999999998</v>
      </c>
      <c r="N10" s="133" t="str">
        <f>VLOOKUP(C10,'Trips&amp;Operators'!$C$1:$G$99999,5,FALSE)</f>
        <v>GEBRETEKLE DAGNEW</v>
      </c>
      <c r="O10" s="203" t="s">
        <v>180</v>
      </c>
      <c r="P10" s="134" t="s">
        <v>634</v>
      </c>
      <c r="Q10" s="30"/>
      <c r="R10" s="81" t="str">
        <f>VLOOKUP(C10,'Train Runs'!$A$13:$AE$9920,31,0)</f>
        <v>aws s3 cp s3://rtdc.mdm.uploadarchive.raw/RTDC4055/ "%USERPROFILE%\AppData\Local\Temp\OnboardLogs"\RTDC4055\2017-07-29 --exclude "*" --recursive --include "*20170729*" &amp; "%USERPROFILE%\Documents\GitHub\mrs-test-scripts\Headless Mode &amp; Sideloading\WalkAndUnGZ.bat" "%USERPROFILE%\AppData\Local\Temp\OnboardLogs"\RTDC4055\2017-07-29 &amp; aws s3 cp s3://rtdc.mdm.uploadarchive.raw/RTDC4055/ "%USERPROFILE%\AppData\Local\Temp\OnboardLogs"\RTDC4055\2017-07-30 --exclude "*" --recursive --include "*20170730*" &amp; "%USERPROFILE%\Documents\GitHub\mrs-test-scripts\Headless Mode &amp; Sideloading\WalkAndUnGZ.bat" "%USERPROFILE%\AppData\Local\Temp\OnboardLogs"\RTDC4055\2017-07-30</v>
      </c>
      <c r="S10" s="84" t="str">
        <f>VLOOKUP(C10,'Train Runs'!$A$13:$AE$9920,22,0)</f>
        <v>https://d0f6bd738d7f1b3e5a7ca70fe4ff75f0.us-east-1.aws.found.io/app/kibana#/discover/Steve-Slow-Train-Analysis-(2080s-and-2083s)?_g=(refreshInterval:(display:Off,pause:!f,section:0,value:0),time:(from:'2017-07-29T09:23:46-0600',mode:absolute,to:'2017-07-29T12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0" s="86" t="str">
        <f t="shared" si="1"/>
        <v>"C:\Program Files (x86)\AstroGrep\AstroGrep.exe" /e /r /s /spath="%USERPROFILE%\AppData\Local\Temp\OnboardLogs" /stypes="*4055*201707291*" /stext=" 17:.+((SYSTEM_STATE.+slice.+state.+changed )|(ment ac)|(multiple cpu faults)|(system.+state.+changed )|(\[timeout)|(PRM\|1\|D)|(kpr)|(kdp)|(train st.+moving)|(\|lc)|(penalty))"</v>
      </c>
      <c r="U10" s="9" t="str">
        <f t="shared" si="2"/>
        <v>4055</v>
      </c>
      <c r="V10" s="31">
        <f t="shared" si="3"/>
        <v>42945.71497685185</v>
      </c>
      <c r="W10" s="45" t="str">
        <f t="shared" si="4"/>
        <v>EC</v>
      </c>
      <c r="X10" s="22">
        <f t="shared" si="5"/>
        <v>150</v>
      </c>
      <c r="Y10" s="96" t="str">
        <f t="shared" si="6"/>
        <v>echo {"issue":{"subject":"Form C","project_id":79,"tracker_id":40,"status_id":1,"priority_id":2,"assigned_to_id":23,"start_date":"2017-07-29","description":"","custom_fields":[{"id":1,"name":"Subdivision","value":"EC"},{"id":4,"name":"Milepost","value":"4.2961"},{"id":17,"name":"Train ID","value":"150-29"},{"id":16,"name":"Locomotive ID","value":"4055"},{"id":130,"name":"Impact","value":""},{"id":150,"name":"Time of Event (Mountain Time)","value":"11:09:34"},{"id":151,"name":"Denver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/c/Users/stu/AppData/Local/Temp/OnboardLogs/RTDC4055 --include="*4055*201707291*"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"%USERPROFILE%\AppData\Local\Temp\OnboardLogs"\RTDC4055\*4055*201707291* &gt;&gt; 2017-07-29-SliceDisagreementCheck.txt</v>
      </c>
      <c r="AE10" s="145" t="str">
        <f t="shared" si="9"/>
        <v>start /low /b %USERPROFILE%\Documents\GitHub\eaglep3\Utilities\DownloadLogsFromS3.py --loco 4055 --day 2017-07-29</v>
      </c>
    </row>
    <row r="11" spans="1:32" s="1" customFormat="1" x14ac:dyDescent="0.25">
      <c r="A11" s="31">
        <v>42945.621111111112</v>
      </c>
      <c r="B11" s="30" t="s">
        <v>648</v>
      </c>
      <c r="C11" s="30" t="s">
        <v>649</v>
      </c>
      <c r="D11" s="30" t="s">
        <v>49</v>
      </c>
      <c r="E11" s="30" t="s">
        <v>187</v>
      </c>
      <c r="F11" s="42">
        <v>0</v>
      </c>
      <c r="G11" s="42">
        <v>212</v>
      </c>
      <c r="H11" s="42">
        <v>43820</v>
      </c>
      <c r="I11" s="42">
        <v>43541</v>
      </c>
      <c r="J11" s="30" t="s">
        <v>188</v>
      </c>
      <c r="K11" s="42">
        <v>42961</v>
      </c>
      <c r="L11" s="131" t="s">
        <v>51</v>
      </c>
      <c r="M11" s="132">
        <f t="shared" si="0"/>
        <v>306.24</v>
      </c>
      <c r="N11" s="133" t="str">
        <f>VLOOKUP(C11,'Trips&amp;Operators'!$C$1:$G$99999,5,FALSE)</f>
        <v>DUNCAN SHEILA</v>
      </c>
      <c r="O11" s="203" t="s">
        <v>180</v>
      </c>
      <c r="P11" s="134" t="s">
        <v>1038</v>
      </c>
      <c r="Q11" s="30"/>
      <c r="R11" s="81" t="str">
        <f>VLOOKUP(C11,'Train Runs'!$A$13:$AE$9920,31,0)</f>
        <v>aws s3 cp s3://rtdc.mdm.uploadarchive.raw/RTDC4011/ "%USERPROFILE%\AppData\Local\Temp\OnboardLogs"\RTDC4011\2017-07-29 --exclude "*" --recursive --include "*20170729*" &amp; "%USERPROFILE%\Documents\GitHub\mrs-test-scripts\Headless Mode &amp; Sideloading\WalkAndUnGZ.bat" "%USERPROFILE%\AppData\Local\Temp\OnboardLogs"\RTDC4011\2017-07-29 &amp; aws s3 cp s3://rtdc.mdm.uploadarchive.raw/RTDC4011/ "%USERPROFILE%\AppData\Local\Temp\OnboardLogs"\RTDC4011\2017-07-30 --exclude "*" --recursive --include "*20170730*" &amp; "%USERPROFILE%\Documents\GitHub\mrs-test-scripts\Headless Mode &amp; Sideloading\WalkAndUnGZ.bat" "%USERPROFILE%\AppData\Local\Temp\OnboardLogs"\RTDC4011\2017-07-30</v>
      </c>
      <c r="S11" s="84" t="str">
        <f>VLOOKUP(C11,'Train Runs'!$A$13:$AE$9920,22,0)</f>
        <v>https://d0f6bd738d7f1b3e5a7ca70fe4ff75f0.us-east-1.aws.found.io/app/kibana#/discover/Steve-Slow-Train-Analysis-(2080s-and-2083s)?_g=(refreshInterval:(display:Off,pause:!f,section:0,value:0),time:(from:'2017-07-29T13:14:28-0600',mode:absolute,to:'2017-07-29T16:09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1" s="86" t="str">
        <f t="shared" si="1"/>
        <v>"C:\Program Files (x86)\AstroGrep\AstroGrep.exe" /e /r /s /spath="%USERPROFILE%\AppData\Local\Temp\OnboardLogs" /stypes="*4011*201707292*" /stext=" 20:.+((SYSTEM_STATE.+slice.+state.+changed )|(ment ac)|(multiple cpu faults)|(system.+state.+changed )|(\[timeout)|(PRM\|1\|D)|(kpr)|(kdp)|(train st.+moving)|(\|lc)|(penalty))"</v>
      </c>
      <c r="U11" s="9" t="str">
        <f t="shared" si="2"/>
        <v>4011</v>
      </c>
      <c r="V11" s="31">
        <f t="shared" si="3"/>
        <v>42945.871111111112</v>
      </c>
      <c r="W11" s="45" t="str">
        <f t="shared" si="4"/>
        <v>EC</v>
      </c>
      <c r="X11" s="22">
        <f t="shared" si="5"/>
        <v>180</v>
      </c>
      <c r="Y11" s="96" t="str">
        <f t="shared" si="6"/>
        <v>echo {"issue":{"subject":"Form C, did not press Yes buttons","project_id":79,"tracker_id":40,"status_id":1,"priority_id":2,"assigned_to_id":23,"start_date":"2017-07-29","description":"","custom_fields":[{"id":1,"name":"Subdivision","value":"EC"},{"id":4,"name":"Milepost","value":"4.2961"},{"id":17,"name":"Train ID","value":"180-29"},{"id":16,"name":"Locomotive ID","value":"4011"},{"id":130,"name":"Impact","value":""},{"id":150,"name":"Time of Event (Mountain Time)","value":"14:54:24"},{"id":151,"name":"Denver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/c/Users/stu/AppData/Local/Temp/OnboardLogs/RTDC4011 --include="*4011*201707292*"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"%USERPROFILE%\AppData\Local\Temp\OnboardLogs"\RTDC4011\*4011*201707292* &gt;&gt; 2017-07-29-SliceDisagreementCheck.txt</v>
      </c>
      <c r="AE11" s="145" t="str">
        <f t="shared" si="9"/>
        <v>start /low /b %USERPROFILE%\Documents\GitHub\eaglep3\Utilities\DownloadLogsFromS3.py --loco 4011 --day 2017-07-29</v>
      </c>
    </row>
    <row r="12" spans="1:32" s="1" customFormat="1" x14ac:dyDescent="0.25">
      <c r="A12" s="31">
        <v>42945.632685185185</v>
      </c>
      <c r="B12" s="30" t="s">
        <v>415</v>
      </c>
      <c r="C12" s="30" t="s">
        <v>650</v>
      </c>
      <c r="D12" s="30" t="s">
        <v>49</v>
      </c>
      <c r="E12" s="30" t="s">
        <v>187</v>
      </c>
      <c r="F12" s="42">
        <v>0</v>
      </c>
      <c r="G12" s="42">
        <v>365</v>
      </c>
      <c r="H12" s="42">
        <v>44624</v>
      </c>
      <c r="I12" s="42">
        <v>43820</v>
      </c>
      <c r="J12" s="30" t="s">
        <v>188</v>
      </c>
      <c r="K12" s="42">
        <v>42961</v>
      </c>
      <c r="L12" s="131" t="s">
        <v>51</v>
      </c>
      <c r="M12" s="132">
        <f t="shared" si="0"/>
        <v>453.55200000000002</v>
      </c>
      <c r="N12" s="133" t="str">
        <f>VLOOKUP(C12,'Trips&amp;Operators'!$C$1:$G$99999,5,FALSE)</f>
        <v>BERLING GARY</v>
      </c>
      <c r="O12" s="203" t="s">
        <v>180</v>
      </c>
      <c r="P12" s="134" t="s">
        <v>634</v>
      </c>
      <c r="Q12" s="30"/>
      <c r="R12" s="81" t="str">
        <f>VLOOKUP(C12,'Train Runs'!$A$13:$AE$9920,31,0)</f>
        <v>aws s3 cp s3://rtdc.mdm.uploadarchive.raw/RTDC4041/ "%USERPROFILE%\AppData\Local\Temp\OnboardLogs"\RTDC4041\2017-07-29 --exclude "*" --recursive --include "*20170729*" &amp; "%USERPROFILE%\Documents\GitHub\mrs-test-scripts\Headless Mode &amp; Sideloading\WalkAndUnGZ.bat" "%USERPROFILE%\AppData\Local\Temp\OnboardLogs"\RTDC4041\2017-07-29 &amp; aws s3 cp s3://rtdc.mdm.uploadarchive.raw/RTDC4041/ "%USERPROFILE%\AppData\Local\Temp\OnboardLogs"\RTDC4041\2017-07-30 --exclude "*" --recursive --include "*20170730*" &amp; "%USERPROFILE%\Documents\GitHub\mrs-test-scripts\Headless Mode &amp; Sideloading\WalkAndUnGZ.bat" "%USERPROFILE%\AppData\Local\Temp\OnboardLogs"\RTDC4041\2017-07-30</v>
      </c>
      <c r="S12" s="84" t="str">
        <f>VLOOKUP(C12,'Train Runs'!$A$13:$AE$9920,22,0)</f>
        <v>https://d0f6bd738d7f1b3e5a7ca70fe4ff75f0.us-east-1.aws.found.io/app/kibana#/discover/Steve-Slow-Train-Analysis-(2080s-and-2083s)?_g=(refreshInterval:(display:Off,pause:!f,section:0,value:0),time:(from:'2017-07-29T13:31:06-0600',mode:absolute,to:'2017-07-29T16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2" s="86" t="str">
        <f t="shared" si="1"/>
        <v>"C:\Program Files (x86)\AstroGrep\AstroGrep.exe" /e /r /s /spath="%USERPROFILE%\AppData\Local\Temp\OnboardLogs" /stypes="*4041*201707292*" /stext=" 21:.+((SYSTEM_STATE.+slice.+state.+changed )|(ment ac)|(multiple cpu faults)|(system.+state.+changed )|(\[timeout)|(PRM\|1\|D)|(kpr)|(kdp)|(train st.+moving)|(\|lc)|(penalty))"</v>
      </c>
      <c r="U12" s="9" t="str">
        <f t="shared" si="2"/>
        <v>4041</v>
      </c>
      <c r="V12" s="31">
        <f t="shared" si="3"/>
        <v>42945.882685185185</v>
      </c>
      <c r="W12" s="45" t="str">
        <f t="shared" si="4"/>
        <v>EC</v>
      </c>
      <c r="X12" s="22">
        <f t="shared" si="5"/>
        <v>182</v>
      </c>
      <c r="Y12" s="96" t="str">
        <f t="shared" si="6"/>
        <v>echo {"issue":{"subject":"Form C","project_id":79,"tracker_id":40,"status_id":1,"priority_id":2,"assigned_to_id":23,"start_date":"2017-07-29","description":"","custom_fields":[{"id":1,"name":"Subdivision","value":"EC"},{"id":4,"name":"Milepost","value":"4.2961"},{"id":17,"name":"Train ID","value":"182-29"},{"id":16,"name":"Locomotive ID","value":"4041"},{"id":130,"name":"Impact","value":""},{"id":150,"name":"Time of Event (Mountain Time)","value":"15:11:04"},{"id":151,"name":"Denver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/c/Users/stu/AppData/Local/Temp/OnboardLogs/RTDC4041 --include="*4041*201707292*"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"%USERPROFILE%\AppData\Local\Temp\OnboardLogs"\RTDC4041\*4041*201707292* &gt;&gt; 2017-07-29-SliceDisagreementCheck.txt</v>
      </c>
      <c r="AE12" s="145" t="str">
        <f t="shared" si="9"/>
        <v>start /low /b %USERPROFILE%\Documents\GitHub\eaglep3\Utilities\DownloadLogsFromS3.py --loco 4041 --day 2017-07-29</v>
      </c>
    </row>
    <row r="13" spans="1:32" s="1" customFormat="1" x14ac:dyDescent="0.25">
      <c r="A13" s="31">
        <v>42945.715752314813</v>
      </c>
      <c r="B13" s="30" t="s">
        <v>484</v>
      </c>
      <c r="C13" s="30" t="s">
        <v>653</v>
      </c>
      <c r="D13" s="30" t="s">
        <v>49</v>
      </c>
      <c r="E13" s="30" t="s">
        <v>187</v>
      </c>
      <c r="F13" s="42">
        <v>0</v>
      </c>
      <c r="G13" s="42">
        <v>290</v>
      </c>
      <c r="H13" s="42">
        <v>44257</v>
      </c>
      <c r="I13" s="42">
        <v>43706</v>
      </c>
      <c r="J13" s="30" t="s">
        <v>188</v>
      </c>
      <c r="K13" s="42">
        <v>42961</v>
      </c>
      <c r="L13" s="131" t="s">
        <v>51</v>
      </c>
      <c r="M13" s="132">
        <f t="shared" si="0"/>
        <v>393.36</v>
      </c>
      <c r="N13" s="133" t="str">
        <f>VLOOKUP(C13,'Trips&amp;Operators'!$C$1:$G$99999,5,FALSE)</f>
        <v>DELGADO DIANAH</v>
      </c>
      <c r="O13" s="203" t="s">
        <v>180</v>
      </c>
      <c r="P13" s="134" t="s">
        <v>634</v>
      </c>
      <c r="Q13" s="30"/>
      <c r="R13" s="81" t="str">
        <f>VLOOKUP(C13,'Train Runs'!$A$13:$AE$9920,31,0)</f>
        <v>aws s3 cp s3://rtdc.mdm.uploadarchive.raw/RTDC4027/ "%USERPROFILE%\AppData\Local\Temp\OnboardLogs"\RTDC4027\2017-07-29 --exclude "*" --recursive --include "*20170729*" &amp; "%USERPROFILE%\Documents\GitHub\mrs-test-scripts\Headless Mode &amp; Sideloading\WalkAndUnGZ.bat" "%USERPROFILE%\AppData\Local\Temp\OnboardLogs"\RTDC4027\2017-07-29 &amp; aws s3 cp s3://rtdc.mdm.uploadarchive.raw/RTDC4027/ "%USERPROFILE%\AppData\Local\Temp\OnboardLogs"\RTDC4027\2017-07-30 --exclude "*" --recursive --include "*20170730*" &amp; "%USERPROFILE%\Documents\GitHub\mrs-test-scripts\Headless Mode &amp; Sideloading\WalkAndUnGZ.bat" "%USERPROFILE%\AppData\Local\Temp\OnboardLogs"\RTDC4027\2017-07-30</v>
      </c>
      <c r="S13" s="84" t="str">
        <f>VLOOKUP(C13,'Train Runs'!$A$13:$AE$9920,22,0)</f>
        <v>https://d0f6bd738d7f1b3e5a7ca70fe4ff75f0.us-east-1.aws.found.io/app/kibana#/discover/Steve-Slow-Train-Analysis-(2080s-and-2083s)?_g=(refreshInterval:(display:Off,pause:!f,section:0,value:0),time:(from:'2017-07-29T15:33:04-0600',mode:absolute,to:'2017-07-29T18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3" s="86" t="str">
        <f t="shared" si="1"/>
        <v>"C:\Program Files (x86)\AstroGrep\AstroGrep.exe" /e /r /s /spath="%USERPROFILE%\AppData\Local\Temp\OnboardLogs" /stypes="*4027*201707292*" /stext=" 23:.+((SYSTEM_STATE.+slice.+state.+changed )|(ment ac)|(multiple cpu faults)|(system.+state.+changed )|(\[timeout)|(PRM\|1\|D)|(kpr)|(kdp)|(train st.+moving)|(\|lc)|(penalty))"</v>
      </c>
      <c r="U13" s="9" t="str">
        <f t="shared" si="2"/>
        <v>4027</v>
      </c>
      <c r="V13" s="31">
        <f t="shared" si="3"/>
        <v>42945.965752314813</v>
      </c>
      <c r="W13" s="45" t="str">
        <f t="shared" si="4"/>
        <v>EC</v>
      </c>
      <c r="X13" s="22">
        <f t="shared" si="5"/>
        <v>198</v>
      </c>
      <c r="Y13" s="96" t="str">
        <f t="shared" si="6"/>
        <v>echo {"issue":{"subject":"Form C","project_id":79,"tracker_id":40,"status_id":1,"priority_id":2,"assigned_to_id":23,"start_date":"2017-07-29","description":"","custom_fields":[{"id":1,"name":"Subdivision","value":"EC"},{"id":4,"name":"Milepost","value":"4.2961"},{"id":17,"name":"Train ID","value":"198-29"},{"id":16,"name":"Locomotive ID","value":"4027"},{"id":130,"name":"Impact","value":""},{"id":150,"name":"Time of Event (Mountain Time)","value":"17:10:41"},{"id":151,"name":"Denver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/c/Users/stu/AppData/Local/Temp/OnboardLogs/RTDC4027 --include="*4027*201707292*"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"%USERPROFILE%\AppData\Local\Temp\OnboardLogs"\RTDC4027\*4027*201707292* &gt;&gt; 2017-07-29-SliceDisagreementCheck.txt</v>
      </c>
      <c r="AE13" s="145" t="str">
        <f t="shared" si="9"/>
        <v>start /low /b %USERPROFILE%\Documents\GitHub\eaglep3\Utilities\DownloadLogsFromS3.py --loco 4027 --day 2017-07-29</v>
      </c>
    </row>
    <row r="14" spans="1:32" x14ac:dyDescent="0.25">
      <c r="A14" s="31">
        <v>42945.664861111109</v>
      </c>
      <c r="B14" s="30" t="s">
        <v>637</v>
      </c>
      <c r="C14" s="30" t="s">
        <v>652</v>
      </c>
      <c r="D14" s="30" t="s">
        <v>49</v>
      </c>
      <c r="E14" s="30" t="s">
        <v>187</v>
      </c>
      <c r="F14" s="42">
        <v>10</v>
      </c>
      <c r="G14" s="42">
        <v>63</v>
      </c>
      <c r="H14" s="42">
        <v>43183</v>
      </c>
      <c r="I14" s="42">
        <v>43041</v>
      </c>
      <c r="J14" s="30" t="s">
        <v>188</v>
      </c>
      <c r="K14" s="42">
        <v>42961</v>
      </c>
      <c r="L14" s="131" t="s">
        <v>51</v>
      </c>
      <c r="M14" s="132">
        <f t="shared" si="0"/>
        <v>42.24</v>
      </c>
      <c r="N14" s="133" t="str">
        <f>VLOOKUP(C14,'Trips&amp;Operators'!$C$1:$G$99999,5,FALSE)</f>
        <v>HOLCOMB KAMDEN</v>
      </c>
      <c r="O14" s="203" t="s">
        <v>180</v>
      </c>
      <c r="P14" s="134" t="s">
        <v>408</v>
      </c>
      <c r="Q14" s="30"/>
      <c r="R14" s="81" t="str">
        <f>VLOOKUP(C14,'Train Runs'!$A$13:$AE$9920,31,0)</f>
        <v>aws s3 cp s3://rtdc.mdm.uploadarchive.raw/RTDC4029/ "%USERPROFILE%\AppData\Local\Temp\OnboardLogs"\RTDC4029\2017-07-29 --exclude "*" --recursive --include "*20170729*" &amp; "%USERPROFILE%\Documents\GitHub\mrs-test-scripts\Headless Mode &amp; Sideloading\WalkAndUnGZ.bat" "%USERPROFILE%\AppData\Local\Temp\OnboardLogs"\RTDC4029\2017-07-29 &amp; aws s3 cp s3://rtdc.mdm.uploadarchive.raw/RTDC4029/ "%USERPROFILE%\AppData\Local\Temp\OnboardLogs"\RTDC4029\2017-07-30 --exclude "*" --recursive --include "*20170730*" &amp; "%USERPROFILE%\Documents\GitHub\mrs-test-scripts\Headless Mode &amp; Sideloading\WalkAndUnGZ.bat" "%USERPROFILE%\AppData\Local\Temp\OnboardLogs"\RTDC4029\2017-07-30</v>
      </c>
      <c r="S14" s="84" t="str">
        <f>VLOOKUP(C14,'Train Runs'!$A$13:$AE$9920,22,0)</f>
        <v>https://d0f6bd738d7f1b3e5a7ca70fe4ff75f0.us-east-1.aws.found.io/app/kibana#/discover/Steve-Slow-Train-Analysis-(2080s-and-2083s)?_g=(refreshInterval:(display:Off,pause:!f,section:0,value:0),time:(from:'2017-07-29T14:20:17-0600',mode:absolute,to:'2017-07-29T17:10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4" s="86" t="str">
        <f t="shared" si="1"/>
        <v>"C:\Program Files (x86)\AstroGrep\AstroGrep.exe" /e /r /s /spath="%USERPROFILE%\AppData\Local\Temp\OnboardLogs" /stypes="*4029*201707292*" /stext=" 21:.+((SYSTEM_STATE.+slice.+state.+changed )|(ment ac)|(multiple cpu faults)|(system.+state.+changed )|(\[timeout)|(PRM\|1\|D)|(kpr)|(kdp)|(train st.+moving)|(\|lc)|(penalty))"</v>
      </c>
      <c r="U14" s="9" t="str">
        <f t="shared" si="2"/>
        <v>4029</v>
      </c>
      <c r="V14" s="31">
        <f t="shared" si="3"/>
        <v>42945.914861111109</v>
      </c>
      <c r="W14" s="45" t="str">
        <f t="shared" si="4"/>
        <v>EC</v>
      </c>
      <c r="X14" s="22">
        <f t="shared" si="5"/>
        <v>188</v>
      </c>
      <c r="Y14" s="96" t="str">
        <f t="shared" si="6"/>
        <v>echo {"issue":{"subject":"Early arrival","project_id":79,"tracker_id":40,"status_id":1,"priority_id":2,"assigned_to_id":23,"start_date":"2017-07-29","description":"","custom_fields":[{"id":1,"name":"Subdivision","value":"EC"},{"id":4,"name":"Milepost","value":"4.2961"},{"id":17,"name":"Train ID","value":"188-29"},{"id":16,"name":"Locomotive ID","value":"4029"},{"id":130,"name":"Impact","value":""},{"id":150,"name":"Time of Event (Mountain Time)","value":"15:57:24"},{"id":151,"name":"Denver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/c/Users/stu/AppData/Local/Temp/OnboardLogs/RTDC4029 --include="*4029*201707292*"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"%USERPROFILE%\AppData\Local\Temp\OnboardLogs"\RTDC4029\*4029*201707292* &gt;&gt; 2017-07-29-SliceDisagreementCheck.txt</v>
      </c>
      <c r="AE14" s="145" t="str">
        <f t="shared" si="9"/>
        <v>start /low /b %USERPROFILE%\Documents\GitHub\eaglep3\Utilities\DownloadLogsFromS3.py --loco 4029 --day 2017-07-29</v>
      </c>
      <c r="AF14" s="1"/>
    </row>
    <row r="15" spans="1:32" x14ac:dyDescent="0.25">
      <c r="A15" s="31">
        <v>42945.664456018516</v>
      </c>
      <c r="B15" s="30" t="s">
        <v>637</v>
      </c>
      <c r="C15" s="30" t="s">
        <v>652</v>
      </c>
      <c r="D15" s="30" t="s">
        <v>49</v>
      </c>
      <c r="E15" s="30" t="s">
        <v>187</v>
      </c>
      <c r="F15" s="42">
        <v>40</v>
      </c>
      <c r="G15" s="42">
        <v>107</v>
      </c>
      <c r="H15" s="42">
        <v>43375</v>
      </c>
      <c r="I15" s="42">
        <v>43215</v>
      </c>
      <c r="J15" s="30" t="s">
        <v>188</v>
      </c>
      <c r="K15" s="42">
        <v>42961</v>
      </c>
      <c r="L15" s="131" t="s">
        <v>51</v>
      </c>
      <c r="M15" s="132">
        <f t="shared" si="0"/>
        <v>134.11199999999999</v>
      </c>
      <c r="N15" s="133" t="str">
        <f>VLOOKUP(C15,'Trips&amp;Operators'!$C$1:$G$99999,5,FALSE)</f>
        <v>HOLCOMB KAMDEN</v>
      </c>
      <c r="O15" s="203" t="s">
        <v>180</v>
      </c>
      <c r="P15" s="134" t="s">
        <v>408</v>
      </c>
      <c r="Q15" s="30"/>
      <c r="R15" s="81" t="str">
        <f>VLOOKUP(C15,'Train Runs'!$A$13:$AE$9920,31,0)</f>
        <v>aws s3 cp s3://rtdc.mdm.uploadarchive.raw/RTDC4029/ "%USERPROFILE%\AppData\Local\Temp\OnboardLogs"\RTDC4029\2017-07-29 --exclude "*" --recursive --include "*20170729*" &amp; "%USERPROFILE%\Documents\GitHub\mrs-test-scripts\Headless Mode &amp; Sideloading\WalkAndUnGZ.bat" "%USERPROFILE%\AppData\Local\Temp\OnboardLogs"\RTDC4029\2017-07-29 &amp; aws s3 cp s3://rtdc.mdm.uploadarchive.raw/RTDC4029/ "%USERPROFILE%\AppData\Local\Temp\OnboardLogs"\RTDC4029\2017-07-30 --exclude "*" --recursive --include "*20170730*" &amp; "%USERPROFILE%\Documents\GitHub\mrs-test-scripts\Headless Mode &amp; Sideloading\WalkAndUnGZ.bat" "%USERPROFILE%\AppData\Local\Temp\OnboardLogs"\RTDC4029\2017-07-30</v>
      </c>
      <c r="S15" s="84" t="str">
        <f>VLOOKUP(C15,'Train Runs'!$A$13:$AE$9920,22,0)</f>
        <v>https://d0f6bd738d7f1b3e5a7ca70fe4ff75f0.us-east-1.aws.found.io/app/kibana#/discover/Steve-Slow-Train-Analysis-(2080s-and-2083s)?_g=(refreshInterval:(display:Off,pause:!f,section:0,value:0),time:(from:'2017-07-29T14:20:17-0600',mode:absolute,to:'2017-07-29T17:10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5" s="86" t="str">
        <f t="shared" si="1"/>
        <v>"C:\Program Files (x86)\AstroGrep\AstroGrep.exe" /e /r /s /spath="%USERPROFILE%\AppData\Local\Temp\OnboardLogs" /stypes="*4029*201707292*" /stext=" 21:.+((SYSTEM_STATE.+slice.+state.+changed )|(ment ac)|(multiple cpu faults)|(system.+state.+changed )|(\[timeout)|(PRM\|1\|D)|(kpr)|(kdp)|(train st.+moving)|(\|lc)|(penalty))"</v>
      </c>
      <c r="U15" s="9" t="str">
        <f t="shared" si="2"/>
        <v>4029</v>
      </c>
      <c r="V15" s="31">
        <f t="shared" si="3"/>
        <v>42945.914456018516</v>
      </c>
      <c r="W15" s="45" t="str">
        <f t="shared" si="4"/>
        <v>EC</v>
      </c>
      <c r="X15" s="22">
        <f t="shared" si="5"/>
        <v>188</v>
      </c>
      <c r="Y15" s="96" t="str">
        <f t="shared" si="6"/>
        <v>echo {"issue":{"subject":"Early arrival","project_id":79,"tracker_id":40,"status_id":1,"priority_id":2,"assigned_to_id":23,"start_date":"2017-07-29","description":"","custom_fields":[{"id":1,"name":"Subdivision","value":"EC"},{"id":4,"name":"Milepost","value":"4.2961"},{"id":17,"name":"Train ID","value":"188-29"},{"id":16,"name":"Locomotive ID","value":"4029"},{"id":130,"name":"Impact","value":""},{"id":150,"name":"Time of Event (Mountain Time)","value":"15:56:49"},{"id":151,"name":"Denver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/c/Users/stu/AppData/Local/Temp/OnboardLogs/RTDC4029 --include="*4029*201707292*"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"%USERPROFILE%\AppData\Local\Temp\OnboardLogs"\RTDC4029\*4029*201707292* &gt;&gt; 2017-07-29-SliceDisagreementCheck.txt</v>
      </c>
      <c r="AE15" s="145" t="str">
        <f t="shared" si="9"/>
        <v>start /low /b %USERPROFILE%\Documents\GitHub\eaglep3\Utilities\DownloadLogsFromS3.py --loco 4029 --day 2017-07-29</v>
      </c>
      <c r="AF15" s="1"/>
    </row>
    <row r="16" spans="1:32" x14ac:dyDescent="0.25">
      <c r="A16" s="31">
        <v>42945.890914351854</v>
      </c>
      <c r="B16" s="30" t="s">
        <v>473</v>
      </c>
      <c r="C16" s="30" t="s">
        <v>658</v>
      </c>
      <c r="D16" s="30" t="s">
        <v>96</v>
      </c>
      <c r="E16" s="30" t="s">
        <v>187</v>
      </c>
      <c r="F16" s="42">
        <v>280</v>
      </c>
      <c r="G16" s="42">
        <v>343</v>
      </c>
      <c r="H16" s="42">
        <v>58147</v>
      </c>
      <c r="I16" s="42">
        <v>56964</v>
      </c>
      <c r="J16" s="30" t="s">
        <v>188</v>
      </c>
      <c r="K16" s="42">
        <v>58301</v>
      </c>
      <c r="L16" s="131" t="s">
        <v>51</v>
      </c>
      <c r="M16" s="132">
        <f t="shared" si="0"/>
        <v>-705.93600000000004</v>
      </c>
      <c r="N16" s="133" t="str">
        <f>VLOOKUP(C16,'Trips&amp;Operators'!$C$1:$G$99999,5,FALSE)</f>
        <v>PERKINS DARREN</v>
      </c>
      <c r="O16" s="203" t="s">
        <v>180</v>
      </c>
      <c r="P16" s="134" t="s">
        <v>408</v>
      </c>
      <c r="Q16" s="30"/>
      <c r="R16" s="81" t="str">
        <f>VLOOKUP(C16,'Train Runs'!$A$13:$AE$9920,31,0)</f>
        <v>aws s3 cp s3://rtdc.mdm.uploadarchive.raw/RTDC4023/ "%USERPROFILE%\AppData\Local\Temp\OnboardLogs"\RTDC4023\2017-07-29 --exclude "*" --recursive --include "*20170729*" &amp; "%USERPROFILE%\Documents\GitHub\mrs-test-scripts\Headless Mode &amp; Sideloading\WalkAndUnGZ.bat" "%USERPROFILE%\AppData\Local\Temp\OnboardLogs"\RTDC4023\2017-07-29 &amp; aws s3 cp s3://rtdc.mdm.uploadarchive.raw/RTDC4023/ "%USERPROFILE%\AppData\Local\Temp\OnboardLogs"\RTDC4023\2017-07-30 --exclude "*" --recursive --include "*20170730*" &amp; "%USERPROFILE%\Documents\GitHub\mrs-test-scripts\Headless Mode &amp; Sideloading\WalkAndUnGZ.bat" "%USERPROFILE%\AppData\Local\Temp\OnboardLogs"\RTDC4023\2017-07-30</v>
      </c>
      <c r="S16" s="84" t="str">
        <f>VLOOKUP(C16,'Train Runs'!$A$13:$AE$9920,22,0)</f>
        <v>https://d0f6bd738d7f1b3e5a7ca70fe4ff75f0.us-east-1.aws.found.io/app/kibana#/discover/Steve-Slow-Train-Analysis-(2080s-and-2083s)?_g=(refreshInterval:(display:Off,pause:!f,section:0,value:0),time:(from:'2017-07-29T19:51:12-0600',mode:absolute,to:'2017-07-29T22:38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6" s="86" t="str">
        <f t="shared" si="1"/>
        <v>"C:\Program Files (x86)\AstroGrep\AstroGrep.exe" /e /r /s /spath="%USERPROFILE%\AppData\Local\Temp\OnboardLogs" /stypes="*4023*201707300*" /stext=" 03:.+((SYSTEM_STATE.+slice.+state.+changed )|(ment ac)|(multiple cpu faults)|(system.+state.+changed )|(\[timeout)|(PRM\|1\|D)|(kpr)|(kdp)|(train st.+moving)|(\|lc)|(penalty))"</v>
      </c>
      <c r="U16" s="9" t="str">
        <f t="shared" si="2"/>
        <v>4023</v>
      </c>
      <c r="V16" s="31">
        <f t="shared" si="3"/>
        <v>42946.140914351854</v>
      </c>
      <c r="W16" s="45" t="str">
        <f t="shared" si="4"/>
        <v>EC</v>
      </c>
      <c r="X16" s="22">
        <f t="shared" si="5"/>
        <v>226</v>
      </c>
      <c r="Y16" s="96" t="str">
        <f t="shared" si="6"/>
        <v>echo {"issue":{"subject":"Early arrival","project_id":79,"tracker_id":40,"status_id":1,"priority_id":2,"assigned_to_id":23,"start_date":"2017-07-29","description":"","custom_fields":[{"id":1,"name":"Subdivision","value":"EC"},{"id":4,"name":"Milepost","value":"5.8301"},{"id":17,"name":"Train ID","value":"226-29"},{"id":16,"name":"Locomotive ID","value":"4023"},{"id":130,"name":"Impact","value":""},{"id":150,"name":"Time of Event (Mountain Time)","value":"21:22:55"},{"id":151,"name":"Denver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/c/Users/stu/AppData/Local/Temp/OnboardLogs/RTDC4023 --include="*4023*201707300*"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"%USERPROFILE%\AppData\Local\Temp\OnboardLogs"\RTDC4023\*4023*201707300* &gt;&gt; 2017-07-29-SliceDisagreementCheck.txt</v>
      </c>
      <c r="AE16" s="145" t="str">
        <f t="shared" si="9"/>
        <v>start /low /b %USERPROFILE%\Documents\GitHub\eaglep3\Utilities\DownloadLogsFromS3.py --loco 4023 --day 2017-07-30</v>
      </c>
      <c r="AF16" s="1"/>
    </row>
    <row r="17" spans="1:32" x14ac:dyDescent="0.25">
      <c r="A17" s="31">
        <v>42945.630590277775</v>
      </c>
      <c r="B17" s="30" t="s">
        <v>415</v>
      </c>
      <c r="C17" s="30" t="s">
        <v>650</v>
      </c>
      <c r="D17" s="30" t="s">
        <v>96</v>
      </c>
      <c r="E17" s="30" t="s">
        <v>187</v>
      </c>
      <c r="F17" s="42">
        <v>170</v>
      </c>
      <c r="G17" s="42">
        <v>225</v>
      </c>
      <c r="H17" s="42">
        <v>63119</v>
      </c>
      <c r="I17" s="42">
        <v>62739</v>
      </c>
      <c r="J17" s="30" t="s">
        <v>188</v>
      </c>
      <c r="K17" s="42">
        <v>63309</v>
      </c>
      <c r="L17" s="131" t="s">
        <v>51</v>
      </c>
      <c r="M17" s="132">
        <f t="shared" si="0"/>
        <v>-300.95999999999998</v>
      </c>
      <c r="N17" s="133" t="str">
        <f>VLOOKUP(C17,'Trips&amp;Operators'!$C$1:$G$99999,5,FALSE)</f>
        <v>BERLING GARY</v>
      </c>
      <c r="O17" s="203" t="s">
        <v>180</v>
      </c>
      <c r="P17" s="134" t="s">
        <v>408</v>
      </c>
      <c r="Q17" s="30"/>
      <c r="R17" s="81" t="str">
        <f>VLOOKUP(C17,'Train Runs'!$A$13:$AE$9920,31,0)</f>
        <v>aws s3 cp s3://rtdc.mdm.uploadarchive.raw/RTDC4041/ "%USERPROFILE%\AppData\Local\Temp\OnboardLogs"\RTDC4041\2017-07-29 --exclude "*" --recursive --include "*20170729*" &amp; "%USERPROFILE%\Documents\GitHub\mrs-test-scripts\Headless Mode &amp; Sideloading\WalkAndUnGZ.bat" "%USERPROFILE%\AppData\Local\Temp\OnboardLogs"\RTDC4041\2017-07-29 &amp; aws s3 cp s3://rtdc.mdm.uploadarchive.raw/RTDC4041/ "%USERPROFILE%\AppData\Local\Temp\OnboardLogs"\RTDC4041\2017-07-30 --exclude "*" --recursive --include "*20170730*" &amp; "%USERPROFILE%\Documents\GitHub\mrs-test-scripts\Headless Mode &amp; Sideloading\WalkAndUnGZ.bat" "%USERPROFILE%\AppData\Local\Temp\OnboardLogs"\RTDC4041\2017-07-30</v>
      </c>
      <c r="S17" s="84" t="str">
        <f>VLOOKUP(C17,'Train Runs'!$A$13:$AE$9920,22,0)</f>
        <v>https://d0f6bd738d7f1b3e5a7ca70fe4ff75f0.us-east-1.aws.found.io/app/kibana#/discover/Steve-Slow-Train-Analysis-(2080s-and-2083s)?_g=(refreshInterval:(display:Off,pause:!f,section:0,value:0),time:(from:'2017-07-29T13:31:06-0600',mode:absolute,to:'2017-07-29T16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7" s="86" t="str">
        <f t="shared" si="1"/>
        <v>"C:\Program Files (x86)\AstroGrep\AstroGrep.exe" /e /r /s /spath="%USERPROFILE%\AppData\Local\Temp\OnboardLogs" /stypes="*4041*201707292*" /stext=" 21:.+((SYSTEM_STATE.+slice.+state.+changed )|(ment ac)|(multiple cpu faults)|(system.+state.+changed )|(\[timeout)|(PRM\|1\|D)|(kpr)|(kdp)|(train st.+moving)|(\|lc)|(penalty))"</v>
      </c>
      <c r="U17" s="9" t="str">
        <f t="shared" si="2"/>
        <v>4041</v>
      </c>
      <c r="V17" s="31">
        <f t="shared" si="3"/>
        <v>42945.880590277775</v>
      </c>
      <c r="W17" s="45" t="str">
        <f t="shared" si="4"/>
        <v>EC</v>
      </c>
      <c r="X17" s="22">
        <f t="shared" si="5"/>
        <v>182</v>
      </c>
      <c r="Y17" s="96" t="str">
        <f t="shared" si="6"/>
        <v>echo {"issue":{"subject":"Early arrival","project_id":79,"tracker_id":40,"status_id":1,"priority_id":2,"assigned_to_id":23,"start_date":"2017-07-29","description":"","custom_fields":[{"id":1,"name":"Subdivision","value":"EC"},{"id":4,"name":"Milepost","value":"6.3309"},{"id":17,"name":"Train ID","value":"182-29"},{"id":16,"name":"Locomotive ID","value":"4041"},{"id":130,"name":"Impact","value":""},{"id":150,"name":"Time of Event (Mountain Time)","value":"15:08:03"},{"id":151,"name":"Denver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/c/Users/stu/AppData/Local/Temp/OnboardLogs/RTDC4041 --include="*4041*201707292*"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"%USERPROFILE%\AppData\Local\Temp\OnboardLogs"\RTDC4041\*4041*201707292* &gt;&gt; 2017-07-29-SliceDisagreementCheck.txt</v>
      </c>
      <c r="AE17" s="145" t="str">
        <f t="shared" si="9"/>
        <v>start /low /b %USERPROFILE%\Documents\GitHub\eaglep3\Utilities\DownloadLogsFromS3.py --loco 4041 --day 2017-07-29</v>
      </c>
      <c r="AF17" s="1"/>
    </row>
    <row r="18" spans="1:32" x14ac:dyDescent="0.25">
      <c r="A18" s="31">
        <v>42945.552847222221</v>
      </c>
      <c r="B18" s="30" t="s">
        <v>415</v>
      </c>
      <c r="C18" s="30" t="s">
        <v>645</v>
      </c>
      <c r="D18" s="30" t="s">
        <v>96</v>
      </c>
      <c r="E18" s="30" t="s">
        <v>187</v>
      </c>
      <c r="F18" s="42">
        <v>0</v>
      </c>
      <c r="G18" s="42">
        <v>66</v>
      </c>
      <c r="H18" s="42">
        <v>109118</v>
      </c>
      <c r="I18" s="42">
        <v>109108</v>
      </c>
      <c r="J18" s="30" t="s">
        <v>188</v>
      </c>
      <c r="K18" s="42">
        <v>109135</v>
      </c>
      <c r="L18" s="131" t="s">
        <v>51</v>
      </c>
      <c r="M18" s="132">
        <f t="shared" si="0"/>
        <v>-14.256</v>
      </c>
      <c r="N18" s="133" t="str">
        <f>VLOOKUP(C18,'Trips&amp;Operators'!$C$1:$G$99999,5,FALSE)</f>
        <v>BERLING GARY</v>
      </c>
      <c r="O18" s="203" t="s">
        <v>180</v>
      </c>
      <c r="P18" s="134" t="s">
        <v>408</v>
      </c>
      <c r="Q18" s="30"/>
      <c r="R18" s="81" t="str">
        <f>VLOOKUP(C18,'Train Runs'!$A$13:$AE$9920,31,0)</f>
        <v>aws s3 cp s3://rtdc.mdm.uploadarchive.raw/RTDC4041/ "%USERPROFILE%\AppData\Local\Temp\OnboardLogs"\RTDC4041\2017-07-29 --exclude "*" --recursive --include "*20170729*" &amp; "%USERPROFILE%\Documents\GitHub\mrs-test-scripts\Headless Mode &amp; Sideloading\WalkAndUnGZ.bat" "%USERPROFILE%\AppData\Local\Temp\OnboardLogs"\RTDC4041\2017-07-29 &amp; aws s3 cp s3://rtdc.mdm.uploadarchive.raw/RTDC4041/ "%USERPROFILE%\AppData\Local\Temp\OnboardLogs"\RTDC4041\2017-07-30 --exclude "*" --recursive --include "*20170730*" &amp; "%USERPROFILE%\Documents\GitHub\mrs-test-scripts\Headless Mode &amp; Sideloading\WalkAndUnGZ.bat" "%USERPROFILE%\AppData\Local\Temp\OnboardLogs"\RTDC4041\2017-07-30</v>
      </c>
      <c r="S18" s="84" t="str">
        <f>VLOOKUP(C18,'Train Runs'!$A$13:$AE$9920,22,0)</f>
        <v>https://d0f6bd738d7f1b3e5a7ca70fe4ff75f0.us-east-1.aws.found.io/app/kibana#/discover/Steve-Slow-Train-Analysis-(2080s-and-2083s)?_g=(refreshInterval:(display:Off,pause:!f,section:0,value:0),time:(from:'2017-07-29T11:46:38-0600',mode:absolute,to:'2017-07-29T14:39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8" s="86" t="str">
        <f t="shared" si="1"/>
        <v>"C:\Program Files (x86)\AstroGrep\AstroGrep.exe" /e /r /s /spath="%USERPROFILE%\AppData\Local\Temp\OnboardLogs" /stypes="*4041*201707291*" /stext=" 19:.+((SYSTEM_STATE.+slice.+state.+changed )|(ment ac)|(multiple cpu faults)|(system.+state.+changed )|(\[timeout)|(PRM\|1\|D)|(kpr)|(kdp)|(train st.+moving)|(\|lc)|(penalty))"</v>
      </c>
      <c r="U18" s="9" t="str">
        <f t="shared" si="2"/>
        <v>4041</v>
      </c>
      <c r="V18" s="31">
        <f t="shared" si="3"/>
        <v>42945.802847222221</v>
      </c>
      <c r="W18" s="45" t="str">
        <f t="shared" si="4"/>
        <v>EC</v>
      </c>
      <c r="X18" s="22">
        <f t="shared" si="5"/>
        <v>168</v>
      </c>
      <c r="Y18" s="96" t="str">
        <f t="shared" si="6"/>
        <v>echo {"issue":{"subject":"Early arrival","project_id":79,"tracker_id":40,"status_id":1,"priority_id":2,"assigned_to_id":23,"start_date":"2017-07-29","description":"","custom_fields":[{"id":1,"name":"Subdivision","value":"EC"},{"id":4,"name":"Milepost","value":"10.9135"},{"id":17,"name":"Train ID","value":"168-29"},{"id":16,"name":"Locomotive ID","value":"4041"},{"id":130,"name":"Impact","value":""},{"id":150,"name":"Time of Event (Mountain Time)","value":"13:16:06"},{"id":151,"name":"Denver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/c/Users/stu/AppData/Local/Temp/OnboardLogs/RTDC4041 --include="*4041*201707291*"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"%USERPROFILE%\AppData\Local\Temp\OnboardLogs"\RTDC4041\*4041*201707291* &gt;&gt; 2017-07-29-SliceDisagreementCheck.txt</v>
      </c>
      <c r="AE18" s="145" t="str">
        <f t="shared" si="9"/>
        <v>start /low /b %USERPROFILE%\Documents\GitHub\eaglep3\Utilities\DownloadLogsFromS3.py --loco 4041 --day 2017-07-29</v>
      </c>
      <c r="AF18" s="1"/>
    </row>
    <row r="19" spans="1:32" x14ac:dyDescent="0.25">
      <c r="A19" s="31">
        <v>42945.552442129629</v>
      </c>
      <c r="B19" s="30" t="s">
        <v>415</v>
      </c>
      <c r="C19" s="30" t="s">
        <v>645</v>
      </c>
      <c r="D19" s="30" t="s">
        <v>49</v>
      </c>
      <c r="E19" s="30" t="s">
        <v>187</v>
      </c>
      <c r="F19" s="42">
        <v>30</v>
      </c>
      <c r="G19" s="42">
        <v>85</v>
      </c>
      <c r="H19" s="42">
        <v>109445</v>
      </c>
      <c r="I19" s="42">
        <v>109280</v>
      </c>
      <c r="J19" s="30" t="s">
        <v>188</v>
      </c>
      <c r="K19" s="42">
        <v>109135</v>
      </c>
      <c r="L19" s="131" t="s">
        <v>51</v>
      </c>
      <c r="M19" s="132">
        <f t="shared" si="0"/>
        <v>76.56</v>
      </c>
      <c r="N19" s="133" t="str">
        <f>VLOOKUP(C19,'Trips&amp;Operators'!$C$1:$G$99999,5,FALSE)</f>
        <v>BERLING GARY</v>
      </c>
      <c r="O19" s="203" t="s">
        <v>180</v>
      </c>
      <c r="P19" s="134" t="s">
        <v>408</v>
      </c>
      <c r="Q19" s="30"/>
      <c r="R19" s="81" t="str">
        <f>VLOOKUP(C19,'Train Runs'!$A$13:$AE$9920,31,0)</f>
        <v>aws s3 cp s3://rtdc.mdm.uploadarchive.raw/RTDC4041/ "%USERPROFILE%\AppData\Local\Temp\OnboardLogs"\RTDC4041\2017-07-29 --exclude "*" --recursive --include "*20170729*" &amp; "%USERPROFILE%\Documents\GitHub\mrs-test-scripts\Headless Mode &amp; Sideloading\WalkAndUnGZ.bat" "%USERPROFILE%\AppData\Local\Temp\OnboardLogs"\RTDC4041\2017-07-29 &amp; aws s3 cp s3://rtdc.mdm.uploadarchive.raw/RTDC4041/ "%USERPROFILE%\AppData\Local\Temp\OnboardLogs"\RTDC4041\2017-07-30 --exclude "*" --recursive --include "*20170730*" &amp; "%USERPROFILE%\Documents\GitHub\mrs-test-scripts\Headless Mode &amp; Sideloading\WalkAndUnGZ.bat" "%USERPROFILE%\AppData\Local\Temp\OnboardLogs"\RTDC4041\2017-07-30</v>
      </c>
      <c r="S19" s="84" t="str">
        <f>VLOOKUP(C19,'Train Runs'!$A$13:$AE$9920,22,0)</f>
        <v>https://d0f6bd738d7f1b3e5a7ca70fe4ff75f0.us-east-1.aws.found.io/app/kibana#/discover/Steve-Slow-Train-Analysis-(2080s-and-2083s)?_g=(refreshInterval:(display:Off,pause:!f,section:0,value:0),time:(from:'2017-07-29T11:46:38-0600',mode:absolute,to:'2017-07-29T14:39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9" s="86" t="str">
        <f t="shared" si="1"/>
        <v>"C:\Program Files (x86)\AstroGrep\AstroGrep.exe" /e /r /s /spath="%USERPROFILE%\AppData\Local\Temp\OnboardLogs" /stypes="*4041*201707291*" /stext=" 19:.+((SYSTEM_STATE.+slice.+state.+changed )|(ment ac)|(multiple cpu faults)|(system.+state.+changed )|(\[timeout)|(PRM\|1\|D)|(kpr)|(kdp)|(train st.+moving)|(\|lc)|(penalty))"</v>
      </c>
      <c r="U19" s="9" t="str">
        <f t="shared" si="2"/>
        <v>4041</v>
      </c>
      <c r="V19" s="31">
        <f t="shared" si="3"/>
        <v>42945.802442129629</v>
      </c>
      <c r="W19" s="45" t="str">
        <f t="shared" si="4"/>
        <v>EC</v>
      </c>
      <c r="X19" s="22">
        <f t="shared" si="5"/>
        <v>168</v>
      </c>
      <c r="Y19" s="96" t="str">
        <f t="shared" si="6"/>
        <v>echo {"issue":{"subject":"Early arrival","project_id":79,"tracker_id":40,"status_id":1,"priority_id":2,"assigned_to_id":23,"start_date":"2017-07-29","description":"","custom_fields":[{"id":1,"name":"Subdivision","value":"EC"},{"id":4,"name":"Milepost","value":"10.9135"},{"id":17,"name":"Train ID","value":"168-29"},{"id":16,"name":"Locomotive ID","value":"4041"},{"id":130,"name":"Impact","value":""},{"id":150,"name":"Time of Event (Mountain Time)","value":"13:15:31"},{"id":151,"name":"Denver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/c/Users/stu/AppData/Local/Temp/OnboardLogs/RTDC4041 --include="*4041*201707291*"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"%USERPROFILE%\AppData\Local\Temp\OnboardLogs"\RTDC4041\*4041*201707291* &gt;&gt; 2017-07-29-SliceDisagreementCheck.txt</v>
      </c>
      <c r="AE19" s="145" t="str">
        <f t="shared" si="9"/>
        <v>start /low /b %USERPROFILE%\Documents\GitHub\eaglep3\Utilities\DownloadLogsFromS3.py --loco 4041 --day 2017-07-29</v>
      </c>
      <c r="AF19" s="1"/>
    </row>
    <row r="20" spans="1:32" x14ac:dyDescent="0.25">
      <c r="A20" s="31">
        <v>42945.9684375</v>
      </c>
      <c r="B20" s="30" t="s">
        <v>473</v>
      </c>
      <c r="C20" s="30" t="s">
        <v>660</v>
      </c>
      <c r="D20" s="30" t="s">
        <v>49</v>
      </c>
      <c r="E20" s="30" t="s">
        <v>187</v>
      </c>
      <c r="F20" s="42">
        <v>320</v>
      </c>
      <c r="G20" s="42">
        <v>435</v>
      </c>
      <c r="H20" s="42">
        <v>110163</v>
      </c>
      <c r="I20" s="42">
        <v>108633</v>
      </c>
      <c r="J20" s="30" t="s">
        <v>188</v>
      </c>
      <c r="K20" s="42">
        <v>109135</v>
      </c>
      <c r="L20" s="131" t="s">
        <v>51</v>
      </c>
      <c r="M20" s="132">
        <f t="shared" si="0"/>
        <v>-265.05599999999998</v>
      </c>
      <c r="N20" s="133" t="str">
        <f>VLOOKUP(C20,'Trips&amp;Operators'!$C$1:$G$99999,5,FALSE)</f>
        <v>PERKINS DARREN</v>
      </c>
      <c r="O20" s="203" t="s">
        <v>180</v>
      </c>
      <c r="P20" s="134" t="s">
        <v>408</v>
      </c>
      <c r="Q20" s="30"/>
      <c r="R20" s="81" t="str">
        <f>VLOOKUP(C20,'Train Runs'!$A$13:$AE$9920,31,0)</f>
        <v>aws s3 cp s3://rtdc.mdm.uploadarchive.raw/RTDC4023/ "%USERPROFILE%\AppData\Local\Temp\OnboardLogs"\RTDC4023\2017-07-29 --exclude "*" --recursive --include "*20170729*" &amp; "%USERPROFILE%\Documents\GitHub\mrs-test-scripts\Headless Mode &amp; Sideloading\WalkAndUnGZ.bat" "%USERPROFILE%\AppData\Local\Temp\OnboardLogs"\RTDC4023\2017-07-29 &amp; aws s3 cp s3://rtdc.mdm.uploadarchive.raw/RTDC4023/ "%USERPROFILE%\AppData\Local\Temp\OnboardLogs"\RTDC4023\2017-07-30 --exclude "*" --recursive --include "*20170730*" &amp; "%USERPROFILE%\Documents\GitHub\mrs-test-scripts\Headless Mode &amp; Sideloading\WalkAndUnGZ.bat" "%USERPROFILE%\AppData\Local\Temp\OnboardLogs"\RTDC4023\2017-07-30</v>
      </c>
      <c r="S20" s="84" t="str">
        <f>VLOOKUP(C20,'Train Runs'!$A$13:$AE$9920,22,0)</f>
        <v>https://d0f6bd738d7f1b3e5a7ca70fe4ff75f0.us-east-1.aws.found.io/app/kibana#/discover/Steve-Slow-Train-Analysis-(2080s-and-2083s)?_g=(refreshInterval:(display:Off,pause:!f,section:0,value:0),time:(from:'2017-07-29T21:50:32-0600',mode:absolute,to:'2017-07-30T00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0" s="86" t="str">
        <f t="shared" si="1"/>
        <v>"C:\Program Files (x86)\AstroGrep\AstroGrep.exe" /e /r /s /spath="%USERPROFILE%\AppData\Local\Temp\OnboardLogs" /stypes="*4023*201707300*" /stext=" 05:.+((SYSTEM_STATE.+slice.+state.+changed )|(ment ac)|(multiple cpu faults)|(system.+state.+changed )|(\[timeout)|(PRM\|1\|D)|(kpr)|(kdp)|(train st.+moving)|(\|lc)|(penalty))"</v>
      </c>
      <c r="U20" s="9" t="str">
        <f t="shared" si="2"/>
        <v>4023</v>
      </c>
      <c r="V20" s="31">
        <f t="shared" si="3"/>
        <v>42946.2184375</v>
      </c>
      <c r="W20" s="45" t="str">
        <f t="shared" si="4"/>
        <v>EC</v>
      </c>
      <c r="X20" s="22">
        <f t="shared" si="5"/>
        <v>234</v>
      </c>
      <c r="Y20" s="96" t="str">
        <f t="shared" si="6"/>
        <v>echo {"issue":{"subject":"Early arrival","project_id":79,"tracker_id":40,"status_id":1,"priority_id":2,"assigned_to_id":23,"start_date":"2017-07-29","description":"","custom_fields":[{"id":1,"name":"Subdivision","value":"EC"},{"id":4,"name":"Milepost","value":"10.9135"},{"id":17,"name":"Train ID","value":"234-29"},{"id":16,"name":"Locomotive ID","value":"4023"},{"id":130,"name":"Impact","value":""},{"id":150,"name":"Time of Event (Mountain Time)","value":"23:14:33"},{"id":151,"name":"Denver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/c/Users/stu/AppData/Local/Temp/OnboardLogs/RTDC4023 --include="*4023*201707300*"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"%USERPROFILE%\AppData\Local\Temp\OnboardLogs"\RTDC4023\*4023*201707300* &gt;&gt; 2017-07-29-SliceDisagreementCheck.txt</v>
      </c>
      <c r="AE20" s="145" t="str">
        <f t="shared" si="9"/>
        <v>start /low /b %USERPROFILE%\Documents\GitHub\eaglep3\Utilities\DownloadLogsFromS3.py --loco 4023 --day 2017-07-30</v>
      </c>
      <c r="AF20" s="1"/>
    </row>
    <row r="21" spans="1:32" x14ac:dyDescent="0.25">
      <c r="A21" s="31">
        <v>42945.429062499999</v>
      </c>
      <c r="B21" s="30" t="s">
        <v>350</v>
      </c>
      <c r="C21" s="30" t="s">
        <v>641</v>
      </c>
      <c r="D21" s="30" t="s">
        <v>96</v>
      </c>
      <c r="E21" s="30" t="s">
        <v>196</v>
      </c>
      <c r="F21" s="42">
        <v>150</v>
      </c>
      <c r="G21" s="42">
        <v>203</v>
      </c>
      <c r="H21" s="42">
        <v>3880</v>
      </c>
      <c r="I21" s="42">
        <v>4199</v>
      </c>
      <c r="J21" s="30" t="s">
        <v>197</v>
      </c>
      <c r="K21" s="42">
        <v>0</v>
      </c>
      <c r="L21" s="131" t="s">
        <v>50</v>
      </c>
      <c r="M21" s="132">
        <f t="shared" si="0"/>
        <v>-2217.0720000000001</v>
      </c>
      <c r="N21" s="133" t="str">
        <f>VLOOKUP(C21,'Trips&amp;Operators'!$C$1:$G$99999,5,FALSE)</f>
        <v>BERLING GARY</v>
      </c>
      <c r="O21" s="203" t="s">
        <v>180</v>
      </c>
      <c r="P21" s="134"/>
      <c r="Q21" s="30"/>
      <c r="R21" s="81" t="str">
        <f>VLOOKUP(C21,'Train Runs'!$A$13:$AE$9920,31,0)</f>
        <v>aws s3 cp s3://rtdc.mdm.uploadarchive.raw/RTDC4042/ "%USERPROFILE%\AppData\Local\Temp\OnboardLogs"\RTDC4042\2017-07-29 --exclude "*" --recursive --include "*20170729*" &amp; "%USERPROFILE%\Documents\GitHub\mrs-test-scripts\Headless Mode &amp; Sideloading\WalkAndUnGZ.bat" "%USERPROFILE%\AppData\Local\Temp\OnboardLogs"\RTDC4042\2017-07-29 &amp; aws s3 cp s3://rtdc.mdm.uploadarchive.raw/RTDC4042/ "%USERPROFILE%\AppData\Local\Temp\OnboardLogs"\RTDC4042\2017-07-30 --exclude "*" --recursive --include "*20170730*" &amp; "%USERPROFILE%\Documents\GitHub\mrs-test-scripts\Headless Mode &amp; Sideloading\WalkAndUnGZ.bat" "%USERPROFILE%\AppData\Local\Temp\OnboardLogs"\RTDC4042\2017-07-30</v>
      </c>
      <c r="S21" s="84" t="str">
        <f>VLOOKUP(C21,'Train Runs'!$A$13:$AE$9920,22,0)</f>
        <v>https://d0f6bd738d7f1b3e5a7ca70fe4ff75f0.us-east-1.aws.found.io/app/kibana#/discover/Steve-Slow-Train-Analysis-(2080s-and-2083s)?_g=(refreshInterval:(display:Off,pause:!f,section:0,value:0),time:(from:'2017-07-29T09:09:48-0600',mode:absolute,to:'2017-07-29T11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1" s="86" t="str">
        <f t="shared" si="1"/>
        <v>"C:\Program Files (x86)\AstroGrep\AstroGrep.exe" /e /r /s /spath="%USERPROFILE%\AppData\Local\Temp\OnboardLogs" /stypes="*4042*201707291*" /stext=" 16:.+((SYSTEM_STATE.+slice.+state.+changed )|(ment ac)|(multiple cpu faults)|(system.+state.+changed )|(\[timeout)|(PRM\|1\|D)|(kpr)|(kdp)|(train st.+moving)|(\|lc)|(penalty))"</v>
      </c>
      <c r="U21" s="9" t="str">
        <f t="shared" si="2"/>
        <v>4042</v>
      </c>
      <c r="V21" s="31">
        <f t="shared" si="3"/>
        <v>42945.679062499999</v>
      </c>
      <c r="W21" s="45" t="str">
        <f t="shared" si="4"/>
        <v>EC</v>
      </c>
      <c r="X21" s="22">
        <f t="shared" si="5"/>
        <v>153</v>
      </c>
      <c r="Y21" s="96" t="str">
        <f t="shared" si="6"/>
        <v>echo {"issue":{"subject":"","project_id":79,"tracker_id":40,"status_id":1,"priority_id":2,"assigned_to_id":23,"start_date":"2017-07-29","description":"","custom_fields":[{"id":1,"name":"Subdivision","value":"EC"},{"id":4,"name":"Milepost","value":"0"},{"id":17,"name":"Train ID","value":"153-29"},{"id":16,"name":"Locomotive ID","value":"4042"},{"id":130,"name":"Impact","value":""},{"id":150,"name":"Time of Event (Mountain Time)","value":"10:17:51"},{"id":151,"name":"Denver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/c/Users/stu/AppData/Local/Temp/OnboardLogs/RTDC4042 --include="*4042*201707291*"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"%USERPROFILE%\AppData\Local\Temp\OnboardLogs"\RTDC4042\*4042*201707291* &gt;&gt; 2017-07-29-SliceDisagreementCheck.txt</v>
      </c>
      <c r="AE21" s="145" t="str">
        <f t="shared" si="9"/>
        <v>start /low /b %USERPROFILE%\Documents\GitHub\eaglep3\Utilities\DownloadLogsFromS3.py --loco 4042 --day 2017-07-29</v>
      </c>
      <c r="AF21" s="1"/>
    </row>
    <row r="22" spans="1:32" x14ac:dyDescent="0.25">
      <c r="A22" s="31">
        <v>42945.447164351855</v>
      </c>
      <c r="B22" s="30" t="s">
        <v>473</v>
      </c>
      <c r="C22" s="30" t="s">
        <v>642</v>
      </c>
      <c r="D22" s="30" t="s">
        <v>96</v>
      </c>
      <c r="E22" s="30" t="s">
        <v>196</v>
      </c>
      <c r="F22" s="42">
        <v>400</v>
      </c>
      <c r="G22" s="42">
        <v>453</v>
      </c>
      <c r="H22" s="42">
        <v>116986</v>
      </c>
      <c r="I22" s="42">
        <v>115293</v>
      </c>
      <c r="J22" s="30" t="s">
        <v>197</v>
      </c>
      <c r="K22" s="42">
        <v>119716</v>
      </c>
      <c r="L22" s="131" t="s">
        <v>51</v>
      </c>
      <c r="M22" s="132">
        <f t="shared" si="0"/>
        <v>-2335.3440000000001</v>
      </c>
      <c r="N22" s="133" t="str">
        <f>VLOOKUP(C22,'Trips&amp;Operators'!$C$1:$G$99999,5,FALSE)</f>
        <v>DAVIS WENDY</v>
      </c>
      <c r="O22" s="203" t="s">
        <v>180</v>
      </c>
      <c r="P22" s="134"/>
      <c r="Q22" s="30"/>
      <c r="R22" s="81" t="str">
        <f>VLOOKUP(C22,'Train Runs'!$A$13:$AE$9920,31,0)</f>
        <v>aws s3 cp s3://rtdc.mdm.uploadarchive.raw/RTDC4023/ "%USERPROFILE%\AppData\Local\Temp\OnboardLogs"\RTDC4023\2017-07-29 --exclude "*" --recursive --include "*20170729*" &amp; "%USERPROFILE%\Documents\GitHub\mrs-test-scripts\Headless Mode &amp; Sideloading\WalkAndUnGZ.bat" "%USERPROFILE%\AppData\Local\Temp\OnboardLogs"\RTDC4023\2017-07-29 &amp; aws s3 cp s3://rtdc.mdm.uploadarchive.raw/RTDC4023/ "%USERPROFILE%\AppData\Local\Temp\OnboardLogs"\RTDC4023\2017-07-30 --exclude "*" --recursive --include "*20170730*" &amp; "%USERPROFILE%\Documents\GitHub\mrs-test-scripts\Headless Mode &amp; Sideloading\WalkAndUnGZ.bat" "%USERPROFILE%\AppData\Local\Temp\OnboardLogs"\RTDC4023\2017-07-30</v>
      </c>
      <c r="S22" s="84" t="str">
        <f>VLOOKUP(C22,'Train Runs'!$A$13:$AE$9920,22,0)</f>
        <v>https://d0f6bd738d7f1b3e5a7ca70fe4ff75f0.us-east-1.aws.found.io/app/kibana#/discover/Steve-Slow-Train-Analysis-(2080s-and-2083s)?_g=(refreshInterval:(display:Off,pause:!f,section:0,value:0),time:(from:'2017-07-29T09:24:48-0600',mode:absolute,to:'2017-07-29T12:08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2" s="86" t="str">
        <f t="shared" si="1"/>
        <v>"C:\Program Files (x86)\AstroGrep\AstroGrep.exe" /e /r /s /spath="%USERPROFILE%\AppData\Local\Temp\OnboardLogs" /stypes="*4023*201707291*" /stext=" 16:.+((SYSTEM_STATE.+slice.+state.+changed )|(ment ac)|(multiple cpu faults)|(system.+state.+changed )|(\[timeout)|(PRM\|1\|D)|(kpr)|(kdp)|(train st.+moving)|(\|lc)|(penalty))"</v>
      </c>
      <c r="U22" s="9" t="str">
        <f t="shared" si="2"/>
        <v>4023</v>
      </c>
      <c r="V22" s="31">
        <f t="shared" si="3"/>
        <v>42945.697164351855</v>
      </c>
      <c r="W22" s="45" t="str">
        <f t="shared" si="4"/>
        <v>EC</v>
      </c>
      <c r="X22" s="22">
        <f t="shared" si="5"/>
        <v>148</v>
      </c>
      <c r="Y22" s="96" t="str">
        <f t="shared" si="6"/>
        <v>echo {"issue":{"subject":"","project_id":79,"tracker_id":40,"status_id":1,"priority_id":2,"assigned_to_id":23,"start_date":"2017-07-29","description":"","custom_fields":[{"id":1,"name":"Subdivision","value":"EC"},{"id":4,"name":"Milepost","value":"11.9716"},{"id":17,"name":"Train ID","value":"148-29"},{"id":16,"name":"Locomotive ID","value":"4023"},{"id":130,"name":"Impact","value":""},{"id":150,"name":"Time of Event (Mountain Time)","value":"10:43:55"},{"id":151,"name":"Denver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/c/Users/stu/AppData/Local/Temp/OnboardLogs/RTDC4023 --include="*4023*201707291*"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"%USERPROFILE%\AppData\Local\Temp\OnboardLogs"\RTDC4023\*4023*201707291* &gt;&gt; 2017-07-29-SliceDisagreementCheck.txt</v>
      </c>
      <c r="AE22" s="145" t="str">
        <f t="shared" si="9"/>
        <v>start /low /b %USERPROFILE%\Documents\GitHub\eaglep3\Utilities\DownloadLogsFromS3.py --loco 4023 --day 2017-07-29</v>
      </c>
      <c r="AF22" s="1"/>
    </row>
    <row r="23" spans="1:32" x14ac:dyDescent="0.25">
      <c r="A23" s="31">
        <v>42945.656435185185</v>
      </c>
      <c r="B23" s="30" t="s">
        <v>637</v>
      </c>
      <c r="C23" s="30" t="s">
        <v>652</v>
      </c>
      <c r="D23" s="30" t="s">
        <v>96</v>
      </c>
      <c r="E23" s="30" t="s">
        <v>196</v>
      </c>
      <c r="F23" s="42">
        <v>400</v>
      </c>
      <c r="G23" s="42">
        <v>451</v>
      </c>
      <c r="H23" s="42">
        <v>116832</v>
      </c>
      <c r="I23" s="42">
        <v>115046</v>
      </c>
      <c r="J23" s="30" t="s">
        <v>197</v>
      </c>
      <c r="K23" s="42">
        <v>119716</v>
      </c>
      <c r="L23" s="131" t="s">
        <v>51</v>
      </c>
      <c r="M23" s="132">
        <f t="shared" si="0"/>
        <v>-2465.7600000000002</v>
      </c>
      <c r="N23" s="133" t="str">
        <f>VLOOKUP(C23,'Trips&amp;Operators'!$C$1:$G$99999,5,FALSE)</f>
        <v>HOLCOMB KAMDEN</v>
      </c>
      <c r="O23" s="203" t="s">
        <v>180</v>
      </c>
      <c r="P23" s="134"/>
      <c r="Q23" s="30"/>
      <c r="R23" s="81" t="str">
        <f>VLOOKUP(C23,'Train Runs'!$A$13:$AE$9920,31,0)</f>
        <v>aws s3 cp s3://rtdc.mdm.uploadarchive.raw/RTDC4029/ "%USERPROFILE%\AppData\Local\Temp\OnboardLogs"\RTDC4029\2017-07-29 --exclude "*" --recursive --include "*20170729*" &amp; "%USERPROFILE%\Documents\GitHub\mrs-test-scripts\Headless Mode &amp; Sideloading\WalkAndUnGZ.bat" "%USERPROFILE%\AppData\Local\Temp\OnboardLogs"\RTDC4029\2017-07-29 &amp; aws s3 cp s3://rtdc.mdm.uploadarchive.raw/RTDC4029/ "%USERPROFILE%\AppData\Local\Temp\OnboardLogs"\RTDC4029\2017-07-30 --exclude "*" --recursive --include "*20170730*" &amp; "%USERPROFILE%\Documents\GitHub\mrs-test-scripts\Headless Mode &amp; Sideloading\WalkAndUnGZ.bat" "%USERPROFILE%\AppData\Local\Temp\OnboardLogs"\RTDC4029\2017-07-30</v>
      </c>
      <c r="S23" s="84" t="str">
        <f>VLOOKUP(C23,'Train Runs'!$A$13:$AE$9920,22,0)</f>
        <v>https://d0f6bd738d7f1b3e5a7ca70fe4ff75f0.us-east-1.aws.found.io/app/kibana#/discover/Steve-Slow-Train-Analysis-(2080s-and-2083s)?_g=(refreshInterval:(display:Off,pause:!f,section:0,value:0),time:(from:'2017-07-29T14:20:17-0600',mode:absolute,to:'2017-07-29T17:10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3" s="86" t="str">
        <f t="shared" si="1"/>
        <v>"C:\Program Files (x86)\AstroGrep\AstroGrep.exe" /e /r /s /spath="%USERPROFILE%\AppData\Local\Temp\OnboardLogs" /stypes="*4029*201707292*" /stext=" 21:.+((SYSTEM_STATE.+slice.+state.+changed )|(ment ac)|(multiple cpu faults)|(system.+state.+changed )|(\[timeout)|(PRM\|1\|D)|(kpr)|(kdp)|(train st.+moving)|(\|lc)|(penalty))"</v>
      </c>
      <c r="U23" s="9" t="str">
        <f t="shared" si="2"/>
        <v>4029</v>
      </c>
      <c r="V23" s="31">
        <f t="shared" si="3"/>
        <v>42945.906435185185</v>
      </c>
      <c r="W23" s="45" t="str">
        <f t="shared" si="4"/>
        <v>EC</v>
      </c>
      <c r="X23" s="22">
        <f t="shared" si="5"/>
        <v>188</v>
      </c>
      <c r="Y23" s="96" t="str">
        <f t="shared" si="6"/>
        <v>echo {"issue":{"subject":"","project_id":79,"tracker_id":40,"status_id":1,"priority_id":2,"assigned_to_id":23,"start_date":"2017-07-29","description":"","custom_fields":[{"id":1,"name":"Subdivision","value":"EC"},{"id":4,"name":"Milepost","value":"11.9716"},{"id":17,"name":"Train ID","value":"188-29"},{"id":16,"name":"Locomotive ID","value":"4029"},{"id":130,"name":"Impact","value":""},{"id":150,"name":"Time of Event (Mountain Time)","value":"15:45:16"},{"id":151,"name":"Denver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/c/Users/stu/AppData/Local/Temp/OnboardLogs/RTDC4029 --include="*4029*201707292*"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"%USERPROFILE%\AppData\Local\Temp\OnboardLogs"\RTDC4029\*4029*201707292* &gt;&gt; 2017-07-29-SliceDisagreementCheck.txt</v>
      </c>
      <c r="AE23" s="145" t="str">
        <f t="shared" si="9"/>
        <v>start /low /b %USERPROFILE%\Documents\GitHub\eaglep3\Utilities\DownloadLogsFromS3.py --loco 4029 --day 2017-07-29</v>
      </c>
      <c r="AF23" s="1"/>
    </row>
    <row r="24" spans="1:32" x14ac:dyDescent="0.25">
      <c r="A24" s="31">
        <v>42945.854432870372</v>
      </c>
      <c r="B24" s="30" t="s">
        <v>456</v>
      </c>
      <c r="C24" s="30" t="s">
        <v>657</v>
      </c>
      <c r="D24" s="30" t="s">
        <v>96</v>
      </c>
      <c r="E24" s="30" t="s">
        <v>196</v>
      </c>
      <c r="F24" s="42">
        <v>700</v>
      </c>
      <c r="G24" s="42">
        <v>750</v>
      </c>
      <c r="H24" s="42">
        <v>174737</v>
      </c>
      <c r="I24" s="42">
        <v>177774</v>
      </c>
      <c r="J24" s="30" t="s">
        <v>197</v>
      </c>
      <c r="K24" s="42">
        <v>161962</v>
      </c>
      <c r="L24" s="131" t="s">
        <v>50</v>
      </c>
      <c r="M24" s="132">
        <f t="shared" si="0"/>
        <v>-8348.7360000000008</v>
      </c>
      <c r="N24" s="133" t="str">
        <f>VLOOKUP(C24,'Trips&amp;Operators'!$C$1:$G$99999,5,FALSE)</f>
        <v>PERKINS DARREN</v>
      </c>
      <c r="O24" s="203" t="s">
        <v>180</v>
      </c>
      <c r="P24" s="134"/>
      <c r="Q24" s="30"/>
      <c r="R24" s="81" t="str">
        <f>VLOOKUP(C24,'Train Runs'!$A$13:$AE$9920,31,0)</f>
        <v>aws s3 cp s3://rtdc.mdm.uploadarchive.raw/RTDC4024/ "%USERPROFILE%\AppData\Local\Temp\OnboardLogs"\RTDC4024\2017-07-29 --exclude "*" --recursive --include "*20170729*" &amp; "%USERPROFILE%\Documents\GitHub\mrs-test-scripts\Headless Mode &amp; Sideloading\WalkAndUnGZ.bat" "%USERPROFILE%\AppData\Local\Temp\OnboardLogs"\RTDC4024\2017-07-29 &amp; aws s3 cp s3://rtdc.mdm.uploadarchive.raw/RTDC4024/ "%USERPROFILE%\AppData\Local\Temp\OnboardLogs"\RTDC4024\2017-07-30 --exclude "*" --recursive --include "*20170730*" &amp; "%USERPROFILE%\Documents\GitHub\mrs-test-scripts\Headless Mode &amp; Sideloading\WalkAndUnGZ.bat" "%USERPROFILE%\AppData\Local\Temp\OnboardLogs"\RTDC4024\2017-07-30</v>
      </c>
      <c r="S24" s="84" t="str">
        <f>VLOOKUP(C24,'Train Runs'!$A$13:$AE$9920,22,0)</f>
        <v>https://d0f6bd738d7f1b3e5a7ca70fe4ff75f0.us-east-1.aws.found.io/app/kibana#/discover/Steve-Slow-Train-Analysis-(2080s-and-2083s)?_g=(refreshInterval:(display:Off,pause:!f,section:0,value:0),time:(from:'2017-07-29T18:55:59-0600',mode:absolute,to:'2017-07-29T21:39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4" s="86" t="str">
        <f t="shared" si="1"/>
        <v>"C:\Program Files (x86)\AstroGrep\AstroGrep.exe" /e /r /s /spath="%USERPROFILE%\AppData\Local\Temp\OnboardLogs" /stypes="*4024*201707300*" /stext=" 02:.+((SYSTEM_STATE.+slice.+state.+changed )|(ment ac)|(multiple cpu faults)|(system.+state.+changed )|(\[timeout)|(PRM\|1\|D)|(kpr)|(kdp)|(train st.+moving)|(\|lc)|(penalty))"</v>
      </c>
      <c r="U24" s="9" t="str">
        <f t="shared" si="2"/>
        <v>4024</v>
      </c>
      <c r="V24" s="31">
        <f t="shared" si="3"/>
        <v>42946.104432870372</v>
      </c>
      <c r="W24" s="45" t="str">
        <f t="shared" si="4"/>
        <v>EC</v>
      </c>
      <c r="X24" s="22">
        <f t="shared" si="5"/>
        <v>225</v>
      </c>
      <c r="Y24" s="96" t="str">
        <f t="shared" si="6"/>
        <v>echo {"issue":{"subject":"","project_id":79,"tracker_id":40,"status_id":1,"priority_id":2,"assigned_to_id":23,"start_date":"2017-07-29","description":"","custom_fields":[{"id":1,"name":"Subdivision","value":"EC"},{"id":4,"name":"Milepost","value":"16.1962"},{"id":17,"name":"Train ID","value":"225-29"},{"id":16,"name":"Locomotive ID","value":"4024"},{"id":130,"name":"Impact","value":""},{"id":150,"name":"Time of Event (Mountain Time)","value":"20:30:23"},{"id":151,"name":"Denver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/c/Users/stu/AppData/Local/Temp/OnboardLogs/RTDC4024 --include="*4024*201707300*"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"%USERPROFILE%\AppData\Local\Temp\OnboardLogs"\RTDC4024\*4024*201707300* &gt;&gt; 2017-07-29-SliceDisagreementCheck.txt</v>
      </c>
      <c r="AE24" s="145" t="str">
        <f t="shared" si="9"/>
        <v>start /low /b %USERPROFILE%\Documents\GitHub\eaglep3\Utilities\DownloadLogsFromS3.py --loco 4024 --day 2017-07-30</v>
      </c>
      <c r="AF24" s="1"/>
    </row>
    <row r="25" spans="1:32" x14ac:dyDescent="0.25">
      <c r="A25" s="31">
        <v>42945.701249999998</v>
      </c>
      <c r="B25" s="30" t="s">
        <v>484</v>
      </c>
      <c r="C25" s="30" t="s">
        <v>653</v>
      </c>
      <c r="D25" s="30" t="s">
        <v>49</v>
      </c>
      <c r="E25" s="30" t="s">
        <v>196</v>
      </c>
      <c r="F25" s="42">
        <v>600</v>
      </c>
      <c r="G25" s="42">
        <v>656</v>
      </c>
      <c r="H25" s="42">
        <v>192585</v>
      </c>
      <c r="I25" s="42">
        <v>189746</v>
      </c>
      <c r="J25" s="30" t="s">
        <v>197</v>
      </c>
      <c r="K25" s="42">
        <v>191104</v>
      </c>
      <c r="L25" s="131" t="s">
        <v>51</v>
      </c>
      <c r="M25" s="132">
        <f t="shared" si="0"/>
        <v>-717.024</v>
      </c>
      <c r="N25" s="133" t="str">
        <f>VLOOKUP(C25,'Trips&amp;Operators'!$C$1:$G$99999,5,FALSE)</f>
        <v>DELGADO DIANAH</v>
      </c>
      <c r="O25" s="203" t="s">
        <v>180</v>
      </c>
      <c r="P25" s="134"/>
      <c r="Q25" s="30"/>
      <c r="R25" s="81" t="str">
        <f>VLOOKUP(C25,'Train Runs'!$A$13:$AE$9920,31,0)</f>
        <v>aws s3 cp s3://rtdc.mdm.uploadarchive.raw/RTDC4027/ "%USERPROFILE%\AppData\Local\Temp\OnboardLogs"\RTDC4027\2017-07-29 --exclude "*" --recursive --include "*20170729*" &amp; "%USERPROFILE%\Documents\GitHub\mrs-test-scripts\Headless Mode &amp; Sideloading\WalkAndUnGZ.bat" "%USERPROFILE%\AppData\Local\Temp\OnboardLogs"\RTDC4027\2017-07-29 &amp; aws s3 cp s3://rtdc.mdm.uploadarchive.raw/RTDC4027/ "%USERPROFILE%\AppData\Local\Temp\OnboardLogs"\RTDC4027\2017-07-30 --exclude "*" --recursive --include "*20170730*" &amp; "%USERPROFILE%\Documents\GitHub\mrs-test-scripts\Headless Mode &amp; Sideloading\WalkAndUnGZ.bat" "%USERPROFILE%\AppData\Local\Temp\OnboardLogs"\RTDC4027\2017-07-30</v>
      </c>
      <c r="S25" s="84" t="str">
        <f>VLOOKUP(C25,'Train Runs'!$A$13:$AE$9920,22,0)</f>
        <v>https://d0f6bd738d7f1b3e5a7ca70fe4ff75f0.us-east-1.aws.found.io/app/kibana#/discover/Steve-Slow-Train-Analysis-(2080s-and-2083s)?_g=(refreshInterval:(display:Off,pause:!f,section:0,value:0),time:(from:'2017-07-29T15:33:04-0600',mode:absolute,to:'2017-07-29T18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5" s="86" t="str">
        <f t="shared" si="1"/>
        <v>"C:\Program Files (x86)\AstroGrep\AstroGrep.exe" /e /r /s /spath="%USERPROFILE%\AppData\Local\Temp\OnboardLogs" /stypes="*4027*201707292*" /stext=" 22:.+((SYSTEM_STATE.+slice.+state.+changed )|(ment ac)|(multiple cpu faults)|(system.+state.+changed )|(\[timeout)|(PRM\|1\|D)|(kpr)|(kdp)|(train st.+moving)|(\|lc)|(penalty))"</v>
      </c>
      <c r="U25" s="9" t="str">
        <f t="shared" si="2"/>
        <v>4027</v>
      </c>
      <c r="V25" s="31">
        <f t="shared" si="3"/>
        <v>42945.951249999998</v>
      </c>
      <c r="W25" s="45" t="str">
        <f t="shared" si="4"/>
        <v>EC</v>
      </c>
      <c r="X25" s="22">
        <f t="shared" si="5"/>
        <v>198</v>
      </c>
      <c r="Y25" s="96" t="str">
        <f t="shared" si="6"/>
        <v>echo {"issue":{"subject":"","project_id":79,"tracker_id":40,"status_id":1,"priority_id":2,"assigned_to_id":23,"start_date":"2017-07-29","description":"","custom_fields":[{"id":1,"name":"Subdivision","value":"EC"},{"id":4,"name":"Milepost","value":"19.1104"},{"id":17,"name":"Train ID","value":"198-29"},{"id":16,"name":"Locomotive ID","value":"4027"},{"id":130,"name":"Impact","value":""},{"id":150,"name":"Time of Event (Mountain Time)","value":"16:49:48"},{"id":151,"name":"Denver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/c/Users/stu/AppData/Local/Temp/OnboardLogs/RTDC4027 --include="*4027*201707292*"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"%USERPROFILE%\AppData\Local\Temp\OnboardLogs"\RTDC4027\*4027*201707292* &gt;&gt; 2017-07-29-SliceDisagreementCheck.txt</v>
      </c>
      <c r="AE25" s="145" t="str">
        <f t="shared" si="9"/>
        <v>start /low /b %USERPROFILE%\Documents\GitHub\eaglep3\Utilities\DownloadLogsFromS3.py --loco 4027 --day 2017-07-29</v>
      </c>
      <c r="AF25" s="1"/>
    </row>
    <row r="26" spans="1:32" x14ac:dyDescent="0.25">
      <c r="A26" s="31">
        <v>42945.739317129628</v>
      </c>
      <c r="B26" s="30" t="s">
        <v>463</v>
      </c>
      <c r="C26" s="30" t="s">
        <v>655</v>
      </c>
      <c r="D26" s="30" t="s">
        <v>96</v>
      </c>
      <c r="E26" s="30" t="s">
        <v>196</v>
      </c>
      <c r="F26" s="42">
        <v>350</v>
      </c>
      <c r="G26" s="42">
        <v>402</v>
      </c>
      <c r="H26" s="42">
        <v>224776</v>
      </c>
      <c r="I26" s="42">
        <v>223432</v>
      </c>
      <c r="J26" s="30" t="s">
        <v>197</v>
      </c>
      <c r="K26" s="42">
        <v>232080</v>
      </c>
      <c r="L26" s="131" t="s">
        <v>51</v>
      </c>
      <c r="M26" s="132">
        <f t="shared" si="0"/>
        <v>-4566.1440000000002</v>
      </c>
      <c r="N26" s="133" t="str">
        <f>VLOOKUP(C26,'Trips&amp;Operators'!$C$1:$G$99999,5,FALSE)</f>
        <v>THOMPSON LESTER</v>
      </c>
      <c r="O26" s="203" t="s">
        <v>180</v>
      </c>
      <c r="P26" s="134"/>
      <c r="Q26" s="30"/>
      <c r="R26" s="81" t="str">
        <f>VLOOKUP(C26,'Train Runs'!$A$13:$AE$9920,31,0)</f>
        <v>aws s3 cp s3://rtdc.mdm.uploadarchive.raw/RTDC4055/ "%USERPROFILE%\AppData\Local\Temp\OnboardLogs"\RTDC4055\2017-07-29 --exclude "*" --recursive --include "*20170729*" &amp; "%USERPROFILE%\Documents\GitHub\mrs-test-scripts\Headless Mode &amp; Sideloading\WalkAndUnGZ.bat" "%USERPROFILE%\AppData\Local\Temp\OnboardLogs"\RTDC4055\2017-07-29 &amp; aws s3 cp s3://rtdc.mdm.uploadarchive.raw/RTDC4055/ "%USERPROFILE%\AppData\Local\Temp\OnboardLogs"\RTDC4055\2017-07-30 --exclude "*" --recursive --include "*20170730*" &amp; "%USERPROFILE%\Documents\GitHub\mrs-test-scripts\Headless Mode &amp; Sideloading\WalkAndUnGZ.bat" "%USERPROFILE%\AppData\Local\Temp\OnboardLogs"\RTDC4055\2017-07-30</v>
      </c>
      <c r="S26" s="84" t="str">
        <f>VLOOKUP(C26,'Train Runs'!$A$13:$AE$9920,22,0)</f>
        <v>https://d0f6bd738d7f1b3e5a7ca70fe4ff75f0.us-east-1.aws.found.io/app/kibana#/discover/Steve-Slow-Train-Analysis-(2080s-and-2083s)?_g=(refreshInterval:(display:Off,pause:!f,section:0,value:0),time:(from:'2017-07-29T16:39:30-0600',mode:absolute,to:'2017-07-29T19:23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6" s="86" t="str">
        <f t="shared" si="1"/>
        <v>"C:\Program Files (x86)\AstroGrep\AstroGrep.exe" /e /r /s /spath="%USERPROFILE%\AppData\Local\Temp\OnboardLogs" /stypes="*4055*201707292*" /stext=" 23:.+((SYSTEM_STATE.+slice.+state.+changed )|(ment ac)|(multiple cpu faults)|(system.+state.+changed )|(\[timeout)|(PRM\|1\|D)|(kpr)|(kdp)|(train st.+moving)|(\|lc)|(penalty))"</v>
      </c>
      <c r="U26" s="9" t="str">
        <f t="shared" si="2"/>
        <v>4055</v>
      </c>
      <c r="V26" s="31">
        <f t="shared" si="3"/>
        <v>42945.989317129628</v>
      </c>
      <c r="W26" s="45" t="str">
        <f t="shared" si="4"/>
        <v>EC</v>
      </c>
      <c r="X26" s="22">
        <f t="shared" si="5"/>
        <v>206</v>
      </c>
      <c r="Y26" s="96" t="str">
        <f t="shared" si="6"/>
        <v>echo {"issue":{"subject":"","project_id":79,"tracker_id":40,"status_id":1,"priority_id":2,"assigned_to_id":23,"start_date":"2017-07-29","description":"","custom_fields":[{"id":1,"name":"Subdivision","value":"EC"},{"id":4,"name":"Milepost","value":"23.208"},{"id":17,"name":"Train ID","value":"206-29"},{"id":16,"name":"Locomotive ID","value":"4055"},{"id":130,"name":"Impact","value":""},{"id":150,"name":"Time of Event (Mountain Time)","value":"17:44:37"},{"id":151,"name":"Denver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/c/Users/stu/AppData/Local/Temp/OnboardLogs/RTDC4055 --include="*4055*201707292*"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"%USERPROFILE%\AppData\Local\Temp\OnboardLogs"\RTDC4055\*4055*201707292* &gt;&gt; 2017-07-29-SliceDisagreementCheck.txt</v>
      </c>
      <c r="AE26" s="145" t="str">
        <f t="shared" si="9"/>
        <v>start /low /b %USERPROFILE%\Documents\GitHub\eaglep3\Utilities\DownloadLogsFromS3.py --loco 4055 --day 2017-07-29</v>
      </c>
      <c r="AF26" s="1"/>
    </row>
    <row r="27" spans="1:32" s="20" customFormat="1" x14ac:dyDescent="0.25">
      <c r="A27" s="31">
        <v>42945.371967592589</v>
      </c>
      <c r="B27" s="30" t="s">
        <v>637</v>
      </c>
      <c r="C27" s="30" t="s">
        <v>638</v>
      </c>
      <c r="D27" s="30" t="s">
        <v>49</v>
      </c>
      <c r="E27" s="30" t="s">
        <v>538</v>
      </c>
      <c r="F27" s="42">
        <v>0</v>
      </c>
      <c r="G27" s="42">
        <v>265</v>
      </c>
      <c r="H27" s="42">
        <v>44806</v>
      </c>
      <c r="I27" s="42">
        <v>44348</v>
      </c>
      <c r="J27" s="30" t="s">
        <v>539</v>
      </c>
      <c r="K27" s="42">
        <v>43664</v>
      </c>
      <c r="L27" s="131" t="s">
        <v>51</v>
      </c>
      <c r="M27" s="132">
        <f t="shared" si="0"/>
        <v>361.15199999999999</v>
      </c>
      <c r="N27" s="133" t="str">
        <f>VLOOKUP(C27,'Trips&amp;Operators'!$C$1:$G$99999,5,FALSE)</f>
        <v>GUZMAN DANNY</v>
      </c>
      <c r="O27" s="203" t="s">
        <v>472</v>
      </c>
      <c r="P27" s="134" t="s">
        <v>483</v>
      </c>
      <c r="Q27" s="30"/>
      <c r="R27" s="81" t="str">
        <f>VLOOKUP(C27,'Train Runs'!$A$13:$AE$9920,31,0)</f>
        <v>aws s3 cp s3://rtdc.mdm.uploadarchive.raw/RTDC4029/ "%USERPROFILE%\AppData\Local\Temp\OnboardLogs"\RTDC4029\2017-07-29 --exclude "*" --recursive --include "*20170729*" &amp; "%USERPROFILE%\Documents\GitHub\mrs-test-scripts\Headless Mode &amp; Sideloading\WalkAndUnGZ.bat" "%USERPROFILE%\AppData\Local\Temp\OnboardLogs"\RTDC4029\2017-07-29 &amp; aws s3 cp s3://rtdc.mdm.uploadarchive.raw/RTDC4029/ "%USERPROFILE%\AppData\Local\Temp\OnboardLogs"\RTDC4029\2017-07-30 --exclude "*" --recursive --include "*20170730*" &amp; "%USERPROFILE%\Documents\GitHub\mrs-test-scripts\Headless Mode &amp; Sideloading\WalkAndUnGZ.bat" "%USERPROFILE%\AppData\Local\Temp\OnboardLogs"\RTDC4029\2017-07-30</v>
      </c>
      <c r="S27" s="84" t="str">
        <f>VLOOKUP(C27,'Train Runs'!$A$13:$AE$9920,22,0)</f>
        <v>https://d0f6bd738d7f1b3e5a7ca70fe4ff75f0.us-east-1.aws.found.io/app/kibana#/discover/Steve-Slow-Train-Analysis-(2080s-and-2083s)?_g=(refreshInterval:(display:Off,pause:!f,section:0,value:0),time:(from:'2017-07-29T07:13:17-0600',mode:absolute,to:'2017-07-29T10:10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7" s="86" t="str">
        <f t="shared" si="1"/>
        <v>"C:\Program Files (x86)\AstroGrep\AstroGrep.exe" /e /r /s /spath="%USERPROFILE%\AppData\Local\Temp\OnboardLogs" /stypes="*4029*201707291*" /stext=" 14:.+((SYSTEM_STATE.+slice.+state.+changed )|(ment ac)|(multiple cpu faults)|(system.+state.+changed )|(\[timeout)|(PRM\|1\|D)|(kpr)|(kdp)|(train st.+moving)|(\|lc)|(penalty))"</v>
      </c>
      <c r="U27" s="9" t="str">
        <f t="shared" si="2"/>
        <v>4029</v>
      </c>
      <c r="V27" s="31">
        <f t="shared" si="3"/>
        <v>42945.621967592589</v>
      </c>
      <c r="W27" s="45" t="str">
        <f t="shared" si="4"/>
        <v>EC</v>
      </c>
      <c r="X27" s="22">
        <f t="shared" si="5"/>
        <v>132</v>
      </c>
      <c r="Y27" s="96" t="str">
        <f t="shared" si="6"/>
        <v>echo {"issue":{"subject":"Wi-MAX data drop","project_id":79,"tracker_id":40,"status_id":1,"priority_id":2,"assigned_to_id":23,"start_date":"2017-07-29","description":"","custom_fields":[{"id":1,"name":"Subdivision","value":"EC"},{"id":4,"name":"Milepost","value":"4.3664"},{"id":17,"name":"Train ID","value":"132-29"},{"id":16,"name":"Locomotive ID","value":"4029"},{"id":130,"name":"Impact","value":""},{"id":150,"name":"Time of Event (Mountain Time)","value":"08:55:38"},{"id":151,"name":"Denver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/c/Users/stu/AppData/Local/Temp/OnboardLogs/RTDC4029 --include="*4029*201707291*"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"%USERPROFILE%\AppData\Local\Temp\OnboardLogs"\RTDC4029\*4029*201707291* &gt;&gt; 2017-07-29-SliceDisagreementCheck.txt</v>
      </c>
      <c r="AE27" s="145" t="str">
        <f t="shared" si="9"/>
        <v>start /low /b %USERPROFILE%\Documents\GitHub\eaglep3\Utilities\DownloadLogsFromS3.py --loco 4029 --day 2017-07-29</v>
      </c>
      <c r="AF27" s="1"/>
    </row>
    <row r="28" spans="1:32" x14ac:dyDescent="0.25">
      <c r="A28" s="31">
        <v>42945.274282407408</v>
      </c>
      <c r="B28" s="30" t="s">
        <v>456</v>
      </c>
      <c r="C28" s="30" t="s">
        <v>635</v>
      </c>
      <c r="D28" s="30" t="s">
        <v>49</v>
      </c>
      <c r="E28" s="30" t="s">
        <v>538</v>
      </c>
      <c r="F28" s="42">
        <v>0</v>
      </c>
      <c r="G28" s="42">
        <v>767</v>
      </c>
      <c r="H28" s="42">
        <v>197470</v>
      </c>
      <c r="I28" s="42">
        <v>200911</v>
      </c>
      <c r="J28" s="30" t="s">
        <v>539</v>
      </c>
      <c r="K28" s="42">
        <v>198242</v>
      </c>
      <c r="L28" s="131" t="s">
        <v>50</v>
      </c>
      <c r="M28" s="132">
        <f t="shared" si="0"/>
        <v>-1409.2320000000002</v>
      </c>
      <c r="N28" s="133" t="str">
        <f>VLOOKUP(C28,'Trips&amp;Operators'!$C$1:$G$99999,5,FALSE)</f>
        <v>DAVIS WENDY</v>
      </c>
      <c r="O28" s="203" t="s">
        <v>472</v>
      </c>
      <c r="P28" s="134" t="s">
        <v>483</v>
      </c>
      <c r="Q28" s="30"/>
      <c r="R28" s="81" t="str">
        <f>VLOOKUP(C28,'Train Runs'!$A$13:$AE$9920,31,0)</f>
        <v>aws s3 cp s3://rtdc.mdm.uploadarchive.raw/RTDC4024/ "%USERPROFILE%\AppData\Local\Temp\OnboardLogs"\RTDC4024\2017-07-29 --exclude "*" --recursive --include "*20170729*" &amp; "%USERPROFILE%\Documents\GitHub\mrs-test-scripts\Headless Mode &amp; Sideloading\WalkAndUnGZ.bat" "%USERPROFILE%\AppData\Local\Temp\OnboardLogs"\RTDC4024\2017-07-29 &amp; aws s3 cp s3://rtdc.mdm.uploadarchive.raw/RTDC4024/ "%USERPROFILE%\AppData\Local\Temp\OnboardLogs"\RTDC4024\2017-07-30 --exclude "*" --recursive --include "*20170730*" &amp; "%USERPROFILE%\Documents\GitHub\mrs-test-scripts\Headless Mode &amp; Sideloading\WalkAndUnGZ.bat" "%USERPROFILE%\AppData\Local\Temp\OnboardLogs"\RTDC4024\2017-07-30</v>
      </c>
      <c r="S28" s="84" t="str">
        <f>VLOOKUP(C28,'Train Runs'!$A$13:$AE$9920,22,0)</f>
        <v>https://d0f6bd738d7f1b3e5a7ca70fe4ff75f0.us-east-1.aws.found.io/app/kibana#/discover/Steve-Slow-Train-Analysis-(2080s-and-2083s)?_g=(refreshInterval:(display:Off,pause:!f,section:0,value:0),time:(from:'2017-07-29T04:56:15-0600',mode:absolute,to:'2017-07-29T07:42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8" s="86" t="str">
        <f t="shared" si="1"/>
        <v>"C:\Program Files (x86)\AstroGrep\AstroGrep.exe" /e /r /s /spath="%USERPROFILE%\AppData\Local\Temp\OnboardLogs" /stypes="*4024*201707291*" /stext=" 12:.+((SYSTEM_STATE.+slice.+state.+changed )|(ment ac)|(multiple cpu faults)|(system.+state.+changed )|(\[timeout)|(PRM\|1\|D)|(kpr)|(kdp)|(train st.+moving)|(\|lc)|(penalty))"</v>
      </c>
      <c r="U28" s="9" t="str">
        <f t="shared" si="2"/>
        <v>4024</v>
      </c>
      <c r="V28" s="31">
        <f t="shared" si="3"/>
        <v>42945.524282407408</v>
      </c>
      <c r="W28" s="45" t="str">
        <f t="shared" si="4"/>
        <v>EC</v>
      </c>
      <c r="X28" s="22">
        <f t="shared" si="5"/>
        <v>119</v>
      </c>
      <c r="Y28" s="96" t="str">
        <f t="shared" si="6"/>
        <v>echo {"issue":{"subject":"Wi-MAX data drop","project_id":79,"tracker_id":40,"status_id":1,"priority_id":2,"assigned_to_id":23,"start_date":"2017-07-29","description":"","custom_fields":[{"id":1,"name":"Subdivision","value":"EC"},{"id":4,"name":"Milepost","value":"19.8242"},{"id":17,"name":"Train ID","value":"119-29"},{"id":16,"name":"Locomotive ID","value":"4024"},{"id":130,"name":"Impact","value":""},{"id":150,"name":"Time of Event (Mountain Time)","value":"06:34:58"},{"id":151,"name":"Denver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/c/Users/stu/AppData/Local/Temp/OnboardLogs/RTDC4024 --include="*4024*201707291*"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"%USERPROFILE%\AppData\Local\Temp\OnboardLogs"\RTDC4024\*4024*201707291* &gt;&gt; 2017-07-29-SliceDisagreementCheck.txt</v>
      </c>
      <c r="AE28" s="145" t="str">
        <f t="shared" si="9"/>
        <v>start /low /b %USERPROFILE%\Documents\GitHub\eaglep3\Utilities\DownloadLogsFromS3.py --loco 4024 --day 2017-07-29</v>
      </c>
      <c r="AF28" s="1"/>
    </row>
    <row r="29" spans="1:32" x14ac:dyDescent="0.25">
      <c r="A29" s="31">
        <v>42945.569201388891</v>
      </c>
      <c r="B29" s="30" t="s">
        <v>415</v>
      </c>
      <c r="C29" s="30" t="s">
        <v>645</v>
      </c>
      <c r="D29" s="30" t="s">
        <v>49</v>
      </c>
      <c r="E29" s="30" t="s">
        <v>181</v>
      </c>
      <c r="F29" s="42">
        <v>0</v>
      </c>
      <c r="G29" s="42">
        <v>33</v>
      </c>
      <c r="H29" s="42">
        <v>118</v>
      </c>
      <c r="I29" s="42">
        <v>103</v>
      </c>
      <c r="J29" s="30" t="s">
        <v>182</v>
      </c>
      <c r="K29" s="42">
        <v>1</v>
      </c>
      <c r="L29" s="131" t="s">
        <v>51</v>
      </c>
      <c r="M29" s="132">
        <f t="shared" si="0"/>
        <v>53.856000000000002</v>
      </c>
      <c r="N29" s="133" t="str">
        <f>VLOOKUP(C29,'Trips&amp;Operators'!$C$1:$G$99999,5,FALSE)</f>
        <v>BERLING GARY</v>
      </c>
      <c r="O29" s="203" t="s">
        <v>180</v>
      </c>
      <c r="P29" s="134"/>
      <c r="Q29" s="30"/>
      <c r="R29" s="81" t="str">
        <f>VLOOKUP(C29,'Train Runs'!$A$13:$AE$9920,31,0)</f>
        <v>aws s3 cp s3://rtdc.mdm.uploadarchive.raw/RTDC4041/ "%USERPROFILE%\AppData\Local\Temp\OnboardLogs"\RTDC4041\2017-07-29 --exclude "*" --recursive --include "*20170729*" &amp; "%USERPROFILE%\Documents\GitHub\mrs-test-scripts\Headless Mode &amp; Sideloading\WalkAndUnGZ.bat" "%USERPROFILE%\AppData\Local\Temp\OnboardLogs"\RTDC4041\2017-07-29 &amp; aws s3 cp s3://rtdc.mdm.uploadarchive.raw/RTDC4041/ "%USERPROFILE%\AppData\Local\Temp\OnboardLogs"\RTDC4041\2017-07-30 --exclude "*" --recursive --include "*20170730*" &amp; "%USERPROFILE%\Documents\GitHub\mrs-test-scripts\Headless Mode &amp; Sideloading\WalkAndUnGZ.bat" "%USERPROFILE%\AppData\Local\Temp\OnboardLogs"\RTDC4041\2017-07-30</v>
      </c>
      <c r="S29" s="84" t="str">
        <f>VLOOKUP(C29,'Train Runs'!$A$13:$AE$9920,22,0)</f>
        <v>https://d0f6bd738d7f1b3e5a7ca70fe4ff75f0.us-east-1.aws.found.io/app/kibana#/discover/Steve-Slow-Train-Analysis-(2080s-and-2083s)?_g=(refreshInterval:(display:Off,pause:!f,section:0,value:0),time:(from:'2017-07-29T11:46:38-0600',mode:absolute,to:'2017-07-29T14:39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9" s="86" t="str">
        <f t="shared" si="1"/>
        <v>"C:\Program Files (x86)\AstroGrep\AstroGrep.exe" /e /r /s /spath="%USERPROFILE%\AppData\Local\Temp\OnboardLogs" /stypes="*4041*201707291*" /stext=" 19:.+((SYSTEM_STATE.+slice.+state.+changed )|(ment ac)|(multiple cpu faults)|(system.+state.+changed )|(\[timeout)|(PRM\|1\|D)|(kpr)|(kdp)|(train st.+moving)|(\|lc)|(penalty))"</v>
      </c>
      <c r="U29" s="9" t="str">
        <f t="shared" si="2"/>
        <v>4041</v>
      </c>
      <c r="V29" s="31">
        <f t="shared" si="3"/>
        <v>42945.819201388891</v>
      </c>
      <c r="W29" s="45" t="str">
        <f t="shared" si="4"/>
        <v>EC</v>
      </c>
      <c r="X29" s="22">
        <f t="shared" si="5"/>
        <v>168</v>
      </c>
      <c r="Y29" s="96" t="str">
        <f t="shared" si="6"/>
        <v>echo {"issue":{"subject":"","project_id":79,"tracker_id":40,"status_id":1,"priority_id":2,"assigned_to_id":23,"start_date":"2017-07-29","description":"","custom_fields":[{"id":1,"name":"Subdivision","value":"EC"},{"id":4,"name":"Milepost","value":"0.0001"},{"id":17,"name":"Train ID","value":"168-29"},{"id":16,"name":"Locomotive ID","value":"4041"},{"id":130,"name":"Impact","value":""},{"id":150,"name":"Time of Event (Mountain Time)","value":"13:39:39"},{"id":151,"name":"Denver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/c/Users/stu/AppData/Local/Temp/OnboardLogs/RTDC4041 --include="*4041*201707291*"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"%USERPROFILE%\AppData\Local\Temp\OnboardLogs"\RTDC4041\*4041*201707291* &gt;&gt; 2017-07-29-SliceDisagreementCheck.txt</v>
      </c>
      <c r="AE29" s="145" t="str">
        <f t="shared" si="9"/>
        <v>start /low /b %USERPROFILE%\Documents\GitHub\eaglep3\Utilities\DownloadLogsFromS3.py --loco 4041 --day 2017-07-29</v>
      </c>
      <c r="AF29" s="1"/>
    </row>
    <row r="30" spans="1:32" x14ac:dyDescent="0.25">
      <c r="A30" s="31">
        <v>42945.598530092589</v>
      </c>
      <c r="B30" s="30" t="s">
        <v>637</v>
      </c>
      <c r="C30" s="30" t="s">
        <v>646</v>
      </c>
      <c r="D30" s="30" t="s">
        <v>49</v>
      </c>
      <c r="E30" s="30" t="s">
        <v>181</v>
      </c>
      <c r="F30" s="42">
        <v>0</v>
      </c>
      <c r="G30" s="42">
        <v>46</v>
      </c>
      <c r="H30" s="42">
        <v>143</v>
      </c>
      <c r="I30" s="42">
        <v>105</v>
      </c>
      <c r="J30" s="30" t="s">
        <v>182</v>
      </c>
      <c r="K30" s="42">
        <v>1</v>
      </c>
      <c r="L30" s="131" t="s">
        <v>51</v>
      </c>
      <c r="M30" s="132">
        <f t="shared" si="0"/>
        <v>54.911999999999999</v>
      </c>
      <c r="N30" s="133" t="str">
        <f>VLOOKUP(C30,'Trips&amp;Operators'!$C$1:$G$99999,5,FALSE)</f>
        <v>HOLCOMB KAMDEN</v>
      </c>
      <c r="O30" s="203" t="s">
        <v>180</v>
      </c>
      <c r="P30" s="134"/>
      <c r="Q30" s="30"/>
      <c r="R30" s="81" t="str">
        <f>VLOOKUP(C30,'Train Runs'!$A$13:$AE$9920,31,0)</f>
        <v>aws s3 cp s3://rtdc.mdm.uploadarchive.raw/RTDC4029/ "%USERPROFILE%\AppData\Local\Temp\OnboardLogs"\RTDC4029\2017-07-29 --exclude "*" --recursive --include "*20170729*" &amp; "%USERPROFILE%\Documents\GitHub\mrs-test-scripts\Headless Mode &amp; Sideloading\WalkAndUnGZ.bat" "%USERPROFILE%\AppData\Local\Temp\OnboardLogs"\RTDC4029\2017-07-29 &amp; aws s3 cp s3://rtdc.mdm.uploadarchive.raw/RTDC4029/ "%USERPROFILE%\AppData\Local\Temp\OnboardLogs"\RTDC4029\2017-07-30 --exclude "*" --recursive --include "*20170730*" &amp; "%USERPROFILE%\Documents\GitHub\mrs-test-scripts\Headless Mode &amp; Sideloading\WalkAndUnGZ.bat" "%USERPROFILE%\AppData\Local\Temp\OnboardLogs"\RTDC4029\2017-07-30</v>
      </c>
      <c r="S30" s="84" t="str">
        <f>VLOOKUP(C30,'Train Runs'!$A$13:$AE$9920,22,0)</f>
        <v>https://d0f6bd738d7f1b3e5a7ca70fe4ff75f0.us-east-1.aws.found.io/app/kibana#/discover/Steve-Slow-Train-Analysis-(2080s-and-2083s)?_g=(refreshInterval:(display:Off,pause:!f,section:0,value:0),time:(from:'2017-07-29T12:36:55-0600',mode:absolute,to:'2017-07-29T15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0" s="86" t="str">
        <f t="shared" si="1"/>
        <v>"C:\Program Files (x86)\AstroGrep\AstroGrep.exe" /e /r /s /spath="%USERPROFILE%\AppData\Local\Temp\OnboardLogs" /stypes="*4029*201707292*" /stext=" 20:.+((SYSTEM_STATE.+slice.+state.+changed )|(ment ac)|(multiple cpu faults)|(system.+state.+changed )|(\[timeout)|(PRM\|1\|D)|(kpr)|(kdp)|(train st.+moving)|(\|lc)|(penalty))"</v>
      </c>
      <c r="U30" s="9" t="str">
        <f t="shared" si="2"/>
        <v>4029</v>
      </c>
      <c r="V30" s="31">
        <f t="shared" si="3"/>
        <v>42945.848530092589</v>
      </c>
      <c r="W30" s="45" t="str">
        <f t="shared" si="4"/>
        <v>EC</v>
      </c>
      <c r="X30" s="22">
        <f t="shared" si="5"/>
        <v>174</v>
      </c>
      <c r="Y30" s="96" t="str">
        <f t="shared" si="6"/>
        <v>echo {"issue":{"subject":"","project_id":79,"tracker_id":40,"status_id":1,"priority_id":2,"assigned_to_id":23,"start_date":"2017-07-29","description":"","custom_fields":[{"id":1,"name":"Subdivision","value":"EC"},{"id":4,"name":"Milepost","value":"0.0001"},{"id":17,"name":"Train ID","value":"174-29"},{"id":16,"name":"Locomotive ID","value":"4029"},{"id":130,"name":"Impact","value":""},{"id":150,"name":"Time of Event (Mountain Time)","value":"14:21:53"},{"id":151,"name":"Denver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/c/Users/stu/AppData/Local/Temp/OnboardLogs/RTDC4029 --include="*4029*201707292*"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"%USERPROFILE%\AppData\Local\Temp\OnboardLogs"\RTDC4029\*4029*201707292* &gt;&gt; 2017-07-29-SliceDisagreementCheck.txt</v>
      </c>
      <c r="AE30" s="145" t="str">
        <f t="shared" si="9"/>
        <v>start /low /b %USERPROFILE%\Documents\GitHub\eaglep3\Utilities\DownloadLogsFromS3.py --loco 4029 --day 2017-07-29</v>
      </c>
      <c r="AF30" s="1"/>
    </row>
    <row r="31" spans="1:32" x14ac:dyDescent="0.25">
      <c r="A31" s="31">
        <v>42945.620150462964</v>
      </c>
      <c r="B31" s="30" t="s">
        <v>463</v>
      </c>
      <c r="C31" s="30" t="s">
        <v>647</v>
      </c>
      <c r="D31" s="30" t="s">
        <v>49</v>
      </c>
      <c r="E31" s="30" t="s">
        <v>181</v>
      </c>
      <c r="F31" s="42">
        <v>0</v>
      </c>
      <c r="G31" s="42">
        <v>44</v>
      </c>
      <c r="H31" s="42">
        <v>158</v>
      </c>
      <c r="I31" s="42">
        <v>121</v>
      </c>
      <c r="J31" s="30" t="s">
        <v>182</v>
      </c>
      <c r="K31" s="42">
        <v>1</v>
      </c>
      <c r="L31" s="131" t="s">
        <v>51</v>
      </c>
      <c r="M31" s="132">
        <f t="shared" si="0"/>
        <v>63.36</v>
      </c>
      <c r="N31" s="133" t="str">
        <f>VLOOKUP(C31,'Trips&amp;Operators'!$C$1:$G$99999,5,FALSE)</f>
        <v>THOMPSON LESTER</v>
      </c>
      <c r="O31" s="203" t="s">
        <v>180</v>
      </c>
      <c r="P31" s="134"/>
      <c r="Q31" s="30"/>
      <c r="R31" s="81" t="str">
        <f>VLOOKUP(C31,'Train Runs'!$A$13:$AE$9920,31,0)</f>
        <v>aws s3 cp s3://rtdc.mdm.uploadarchive.raw/RTDC4055/ "%USERPROFILE%\AppData\Local\Temp\OnboardLogs"\RTDC4055\2017-07-29 --exclude "*" --recursive --include "*20170729*" &amp; "%USERPROFILE%\Documents\GitHub\mrs-test-scripts\Headless Mode &amp; Sideloading\WalkAndUnGZ.bat" "%USERPROFILE%\AppData\Local\Temp\OnboardLogs"\RTDC4055\2017-07-29 &amp; aws s3 cp s3://rtdc.mdm.uploadarchive.raw/RTDC4055/ "%USERPROFILE%\AppData\Local\Temp\OnboardLogs"\RTDC4055\2017-07-30 --exclude "*" --recursive --include "*20170730*" &amp; "%USERPROFILE%\Documents\GitHub\mrs-test-scripts\Headless Mode &amp; Sideloading\WalkAndUnGZ.bat" "%USERPROFILE%\AppData\Local\Temp\OnboardLogs"\RTDC4055\2017-07-30</v>
      </c>
      <c r="S31" s="84" t="str">
        <f>VLOOKUP(C31,'Train Runs'!$A$13:$AE$9920,22,0)</f>
        <v>https://d0f6bd738d7f1b3e5a7ca70fe4ff75f0.us-east-1.aws.found.io/app/kibana#/discover/Steve-Slow-Train-Analysis-(2080s-and-2083s)?_g=(refreshInterval:(display:Off,pause:!f,section:0,value:0),time:(from:'2017-07-29T13:08:05-0600',mode:absolute,to:'2017-07-29T15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1" s="86" t="str">
        <f t="shared" si="1"/>
        <v>"C:\Program Files (x86)\AstroGrep\AstroGrep.exe" /e /r /s /spath="%USERPROFILE%\AppData\Local\Temp\OnboardLogs" /stypes="*4055*201707292*" /stext=" 20:.+((SYSTEM_STATE.+slice.+state.+changed )|(ment ac)|(multiple cpu faults)|(system.+state.+changed )|(\[timeout)|(PRM\|1\|D)|(kpr)|(kdp)|(train st.+moving)|(\|lc)|(penalty))"</v>
      </c>
      <c r="U31" s="9" t="str">
        <f t="shared" si="2"/>
        <v>4055</v>
      </c>
      <c r="V31" s="31">
        <f t="shared" si="3"/>
        <v>42945.870150462964</v>
      </c>
      <c r="W31" s="45" t="str">
        <f t="shared" si="4"/>
        <v>EC</v>
      </c>
      <c r="X31" s="22">
        <f t="shared" si="5"/>
        <v>178</v>
      </c>
      <c r="Y31" s="96" t="str">
        <f t="shared" si="6"/>
        <v>echo {"issue":{"subject":"","project_id":79,"tracker_id":40,"status_id":1,"priority_id":2,"assigned_to_id":23,"start_date":"2017-07-29","description":"","custom_fields":[{"id":1,"name":"Subdivision","value":"EC"},{"id":4,"name":"Milepost","value":"0.0001"},{"id":17,"name":"Train ID","value":"178-29"},{"id":16,"name":"Locomotive ID","value":"4055"},{"id":130,"name":"Impact","value":""},{"id":150,"name":"Time of Event (Mountain Time)","value":"14:53:01"},{"id":151,"name":"Denver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/c/Users/stu/AppData/Local/Temp/OnboardLogs/RTDC4055 --include="*4055*201707292*"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"%USERPROFILE%\AppData\Local\Temp\OnboardLogs"\RTDC4055\*4055*201707292* &gt;&gt; 2017-07-29-SliceDisagreementCheck.txt</v>
      </c>
      <c r="AE31" s="145" t="str">
        <f t="shared" si="9"/>
        <v>start /low /b %USERPROFILE%\Documents\GitHub\eaglep3\Utilities\DownloadLogsFromS3.py --loco 4055 --day 2017-07-29</v>
      </c>
      <c r="AF31" s="1"/>
    </row>
    <row r="32" spans="1:32" x14ac:dyDescent="0.25">
      <c r="A32" s="31">
        <v>42945.643113425926</v>
      </c>
      <c r="B32" s="30" t="s">
        <v>415</v>
      </c>
      <c r="C32" s="30" t="s">
        <v>650</v>
      </c>
      <c r="D32" s="30" t="s">
        <v>49</v>
      </c>
      <c r="E32" s="30" t="s">
        <v>181</v>
      </c>
      <c r="F32" s="42">
        <v>0</v>
      </c>
      <c r="G32" s="42">
        <v>45</v>
      </c>
      <c r="H32" s="42">
        <v>163</v>
      </c>
      <c r="I32" s="42">
        <v>129</v>
      </c>
      <c r="J32" s="30" t="s">
        <v>182</v>
      </c>
      <c r="K32" s="42">
        <v>1</v>
      </c>
      <c r="L32" s="131" t="s">
        <v>51</v>
      </c>
      <c r="M32" s="132">
        <f t="shared" si="0"/>
        <v>67.584000000000003</v>
      </c>
      <c r="N32" s="133" t="str">
        <f>VLOOKUP(C32,'Trips&amp;Operators'!$C$1:$G$99999,5,FALSE)</f>
        <v>BERLING GARY</v>
      </c>
      <c r="O32" s="203" t="s">
        <v>180</v>
      </c>
      <c r="P32" s="134"/>
      <c r="Q32" s="30"/>
      <c r="R32" s="81" t="str">
        <f>VLOOKUP(C32,'Train Runs'!$A$13:$AE$9920,31,0)</f>
        <v>aws s3 cp s3://rtdc.mdm.uploadarchive.raw/RTDC4041/ "%USERPROFILE%\AppData\Local\Temp\OnboardLogs"\RTDC4041\2017-07-29 --exclude "*" --recursive --include "*20170729*" &amp; "%USERPROFILE%\Documents\GitHub\mrs-test-scripts\Headless Mode &amp; Sideloading\WalkAndUnGZ.bat" "%USERPROFILE%\AppData\Local\Temp\OnboardLogs"\RTDC4041\2017-07-29 &amp; aws s3 cp s3://rtdc.mdm.uploadarchive.raw/RTDC4041/ "%USERPROFILE%\AppData\Local\Temp\OnboardLogs"\RTDC4041\2017-07-30 --exclude "*" --recursive --include "*20170730*" &amp; "%USERPROFILE%\Documents\GitHub\mrs-test-scripts\Headless Mode &amp; Sideloading\WalkAndUnGZ.bat" "%USERPROFILE%\AppData\Local\Temp\OnboardLogs"\RTDC4041\2017-07-30</v>
      </c>
      <c r="S32" s="84" t="str">
        <f>VLOOKUP(C32,'Train Runs'!$A$13:$AE$9920,22,0)</f>
        <v>https://d0f6bd738d7f1b3e5a7ca70fe4ff75f0.us-east-1.aws.found.io/app/kibana#/discover/Steve-Slow-Train-Analysis-(2080s-and-2083s)?_g=(refreshInterval:(display:Off,pause:!f,section:0,value:0),time:(from:'2017-07-29T13:31:06-0600',mode:absolute,to:'2017-07-29T16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2" s="86" t="str">
        <f t="shared" si="1"/>
        <v>"C:\Program Files (x86)\AstroGrep\AstroGrep.exe" /e /r /s /spath="%USERPROFILE%\AppData\Local\Temp\OnboardLogs" /stypes="*4041*201707292*" /stext=" 21:.+((SYSTEM_STATE.+slice.+state.+changed )|(ment ac)|(multiple cpu faults)|(system.+state.+changed )|(\[timeout)|(PRM\|1\|D)|(kpr)|(kdp)|(train st.+moving)|(\|lc)|(penalty))"</v>
      </c>
      <c r="U32" s="9" t="str">
        <f t="shared" si="2"/>
        <v>4041</v>
      </c>
      <c r="V32" s="31">
        <f t="shared" si="3"/>
        <v>42945.893113425926</v>
      </c>
      <c r="W32" s="45" t="str">
        <f t="shared" si="4"/>
        <v>EC</v>
      </c>
      <c r="X32" s="22">
        <f t="shared" si="5"/>
        <v>182</v>
      </c>
      <c r="Y32" s="96" t="str">
        <f t="shared" si="6"/>
        <v>echo {"issue":{"subject":"","project_id":79,"tracker_id":40,"status_id":1,"priority_id":2,"assigned_to_id":23,"start_date":"2017-07-29","description":"","custom_fields":[{"id":1,"name":"Subdivision","value":"EC"},{"id":4,"name":"Milepost","value":"0.0001"},{"id":17,"name":"Train ID","value":"182-29"},{"id":16,"name":"Locomotive ID","value":"4041"},{"id":130,"name":"Impact","value":""},{"id":150,"name":"Time of Event (Mountain Time)","value":"15:26:05"},{"id":151,"name":"Denver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/c/Users/stu/AppData/Local/Temp/OnboardLogs/RTDC4041 --include="*4041*201707292*"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"%USERPROFILE%\AppData\Local\Temp\OnboardLogs"\RTDC4041\*4041*201707292* &gt;&gt; 2017-07-29-SliceDisagreementCheck.txt</v>
      </c>
      <c r="AE32" s="145" t="str">
        <f t="shared" si="9"/>
        <v>start /low /b %USERPROFILE%\Documents\GitHub\eaglep3\Utilities\DownloadLogsFromS3.py --loco 4041 --day 2017-07-29</v>
      </c>
      <c r="AF32" s="1"/>
    </row>
    <row r="33" spans="1:32" x14ac:dyDescent="0.25">
      <c r="A33" s="31">
        <v>42945.943472222221</v>
      </c>
      <c r="B33" s="30" t="s">
        <v>415</v>
      </c>
      <c r="C33" s="30" t="s">
        <v>659</v>
      </c>
      <c r="D33" s="30" t="s">
        <v>49</v>
      </c>
      <c r="E33" s="30" t="s">
        <v>181</v>
      </c>
      <c r="F33" s="42">
        <v>0</v>
      </c>
      <c r="G33" s="42">
        <v>52</v>
      </c>
      <c r="H33" s="42">
        <v>192</v>
      </c>
      <c r="I33" s="42">
        <v>145</v>
      </c>
      <c r="J33" s="30" t="s">
        <v>182</v>
      </c>
      <c r="K33" s="42">
        <v>1</v>
      </c>
      <c r="L33" s="131" t="s">
        <v>51</v>
      </c>
      <c r="M33" s="132">
        <f t="shared" si="0"/>
        <v>76.031999999999996</v>
      </c>
      <c r="N33" s="133" t="str">
        <f>VLOOKUP(C33,'Trips&amp;Operators'!$C$1:$G$99999,5,FALSE)</f>
        <v>LAMAR NEKESHA</v>
      </c>
      <c r="O33" s="203" t="s">
        <v>180</v>
      </c>
      <c r="P33" s="134"/>
      <c r="Q33" s="30"/>
      <c r="R33" s="81" t="str">
        <f>VLOOKUP(C33,'Train Runs'!$A$13:$AE$9920,31,0)</f>
        <v>aws s3 cp s3://rtdc.mdm.uploadarchive.raw/RTDC4041/ "%USERPROFILE%\AppData\Local\Temp\OnboardLogs"\RTDC4041\2017-07-29 --exclude "*" --recursive --include "*20170729*" &amp; "%USERPROFILE%\Documents\GitHub\mrs-test-scripts\Headless Mode &amp; Sideloading\WalkAndUnGZ.bat" "%USERPROFILE%\AppData\Local\Temp\OnboardLogs"\RTDC4041\2017-07-29 &amp; aws s3 cp s3://rtdc.mdm.uploadarchive.raw/RTDC4041/ "%USERPROFILE%\AppData\Local\Temp\OnboardLogs"\RTDC4041\2017-07-30 --exclude "*" --recursive --include "*20170730*" &amp; "%USERPROFILE%\Documents\GitHub\mrs-test-scripts\Headless Mode &amp; Sideloading\WalkAndUnGZ.bat" "%USERPROFILE%\AppData\Local\Temp\OnboardLogs"\RTDC4041\2017-07-30</v>
      </c>
      <c r="S33" s="84" t="str">
        <f>VLOOKUP(C33,'Train Runs'!$A$13:$AE$9920,22,0)</f>
        <v>https://d0f6bd738d7f1b3e5a7ca70fe4ff75f0.us-east-1.aws.found.io/app/kibana#/discover/Steve-Slow-Train-Analysis-(2080s-and-2083s)?_g=(refreshInterval:(display:Off,pause:!f,section:0,value:0),time:(from:'2017-07-29T20:50:18-0600',mode:absolute,to:'2017-07-29T23:38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3" s="86" t="str">
        <f t="shared" si="1"/>
        <v>"C:\Program Files (x86)\AstroGrep\AstroGrep.exe" /e /r /s /spath="%USERPROFILE%\AppData\Local\Temp\OnboardLogs" /stypes="*4041*201707300*" /stext=" 04:.+((SYSTEM_STATE.+slice.+state.+changed )|(ment ac)|(multiple cpu faults)|(system.+state.+changed )|(\[timeout)|(PRM\|1\|D)|(kpr)|(kdp)|(train st.+moving)|(\|lc)|(penalty))"</v>
      </c>
      <c r="U33" s="9" t="str">
        <f t="shared" si="2"/>
        <v>4041</v>
      </c>
      <c r="V33" s="31">
        <f t="shared" si="3"/>
        <v>42946.193472222221</v>
      </c>
      <c r="W33" s="45" t="str">
        <f t="shared" si="4"/>
        <v>EC</v>
      </c>
      <c r="X33" s="22">
        <f t="shared" si="5"/>
        <v>230</v>
      </c>
      <c r="Y33" s="96" t="str">
        <f t="shared" si="6"/>
        <v>echo {"issue":{"subject":"","project_id":79,"tracker_id":40,"status_id":1,"priority_id":2,"assigned_to_id":23,"start_date":"2017-07-29","description":"","custom_fields":[{"id":1,"name":"Subdivision","value":"EC"},{"id":4,"name":"Milepost","value":"0.0001"},{"id":17,"name":"Train ID","value":"230-29"},{"id":16,"name":"Locomotive ID","value":"4041"},{"id":130,"name":"Impact","value":""},{"id":150,"name":"Time of Event (Mountain Time)","value":"22:38:36"},{"id":151,"name":"Denver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/c/Users/stu/AppData/Local/Temp/OnboardLogs/RTDC4041 --include="*4041*201707300*"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"%USERPROFILE%\AppData\Local\Temp\OnboardLogs"\RTDC4041\*4041*201707300* &gt;&gt; 2017-07-29-SliceDisagreementCheck.txt</v>
      </c>
      <c r="AE33" s="145" t="str">
        <f t="shared" si="9"/>
        <v>start /low /b %USERPROFILE%\Documents\GitHub\eaglep3\Utilities\DownloadLogsFromS3.py --loco 4041 --day 2017-07-30</v>
      </c>
      <c r="AF33" s="1"/>
    </row>
    <row r="34" spans="1:32" x14ac:dyDescent="0.25">
      <c r="A34" s="31">
        <v>42946.065775462965</v>
      </c>
      <c r="B34" s="30" t="s">
        <v>473</v>
      </c>
      <c r="C34" s="30" t="s">
        <v>661</v>
      </c>
      <c r="D34" s="30" t="s">
        <v>49</v>
      </c>
      <c r="E34" s="30" t="s">
        <v>181</v>
      </c>
      <c r="F34" s="42">
        <v>0</v>
      </c>
      <c r="G34" s="42">
        <v>117</v>
      </c>
      <c r="H34" s="42">
        <v>489</v>
      </c>
      <c r="I34" s="42">
        <v>318</v>
      </c>
      <c r="J34" s="30" t="s">
        <v>182</v>
      </c>
      <c r="K34" s="42">
        <v>1</v>
      </c>
      <c r="L34" s="131" t="s">
        <v>51</v>
      </c>
      <c r="M34" s="132">
        <f t="shared" si="0"/>
        <v>167.376</v>
      </c>
      <c r="N34" s="133" t="str">
        <f>VLOOKUP(C34,'Trips&amp;Operators'!$C$1:$G$99999,5,FALSE)</f>
        <v>PERKINS DARREN</v>
      </c>
      <c r="O34" s="203" t="s">
        <v>180</v>
      </c>
      <c r="P34" s="134"/>
      <c r="Q34" s="30"/>
      <c r="R34" s="81" t="str">
        <f>VLOOKUP(C34,'Train Runs'!$A$13:$AE$9920,31,0)</f>
        <v>aws s3 cp s3://rtdc.mdm.uploadarchive.raw/RTDC4023/ "%USERPROFILE%\AppData\Local\Temp\OnboardLogs"\RTDC4023\2017-07-30 --exclude "*" --recursive --include "*20170730*" &amp; "%USERPROFILE%\Documents\GitHub\mrs-test-scripts\Headless Mode &amp; Sideloading\WalkAndUnGZ.bat" "%USERPROFILE%\AppData\Local\Temp\OnboardLogs"\RTDC4023\2017-07-30 &amp; aws s3 cp s3://rtdc.mdm.uploadarchive.raw/RTDC4023/ "%USERPROFILE%\AppData\Local\Temp\OnboardLogs"\RTDC4023\2017-07-31 --exclude "*" --recursive --include "*20170731*" &amp; "%USERPROFILE%\Documents\GitHub\mrs-test-scripts\Headless Mode &amp; Sideloading\WalkAndUnGZ.bat" "%USERPROFILE%\AppData\Local\Temp\OnboardLogs"\RTDC4023\2017-07-31</v>
      </c>
      <c r="S34" s="84" t="str">
        <f>VLOOKUP(C34,'Train Runs'!$A$13:$AE$9920,22,0)</f>
        <v>https://d0f6bd738d7f1b3e5a7ca70fe4ff75f0.us-east-1.aws.found.io/app/kibana#/discover/Steve-Slow-Train-Analysis-(2080s-and-2083s)?_g=(refreshInterval:(display:Off,pause:!f,section:0,value:0),time:(from:'2017-07-29T23:47:52-0600',mode:absolute,to:'2017-07-30T02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4" s="86" t="str">
        <f t="shared" si="1"/>
        <v>"C:\Program Files (x86)\AstroGrep\AstroGrep.exe" /e /r /s /spath="%USERPROFILE%\AppData\Local\Temp\OnboardLogs" /stypes="*4023*201707300*" /stext=" 07:.+((SYSTEM_STATE.+slice.+state.+changed )|(ment ac)|(multiple cpu faults)|(system.+state.+changed )|(\[timeout)|(PRM\|1\|D)|(kpr)|(kdp)|(train st.+moving)|(\|lc)|(penalty))"</v>
      </c>
      <c r="U34" s="9" t="str">
        <f t="shared" si="2"/>
        <v>4023</v>
      </c>
      <c r="V34" s="31">
        <f t="shared" si="3"/>
        <v>42946.315775462965</v>
      </c>
      <c r="W34" s="45" t="str">
        <f t="shared" si="4"/>
        <v>EC</v>
      </c>
      <c r="X34" s="22">
        <f t="shared" si="5"/>
        <v>242</v>
      </c>
      <c r="Y34" s="96" t="str">
        <f t="shared" si="6"/>
        <v>echo {"issue":{"subject":"","project_id":79,"tracker_id":40,"status_id":1,"priority_id":2,"assigned_to_id":23,"start_date":"2017-07-30","description":"","custom_fields":[{"id":1,"name":"Subdivision","value":"EC"},{"id":4,"name":"Milepost","value":"0.0001"},{"id":17,"name":"Train ID","value":"242-29"},{"id":16,"name":"Locomotive ID","value":"4023"},{"id":130,"name":"Impact","value":""},{"id":150,"name":"Time of Event (Mountain Time)","value":"01:34:43"},{"id":151,"name":"Denver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/c/Users/stu/AppData/Local/Temp/OnboardLogs/RTDC4023 --include="*4023*201707300*"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"%USERPROFILE%\AppData\Local\Temp\OnboardLogs"\RTDC4023\*4023*201707300* &gt;&gt; 2017-07-29-SliceDisagreementCheck.txt</v>
      </c>
      <c r="AE34" s="145" t="str">
        <f t="shared" si="9"/>
        <v>start /low /b %USERPROFILE%\Documents\GitHub\eaglep3\Utilities\DownloadLogsFromS3.py --loco 4023 --day 2017-07-30</v>
      </c>
      <c r="AF34" s="1"/>
    </row>
    <row r="35" spans="1:32" x14ac:dyDescent="0.25">
      <c r="A35" s="31">
        <v>42945.652384259258</v>
      </c>
      <c r="B35" s="30" t="s">
        <v>462</v>
      </c>
      <c r="C35" s="30" t="s">
        <v>651</v>
      </c>
      <c r="D35" s="30" t="s">
        <v>49</v>
      </c>
      <c r="E35" s="30" t="s">
        <v>181</v>
      </c>
      <c r="F35" s="42">
        <v>0</v>
      </c>
      <c r="G35" s="42">
        <v>79</v>
      </c>
      <c r="H35" s="42">
        <v>233213</v>
      </c>
      <c r="I35" s="42">
        <v>233291</v>
      </c>
      <c r="J35" s="30" t="s">
        <v>182</v>
      </c>
      <c r="K35" s="42">
        <v>233491</v>
      </c>
      <c r="L35" s="131" t="s">
        <v>50</v>
      </c>
      <c r="M35" s="132">
        <f t="shared" si="0"/>
        <v>105.6</v>
      </c>
      <c r="N35" s="133" t="str">
        <f>VLOOKUP(C35,'Trips&amp;Operators'!$C$1:$G$99999,5,FALSE)</f>
        <v>THOMPSON LESTER</v>
      </c>
      <c r="O35" s="203" t="s">
        <v>180</v>
      </c>
      <c r="P35" s="134"/>
      <c r="Q35" s="30"/>
      <c r="R35" s="81" t="str">
        <f>VLOOKUP(C35,'Train Runs'!$A$13:$AE$9920,31,0)</f>
        <v>aws s3 cp s3://rtdc.mdm.uploadarchive.raw/RTDC4056/ "%USERPROFILE%\AppData\Local\Temp\OnboardLogs"\RTDC4056\2017-07-29 --exclude "*" --recursive --include "*20170729*" &amp; "%USERPROFILE%\Documents\GitHub\mrs-test-scripts\Headless Mode &amp; Sideloading\WalkAndUnGZ.bat" "%USERPROFILE%\AppData\Local\Temp\OnboardLogs"\RTDC4056\2017-07-29 &amp; aws s3 cp s3://rtdc.mdm.uploadarchive.raw/RTDC4056/ "%USERPROFILE%\AppData\Local\Temp\OnboardLogs"\RTDC4056\2017-07-30 --exclude "*" --recursive --include "*20170730*" &amp; "%USERPROFILE%\Documents\GitHub\mrs-test-scripts\Headless Mode &amp; Sideloading\WalkAndUnGZ.bat" "%USERPROFILE%\AppData\Local\Temp\OnboardLogs"\RTDC4056\2017-07-30</v>
      </c>
      <c r="S35" s="84" t="str">
        <f>VLOOKUP(C35,'Train Runs'!$A$13:$AE$9920,22,0)</f>
        <v>https://d0f6bd738d7f1b3e5a7ca70fe4ff75f0.us-east-1.aws.found.io/app/kibana#/discover/Steve-Slow-Train-Analysis-(2080s-and-2083s)?_g=(refreshInterval:(display:Off,pause:!f,section:0,value:0),time:(from:'2017-07-29T13:57:46-0600',mode:absolute,to:'2017-07-29T16:39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5" s="86" t="str">
        <f t="shared" si="1"/>
        <v>"C:\Program Files (x86)\AstroGrep\AstroGrep.exe" /e /r /s /spath="%USERPROFILE%\AppData\Local\Temp\OnboardLogs" /stypes="*4056*201707292*" /stext=" 21:.+((SYSTEM_STATE.+slice.+state.+changed )|(ment ac)|(multiple cpu faults)|(system.+state.+changed )|(\[timeout)|(PRM\|1\|D)|(kpr)|(kdp)|(train st.+moving)|(\|lc)|(penalty))"</v>
      </c>
      <c r="U35" s="9" t="str">
        <f t="shared" si="2"/>
        <v>4056</v>
      </c>
      <c r="V35" s="31">
        <f t="shared" si="3"/>
        <v>42945.902384259258</v>
      </c>
      <c r="W35" s="45" t="str">
        <f t="shared" si="4"/>
        <v>EC</v>
      </c>
      <c r="X35" s="22">
        <f t="shared" si="5"/>
        <v>191</v>
      </c>
      <c r="Y35" s="96" t="str">
        <f t="shared" si="6"/>
        <v>echo {"issue":{"subject":"","project_id":79,"tracker_id":40,"status_id":1,"priority_id":2,"assigned_to_id":23,"start_date":"2017-07-29","description":"","custom_fields":[{"id":1,"name":"Subdivision","value":"EC"},{"id":4,"name":"Milepost","value":"23.3491"},{"id":17,"name":"Train ID","value":"191-29"},{"id":16,"name":"Locomotive ID","value":"4056"},{"id":130,"name":"Impact","value":""},{"id":150,"name":"Time of Event (Mountain Time)","value":"15:39:26"},{"id":151,"name":"Denver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/c/Users/stu/AppData/Local/Temp/OnboardLogs/RTDC4056 --include="*4056*201707292*"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"%USERPROFILE%\AppData\Local\Temp\OnboardLogs"\RTDC4056\*4056*201707292* &gt;&gt; 2017-07-29-SliceDisagreementCheck.txt</v>
      </c>
      <c r="AE35" s="145" t="str">
        <f t="shared" si="9"/>
        <v>start /low /b %USERPROFILE%\Documents\GitHub\eaglep3\Utilities\DownloadLogsFromS3.py --loco 4056 --day 2017-07-29</v>
      </c>
      <c r="AF35" s="1"/>
    </row>
    <row r="36" spans="1:32" x14ac:dyDescent="0.25">
      <c r="A36" s="31">
        <v>42945.72488425926</v>
      </c>
      <c r="B36" s="30" t="s">
        <v>462</v>
      </c>
      <c r="C36" s="30" t="s">
        <v>654</v>
      </c>
      <c r="D36" s="30" t="s">
        <v>49</v>
      </c>
      <c r="E36" s="30" t="s">
        <v>181</v>
      </c>
      <c r="F36" s="42">
        <v>0</v>
      </c>
      <c r="G36" s="42">
        <v>43</v>
      </c>
      <c r="H36" s="42">
        <v>233332</v>
      </c>
      <c r="I36" s="42">
        <v>233364</v>
      </c>
      <c r="J36" s="30" t="s">
        <v>182</v>
      </c>
      <c r="K36" s="42">
        <v>233491</v>
      </c>
      <c r="L36" s="131" t="s">
        <v>50</v>
      </c>
      <c r="M36" s="132">
        <f t="shared" si="0"/>
        <v>67.055999999999997</v>
      </c>
      <c r="N36" s="133" t="str">
        <f>VLOOKUP(C36,'Trips&amp;Operators'!$C$1:$G$99999,5,FALSE)</f>
        <v>THOMPSON LESTER</v>
      </c>
      <c r="O36" s="203" t="s">
        <v>180</v>
      </c>
      <c r="P36" s="134"/>
      <c r="Q36" s="30"/>
      <c r="R36" s="81" t="str">
        <f>VLOOKUP(C36,'Train Runs'!$A$13:$AE$9920,31,0)</f>
        <v>aws s3 cp s3://rtdc.mdm.uploadarchive.raw/RTDC4056/ "%USERPROFILE%\AppData\Local\Temp\OnboardLogs"\RTDC4056\2017-07-29 --exclude "*" --recursive --include "*20170729*" &amp; "%USERPROFILE%\Documents\GitHub\mrs-test-scripts\Headless Mode &amp; Sideloading\WalkAndUnGZ.bat" "%USERPROFILE%\AppData\Local\Temp\OnboardLogs"\RTDC4056\2017-07-29 &amp; aws s3 cp s3://rtdc.mdm.uploadarchive.raw/RTDC4056/ "%USERPROFILE%\AppData\Local\Temp\OnboardLogs"\RTDC4056\2017-07-30 --exclude "*" --recursive --include "*20170730*" &amp; "%USERPROFILE%\Documents\GitHub\mrs-test-scripts\Headless Mode &amp; Sideloading\WalkAndUnGZ.bat" "%USERPROFILE%\AppData\Local\Temp\OnboardLogs"\RTDC4056\2017-07-30</v>
      </c>
      <c r="S36" s="84" t="str">
        <f>VLOOKUP(C36,'Train Runs'!$A$13:$AE$9920,22,0)</f>
        <v>https://d0f6bd738d7f1b3e5a7ca70fe4ff75f0.us-east-1.aws.found.io/app/kibana#/discover/Steve-Slow-Train-Analysis-(2080s-and-2083s)?_g=(refreshInterval:(display:Off,pause:!f,section:0,value:0),time:(from:'2017-07-29T15:42:05-0600',mode:absolute,to:'2017-07-29T18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6" s="86" t="str">
        <f t="shared" si="1"/>
        <v>"C:\Program Files (x86)\AstroGrep\AstroGrep.exe" /e /r /s /spath="%USERPROFILE%\AppData\Local\Temp\OnboardLogs" /stypes="*4056*201707292*" /stext=" 23:.+((SYSTEM_STATE.+slice.+state.+changed )|(ment ac)|(multiple cpu faults)|(system.+state.+changed )|(\[timeout)|(PRM\|1\|D)|(kpr)|(kdp)|(train st.+moving)|(\|lc)|(penalty))"</v>
      </c>
      <c r="U36" s="9" t="str">
        <f t="shared" si="2"/>
        <v>4056</v>
      </c>
      <c r="V36" s="31">
        <f t="shared" si="3"/>
        <v>42945.97488425926</v>
      </c>
      <c r="W36" s="45" t="str">
        <f t="shared" si="4"/>
        <v>EC</v>
      </c>
      <c r="X36" s="22">
        <f t="shared" si="5"/>
        <v>205</v>
      </c>
      <c r="Y36" s="96" t="str">
        <f t="shared" si="6"/>
        <v>echo {"issue":{"subject":"","project_id":79,"tracker_id":40,"status_id":1,"priority_id":2,"assigned_to_id":23,"start_date":"2017-07-29","description":"","custom_fields":[{"id":1,"name":"Subdivision","value":"EC"},{"id":4,"name":"Milepost","value":"23.3491"},{"id":17,"name":"Train ID","value":"205-29"},{"id":16,"name":"Locomotive ID","value":"4056"},{"id":130,"name":"Impact","value":""},{"id":150,"name":"Time of Event (Mountain Time)","value":"17:23:50"},{"id":151,"name":"Denver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/c/Users/stu/AppData/Local/Temp/OnboardLogs/RTDC4056 --include="*4056*201707292*"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"%USERPROFILE%\AppData\Local\Temp\OnboardLogs"\RTDC4056\*4056*201707292* &gt;&gt; 2017-07-29-SliceDisagreementCheck.txt</v>
      </c>
      <c r="AE36" s="145" t="str">
        <f t="shared" si="9"/>
        <v>start /low /b %USERPROFILE%\Documents\GitHub\eaglep3\Utilities\DownloadLogsFromS3.py --loco 4056 --day 2017-07-29</v>
      </c>
      <c r="AF36" s="1"/>
    </row>
    <row r="37" spans="1:32" x14ac:dyDescent="0.25">
      <c r="A37" s="31">
        <v>42945.407557870371</v>
      </c>
      <c r="B37" s="30" t="s">
        <v>639</v>
      </c>
      <c r="C37" s="30" t="s">
        <v>640</v>
      </c>
      <c r="D37" s="30" t="s">
        <v>96</v>
      </c>
      <c r="E37" s="30" t="s">
        <v>196</v>
      </c>
      <c r="F37" s="42">
        <v>400</v>
      </c>
      <c r="G37" s="42">
        <v>452</v>
      </c>
      <c r="H37" s="42">
        <v>38881</v>
      </c>
      <c r="I37" s="42">
        <v>37771</v>
      </c>
      <c r="J37" s="30" t="s">
        <v>197</v>
      </c>
      <c r="K37" s="42">
        <v>40977</v>
      </c>
      <c r="L37" s="131" t="s">
        <v>51</v>
      </c>
      <c r="M37" s="132">
        <f t="shared" si="0"/>
        <v>-1692.768</v>
      </c>
      <c r="N37" s="133" t="str">
        <f>VLOOKUP(C37,'Trips&amp;Operators'!$C$1:$G$99999,5,FALSE)</f>
        <v>MACDONALD THOMAS</v>
      </c>
      <c r="O37" s="203" t="s">
        <v>180</v>
      </c>
      <c r="P37" s="134"/>
      <c r="Q37" s="30"/>
      <c r="R37" s="81" t="str">
        <f>VLOOKUP(C37,'Train Runs'!$A$13:$AE$9920,31,0)</f>
        <v>aws s3 cp s3://rtdc.mdm.uploadarchive.raw/RTDC4053/ "%USERPROFILE%\AppData\Local\Temp\OnboardLogs"\RTDC4053\2017-07-29 --exclude "*" --recursive --include "*20170729*" &amp; "%USERPROFILE%\Documents\GitHub\mrs-test-scripts\Headless Mode &amp; Sideloading\WalkAndUnGZ.bat" "%USERPROFILE%\AppData\Local\Temp\OnboardLogs"\RTDC4053\2017-07-29 &amp; aws s3 cp s3://rtdc.mdm.uploadarchive.raw/RTDC4053/ "%USERPROFILE%\AppData\Local\Temp\OnboardLogs"\RTDC4053\2017-07-30 --exclude "*" --recursive --include "*20170730*" &amp; "%USERPROFILE%\Documents\GitHub\mrs-test-scripts\Headless Mode &amp; Sideloading\WalkAndUnGZ.bat" "%USERPROFILE%\AppData\Local\Temp\OnboardLogs"\RTDC4053\2017-07-30</v>
      </c>
      <c r="S37" s="84" t="str">
        <f>VLOOKUP(C37,'Train Runs'!$A$13:$AE$9920,22,0)</f>
        <v>https://d0f6bd738d7f1b3e5a7ca70fe4ff75f0.us-east-1.aws.found.io/app/kibana#/discover/Steve-Slow-Train-Analysis-(2080s-and-2083s)?_g=(refreshInterval:(display:Off,pause:!f,section:0,value:0),time:(from:'2017-07-29T08:36:41-0600',mode:absolute,to:'2017-07-29T10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7" s="86" t="str">
        <f t="shared" si="1"/>
        <v>"C:\Program Files (x86)\AstroGrep\AstroGrep.exe" /e /r /s /spath="%USERPROFILE%\AppData\Local\Temp\OnboardLogs" /stypes="*4053*201707291*" /stext=" 15:.+((SYSTEM_STATE.+slice.+state.+changed )|(ment ac)|(multiple cpu faults)|(system.+state.+changed )|(\[timeout)|(PRM\|1\|D)|(kpr)|(kdp)|(train st.+moving)|(\|lc)|(penalty))"</v>
      </c>
      <c r="U37" s="9" t="str">
        <f t="shared" si="2"/>
        <v>4053</v>
      </c>
      <c r="V37" s="31">
        <f t="shared" si="3"/>
        <v>42945.657557870371</v>
      </c>
      <c r="W37" s="45" t="str">
        <f t="shared" si="4"/>
        <v>NW</v>
      </c>
      <c r="X37" s="22">
        <f t="shared" si="5"/>
        <v>1808</v>
      </c>
      <c r="Y37" s="96" t="str">
        <f t="shared" si="6"/>
        <v>echo {"issue":{"subject":"","project_id":79,"tracker_id":40,"status_id":1,"priority_id":2,"assigned_to_id":23,"start_date":"2017-07-29","description":"","custom_fields":[{"id":1,"name":"Subdivision","value":"NW"},{"id":4,"name":"Milepost","value":"4.0977"},{"id":17,"name":"Train ID","value":"1808-29"},{"id":16,"name":"Locomotive ID","value":"4053"},{"id":130,"name":"Impact","value":""},{"id":150,"name":"Time of Event (Mountain Time)","value":"09:46:53"},{"id":151,"name":"Denver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/c/Users/stu/AppData/Local/Temp/OnboardLogs/RTDC4053 --include="*4053*201707291*"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"%USERPROFILE%\AppData\Local\Temp\OnboardLogs"\RTDC4053\*4053*201707291* &gt;&gt; 2017-07-29-SliceDisagreementCheck.txt</v>
      </c>
      <c r="AE37" s="145" t="str">
        <f t="shared" si="9"/>
        <v>start /low /b %USERPROFILE%\Documents\GitHub\eaglep3\Utilities\DownloadLogsFromS3.py --loco 4053 --day 2017-07-29</v>
      </c>
      <c r="AF37" s="1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</sheetData>
  <autoFilter ref="A6:AC70">
    <sortState ref="A7:AC70">
      <sortCondition ref="W7:W37"/>
      <sortCondition ref="E7:E37"/>
      <sortCondition ref="K7:K37"/>
      <sortCondition ref="F7:F37"/>
    </sortState>
  </autoFilter>
  <sortState ref="A7:AE50">
    <sortCondition ref="W7:W50"/>
    <sortCondition ref="E7:E50"/>
    <sortCondition ref="K7:K50"/>
    <sortCondition ref="C7:C50"/>
    <sortCondition ref="F7:F50"/>
  </sortState>
  <mergeCells count="1">
    <mergeCell ref="A5:O5"/>
  </mergeCells>
  <conditionalFormatting sqref="O6:P6 R6 O72:O1048576 O7:O3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7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AA7:AA37</xm:sqref>
        </x14:dataValidation>
        <x14:dataValidation type="list" allowBlank="1" showInputMessage="1" showErrorMessage="1">
          <x14:formula1>
            <xm:f>'Redmine List Values'!$C$2:$C$15</xm:f>
          </x14:formula1>
          <xm:sqref>AB7:AB37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4"/>
  <sheetViews>
    <sheetView workbookViewId="0">
      <selection activeCell="A3" sqref="A3:XFD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2017-07-29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-29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7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" s="30" t="e">
        <f>VLOOKUP(B3,'Train Runs'!$A$13:$A$99917,1,FALSE)</f>
        <v>#N/A</v>
      </c>
    </row>
    <row r="4" spans="1:10" x14ac:dyDescent="0.25">
      <c r="A4" s="195"/>
      <c r="B4" s="42" t="str">
        <f>A4&amp;"-"&amp;IF(DAY(Variables!$A$2)&lt;10,0,"")&amp;DAY(Variables!$A$2)</f>
        <v>-29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" s="30" t="e">
        <f>VLOOKUP(B4,'Train Runs'!$A$13:$A$99917,1,FALSE)</f>
        <v>#N/A</v>
      </c>
    </row>
    <row r="5" spans="1:10" x14ac:dyDescent="0.25">
      <c r="A5" s="195"/>
      <c r="B5" s="42" t="str">
        <f>A5&amp;"-"&amp;IF(DAY(Variables!$A$2)&lt;10,0,"")&amp;DAY(Variables!$A$2)</f>
        <v>-29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" s="30" t="e">
        <f>VLOOKUP(B5,'Train Runs'!$A$13:$A$99917,1,FALSE)</f>
        <v>#N/A</v>
      </c>
    </row>
    <row r="6" spans="1:10" x14ac:dyDescent="0.25">
      <c r="A6" s="195"/>
      <c r="B6" s="42" t="str">
        <f>A6&amp;"-"&amp;IF(DAY(Variables!$A$2)&lt;10,0,"")&amp;DAY(Variables!$A$2)</f>
        <v>-29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" s="30" t="e">
        <f>VLOOKUP(B6,'Train Runs'!$A$13:$A$99917,1,FALSE)</f>
        <v>#N/A</v>
      </c>
    </row>
    <row r="7" spans="1:10" x14ac:dyDescent="0.25">
      <c r="A7" s="195"/>
      <c r="B7" s="42" t="str">
        <f>A7&amp;"-"&amp;IF(DAY(Variables!$A$2)&lt;10,0,"")&amp;DAY(Variables!$A$2)</f>
        <v>-29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" s="30" t="e">
        <f>VLOOKUP(B7,'Train Runs'!$A$13:$A$99917,1,FALSE)</f>
        <v>#N/A</v>
      </c>
    </row>
    <row r="8" spans="1:10" x14ac:dyDescent="0.25">
      <c r="A8" s="195"/>
      <c r="B8" s="42" t="str">
        <f>A8&amp;"-"&amp;IF(DAY(Variables!$A$2)&lt;10,0,"")&amp;DAY(Variables!$A$2)</f>
        <v>-29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ref="I8:I2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" s="30" t="e">
        <f>VLOOKUP(B8,'Train Runs'!$A$13:$A$99917,1,FALSE)</f>
        <v>#N/A</v>
      </c>
    </row>
    <row r="9" spans="1:10" x14ac:dyDescent="0.25">
      <c r="A9" s="195"/>
      <c r="B9" s="42" t="str">
        <f>A9&amp;"-"&amp;IF(DAY(Variables!$A$2)&lt;10,0,"")&amp;DAY(Variables!$A$2)</f>
        <v>-29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9" s="30" t="e">
        <f>VLOOKUP(B9,'Train Runs'!$A$13:$A$99917,1,FALSE)</f>
        <v>#N/A</v>
      </c>
    </row>
    <row r="10" spans="1:10" x14ac:dyDescent="0.25">
      <c r="A10" s="195"/>
      <c r="B10" s="42" t="str">
        <f>A10&amp;"-"&amp;IF(DAY(Variables!$A$2)&lt;10,0,"")&amp;DAY(Variables!$A$2)</f>
        <v>-29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0" s="30" t="e">
        <f>VLOOKUP(B10,'Train Runs'!$A$13:$A$99917,1,FALSE)</f>
        <v>#N/A</v>
      </c>
    </row>
    <row r="11" spans="1:10" x14ac:dyDescent="0.25">
      <c r="A11" s="195"/>
      <c r="B11" s="42" t="str">
        <f>A11&amp;"-"&amp;IF(DAY(Variables!$A$2)&lt;10,0,"")&amp;DAY(Variables!$A$2)</f>
        <v>-29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1" s="30" t="e">
        <f>VLOOKUP(B11,'Train Runs'!$A$13:$A$99917,1,FALSE)</f>
        <v>#N/A</v>
      </c>
    </row>
    <row r="12" spans="1:10" x14ac:dyDescent="0.25">
      <c r="A12" s="195"/>
      <c r="B12" s="42" t="str">
        <f>A12&amp;"-"&amp;IF(DAY(Variables!$A$2)&lt;10,0,"")&amp;DAY(Variables!$A$2)</f>
        <v>-29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2" s="30" t="e">
        <f>VLOOKUP(B12,'Train Runs'!$A$13:$A$99917,1,FALSE)</f>
        <v>#N/A</v>
      </c>
    </row>
    <row r="13" spans="1:10" x14ac:dyDescent="0.25">
      <c r="A13" s="195"/>
      <c r="B13" s="42" t="str">
        <f>A13&amp;"-"&amp;IF(DAY(Variables!$A$2)&lt;10,0,"")&amp;DAY(Variables!$A$2)</f>
        <v>-29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3" s="30" t="e">
        <f>VLOOKUP(B13,'Train Runs'!$A$13:$A$99917,1,FALSE)</f>
        <v>#N/A</v>
      </c>
    </row>
    <row r="14" spans="1:10" x14ac:dyDescent="0.25">
      <c r="A14" s="195"/>
      <c r="B14" s="42" t="str">
        <f>A14&amp;"-"&amp;IF(DAY(Variables!$A$2)&lt;10,0,"")&amp;DAY(Variables!$A$2)</f>
        <v>-29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4" s="30" t="e">
        <f>VLOOKUP(B14,'Train Runs'!$A$13:$A$99917,1,FALSE)</f>
        <v>#N/A</v>
      </c>
    </row>
    <row r="15" spans="1:10" x14ac:dyDescent="0.25">
      <c r="A15" s="195"/>
      <c r="B15" s="42" t="str">
        <f>A15&amp;"-"&amp;IF(DAY(Variables!$A$2)&lt;10,0,"")&amp;DAY(Variables!$A$2)</f>
        <v>-29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5" s="30" t="e">
        <f>VLOOKUP(B15,'Train Runs'!$A$13:$A$99917,1,FALSE)</f>
        <v>#N/A</v>
      </c>
    </row>
    <row r="16" spans="1:10" x14ac:dyDescent="0.25">
      <c r="A16" s="195"/>
      <c r="B16" s="42" t="str">
        <f>A16&amp;"-"&amp;IF(DAY(Variables!$A$2)&lt;10,0,"")&amp;DAY(Variables!$A$2)</f>
        <v>-29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6" s="30" t="e">
        <f>VLOOKUP(B16,'Train Runs'!$A$13:$A$99917,1,FALSE)</f>
        <v>#N/A</v>
      </c>
    </row>
    <row r="17" spans="1:10" x14ac:dyDescent="0.25">
      <c r="A17" s="195"/>
      <c r="B17" s="42" t="str">
        <f>A17&amp;"-"&amp;IF(DAY(Variables!$A$2)&lt;10,0,"")&amp;DAY(Variables!$A$2)</f>
        <v>-29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7" s="30" t="e">
        <f>VLOOKUP(B17,'Train Runs'!$A$13:$A$99917,1,FALSE)</f>
        <v>#N/A</v>
      </c>
    </row>
    <row r="18" spans="1:10" x14ac:dyDescent="0.25">
      <c r="A18" s="195"/>
      <c r="B18" s="42" t="str">
        <f>A18&amp;"-"&amp;IF(DAY(Variables!$A$2)&lt;10,0,"")&amp;DAY(Variables!$A$2)</f>
        <v>-29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8" s="30" t="e">
        <f>VLOOKUP(B18,'Train Runs'!$A$13:$A$99917,1,FALSE)</f>
        <v>#N/A</v>
      </c>
    </row>
    <row r="19" spans="1:10" x14ac:dyDescent="0.25">
      <c r="A19" s="195"/>
      <c r="B19" s="42" t="str">
        <f>A19&amp;"-"&amp;IF(DAY(Variables!$A$2)&lt;10,0,"")&amp;DAY(Variables!$A$2)</f>
        <v>-29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9" s="30" t="e">
        <f>VLOOKUP(B19,'Train Runs'!$A$13:$A$99917,1,FALSE)</f>
        <v>#N/A</v>
      </c>
    </row>
    <row r="20" spans="1:10" x14ac:dyDescent="0.25">
      <c r="A20" s="195"/>
      <c r="B20" s="42" t="str">
        <f>A20&amp;"-"&amp;IF(DAY(Variables!$A$2)&lt;10,0,"")&amp;DAY(Variables!$A$2)</f>
        <v>-29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0" s="30" t="e">
        <f>VLOOKUP(B20,'Train Runs'!$A$13:$A$99917,1,FALSE)</f>
        <v>#N/A</v>
      </c>
    </row>
    <row r="21" spans="1:10" x14ac:dyDescent="0.25">
      <c r="A21" s="195"/>
      <c r="B21" s="42" t="str">
        <f>A21&amp;"-"&amp;IF(DAY(Variables!$A$2)&lt;10,0,"")&amp;DAY(Variables!$A$2)</f>
        <v>-29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1" s="30" t="e">
        <f>VLOOKUP(B21,'Train Runs'!$A$13:$A$99917,1,FALSE)</f>
        <v>#N/A</v>
      </c>
    </row>
    <row r="22" spans="1:10" x14ac:dyDescent="0.25">
      <c r="A22" s="195"/>
      <c r="B22" s="42" t="str">
        <f>A22&amp;"-"&amp;IF(DAY(Variables!$A$2)&lt;10,0,"")&amp;DAY(Variables!$A$2)</f>
        <v>-29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2" s="30" t="e">
        <f>VLOOKUP(B22,'Train Runs'!$A$13:$A$99917,1,FALSE)</f>
        <v>#N/A</v>
      </c>
    </row>
    <row r="23" spans="1:10" x14ac:dyDescent="0.25">
      <c r="A23" s="195"/>
      <c r="B23" s="42" t="str">
        <f>A23&amp;"-"&amp;IF(DAY(Variables!$A$2)&lt;10,0,"")&amp;DAY(Variables!$A$2)</f>
        <v>-29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3" s="30" t="e">
        <f>VLOOKUP(B23,'Train Runs'!$A$13:$A$99917,1,FALSE)</f>
        <v>#N/A</v>
      </c>
    </row>
    <row r="24" spans="1:10" x14ac:dyDescent="0.25">
      <c r="A24" s="195"/>
      <c r="B24" s="42" t="str">
        <f>A24&amp;"-"&amp;IF(DAY(Variables!$A$2)&lt;10,0,"")&amp;DAY(Variables!$A$2)</f>
        <v>-29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4" s="30" t="e">
        <f>VLOOKUP(B24,'Train Runs'!$A$13:$A$99917,1,FALSE)</f>
        <v>#N/A</v>
      </c>
    </row>
    <row r="25" spans="1:10" x14ac:dyDescent="0.25">
      <c r="A25" s="195"/>
      <c r="B25" s="42" t="str">
        <f>A25&amp;"-"&amp;IF(DAY(Variables!$A$2)&lt;10,0,"")&amp;DAY(Variables!$A$2)</f>
        <v>-29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5" s="30" t="e">
        <f>VLOOKUP(B25,'Train Runs'!$A$13:$A$99917,1,FALSE)</f>
        <v>#N/A</v>
      </c>
    </row>
    <row r="26" spans="1:10" x14ac:dyDescent="0.25">
      <c r="A26" s="195"/>
      <c r="B26" s="42" t="str">
        <f>A26&amp;"-"&amp;IF(DAY(Variables!$A$2)&lt;10,0,"")&amp;DAY(Variables!$A$2)</f>
        <v>-29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6" s="30" t="e">
        <f>VLOOKUP(B26,'Train Runs'!$A$13:$A$99917,1,FALSE)</f>
        <v>#N/A</v>
      </c>
    </row>
    <row r="27" spans="1:10" x14ac:dyDescent="0.25">
      <c r="A27" s="195"/>
      <c r="B27" s="42" t="str">
        <f>A27&amp;"-"&amp;IF(DAY(Variables!$A$2)&lt;10,0,"")&amp;DAY(Variables!$A$2)</f>
        <v>-29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7" s="30" t="e">
        <f>VLOOKUP(B27,'Train Runs'!$A$13:$A$99917,1,FALSE)</f>
        <v>#N/A</v>
      </c>
    </row>
    <row r="28" spans="1:10" x14ac:dyDescent="0.25">
      <c r="A28" s="195"/>
      <c r="B28" s="42" t="str">
        <f>A28&amp;"-"&amp;IF(DAY(Variables!$A$2)&lt;10,0,"")&amp;DAY(Variables!$A$2)</f>
        <v>-29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8" s="30" t="e">
        <f>VLOOKUP(B28,'Train Runs'!$A$13:$A$99917,1,FALSE)</f>
        <v>#N/A</v>
      </c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</sheetData>
  <autoFilter ref="A2:J36"/>
  <sortState ref="A3:J115">
    <sortCondition ref="A3:A115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1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42945.034432870372</v>
      </c>
      <c r="B2" s="20" t="s">
        <v>662</v>
      </c>
      <c r="C2" s="20" t="s">
        <v>663</v>
      </c>
      <c r="D2" s="138">
        <v>2620000</v>
      </c>
      <c r="E2" s="20" t="s">
        <v>664</v>
      </c>
      <c r="F2" s="20" t="s">
        <v>665</v>
      </c>
      <c r="G2" s="8" t="str">
        <f>E2&amp;" "&amp;F2</f>
        <v>PERKINS DARREN</v>
      </c>
    </row>
    <row r="3" spans="1:7" x14ac:dyDescent="0.25">
      <c r="A3" s="8">
        <v>42945.036400462966</v>
      </c>
      <c r="B3" s="20" t="s">
        <v>537</v>
      </c>
      <c r="C3" s="20" t="s">
        <v>666</v>
      </c>
      <c r="D3" s="138">
        <v>3090000</v>
      </c>
      <c r="E3" s="20" t="s">
        <v>364</v>
      </c>
      <c r="F3" s="20" t="s">
        <v>365</v>
      </c>
      <c r="G3" s="8" t="str">
        <f t="shared" ref="G3:G66" si="0">E3&amp;" "&amp;F3</f>
        <v>LAMAR NEKESHA</v>
      </c>
    </row>
    <row r="4" spans="1:7" x14ac:dyDescent="0.25">
      <c r="A4" s="8">
        <v>42945.049247685187</v>
      </c>
      <c r="B4" s="20" t="s">
        <v>667</v>
      </c>
      <c r="C4" s="20" t="s">
        <v>668</v>
      </c>
      <c r="D4" s="138">
        <v>3000000</v>
      </c>
      <c r="E4" s="20" t="s">
        <v>383</v>
      </c>
      <c r="F4" s="20" t="s">
        <v>384</v>
      </c>
      <c r="G4" s="8" t="str">
        <f t="shared" si="0"/>
        <v>FORTUNATO FRANK</v>
      </c>
    </row>
    <row r="5" spans="1:7" x14ac:dyDescent="0.25">
      <c r="A5" s="8">
        <v>42945.049930555557</v>
      </c>
      <c r="B5" s="20" t="s">
        <v>388</v>
      </c>
      <c r="C5" s="20" t="s">
        <v>669</v>
      </c>
      <c r="D5" s="138">
        <v>3310000</v>
      </c>
      <c r="E5" s="20" t="s">
        <v>488</v>
      </c>
      <c r="F5" s="20" t="s">
        <v>489</v>
      </c>
      <c r="G5" s="8" t="str">
        <f t="shared" si="0"/>
        <v>ANDERS STEVEN</v>
      </c>
    </row>
    <row r="6" spans="1:7" x14ac:dyDescent="0.25">
      <c r="A6" s="8">
        <v>42945.072314814817</v>
      </c>
      <c r="B6" s="20" t="s">
        <v>335</v>
      </c>
      <c r="C6" s="20" t="s">
        <v>670</v>
      </c>
      <c r="D6" s="138">
        <v>2620000</v>
      </c>
      <c r="E6" s="20" t="s">
        <v>664</v>
      </c>
      <c r="F6" s="20" t="s">
        <v>665</v>
      </c>
      <c r="G6" s="8" t="str">
        <f t="shared" si="0"/>
        <v>PERKINS DARREN</v>
      </c>
    </row>
    <row r="7" spans="1:7" x14ac:dyDescent="0.25">
      <c r="A7" s="8">
        <v>42945.076192129629</v>
      </c>
      <c r="B7" s="20" t="s">
        <v>536</v>
      </c>
      <c r="C7" s="20" t="s">
        <v>671</v>
      </c>
      <c r="D7" s="138">
        <v>3090000</v>
      </c>
      <c r="E7" s="20" t="s">
        <v>364</v>
      </c>
      <c r="F7" s="20" t="s">
        <v>365</v>
      </c>
      <c r="G7" s="8" t="str">
        <f t="shared" si="0"/>
        <v>LAMAR NEKESHA</v>
      </c>
    </row>
    <row r="8" spans="1:7" x14ac:dyDescent="0.25">
      <c r="A8" s="8">
        <v>42945.076331018521</v>
      </c>
      <c r="B8" s="20" t="s">
        <v>662</v>
      </c>
      <c r="C8" s="20" t="s">
        <v>670</v>
      </c>
      <c r="D8" s="138">
        <v>2620000</v>
      </c>
      <c r="E8" s="20" t="s">
        <v>664</v>
      </c>
      <c r="F8" s="20" t="s">
        <v>665</v>
      </c>
      <c r="G8" s="8" t="str">
        <f t="shared" si="0"/>
        <v>PERKINS DARREN</v>
      </c>
    </row>
    <row r="9" spans="1:7" ht="15.75" thickBot="1" x14ac:dyDescent="0.3">
      <c r="A9" s="24">
        <v>42945.091631944444</v>
      </c>
      <c r="B9" s="20" t="s">
        <v>672</v>
      </c>
      <c r="C9" s="20" t="s">
        <v>673</v>
      </c>
      <c r="D9" s="138">
        <v>3000000</v>
      </c>
      <c r="E9" s="20" t="s">
        <v>383</v>
      </c>
      <c r="F9" s="20" t="s">
        <v>384</v>
      </c>
      <c r="G9" s="8" t="str">
        <f t="shared" si="0"/>
        <v>FORTUNATO FRANK</v>
      </c>
    </row>
    <row r="10" spans="1:7" x14ac:dyDescent="0.25">
      <c r="A10" s="8">
        <v>42945.111122685186</v>
      </c>
      <c r="B10" s="20" t="s">
        <v>537</v>
      </c>
      <c r="C10" s="20" t="s">
        <v>674</v>
      </c>
      <c r="D10" s="138">
        <v>3090000</v>
      </c>
      <c r="E10" s="20" t="s">
        <v>364</v>
      </c>
      <c r="F10" s="20" t="s">
        <v>365</v>
      </c>
      <c r="G10" s="8" t="str">
        <f t="shared" si="0"/>
        <v>LAMAR NEKESHA</v>
      </c>
    </row>
    <row r="11" spans="1:7" x14ac:dyDescent="0.25">
      <c r="A11" s="8">
        <v>42945.117002314815</v>
      </c>
      <c r="B11" s="20" t="s">
        <v>540</v>
      </c>
      <c r="C11" s="20" t="s">
        <v>675</v>
      </c>
      <c r="D11" s="138">
        <v>2010000</v>
      </c>
      <c r="E11" s="20" t="s">
        <v>485</v>
      </c>
      <c r="F11" s="20" t="s">
        <v>486</v>
      </c>
      <c r="G11" s="8" t="str">
        <f t="shared" si="0"/>
        <v>MAELZER KURT</v>
      </c>
    </row>
    <row r="12" spans="1:7" x14ac:dyDescent="0.25">
      <c r="A12" s="8">
        <v>42945.130810185183</v>
      </c>
      <c r="B12" s="20" t="s">
        <v>350</v>
      </c>
      <c r="C12" s="20" t="s">
        <v>676</v>
      </c>
      <c r="D12" s="138">
        <v>2010000</v>
      </c>
      <c r="E12" s="20" t="s">
        <v>485</v>
      </c>
      <c r="F12" s="20" t="s">
        <v>486</v>
      </c>
      <c r="G12" s="8" t="str">
        <f t="shared" si="0"/>
        <v>MAELZER KURT</v>
      </c>
    </row>
    <row r="13" spans="1:7" x14ac:dyDescent="0.25">
      <c r="A13" s="8">
        <v>42945.13616898148</v>
      </c>
      <c r="B13" s="20" t="s">
        <v>541</v>
      </c>
      <c r="C13" s="20" t="s">
        <v>677</v>
      </c>
      <c r="D13" s="138">
        <v>1340000</v>
      </c>
      <c r="E13" s="20" t="s">
        <v>550</v>
      </c>
      <c r="F13" s="20" t="s">
        <v>551</v>
      </c>
      <c r="G13" s="8" t="str">
        <f t="shared" si="0"/>
        <v>BEAM ROSS</v>
      </c>
    </row>
    <row r="14" spans="1:7" x14ac:dyDescent="0.25">
      <c r="A14" s="8">
        <v>42945.137789351851</v>
      </c>
      <c r="B14" s="20" t="s">
        <v>409</v>
      </c>
      <c r="C14" s="20" t="s">
        <v>678</v>
      </c>
      <c r="D14" s="138">
        <v>3040000</v>
      </c>
      <c r="E14" s="20" t="s">
        <v>369</v>
      </c>
      <c r="F14" s="20" t="s">
        <v>370</v>
      </c>
      <c r="G14" s="8" t="str">
        <f t="shared" si="0"/>
        <v>WILLIAMS DONTE</v>
      </c>
    </row>
    <row r="15" spans="1:7" x14ac:dyDescent="0.25">
      <c r="A15" s="8">
        <v>42945.140185185184</v>
      </c>
      <c r="B15" s="20" t="s">
        <v>540</v>
      </c>
      <c r="C15" s="20" t="s">
        <v>679</v>
      </c>
      <c r="D15" s="138">
        <v>1340000</v>
      </c>
      <c r="E15" s="20" t="s">
        <v>550</v>
      </c>
      <c r="F15" s="20" t="s">
        <v>551</v>
      </c>
      <c r="G15" s="8" t="str">
        <f t="shared" si="0"/>
        <v>BEAM ROSS</v>
      </c>
    </row>
    <row r="16" spans="1:7" x14ac:dyDescent="0.25">
      <c r="A16" s="8">
        <v>42945.149861111109</v>
      </c>
      <c r="B16" s="20" t="s">
        <v>378</v>
      </c>
      <c r="C16" s="20" t="s">
        <v>680</v>
      </c>
      <c r="D16" s="138">
        <v>3040000</v>
      </c>
      <c r="E16" s="20" t="s">
        <v>369</v>
      </c>
      <c r="F16" s="20" t="s">
        <v>370</v>
      </c>
      <c r="G16" s="8" t="str">
        <f t="shared" si="0"/>
        <v>WILLIAMS DONTE</v>
      </c>
    </row>
    <row r="17" spans="1:7" x14ac:dyDescent="0.25">
      <c r="A17" s="8">
        <v>42945.154826388891</v>
      </c>
      <c r="B17" s="20" t="s">
        <v>473</v>
      </c>
      <c r="C17" s="20" t="s">
        <v>681</v>
      </c>
      <c r="D17" s="138">
        <v>1990000</v>
      </c>
      <c r="E17" s="20" t="s">
        <v>379</v>
      </c>
      <c r="F17" s="20" t="s">
        <v>547</v>
      </c>
      <c r="G17" s="8" t="str">
        <f t="shared" si="0"/>
        <v>DAVIS WENDY</v>
      </c>
    </row>
    <row r="18" spans="1:7" x14ac:dyDescent="0.25">
      <c r="A18" s="8">
        <v>42945.167118055557</v>
      </c>
      <c r="B18" s="20" t="s">
        <v>456</v>
      </c>
      <c r="C18" s="20" t="s">
        <v>682</v>
      </c>
      <c r="D18" s="138">
        <v>1990000</v>
      </c>
      <c r="E18" s="20" t="s">
        <v>379</v>
      </c>
      <c r="F18" s="20" t="s">
        <v>547</v>
      </c>
      <c r="G18" s="8" t="str">
        <f t="shared" si="0"/>
        <v>DAVIS WENDY</v>
      </c>
    </row>
    <row r="19" spans="1:7" x14ac:dyDescent="0.25">
      <c r="A19" s="8">
        <v>42945.170902777776</v>
      </c>
      <c r="B19" s="20" t="s">
        <v>463</v>
      </c>
      <c r="C19" s="20" t="s">
        <v>683</v>
      </c>
      <c r="D19" s="138">
        <v>1100000</v>
      </c>
      <c r="E19" s="20" t="s">
        <v>684</v>
      </c>
      <c r="F19" s="20" t="s">
        <v>685</v>
      </c>
      <c r="G19" s="8" t="str">
        <f t="shared" si="0"/>
        <v>GEBRETEKLE DAGNEW</v>
      </c>
    </row>
    <row r="20" spans="1:7" x14ac:dyDescent="0.25">
      <c r="A20" s="8">
        <v>42945.171122685184</v>
      </c>
      <c r="B20" s="20" t="s">
        <v>415</v>
      </c>
      <c r="C20" s="20" t="s">
        <v>686</v>
      </c>
      <c r="D20" s="138">
        <v>2010000</v>
      </c>
      <c r="E20" s="20" t="s">
        <v>485</v>
      </c>
      <c r="F20" s="20" t="s">
        <v>486</v>
      </c>
      <c r="G20" s="8" t="str">
        <f t="shared" si="0"/>
        <v>MAELZER KURT</v>
      </c>
    </row>
    <row r="21" spans="1:7" x14ac:dyDescent="0.25">
      <c r="A21" s="8">
        <v>42945.182025462964</v>
      </c>
      <c r="B21" s="20" t="s">
        <v>648</v>
      </c>
      <c r="C21" s="20" t="s">
        <v>687</v>
      </c>
      <c r="D21" s="138">
        <v>2530000</v>
      </c>
      <c r="E21" s="20" t="s">
        <v>688</v>
      </c>
      <c r="F21" s="20" t="s">
        <v>689</v>
      </c>
      <c r="G21" s="8" t="str">
        <f t="shared" si="0"/>
        <v>LALONDE GREGORY</v>
      </c>
    </row>
    <row r="22" spans="1:7" x14ac:dyDescent="0.25">
      <c r="A22" s="26">
        <v>42945.183078703703</v>
      </c>
      <c r="B22" s="20" t="s">
        <v>462</v>
      </c>
      <c r="C22" s="20" t="s">
        <v>690</v>
      </c>
      <c r="D22" s="138">
        <v>1100000</v>
      </c>
      <c r="E22" s="20" t="s">
        <v>684</v>
      </c>
      <c r="F22" s="20" t="s">
        <v>685</v>
      </c>
      <c r="G22" s="8" t="str">
        <f t="shared" si="0"/>
        <v>GEBRETEKLE DAGNEW</v>
      </c>
    </row>
    <row r="23" spans="1:7" x14ac:dyDescent="0.25">
      <c r="A23" s="8">
        <v>42945.192627314813</v>
      </c>
      <c r="B23" s="20" t="s">
        <v>409</v>
      </c>
      <c r="C23" s="20" t="s">
        <v>691</v>
      </c>
      <c r="D23" s="138">
        <v>3040000</v>
      </c>
      <c r="E23" s="20" t="s">
        <v>369</v>
      </c>
      <c r="F23" s="20" t="s">
        <v>370</v>
      </c>
      <c r="G23" s="8" t="str">
        <f t="shared" si="0"/>
        <v>WILLIAMS DONTE</v>
      </c>
    </row>
    <row r="24" spans="1:7" x14ac:dyDescent="0.25">
      <c r="A24" s="8">
        <v>42945.193923611114</v>
      </c>
      <c r="B24" s="20" t="s">
        <v>692</v>
      </c>
      <c r="C24" s="20" t="s">
        <v>693</v>
      </c>
      <c r="D24" s="138">
        <v>2530000</v>
      </c>
      <c r="E24" s="20" t="s">
        <v>688</v>
      </c>
      <c r="F24" s="20" t="s">
        <v>689</v>
      </c>
      <c r="G24" s="8" t="str">
        <f t="shared" si="0"/>
        <v>LALONDE GREGORY</v>
      </c>
    </row>
    <row r="25" spans="1:7" x14ac:dyDescent="0.25">
      <c r="A25" s="8">
        <v>42945.19972222222</v>
      </c>
      <c r="B25" s="20" t="s">
        <v>484</v>
      </c>
      <c r="C25" s="20" t="s">
        <v>694</v>
      </c>
      <c r="D25" s="138">
        <v>2600000</v>
      </c>
      <c r="E25" s="20" t="s">
        <v>695</v>
      </c>
      <c r="F25" s="20" t="s">
        <v>696</v>
      </c>
      <c r="G25" s="8" t="str">
        <f t="shared" si="0"/>
        <v>DAVIDSON DAVID</v>
      </c>
    </row>
    <row r="26" spans="1:7" x14ac:dyDescent="0.25">
      <c r="A26" s="8">
        <v>42945.205497685187</v>
      </c>
      <c r="B26" s="20" t="s">
        <v>350</v>
      </c>
      <c r="C26" s="20" t="s">
        <v>697</v>
      </c>
      <c r="D26" s="138">
        <v>2010000</v>
      </c>
      <c r="E26" s="20" t="s">
        <v>485</v>
      </c>
      <c r="F26" s="20" t="s">
        <v>486</v>
      </c>
      <c r="G26" s="8" t="str">
        <f t="shared" si="0"/>
        <v>MAELZER KURT</v>
      </c>
    </row>
    <row r="27" spans="1:7" x14ac:dyDescent="0.25">
      <c r="A27" s="8">
        <v>42945.211087962962</v>
      </c>
      <c r="B27" s="20" t="s">
        <v>487</v>
      </c>
      <c r="C27" s="20" t="s">
        <v>698</v>
      </c>
      <c r="D27" s="138">
        <v>2600000</v>
      </c>
      <c r="E27" s="20" t="s">
        <v>695</v>
      </c>
      <c r="F27" s="20" t="s">
        <v>696</v>
      </c>
      <c r="G27" s="8" t="str">
        <f t="shared" si="0"/>
        <v>DAVIDSON DAVID</v>
      </c>
    </row>
    <row r="28" spans="1:7" x14ac:dyDescent="0.25">
      <c r="A28" s="8">
        <v>42945.215104166666</v>
      </c>
      <c r="B28" s="20" t="s">
        <v>473</v>
      </c>
      <c r="C28" s="20" t="s">
        <v>699</v>
      </c>
      <c r="D28" s="138">
        <v>1990000</v>
      </c>
      <c r="E28" s="20" t="s">
        <v>379</v>
      </c>
      <c r="F28" s="20" t="s">
        <v>547</v>
      </c>
      <c r="G28" s="8" t="str">
        <f t="shared" si="0"/>
        <v>DAVIS WENDY</v>
      </c>
    </row>
    <row r="29" spans="1:7" x14ac:dyDescent="0.25">
      <c r="A29" s="8">
        <v>42945.215416666666</v>
      </c>
      <c r="B29" s="20" t="s">
        <v>463</v>
      </c>
      <c r="C29" s="20" t="s">
        <v>700</v>
      </c>
      <c r="D29" s="138">
        <v>1100000</v>
      </c>
      <c r="E29" s="20" t="s">
        <v>684</v>
      </c>
      <c r="F29" s="20" t="s">
        <v>685</v>
      </c>
      <c r="G29" s="8" t="str">
        <f t="shared" si="0"/>
        <v>GEBRETEKLE DAGNEW</v>
      </c>
    </row>
    <row r="30" spans="1:7" x14ac:dyDescent="0.25">
      <c r="A30" s="8">
        <v>42945.219328703701</v>
      </c>
      <c r="B30" s="20" t="s">
        <v>637</v>
      </c>
      <c r="C30" s="20" t="s">
        <v>701</v>
      </c>
      <c r="D30" s="138">
        <v>2970000</v>
      </c>
      <c r="E30" s="20" t="s">
        <v>366</v>
      </c>
      <c r="F30" s="20" t="s">
        <v>367</v>
      </c>
      <c r="G30" s="8" t="str">
        <f t="shared" si="0"/>
        <v>GUZMAN DANNY</v>
      </c>
    </row>
    <row r="31" spans="1:7" x14ac:dyDescent="0.25">
      <c r="A31" s="8">
        <v>42945.223495370374</v>
      </c>
      <c r="B31" s="20" t="s">
        <v>702</v>
      </c>
      <c r="C31" s="20" t="s">
        <v>703</v>
      </c>
      <c r="D31" s="138">
        <v>2560000</v>
      </c>
      <c r="E31" s="20" t="s">
        <v>474</v>
      </c>
      <c r="F31" s="20" t="s">
        <v>356</v>
      </c>
      <c r="G31" s="8" t="str">
        <f t="shared" si="0"/>
        <v>MACDONALD THOMAS</v>
      </c>
    </row>
    <row r="32" spans="1:7" x14ac:dyDescent="0.25">
      <c r="A32" s="8">
        <v>42945.225497685184</v>
      </c>
      <c r="B32" s="20" t="s">
        <v>648</v>
      </c>
      <c r="C32" s="20" t="s">
        <v>704</v>
      </c>
      <c r="D32" s="138">
        <v>2530000</v>
      </c>
      <c r="E32" s="20" t="s">
        <v>688</v>
      </c>
      <c r="F32" s="20" t="s">
        <v>689</v>
      </c>
      <c r="G32" s="8" t="str">
        <f t="shared" si="0"/>
        <v>LALONDE GREGORY</v>
      </c>
    </row>
    <row r="33" spans="1:7" x14ac:dyDescent="0.25">
      <c r="A33" s="8">
        <v>42945.228113425925</v>
      </c>
      <c r="B33" s="20" t="s">
        <v>378</v>
      </c>
      <c r="C33" s="20" t="s">
        <v>705</v>
      </c>
      <c r="D33" s="138">
        <v>3040000</v>
      </c>
      <c r="E33" s="20" t="s">
        <v>369</v>
      </c>
      <c r="F33" s="20" t="s">
        <v>370</v>
      </c>
      <c r="G33" s="8" t="str">
        <f t="shared" si="0"/>
        <v>WILLIAMS DONTE</v>
      </c>
    </row>
    <row r="34" spans="1:7" x14ac:dyDescent="0.25">
      <c r="A34" s="8">
        <v>42945.231608796297</v>
      </c>
      <c r="B34" s="20" t="s">
        <v>706</v>
      </c>
      <c r="C34" s="20" t="s">
        <v>707</v>
      </c>
      <c r="D34" s="138">
        <v>2970000</v>
      </c>
      <c r="E34" s="20" t="s">
        <v>366</v>
      </c>
      <c r="F34" s="20" t="s">
        <v>367</v>
      </c>
      <c r="G34" s="8" t="str">
        <f t="shared" si="0"/>
        <v>GUZMAN DANNY</v>
      </c>
    </row>
    <row r="35" spans="1:7" x14ac:dyDescent="0.25">
      <c r="A35" s="8">
        <v>42945.233738425923</v>
      </c>
      <c r="B35" s="20" t="s">
        <v>639</v>
      </c>
      <c r="C35" s="20" t="s">
        <v>708</v>
      </c>
      <c r="D35" s="138">
        <v>2560000</v>
      </c>
      <c r="E35" s="20" t="s">
        <v>474</v>
      </c>
      <c r="F35" s="20" t="s">
        <v>356</v>
      </c>
      <c r="G35" s="8" t="str">
        <f t="shared" si="0"/>
        <v>MACDONALD THOMAS</v>
      </c>
    </row>
    <row r="36" spans="1:7" x14ac:dyDescent="0.25">
      <c r="A36" s="8">
        <v>42945.242928240739</v>
      </c>
      <c r="B36" s="20" t="s">
        <v>415</v>
      </c>
      <c r="C36" s="20" t="s">
        <v>709</v>
      </c>
      <c r="D36" s="138">
        <v>2010000</v>
      </c>
      <c r="E36" s="20" t="s">
        <v>485</v>
      </c>
      <c r="F36" s="20" t="s">
        <v>486</v>
      </c>
      <c r="G36" s="8" t="str">
        <f t="shared" si="0"/>
        <v>MAELZER KURT</v>
      </c>
    </row>
    <row r="37" spans="1:7" x14ac:dyDescent="0.25">
      <c r="A37" s="8">
        <v>42945.247731481482</v>
      </c>
      <c r="B37" s="20" t="s">
        <v>456</v>
      </c>
      <c r="C37" s="20" t="s">
        <v>635</v>
      </c>
      <c r="D37" s="138">
        <v>1990000</v>
      </c>
      <c r="E37" s="20" t="s">
        <v>379</v>
      </c>
      <c r="F37" s="20" t="s">
        <v>547</v>
      </c>
      <c r="G37" s="8" t="str">
        <f t="shared" si="0"/>
        <v>DAVIS WENDY</v>
      </c>
    </row>
    <row r="38" spans="1:7" x14ac:dyDescent="0.25">
      <c r="A38" s="8">
        <v>42945.248472222222</v>
      </c>
      <c r="B38" s="20" t="s">
        <v>702</v>
      </c>
      <c r="C38" s="20" t="s">
        <v>710</v>
      </c>
      <c r="D38" s="138">
        <v>2560000</v>
      </c>
      <c r="E38" s="20" t="s">
        <v>474</v>
      </c>
      <c r="F38" s="20" t="s">
        <v>356</v>
      </c>
      <c r="G38" s="8" t="str">
        <f t="shared" si="0"/>
        <v>MACDONALD THOMAS</v>
      </c>
    </row>
    <row r="39" spans="1:7" x14ac:dyDescent="0.25">
      <c r="A39" s="8">
        <v>42945.249351851853</v>
      </c>
      <c r="B39" s="20" t="s">
        <v>484</v>
      </c>
      <c r="C39" s="20" t="s">
        <v>711</v>
      </c>
      <c r="D39" s="138">
        <v>2600000</v>
      </c>
      <c r="E39" s="20" t="s">
        <v>695</v>
      </c>
      <c r="F39" s="20" t="s">
        <v>696</v>
      </c>
      <c r="G39" s="8" t="str">
        <f t="shared" si="0"/>
        <v>DAVIDSON DAVID</v>
      </c>
    </row>
    <row r="40" spans="1:7" x14ac:dyDescent="0.25">
      <c r="A40" s="8">
        <v>42945.257962962962</v>
      </c>
      <c r="B40" s="25" t="s">
        <v>462</v>
      </c>
      <c r="C40" s="20" t="s">
        <v>712</v>
      </c>
      <c r="D40" s="138">
        <v>1100000</v>
      </c>
      <c r="E40" s="20" t="s">
        <v>684</v>
      </c>
      <c r="F40" s="20" t="s">
        <v>685</v>
      </c>
      <c r="G40" s="8" t="str">
        <f t="shared" si="0"/>
        <v>GEBRETEKLE DAGNEW</v>
      </c>
    </row>
    <row r="41" spans="1:7" x14ac:dyDescent="0.25">
      <c r="A41" s="8">
        <v>42945.259398148148</v>
      </c>
      <c r="B41" s="20" t="s">
        <v>409</v>
      </c>
      <c r="C41" s="20" t="s">
        <v>713</v>
      </c>
      <c r="D41" s="138">
        <v>3040000</v>
      </c>
      <c r="E41" s="20" t="s">
        <v>369</v>
      </c>
      <c r="F41" s="20" t="s">
        <v>370</v>
      </c>
      <c r="G41" s="8" t="str">
        <f t="shared" si="0"/>
        <v>WILLIAMS DONTE</v>
      </c>
    </row>
    <row r="42" spans="1:7" x14ac:dyDescent="0.25">
      <c r="A42" s="8">
        <v>42945.270289351851</v>
      </c>
      <c r="B42" s="20" t="s">
        <v>637</v>
      </c>
      <c r="C42" s="20" t="s">
        <v>714</v>
      </c>
      <c r="D42" s="138">
        <v>2970000</v>
      </c>
      <c r="E42" s="20" t="s">
        <v>366</v>
      </c>
      <c r="F42" s="20" t="s">
        <v>367</v>
      </c>
      <c r="G42" s="8" t="str">
        <f t="shared" si="0"/>
        <v>GUZMAN DANNY</v>
      </c>
    </row>
    <row r="43" spans="1:7" x14ac:dyDescent="0.25">
      <c r="A43" s="8">
        <v>42945.271655092591</v>
      </c>
      <c r="B43" s="20" t="s">
        <v>692</v>
      </c>
      <c r="C43" s="20" t="s">
        <v>715</v>
      </c>
      <c r="D43" s="138">
        <v>2530000</v>
      </c>
      <c r="E43" s="20" t="s">
        <v>688</v>
      </c>
      <c r="F43" s="20" t="s">
        <v>689</v>
      </c>
      <c r="G43" s="8" t="str">
        <f t="shared" si="0"/>
        <v>LALONDE GREGORY</v>
      </c>
    </row>
    <row r="44" spans="1:7" x14ac:dyDescent="0.25">
      <c r="A44" s="8">
        <v>42945.275185185186</v>
      </c>
      <c r="B44" s="20" t="s">
        <v>639</v>
      </c>
      <c r="C44" s="20" t="s">
        <v>716</v>
      </c>
      <c r="D44" s="138">
        <v>2560000</v>
      </c>
      <c r="E44" s="20" t="s">
        <v>474</v>
      </c>
      <c r="F44" s="20" t="s">
        <v>356</v>
      </c>
      <c r="G44" s="8" t="str">
        <f t="shared" si="0"/>
        <v>MACDONALD THOMAS</v>
      </c>
    </row>
    <row r="45" spans="1:7" x14ac:dyDescent="0.25">
      <c r="A45" s="8">
        <v>42945.280011574076</v>
      </c>
      <c r="B45" s="20" t="s">
        <v>350</v>
      </c>
      <c r="C45" s="20" t="s">
        <v>717</v>
      </c>
      <c r="D45" s="138">
        <v>2010000</v>
      </c>
      <c r="E45" s="20" t="s">
        <v>485</v>
      </c>
      <c r="F45" s="20" t="s">
        <v>486</v>
      </c>
      <c r="G45" s="8" t="str">
        <f t="shared" si="0"/>
        <v>MAELZER KURT</v>
      </c>
    </row>
    <row r="46" spans="1:7" x14ac:dyDescent="0.25">
      <c r="A46" s="8">
        <v>42945.287881944445</v>
      </c>
      <c r="B46" s="20" t="s">
        <v>473</v>
      </c>
      <c r="C46" s="20" t="s">
        <v>718</v>
      </c>
      <c r="D46" s="138">
        <v>1990000</v>
      </c>
      <c r="E46" s="20" t="s">
        <v>379</v>
      </c>
      <c r="F46" s="20" t="s">
        <v>547</v>
      </c>
      <c r="G46" s="8" t="str">
        <f t="shared" si="0"/>
        <v>DAVIS WENDY</v>
      </c>
    </row>
    <row r="47" spans="1:7" x14ac:dyDescent="0.25">
      <c r="A47" s="8">
        <v>42945.287951388891</v>
      </c>
      <c r="B47" s="20" t="s">
        <v>463</v>
      </c>
      <c r="C47" s="20" t="s">
        <v>719</v>
      </c>
      <c r="D47" s="138">
        <v>1100000</v>
      </c>
      <c r="E47" s="20" t="s">
        <v>684</v>
      </c>
      <c r="F47" s="20" t="s">
        <v>685</v>
      </c>
      <c r="G47" s="8" t="str">
        <f t="shared" si="0"/>
        <v>GEBRETEKLE DAGNEW</v>
      </c>
    </row>
    <row r="48" spans="1:7" x14ac:dyDescent="0.25">
      <c r="A48" s="8">
        <v>42945.289722222224</v>
      </c>
      <c r="B48" s="20" t="s">
        <v>702</v>
      </c>
      <c r="C48" s="20" t="s">
        <v>720</v>
      </c>
      <c r="D48" s="138">
        <v>2560000</v>
      </c>
      <c r="E48" s="20" t="s">
        <v>474</v>
      </c>
      <c r="F48" s="20" t="s">
        <v>356</v>
      </c>
      <c r="G48" s="8" t="str">
        <f t="shared" si="0"/>
        <v>MACDONALD THOMAS</v>
      </c>
    </row>
    <row r="49" spans="1:7" x14ac:dyDescent="0.25">
      <c r="A49" s="8">
        <v>42945.290567129632</v>
      </c>
      <c r="B49" s="20" t="s">
        <v>487</v>
      </c>
      <c r="C49" s="20" t="s">
        <v>636</v>
      </c>
      <c r="D49" s="138">
        <v>2600000</v>
      </c>
      <c r="E49" s="20" t="s">
        <v>695</v>
      </c>
      <c r="F49" s="20" t="s">
        <v>696</v>
      </c>
      <c r="G49" s="8" t="str">
        <f t="shared" si="0"/>
        <v>DAVIDSON DAVID</v>
      </c>
    </row>
    <row r="50" spans="1:7" x14ac:dyDescent="0.25">
      <c r="A50" s="8">
        <v>42945.299756944441</v>
      </c>
      <c r="B50" s="20" t="s">
        <v>648</v>
      </c>
      <c r="C50" s="20" t="s">
        <v>721</v>
      </c>
      <c r="D50" s="138">
        <v>2530000</v>
      </c>
      <c r="E50" s="20" t="s">
        <v>688</v>
      </c>
      <c r="F50" s="20" t="s">
        <v>689</v>
      </c>
      <c r="G50" s="8" t="str">
        <f t="shared" si="0"/>
        <v>LALONDE GREGORY</v>
      </c>
    </row>
    <row r="51" spans="1:7" x14ac:dyDescent="0.25">
      <c r="A51" s="8">
        <v>42945.300671296296</v>
      </c>
      <c r="B51" s="20" t="s">
        <v>378</v>
      </c>
      <c r="C51" s="20" t="s">
        <v>722</v>
      </c>
      <c r="D51" s="138">
        <v>3040000</v>
      </c>
      <c r="E51" s="20" t="s">
        <v>369</v>
      </c>
      <c r="F51" s="20" t="s">
        <v>370</v>
      </c>
      <c r="G51" s="8" t="str">
        <f t="shared" si="0"/>
        <v>WILLIAMS DONTE</v>
      </c>
    </row>
    <row r="52" spans="1:7" x14ac:dyDescent="0.25">
      <c r="A52" s="8">
        <v>42945.309548611112</v>
      </c>
      <c r="B52" s="20" t="s">
        <v>706</v>
      </c>
      <c r="C52" s="20" t="s">
        <v>723</v>
      </c>
      <c r="D52" s="138">
        <v>2970000</v>
      </c>
      <c r="E52" s="20" t="s">
        <v>366</v>
      </c>
      <c r="F52" s="20" t="s">
        <v>367</v>
      </c>
      <c r="G52" s="8" t="str">
        <f t="shared" si="0"/>
        <v>GUZMAN DANNY</v>
      </c>
    </row>
    <row r="53" spans="1:7" x14ac:dyDescent="0.25">
      <c r="A53" s="8">
        <v>42945.311516203707</v>
      </c>
      <c r="B53" s="20" t="s">
        <v>415</v>
      </c>
      <c r="C53" s="20" t="s">
        <v>724</v>
      </c>
      <c r="D53" s="138">
        <v>2010000</v>
      </c>
      <c r="E53" s="20" t="s">
        <v>485</v>
      </c>
      <c r="F53" s="20" t="s">
        <v>486</v>
      </c>
      <c r="G53" s="8" t="str">
        <f t="shared" si="0"/>
        <v>MAELZER KURT</v>
      </c>
    </row>
    <row r="54" spans="1:7" x14ac:dyDescent="0.25">
      <c r="A54" s="8">
        <v>42945.317465277774</v>
      </c>
      <c r="B54" s="20" t="s">
        <v>639</v>
      </c>
      <c r="C54" s="20" t="s">
        <v>725</v>
      </c>
      <c r="D54" s="138">
        <v>2560000</v>
      </c>
      <c r="E54" s="20" t="s">
        <v>474</v>
      </c>
      <c r="F54" s="20" t="s">
        <v>356</v>
      </c>
      <c r="G54" s="8" t="str">
        <f t="shared" si="0"/>
        <v>MACDONALD THOMAS</v>
      </c>
    </row>
    <row r="55" spans="1:7" x14ac:dyDescent="0.25">
      <c r="A55" s="8">
        <v>42945.32130787037</v>
      </c>
      <c r="B55" s="20" t="s">
        <v>456</v>
      </c>
      <c r="C55" s="20" t="s">
        <v>726</v>
      </c>
      <c r="D55" s="138">
        <v>1990000</v>
      </c>
      <c r="E55" s="20" t="s">
        <v>379</v>
      </c>
      <c r="F55" s="20" t="s">
        <v>547</v>
      </c>
      <c r="G55" s="8" t="str">
        <f t="shared" si="0"/>
        <v>DAVIS WENDY</v>
      </c>
    </row>
    <row r="56" spans="1:7" x14ac:dyDescent="0.25">
      <c r="A56" s="8">
        <v>42945.321562500001</v>
      </c>
      <c r="B56" s="20" t="s">
        <v>484</v>
      </c>
      <c r="C56" s="20" t="s">
        <v>727</v>
      </c>
      <c r="D56" s="138">
        <v>2600000</v>
      </c>
      <c r="E56" s="20" t="s">
        <v>695</v>
      </c>
      <c r="F56" s="20" t="s">
        <v>696</v>
      </c>
      <c r="G56" s="8" t="str">
        <f t="shared" si="0"/>
        <v>DAVIDSON DAVID</v>
      </c>
    </row>
    <row r="57" spans="1:7" x14ac:dyDescent="0.25">
      <c r="A57" s="8">
        <v>42945.330312500002</v>
      </c>
      <c r="B57" s="20" t="s">
        <v>462</v>
      </c>
      <c r="C57" s="20" t="s">
        <v>728</v>
      </c>
      <c r="D57" s="138">
        <v>1100000</v>
      </c>
      <c r="E57" s="20" t="s">
        <v>684</v>
      </c>
      <c r="F57" s="20" t="s">
        <v>685</v>
      </c>
      <c r="G57" s="8" t="str">
        <f t="shared" si="0"/>
        <v>GEBRETEKLE DAGNEW</v>
      </c>
    </row>
    <row r="58" spans="1:7" x14ac:dyDescent="0.25">
      <c r="A58" s="8">
        <v>42945.331620370373</v>
      </c>
      <c r="B58" s="20" t="s">
        <v>702</v>
      </c>
      <c r="C58" s="20" t="s">
        <v>729</v>
      </c>
      <c r="D58" s="138">
        <v>2560000</v>
      </c>
      <c r="E58" s="20" t="s">
        <v>474</v>
      </c>
      <c r="F58" s="20" t="s">
        <v>356</v>
      </c>
      <c r="G58" s="8" t="str">
        <f t="shared" si="0"/>
        <v>MACDONALD THOMAS</v>
      </c>
    </row>
    <row r="59" spans="1:7" x14ac:dyDescent="0.25">
      <c r="A59" s="8">
        <v>42945.335972222223</v>
      </c>
      <c r="B59" s="20" t="s">
        <v>409</v>
      </c>
      <c r="C59" s="20" t="s">
        <v>730</v>
      </c>
      <c r="D59" s="138">
        <v>3040000</v>
      </c>
      <c r="E59" s="20" t="s">
        <v>369</v>
      </c>
      <c r="F59" s="20" t="s">
        <v>370</v>
      </c>
      <c r="G59" s="8" t="str">
        <f t="shared" si="0"/>
        <v>WILLIAMS DONTE</v>
      </c>
    </row>
    <row r="60" spans="1:7" x14ac:dyDescent="0.25">
      <c r="A60" s="8">
        <v>42945.342094907406</v>
      </c>
      <c r="B60" s="20" t="s">
        <v>692</v>
      </c>
      <c r="C60" s="20" t="s">
        <v>731</v>
      </c>
      <c r="D60" s="138">
        <v>2530000</v>
      </c>
      <c r="E60" s="20" t="s">
        <v>688</v>
      </c>
      <c r="F60" s="20" t="s">
        <v>689</v>
      </c>
      <c r="G60" s="8" t="str">
        <f t="shared" si="0"/>
        <v>LALONDE GREGORY</v>
      </c>
    </row>
    <row r="61" spans="1:7" x14ac:dyDescent="0.25">
      <c r="A61" s="8">
        <v>42945.342847222222</v>
      </c>
      <c r="B61" s="20" t="s">
        <v>637</v>
      </c>
      <c r="C61" s="20" t="s">
        <v>638</v>
      </c>
      <c r="D61" s="138">
        <v>2970000</v>
      </c>
      <c r="E61" s="20" t="s">
        <v>366</v>
      </c>
      <c r="F61" s="20" t="s">
        <v>367</v>
      </c>
      <c r="G61" s="8" t="str">
        <f t="shared" si="0"/>
        <v>GUZMAN DANNY</v>
      </c>
    </row>
    <row r="62" spans="1:7" x14ac:dyDescent="0.25">
      <c r="A62" s="8">
        <v>42945.353217592594</v>
      </c>
      <c r="B62" s="20" t="s">
        <v>350</v>
      </c>
      <c r="C62" s="20" t="s">
        <v>732</v>
      </c>
      <c r="D62" s="138">
        <v>2010000</v>
      </c>
      <c r="E62" s="20" t="s">
        <v>485</v>
      </c>
      <c r="F62" s="20" t="s">
        <v>486</v>
      </c>
      <c r="G62" s="8" t="str">
        <f t="shared" si="0"/>
        <v>MAELZER KURT</v>
      </c>
    </row>
    <row r="63" spans="1:7" x14ac:dyDescent="0.25">
      <c r="A63" s="8">
        <v>42945.358958333331</v>
      </c>
      <c r="B63" s="20" t="s">
        <v>639</v>
      </c>
      <c r="C63" s="20" t="s">
        <v>733</v>
      </c>
      <c r="D63" s="138">
        <v>2560000</v>
      </c>
      <c r="E63" s="20" t="s">
        <v>474</v>
      </c>
      <c r="F63" s="20" t="s">
        <v>356</v>
      </c>
      <c r="G63" s="8" t="str">
        <f t="shared" si="0"/>
        <v>MACDONALD THOMAS</v>
      </c>
    </row>
    <row r="64" spans="1:7" x14ac:dyDescent="0.25">
      <c r="A64" s="26">
        <v>42945.359178240738</v>
      </c>
      <c r="B64" s="20" t="s">
        <v>473</v>
      </c>
      <c r="C64" s="20" t="s">
        <v>734</v>
      </c>
      <c r="D64" s="138">
        <v>1990000</v>
      </c>
      <c r="E64" s="20" t="s">
        <v>379</v>
      </c>
      <c r="F64" s="20" t="s">
        <v>547</v>
      </c>
      <c r="G64" s="8" t="str">
        <f t="shared" si="0"/>
        <v>DAVIS WENDY</v>
      </c>
    </row>
    <row r="65" spans="1:7" x14ac:dyDescent="0.25">
      <c r="A65" s="8">
        <v>42945.361319444448</v>
      </c>
      <c r="B65" s="20" t="s">
        <v>463</v>
      </c>
      <c r="C65" s="20" t="s">
        <v>735</v>
      </c>
      <c r="D65" s="138">
        <v>1100000</v>
      </c>
      <c r="E65" s="20" t="s">
        <v>684</v>
      </c>
      <c r="F65" s="20" t="s">
        <v>685</v>
      </c>
      <c r="G65" s="8" t="str">
        <f t="shared" si="0"/>
        <v>GEBRETEKLE DAGNEW</v>
      </c>
    </row>
    <row r="66" spans="1:7" x14ac:dyDescent="0.25">
      <c r="A66" s="8">
        <v>42945.364305555559</v>
      </c>
      <c r="B66" s="20" t="s">
        <v>487</v>
      </c>
      <c r="C66" s="20" t="s">
        <v>736</v>
      </c>
      <c r="D66" s="138">
        <v>2600000</v>
      </c>
      <c r="E66" s="20" t="s">
        <v>695</v>
      </c>
      <c r="F66" s="20" t="s">
        <v>696</v>
      </c>
      <c r="G66" s="8" t="str">
        <f t="shared" si="0"/>
        <v>DAVIDSON DAVID</v>
      </c>
    </row>
    <row r="67" spans="1:7" x14ac:dyDescent="0.25">
      <c r="A67" s="8">
        <v>42945.371527777781</v>
      </c>
      <c r="B67" s="20" t="s">
        <v>648</v>
      </c>
      <c r="C67" s="20" t="s">
        <v>737</v>
      </c>
      <c r="D67" s="138">
        <v>2530000</v>
      </c>
      <c r="E67" s="20" t="s">
        <v>688</v>
      </c>
      <c r="F67" s="20" t="s">
        <v>689</v>
      </c>
      <c r="G67" s="8" t="str">
        <f t="shared" ref="G67:G130" si="1">E67&amp;" "&amp;F67</f>
        <v>LALONDE GREGORY</v>
      </c>
    </row>
    <row r="68" spans="1:7" x14ac:dyDescent="0.25">
      <c r="A68" s="8">
        <v>42945.372812499998</v>
      </c>
      <c r="B68" s="20" t="s">
        <v>702</v>
      </c>
      <c r="C68" s="20" t="s">
        <v>738</v>
      </c>
      <c r="D68" s="138">
        <v>2560000</v>
      </c>
      <c r="E68" s="20" t="s">
        <v>474</v>
      </c>
      <c r="F68" s="20" t="s">
        <v>356</v>
      </c>
      <c r="G68" s="8" t="str">
        <f t="shared" si="1"/>
        <v>MACDONALD THOMAS</v>
      </c>
    </row>
    <row r="69" spans="1:7" x14ac:dyDescent="0.25">
      <c r="A69" s="8">
        <v>42945.373368055552</v>
      </c>
      <c r="B69" s="20" t="s">
        <v>378</v>
      </c>
      <c r="C69" s="20" t="s">
        <v>739</v>
      </c>
      <c r="D69" s="138">
        <v>3040000</v>
      </c>
      <c r="E69" s="20" t="s">
        <v>369</v>
      </c>
      <c r="F69" s="20" t="s">
        <v>370</v>
      </c>
      <c r="G69" s="8" t="str">
        <f t="shared" si="1"/>
        <v>WILLIAMS DONTE</v>
      </c>
    </row>
    <row r="70" spans="1:7" x14ac:dyDescent="0.25">
      <c r="A70" s="8">
        <v>42945.383657407408</v>
      </c>
      <c r="B70" s="20" t="s">
        <v>706</v>
      </c>
      <c r="C70" s="20" t="s">
        <v>740</v>
      </c>
      <c r="D70" s="138">
        <v>2970000</v>
      </c>
      <c r="E70" s="20" t="s">
        <v>366</v>
      </c>
      <c r="F70" s="20" t="s">
        <v>367</v>
      </c>
      <c r="G70" s="8" t="str">
        <f t="shared" si="1"/>
        <v>GUZMAN DANNY</v>
      </c>
    </row>
    <row r="71" spans="1:7" x14ac:dyDescent="0.25">
      <c r="A71" s="8">
        <v>42945.384942129633</v>
      </c>
      <c r="B71" s="20" t="s">
        <v>415</v>
      </c>
      <c r="C71" s="20" t="s">
        <v>741</v>
      </c>
      <c r="D71" s="138">
        <v>2010000</v>
      </c>
      <c r="E71" s="20" t="s">
        <v>485</v>
      </c>
      <c r="F71" s="20" t="s">
        <v>486</v>
      </c>
      <c r="G71" s="8" t="str">
        <f t="shared" si="1"/>
        <v>MAELZER KURT</v>
      </c>
    </row>
    <row r="72" spans="1:7" x14ac:dyDescent="0.25">
      <c r="A72" s="8">
        <v>42945.393449074072</v>
      </c>
      <c r="B72" s="20" t="s">
        <v>484</v>
      </c>
      <c r="C72" s="20" t="s">
        <v>742</v>
      </c>
      <c r="D72" s="138">
        <v>2600000</v>
      </c>
      <c r="E72" s="20" t="s">
        <v>695</v>
      </c>
      <c r="F72" s="20" t="s">
        <v>696</v>
      </c>
      <c r="G72" s="8" t="str">
        <f t="shared" si="1"/>
        <v>DAVIDSON DAVID</v>
      </c>
    </row>
    <row r="73" spans="1:7" x14ac:dyDescent="0.25">
      <c r="A73" s="8">
        <v>42945.39466435185</v>
      </c>
      <c r="B73" s="20" t="s">
        <v>456</v>
      </c>
      <c r="C73" s="20" t="s">
        <v>743</v>
      </c>
      <c r="D73" s="138">
        <v>1990000</v>
      </c>
      <c r="E73" s="20" t="s">
        <v>379</v>
      </c>
      <c r="F73" s="20" t="s">
        <v>547</v>
      </c>
      <c r="G73" s="8" t="str">
        <f t="shared" si="1"/>
        <v>DAVIS WENDY</v>
      </c>
    </row>
    <row r="74" spans="1:7" x14ac:dyDescent="0.25">
      <c r="A74" s="8">
        <v>42945.401041666664</v>
      </c>
      <c r="B74" s="20" t="s">
        <v>639</v>
      </c>
      <c r="C74" s="20" t="s">
        <v>640</v>
      </c>
      <c r="D74" s="138">
        <v>2560000</v>
      </c>
      <c r="E74" s="20" t="s">
        <v>474</v>
      </c>
      <c r="F74" s="20" t="s">
        <v>356</v>
      </c>
      <c r="G74" s="8" t="str">
        <f t="shared" si="1"/>
        <v>MACDONALD THOMAS</v>
      </c>
    </row>
    <row r="75" spans="1:7" x14ac:dyDescent="0.25">
      <c r="A75" s="8">
        <v>42945.403437499997</v>
      </c>
      <c r="B75" s="20" t="s">
        <v>462</v>
      </c>
      <c r="C75" s="20" t="s">
        <v>744</v>
      </c>
      <c r="D75" s="138">
        <v>1100000</v>
      </c>
      <c r="E75" s="20" t="s">
        <v>684</v>
      </c>
      <c r="F75" s="20" t="s">
        <v>685</v>
      </c>
      <c r="G75" s="8" t="str">
        <f t="shared" si="1"/>
        <v>GEBRETEKLE DAGNEW</v>
      </c>
    </row>
    <row r="76" spans="1:7" x14ac:dyDescent="0.25">
      <c r="A76" s="8">
        <v>42945.403877314813</v>
      </c>
      <c r="B76" s="20" t="s">
        <v>409</v>
      </c>
      <c r="C76" s="20" t="s">
        <v>745</v>
      </c>
      <c r="D76" s="138">
        <v>3040000</v>
      </c>
      <c r="E76" s="20" t="s">
        <v>369</v>
      </c>
      <c r="F76" s="20" t="s">
        <v>370</v>
      </c>
      <c r="G76" s="8" t="str">
        <f t="shared" si="1"/>
        <v>WILLIAMS DONTE</v>
      </c>
    </row>
    <row r="77" spans="1:7" x14ac:dyDescent="0.25">
      <c r="A77" s="8">
        <v>42945.413518518515</v>
      </c>
      <c r="B77" s="20" t="s">
        <v>692</v>
      </c>
      <c r="C77" s="20" t="s">
        <v>746</v>
      </c>
      <c r="D77" s="138">
        <v>2530000</v>
      </c>
      <c r="E77" s="20" t="s">
        <v>688</v>
      </c>
      <c r="F77" s="20" t="s">
        <v>689</v>
      </c>
      <c r="G77" s="8" t="str">
        <f t="shared" si="1"/>
        <v>LALONDE GREGORY</v>
      </c>
    </row>
    <row r="78" spans="1:7" x14ac:dyDescent="0.25">
      <c r="A78" s="8">
        <v>42945.413877314815</v>
      </c>
      <c r="B78" s="20" t="s">
        <v>637</v>
      </c>
      <c r="C78" s="20" t="s">
        <v>747</v>
      </c>
      <c r="D78" s="138">
        <v>2970000</v>
      </c>
      <c r="E78" s="20" t="s">
        <v>366</v>
      </c>
      <c r="F78" s="20" t="s">
        <v>367</v>
      </c>
      <c r="G78" s="8" t="str">
        <f t="shared" si="1"/>
        <v>GUZMAN DANNY</v>
      </c>
    </row>
    <row r="79" spans="1:7" x14ac:dyDescent="0.25">
      <c r="A79" s="8">
        <v>42945.414976851855</v>
      </c>
      <c r="B79" s="20" t="s">
        <v>702</v>
      </c>
      <c r="C79" s="20" t="s">
        <v>748</v>
      </c>
      <c r="D79" s="138">
        <v>2560000</v>
      </c>
      <c r="E79" s="20" t="s">
        <v>474</v>
      </c>
      <c r="F79" s="20" t="s">
        <v>356</v>
      </c>
      <c r="G79" s="8" t="str">
        <f t="shared" si="1"/>
        <v>MACDONALD THOMAS</v>
      </c>
    </row>
    <row r="80" spans="1:7" x14ac:dyDescent="0.25">
      <c r="A80" s="8">
        <v>42945.424074074072</v>
      </c>
      <c r="B80" s="20" t="s">
        <v>350</v>
      </c>
      <c r="C80" s="20" t="s">
        <v>641</v>
      </c>
      <c r="D80" s="138">
        <v>2350000</v>
      </c>
      <c r="E80" s="20" t="s">
        <v>749</v>
      </c>
      <c r="F80" s="20" t="s">
        <v>750</v>
      </c>
      <c r="G80" s="8" t="str">
        <f t="shared" si="1"/>
        <v>BERLING GARY</v>
      </c>
    </row>
    <row r="81" spans="1:7" x14ac:dyDescent="0.25">
      <c r="A81" s="8">
        <v>42945.433599537035</v>
      </c>
      <c r="B81" s="20" t="s">
        <v>463</v>
      </c>
      <c r="C81" s="20" t="s">
        <v>643</v>
      </c>
      <c r="D81" s="138">
        <v>1100000</v>
      </c>
      <c r="E81" s="20" t="s">
        <v>684</v>
      </c>
      <c r="F81" s="20" t="s">
        <v>685</v>
      </c>
      <c r="G81" s="8" t="str">
        <f t="shared" si="1"/>
        <v>GEBRETEKLE DAGNEW</v>
      </c>
    </row>
    <row r="82" spans="1:7" x14ac:dyDescent="0.25">
      <c r="A82" s="8">
        <v>42945.434305555558</v>
      </c>
      <c r="B82" s="20" t="s">
        <v>487</v>
      </c>
      <c r="C82" s="20" t="s">
        <v>751</v>
      </c>
      <c r="D82" s="138">
        <v>2600000</v>
      </c>
      <c r="E82" s="20" t="s">
        <v>695</v>
      </c>
      <c r="F82" s="20" t="s">
        <v>696</v>
      </c>
      <c r="G82" s="8" t="str">
        <f t="shared" si="1"/>
        <v>DAVIDSON DAVID</v>
      </c>
    </row>
    <row r="83" spans="1:7" x14ac:dyDescent="0.25">
      <c r="A83" s="8">
        <v>42945.434745370374</v>
      </c>
      <c r="B83" s="20" t="s">
        <v>473</v>
      </c>
      <c r="C83" s="20" t="s">
        <v>642</v>
      </c>
      <c r="D83" s="138">
        <v>1990000</v>
      </c>
      <c r="E83" s="20" t="s">
        <v>379</v>
      </c>
      <c r="F83" s="20" t="s">
        <v>547</v>
      </c>
      <c r="G83" s="8" t="str">
        <f t="shared" si="1"/>
        <v>DAVIS WENDY</v>
      </c>
    </row>
    <row r="84" spans="1:7" x14ac:dyDescent="0.25">
      <c r="A84" s="8">
        <v>42945.442280092589</v>
      </c>
      <c r="B84" s="20" t="s">
        <v>639</v>
      </c>
      <c r="C84" s="20" t="s">
        <v>752</v>
      </c>
      <c r="D84" s="138">
        <v>2560000</v>
      </c>
      <c r="E84" s="20" t="s">
        <v>474</v>
      </c>
      <c r="F84" s="20" t="s">
        <v>356</v>
      </c>
      <c r="G84" s="8" t="str">
        <f t="shared" si="1"/>
        <v>MACDONALD THOMAS</v>
      </c>
    </row>
    <row r="85" spans="1:7" x14ac:dyDescent="0.25">
      <c r="A85" s="8">
        <v>42945.444780092592</v>
      </c>
      <c r="B85" s="20" t="s">
        <v>648</v>
      </c>
      <c r="C85" s="20" t="s">
        <v>753</v>
      </c>
      <c r="D85" s="138">
        <v>2530000</v>
      </c>
      <c r="E85" s="20" t="s">
        <v>688</v>
      </c>
      <c r="F85" s="20" t="s">
        <v>689</v>
      </c>
      <c r="G85" s="8" t="str">
        <f t="shared" si="1"/>
        <v>LALONDE GREGORY</v>
      </c>
    </row>
    <row r="86" spans="1:7" x14ac:dyDescent="0.25">
      <c r="A86" s="8">
        <v>42945.445671296293</v>
      </c>
      <c r="B86" s="20" t="s">
        <v>378</v>
      </c>
      <c r="C86" s="20" t="s">
        <v>754</v>
      </c>
      <c r="D86" s="138">
        <v>880000</v>
      </c>
      <c r="E86" s="20" t="s">
        <v>503</v>
      </c>
      <c r="F86" s="20" t="s">
        <v>192</v>
      </c>
      <c r="G86" s="8" t="str">
        <f t="shared" si="1"/>
        <v>STEWART MICHAEL</v>
      </c>
    </row>
    <row r="87" spans="1:7" x14ac:dyDescent="0.25">
      <c r="A87" s="8">
        <v>42945.45548611111</v>
      </c>
      <c r="B87" s="20" t="s">
        <v>706</v>
      </c>
      <c r="C87" s="20" t="s">
        <v>755</v>
      </c>
      <c r="D87" s="138">
        <v>2970000</v>
      </c>
      <c r="E87" s="20" t="s">
        <v>366</v>
      </c>
      <c r="F87" s="20" t="s">
        <v>367</v>
      </c>
      <c r="G87" s="8" t="str">
        <f t="shared" si="1"/>
        <v>GUZMAN DANNY</v>
      </c>
    </row>
    <row r="88" spans="1:7" x14ac:dyDescent="0.25">
      <c r="A88" s="8">
        <v>42945.456458333334</v>
      </c>
      <c r="B88" s="20" t="s">
        <v>702</v>
      </c>
      <c r="C88" s="20" t="s">
        <v>756</v>
      </c>
      <c r="D88" s="138">
        <v>2560000</v>
      </c>
      <c r="E88" s="20" t="s">
        <v>474</v>
      </c>
      <c r="F88" s="20" t="s">
        <v>356</v>
      </c>
      <c r="G88" s="8" t="str">
        <f t="shared" si="1"/>
        <v>MACDONALD THOMAS</v>
      </c>
    </row>
    <row r="89" spans="1:7" x14ac:dyDescent="0.25">
      <c r="A89" s="8">
        <v>42945.460289351853</v>
      </c>
      <c r="B89" s="20" t="s">
        <v>415</v>
      </c>
      <c r="C89" s="20" t="s">
        <v>757</v>
      </c>
      <c r="D89" s="138">
        <v>2350000</v>
      </c>
      <c r="E89" s="20" t="s">
        <v>749</v>
      </c>
      <c r="F89" s="20" t="s">
        <v>750</v>
      </c>
      <c r="G89" s="8" t="str">
        <f t="shared" si="1"/>
        <v>BERLING GARY</v>
      </c>
    </row>
    <row r="90" spans="1:7" x14ac:dyDescent="0.25">
      <c r="A90" s="8">
        <v>42945.46534722222</v>
      </c>
      <c r="B90" s="20" t="s">
        <v>484</v>
      </c>
      <c r="C90" s="20" t="s">
        <v>758</v>
      </c>
      <c r="D90" s="138">
        <v>2600000</v>
      </c>
      <c r="E90" s="20" t="s">
        <v>695</v>
      </c>
      <c r="F90" s="20" t="s">
        <v>696</v>
      </c>
      <c r="G90" s="8" t="str">
        <f t="shared" si="1"/>
        <v>DAVIDSON DAVID</v>
      </c>
    </row>
    <row r="91" spans="1:7" x14ac:dyDescent="0.25">
      <c r="A91" s="8">
        <v>42945.467291666668</v>
      </c>
      <c r="B91" s="20" t="s">
        <v>456</v>
      </c>
      <c r="C91" s="20" t="s">
        <v>759</v>
      </c>
      <c r="D91" s="138">
        <v>2630000</v>
      </c>
      <c r="E91" s="20" t="s">
        <v>760</v>
      </c>
      <c r="F91" s="20" t="s">
        <v>761</v>
      </c>
      <c r="G91" s="8" t="str">
        <f t="shared" si="1"/>
        <v>SAFIEF AEIMEN</v>
      </c>
    </row>
    <row r="92" spans="1:7" x14ac:dyDescent="0.25">
      <c r="A92" s="8">
        <v>42945.476724537039</v>
      </c>
      <c r="B92" s="20" t="s">
        <v>462</v>
      </c>
      <c r="C92" s="20" t="s">
        <v>762</v>
      </c>
      <c r="D92" s="138">
        <v>3120000</v>
      </c>
      <c r="E92" s="20" t="s">
        <v>763</v>
      </c>
      <c r="F92" s="20" t="s">
        <v>764</v>
      </c>
      <c r="G92" s="8" t="str">
        <f t="shared" si="1"/>
        <v>THOMPSON LESTER</v>
      </c>
    </row>
    <row r="93" spans="1:7" x14ac:dyDescent="0.25">
      <c r="A93" s="8">
        <v>42945.477546296293</v>
      </c>
      <c r="B93" s="20" t="s">
        <v>648</v>
      </c>
      <c r="C93" s="20" t="s">
        <v>753</v>
      </c>
      <c r="D93" s="138">
        <v>2530000</v>
      </c>
      <c r="E93" s="20" t="s">
        <v>688</v>
      </c>
      <c r="F93" s="20" t="s">
        <v>689</v>
      </c>
      <c r="G93" s="8" t="str">
        <f t="shared" si="1"/>
        <v>LALONDE GREGORY</v>
      </c>
    </row>
    <row r="94" spans="1:7" x14ac:dyDescent="0.25">
      <c r="A94" s="8">
        <v>42945.484143518515</v>
      </c>
      <c r="B94" s="20" t="s">
        <v>639</v>
      </c>
      <c r="C94" s="20" t="s">
        <v>765</v>
      </c>
      <c r="D94" s="138">
        <v>2560000</v>
      </c>
      <c r="E94" s="20" t="s">
        <v>474</v>
      </c>
      <c r="F94" s="20" t="s">
        <v>356</v>
      </c>
      <c r="G94" s="8" t="str">
        <f t="shared" si="1"/>
        <v>MACDONALD THOMAS</v>
      </c>
    </row>
    <row r="95" spans="1:7" x14ac:dyDescent="0.25">
      <c r="A95" s="8">
        <v>42945.484965277778</v>
      </c>
      <c r="B95" s="20" t="s">
        <v>409</v>
      </c>
      <c r="C95" s="20" t="s">
        <v>766</v>
      </c>
      <c r="D95" s="138">
        <v>880000</v>
      </c>
      <c r="E95" s="20" t="s">
        <v>503</v>
      </c>
      <c r="F95" s="20" t="s">
        <v>192</v>
      </c>
      <c r="G95" s="8" t="str">
        <f t="shared" si="1"/>
        <v>STEWART MICHAEL</v>
      </c>
    </row>
    <row r="96" spans="1:7" x14ac:dyDescent="0.25">
      <c r="A96" s="8">
        <v>42945.486550925925</v>
      </c>
      <c r="B96" s="20" t="s">
        <v>637</v>
      </c>
      <c r="C96" s="20" t="s">
        <v>767</v>
      </c>
      <c r="D96" s="138">
        <v>2970000</v>
      </c>
      <c r="E96" s="20" t="s">
        <v>366</v>
      </c>
      <c r="F96" s="20" t="s">
        <v>367</v>
      </c>
      <c r="G96" s="8" t="str">
        <f t="shared" si="1"/>
        <v>GUZMAN DANNY</v>
      </c>
    </row>
    <row r="97" spans="1:7" x14ac:dyDescent="0.25">
      <c r="A97" s="8">
        <v>42945.48778935185</v>
      </c>
      <c r="B97" s="20" t="s">
        <v>692</v>
      </c>
      <c r="C97" s="20" t="s">
        <v>768</v>
      </c>
      <c r="D97" s="138">
        <v>2680000</v>
      </c>
      <c r="E97" s="20" t="s">
        <v>769</v>
      </c>
      <c r="F97" s="20" t="s">
        <v>770</v>
      </c>
      <c r="G97" s="8" t="str">
        <f t="shared" si="1"/>
        <v>DUNCAN SHEILA</v>
      </c>
    </row>
    <row r="98" spans="1:7" x14ac:dyDescent="0.25">
      <c r="A98" s="8">
        <v>42945.497465277775</v>
      </c>
      <c r="B98" s="20" t="s">
        <v>350</v>
      </c>
      <c r="C98" s="20" t="s">
        <v>771</v>
      </c>
      <c r="D98" s="138">
        <v>2350000</v>
      </c>
      <c r="E98" s="20" t="s">
        <v>749</v>
      </c>
      <c r="F98" s="20" t="s">
        <v>750</v>
      </c>
      <c r="G98" s="8" t="str">
        <f t="shared" si="1"/>
        <v>BERLING GARY</v>
      </c>
    </row>
    <row r="99" spans="1:7" x14ac:dyDescent="0.25">
      <c r="A99" s="8">
        <v>42945.497488425928</v>
      </c>
      <c r="B99" s="20" t="s">
        <v>473</v>
      </c>
      <c r="C99" s="20" t="s">
        <v>772</v>
      </c>
      <c r="D99" s="138">
        <v>2630000</v>
      </c>
      <c r="E99" s="20" t="s">
        <v>760</v>
      </c>
      <c r="F99" s="20" t="s">
        <v>761</v>
      </c>
      <c r="G99" s="8" t="str">
        <f t="shared" si="1"/>
        <v>SAFIEF AEIMEN</v>
      </c>
    </row>
    <row r="100" spans="1:7" x14ac:dyDescent="0.25">
      <c r="A100" s="8">
        <v>42945.498738425929</v>
      </c>
      <c r="B100" s="20" t="s">
        <v>702</v>
      </c>
      <c r="C100" s="20" t="s">
        <v>773</v>
      </c>
      <c r="D100" s="138">
        <v>2560000</v>
      </c>
      <c r="E100" s="20" t="s">
        <v>474</v>
      </c>
      <c r="F100" s="20" t="s">
        <v>356</v>
      </c>
      <c r="G100" s="8" t="str">
        <f t="shared" si="1"/>
        <v>MACDONALD THOMAS</v>
      </c>
    </row>
    <row r="101" spans="1:7" x14ac:dyDescent="0.25">
      <c r="A101" s="8">
        <v>42945.507905092592</v>
      </c>
      <c r="B101" s="20" t="s">
        <v>487</v>
      </c>
      <c r="C101" s="20" t="s">
        <v>774</v>
      </c>
      <c r="D101" s="138">
        <v>2370000</v>
      </c>
      <c r="E101" s="20" t="s">
        <v>775</v>
      </c>
      <c r="F101" s="20" t="s">
        <v>776</v>
      </c>
      <c r="G101" s="8" t="str">
        <f t="shared" si="1"/>
        <v>DELGADO DIANAH</v>
      </c>
    </row>
    <row r="102" spans="1:7" x14ac:dyDescent="0.25">
      <c r="A102" s="8">
        <v>42945.516724537039</v>
      </c>
      <c r="B102" s="20" t="s">
        <v>463</v>
      </c>
      <c r="C102" s="20" t="s">
        <v>777</v>
      </c>
      <c r="D102" s="138">
        <v>3120000</v>
      </c>
      <c r="E102" s="20" t="s">
        <v>763</v>
      </c>
      <c r="F102" s="20" t="s">
        <v>764</v>
      </c>
      <c r="G102" s="8" t="str">
        <f t="shared" si="1"/>
        <v>THOMPSON LESTER</v>
      </c>
    </row>
    <row r="103" spans="1:7" x14ac:dyDescent="0.25">
      <c r="A103" s="8">
        <v>42945.518865740742</v>
      </c>
      <c r="B103" s="20" t="s">
        <v>378</v>
      </c>
      <c r="C103" s="20" t="s">
        <v>778</v>
      </c>
      <c r="D103" s="138">
        <v>880000</v>
      </c>
      <c r="E103" s="20" t="s">
        <v>503</v>
      </c>
      <c r="F103" s="20" t="s">
        <v>192</v>
      </c>
      <c r="G103" s="8" t="str">
        <f t="shared" si="1"/>
        <v>STEWART MICHAEL</v>
      </c>
    </row>
    <row r="104" spans="1:7" x14ac:dyDescent="0.25">
      <c r="A104" s="8">
        <v>42945.523310185185</v>
      </c>
      <c r="B104" s="20" t="s">
        <v>648</v>
      </c>
      <c r="C104" s="20" t="s">
        <v>779</v>
      </c>
      <c r="D104" s="138">
        <v>2680000</v>
      </c>
      <c r="E104" s="20" t="s">
        <v>769</v>
      </c>
      <c r="F104" s="20" t="s">
        <v>770</v>
      </c>
      <c r="G104" s="8" t="str">
        <f t="shared" si="1"/>
        <v>DUNCAN SHEILA</v>
      </c>
    </row>
    <row r="105" spans="1:7" x14ac:dyDescent="0.25">
      <c r="A105" s="8">
        <v>42945.525370370371</v>
      </c>
      <c r="B105" s="20" t="s">
        <v>639</v>
      </c>
      <c r="C105" s="20" t="s">
        <v>780</v>
      </c>
      <c r="D105" s="138">
        <v>2560000</v>
      </c>
      <c r="E105" s="20" t="s">
        <v>474</v>
      </c>
      <c r="F105" s="20" t="s">
        <v>356</v>
      </c>
      <c r="G105" s="8" t="str">
        <f t="shared" si="1"/>
        <v>MACDONALD THOMAS</v>
      </c>
    </row>
    <row r="106" spans="1:7" x14ac:dyDescent="0.25">
      <c r="A106" s="8">
        <v>42945.529293981483</v>
      </c>
      <c r="B106" s="20" t="s">
        <v>706</v>
      </c>
      <c r="C106" s="20" t="s">
        <v>781</v>
      </c>
      <c r="D106" s="138">
        <v>2420000</v>
      </c>
      <c r="E106" s="20" t="s">
        <v>782</v>
      </c>
      <c r="F106" s="20" t="s">
        <v>783</v>
      </c>
      <c r="G106" s="8" t="str">
        <f t="shared" si="1"/>
        <v>HOLCOMB KAMDEN</v>
      </c>
    </row>
    <row r="107" spans="1:7" x14ac:dyDescent="0.25">
      <c r="A107" s="8">
        <v>42945.532719907409</v>
      </c>
      <c r="B107" s="20" t="s">
        <v>415</v>
      </c>
      <c r="C107" s="20" t="s">
        <v>645</v>
      </c>
      <c r="D107" s="138">
        <v>2350000</v>
      </c>
      <c r="E107" s="20" t="s">
        <v>749</v>
      </c>
      <c r="F107" s="20" t="s">
        <v>750</v>
      </c>
      <c r="G107" s="8" t="str">
        <f t="shared" si="1"/>
        <v>BERLING GARY</v>
      </c>
    </row>
    <row r="108" spans="1:7" x14ac:dyDescent="0.25">
      <c r="A108" s="8">
        <v>42945.539212962962</v>
      </c>
      <c r="B108" s="20" t="s">
        <v>456</v>
      </c>
      <c r="C108" s="20" t="s">
        <v>644</v>
      </c>
      <c r="D108" s="138">
        <v>2630000</v>
      </c>
      <c r="E108" s="20" t="s">
        <v>760</v>
      </c>
      <c r="F108" s="20" t="s">
        <v>761</v>
      </c>
      <c r="G108" s="8" t="str">
        <f t="shared" si="1"/>
        <v>SAFIEF AEIMEN</v>
      </c>
    </row>
    <row r="109" spans="1:7" x14ac:dyDescent="0.25">
      <c r="A109" s="8">
        <v>42945.539409722223</v>
      </c>
      <c r="B109" s="20" t="s">
        <v>702</v>
      </c>
      <c r="C109" s="20" t="s">
        <v>784</v>
      </c>
      <c r="D109" s="138">
        <v>2560000</v>
      </c>
      <c r="E109" s="20" t="s">
        <v>474</v>
      </c>
      <c r="F109" s="20" t="s">
        <v>356</v>
      </c>
      <c r="G109" s="8" t="str">
        <f t="shared" si="1"/>
        <v>MACDONALD THOMAS</v>
      </c>
    </row>
    <row r="110" spans="1:7" x14ac:dyDescent="0.25">
      <c r="A110" s="8">
        <v>42945.541481481479</v>
      </c>
      <c r="B110" s="20" t="s">
        <v>484</v>
      </c>
      <c r="C110" s="20" t="s">
        <v>785</v>
      </c>
      <c r="D110" s="138">
        <v>2370000</v>
      </c>
      <c r="E110" s="20" t="s">
        <v>775</v>
      </c>
      <c r="F110" s="20" t="s">
        <v>776</v>
      </c>
      <c r="G110" s="8" t="str">
        <f t="shared" si="1"/>
        <v>DELGADO DIANAH</v>
      </c>
    </row>
    <row r="111" spans="1:7" x14ac:dyDescent="0.25">
      <c r="A111" s="8">
        <v>42945.550474537034</v>
      </c>
      <c r="B111" s="20" t="s">
        <v>462</v>
      </c>
      <c r="C111" s="20" t="s">
        <v>786</v>
      </c>
      <c r="D111" s="138">
        <v>3120000</v>
      </c>
      <c r="E111" s="20" t="s">
        <v>763</v>
      </c>
      <c r="F111" s="20" t="s">
        <v>764</v>
      </c>
      <c r="G111" s="8" t="str">
        <f t="shared" si="1"/>
        <v>THOMPSON LESTER</v>
      </c>
    </row>
    <row r="112" spans="1:7" x14ac:dyDescent="0.25">
      <c r="A112" s="8">
        <v>42945.558472222219</v>
      </c>
      <c r="B112" s="20" t="s">
        <v>409</v>
      </c>
      <c r="C112" s="20" t="s">
        <v>787</v>
      </c>
      <c r="D112" s="138">
        <v>880000</v>
      </c>
      <c r="E112" s="20" t="s">
        <v>503</v>
      </c>
      <c r="F112" s="20" t="s">
        <v>192</v>
      </c>
      <c r="G112" s="8" t="str">
        <f t="shared" si="1"/>
        <v>STEWART MICHAEL</v>
      </c>
    </row>
    <row r="113" spans="1:7" x14ac:dyDescent="0.25">
      <c r="A113" s="8">
        <v>42945.559259259258</v>
      </c>
      <c r="B113" s="20" t="s">
        <v>692</v>
      </c>
      <c r="C113" s="20" t="s">
        <v>788</v>
      </c>
      <c r="D113" s="138">
        <v>2680000</v>
      </c>
      <c r="E113" s="20" t="s">
        <v>769</v>
      </c>
      <c r="F113" s="20" t="s">
        <v>770</v>
      </c>
      <c r="G113" s="8" t="str">
        <f t="shared" si="1"/>
        <v>DUNCAN SHEILA</v>
      </c>
    </row>
    <row r="114" spans="1:7" x14ac:dyDescent="0.25">
      <c r="A114" s="8">
        <v>42945.567662037036</v>
      </c>
      <c r="B114" s="20" t="s">
        <v>637</v>
      </c>
      <c r="C114" s="20" t="s">
        <v>646</v>
      </c>
      <c r="D114" s="138">
        <v>2420000</v>
      </c>
      <c r="E114" s="20" t="s">
        <v>782</v>
      </c>
      <c r="F114" s="20" t="s">
        <v>783</v>
      </c>
      <c r="G114" s="8" t="str">
        <f t="shared" si="1"/>
        <v>HOLCOMB KAMDEN</v>
      </c>
    </row>
    <row r="115" spans="1:7" x14ac:dyDescent="0.25">
      <c r="A115" s="8">
        <v>42945.568379629629</v>
      </c>
      <c r="B115" s="20" t="s">
        <v>639</v>
      </c>
      <c r="C115" s="20" t="s">
        <v>789</v>
      </c>
      <c r="D115" s="138">
        <v>2560000</v>
      </c>
      <c r="E115" s="20" t="s">
        <v>474</v>
      </c>
      <c r="F115" s="20" t="s">
        <v>356</v>
      </c>
      <c r="G115" s="8" t="str">
        <f t="shared" si="1"/>
        <v>MACDONALD THOMAS</v>
      </c>
    </row>
    <row r="116" spans="1:7" x14ac:dyDescent="0.25">
      <c r="A116" s="8">
        <v>42945.571030092593</v>
      </c>
      <c r="B116" s="20" t="s">
        <v>473</v>
      </c>
      <c r="C116" s="20" t="s">
        <v>790</v>
      </c>
      <c r="D116" s="138">
        <v>2630000</v>
      </c>
      <c r="E116" s="20" t="s">
        <v>760</v>
      </c>
      <c r="F116" s="20" t="s">
        <v>761</v>
      </c>
      <c r="G116" s="8" t="str">
        <f t="shared" si="1"/>
        <v>SAFIEF AEIMEN</v>
      </c>
    </row>
    <row r="117" spans="1:7" x14ac:dyDescent="0.25">
      <c r="A117" s="8">
        <v>42945.571226851855</v>
      </c>
      <c r="B117" s="20" t="s">
        <v>350</v>
      </c>
      <c r="C117" s="20" t="s">
        <v>791</v>
      </c>
      <c r="D117" s="138">
        <v>2350000</v>
      </c>
      <c r="E117" s="20" t="s">
        <v>749</v>
      </c>
      <c r="F117" s="20" t="s">
        <v>750</v>
      </c>
      <c r="G117" s="8" t="str">
        <f t="shared" si="1"/>
        <v>BERLING GARY</v>
      </c>
    </row>
    <row r="118" spans="1:7" x14ac:dyDescent="0.25">
      <c r="A118" s="8">
        <v>42945.57917824074</v>
      </c>
      <c r="B118" s="20" t="s">
        <v>487</v>
      </c>
      <c r="C118" s="20" t="s">
        <v>792</v>
      </c>
      <c r="D118" s="138">
        <v>2370000</v>
      </c>
      <c r="E118" s="20" t="s">
        <v>775</v>
      </c>
      <c r="F118" s="20" t="s">
        <v>776</v>
      </c>
      <c r="G118" s="8" t="str">
        <f t="shared" si="1"/>
        <v>DELGADO DIANAH</v>
      </c>
    </row>
    <row r="119" spans="1:7" x14ac:dyDescent="0.25">
      <c r="A119" s="8">
        <v>42945.584178240744</v>
      </c>
      <c r="B119" s="20" t="s">
        <v>702</v>
      </c>
      <c r="C119" s="20" t="s">
        <v>793</v>
      </c>
      <c r="D119" s="138">
        <v>2540000</v>
      </c>
      <c r="E119" s="20" t="s">
        <v>794</v>
      </c>
      <c r="F119" s="20" t="s">
        <v>795</v>
      </c>
      <c r="G119" s="8" t="str">
        <f t="shared" si="1"/>
        <v>MCREYNOLDS KYLE</v>
      </c>
    </row>
    <row r="120" spans="1:7" x14ac:dyDescent="0.25">
      <c r="A120" s="8">
        <v>42945.589328703703</v>
      </c>
      <c r="B120" s="20" t="s">
        <v>463</v>
      </c>
      <c r="C120" s="20" t="s">
        <v>647</v>
      </c>
      <c r="D120" s="138">
        <v>3120000</v>
      </c>
      <c r="E120" s="20" t="s">
        <v>763</v>
      </c>
      <c r="F120" s="20" t="s">
        <v>764</v>
      </c>
      <c r="G120" s="8" t="str">
        <f t="shared" si="1"/>
        <v>THOMPSON LESTER</v>
      </c>
    </row>
    <row r="121" spans="1:7" x14ac:dyDescent="0.25">
      <c r="A121" s="8">
        <v>42945.591770833336</v>
      </c>
      <c r="B121" s="20" t="s">
        <v>378</v>
      </c>
      <c r="C121" s="20" t="s">
        <v>796</v>
      </c>
      <c r="D121" s="138">
        <v>880000</v>
      </c>
      <c r="E121" s="20" t="s">
        <v>503</v>
      </c>
      <c r="F121" s="20" t="s">
        <v>192</v>
      </c>
      <c r="G121" s="8" t="str">
        <f t="shared" si="1"/>
        <v>STEWART MICHAEL</v>
      </c>
    </row>
    <row r="122" spans="1:7" x14ac:dyDescent="0.25">
      <c r="A122" s="8">
        <v>42945.593935185185</v>
      </c>
      <c r="B122" s="25" t="s">
        <v>648</v>
      </c>
      <c r="C122" s="20" t="s">
        <v>649</v>
      </c>
      <c r="D122" s="138">
        <v>2680000</v>
      </c>
      <c r="E122" s="20" t="s">
        <v>769</v>
      </c>
      <c r="F122" s="20" t="s">
        <v>770</v>
      </c>
      <c r="G122" s="8" t="str">
        <f t="shared" si="1"/>
        <v>DUNCAN SHEILA</v>
      </c>
    </row>
    <row r="123" spans="1:7" x14ac:dyDescent="0.25">
      <c r="A123" s="8">
        <v>42945.600115740737</v>
      </c>
      <c r="B123" s="20" t="s">
        <v>706</v>
      </c>
      <c r="C123" s="20" t="s">
        <v>797</v>
      </c>
      <c r="D123" s="138">
        <v>2420000</v>
      </c>
      <c r="E123" s="20" t="s">
        <v>782</v>
      </c>
      <c r="F123" s="20" t="s">
        <v>783</v>
      </c>
      <c r="G123" s="8" t="str">
        <f t="shared" si="1"/>
        <v>HOLCOMB KAMDEN</v>
      </c>
    </row>
    <row r="124" spans="1:7" x14ac:dyDescent="0.25">
      <c r="A124" s="8">
        <v>42945.605624999997</v>
      </c>
      <c r="B124" s="20" t="s">
        <v>415</v>
      </c>
      <c r="C124" s="20" t="s">
        <v>650</v>
      </c>
      <c r="D124" s="138">
        <v>2350000</v>
      </c>
      <c r="E124" s="20" t="s">
        <v>749</v>
      </c>
      <c r="F124" s="20" t="s">
        <v>750</v>
      </c>
      <c r="G124" s="8" t="str">
        <f t="shared" si="1"/>
        <v>BERLING GARY</v>
      </c>
    </row>
    <row r="125" spans="1:7" x14ac:dyDescent="0.25">
      <c r="A125" s="8">
        <v>42945.610358796293</v>
      </c>
      <c r="B125" s="20" t="s">
        <v>639</v>
      </c>
      <c r="C125" s="20" t="s">
        <v>798</v>
      </c>
      <c r="D125" s="138">
        <v>2540000</v>
      </c>
      <c r="E125" s="20" t="s">
        <v>794</v>
      </c>
      <c r="F125" s="20" t="s">
        <v>795</v>
      </c>
      <c r="G125" s="8" t="str">
        <f t="shared" si="1"/>
        <v>MCREYNOLDS KYLE</v>
      </c>
    </row>
    <row r="126" spans="1:7" x14ac:dyDescent="0.25">
      <c r="A126" s="8">
        <v>42945.611539351848</v>
      </c>
      <c r="B126" s="20" t="s">
        <v>456</v>
      </c>
      <c r="C126" s="20" t="s">
        <v>799</v>
      </c>
      <c r="D126" s="138">
        <v>2630000</v>
      </c>
      <c r="E126" s="20" t="s">
        <v>760</v>
      </c>
      <c r="F126" s="20" t="s">
        <v>761</v>
      </c>
      <c r="G126" s="8" t="str">
        <f t="shared" si="1"/>
        <v>SAFIEF AEIMEN</v>
      </c>
    </row>
    <row r="127" spans="1:7" x14ac:dyDescent="0.25">
      <c r="A127" s="8">
        <v>42945.614201388889</v>
      </c>
      <c r="B127" s="20" t="s">
        <v>484</v>
      </c>
      <c r="C127" s="20" t="s">
        <v>800</v>
      </c>
      <c r="D127" s="138">
        <v>2370000</v>
      </c>
      <c r="E127" s="20" t="s">
        <v>775</v>
      </c>
      <c r="F127" s="20" t="s">
        <v>776</v>
      </c>
      <c r="G127" s="8" t="str">
        <f t="shared" si="1"/>
        <v>DELGADO DIANAH</v>
      </c>
    </row>
    <row r="128" spans="1:7" x14ac:dyDescent="0.25">
      <c r="A128" s="8">
        <v>42945.623784722222</v>
      </c>
      <c r="B128" s="20" t="s">
        <v>462</v>
      </c>
      <c r="C128" s="20" t="s">
        <v>651</v>
      </c>
      <c r="D128" s="138">
        <v>3120000</v>
      </c>
      <c r="E128" s="20" t="s">
        <v>763</v>
      </c>
      <c r="F128" s="20" t="s">
        <v>764</v>
      </c>
      <c r="G128" s="8" t="str">
        <f t="shared" si="1"/>
        <v>THOMPSON LESTER</v>
      </c>
    </row>
    <row r="129" spans="1:7" x14ac:dyDescent="0.25">
      <c r="A129" s="8">
        <v>42945.630104166667</v>
      </c>
      <c r="B129" s="20" t="s">
        <v>409</v>
      </c>
      <c r="C129" s="20" t="s">
        <v>801</v>
      </c>
      <c r="D129" s="138">
        <v>880000</v>
      </c>
      <c r="E129" s="20" t="s">
        <v>503</v>
      </c>
      <c r="F129" s="20" t="s">
        <v>192</v>
      </c>
      <c r="G129" s="8" t="str">
        <f t="shared" si="1"/>
        <v>STEWART MICHAEL</v>
      </c>
    </row>
    <row r="130" spans="1:7" x14ac:dyDescent="0.25">
      <c r="A130" s="8">
        <v>42945.633171296293</v>
      </c>
      <c r="B130" s="20" t="s">
        <v>692</v>
      </c>
      <c r="C130" s="20" t="s">
        <v>802</v>
      </c>
      <c r="D130" s="138">
        <v>2680000</v>
      </c>
      <c r="E130" s="20" t="s">
        <v>769</v>
      </c>
      <c r="F130" s="20" t="s">
        <v>770</v>
      </c>
      <c r="G130" s="8" t="str">
        <f t="shared" si="1"/>
        <v>DUNCAN SHEILA</v>
      </c>
    </row>
    <row r="131" spans="1:7" x14ac:dyDescent="0.25">
      <c r="A131" s="8">
        <v>42945.636863425927</v>
      </c>
      <c r="B131" s="20" t="s">
        <v>702</v>
      </c>
      <c r="C131" s="20" t="s">
        <v>803</v>
      </c>
      <c r="D131" s="138">
        <v>2540000</v>
      </c>
      <c r="E131" s="20" t="s">
        <v>794</v>
      </c>
      <c r="F131" s="20" t="s">
        <v>795</v>
      </c>
      <c r="G131" s="8" t="str">
        <f t="shared" ref="G131:G194" si="2">E131&amp;" "&amp;F131</f>
        <v>MCREYNOLDS KYLE</v>
      </c>
    </row>
    <row r="132" spans="1:7" x14ac:dyDescent="0.25">
      <c r="A132" s="8">
        <v>42945.639444444445</v>
      </c>
      <c r="B132" s="20" t="s">
        <v>637</v>
      </c>
      <c r="C132" s="20" t="s">
        <v>652</v>
      </c>
      <c r="D132" s="138">
        <v>2420000</v>
      </c>
      <c r="E132" s="20" t="s">
        <v>782</v>
      </c>
      <c r="F132" s="20" t="s">
        <v>783</v>
      </c>
      <c r="G132" s="8" t="str">
        <f t="shared" si="2"/>
        <v>HOLCOMB KAMDEN</v>
      </c>
    </row>
    <row r="133" spans="1:7" x14ac:dyDescent="0.25">
      <c r="A133" s="8">
        <v>42945.644814814812</v>
      </c>
      <c r="B133" s="20" t="s">
        <v>350</v>
      </c>
      <c r="C133" s="20" t="s">
        <v>804</v>
      </c>
      <c r="D133" s="138">
        <v>2350000</v>
      </c>
      <c r="E133" s="20" t="s">
        <v>749</v>
      </c>
      <c r="F133" s="20" t="s">
        <v>750</v>
      </c>
      <c r="G133" s="8" t="str">
        <f t="shared" si="2"/>
        <v>BERLING GARY</v>
      </c>
    </row>
    <row r="134" spans="1:7" x14ac:dyDescent="0.25">
      <c r="A134" s="8">
        <v>42945.644837962966</v>
      </c>
      <c r="B134" s="20" t="s">
        <v>473</v>
      </c>
      <c r="C134" s="20" t="s">
        <v>805</v>
      </c>
      <c r="D134" s="138">
        <v>2630000</v>
      </c>
      <c r="E134" s="20" t="s">
        <v>760</v>
      </c>
      <c r="F134" s="20" t="s">
        <v>761</v>
      </c>
      <c r="G134" s="8" t="str">
        <f t="shared" si="2"/>
        <v>SAFIEF AEIMEN</v>
      </c>
    </row>
    <row r="135" spans="1:7" x14ac:dyDescent="0.25">
      <c r="A135" s="8">
        <v>42945.651817129627</v>
      </c>
      <c r="B135" s="20" t="s">
        <v>639</v>
      </c>
      <c r="C135" s="20" t="s">
        <v>806</v>
      </c>
      <c r="D135" s="138">
        <v>2540000</v>
      </c>
      <c r="E135" s="20" t="s">
        <v>794</v>
      </c>
      <c r="F135" s="20" t="s">
        <v>795</v>
      </c>
      <c r="G135" s="8" t="str">
        <f t="shared" si="2"/>
        <v>MCREYNOLDS KYLE</v>
      </c>
    </row>
    <row r="136" spans="1:7" x14ac:dyDescent="0.25">
      <c r="A136" s="8">
        <v>42945.652916666666</v>
      </c>
      <c r="B136" s="20" t="s">
        <v>487</v>
      </c>
      <c r="C136" s="20" t="s">
        <v>807</v>
      </c>
      <c r="D136" s="138">
        <v>2370000</v>
      </c>
      <c r="E136" s="20" t="s">
        <v>775</v>
      </c>
      <c r="F136" s="20" t="s">
        <v>776</v>
      </c>
      <c r="G136" s="8" t="str">
        <f t="shared" si="2"/>
        <v>DELGADO DIANAH</v>
      </c>
    </row>
    <row r="137" spans="1:7" x14ac:dyDescent="0.25">
      <c r="A137" s="8">
        <v>42945.663356481484</v>
      </c>
      <c r="B137" s="20" t="s">
        <v>463</v>
      </c>
      <c r="C137" s="20" t="s">
        <v>808</v>
      </c>
      <c r="D137" s="138">
        <v>3120000</v>
      </c>
      <c r="E137" s="20" t="s">
        <v>763</v>
      </c>
      <c r="F137" s="20" t="s">
        <v>764</v>
      </c>
      <c r="G137" s="8" t="str">
        <f t="shared" si="2"/>
        <v>THOMPSON LESTER</v>
      </c>
    </row>
    <row r="138" spans="1:7" x14ac:dyDescent="0.25">
      <c r="A138" s="8">
        <v>42945.664953703701</v>
      </c>
      <c r="B138" s="20" t="s">
        <v>378</v>
      </c>
      <c r="C138" s="20" t="s">
        <v>809</v>
      </c>
      <c r="D138" s="138">
        <v>880000</v>
      </c>
      <c r="E138" s="20" t="s">
        <v>503</v>
      </c>
      <c r="F138" s="20" t="s">
        <v>192</v>
      </c>
      <c r="G138" s="8" t="str">
        <f t="shared" si="2"/>
        <v>STEWART MICHAEL</v>
      </c>
    </row>
    <row r="139" spans="1:7" x14ac:dyDescent="0.25">
      <c r="A139" s="8">
        <v>42945.670868055553</v>
      </c>
      <c r="B139" s="20" t="s">
        <v>648</v>
      </c>
      <c r="C139" s="20" t="s">
        <v>810</v>
      </c>
      <c r="D139" s="138">
        <v>2680000</v>
      </c>
      <c r="E139" s="20" t="s">
        <v>769</v>
      </c>
      <c r="F139" s="20" t="s">
        <v>770</v>
      </c>
      <c r="G139" s="8" t="str">
        <f t="shared" si="2"/>
        <v>DUNCAN SHEILA</v>
      </c>
    </row>
    <row r="140" spans="1:7" x14ac:dyDescent="0.25">
      <c r="A140" s="8">
        <v>42945.675034722219</v>
      </c>
      <c r="B140" s="20" t="s">
        <v>706</v>
      </c>
      <c r="C140" s="20" t="s">
        <v>811</v>
      </c>
      <c r="D140" s="138">
        <v>2420000</v>
      </c>
      <c r="E140" s="20" t="s">
        <v>782</v>
      </c>
      <c r="F140" s="20" t="s">
        <v>783</v>
      </c>
      <c r="G140" s="8" t="str">
        <f t="shared" si="2"/>
        <v>HOLCOMB KAMDEN</v>
      </c>
    </row>
    <row r="141" spans="1:7" x14ac:dyDescent="0.25">
      <c r="A141" s="8">
        <v>42945.678437499999</v>
      </c>
      <c r="B141" s="20" t="s">
        <v>702</v>
      </c>
      <c r="C141" s="20" t="s">
        <v>812</v>
      </c>
      <c r="D141" s="138">
        <v>2540000</v>
      </c>
      <c r="E141" s="20" t="s">
        <v>794</v>
      </c>
      <c r="F141" s="20" t="s">
        <v>795</v>
      </c>
      <c r="G141" s="8" t="str">
        <f t="shared" si="2"/>
        <v>MCREYNOLDS KYLE</v>
      </c>
    </row>
    <row r="142" spans="1:7" x14ac:dyDescent="0.25">
      <c r="A142" s="8">
        <v>42945.680138888885</v>
      </c>
      <c r="B142" s="20" t="s">
        <v>415</v>
      </c>
      <c r="C142" s="20" t="s">
        <v>813</v>
      </c>
      <c r="D142" s="138">
        <v>2350000</v>
      </c>
      <c r="E142" s="20" t="s">
        <v>749</v>
      </c>
      <c r="F142" s="20" t="s">
        <v>750</v>
      </c>
      <c r="G142" s="8" t="str">
        <f t="shared" si="2"/>
        <v>BERLING GARY</v>
      </c>
    </row>
    <row r="143" spans="1:7" x14ac:dyDescent="0.25">
      <c r="A143" s="8">
        <v>42945.684016203704</v>
      </c>
      <c r="B143" s="20" t="s">
        <v>456</v>
      </c>
      <c r="C143" s="20" t="s">
        <v>814</v>
      </c>
      <c r="D143" s="138">
        <v>2630000</v>
      </c>
      <c r="E143" s="20" t="s">
        <v>760</v>
      </c>
      <c r="F143" s="20" t="s">
        <v>761</v>
      </c>
      <c r="G143" s="8" t="str">
        <f t="shared" si="2"/>
        <v>SAFIEF AEIMEN</v>
      </c>
    </row>
    <row r="144" spans="1:7" x14ac:dyDescent="0.25">
      <c r="A144" s="8">
        <v>42945.690370370372</v>
      </c>
      <c r="B144" s="20" t="s">
        <v>484</v>
      </c>
      <c r="C144" s="20" t="s">
        <v>653</v>
      </c>
      <c r="D144" s="138">
        <v>2370000</v>
      </c>
      <c r="E144" s="20" t="s">
        <v>775</v>
      </c>
      <c r="F144" s="20" t="s">
        <v>776</v>
      </c>
      <c r="G144" s="8" t="str">
        <f t="shared" si="2"/>
        <v>DELGADO DIANAH</v>
      </c>
    </row>
    <row r="145" spans="1:7" x14ac:dyDescent="0.25">
      <c r="A145" s="8">
        <v>42945.692696759259</v>
      </c>
      <c r="B145" s="20" t="s">
        <v>639</v>
      </c>
      <c r="C145" s="20" t="s">
        <v>815</v>
      </c>
      <c r="D145" s="138">
        <v>2540000</v>
      </c>
      <c r="E145" s="20" t="s">
        <v>794</v>
      </c>
      <c r="F145" s="20" t="s">
        <v>795</v>
      </c>
      <c r="G145" s="8" t="str">
        <f t="shared" si="2"/>
        <v>MCREYNOLDS KYLE</v>
      </c>
    </row>
    <row r="146" spans="1:7" x14ac:dyDescent="0.25">
      <c r="A146" s="8">
        <v>42945.696296296293</v>
      </c>
      <c r="B146" s="20" t="s">
        <v>462</v>
      </c>
      <c r="C146" s="20" t="s">
        <v>654</v>
      </c>
      <c r="D146" s="138">
        <v>3120000</v>
      </c>
      <c r="E146" s="20" t="s">
        <v>763</v>
      </c>
      <c r="F146" s="20" t="s">
        <v>764</v>
      </c>
      <c r="G146" s="8" t="str">
        <f t="shared" si="2"/>
        <v>THOMPSON LESTER</v>
      </c>
    </row>
    <row r="147" spans="1:7" x14ac:dyDescent="0.25">
      <c r="A147" s="8">
        <v>42945.703645833331</v>
      </c>
      <c r="B147" s="20" t="s">
        <v>409</v>
      </c>
      <c r="C147" s="20" t="s">
        <v>816</v>
      </c>
      <c r="D147" s="138">
        <v>880000</v>
      </c>
      <c r="E147" s="20" t="s">
        <v>503</v>
      </c>
      <c r="F147" s="20" t="s">
        <v>192</v>
      </c>
      <c r="G147" s="8" t="str">
        <f t="shared" si="2"/>
        <v>STEWART MICHAEL</v>
      </c>
    </row>
    <row r="148" spans="1:7" x14ac:dyDescent="0.25">
      <c r="A148" s="8">
        <v>42945.704930555556</v>
      </c>
      <c r="B148" s="20" t="s">
        <v>692</v>
      </c>
      <c r="C148" s="20" t="s">
        <v>817</v>
      </c>
      <c r="D148" s="138">
        <v>2680000</v>
      </c>
      <c r="E148" s="20" t="s">
        <v>769</v>
      </c>
      <c r="F148" s="20" t="s">
        <v>770</v>
      </c>
      <c r="G148" s="8" t="str">
        <f t="shared" si="2"/>
        <v>DUNCAN SHEILA</v>
      </c>
    </row>
    <row r="149" spans="1:7" x14ac:dyDescent="0.25">
      <c r="A149" s="8">
        <v>42945.711388888885</v>
      </c>
      <c r="B149" s="20" t="s">
        <v>637</v>
      </c>
      <c r="C149" s="20" t="s">
        <v>818</v>
      </c>
      <c r="D149" s="138">
        <v>2420000</v>
      </c>
      <c r="E149" s="20" t="s">
        <v>782</v>
      </c>
      <c r="F149" s="20" t="s">
        <v>783</v>
      </c>
      <c r="G149" s="8" t="str">
        <f t="shared" si="2"/>
        <v>HOLCOMB KAMDEN</v>
      </c>
    </row>
    <row r="150" spans="1:7" x14ac:dyDescent="0.25">
      <c r="A150" s="8">
        <v>42945.716539351852</v>
      </c>
      <c r="B150" s="20" t="s">
        <v>473</v>
      </c>
      <c r="C150" s="20" t="s">
        <v>819</v>
      </c>
      <c r="D150" s="138">
        <v>2630000</v>
      </c>
      <c r="E150" s="20" t="s">
        <v>760</v>
      </c>
      <c r="F150" s="20" t="s">
        <v>761</v>
      </c>
      <c r="G150" s="8" t="str">
        <f t="shared" si="2"/>
        <v>SAFIEF AEIMEN</v>
      </c>
    </row>
    <row r="151" spans="1:7" x14ac:dyDescent="0.25">
      <c r="A151" s="8">
        <v>42945.716967592591</v>
      </c>
      <c r="B151" s="20" t="s">
        <v>350</v>
      </c>
      <c r="C151" s="20" t="s">
        <v>820</v>
      </c>
      <c r="D151" s="138">
        <v>2350000</v>
      </c>
      <c r="E151" s="20" t="s">
        <v>749</v>
      </c>
      <c r="F151" s="20" t="s">
        <v>750</v>
      </c>
      <c r="G151" s="8" t="str">
        <f t="shared" si="2"/>
        <v>BERLING GARY</v>
      </c>
    </row>
    <row r="152" spans="1:7" x14ac:dyDescent="0.25">
      <c r="A152" s="8">
        <v>42945.719236111108</v>
      </c>
      <c r="B152" s="20" t="s">
        <v>702</v>
      </c>
      <c r="C152" s="20" t="s">
        <v>821</v>
      </c>
      <c r="D152" s="138">
        <v>2540000</v>
      </c>
      <c r="E152" s="20" t="s">
        <v>794</v>
      </c>
      <c r="F152" s="20" t="s">
        <v>795</v>
      </c>
      <c r="G152" s="8" t="str">
        <f t="shared" si="2"/>
        <v>MCREYNOLDS KYLE</v>
      </c>
    </row>
    <row r="153" spans="1:7" x14ac:dyDescent="0.25">
      <c r="A153" s="8">
        <v>42945.720833333333</v>
      </c>
      <c r="B153" s="20" t="s">
        <v>541</v>
      </c>
      <c r="C153" s="20" t="s">
        <v>822</v>
      </c>
      <c r="D153" s="138">
        <v>2550000</v>
      </c>
      <c r="E153" s="20" t="s">
        <v>477</v>
      </c>
      <c r="F153" s="20" t="s">
        <v>478</v>
      </c>
      <c r="G153" s="8" t="str">
        <f t="shared" si="2"/>
        <v>BADERTSCHER DIANE</v>
      </c>
    </row>
    <row r="154" spans="1:7" x14ac:dyDescent="0.25">
      <c r="A154" s="8">
        <v>42945.727129629631</v>
      </c>
      <c r="B154" s="20" t="s">
        <v>487</v>
      </c>
      <c r="C154" s="20" t="s">
        <v>823</v>
      </c>
      <c r="D154" s="138">
        <v>2370000</v>
      </c>
      <c r="E154" s="20" t="s">
        <v>775</v>
      </c>
      <c r="F154" s="20" t="s">
        <v>776</v>
      </c>
      <c r="G154" s="8" t="str">
        <f t="shared" si="2"/>
        <v>DELGADO DIANAH</v>
      </c>
    </row>
    <row r="155" spans="1:7" x14ac:dyDescent="0.25">
      <c r="A155" s="8">
        <v>42945.729826388888</v>
      </c>
      <c r="B155" s="20" t="s">
        <v>335</v>
      </c>
      <c r="C155" s="20" t="s">
        <v>824</v>
      </c>
      <c r="D155" s="138">
        <v>2450000</v>
      </c>
      <c r="E155" s="20" t="s">
        <v>554</v>
      </c>
      <c r="F155" s="20" t="s">
        <v>555</v>
      </c>
      <c r="G155" s="8" t="str">
        <f t="shared" si="2"/>
        <v>NELSON ARIANE</v>
      </c>
    </row>
    <row r="156" spans="1:7" x14ac:dyDescent="0.25">
      <c r="A156" s="8">
        <v>42945.734895833331</v>
      </c>
      <c r="B156" s="20" t="s">
        <v>639</v>
      </c>
      <c r="C156" s="20" t="s">
        <v>821</v>
      </c>
      <c r="D156" s="138">
        <v>2540000</v>
      </c>
      <c r="E156" s="20" t="s">
        <v>794</v>
      </c>
      <c r="F156" s="20" t="s">
        <v>795</v>
      </c>
      <c r="G156" s="8" t="str">
        <f t="shared" si="2"/>
        <v>MCREYNOLDS KYLE</v>
      </c>
    </row>
    <row r="157" spans="1:7" x14ac:dyDescent="0.25">
      <c r="A157" s="8">
        <v>42945.735636574071</v>
      </c>
      <c r="B157" s="20" t="s">
        <v>639</v>
      </c>
      <c r="C157" s="20" t="s">
        <v>825</v>
      </c>
      <c r="D157" s="138">
        <v>2540000</v>
      </c>
      <c r="E157" s="20" t="s">
        <v>794</v>
      </c>
      <c r="F157" s="20" t="s">
        <v>795</v>
      </c>
      <c r="G157" s="8" t="str">
        <f t="shared" si="2"/>
        <v>MCREYNOLDS KYLE</v>
      </c>
    </row>
    <row r="158" spans="1:7" x14ac:dyDescent="0.25">
      <c r="A158" s="8">
        <v>42945.73609953704</v>
      </c>
      <c r="B158" s="20" t="s">
        <v>463</v>
      </c>
      <c r="C158" s="20" t="s">
        <v>655</v>
      </c>
      <c r="D158" s="138">
        <v>3120000</v>
      </c>
      <c r="E158" s="20" t="s">
        <v>763</v>
      </c>
      <c r="F158" s="20" t="s">
        <v>764</v>
      </c>
      <c r="G158" s="8" t="str">
        <f t="shared" si="2"/>
        <v>THOMPSON LESTER</v>
      </c>
    </row>
    <row r="159" spans="1:7" x14ac:dyDescent="0.25">
      <c r="A159" s="8">
        <v>42945.73847222222</v>
      </c>
      <c r="B159" s="20" t="s">
        <v>378</v>
      </c>
      <c r="C159" s="20" t="s">
        <v>826</v>
      </c>
      <c r="D159" s="138">
        <v>2730000</v>
      </c>
      <c r="E159" s="20" t="s">
        <v>501</v>
      </c>
      <c r="F159" s="20" t="s">
        <v>502</v>
      </c>
      <c r="G159" s="8" t="str">
        <f t="shared" si="2"/>
        <v>YANG JAN</v>
      </c>
    </row>
    <row r="160" spans="1:7" x14ac:dyDescent="0.25">
      <c r="A160" s="8">
        <v>42945.743611111109</v>
      </c>
      <c r="B160" s="20" t="s">
        <v>648</v>
      </c>
      <c r="C160" s="20" t="s">
        <v>827</v>
      </c>
      <c r="D160" s="138">
        <v>2680000</v>
      </c>
      <c r="E160" s="20" t="s">
        <v>769</v>
      </c>
      <c r="F160" s="20" t="s">
        <v>770</v>
      </c>
      <c r="G160" s="8" t="str">
        <f t="shared" si="2"/>
        <v>DUNCAN SHEILA</v>
      </c>
    </row>
    <row r="161" spans="1:7" x14ac:dyDescent="0.25">
      <c r="A161" s="8">
        <v>42945.747418981482</v>
      </c>
      <c r="B161" s="20" t="s">
        <v>706</v>
      </c>
      <c r="C161" s="20" t="s">
        <v>828</v>
      </c>
      <c r="D161" s="138">
        <v>2420000</v>
      </c>
      <c r="E161" s="20" t="s">
        <v>782</v>
      </c>
      <c r="F161" s="20" t="s">
        <v>783</v>
      </c>
      <c r="G161" s="8" t="str">
        <f t="shared" si="2"/>
        <v>HOLCOMB KAMDEN</v>
      </c>
    </row>
    <row r="162" spans="1:7" x14ac:dyDescent="0.25">
      <c r="A162" s="8">
        <v>42945.747476851851</v>
      </c>
      <c r="B162" s="20" t="s">
        <v>415</v>
      </c>
      <c r="C162" s="20" t="s">
        <v>829</v>
      </c>
      <c r="D162" s="138">
        <v>2350000</v>
      </c>
      <c r="E162" s="20" t="s">
        <v>749</v>
      </c>
      <c r="F162" s="20" t="s">
        <v>750</v>
      </c>
      <c r="G162" s="8" t="str">
        <f t="shared" si="2"/>
        <v>BERLING GARY</v>
      </c>
    </row>
    <row r="163" spans="1:7" x14ac:dyDescent="0.25">
      <c r="A163" s="8">
        <v>42945.747581018521</v>
      </c>
      <c r="B163" s="20" t="s">
        <v>548</v>
      </c>
      <c r="C163" s="20" t="s">
        <v>830</v>
      </c>
      <c r="D163" s="138">
        <v>3220000</v>
      </c>
      <c r="E163" s="20" t="s">
        <v>577</v>
      </c>
      <c r="F163" s="20" t="s">
        <v>578</v>
      </c>
      <c r="G163" s="8" t="str">
        <f t="shared" si="2"/>
        <v>RESPASS AARON</v>
      </c>
    </row>
    <row r="164" spans="1:7" x14ac:dyDescent="0.25">
      <c r="A164" s="8">
        <v>42945.757430555554</v>
      </c>
      <c r="B164" s="20" t="s">
        <v>456</v>
      </c>
      <c r="C164" s="20" t="s">
        <v>831</v>
      </c>
      <c r="D164" s="138">
        <v>2620000</v>
      </c>
      <c r="E164" s="20" t="s">
        <v>664</v>
      </c>
      <c r="F164" s="20" t="s">
        <v>665</v>
      </c>
      <c r="G164" s="8" t="str">
        <f t="shared" si="2"/>
        <v>PERKINS DARREN</v>
      </c>
    </row>
    <row r="165" spans="1:7" x14ac:dyDescent="0.25">
      <c r="A165" s="8">
        <v>42945.760844907411</v>
      </c>
      <c r="B165" s="20" t="s">
        <v>702</v>
      </c>
      <c r="C165" s="20" t="s">
        <v>832</v>
      </c>
      <c r="D165" s="138">
        <v>2540000</v>
      </c>
      <c r="E165" s="20" t="s">
        <v>794</v>
      </c>
      <c r="F165" s="20" t="s">
        <v>795</v>
      </c>
      <c r="G165" s="8" t="str">
        <f t="shared" si="2"/>
        <v>MCREYNOLDS KYLE</v>
      </c>
    </row>
    <row r="166" spans="1:7" x14ac:dyDescent="0.25">
      <c r="A166" s="8">
        <v>42945.765046296299</v>
      </c>
      <c r="B166" s="20" t="s">
        <v>484</v>
      </c>
      <c r="C166" s="20" t="s">
        <v>656</v>
      </c>
      <c r="D166" s="138">
        <v>2370000</v>
      </c>
      <c r="E166" s="20" t="s">
        <v>775</v>
      </c>
      <c r="F166" s="20" t="s">
        <v>776</v>
      </c>
      <c r="G166" s="8" t="str">
        <f t="shared" si="2"/>
        <v>DELGADO DIANAH</v>
      </c>
    </row>
    <row r="167" spans="1:7" x14ac:dyDescent="0.25">
      <c r="A167" s="8">
        <v>42945.768877314818</v>
      </c>
      <c r="B167" s="20" t="s">
        <v>462</v>
      </c>
      <c r="C167" s="20" t="s">
        <v>833</v>
      </c>
      <c r="D167" s="138">
        <v>3000000</v>
      </c>
      <c r="E167" s="20" t="s">
        <v>383</v>
      </c>
      <c r="F167" s="20" t="s">
        <v>384</v>
      </c>
      <c r="G167" s="8" t="str">
        <f t="shared" si="2"/>
        <v>FORTUNATO FRANK</v>
      </c>
    </row>
    <row r="168" spans="1:7" x14ac:dyDescent="0.25">
      <c r="A168" s="8">
        <v>42945.776041666664</v>
      </c>
      <c r="B168" s="20" t="s">
        <v>409</v>
      </c>
      <c r="C168" s="20" t="s">
        <v>834</v>
      </c>
      <c r="D168" s="138">
        <v>2730000</v>
      </c>
      <c r="E168" s="20" t="s">
        <v>501</v>
      </c>
      <c r="F168" s="20" t="s">
        <v>502</v>
      </c>
      <c r="G168" s="8" t="str">
        <f t="shared" si="2"/>
        <v>YANG JAN</v>
      </c>
    </row>
    <row r="169" spans="1:7" x14ac:dyDescent="0.25">
      <c r="A169" s="8">
        <v>42945.776736111111</v>
      </c>
      <c r="B169" s="20" t="s">
        <v>639</v>
      </c>
      <c r="C169" s="20" t="s">
        <v>835</v>
      </c>
      <c r="D169" s="138">
        <v>2540000</v>
      </c>
      <c r="E169" s="20" t="s">
        <v>794</v>
      </c>
      <c r="F169" s="20" t="s">
        <v>795</v>
      </c>
      <c r="G169" s="8" t="str">
        <f t="shared" si="2"/>
        <v>MCREYNOLDS KYLE</v>
      </c>
    </row>
    <row r="170" spans="1:7" x14ac:dyDescent="0.25">
      <c r="A170" s="8">
        <v>42945.778020833335</v>
      </c>
      <c r="B170" s="20" t="s">
        <v>692</v>
      </c>
      <c r="C170" s="20" t="s">
        <v>836</v>
      </c>
      <c r="D170" s="138">
        <v>2680000</v>
      </c>
      <c r="E170" s="20" t="s">
        <v>769</v>
      </c>
      <c r="F170" s="20" t="s">
        <v>770</v>
      </c>
      <c r="G170" s="8" t="str">
        <f t="shared" si="2"/>
        <v>DUNCAN SHEILA</v>
      </c>
    </row>
    <row r="171" spans="1:7" x14ac:dyDescent="0.25">
      <c r="A171" s="8">
        <v>42945.786643518521</v>
      </c>
      <c r="B171" s="20" t="s">
        <v>637</v>
      </c>
      <c r="C171" s="20" t="s">
        <v>837</v>
      </c>
      <c r="D171" s="138">
        <v>2420000</v>
      </c>
      <c r="E171" s="20" t="s">
        <v>782</v>
      </c>
      <c r="F171" s="20" t="s">
        <v>783</v>
      </c>
      <c r="G171" s="8" t="str">
        <f t="shared" si="2"/>
        <v>HOLCOMB KAMDEN</v>
      </c>
    </row>
    <row r="172" spans="1:7" x14ac:dyDescent="0.25">
      <c r="A172" s="8">
        <v>42945.789525462962</v>
      </c>
      <c r="B172" s="20" t="s">
        <v>350</v>
      </c>
      <c r="C172" s="20" t="s">
        <v>838</v>
      </c>
      <c r="D172" s="138">
        <v>3090000</v>
      </c>
      <c r="E172" s="20" t="s">
        <v>364</v>
      </c>
      <c r="F172" s="20" t="s">
        <v>365</v>
      </c>
      <c r="G172" s="8" t="str">
        <f t="shared" si="2"/>
        <v>LAMAR NEKESHA</v>
      </c>
    </row>
    <row r="173" spans="1:7" x14ac:dyDescent="0.25">
      <c r="A173" s="8">
        <v>42945.790196759262</v>
      </c>
      <c r="B173" s="20" t="s">
        <v>702</v>
      </c>
      <c r="C173" s="20" t="s">
        <v>839</v>
      </c>
      <c r="D173" s="138">
        <v>2540000</v>
      </c>
      <c r="E173" s="20" t="s">
        <v>794</v>
      </c>
      <c r="F173" s="20" t="s">
        <v>795</v>
      </c>
      <c r="G173" s="8" t="str">
        <f t="shared" si="2"/>
        <v>MCREYNOLDS KYLE</v>
      </c>
    </row>
    <row r="174" spans="1:7" x14ac:dyDescent="0.25">
      <c r="A174" s="8">
        <v>42945.797997685186</v>
      </c>
      <c r="B174" s="20" t="s">
        <v>473</v>
      </c>
      <c r="C174" s="20" t="s">
        <v>840</v>
      </c>
      <c r="D174" s="138">
        <v>2620000</v>
      </c>
      <c r="E174" s="20" t="s">
        <v>664</v>
      </c>
      <c r="F174" s="20" t="s">
        <v>665</v>
      </c>
      <c r="G174" s="8" t="str">
        <f t="shared" si="2"/>
        <v>PERKINS DARREN</v>
      </c>
    </row>
    <row r="175" spans="1:7" x14ac:dyDescent="0.25">
      <c r="A175" s="8">
        <v>42945.799942129626</v>
      </c>
      <c r="B175" s="20" t="s">
        <v>487</v>
      </c>
      <c r="C175" s="20" t="s">
        <v>841</v>
      </c>
      <c r="D175" s="138">
        <v>2370000</v>
      </c>
      <c r="E175" s="20" t="s">
        <v>775</v>
      </c>
      <c r="F175" s="20" t="s">
        <v>776</v>
      </c>
      <c r="G175" s="8" t="str">
        <f t="shared" si="2"/>
        <v>DELGADO DIANAH</v>
      </c>
    </row>
    <row r="176" spans="1:7" x14ac:dyDescent="0.25">
      <c r="A176" s="8">
        <v>42945.802395833336</v>
      </c>
      <c r="B176" s="20" t="s">
        <v>463</v>
      </c>
      <c r="C176" s="20" t="s">
        <v>842</v>
      </c>
      <c r="D176" s="138">
        <v>3000000</v>
      </c>
      <c r="E176" s="20" t="s">
        <v>383</v>
      </c>
      <c r="F176" s="20" t="s">
        <v>384</v>
      </c>
      <c r="G176" s="8" t="str">
        <f t="shared" si="2"/>
        <v>FORTUNATO FRANK</v>
      </c>
    </row>
    <row r="177" spans="1:7" x14ac:dyDescent="0.25">
      <c r="A177" s="8">
        <v>42945.809305555558</v>
      </c>
      <c r="B177" s="20" t="s">
        <v>378</v>
      </c>
      <c r="C177" s="20" t="s">
        <v>843</v>
      </c>
      <c r="D177" s="138">
        <v>2730000</v>
      </c>
      <c r="E177" s="20" t="s">
        <v>501</v>
      </c>
      <c r="F177" s="20" t="s">
        <v>502</v>
      </c>
      <c r="G177" s="8" t="str">
        <f t="shared" si="2"/>
        <v>YANG JAN</v>
      </c>
    </row>
    <row r="178" spans="1:7" x14ac:dyDescent="0.25">
      <c r="A178" s="8">
        <v>42945.817777777775</v>
      </c>
      <c r="B178" s="20" t="s">
        <v>639</v>
      </c>
      <c r="C178" s="20" t="s">
        <v>844</v>
      </c>
      <c r="D178" s="138">
        <v>2540000</v>
      </c>
      <c r="E178" s="20" t="s">
        <v>794</v>
      </c>
      <c r="F178" s="20" t="s">
        <v>795</v>
      </c>
      <c r="G178" s="8" t="str">
        <f t="shared" si="2"/>
        <v>MCREYNOLDS KYLE</v>
      </c>
    </row>
    <row r="179" spans="1:7" x14ac:dyDescent="0.25">
      <c r="A179" s="8">
        <v>42945.819293981483</v>
      </c>
      <c r="B179" s="20" t="s">
        <v>706</v>
      </c>
      <c r="C179" s="20" t="s">
        <v>845</v>
      </c>
      <c r="D179" s="138">
        <v>2420000</v>
      </c>
      <c r="E179" s="20" t="s">
        <v>782</v>
      </c>
      <c r="F179" s="20" t="s">
        <v>783</v>
      </c>
      <c r="G179" s="8" t="str">
        <f t="shared" si="2"/>
        <v>HOLCOMB KAMDEN</v>
      </c>
    </row>
    <row r="180" spans="1:7" x14ac:dyDescent="0.25">
      <c r="A180" s="8">
        <v>42945.823263888888</v>
      </c>
      <c r="B180" s="20" t="s">
        <v>415</v>
      </c>
      <c r="C180" s="20" t="s">
        <v>846</v>
      </c>
      <c r="D180" s="138">
        <v>3090000</v>
      </c>
      <c r="E180" s="20" t="s">
        <v>364</v>
      </c>
      <c r="F180" s="20" t="s">
        <v>365</v>
      </c>
      <c r="G180" s="8" t="str">
        <f t="shared" si="2"/>
        <v>LAMAR NEKESHA</v>
      </c>
    </row>
    <row r="181" spans="1:7" x14ac:dyDescent="0.25">
      <c r="A181" s="8">
        <v>42945.831030092595</v>
      </c>
      <c r="B181" s="20" t="s">
        <v>456</v>
      </c>
      <c r="C181" s="20" t="s">
        <v>657</v>
      </c>
      <c r="D181" s="138">
        <v>2620000</v>
      </c>
      <c r="E181" s="20" t="s">
        <v>664</v>
      </c>
      <c r="F181" s="20" t="s">
        <v>665</v>
      </c>
      <c r="G181" s="8" t="str">
        <f t="shared" si="2"/>
        <v>PERKINS DARREN</v>
      </c>
    </row>
    <row r="182" spans="1:7" x14ac:dyDescent="0.25">
      <c r="A182" s="8">
        <v>42945.832268518519</v>
      </c>
      <c r="B182" s="20" t="s">
        <v>702</v>
      </c>
      <c r="C182" s="20" t="s">
        <v>847</v>
      </c>
      <c r="D182" s="138">
        <v>2540000</v>
      </c>
      <c r="E182" s="20" t="s">
        <v>794</v>
      </c>
      <c r="F182" s="20" t="s">
        <v>795</v>
      </c>
      <c r="G182" s="8" t="str">
        <f t="shared" si="2"/>
        <v>MCREYNOLDS KYLE</v>
      </c>
    </row>
    <row r="183" spans="1:7" x14ac:dyDescent="0.25">
      <c r="A183" s="8">
        <v>42945.843587962961</v>
      </c>
      <c r="B183" s="20" t="s">
        <v>462</v>
      </c>
      <c r="C183" s="20" t="s">
        <v>848</v>
      </c>
      <c r="D183" s="138">
        <v>3000000</v>
      </c>
      <c r="E183" s="20" t="s">
        <v>383</v>
      </c>
      <c r="F183" s="20" t="s">
        <v>384</v>
      </c>
      <c r="G183" s="8" t="str">
        <f t="shared" si="2"/>
        <v>FORTUNATO FRANK</v>
      </c>
    </row>
    <row r="184" spans="1:7" x14ac:dyDescent="0.25">
      <c r="A184" s="8">
        <v>42945.849027777775</v>
      </c>
      <c r="B184" s="20" t="s">
        <v>409</v>
      </c>
      <c r="C184" s="20" t="s">
        <v>849</v>
      </c>
      <c r="D184" s="138">
        <v>2730000</v>
      </c>
      <c r="E184" s="20" t="s">
        <v>501</v>
      </c>
      <c r="F184" s="20" t="s">
        <v>502</v>
      </c>
      <c r="G184" s="8" t="str">
        <f t="shared" si="2"/>
        <v>YANG JAN</v>
      </c>
    </row>
    <row r="185" spans="1:7" x14ac:dyDescent="0.25">
      <c r="A185" s="8">
        <v>42945.859664351854</v>
      </c>
      <c r="B185" s="20" t="s">
        <v>639</v>
      </c>
      <c r="C185" s="20" t="s">
        <v>850</v>
      </c>
      <c r="D185" s="138">
        <v>2540000</v>
      </c>
      <c r="E185" s="20" t="s">
        <v>794</v>
      </c>
      <c r="F185" s="20" t="s">
        <v>795</v>
      </c>
      <c r="G185" s="8" t="str">
        <f t="shared" si="2"/>
        <v>MCREYNOLDS KYLE</v>
      </c>
    </row>
    <row r="186" spans="1:7" x14ac:dyDescent="0.25">
      <c r="A186" s="8">
        <v>42945.867997685185</v>
      </c>
      <c r="B186" s="20" t="s">
        <v>473</v>
      </c>
      <c r="C186" s="20" t="s">
        <v>658</v>
      </c>
      <c r="D186" s="138">
        <v>2620000</v>
      </c>
      <c r="E186" s="20" t="s">
        <v>664</v>
      </c>
      <c r="F186" s="20" t="s">
        <v>665</v>
      </c>
      <c r="G186" s="8" t="str">
        <f t="shared" si="2"/>
        <v>PERKINS DARREN</v>
      </c>
    </row>
    <row r="187" spans="1:7" x14ac:dyDescent="0.25">
      <c r="A187" s="8">
        <v>42945.869259259256</v>
      </c>
      <c r="B187" s="20" t="s">
        <v>473</v>
      </c>
      <c r="C187" s="20" t="s">
        <v>658</v>
      </c>
      <c r="D187" s="138">
        <v>2620000</v>
      </c>
      <c r="E187" s="20" t="s">
        <v>664</v>
      </c>
      <c r="F187" s="20" t="s">
        <v>665</v>
      </c>
      <c r="G187" s="8" t="str">
        <f t="shared" si="2"/>
        <v>PERKINS DARREN</v>
      </c>
    </row>
    <row r="188" spans="1:7" x14ac:dyDescent="0.25">
      <c r="A188" s="8">
        <v>42945.872893518521</v>
      </c>
      <c r="B188" s="20" t="s">
        <v>350</v>
      </c>
      <c r="C188" s="20" t="s">
        <v>851</v>
      </c>
      <c r="D188" s="138">
        <v>3090000</v>
      </c>
      <c r="E188" s="20" t="s">
        <v>364</v>
      </c>
      <c r="F188" s="20" t="s">
        <v>365</v>
      </c>
      <c r="G188" s="8" t="str">
        <f t="shared" si="2"/>
        <v>LAMAR NEKESHA</v>
      </c>
    </row>
    <row r="189" spans="1:7" x14ac:dyDescent="0.25">
      <c r="A189" s="8">
        <v>42945.883518518516</v>
      </c>
      <c r="B189" s="20" t="s">
        <v>463</v>
      </c>
      <c r="C189" s="20" t="s">
        <v>852</v>
      </c>
      <c r="D189" s="138">
        <v>3000000</v>
      </c>
      <c r="E189" s="20" t="s">
        <v>383</v>
      </c>
      <c r="F189" s="20" t="s">
        <v>384</v>
      </c>
      <c r="G189" s="8" t="str">
        <f t="shared" si="2"/>
        <v>FORTUNATO FRANK</v>
      </c>
    </row>
    <row r="190" spans="1:7" x14ac:dyDescent="0.25">
      <c r="A190" s="8">
        <v>42945.88690972222</v>
      </c>
      <c r="B190" s="20" t="s">
        <v>702</v>
      </c>
      <c r="C190" s="20" t="s">
        <v>853</v>
      </c>
      <c r="D190" s="138">
        <v>2540000</v>
      </c>
      <c r="E190" s="20" t="s">
        <v>794</v>
      </c>
      <c r="F190" s="20" t="s">
        <v>795</v>
      </c>
      <c r="G190" s="8" t="str">
        <f t="shared" si="2"/>
        <v>MCREYNOLDS KYLE</v>
      </c>
    </row>
    <row r="191" spans="1:7" x14ac:dyDescent="0.25">
      <c r="A191" s="8">
        <v>42945.889085648145</v>
      </c>
      <c r="B191" s="20" t="s">
        <v>378</v>
      </c>
      <c r="C191" s="20" t="s">
        <v>854</v>
      </c>
      <c r="D191" s="138">
        <v>2730000</v>
      </c>
      <c r="E191" s="20" t="s">
        <v>501</v>
      </c>
      <c r="F191" s="20" t="s">
        <v>502</v>
      </c>
      <c r="G191" s="8" t="str">
        <f t="shared" si="2"/>
        <v>YANG JAN</v>
      </c>
    </row>
    <row r="192" spans="1:7" x14ac:dyDescent="0.25">
      <c r="A192" s="8">
        <v>42945.901504629626</v>
      </c>
      <c r="B192" s="20" t="s">
        <v>639</v>
      </c>
      <c r="C192" s="20" t="s">
        <v>855</v>
      </c>
      <c r="D192" s="138">
        <v>2540000</v>
      </c>
      <c r="E192" s="20" t="s">
        <v>794</v>
      </c>
      <c r="F192" s="20" t="s">
        <v>795</v>
      </c>
      <c r="G192" s="8" t="str">
        <f t="shared" si="2"/>
        <v>MCREYNOLDS KYLE</v>
      </c>
    </row>
    <row r="193" spans="1:7" x14ac:dyDescent="0.25">
      <c r="A193" s="8">
        <v>42945.906481481485</v>
      </c>
      <c r="B193" s="20" t="s">
        <v>456</v>
      </c>
      <c r="C193" s="20" t="s">
        <v>856</v>
      </c>
      <c r="D193" s="138">
        <v>2620000</v>
      </c>
      <c r="E193" s="20" t="s">
        <v>664</v>
      </c>
      <c r="F193" s="20" t="s">
        <v>665</v>
      </c>
      <c r="G193" s="8" t="str">
        <f t="shared" si="2"/>
        <v>PERKINS DARREN</v>
      </c>
    </row>
    <row r="194" spans="1:7" x14ac:dyDescent="0.25">
      <c r="A194" s="8">
        <v>42945.910416666666</v>
      </c>
      <c r="B194" s="20" t="s">
        <v>415</v>
      </c>
      <c r="C194" s="20" t="s">
        <v>659</v>
      </c>
      <c r="D194" s="138">
        <v>3090000</v>
      </c>
      <c r="E194" s="20" t="s">
        <v>364</v>
      </c>
      <c r="F194" s="20" t="s">
        <v>365</v>
      </c>
      <c r="G194" s="8" t="str">
        <f t="shared" si="2"/>
        <v>LAMAR NEKESHA</v>
      </c>
    </row>
    <row r="195" spans="1:7" x14ac:dyDescent="0.25">
      <c r="A195" s="8">
        <v>42945.928148148145</v>
      </c>
      <c r="B195" s="20" t="s">
        <v>462</v>
      </c>
      <c r="C195" s="20" t="s">
        <v>857</v>
      </c>
      <c r="D195" s="138">
        <v>3000000</v>
      </c>
      <c r="E195" s="20" t="s">
        <v>383</v>
      </c>
      <c r="F195" s="20" t="s">
        <v>384</v>
      </c>
      <c r="G195" s="8" t="str">
        <f t="shared" ref="G195:G258" si="3">E195&amp;" "&amp;F195</f>
        <v>FORTUNATO FRANK</v>
      </c>
    </row>
    <row r="196" spans="1:7" x14ac:dyDescent="0.25">
      <c r="A196" s="8">
        <v>42945.928252314814</v>
      </c>
      <c r="B196" s="20" t="s">
        <v>702</v>
      </c>
      <c r="C196" s="20" t="s">
        <v>858</v>
      </c>
      <c r="D196" s="138">
        <v>2540000</v>
      </c>
      <c r="E196" s="20" t="s">
        <v>794</v>
      </c>
      <c r="F196" s="20" t="s">
        <v>795</v>
      </c>
      <c r="G196" s="8" t="str">
        <f t="shared" si="3"/>
        <v>MCREYNOLDS KYLE</v>
      </c>
    </row>
    <row r="197" spans="1:7" x14ac:dyDescent="0.25">
      <c r="A197" s="8">
        <v>42945.931284722225</v>
      </c>
      <c r="B197" s="20" t="s">
        <v>409</v>
      </c>
      <c r="C197" s="20" t="s">
        <v>859</v>
      </c>
      <c r="D197" s="138">
        <v>2730000</v>
      </c>
      <c r="E197" s="20" t="s">
        <v>501</v>
      </c>
      <c r="F197" s="20" t="s">
        <v>502</v>
      </c>
      <c r="G197" s="8" t="str">
        <f t="shared" si="3"/>
        <v>YANG JAN</v>
      </c>
    </row>
    <row r="198" spans="1:7" x14ac:dyDescent="0.25">
      <c r="A198" s="8">
        <v>42945.94427083333</v>
      </c>
      <c r="B198" s="20" t="s">
        <v>639</v>
      </c>
      <c r="C198" s="20" t="s">
        <v>860</v>
      </c>
      <c r="D198" s="138">
        <v>3220000</v>
      </c>
      <c r="E198" s="20" t="s">
        <v>577</v>
      </c>
      <c r="F198" s="20" t="s">
        <v>578</v>
      </c>
      <c r="G198" s="8" t="str">
        <f t="shared" si="3"/>
        <v>RESPASS AARON</v>
      </c>
    </row>
    <row r="199" spans="1:7" x14ac:dyDescent="0.25">
      <c r="A199" s="8">
        <v>42945.952106481483</v>
      </c>
      <c r="B199" s="20" t="s">
        <v>473</v>
      </c>
      <c r="C199" s="20" t="s">
        <v>660</v>
      </c>
      <c r="D199" s="138">
        <v>2620000</v>
      </c>
      <c r="E199" s="20" t="s">
        <v>664</v>
      </c>
      <c r="F199" s="20" t="s">
        <v>665</v>
      </c>
      <c r="G199" s="8" t="str">
        <f t="shared" si="3"/>
        <v>PERKINS DARREN</v>
      </c>
    </row>
    <row r="200" spans="1:7" x14ac:dyDescent="0.25">
      <c r="A200" s="8">
        <v>42945.955590277779</v>
      </c>
      <c r="B200" s="20" t="s">
        <v>350</v>
      </c>
      <c r="C200" s="20" t="s">
        <v>861</v>
      </c>
      <c r="D200" s="138">
        <v>3090000</v>
      </c>
      <c r="E200" s="20" t="s">
        <v>364</v>
      </c>
      <c r="F200" s="20" t="s">
        <v>365</v>
      </c>
      <c r="G200" s="8" t="str">
        <f t="shared" si="3"/>
        <v>LAMAR NEKESHA</v>
      </c>
    </row>
    <row r="201" spans="1:7" x14ac:dyDescent="0.25">
      <c r="A201" s="8">
        <v>42945.958275462966</v>
      </c>
      <c r="B201" s="20" t="s">
        <v>409</v>
      </c>
      <c r="C201" s="20" t="s">
        <v>859</v>
      </c>
      <c r="D201" s="138">
        <v>2730000</v>
      </c>
      <c r="E201" s="20" t="s">
        <v>501</v>
      </c>
      <c r="F201" s="20" t="s">
        <v>502</v>
      </c>
      <c r="G201" s="8" t="str">
        <f t="shared" si="3"/>
        <v>YANG JAN</v>
      </c>
    </row>
    <row r="202" spans="1:7" x14ac:dyDescent="0.25">
      <c r="A202" s="26">
        <v>42945.965127314812</v>
      </c>
      <c r="B202" s="20" t="s">
        <v>463</v>
      </c>
      <c r="C202" s="20" t="s">
        <v>862</v>
      </c>
      <c r="D202" s="138">
        <v>3000000</v>
      </c>
      <c r="E202" s="20" t="s">
        <v>383</v>
      </c>
      <c r="F202" s="20" t="s">
        <v>384</v>
      </c>
      <c r="G202" s="8" t="str">
        <f t="shared" si="3"/>
        <v>FORTUNATO FRANK</v>
      </c>
    </row>
    <row r="203" spans="1:7" x14ac:dyDescent="0.25">
      <c r="A203" s="8">
        <v>42945.970381944448</v>
      </c>
      <c r="B203" s="20" t="s">
        <v>378</v>
      </c>
      <c r="C203" s="20" t="s">
        <v>863</v>
      </c>
      <c r="D203" s="138">
        <v>2730000</v>
      </c>
      <c r="E203" s="20" t="s">
        <v>501</v>
      </c>
      <c r="F203" s="20" t="s">
        <v>502</v>
      </c>
      <c r="G203" s="8" t="str">
        <f t="shared" si="3"/>
        <v>YANG JAN</v>
      </c>
    </row>
    <row r="204" spans="1:7" x14ac:dyDescent="0.25">
      <c r="A204" s="8">
        <v>42945.982569444444</v>
      </c>
      <c r="B204" s="20" t="s">
        <v>702</v>
      </c>
      <c r="C204" s="20" t="s">
        <v>864</v>
      </c>
      <c r="D204" s="138">
        <v>3220000</v>
      </c>
      <c r="E204" s="20" t="s">
        <v>577</v>
      </c>
      <c r="F204" s="20" t="s">
        <v>578</v>
      </c>
      <c r="G204" s="8" t="str">
        <f t="shared" si="3"/>
        <v>RESPASS AARON</v>
      </c>
    </row>
    <row r="205" spans="1:7" x14ac:dyDescent="0.25">
      <c r="A205" s="8">
        <v>42945.98678240741</v>
      </c>
      <c r="B205" s="20" t="s">
        <v>456</v>
      </c>
      <c r="C205" s="20" t="s">
        <v>865</v>
      </c>
      <c r="D205" s="138">
        <v>2620000</v>
      </c>
      <c r="E205" s="20" t="s">
        <v>664</v>
      </c>
      <c r="F205" s="20" t="s">
        <v>665</v>
      </c>
      <c r="G205" s="8" t="str">
        <f t="shared" si="3"/>
        <v>PERKINS DARREN</v>
      </c>
    </row>
    <row r="206" spans="1:7" x14ac:dyDescent="0.25">
      <c r="A206" s="8">
        <v>42945.994895833333</v>
      </c>
      <c r="B206" s="20" t="s">
        <v>415</v>
      </c>
      <c r="C206" s="20" t="s">
        <v>866</v>
      </c>
      <c r="D206" s="138">
        <v>3090000</v>
      </c>
      <c r="E206" s="20" t="s">
        <v>364</v>
      </c>
      <c r="F206" s="20" t="s">
        <v>365</v>
      </c>
      <c r="G206" s="8" t="str">
        <f t="shared" si="3"/>
        <v>LAMAR NEKESHA</v>
      </c>
    </row>
    <row r="207" spans="1:7" x14ac:dyDescent="0.25">
      <c r="A207" s="8">
        <v>42946.016157407408</v>
      </c>
      <c r="B207" s="20" t="s">
        <v>462</v>
      </c>
      <c r="C207" s="20" t="s">
        <v>867</v>
      </c>
      <c r="D207" s="138">
        <v>3000000</v>
      </c>
      <c r="E207" s="20" t="s">
        <v>383</v>
      </c>
      <c r="F207" s="20" t="s">
        <v>384</v>
      </c>
      <c r="G207" s="8" t="str">
        <f t="shared" si="3"/>
        <v>FORTUNATO FRANK</v>
      </c>
    </row>
    <row r="208" spans="1:7" x14ac:dyDescent="0.25">
      <c r="A208" s="8">
        <v>42946.016192129631</v>
      </c>
      <c r="B208" s="20" t="s">
        <v>409</v>
      </c>
      <c r="C208" s="20" t="s">
        <v>868</v>
      </c>
      <c r="D208" s="138">
        <v>2730000</v>
      </c>
      <c r="E208" s="20" t="s">
        <v>501</v>
      </c>
      <c r="F208" s="20" t="s">
        <v>502</v>
      </c>
      <c r="G208" s="8" t="str">
        <f t="shared" si="3"/>
        <v>YANG JAN</v>
      </c>
    </row>
    <row r="209" spans="1:7" x14ac:dyDescent="0.25">
      <c r="A209" s="8">
        <v>42946.033622685187</v>
      </c>
      <c r="B209" s="20" t="s">
        <v>473</v>
      </c>
      <c r="C209" s="20" t="s">
        <v>661</v>
      </c>
      <c r="D209" s="138">
        <v>2620000</v>
      </c>
      <c r="E209" s="20" t="s">
        <v>664</v>
      </c>
      <c r="F209" s="20" t="s">
        <v>665</v>
      </c>
      <c r="G209" s="8" t="str">
        <f t="shared" si="3"/>
        <v>PERKINS DARREN</v>
      </c>
    </row>
    <row r="210" spans="1:7" x14ac:dyDescent="0.25">
      <c r="A210" s="8">
        <v>42946.037881944445</v>
      </c>
      <c r="B210" s="20" t="s">
        <v>350</v>
      </c>
      <c r="C210" s="20" t="s">
        <v>869</v>
      </c>
      <c r="D210" s="138">
        <v>3090000</v>
      </c>
      <c r="E210" s="20" t="s">
        <v>364</v>
      </c>
      <c r="F210" s="20" t="s">
        <v>365</v>
      </c>
      <c r="G210" s="8" t="str">
        <f t="shared" si="3"/>
        <v>LAMAR NEKESHA</v>
      </c>
    </row>
    <row r="211" spans="1:7" x14ac:dyDescent="0.25">
      <c r="A211" s="8">
        <v>42946.047824074078</v>
      </c>
      <c r="B211" s="20" t="s">
        <v>378</v>
      </c>
      <c r="C211" s="20" t="s">
        <v>870</v>
      </c>
      <c r="D211" s="138">
        <v>2730000</v>
      </c>
      <c r="E211" s="20" t="s">
        <v>501</v>
      </c>
      <c r="F211" s="20" t="s">
        <v>502</v>
      </c>
      <c r="G211" s="8" t="str">
        <f t="shared" si="3"/>
        <v>YANG JAN</v>
      </c>
    </row>
    <row r="212" spans="1:7" x14ac:dyDescent="0.25">
      <c r="A212" s="8">
        <v>42946.048541666663</v>
      </c>
      <c r="B212" s="20" t="s">
        <v>463</v>
      </c>
      <c r="C212" s="20" t="s">
        <v>871</v>
      </c>
      <c r="D212" s="138">
        <v>3000000</v>
      </c>
      <c r="E212" s="20" t="s">
        <v>383</v>
      </c>
      <c r="F212" s="20" t="s">
        <v>384</v>
      </c>
      <c r="G212" s="8" t="str">
        <f t="shared" si="3"/>
        <v>FORTUNATO FRANK</v>
      </c>
    </row>
    <row r="213" spans="1:7" x14ac:dyDescent="0.25">
      <c r="A213" s="8">
        <v>42946.067962962959</v>
      </c>
      <c r="B213" s="20" t="s">
        <v>456</v>
      </c>
      <c r="C213" s="20" t="s">
        <v>872</v>
      </c>
      <c r="D213" s="138">
        <v>2620000</v>
      </c>
      <c r="E213" s="20" t="s">
        <v>664</v>
      </c>
      <c r="F213" s="20" t="s">
        <v>665</v>
      </c>
      <c r="G213" s="8" t="str">
        <f t="shared" si="3"/>
        <v>PERKINS DARREN</v>
      </c>
    </row>
    <row r="214" spans="1:7" x14ac:dyDescent="0.25">
      <c r="A214" s="8">
        <v>42946.076678240737</v>
      </c>
      <c r="B214" s="20" t="s">
        <v>415</v>
      </c>
      <c r="C214" s="20" t="s">
        <v>873</v>
      </c>
      <c r="D214" s="138">
        <v>3090000</v>
      </c>
      <c r="E214" s="20" t="s">
        <v>364</v>
      </c>
      <c r="F214" s="20" t="s">
        <v>365</v>
      </c>
      <c r="G214" s="8" t="str">
        <f t="shared" si="3"/>
        <v>LAMAR NEKESHA</v>
      </c>
    </row>
    <row r="215" spans="1:7" x14ac:dyDescent="0.25">
      <c r="A215" s="8">
        <v>42946.089074074072</v>
      </c>
      <c r="B215" s="20" t="s">
        <v>462</v>
      </c>
      <c r="C215" s="20" t="s">
        <v>874</v>
      </c>
      <c r="D215" s="138">
        <v>3000000</v>
      </c>
      <c r="E215" s="20" t="s">
        <v>383</v>
      </c>
      <c r="F215" s="20" t="s">
        <v>384</v>
      </c>
      <c r="G215" s="8" t="str">
        <f t="shared" si="3"/>
        <v>FORTUNATO FRANK</v>
      </c>
    </row>
    <row r="216" spans="1:7" x14ac:dyDescent="0.25">
      <c r="A216" s="8">
        <v>42946.110219907408</v>
      </c>
      <c r="B216" s="20" t="s">
        <v>350</v>
      </c>
      <c r="C216" s="20" t="s">
        <v>875</v>
      </c>
      <c r="D216" s="138">
        <v>3090000</v>
      </c>
      <c r="E216" s="20" t="s">
        <v>364</v>
      </c>
      <c r="F216" s="20" t="s">
        <v>365</v>
      </c>
      <c r="G216" s="8" t="str">
        <f t="shared" si="3"/>
        <v>LAMAR NEKESHA</v>
      </c>
    </row>
    <row r="217" spans="1:7" x14ac:dyDescent="0.25">
      <c r="A217" s="8">
        <v>42942.776678240742</v>
      </c>
      <c r="B217" s="20" t="s">
        <v>537</v>
      </c>
      <c r="C217" s="20" t="s">
        <v>556</v>
      </c>
      <c r="D217" s="138">
        <v>1770000</v>
      </c>
      <c r="E217" s="20" t="s">
        <v>475</v>
      </c>
      <c r="F217" s="20" t="s">
        <v>476</v>
      </c>
      <c r="G217" s="8" t="str">
        <f t="shared" si="3"/>
        <v>BRUDER RICHARD</v>
      </c>
    </row>
    <row r="218" spans="1:7" x14ac:dyDescent="0.25">
      <c r="A218" s="8">
        <v>42942.777766203704</v>
      </c>
      <c r="B218" s="20" t="s">
        <v>389</v>
      </c>
      <c r="C218" s="20" t="s">
        <v>557</v>
      </c>
      <c r="D218" s="138">
        <v>3290000</v>
      </c>
      <c r="E218" s="20" t="s">
        <v>492</v>
      </c>
      <c r="F218" s="20" t="s">
        <v>455</v>
      </c>
      <c r="G218" s="8" t="str">
        <f t="shared" si="3"/>
        <v>CASSIDY BRANDON</v>
      </c>
    </row>
    <row r="219" spans="1:7" x14ac:dyDescent="0.25">
      <c r="A219" s="8">
        <v>42942.784479166665</v>
      </c>
      <c r="B219" s="20" t="s">
        <v>463</v>
      </c>
      <c r="C219" s="20" t="s">
        <v>558</v>
      </c>
      <c r="D219" s="138">
        <v>2440000</v>
      </c>
      <c r="E219" s="20" t="s">
        <v>552</v>
      </c>
      <c r="F219" s="20" t="s">
        <v>553</v>
      </c>
      <c r="G219" s="8" t="str">
        <f t="shared" si="3"/>
        <v>LOPES KIMBERLY</v>
      </c>
    </row>
    <row r="220" spans="1:7" x14ac:dyDescent="0.25">
      <c r="A220" s="8">
        <v>42942.786631944444</v>
      </c>
      <c r="B220" s="20" t="s">
        <v>388</v>
      </c>
      <c r="C220" s="20" t="s">
        <v>559</v>
      </c>
      <c r="D220" s="138">
        <v>3000000</v>
      </c>
      <c r="E220" s="20" t="s">
        <v>383</v>
      </c>
      <c r="F220" s="20" t="s">
        <v>384</v>
      </c>
      <c r="G220" s="8" t="str">
        <f t="shared" si="3"/>
        <v>FORTUNATO FRANK</v>
      </c>
    </row>
    <row r="221" spans="1:7" x14ac:dyDescent="0.25">
      <c r="A221" s="8">
        <v>42942.794930555552</v>
      </c>
      <c r="B221" s="20" t="s">
        <v>484</v>
      </c>
      <c r="C221" s="20" t="s">
        <v>560</v>
      </c>
      <c r="D221" s="138">
        <v>3260000</v>
      </c>
      <c r="E221" s="20" t="s">
        <v>504</v>
      </c>
      <c r="F221" s="20" t="s">
        <v>505</v>
      </c>
      <c r="G221" s="8" t="str">
        <f t="shared" si="3"/>
        <v>PAGE MARCUS</v>
      </c>
    </row>
    <row r="222" spans="1:7" x14ac:dyDescent="0.25">
      <c r="A222" s="8">
        <v>42942.796759259261</v>
      </c>
      <c r="B222" s="20" t="s">
        <v>390</v>
      </c>
      <c r="C222" s="20" t="s">
        <v>561</v>
      </c>
      <c r="D222" s="138">
        <v>3290000</v>
      </c>
      <c r="E222" s="20" t="s">
        <v>492</v>
      </c>
      <c r="F222" s="20" t="s">
        <v>455</v>
      </c>
      <c r="G222" s="8" t="str">
        <f t="shared" si="3"/>
        <v>CASSIDY BRANDON</v>
      </c>
    </row>
    <row r="223" spans="1:7" x14ac:dyDescent="0.25">
      <c r="A223" s="8">
        <v>42942.798530092594</v>
      </c>
      <c r="B223" s="20" t="s">
        <v>549</v>
      </c>
      <c r="C223" s="20" t="s">
        <v>562</v>
      </c>
      <c r="D223" s="138">
        <v>3280000</v>
      </c>
      <c r="E223" s="20" t="s">
        <v>444</v>
      </c>
      <c r="F223" s="20" t="s">
        <v>445</v>
      </c>
      <c r="G223" s="8" t="str">
        <f t="shared" si="3"/>
        <v>BIRKHOLZ NADINE</v>
      </c>
    </row>
    <row r="224" spans="1:7" x14ac:dyDescent="0.25">
      <c r="A224" s="8">
        <v>42942.80369212963</v>
      </c>
      <c r="B224" t="s">
        <v>363</v>
      </c>
      <c r="C224" t="s">
        <v>563</v>
      </c>
      <c r="D224" s="138">
        <v>3330000</v>
      </c>
      <c r="E224" t="s">
        <v>490</v>
      </c>
      <c r="F224" s="20" t="s">
        <v>491</v>
      </c>
      <c r="G224" s="8" t="str">
        <f t="shared" si="3"/>
        <v>GONZALEZ ARMANDO</v>
      </c>
    </row>
    <row r="225" spans="1:7" x14ac:dyDescent="0.25">
      <c r="A225" s="8">
        <v>42942.80741898148</v>
      </c>
      <c r="B225" t="s">
        <v>473</v>
      </c>
      <c r="C225" t="s">
        <v>564</v>
      </c>
      <c r="D225" s="138">
        <v>3090000</v>
      </c>
      <c r="E225" t="s">
        <v>364</v>
      </c>
      <c r="F225" s="20" t="s">
        <v>365</v>
      </c>
      <c r="G225" s="8" t="str">
        <f t="shared" si="3"/>
        <v>LAMAR NEKESHA</v>
      </c>
    </row>
    <row r="226" spans="1:7" x14ac:dyDescent="0.25">
      <c r="A226" s="8">
        <v>42942.809629629628</v>
      </c>
      <c r="B226" t="s">
        <v>378</v>
      </c>
      <c r="C226" t="s">
        <v>565</v>
      </c>
      <c r="D226" s="138">
        <v>2090000</v>
      </c>
      <c r="E226" t="s">
        <v>392</v>
      </c>
      <c r="F226" s="20" t="s">
        <v>192</v>
      </c>
      <c r="G226" s="8" t="str">
        <f t="shared" si="3"/>
        <v>HAITHCOX MICHAEL</v>
      </c>
    </row>
    <row r="227" spans="1:7" x14ac:dyDescent="0.25">
      <c r="A227" s="8">
        <v>42942.817361111112</v>
      </c>
      <c r="B227" t="s">
        <v>357</v>
      </c>
      <c r="C227" t="s">
        <v>566</v>
      </c>
      <c r="D227" s="138">
        <v>3330000</v>
      </c>
      <c r="E227" t="s">
        <v>490</v>
      </c>
      <c r="F227" s="20" t="s">
        <v>491</v>
      </c>
      <c r="G227" s="8" t="str">
        <f t="shared" si="3"/>
        <v>GONZALEZ ARMANDO</v>
      </c>
    </row>
    <row r="228" spans="1:7" x14ac:dyDescent="0.25">
      <c r="A228" s="8">
        <v>42942.818703703706</v>
      </c>
      <c r="B228" t="s">
        <v>462</v>
      </c>
      <c r="C228" t="s">
        <v>567</v>
      </c>
      <c r="D228" s="138">
        <v>2440000</v>
      </c>
      <c r="E228" t="s">
        <v>552</v>
      </c>
      <c r="F228" s="20" t="s">
        <v>553</v>
      </c>
      <c r="G228" s="8" t="str">
        <f t="shared" si="3"/>
        <v>LOPES KIMBERLY</v>
      </c>
    </row>
    <row r="229" spans="1:7" x14ac:dyDescent="0.25">
      <c r="A229" s="8">
        <v>42942.822337962964</v>
      </c>
      <c r="B229" t="s">
        <v>387</v>
      </c>
      <c r="C229" t="s">
        <v>543</v>
      </c>
      <c r="D229" s="138">
        <v>3000000</v>
      </c>
      <c r="E229" t="s">
        <v>383</v>
      </c>
      <c r="F229" s="20" t="s">
        <v>384</v>
      </c>
      <c r="G229" s="8" t="str">
        <f t="shared" si="3"/>
        <v>FORTUNATO FRANK</v>
      </c>
    </row>
    <row r="230" spans="1:7" x14ac:dyDescent="0.25">
      <c r="A230" s="8">
        <v>42942.828287037039</v>
      </c>
      <c r="B230" t="s">
        <v>487</v>
      </c>
      <c r="C230" t="s">
        <v>568</v>
      </c>
      <c r="D230" s="138">
        <v>3260000</v>
      </c>
      <c r="E230" t="s">
        <v>504</v>
      </c>
      <c r="F230" s="20" t="s">
        <v>505</v>
      </c>
      <c r="G230" s="8" t="str">
        <f t="shared" si="3"/>
        <v>PAGE MARCUS</v>
      </c>
    </row>
    <row r="231" spans="1:7" x14ac:dyDescent="0.25">
      <c r="A231" s="8">
        <v>42942.841956018521</v>
      </c>
      <c r="B231" t="s">
        <v>409</v>
      </c>
      <c r="C231" t="s">
        <v>569</v>
      </c>
      <c r="D231" s="138">
        <v>2090000</v>
      </c>
      <c r="E231" t="s">
        <v>392</v>
      </c>
      <c r="F231" s="20" t="s">
        <v>192</v>
      </c>
      <c r="G231" s="8" t="str">
        <f t="shared" si="3"/>
        <v>HAITHCOX MICHAEL</v>
      </c>
    </row>
    <row r="232" spans="1:7" x14ac:dyDescent="0.25">
      <c r="A232" s="8">
        <v>42942.843969907408</v>
      </c>
      <c r="B232" t="s">
        <v>363</v>
      </c>
      <c r="C232" t="s">
        <v>570</v>
      </c>
      <c r="D232" s="138">
        <v>3330000</v>
      </c>
      <c r="E232" t="s">
        <v>490</v>
      </c>
      <c r="F232" s="20" t="s">
        <v>491</v>
      </c>
      <c r="G232" s="8" t="str">
        <f t="shared" si="3"/>
        <v>GONZALEZ ARMANDO</v>
      </c>
    </row>
    <row r="233" spans="1:7" x14ac:dyDescent="0.25">
      <c r="A233" s="8">
        <v>42942.849444444444</v>
      </c>
      <c r="B233" t="s">
        <v>456</v>
      </c>
      <c r="C233" t="s">
        <v>571</v>
      </c>
      <c r="D233" s="138">
        <v>3090000</v>
      </c>
      <c r="E233" t="s">
        <v>364</v>
      </c>
      <c r="F233" s="20" t="s">
        <v>365</v>
      </c>
      <c r="G233" s="8" t="str">
        <f t="shared" si="3"/>
        <v>LAMAR NEKESHA</v>
      </c>
    </row>
    <row r="234" spans="1:7" x14ac:dyDescent="0.25">
      <c r="A234" s="8">
        <v>42942.859895833331</v>
      </c>
      <c r="B234" t="s">
        <v>357</v>
      </c>
      <c r="C234" t="s">
        <v>572</v>
      </c>
      <c r="D234" s="138">
        <v>3330000</v>
      </c>
      <c r="E234" t="s">
        <v>490</v>
      </c>
      <c r="F234" s="20" t="s">
        <v>491</v>
      </c>
      <c r="G234" s="8" t="str">
        <f t="shared" si="3"/>
        <v>GONZALEZ ARMANDO</v>
      </c>
    </row>
    <row r="235" spans="1:7" x14ac:dyDescent="0.25">
      <c r="A235" s="8">
        <v>42942.861875000002</v>
      </c>
      <c r="B235" t="s">
        <v>484</v>
      </c>
      <c r="C235" t="s">
        <v>573</v>
      </c>
      <c r="D235" s="138">
        <v>3260000</v>
      </c>
      <c r="E235" t="s">
        <v>504</v>
      </c>
      <c r="F235" s="20" t="s">
        <v>505</v>
      </c>
      <c r="G235" s="8" t="str">
        <f t="shared" si="3"/>
        <v>PAGE MARCUS</v>
      </c>
    </row>
    <row r="236" spans="1:7" x14ac:dyDescent="0.25">
      <c r="A236" s="8">
        <v>42942.869131944448</v>
      </c>
      <c r="B236" t="s">
        <v>388</v>
      </c>
      <c r="C236" t="s">
        <v>574</v>
      </c>
      <c r="D236" s="138">
        <v>3000000</v>
      </c>
      <c r="E236" t="s">
        <v>383</v>
      </c>
      <c r="F236" s="20" t="s">
        <v>384</v>
      </c>
      <c r="G236" s="8" t="str">
        <f t="shared" si="3"/>
        <v>FORTUNATO FRANK</v>
      </c>
    </row>
    <row r="237" spans="1:7" x14ac:dyDescent="0.25">
      <c r="A237" s="8">
        <v>42942.875347222223</v>
      </c>
      <c r="B237" t="s">
        <v>363</v>
      </c>
      <c r="C237" t="s">
        <v>575</v>
      </c>
      <c r="D237" s="138">
        <v>3290000</v>
      </c>
      <c r="E237" t="s">
        <v>492</v>
      </c>
      <c r="F237" s="20" t="s">
        <v>455</v>
      </c>
      <c r="G237" s="8" t="str">
        <f t="shared" si="3"/>
        <v>CASSIDY BRANDON</v>
      </c>
    </row>
    <row r="238" spans="1:7" x14ac:dyDescent="0.25">
      <c r="A238" s="8">
        <v>42942.890868055554</v>
      </c>
      <c r="B238" t="s">
        <v>473</v>
      </c>
      <c r="C238" t="s">
        <v>544</v>
      </c>
      <c r="D238" s="138">
        <v>3090000</v>
      </c>
      <c r="E238" t="s">
        <v>364</v>
      </c>
      <c r="F238" s="20" t="s">
        <v>365</v>
      </c>
      <c r="G238" s="8" t="str">
        <f t="shared" si="3"/>
        <v>LAMAR NEKESHA</v>
      </c>
    </row>
    <row r="239" spans="1:7" x14ac:dyDescent="0.25">
      <c r="A239" s="8">
        <v>42942.891631944447</v>
      </c>
      <c r="B239" t="s">
        <v>378</v>
      </c>
      <c r="C239" t="s">
        <v>576</v>
      </c>
      <c r="D239" s="138">
        <v>3220000</v>
      </c>
      <c r="E239" t="s">
        <v>577</v>
      </c>
      <c r="F239" s="20" t="s">
        <v>578</v>
      </c>
      <c r="G239" s="8" t="str">
        <f t="shared" si="3"/>
        <v>RESPASS AARON</v>
      </c>
    </row>
    <row r="240" spans="1:7" x14ac:dyDescent="0.25">
      <c r="A240" s="8">
        <v>42942.900370370371</v>
      </c>
      <c r="B240" t="s">
        <v>357</v>
      </c>
      <c r="C240" t="s">
        <v>579</v>
      </c>
      <c r="D240" s="138">
        <v>3290000</v>
      </c>
      <c r="E240" t="s">
        <v>492</v>
      </c>
      <c r="F240" s="20" t="s">
        <v>455</v>
      </c>
      <c r="G240" s="8" t="str">
        <f t="shared" si="3"/>
        <v>CASSIDY BRANDON</v>
      </c>
    </row>
    <row r="241" spans="1:7" x14ac:dyDescent="0.25">
      <c r="A241" s="8">
        <v>42942.903703703705</v>
      </c>
      <c r="B241" t="s">
        <v>487</v>
      </c>
      <c r="C241" t="s">
        <v>580</v>
      </c>
      <c r="D241" s="138">
        <v>3260000</v>
      </c>
      <c r="E241" t="s">
        <v>504</v>
      </c>
      <c r="F241" s="20" t="s">
        <v>505</v>
      </c>
      <c r="G241" s="8" t="str">
        <f t="shared" si="3"/>
        <v>PAGE MARCUS</v>
      </c>
    </row>
    <row r="242" spans="1:7" x14ac:dyDescent="0.25">
      <c r="A242" s="8">
        <v>42942.904004629629</v>
      </c>
      <c r="B242" t="s">
        <v>387</v>
      </c>
      <c r="C242" t="s">
        <v>581</v>
      </c>
      <c r="D242" s="138">
        <v>3000000</v>
      </c>
      <c r="E242" t="s">
        <v>383</v>
      </c>
      <c r="F242" s="20" t="s">
        <v>384</v>
      </c>
      <c r="G242" s="8" t="str">
        <f t="shared" si="3"/>
        <v>FORTUNATO FRANK</v>
      </c>
    </row>
    <row r="243" spans="1:7" x14ac:dyDescent="0.25">
      <c r="A243" s="8">
        <v>42942.919050925928</v>
      </c>
      <c r="B243" t="s">
        <v>363</v>
      </c>
      <c r="C243" t="s">
        <v>582</v>
      </c>
      <c r="D243" s="138">
        <v>3290000</v>
      </c>
      <c r="E243" t="s">
        <v>492</v>
      </c>
      <c r="F243" s="20" t="s">
        <v>455</v>
      </c>
      <c r="G243" s="8" t="str">
        <f t="shared" si="3"/>
        <v>CASSIDY BRANDON</v>
      </c>
    </row>
    <row r="244" spans="1:7" x14ac:dyDescent="0.25">
      <c r="A244" s="8">
        <v>42942.925011574072</v>
      </c>
      <c r="B244" t="s">
        <v>409</v>
      </c>
      <c r="C244" t="s">
        <v>583</v>
      </c>
      <c r="D244" s="138">
        <v>3220000</v>
      </c>
      <c r="E244" t="s">
        <v>577</v>
      </c>
      <c r="F244" s="20" t="s">
        <v>578</v>
      </c>
      <c r="G244" s="8" t="str">
        <f t="shared" si="3"/>
        <v>RESPASS AARON</v>
      </c>
    </row>
    <row r="245" spans="1:7" x14ac:dyDescent="0.25">
      <c r="A245" s="8">
        <v>42942.933912037035</v>
      </c>
      <c r="B245" t="s">
        <v>456</v>
      </c>
      <c r="C245" t="s">
        <v>584</v>
      </c>
      <c r="D245" s="138">
        <v>3090000</v>
      </c>
      <c r="E245" t="s">
        <v>364</v>
      </c>
      <c r="F245" s="20" t="s">
        <v>365</v>
      </c>
      <c r="G245" s="8" t="str">
        <f t="shared" si="3"/>
        <v>LAMAR NEKESHA</v>
      </c>
    </row>
    <row r="246" spans="1:7" x14ac:dyDescent="0.25">
      <c r="A246" s="8">
        <v>42942.942812499998</v>
      </c>
      <c r="B246" t="s">
        <v>357</v>
      </c>
      <c r="C246" t="s">
        <v>545</v>
      </c>
      <c r="D246" s="138">
        <v>3290000</v>
      </c>
      <c r="E246" t="s">
        <v>492</v>
      </c>
      <c r="F246" s="20" t="s">
        <v>455</v>
      </c>
      <c r="G246" s="8" t="str">
        <f t="shared" si="3"/>
        <v>CASSIDY BRANDON</v>
      </c>
    </row>
    <row r="247" spans="1:7" x14ac:dyDescent="0.25">
      <c r="A247" s="8">
        <v>42942.943622685183</v>
      </c>
      <c r="B247" t="s">
        <v>542</v>
      </c>
      <c r="C247" t="s">
        <v>585</v>
      </c>
      <c r="D247" s="138">
        <v>2610000</v>
      </c>
      <c r="E247" t="s">
        <v>380</v>
      </c>
      <c r="F247" s="20" t="s">
        <v>381</v>
      </c>
      <c r="G247" s="8" t="str">
        <f t="shared" si="3"/>
        <v>MAGEE KENYA</v>
      </c>
    </row>
    <row r="248" spans="1:7" x14ac:dyDescent="0.25">
      <c r="A248" s="8">
        <v>42942.947523148148</v>
      </c>
      <c r="B248" t="s">
        <v>535</v>
      </c>
      <c r="C248" t="s">
        <v>586</v>
      </c>
      <c r="D248" s="138">
        <v>2610000</v>
      </c>
      <c r="E248" t="s">
        <v>380</v>
      </c>
      <c r="F248" s="20" t="s">
        <v>381</v>
      </c>
      <c r="G248" s="8" t="str">
        <f t="shared" si="3"/>
        <v>MAGEE KENYA</v>
      </c>
    </row>
    <row r="249" spans="1:7" x14ac:dyDescent="0.25">
      <c r="A249" s="8">
        <v>42942.948587962965</v>
      </c>
      <c r="B249" t="s">
        <v>484</v>
      </c>
      <c r="C249" t="s">
        <v>546</v>
      </c>
      <c r="D249" s="138">
        <v>3260000</v>
      </c>
      <c r="E249" t="s">
        <v>504</v>
      </c>
      <c r="F249" s="20" t="s">
        <v>505</v>
      </c>
      <c r="G249" s="8" t="str">
        <f t="shared" si="3"/>
        <v>PAGE MARCUS</v>
      </c>
    </row>
    <row r="250" spans="1:7" x14ac:dyDescent="0.25">
      <c r="A250" s="8">
        <v>42942.94903935185</v>
      </c>
      <c r="B250" t="s">
        <v>388</v>
      </c>
      <c r="C250" t="s">
        <v>587</v>
      </c>
      <c r="D250" s="138">
        <v>3000000</v>
      </c>
      <c r="E250" t="s">
        <v>383</v>
      </c>
      <c r="F250" s="20" t="s">
        <v>384</v>
      </c>
      <c r="G250" s="8" t="str">
        <f t="shared" si="3"/>
        <v>FORTUNATO FRANK</v>
      </c>
    </row>
    <row r="251" spans="1:7" x14ac:dyDescent="0.25">
      <c r="A251" s="8">
        <v>42942.966666666667</v>
      </c>
      <c r="B251" t="s">
        <v>378</v>
      </c>
      <c r="C251" t="s">
        <v>588</v>
      </c>
      <c r="D251" s="138">
        <v>2090000</v>
      </c>
      <c r="E251" t="s">
        <v>392</v>
      </c>
      <c r="F251" s="20" t="s">
        <v>192</v>
      </c>
      <c r="G251" s="8" t="str">
        <f t="shared" si="3"/>
        <v>HAITHCOX MICHAEL</v>
      </c>
    </row>
    <row r="252" spans="1:7" x14ac:dyDescent="0.25">
      <c r="A252" s="8">
        <v>42942.973877314813</v>
      </c>
      <c r="B252" t="s">
        <v>473</v>
      </c>
      <c r="C252" t="s">
        <v>589</v>
      </c>
      <c r="D252" s="138">
        <v>3090000</v>
      </c>
      <c r="E252" t="s">
        <v>364</v>
      </c>
      <c r="F252" s="20" t="s">
        <v>365</v>
      </c>
      <c r="G252" s="8" t="str">
        <f t="shared" si="3"/>
        <v>LAMAR NEKESHA</v>
      </c>
    </row>
    <row r="253" spans="1:7" x14ac:dyDescent="0.25">
      <c r="A253" s="8">
        <v>42942.985856481479</v>
      </c>
      <c r="B253" t="s">
        <v>387</v>
      </c>
      <c r="C253" t="s">
        <v>590</v>
      </c>
      <c r="D253" s="138">
        <v>3000000</v>
      </c>
      <c r="E253" t="s">
        <v>383</v>
      </c>
      <c r="F253" s="20" t="s">
        <v>384</v>
      </c>
      <c r="G253" s="8" t="str">
        <f t="shared" si="3"/>
        <v>FORTUNATO FRANK</v>
      </c>
    </row>
    <row r="254" spans="1:7" x14ac:dyDescent="0.25">
      <c r="A254" s="8">
        <v>42942.990185185183</v>
      </c>
      <c r="B254" t="s">
        <v>542</v>
      </c>
      <c r="C254" t="s">
        <v>591</v>
      </c>
      <c r="D254" s="138">
        <v>3260000</v>
      </c>
      <c r="E254" t="s">
        <v>504</v>
      </c>
      <c r="F254" s="20" t="s">
        <v>505</v>
      </c>
      <c r="G254" s="8" t="str">
        <f t="shared" si="3"/>
        <v>PAGE MARCUS</v>
      </c>
    </row>
    <row r="255" spans="1:7" x14ac:dyDescent="0.25">
      <c r="A255" s="8">
        <v>42942.990972222222</v>
      </c>
      <c r="B255" t="s">
        <v>542</v>
      </c>
      <c r="C255" t="s">
        <v>591</v>
      </c>
      <c r="D255" s="138">
        <v>3260000</v>
      </c>
      <c r="E255" t="s">
        <v>504</v>
      </c>
      <c r="F255" s="20" t="s">
        <v>505</v>
      </c>
      <c r="G255" s="8" t="str">
        <f t="shared" si="3"/>
        <v>PAGE MARCUS</v>
      </c>
    </row>
    <row r="256" spans="1:7" x14ac:dyDescent="0.25">
      <c r="A256" s="8">
        <v>42942.992465277777</v>
      </c>
      <c r="B256" t="s">
        <v>542</v>
      </c>
      <c r="C256" t="s">
        <v>591</v>
      </c>
      <c r="D256" s="138">
        <v>3260000</v>
      </c>
      <c r="E256" t="s">
        <v>504</v>
      </c>
      <c r="F256" s="20" t="s">
        <v>505</v>
      </c>
      <c r="G256" s="8" t="str">
        <f t="shared" si="3"/>
        <v>PAGE MARCUS</v>
      </c>
    </row>
    <row r="257" spans="1:7" x14ac:dyDescent="0.25">
      <c r="A257" s="8">
        <v>42943.009895833333</v>
      </c>
      <c r="B257" t="s">
        <v>409</v>
      </c>
      <c r="C257" t="s">
        <v>592</v>
      </c>
      <c r="D257" s="138">
        <v>2090000</v>
      </c>
      <c r="E257" t="s">
        <v>392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42943.016562500001</v>
      </c>
      <c r="B258" t="s">
        <v>456</v>
      </c>
      <c r="C258" t="s">
        <v>593</v>
      </c>
      <c r="D258" s="138">
        <v>3090000</v>
      </c>
      <c r="E258" t="s">
        <v>364</v>
      </c>
      <c r="F258" s="20" t="s">
        <v>365</v>
      </c>
      <c r="G258" s="8" t="str">
        <f t="shared" si="3"/>
        <v>LAMAR NEKESHA</v>
      </c>
    </row>
    <row r="259" spans="1:7" x14ac:dyDescent="0.25">
      <c r="A259" s="8">
        <v>42943.028587962966</v>
      </c>
      <c r="B259" t="s">
        <v>388</v>
      </c>
      <c r="C259" t="s">
        <v>594</v>
      </c>
      <c r="D259" s="138">
        <v>3000000</v>
      </c>
      <c r="E259" t="s">
        <v>383</v>
      </c>
      <c r="F259" s="20" t="s">
        <v>384</v>
      </c>
      <c r="G259" s="8" t="str">
        <f t="shared" ref="G259:G322" si="4">E259&amp;" "&amp;F259</f>
        <v>FORTUNATO FRANK</v>
      </c>
    </row>
    <row r="260" spans="1:7" x14ac:dyDescent="0.25">
      <c r="A260" s="8">
        <v>42943.035162037035</v>
      </c>
      <c r="B260" t="s">
        <v>535</v>
      </c>
      <c r="C260" t="s">
        <v>595</v>
      </c>
      <c r="D260" s="138">
        <v>3260000</v>
      </c>
      <c r="E260" t="s">
        <v>504</v>
      </c>
      <c r="F260" s="20" t="s">
        <v>505</v>
      </c>
      <c r="G260" s="8" t="str">
        <f t="shared" si="4"/>
        <v>PAGE MARCUS</v>
      </c>
    </row>
    <row r="261" spans="1:7" x14ac:dyDescent="0.25">
      <c r="A261" s="8">
        <v>42943.047881944447</v>
      </c>
      <c r="B261" t="s">
        <v>378</v>
      </c>
      <c r="C261" t="s">
        <v>596</v>
      </c>
      <c r="D261" s="138">
        <v>2090000</v>
      </c>
      <c r="E261" t="s">
        <v>392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42943.049120370371</v>
      </c>
      <c r="B262" t="s">
        <v>378</v>
      </c>
      <c r="C262" t="s">
        <v>596</v>
      </c>
      <c r="D262" s="138">
        <v>2090000</v>
      </c>
      <c r="E262" t="s">
        <v>392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42943.057337962964</v>
      </c>
      <c r="B263" t="s">
        <v>473</v>
      </c>
      <c r="C263" t="s">
        <v>597</v>
      </c>
      <c r="D263" s="138">
        <v>3090000</v>
      </c>
      <c r="E263" t="s">
        <v>364</v>
      </c>
      <c r="F263" s="20" t="s">
        <v>365</v>
      </c>
      <c r="G263" s="8" t="str">
        <f t="shared" si="4"/>
        <v>LAMAR NEKESHA</v>
      </c>
    </row>
    <row r="264" spans="1:7" x14ac:dyDescent="0.25">
      <c r="A264" s="8">
        <v>42943.067928240744</v>
      </c>
      <c r="B264" t="s">
        <v>542</v>
      </c>
      <c r="C264" t="s">
        <v>598</v>
      </c>
      <c r="D264" s="138">
        <v>3260000</v>
      </c>
      <c r="E264" t="s">
        <v>504</v>
      </c>
      <c r="F264" s="20" t="s">
        <v>505</v>
      </c>
      <c r="G264" s="8" t="str">
        <f t="shared" si="4"/>
        <v>PAGE MARCUS</v>
      </c>
    </row>
    <row r="265" spans="1:7" x14ac:dyDescent="0.25">
      <c r="A265" s="8">
        <v>42943.089375000003</v>
      </c>
      <c r="B265" t="s">
        <v>456</v>
      </c>
      <c r="C265" t="s">
        <v>599</v>
      </c>
      <c r="D265" s="138">
        <v>3090000</v>
      </c>
      <c r="E265" t="s">
        <v>364</v>
      </c>
      <c r="F265" s="20" t="s">
        <v>365</v>
      </c>
      <c r="G265" s="8" t="str">
        <f t="shared" si="4"/>
        <v>LAMAR NEKESHA</v>
      </c>
    </row>
    <row r="266" spans="1:7" x14ac:dyDescent="0.25">
      <c r="A266" s="8">
        <v>42923.113321759258</v>
      </c>
      <c r="B266" t="s">
        <v>446</v>
      </c>
      <c r="C266" t="s">
        <v>447</v>
      </c>
      <c r="D266" s="138">
        <v>1110000</v>
      </c>
      <c r="E266" t="s">
        <v>413</v>
      </c>
      <c r="F266" s="20" t="s">
        <v>414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405</v>
      </c>
      <c r="C267" t="s">
        <v>419</v>
      </c>
      <c r="D267" s="138">
        <v>2090000</v>
      </c>
      <c r="E267" t="s">
        <v>392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388</v>
      </c>
      <c r="C268" t="s">
        <v>420</v>
      </c>
      <c r="D268" s="138">
        <v>2000000</v>
      </c>
      <c r="E268" t="s">
        <v>393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409</v>
      </c>
      <c r="C269" t="s">
        <v>421</v>
      </c>
      <c r="D269" s="138">
        <v>3090000</v>
      </c>
      <c r="E269" t="s">
        <v>364</v>
      </c>
      <c r="F269" s="20" t="s">
        <v>365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389</v>
      </c>
      <c r="C270" t="s">
        <v>422</v>
      </c>
      <c r="D270" s="138">
        <v>2610000</v>
      </c>
      <c r="E270" t="s">
        <v>380</v>
      </c>
      <c r="F270" s="20" t="s">
        <v>381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405</v>
      </c>
      <c r="C271" t="s">
        <v>419</v>
      </c>
      <c r="D271" s="138">
        <v>2090000</v>
      </c>
      <c r="E271" t="s">
        <v>392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387</v>
      </c>
      <c r="C272" t="s">
        <v>423</v>
      </c>
      <c r="D272" s="138">
        <v>2000000</v>
      </c>
      <c r="E272" t="s">
        <v>393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390</v>
      </c>
      <c r="C273" t="s">
        <v>422</v>
      </c>
      <c r="D273" s="138">
        <v>2610000</v>
      </c>
      <c r="E273" t="s">
        <v>380</v>
      </c>
      <c r="F273" s="20" t="s">
        <v>381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417</v>
      </c>
      <c r="C274" t="s">
        <v>424</v>
      </c>
      <c r="D274" s="138">
        <v>3000000</v>
      </c>
      <c r="E274" t="s">
        <v>383</v>
      </c>
      <c r="F274" s="20" t="s">
        <v>384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389</v>
      </c>
      <c r="C275" t="s">
        <v>425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388</v>
      </c>
      <c r="C276" t="s">
        <v>426</v>
      </c>
      <c r="D276" s="138">
        <v>2000000</v>
      </c>
      <c r="E276" t="s">
        <v>393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407</v>
      </c>
      <c r="C277" t="s">
        <v>427</v>
      </c>
      <c r="D277" s="138">
        <v>2090000</v>
      </c>
      <c r="E277" t="s">
        <v>392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378</v>
      </c>
      <c r="C278" t="s">
        <v>428</v>
      </c>
      <c r="D278" s="138">
        <v>3090000</v>
      </c>
      <c r="E278" t="s">
        <v>364</v>
      </c>
      <c r="F278" s="20" t="s">
        <v>365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387</v>
      </c>
      <c r="C279" t="s">
        <v>429</v>
      </c>
      <c r="D279" s="138">
        <v>2000000</v>
      </c>
      <c r="E279" t="s">
        <v>393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416</v>
      </c>
      <c r="C280" t="s">
        <v>430</v>
      </c>
      <c r="D280" s="138">
        <v>3000000</v>
      </c>
      <c r="E280" t="s">
        <v>383</v>
      </c>
      <c r="F280" s="20" t="s">
        <v>384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390</v>
      </c>
      <c r="C281" t="s">
        <v>431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388</v>
      </c>
      <c r="C282" t="s">
        <v>429</v>
      </c>
      <c r="D282" s="138">
        <v>2000000</v>
      </c>
      <c r="E282" t="s">
        <v>393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405</v>
      </c>
      <c r="C283" t="s">
        <v>432</v>
      </c>
      <c r="D283" s="138">
        <v>2090000</v>
      </c>
      <c r="E283" t="s">
        <v>392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350</v>
      </c>
      <c r="C284" t="s">
        <v>433</v>
      </c>
      <c r="D284" s="138">
        <v>2610000</v>
      </c>
      <c r="E284" t="s">
        <v>380</v>
      </c>
      <c r="F284" s="20" t="s">
        <v>381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415</v>
      </c>
      <c r="C285" t="s">
        <v>434</v>
      </c>
      <c r="D285" s="138">
        <v>2610000</v>
      </c>
      <c r="E285" t="s">
        <v>380</v>
      </c>
      <c r="F285" s="20" t="s">
        <v>381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409</v>
      </c>
      <c r="C286" t="s">
        <v>435</v>
      </c>
      <c r="D286" s="138">
        <v>3090000</v>
      </c>
      <c r="E286" t="s">
        <v>364</v>
      </c>
      <c r="F286" s="20" t="s">
        <v>365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417</v>
      </c>
      <c r="C287" t="s">
        <v>436</v>
      </c>
      <c r="D287" s="138">
        <v>3000000</v>
      </c>
      <c r="E287" t="s">
        <v>383</v>
      </c>
      <c r="F287" s="20" t="s">
        <v>384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350</v>
      </c>
      <c r="C288" t="s">
        <v>437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407</v>
      </c>
      <c r="C289" t="s">
        <v>418</v>
      </c>
      <c r="D289" s="138">
        <v>2090000</v>
      </c>
      <c r="E289" t="s">
        <v>392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378</v>
      </c>
      <c r="C290" t="s">
        <v>438</v>
      </c>
      <c r="D290" s="138">
        <v>3090000</v>
      </c>
      <c r="E290" t="s">
        <v>364</v>
      </c>
      <c r="F290" s="20" t="s">
        <v>365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416</v>
      </c>
      <c r="C291" t="s">
        <v>439</v>
      </c>
      <c r="D291" s="138">
        <v>3000000</v>
      </c>
      <c r="E291" t="s">
        <v>383</v>
      </c>
      <c r="F291" s="20" t="s">
        <v>384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405</v>
      </c>
      <c r="C292" t="s">
        <v>440</v>
      </c>
      <c r="D292" s="138">
        <v>2090000</v>
      </c>
      <c r="E292" t="s">
        <v>392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409</v>
      </c>
      <c r="C293" t="s">
        <v>441</v>
      </c>
      <c r="D293" s="138">
        <v>3090000</v>
      </c>
      <c r="E293" t="s">
        <v>364</v>
      </c>
      <c r="F293" s="20" t="s">
        <v>365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350</v>
      </c>
      <c r="C294" t="s">
        <v>442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378</v>
      </c>
      <c r="C295" t="s">
        <v>443</v>
      </c>
      <c r="D295" s="138">
        <v>3090000</v>
      </c>
      <c r="E295" t="s">
        <v>364</v>
      </c>
      <c r="F295" s="20" t="s">
        <v>365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378</v>
      </c>
      <c r="C296" t="s">
        <v>443</v>
      </c>
      <c r="D296" s="138">
        <v>3090000</v>
      </c>
      <c r="E296" t="s">
        <v>364</v>
      </c>
      <c r="F296" s="20" t="s">
        <v>365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378</v>
      </c>
      <c r="C297" t="s">
        <v>443</v>
      </c>
      <c r="D297" s="138">
        <v>3090000</v>
      </c>
      <c r="E297" t="s">
        <v>364</v>
      </c>
      <c r="F297" s="20" t="s">
        <v>365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350</v>
      </c>
      <c r="C298" t="s">
        <v>373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357</v>
      </c>
      <c r="C299" t="s">
        <v>359</v>
      </c>
      <c r="D299" s="138">
        <v>2970000</v>
      </c>
      <c r="E299" t="s">
        <v>366</v>
      </c>
      <c r="F299" s="20" t="s">
        <v>367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358</v>
      </c>
      <c r="C300" t="s">
        <v>362</v>
      </c>
      <c r="D300" s="138">
        <v>3130000</v>
      </c>
      <c r="E300" t="s">
        <v>371</v>
      </c>
      <c r="F300" s="20" t="s">
        <v>372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357</v>
      </c>
      <c r="C301" t="s">
        <v>359</v>
      </c>
      <c r="D301" s="138">
        <v>2970000</v>
      </c>
      <c r="E301" t="s">
        <v>366</v>
      </c>
      <c r="F301" s="20" t="s">
        <v>367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354</v>
      </c>
      <c r="C302" t="s">
        <v>360</v>
      </c>
      <c r="D302" s="138">
        <v>3040000</v>
      </c>
      <c r="E302" t="s">
        <v>369</v>
      </c>
      <c r="F302" s="20" t="s">
        <v>370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354</v>
      </c>
      <c r="C303" t="s">
        <v>360</v>
      </c>
      <c r="D303" s="138">
        <v>3040000</v>
      </c>
      <c r="E303" t="s">
        <v>369</v>
      </c>
      <c r="F303" s="20" t="s">
        <v>370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374</v>
      </c>
      <c r="D304" s="138">
        <v>3030000</v>
      </c>
      <c r="E304" t="s">
        <v>368</v>
      </c>
      <c r="F304" s="20" t="s">
        <v>356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363</v>
      </c>
      <c r="C305" t="s">
        <v>359</v>
      </c>
      <c r="D305" s="138">
        <v>2970000</v>
      </c>
      <c r="E305" t="s">
        <v>366</v>
      </c>
      <c r="F305" s="20" t="s">
        <v>367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357</v>
      </c>
      <c r="C306" t="s">
        <v>359</v>
      </c>
      <c r="D306" s="138">
        <v>2970000</v>
      </c>
      <c r="E306" t="s">
        <v>366</v>
      </c>
      <c r="F306" s="20" t="s">
        <v>367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355</v>
      </c>
      <c r="C307" t="s">
        <v>360</v>
      </c>
      <c r="D307" s="138">
        <v>3040000</v>
      </c>
      <c r="E307" t="s">
        <v>369</v>
      </c>
      <c r="F307" s="20" t="s">
        <v>370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361</v>
      </c>
      <c r="C308" t="s">
        <v>375</v>
      </c>
      <c r="D308" s="138">
        <v>3130000</v>
      </c>
      <c r="E308" t="s">
        <v>371</v>
      </c>
      <c r="F308" s="20" t="s">
        <v>372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354</v>
      </c>
      <c r="C309" t="s">
        <v>360</v>
      </c>
      <c r="D309" s="138">
        <v>3040000</v>
      </c>
      <c r="E309" t="s">
        <v>369</v>
      </c>
      <c r="F309" s="20" t="s">
        <v>370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363</v>
      </c>
      <c r="C310" t="s">
        <v>359</v>
      </c>
      <c r="D310" s="138">
        <v>2970000</v>
      </c>
      <c r="E310" t="s">
        <v>366</v>
      </c>
      <c r="F310" s="20" t="s">
        <v>367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357</v>
      </c>
      <c r="C311" t="s">
        <v>359</v>
      </c>
      <c r="D311" s="138">
        <v>2970000</v>
      </c>
      <c r="E311" t="s">
        <v>366</v>
      </c>
      <c r="F311" s="20" t="s">
        <v>367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506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394</v>
      </c>
      <c r="P1" s="171" t="s">
        <v>156</v>
      </c>
      <c r="Q1" s="171" t="s">
        <v>163</v>
      </c>
      <c r="R1" s="171" t="s">
        <v>395</v>
      </c>
      <c r="S1" s="171" t="s">
        <v>160</v>
      </c>
    </row>
    <row r="2" spans="1:19" x14ac:dyDescent="0.25">
      <c r="A2" s="172">
        <v>69.31</v>
      </c>
      <c r="B2" s="172">
        <v>0.56999999999999995</v>
      </c>
      <c r="C2" s="172">
        <v>56.88</v>
      </c>
      <c r="D2" s="8">
        <v>42945</v>
      </c>
      <c r="E2" s="172">
        <v>0.65</v>
      </c>
      <c r="F2" s="172" t="s">
        <v>459</v>
      </c>
      <c r="G2" s="172">
        <v>284.64999999999998</v>
      </c>
      <c r="H2" s="172">
        <v>1.5E-3</v>
      </c>
      <c r="I2" s="172">
        <v>0.01</v>
      </c>
      <c r="J2" s="172" t="s">
        <v>508</v>
      </c>
      <c r="K2" s="172">
        <v>1014.33</v>
      </c>
      <c r="L2" s="172" t="s">
        <v>458</v>
      </c>
      <c r="M2" s="172">
        <v>69.31</v>
      </c>
      <c r="N2" s="172">
        <v>1501308000</v>
      </c>
      <c r="O2" s="172">
        <v>0</v>
      </c>
      <c r="P2" s="172">
        <v>10</v>
      </c>
      <c r="Q2" s="172">
        <v>115</v>
      </c>
      <c r="R2" s="172">
        <v>9.6199999999999992</v>
      </c>
      <c r="S2" s="172">
        <v>5.62</v>
      </c>
    </row>
    <row r="3" spans="1:19" x14ac:dyDescent="0.25">
      <c r="A3" s="172">
        <v>68.040000000000006</v>
      </c>
      <c r="B3" s="172">
        <v>0.47</v>
      </c>
      <c r="C3" s="172">
        <v>56.94</v>
      </c>
      <c r="D3" s="8">
        <v>42945.041666666664</v>
      </c>
      <c r="E3" s="172">
        <v>0.68</v>
      </c>
      <c r="F3" s="172" t="s">
        <v>459</v>
      </c>
      <c r="G3" s="172">
        <v>285.12</v>
      </c>
      <c r="H3" s="172">
        <v>0</v>
      </c>
      <c r="I3" s="172">
        <v>0</v>
      </c>
      <c r="J3" s="172"/>
      <c r="K3" s="172">
        <v>1014.42</v>
      </c>
      <c r="L3" s="172" t="s">
        <v>458</v>
      </c>
      <c r="M3" s="172">
        <v>68.040000000000006</v>
      </c>
      <c r="N3" s="172">
        <v>1501311600</v>
      </c>
      <c r="O3" s="172">
        <v>0</v>
      </c>
      <c r="P3" s="172">
        <v>10</v>
      </c>
      <c r="Q3" s="172">
        <v>162</v>
      </c>
      <c r="R3" s="172">
        <v>9.24</v>
      </c>
      <c r="S3" s="172">
        <v>4.26</v>
      </c>
    </row>
    <row r="4" spans="1:19" x14ac:dyDescent="0.25">
      <c r="A4" s="172">
        <v>68.069999999999993</v>
      </c>
      <c r="B4" s="172">
        <v>0.56999999999999995</v>
      </c>
      <c r="C4" s="172">
        <v>57.17</v>
      </c>
      <c r="D4" s="8">
        <v>42945.083333333336</v>
      </c>
      <c r="E4" s="172">
        <v>0.68</v>
      </c>
      <c r="F4" s="172" t="s">
        <v>459</v>
      </c>
      <c r="G4" s="172">
        <v>285.33999999999997</v>
      </c>
      <c r="H4" s="172">
        <v>0</v>
      </c>
      <c r="I4" s="172">
        <v>0</v>
      </c>
      <c r="J4" s="172"/>
      <c r="K4" s="172">
        <v>1014.01</v>
      </c>
      <c r="L4" s="172" t="s">
        <v>458</v>
      </c>
      <c r="M4" s="172">
        <v>68.069999999999993</v>
      </c>
      <c r="N4" s="172">
        <v>1501315200</v>
      </c>
      <c r="O4" s="172">
        <v>0</v>
      </c>
      <c r="P4" s="172">
        <v>10</v>
      </c>
      <c r="Q4" s="172">
        <v>219</v>
      </c>
      <c r="R4" s="172">
        <v>4.8899999999999997</v>
      </c>
      <c r="S4" s="172">
        <v>3.28</v>
      </c>
    </row>
    <row r="5" spans="1:19" x14ac:dyDescent="0.25">
      <c r="A5" s="172">
        <v>66.819999999999993</v>
      </c>
      <c r="B5" s="172">
        <v>0.53</v>
      </c>
      <c r="C5" s="172">
        <v>57.33</v>
      </c>
      <c r="D5" s="8">
        <v>42945.125</v>
      </c>
      <c r="E5" s="172">
        <v>0.72</v>
      </c>
      <c r="F5" s="172" t="s">
        <v>459</v>
      </c>
      <c r="G5" s="172">
        <v>285.35000000000002</v>
      </c>
      <c r="H5" s="172">
        <v>1.9E-3</v>
      </c>
      <c r="I5" s="172">
        <v>0.01</v>
      </c>
      <c r="J5" s="172" t="s">
        <v>508</v>
      </c>
      <c r="K5" s="172">
        <v>1013.98</v>
      </c>
      <c r="L5" s="172" t="s">
        <v>458</v>
      </c>
      <c r="M5" s="172">
        <v>66.819999999999993</v>
      </c>
      <c r="N5" s="172">
        <v>1501318800</v>
      </c>
      <c r="O5" s="172">
        <v>0</v>
      </c>
      <c r="P5" s="172">
        <v>10</v>
      </c>
      <c r="Q5" s="172">
        <v>220</v>
      </c>
      <c r="R5" s="172">
        <v>3.72</v>
      </c>
      <c r="S5" s="172">
        <v>3.02</v>
      </c>
    </row>
    <row r="6" spans="1:19" x14ac:dyDescent="0.25">
      <c r="A6" s="172">
        <v>65.53</v>
      </c>
      <c r="B6" s="172">
        <v>0.56000000000000005</v>
      </c>
      <c r="C6" s="172">
        <v>57.56</v>
      </c>
      <c r="D6" s="8">
        <v>42945.166666666664</v>
      </c>
      <c r="E6" s="172">
        <v>0.75</v>
      </c>
      <c r="F6" s="172" t="s">
        <v>508</v>
      </c>
      <c r="G6" s="172">
        <v>285.58</v>
      </c>
      <c r="H6" s="172">
        <v>6.4000000000000003E-3</v>
      </c>
      <c r="I6" s="172">
        <v>0.12</v>
      </c>
      <c r="J6" s="172" t="s">
        <v>508</v>
      </c>
      <c r="K6" s="172">
        <v>1014.05</v>
      </c>
      <c r="L6" s="172" t="s">
        <v>509</v>
      </c>
      <c r="M6" s="172">
        <v>65.53</v>
      </c>
      <c r="N6" s="172">
        <v>1501322400</v>
      </c>
      <c r="O6" s="172">
        <v>0</v>
      </c>
      <c r="P6" s="172">
        <v>10</v>
      </c>
      <c r="Q6" s="172">
        <v>190</v>
      </c>
      <c r="R6" s="172">
        <v>4.12</v>
      </c>
      <c r="S6" s="172">
        <v>3.01</v>
      </c>
    </row>
    <row r="7" spans="1:19" x14ac:dyDescent="0.25">
      <c r="A7" s="172">
        <v>63.87</v>
      </c>
      <c r="B7" s="172">
        <v>0.73</v>
      </c>
      <c r="C7" s="172">
        <v>57.74</v>
      </c>
      <c r="D7" s="8">
        <v>42945.208333333336</v>
      </c>
      <c r="E7" s="172">
        <v>0.8</v>
      </c>
      <c r="F7" s="172" t="s">
        <v>508</v>
      </c>
      <c r="G7" s="172">
        <v>285.81</v>
      </c>
      <c r="H7" s="172">
        <v>1.7100000000000001E-2</v>
      </c>
      <c r="I7" s="172">
        <v>0.34</v>
      </c>
      <c r="J7" s="172" t="s">
        <v>508</v>
      </c>
      <c r="K7" s="172">
        <v>1014.2</v>
      </c>
      <c r="L7" s="172" t="s">
        <v>510</v>
      </c>
      <c r="M7" s="172">
        <v>63.87</v>
      </c>
      <c r="N7" s="172">
        <v>1501326000</v>
      </c>
      <c r="O7" s="172">
        <v>0</v>
      </c>
      <c r="P7" s="172">
        <v>7.73</v>
      </c>
      <c r="Q7" s="172">
        <v>180</v>
      </c>
      <c r="R7" s="172">
        <v>4.6900000000000004</v>
      </c>
      <c r="S7" s="172">
        <v>2.94</v>
      </c>
    </row>
    <row r="8" spans="1:19" x14ac:dyDescent="0.25">
      <c r="A8" s="172">
        <v>64.930000000000007</v>
      </c>
      <c r="B8" s="172">
        <v>0.77</v>
      </c>
      <c r="C8" s="172">
        <v>58.07</v>
      </c>
      <c r="D8" s="8">
        <v>42945.25</v>
      </c>
      <c r="E8" s="172">
        <v>0.78</v>
      </c>
      <c r="F8" s="172" t="s">
        <v>508</v>
      </c>
      <c r="G8" s="172">
        <v>289.48</v>
      </c>
      <c r="H8" s="172">
        <v>6.5000000000000002E-2</v>
      </c>
      <c r="I8" s="172">
        <v>0.52</v>
      </c>
      <c r="J8" s="172" t="s">
        <v>508</v>
      </c>
      <c r="K8" s="172">
        <v>1014.42</v>
      </c>
      <c r="L8" s="172" t="s">
        <v>600</v>
      </c>
      <c r="M8" s="172">
        <v>64.930000000000007</v>
      </c>
      <c r="N8" s="172">
        <v>1501329600</v>
      </c>
      <c r="O8" s="172">
        <v>0</v>
      </c>
      <c r="P8" s="172">
        <v>6.59</v>
      </c>
      <c r="Q8" s="172">
        <v>225</v>
      </c>
      <c r="R8" s="172">
        <v>6.23</v>
      </c>
      <c r="S8" s="172">
        <v>4.1500000000000004</v>
      </c>
    </row>
    <row r="9" spans="1:19" x14ac:dyDescent="0.25">
      <c r="A9" s="172">
        <v>66.099999999999994</v>
      </c>
      <c r="B9" s="172">
        <v>0.78</v>
      </c>
      <c r="C9" s="172">
        <v>57.99</v>
      </c>
      <c r="D9" s="8">
        <v>42945.291666666664</v>
      </c>
      <c r="E9" s="172">
        <v>0.75</v>
      </c>
      <c r="F9" s="172" t="s">
        <v>508</v>
      </c>
      <c r="G9" s="172">
        <v>289.49</v>
      </c>
      <c r="H9" s="172">
        <v>2.3199999999999998E-2</v>
      </c>
      <c r="I9" s="172">
        <v>0.32</v>
      </c>
      <c r="J9" s="172" t="s">
        <v>508</v>
      </c>
      <c r="K9" s="172">
        <v>1014.48</v>
      </c>
      <c r="L9" s="172" t="s">
        <v>510</v>
      </c>
      <c r="M9" s="172">
        <v>66.099999999999994</v>
      </c>
      <c r="N9" s="172">
        <v>1501333200</v>
      </c>
      <c r="O9" s="172">
        <v>0</v>
      </c>
      <c r="P9" s="172">
        <v>6.82</v>
      </c>
      <c r="Q9" s="172">
        <v>166</v>
      </c>
      <c r="R9" s="172">
        <v>5.82</v>
      </c>
      <c r="S9" s="172">
        <v>3.85</v>
      </c>
    </row>
    <row r="10" spans="1:19" x14ac:dyDescent="0.25">
      <c r="A10" s="172">
        <v>67.98</v>
      </c>
      <c r="B10" s="172">
        <v>0.81</v>
      </c>
      <c r="C10" s="172">
        <v>57.99</v>
      </c>
      <c r="D10" s="8">
        <v>42945.333333333336</v>
      </c>
      <c r="E10" s="172">
        <v>0.7</v>
      </c>
      <c r="F10" s="172" t="s">
        <v>508</v>
      </c>
      <c r="G10" s="172">
        <v>288.93</v>
      </c>
      <c r="H10" s="172">
        <v>8.9999999999999993E-3</v>
      </c>
      <c r="I10" s="172">
        <v>0.17</v>
      </c>
      <c r="J10" s="172" t="s">
        <v>508</v>
      </c>
      <c r="K10" s="172">
        <v>1014.58</v>
      </c>
      <c r="L10" s="172" t="s">
        <v>509</v>
      </c>
      <c r="M10" s="172">
        <v>67.98</v>
      </c>
      <c r="N10" s="172">
        <v>1501336800</v>
      </c>
      <c r="O10" s="172">
        <v>1</v>
      </c>
      <c r="P10" s="172">
        <v>7.29</v>
      </c>
      <c r="Q10" s="172">
        <v>217</v>
      </c>
      <c r="R10" s="172">
        <v>5.22</v>
      </c>
      <c r="S10" s="172">
        <v>3.58</v>
      </c>
    </row>
    <row r="11" spans="1:19" x14ac:dyDescent="0.25">
      <c r="A11" s="172">
        <v>70.760000000000005</v>
      </c>
      <c r="B11" s="172">
        <v>0.83</v>
      </c>
      <c r="C11" s="172">
        <v>57.44</v>
      </c>
      <c r="D11" s="8">
        <v>42945.375</v>
      </c>
      <c r="E11" s="172">
        <v>0.63</v>
      </c>
      <c r="F11" s="172" t="s">
        <v>508</v>
      </c>
      <c r="G11" s="172">
        <v>288.36</v>
      </c>
      <c r="H11" s="172">
        <v>7.1999999999999998E-3</v>
      </c>
      <c r="I11" s="172">
        <v>0.1</v>
      </c>
      <c r="J11" s="172" t="s">
        <v>508</v>
      </c>
      <c r="K11" s="172">
        <v>1014.57</v>
      </c>
      <c r="L11" s="172" t="s">
        <v>509</v>
      </c>
      <c r="M11" s="172">
        <v>70.760000000000005</v>
      </c>
      <c r="N11" s="172">
        <v>1501340400</v>
      </c>
      <c r="O11" s="172">
        <v>1</v>
      </c>
      <c r="P11" s="172">
        <v>9.9499999999999993</v>
      </c>
      <c r="Q11" s="172">
        <v>268</v>
      </c>
      <c r="R11" s="172">
        <v>3.89</v>
      </c>
      <c r="S11" s="172">
        <v>3.29</v>
      </c>
    </row>
    <row r="12" spans="1:19" x14ac:dyDescent="0.25">
      <c r="A12" s="172">
        <v>71.19</v>
      </c>
      <c r="B12" s="172">
        <v>0.84</v>
      </c>
      <c r="C12" s="172">
        <v>56.9</v>
      </c>
      <c r="D12" s="8">
        <v>42945.416666666664</v>
      </c>
      <c r="E12" s="172">
        <v>0.61</v>
      </c>
      <c r="F12" s="172" t="s">
        <v>457</v>
      </c>
      <c r="G12" s="172">
        <v>287.77999999999997</v>
      </c>
      <c r="H12" s="172">
        <v>3.5000000000000001E-3</v>
      </c>
      <c r="I12" s="172">
        <v>0.03</v>
      </c>
      <c r="J12" s="172" t="s">
        <v>508</v>
      </c>
      <c r="K12" s="172">
        <v>1014.66</v>
      </c>
      <c r="L12" s="172" t="s">
        <v>507</v>
      </c>
      <c r="M12" s="172">
        <v>71.19</v>
      </c>
      <c r="N12" s="172">
        <v>1501344000</v>
      </c>
      <c r="O12" s="172">
        <v>3</v>
      </c>
      <c r="P12" s="172">
        <v>10</v>
      </c>
      <c r="Q12" s="172">
        <v>238</v>
      </c>
      <c r="R12" s="172">
        <v>4.41</v>
      </c>
      <c r="S12" s="172">
        <v>3.72</v>
      </c>
    </row>
    <row r="13" spans="1:19" x14ac:dyDescent="0.25">
      <c r="A13" s="172">
        <v>73.27</v>
      </c>
      <c r="B13" s="172">
        <v>0.65</v>
      </c>
      <c r="C13" s="172">
        <v>56.66</v>
      </c>
      <c r="D13" s="8">
        <v>42945.458333333336</v>
      </c>
      <c r="E13" s="172">
        <v>0.56000000000000005</v>
      </c>
      <c r="F13" s="172" t="s">
        <v>457</v>
      </c>
      <c r="G13" s="172">
        <v>287.2</v>
      </c>
      <c r="H13" s="172">
        <v>0</v>
      </c>
      <c r="I13" s="172">
        <v>0</v>
      </c>
      <c r="J13" s="172"/>
      <c r="K13" s="172">
        <v>1014.69</v>
      </c>
      <c r="L13" s="172" t="s">
        <v>507</v>
      </c>
      <c r="M13" s="172">
        <v>73.27</v>
      </c>
      <c r="N13" s="172">
        <v>1501347600</v>
      </c>
      <c r="O13" s="172">
        <v>5</v>
      </c>
      <c r="P13" s="172">
        <v>10</v>
      </c>
      <c r="Q13" s="172">
        <v>319</v>
      </c>
      <c r="R13" s="172">
        <v>5.53</v>
      </c>
      <c r="S13" s="172">
        <v>4.74</v>
      </c>
    </row>
    <row r="14" spans="1:19" x14ac:dyDescent="0.25">
      <c r="A14" s="172">
        <v>75.16</v>
      </c>
      <c r="B14" s="172">
        <v>0.6</v>
      </c>
      <c r="C14" s="172">
        <v>57.33</v>
      </c>
      <c r="D14" s="8">
        <v>42945.5</v>
      </c>
      <c r="E14" s="172">
        <v>0.54</v>
      </c>
      <c r="F14" s="172" t="s">
        <v>457</v>
      </c>
      <c r="G14" s="172">
        <v>284.41000000000003</v>
      </c>
      <c r="H14" s="172">
        <v>0</v>
      </c>
      <c r="I14" s="172">
        <v>0</v>
      </c>
      <c r="J14" s="172"/>
      <c r="K14" s="172">
        <v>1014.38</v>
      </c>
      <c r="L14" s="172" t="s">
        <v>507</v>
      </c>
      <c r="M14" s="172">
        <v>75.16</v>
      </c>
      <c r="N14" s="172">
        <v>1501351200</v>
      </c>
      <c r="O14" s="172">
        <v>8</v>
      </c>
      <c r="P14" s="172">
        <v>10</v>
      </c>
      <c r="Q14" s="172">
        <v>328</v>
      </c>
      <c r="R14" s="172">
        <v>3.97</v>
      </c>
      <c r="S14" s="172">
        <v>3.82</v>
      </c>
    </row>
    <row r="15" spans="1:19" x14ac:dyDescent="0.25">
      <c r="A15" s="172">
        <v>76.36</v>
      </c>
      <c r="B15" s="172">
        <v>0.61</v>
      </c>
      <c r="C15" s="172">
        <v>56.32</v>
      </c>
      <c r="D15" s="8">
        <v>42945.541666666664</v>
      </c>
      <c r="E15" s="172">
        <v>0.5</v>
      </c>
      <c r="F15" s="172" t="s">
        <v>457</v>
      </c>
      <c r="G15" s="172">
        <v>284.07</v>
      </c>
      <c r="H15" s="172">
        <v>0</v>
      </c>
      <c r="I15" s="172">
        <v>0</v>
      </c>
      <c r="J15" s="172"/>
      <c r="K15" s="172">
        <v>1014.04</v>
      </c>
      <c r="L15" s="172" t="s">
        <v>507</v>
      </c>
      <c r="M15" s="172">
        <v>76.36</v>
      </c>
      <c r="N15" s="172">
        <v>1501354800</v>
      </c>
      <c r="O15" s="172">
        <v>9</v>
      </c>
      <c r="P15" s="172">
        <v>10</v>
      </c>
      <c r="Q15" s="172">
        <v>311</v>
      </c>
      <c r="R15" s="172">
        <v>4.5999999999999996</v>
      </c>
      <c r="S15" s="172">
        <v>3.76</v>
      </c>
    </row>
    <row r="16" spans="1:19" x14ac:dyDescent="0.25">
      <c r="A16" s="172">
        <v>78.63</v>
      </c>
      <c r="B16" s="172">
        <v>0.63</v>
      </c>
      <c r="C16" s="172">
        <v>55.88</v>
      </c>
      <c r="D16" s="8">
        <v>42945.583333333336</v>
      </c>
      <c r="E16" s="172">
        <v>0.46</v>
      </c>
      <c r="F16" s="172" t="s">
        <v>508</v>
      </c>
      <c r="G16" s="172">
        <v>284.19</v>
      </c>
      <c r="H16" s="172">
        <v>6.4000000000000003E-3</v>
      </c>
      <c r="I16" s="172">
        <v>0.03</v>
      </c>
      <c r="J16" s="172" t="s">
        <v>508</v>
      </c>
      <c r="K16" s="172">
        <v>1013.49</v>
      </c>
      <c r="L16" s="172" t="s">
        <v>509</v>
      </c>
      <c r="M16" s="172">
        <v>78.63</v>
      </c>
      <c r="N16" s="172">
        <v>1501358400</v>
      </c>
      <c r="O16" s="172">
        <v>8</v>
      </c>
      <c r="P16" s="172">
        <v>10</v>
      </c>
      <c r="Q16" s="172">
        <v>300</v>
      </c>
      <c r="R16" s="172">
        <v>5.57</v>
      </c>
      <c r="S16" s="172">
        <v>5.28</v>
      </c>
    </row>
    <row r="17" spans="1:19" x14ac:dyDescent="0.25">
      <c r="A17" s="172">
        <v>76.239999999999995</v>
      </c>
      <c r="B17" s="172">
        <v>0.67</v>
      </c>
      <c r="C17" s="172">
        <v>55.84</v>
      </c>
      <c r="D17" s="8">
        <v>42945.625</v>
      </c>
      <c r="E17" s="172">
        <v>0.49</v>
      </c>
      <c r="F17" s="172" t="s">
        <v>508</v>
      </c>
      <c r="G17" s="172">
        <v>284.08</v>
      </c>
      <c r="H17" s="172">
        <v>1.3100000000000001E-2</v>
      </c>
      <c r="I17" s="172">
        <v>0.11</v>
      </c>
      <c r="J17" s="172" t="s">
        <v>508</v>
      </c>
      <c r="K17" s="172">
        <v>1014.07</v>
      </c>
      <c r="L17" s="172" t="s">
        <v>510</v>
      </c>
      <c r="M17" s="172">
        <v>76.239999999999995</v>
      </c>
      <c r="N17" s="172">
        <v>1501362000</v>
      </c>
      <c r="O17" s="172">
        <v>6</v>
      </c>
      <c r="P17" s="172">
        <v>10</v>
      </c>
      <c r="Q17" s="172">
        <v>269</v>
      </c>
      <c r="R17" s="172">
        <v>6.02</v>
      </c>
      <c r="S17" s="172">
        <v>4.43</v>
      </c>
    </row>
    <row r="18" spans="1:19" x14ac:dyDescent="0.25">
      <c r="A18" s="172">
        <v>76.2</v>
      </c>
      <c r="B18" s="172">
        <v>0.68</v>
      </c>
      <c r="C18" s="172">
        <v>55.44</v>
      </c>
      <c r="D18" s="8">
        <v>42945.666666666664</v>
      </c>
      <c r="E18" s="172">
        <v>0.49</v>
      </c>
      <c r="F18" s="172" t="s">
        <v>508</v>
      </c>
      <c r="G18" s="172">
        <v>283.39</v>
      </c>
      <c r="H18" s="172">
        <v>1.04E-2</v>
      </c>
      <c r="I18" s="172">
        <v>0.12</v>
      </c>
      <c r="J18" s="172" t="s">
        <v>508</v>
      </c>
      <c r="K18" s="172">
        <v>1013.79</v>
      </c>
      <c r="L18" s="172" t="s">
        <v>510</v>
      </c>
      <c r="M18" s="172">
        <v>76.2</v>
      </c>
      <c r="N18" s="172">
        <v>1501365600</v>
      </c>
      <c r="O18" s="172">
        <v>4</v>
      </c>
      <c r="P18" s="172">
        <v>10</v>
      </c>
      <c r="Q18" s="172">
        <v>260</v>
      </c>
      <c r="R18" s="172">
        <v>7.46</v>
      </c>
      <c r="S18" s="172">
        <v>4.93</v>
      </c>
    </row>
    <row r="19" spans="1:19" x14ac:dyDescent="0.25">
      <c r="A19" s="172">
        <v>77.209999999999994</v>
      </c>
      <c r="B19" s="172">
        <v>0.59</v>
      </c>
      <c r="C19" s="172">
        <v>54.16</v>
      </c>
      <c r="D19" s="8">
        <v>42945.708333333336</v>
      </c>
      <c r="E19" s="172">
        <v>0.45</v>
      </c>
      <c r="F19" s="172" t="s">
        <v>508</v>
      </c>
      <c r="G19" s="172">
        <v>282.45999999999998</v>
      </c>
      <c r="H19" s="172">
        <v>9.1000000000000004E-3</v>
      </c>
      <c r="I19" s="172">
        <v>0.1</v>
      </c>
      <c r="J19" s="172" t="s">
        <v>508</v>
      </c>
      <c r="K19" s="172">
        <v>1013.55</v>
      </c>
      <c r="L19" s="172" t="s">
        <v>509</v>
      </c>
      <c r="M19" s="172">
        <v>77.209999999999994</v>
      </c>
      <c r="N19" s="172">
        <v>1501369200</v>
      </c>
      <c r="O19" s="172">
        <v>2</v>
      </c>
      <c r="P19" s="172">
        <v>10</v>
      </c>
      <c r="Q19" s="172">
        <v>253</v>
      </c>
      <c r="R19" s="172">
        <v>7.05</v>
      </c>
      <c r="S19" s="172">
        <v>4.7</v>
      </c>
    </row>
    <row r="20" spans="1:19" x14ac:dyDescent="0.25">
      <c r="A20" s="172">
        <v>77.959999999999994</v>
      </c>
      <c r="B20" s="172">
        <v>0.72</v>
      </c>
      <c r="C20" s="172">
        <v>54.33</v>
      </c>
      <c r="D20" s="8">
        <v>42945.75</v>
      </c>
      <c r="E20" s="172">
        <v>0.44</v>
      </c>
      <c r="F20" s="172" t="s">
        <v>457</v>
      </c>
      <c r="G20" s="172">
        <v>284.08</v>
      </c>
      <c r="H20" s="172">
        <v>4.7000000000000002E-3</v>
      </c>
      <c r="I20" s="172">
        <v>0.02</v>
      </c>
      <c r="J20" s="172" t="s">
        <v>508</v>
      </c>
      <c r="K20" s="172">
        <v>1013.58</v>
      </c>
      <c r="L20" s="172" t="s">
        <v>507</v>
      </c>
      <c r="M20" s="172">
        <v>77.959999999999994</v>
      </c>
      <c r="N20" s="172">
        <v>1501372800</v>
      </c>
      <c r="O20" s="172">
        <v>1</v>
      </c>
      <c r="P20" s="172">
        <v>10</v>
      </c>
      <c r="Q20" s="172">
        <v>226</v>
      </c>
      <c r="R20" s="172">
        <v>2.17</v>
      </c>
      <c r="S20" s="172">
        <v>2.08</v>
      </c>
    </row>
    <row r="21" spans="1:19" x14ac:dyDescent="0.25">
      <c r="A21" s="172">
        <v>77.36</v>
      </c>
      <c r="B21" s="172">
        <v>0.7</v>
      </c>
      <c r="C21" s="172">
        <v>53.73</v>
      </c>
      <c r="D21" s="8">
        <v>42945.791666666664</v>
      </c>
      <c r="E21" s="172">
        <v>0.44</v>
      </c>
      <c r="F21" s="172" t="s">
        <v>457</v>
      </c>
      <c r="G21" s="172">
        <v>283.62</v>
      </c>
      <c r="H21" s="172">
        <v>2.7000000000000001E-3</v>
      </c>
      <c r="I21" s="172">
        <v>0.01</v>
      </c>
      <c r="J21" s="172" t="s">
        <v>508</v>
      </c>
      <c r="K21" s="172">
        <v>1014.04</v>
      </c>
      <c r="L21" s="172" t="s">
        <v>507</v>
      </c>
      <c r="M21" s="172">
        <v>77.36</v>
      </c>
      <c r="N21" s="172">
        <v>1501376400</v>
      </c>
      <c r="O21" s="172">
        <v>0</v>
      </c>
      <c r="P21" s="172">
        <v>10</v>
      </c>
      <c r="Q21" s="172">
        <v>223</v>
      </c>
      <c r="R21" s="172">
        <v>1.77</v>
      </c>
      <c r="S21" s="172">
        <v>1.53</v>
      </c>
    </row>
    <row r="22" spans="1:19" x14ac:dyDescent="0.25">
      <c r="A22" s="172">
        <v>75.19</v>
      </c>
      <c r="B22" s="172">
        <v>0.78</v>
      </c>
      <c r="C22" s="172">
        <v>53.76</v>
      </c>
      <c r="D22" s="8">
        <v>42945.833333333336</v>
      </c>
      <c r="E22" s="172">
        <v>0.47</v>
      </c>
      <c r="F22" s="172" t="s">
        <v>508</v>
      </c>
      <c r="G22" s="172">
        <v>283.04000000000002</v>
      </c>
      <c r="H22" s="172">
        <v>8.0999999999999996E-3</v>
      </c>
      <c r="I22" s="172">
        <v>0.1</v>
      </c>
      <c r="J22" s="172" t="s">
        <v>508</v>
      </c>
      <c r="K22" s="172">
        <v>1014.83</v>
      </c>
      <c r="L22" s="172" t="s">
        <v>509</v>
      </c>
      <c r="M22" s="172">
        <v>75.19</v>
      </c>
      <c r="N22" s="172">
        <v>1501380000</v>
      </c>
      <c r="O22" s="172">
        <v>0</v>
      </c>
      <c r="P22" s="172">
        <v>10</v>
      </c>
      <c r="Q22" s="172">
        <v>297</v>
      </c>
      <c r="R22" s="172">
        <v>6.28</v>
      </c>
      <c r="S22" s="172">
        <v>3.65</v>
      </c>
    </row>
    <row r="23" spans="1:19" x14ac:dyDescent="0.25">
      <c r="A23" s="172">
        <v>71.680000000000007</v>
      </c>
      <c r="B23" s="172">
        <v>0.8</v>
      </c>
      <c r="C23" s="172">
        <v>54.85</v>
      </c>
      <c r="D23" s="8">
        <v>42945.875</v>
      </c>
      <c r="E23" s="172">
        <v>0.55000000000000004</v>
      </c>
      <c r="F23" s="172" t="s">
        <v>459</v>
      </c>
      <c r="G23" s="172">
        <v>282.7</v>
      </c>
      <c r="H23" s="172">
        <v>3.0000000000000001E-3</v>
      </c>
      <c r="I23" s="172">
        <v>0.02</v>
      </c>
      <c r="J23" s="172" t="s">
        <v>508</v>
      </c>
      <c r="K23" s="172">
        <v>1016.64</v>
      </c>
      <c r="L23" s="172" t="s">
        <v>507</v>
      </c>
      <c r="M23" s="172">
        <v>71.680000000000007</v>
      </c>
      <c r="N23" s="172">
        <v>1501383600</v>
      </c>
      <c r="O23" s="172">
        <v>0</v>
      </c>
      <c r="P23" s="172">
        <v>10</v>
      </c>
      <c r="Q23" s="172">
        <v>335</v>
      </c>
      <c r="R23" s="172">
        <v>4.09</v>
      </c>
      <c r="S23" s="172">
        <v>2.9</v>
      </c>
    </row>
    <row r="24" spans="1:19" x14ac:dyDescent="0.25">
      <c r="A24" s="172">
        <v>69.97</v>
      </c>
      <c r="B24" s="172">
        <v>0.78</v>
      </c>
      <c r="C24" s="172">
        <v>55.21</v>
      </c>
      <c r="D24" s="8">
        <v>42945.916666666664</v>
      </c>
      <c r="E24" s="172">
        <v>0.6</v>
      </c>
      <c r="F24" s="172" t="s">
        <v>459</v>
      </c>
      <c r="G24" s="172">
        <v>283.04000000000002</v>
      </c>
      <c r="H24" s="172">
        <v>2.5000000000000001E-3</v>
      </c>
      <c r="I24" s="172">
        <v>0.02</v>
      </c>
      <c r="J24" s="172" t="s">
        <v>508</v>
      </c>
      <c r="K24" s="172">
        <v>1017.56</v>
      </c>
      <c r="L24" s="172" t="s">
        <v>507</v>
      </c>
      <c r="M24" s="172">
        <v>69.97</v>
      </c>
      <c r="N24" s="172">
        <v>1501387200</v>
      </c>
      <c r="O24" s="172">
        <v>0</v>
      </c>
      <c r="P24" s="172">
        <v>10</v>
      </c>
      <c r="Q24" s="172">
        <v>341</v>
      </c>
      <c r="R24" s="172">
        <v>8.1199999999999992</v>
      </c>
      <c r="S24" s="172">
        <v>3.69</v>
      </c>
    </row>
    <row r="25" spans="1:19" x14ac:dyDescent="0.25">
      <c r="A25" s="172">
        <v>69.05</v>
      </c>
      <c r="B25" s="172">
        <v>0.78</v>
      </c>
      <c r="C25" s="172">
        <v>55.36</v>
      </c>
      <c r="D25" s="8">
        <v>42945.958333333336</v>
      </c>
      <c r="E25" s="172">
        <v>0.62</v>
      </c>
      <c r="F25" s="172" t="s">
        <v>459</v>
      </c>
      <c r="G25" s="172">
        <v>283.5</v>
      </c>
      <c r="H25" s="172">
        <v>2.5000000000000001E-3</v>
      </c>
      <c r="I25" s="172">
        <v>0.02</v>
      </c>
      <c r="J25" s="172" t="s">
        <v>508</v>
      </c>
      <c r="K25" s="172">
        <v>1017.96</v>
      </c>
      <c r="L25" s="172" t="s">
        <v>507</v>
      </c>
      <c r="M25" s="172">
        <v>69.05</v>
      </c>
      <c r="N25" s="172">
        <v>1501390800</v>
      </c>
      <c r="O25" s="172">
        <v>0</v>
      </c>
      <c r="P25" s="172">
        <v>10</v>
      </c>
      <c r="Q25" s="172">
        <v>200</v>
      </c>
      <c r="R25" s="172">
        <v>9.23</v>
      </c>
      <c r="S25" s="172">
        <v>4.99</v>
      </c>
    </row>
    <row r="26" spans="1:19" x14ac:dyDescent="0.25">
      <c r="A26" s="172">
        <v>68.44</v>
      </c>
      <c r="B26" s="172">
        <v>0.68</v>
      </c>
      <c r="C26" s="172">
        <v>56.72</v>
      </c>
      <c r="D26" s="8">
        <v>42946</v>
      </c>
      <c r="E26" s="172">
        <v>0.66</v>
      </c>
      <c r="F26" s="172" t="s">
        <v>459</v>
      </c>
      <c r="G26" s="172">
        <v>283.95</v>
      </c>
      <c r="H26" s="172">
        <v>1.9E-3</v>
      </c>
      <c r="I26" s="172">
        <v>0.01</v>
      </c>
      <c r="J26" s="172" t="s">
        <v>508</v>
      </c>
      <c r="K26" s="172">
        <v>1018.04</v>
      </c>
      <c r="L26" s="172" t="s">
        <v>507</v>
      </c>
      <c r="M26" s="172">
        <v>68.44</v>
      </c>
      <c r="N26" s="172">
        <v>1501394400</v>
      </c>
      <c r="O26" s="172">
        <v>0</v>
      </c>
      <c r="P26" s="172">
        <v>10</v>
      </c>
      <c r="Q26" s="172">
        <v>168</v>
      </c>
      <c r="R26" s="172">
        <v>2.87</v>
      </c>
      <c r="S26" s="172">
        <v>2.67</v>
      </c>
    </row>
    <row r="27" spans="1:19" x14ac:dyDescent="0.25">
      <c r="A27" s="172">
        <v>67.400000000000006</v>
      </c>
      <c r="B27" s="172">
        <v>0.66</v>
      </c>
      <c r="C27" s="172">
        <v>56.98</v>
      </c>
      <c r="D27" s="8">
        <v>42946.041666666664</v>
      </c>
      <c r="E27" s="172">
        <v>0.69</v>
      </c>
      <c r="F27" s="172" t="s">
        <v>459</v>
      </c>
      <c r="G27" s="172">
        <v>283.95</v>
      </c>
      <c r="H27" s="172">
        <v>2.8999999999999998E-3</v>
      </c>
      <c r="I27" s="172">
        <v>0.02</v>
      </c>
      <c r="J27" s="172" t="s">
        <v>508</v>
      </c>
      <c r="K27" s="172">
        <v>1018.08</v>
      </c>
      <c r="L27" s="172" t="s">
        <v>507</v>
      </c>
      <c r="M27" s="172">
        <v>67.400000000000006</v>
      </c>
      <c r="N27" s="172">
        <v>1501398000</v>
      </c>
      <c r="O27" s="172">
        <v>0</v>
      </c>
      <c r="P27" s="172">
        <v>10</v>
      </c>
      <c r="Q27" s="172">
        <v>116</v>
      </c>
      <c r="R27" s="172">
        <v>3.18</v>
      </c>
      <c r="S27" s="172">
        <v>3</v>
      </c>
    </row>
    <row r="28" spans="1:19" x14ac:dyDescent="0.25">
      <c r="A28" s="172">
        <v>66.959999999999994</v>
      </c>
      <c r="B28" s="172">
        <v>0.47</v>
      </c>
      <c r="C28" s="172">
        <v>56.86</v>
      </c>
      <c r="D28" s="8">
        <v>42946.083333333336</v>
      </c>
      <c r="E28" s="172">
        <v>0.7</v>
      </c>
      <c r="F28" s="172" t="s">
        <v>459</v>
      </c>
      <c r="G28" s="172">
        <v>283.72000000000003</v>
      </c>
      <c r="H28" s="172">
        <v>0</v>
      </c>
      <c r="I28" s="172">
        <v>0</v>
      </c>
      <c r="J28" s="172"/>
      <c r="K28" s="172">
        <v>1017.97</v>
      </c>
      <c r="L28" s="172" t="s">
        <v>458</v>
      </c>
      <c r="M28" s="172">
        <v>66.959999999999994</v>
      </c>
      <c r="N28" s="172">
        <v>1501401600</v>
      </c>
      <c r="O28" s="172">
        <v>0</v>
      </c>
      <c r="P28" s="172">
        <v>10</v>
      </c>
      <c r="Q28" s="172">
        <v>184</v>
      </c>
      <c r="R28" s="172">
        <v>3.26</v>
      </c>
      <c r="S28" s="172">
        <v>3.24</v>
      </c>
    </row>
    <row r="29" spans="1:19" x14ac:dyDescent="0.25">
      <c r="A29" s="172">
        <v>66.34</v>
      </c>
      <c r="B29" s="172">
        <v>0.3</v>
      </c>
      <c r="C29" s="172">
        <v>56.69</v>
      </c>
      <c r="D29" s="8">
        <v>42946.125</v>
      </c>
      <c r="E29" s="172">
        <v>0.71</v>
      </c>
      <c r="F29" s="172" t="s">
        <v>459</v>
      </c>
      <c r="G29" s="172">
        <v>283.72000000000003</v>
      </c>
      <c r="H29" s="172">
        <v>0</v>
      </c>
      <c r="I29" s="172">
        <v>0</v>
      </c>
      <c r="J29" s="172"/>
      <c r="K29" s="172">
        <v>1017.86</v>
      </c>
      <c r="L29" s="172" t="s">
        <v>458</v>
      </c>
      <c r="M29" s="172">
        <v>66.34</v>
      </c>
      <c r="N29" s="172">
        <v>1501405200</v>
      </c>
      <c r="O29" s="172">
        <v>0</v>
      </c>
      <c r="P29" s="172">
        <v>9.94</v>
      </c>
      <c r="Q29" s="172">
        <v>210</v>
      </c>
      <c r="R29" s="172">
        <v>3.21</v>
      </c>
      <c r="S29" s="172">
        <v>3.08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3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42945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398</v>
      </c>
      <c r="AE2" s="56" t="s">
        <v>401</v>
      </c>
      <c r="AF2" s="56" t="s">
        <v>402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399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385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400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386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403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1019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1020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1021</v>
      </c>
      <c r="J20" s="140" t="s">
        <v>87</v>
      </c>
      <c r="M20" s="154" t="s">
        <v>353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1022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1023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1024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1025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1026</v>
      </c>
      <c r="J25" s="140" t="s">
        <v>146</v>
      </c>
      <c r="M25" s="154" t="b">
        <v>1</v>
      </c>
    </row>
    <row r="26" spans="3:24" x14ac:dyDescent="0.25">
      <c r="C26" t="s">
        <v>1027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C:\Users\stu\Documents\GitHub\eaglep3-reporting\EC\2017-07-29-refined-times.txt</v>
      </c>
    </row>
    <row r="27" spans="3:24" x14ac:dyDescent="0.25">
      <c r="C27" t="s">
        <v>1028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C:\Users\stu\Documents\GitHub\eaglep3-reporting\EC\2017-07-29-Enforcements.txt</v>
      </c>
    </row>
    <row r="28" spans="3:24" x14ac:dyDescent="0.25">
      <c r="C28" t="s">
        <v>1029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C:\Users\stu\Documents\GitHub\eaglep3-reporting\EC\2017-07-29-Runs-refined.txt</v>
      </c>
    </row>
    <row r="29" spans="3:24" x14ac:dyDescent="0.25">
      <c r="C29" t="s">
        <v>1030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C:\Users\stu\Documents\GitHub\eaglep3-reporting\EC\2017-07-29-Trips.txt</v>
      </c>
    </row>
    <row r="30" spans="3:24" x14ac:dyDescent="0.25">
      <c r="C30" t="s">
        <v>1031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C:\Users\stu\Documents\GitHub\eaglep3-reporting\EC\2017-07-29-Weather.txt</v>
      </c>
    </row>
    <row r="31" spans="3:24" x14ac:dyDescent="0.25">
      <c r="C31" t="s">
        <v>1032</v>
      </c>
      <c r="J31" s="140" t="s">
        <v>194</v>
      </c>
      <c r="M31" s="154" t="s">
        <v>195</v>
      </c>
    </row>
    <row r="32" spans="3:24" x14ac:dyDescent="0.25">
      <c r="C32" t="s">
        <v>1033</v>
      </c>
    </row>
    <row r="33" spans="3:3" x14ac:dyDescent="0.25">
      <c r="C33" t="s">
        <v>1034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2017-07-31T16:30:21Z</dcterms:modified>
</cp:coreProperties>
</file>