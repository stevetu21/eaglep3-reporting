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Trips'!$A$2:$J$43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5" i="1" l="1"/>
  <c r="X186" i="1"/>
  <c r="X187" i="1"/>
  <c r="X188" i="1"/>
  <c r="X189" i="1"/>
  <c r="P185" i="1"/>
  <c r="K185" i="1"/>
  <c r="L185" i="1"/>
  <c r="M185" i="1"/>
  <c r="V185" i="1"/>
  <c r="Y185" i="1"/>
  <c r="Z185" i="1"/>
  <c r="AA185" i="1"/>
  <c r="AB185" i="1"/>
  <c r="AC185" i="1"/>
  <c r="AD185" i="1"/>
  <c r="T185" i="1" s="1"/>
  <c r="AE185" i="1"/>
  <c r="AF185" i="1"/>
  <c r="AH185" i="1"/>
  <c r="AM185" i="1"/>
  <c r="AN185" i="1"/>
  <c r="P183" i="1"/>
  <c r="X157" i="1"/>
  <c r="X158" i="1"/>
  <c r="K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X145" i="1"/>
  <c r="X146" i="1"/>
  <c r="X14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R37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R27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28" i="3" s="1"/>
  <c r="Y38" i="1"/>
  <c r="Z38" i="1"/>
  <c r="AB38" i="1"/>
  <c r="AC38" i="1"/>
  <c r="AD38" i="1"/>
  <c r="T38" i="1" s="1"/>
  <c r="AE38" i="1"/>
  <c r="R28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S20" i="3" s="1"/>
  <c r="Y44" i="1"/>
  <c r="Z44" i="1"/>
  <c r="AB44" i="1"/>
  <c r="AC44" i="1"/>
  <c r="AD44" i="1"/>
  <c r="AE44" i="1"/>
  <c r="R20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R21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T52" i="1" s="1"/>
  <c r="AE52" i="1"/>
  <c r="R35" i="3" s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8" i="3" s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T62" i="1"/>
  <c r="V62" i="1"/>
  <c r="S7" i="3" s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S41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12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S31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43" i="3" s="1"/>
  <c r="Y80" i="1"/>
  <c r="Z80" i="1"/>
  <c r="AB80" i="1"/>
  <c r="AC80" i="1"/>
  <c r="AD80" i="1"/>
  <c r="AE80" i="1"/>
  <c r="R43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S22" i="3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3" i="3" s="1"/>
  <c r="Y87" i="1"/>
  <c r="Z87" i="1"/>
  <c r="AB87" i="1"/>
  <c r="AC87" i="1"/>
  <c r="AD87" i="1"/>
  <c r="X87" i="1" s="1"/>
  <c r="AE87" i="1"/>
  <c r="R23" i="3" s="1"/>
  <c r="AF87" i="1"/>
  <c r="AH87" i="1"/>
  <c r="AM87" i="1"/>
  <c r="AN87" i="1"/>
  <c r="K88" i="1"/>
  <c r="L88" i="1"/>
  <c r="M88" i="1"/>
  <c r="N88" i="1" s="1"/>
  <c r="V88" i="1"/>
  <c r="S44" i="3" s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S24" i="3" s="1"/>
  <c r="Y89" i="1"/>
  <c r="Z89" i="1"/>
  <c r="AB89" i="1"/>
  <c r="AC89" i="1"/>
  <c r="AD89" i="1"/>
  <c r="T89" i="1" s="1"/>
  <c r="AE89" i="1"/>
  <c r="R24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R11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S17" i="3" s="1"/>
  <c r="Y100" i="1"/>
  <c r="Z100" i="1"/>
  <c r="AB100" i="1"/>
  <c r="AC100" i="1"/>
  <c r="AD100" i="1"/>
  <c r="T100" i="1" s="1"/>
  <c r="AE100" i="1"/>
  <c r="R17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S18" i="3" s="1"/>
  <c r="Y106" i="1"/>
  <c r="Z106" i="1"/>
  <c r="AB106" i="1"/>
  <c r="AC106" i="1"/>
  <c r="AD106" i="1"/>
  <c r="T106" i="1" s="1"/>
  <c r="AE106" i="1"/>
  <c r="R18" i="3" s="1"/>
  <c r="AF106" i="1"/>
  <c r="AH106" i="1"/>
  <c r="AM106" i="1"/>
  <c r="AN106" i="1"/>
  <c r="K107" i="1"/>
  <c r="L107" i="1"/>
  <c r="M107" i="1"/>
  <c r="N107" i="1" s="1"/>
  <c r="V107" i="1"/>
  <c r="S32" i="3" s="1"/>
  <c r="Y107" i="1"/>
  <c r="Z107" i="1"/>
  <c r="AB107" i="1"/>
  <c r="AC107" i="1"/>
  <c r="AD107" i="1"/>
  <c r="T107" i="1" s="1"/>
  <c r="AE107" i="1"/>
  <c r="R32" i="3" s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S33" i="3" s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S13" i="3" s="1"/>
  <c r="Y111" i="1"/>
  <c r="Z111" i="1"/>
  <c r="AB111" i="1"/>
  <c r="AC111" i="1"/>
  <c r="AD111" i="1"/>
  <c r="T111" i="1" s="1"/>
  <c r="AE111" i="1"/>
  <c r="R13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45" i="3" s="1"/>
  <c r="Y114" i="1"/>
  <c r="Z114" i="1"/>
  <c r="AB114" i="1"/>
  <c r="AC114" i="1"/>
  <c r="AD114" i="1"/>
  <c r="T114" i="1" s="1"/>
  <c r="AE114" i="1"/>
  <c r="R45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S30" i="3" s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S38" i="3" s="1"/>
  <c r="Y125" i="1"/>
  <c r="Z125" i="1"/>
  <c r="AB125" i="1"/>
  <c r="AC125" i="1"/>
  <c r="AD125" i="1"/>
  <c r="AE125" i="1"/>
  <c r="R38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R34" i="3" s="1"/>
  <c r="AF126" i="1"/>
  <c r="AH126" i="1"/>
  <c r="AM126" i="1"/>
  <c r="AN126" i="1"/>
  <c r="K127" i="1"/>
  <c r="L127" i="1"/>
  <c r="M127" i="1"/>
  <c r="N127" i="1" s="1"/>
  <c r="V127" i="1"/>
  <c r="S9" i="3" s="1"/>
  <c r="Y127" i="1"/>
  <c r="Z127" i="1"/>
  <c r="AB127" i="1"/>
  <c r="AC127" i="1"/>
  <c r="AD127" i="1"/>
  <c r="AE127" i="1"/>
  <c r="R9" i="3" s="1"/>
  <c r="AF127" i="1"/>
  <c r="AH127" i="1"/>
  <c r="AM127" i="1"/>
  <c r="AN127" i="1"/>
  <c r="K128" i="1"/>
  <c r="L128" i="1"/>
  <c r="M128" i="1"/>
  <c r="N128" i="1" s="1"/>
  <c r="V128" i="1"/>
  <c r="S46" i="3" s="1"/>
  <c r="Y128" i="1"/>
  <c r="Z128" i="1"/>
  <c r="AB128" i="1"/>
  <c r="AC128" i="1"/>
  <c r="AD128" i="1"/>
  <c r="T128" i="1" s="1"/>
  <c r="AE128" i="1"/>
  <c r="R46" i="3" s="1"/>
  <c r="AF128" i="1"/>
  <c r="AH128" i="1"/>
  <c r="AM128" i="1"/>
  <c r="AN128" i="1"/>
  <c r="K129" i="1"/>
  <c r="L129" i="1"/>
  <c r="M129" i="1"/>
  <c r="N129" i="1" s="1"/>
  <c r="V129" i="1"/>
  <c r="S25" i="3" s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P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29" i="3" s="1"/>
  <c r="Y134" i="1"/>
  <c r="Z134" i="1"/>
  <c r="AB134" i="1"/>
  <c r="AC134" i="1"/>
  <c r="AD134" i="1"/>
  <c r="T134" i="1" s="1"/>
  <c r="AE134" i="1"/>
  <c r="R29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S15" i="3" s="1"/>
  <c r="Y138" i="1"/>
  <c r="Z138" i="1"/>
  <c r="AB138" i="1"/>
  <c r="AC138" i="1"/>
  <c r="AD138" i="1"/>
  <c r="T138" i="1" s="1"/>
  <c r="AE138" i="1"/>
  <c r="R15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P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R40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S71" i="3" s="1"/>
  <c r="Y231" i="1"/>
  <c r="Z231" i="1"/>
  <c r="AB231" i="1"/>
  <c r="AC231" i="1"/>
  <c r="AD231" i="1"/>
  <c r="T231" i="1" s="1"/>
  <c r="AE231" i="1"/>
  <c r="R70" i="3" s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S69" i="3" s="1"/>
  <c r="Y236" i="1"/>
  <c r="Z236" i="1"/>
  <c r="AB236" i="1"/>
  <c r="AC236" i="1"/>
  <c r="AD236" i="1"/>
  <c r="AE236" i="1"/>
  <c r="R56" i="3" s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6" i="1"/>
  <c r="AM186" i="1"/>
  <c r="AN186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7" i="1"/>
  <c r="AM187" i="1"/>
  <c r="AN187" i="1"/>
  <c r="K240" i="1"/>
  <c r="L240" i="1"/>
  <c r="M240" i="1"/>
  <c r="N240" i="1" s="1"/>
  <c r="V240" i="1"/>
  <c r="S65" i="3" s="1"/>
  <c r="Y240" i="1"/>
  <c r="Z240" i="1"/>
  <c r="AB240" i="1"/>
  <c r="AC240" i="1"/>
  <c r="AD240" i="1"/>
  <c r="T240" i="1" s="1"/>
  <c r="AE240" i="1"/>
  <c r="R65" i="3" s="1"/>
  <c r="AF240" i="1"/>
  <c r="AH188" i="1"/>
  <c r="AM188" i="1"/>
  <c r="AN188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9" i="1"/>
  <c r="AM189" i="1"/>
  <c r="AN189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2" i="1"/>
  <c r="AM192" i="1"/>
  <c r="AN192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4" i="1"/>
  <c r="AM194" i="1"/>
  <c r="AN194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5" i="1"/>
  <c r="AM195" i="1"/>
  <c r="AN195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6" i="1"/>
  <c r="AM196" i="1"/>
  <c r="AN196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7" i="1"/>
  <c r="AM197" i="1"/>
  <c r="AN197" i="1"/>
  <c r="K250" i="1"/>
  <c r="L250" i="1"/>
  <c r="M250" i="1"/>
  <c r="N250" i="1" s="1"/>
  <c r="V250" i="1"/>
  <c r="S67" i="3" s="1"/>
  <c r="Y250" i="1"/>
  <c r="Z250" i="1"/>
  <c r="AB250" i="1"/>
  <c r="AC250" i="1"/>
  <c r="AD250" i="1"/>
  <c r="T250" i="1" s="1"/>
  <c r="AE250" i="1"/>
  <c r="R67" i="3" s="1"/>
  <c r="AF250" i="1"/>
  <c r="AH198" i="1"/>
  <c r="AM198" i="1"/>
  <c r="AN198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9" i="1"/>
  <c r="AM199" i="1"/>
  <c r="AN199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200" i="1"/>
  <c r="AM200" i="1"/>
  <c r="AN200" i="1"/>
  <c r="K253" i="1"/>
  <c r="L253" i="1"/>
  <c r="M253" i="1"/>
  <c r="N253" i="1" s="1"/>
  <c r="V253" i="1"/>
  <c r="Y253" i="1"/>
  <c r="Z253" i="1"/>
  <c r="AA253" i="1" s="1"/>
  <c r="AB253" i="1"/>
  <c r="AC253" i="1"/>
  <c r="AD253" i="1"/>
  <c r="T253" i="1" s="1"/>
  <c r="AE253" i="1"/>
  <c r="AF253" i="1"/>
  <c r="AH201" i="1"/>
  <c r="AM201" i="1"/>
  <c r="AN201" i="1"/>
  <c r="K254" i="1"/>
  <c r="L254" i="1"/>
  <c r="M254" i="1"/>
  <c r="N254" i="1"/>
  <c r="V254" i="1"/>
  <c r="Y254" i="1"/>
  <c r="Z254" i="1"/>
  <c r="AB254" i="1"/>
  <c r="AC254" i="1"/>
  <c r="AD254" i="1"/>
  <c r="AE254" i="1"/>
  <c r="AF254" i="1"/>
  <c r="AH202" i="1"/>
  <c r="AM202" i="1"/>
  <c r="AN202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3" i="1"/>
  <c r="AM203" i="1"/>
  <c r="AN203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4" i="1"/>
  <c r="AM204" i="1"/>
  <c r="AN204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5" i="1"/>
  <c r="AM205" i="1"/>
  <c r="AN205" i="1"/>
  <c r="K258" i="1"/>
  <c r="L258" i="1"/>
  <c r="M258" i="1"/>
  <c r="N258" i="1" s="1"/>
  <c r="V258" i="1"/>
  <c r="Y258" i="1"/>
  <c r="Z258" i="1"/>
  <c r="AB258" i="1"/>
  <c r="AC258" i="1"/>
  <c r="AD258" i="1"/>
  <c r="T258" i="1" s="1"/>
  <c r="AE258" i="1"/>
  <c r="AF258" i="1"/>
  <c r="AH206" i="1"/>
  <c r="AM206" i="1"/>
  <c r="AN206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7" i="1"/>
  <c r="AM207" i="1"/>
  <c r="AN207" i="1"/>
  <c r="K260" i="1"/>
  <c r="L260" i="1"/>
  <c r="M260" i="1"/>
  <c r="N260" i="1" s="1"/>
  <c r="V260" i="1"/>
  <c r="Y260" i="1"/>
  <c r="Z260" i="1"/>
  <c r="AB260" i="1"/>
  <c r="AC260" i="1"/>
  <c r="AD260" i="1"/>
  <c r="T260" i="1" s="1"/>
  <c r="AE260" i="1"/>
  <c r="AF260" i="1"/>
  <c r="AH208" i="1"/>
  <c r="AM208" i="1"/>
  <c r="AN208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AF261" i="1"/>
  <c r="AH209" i="1"/>
  <c r="AM209" i="1"/>
  <c r="AN20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10" i="1"/>
  <c r="AM210" i="1"/>
  <c r="AN210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11" i="1"/>
  <c r="AM211" i="1"/>
  <c r="AN211" i="1"/>
  <c r="K161" i="1"/>
  <c r="L161" i="1"/>
  <c r="M161" i="1"/>
  <c r="N161" i="1" s="1"/>
  <c r="V161" i="1"/>
  <c r="S48" i="3" s="1"/>
  <c r="Y161" i="1"/>
  <c r="Z161" i="1"/>
  <c r="AB161" i="1"/>
  <c r="AC161" i="1"/>
  <c r="AD161" i="1"/>
  <c r="T161" i="1" s="1"/>
  <c r="AE161" i="1"/>
  <c r="R48" i="3" s="1"/>
  <c r="AF161" i="1"/>
  <c r="AH212" i="1"/>
  <c r="AM212" i="1"/>
  <c r="AN21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13" i="1"/>
  <c r="AM213" i="1"/>
  <c r="AN213" i="1"/>
  <c r="K163" i="1"/>
  <c r="L163" i="1"/>
  <c r="M163" i="1"/>
  <c r="N163" i="1" s="1"/>
  <c r="V163" i="1"/>
  <c r="S51" i="3" s="1"/>
  <c r="Y163" i="1"/>
  <c r="Z163" i="1"/>
  <c r="AB163" i="1"/>
  <c r="AC163" i="1"/>
  <c r="AD163" i="1"/>
  <c r="T163" i="1" s="1"/>
  <c r="AE163" i="1"/>
  <c r="R51" i="3" s="1"/>
  <c r="AF163" i="1"/>
  <c r="AH214" i="1"/>
  <c r="AM214" i="1"/>
  <c r="AN21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15" i="1"/>
  <c r="AM215" i="1"/>
  <c r="AN21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47" i="3" s="1"/>
  <c r="AF165" i="1"/>
  <c r="AH216" i="1"/>
  <c r="AM216" i="1"/>
  <c r="AN21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7" i="1"/>
  <c r="AM217" i="1"/>
  <c r="AN21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18" i="1"/>
  <c r="AM218" i="1"/>
  <c r="AN21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9" i="1"/>
  <c r="AM219" i="1"/>
  <c r="AN21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20" i="1"/>
  <c r="AM220" i="1"/>
  <c r="AN22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21" i="1"/>
  <c r="AM221" i="1"/>
  <c r="AN22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22" i="1"/>
  <c r="AM222" i="1"/>
  <c r="AN22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23" i="1"/>
  <c r="AM223" i="1"/>
  <c r="AN22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24" i="1"/>
  <c r="AM224" i="1"/>
  <c r="AN22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25" i="1"/>
  <c r="AM225" i="1"/>
  <c r="AN22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26" i="1"/>
  <c r="AM226" i="1"/>
  <c r="AN22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7" i="1"/>
  <c r="AM227" i="1"/>
  <c r="AN227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28" i="1"/>
  <c r="AM228" i="1"/>
  <c r="AN22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9" i="1"/>
  <c r="AM229" i="1"/>
  <c r="AN22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30" i="1"/>
  <c r="AM230" i="1"/>
  <c r="AN23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31" i="1"/>
  <c r="AM231" i="1"/>
  <c r="AN23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32" i="1"/>
  <c r="AM232" i="1"/>
  <c r="AN23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33" i="1"/>
  <c r="AM233" i="1"/>
  <c r="AN233" i="1"/>
  <c r="K183" i="1"/>
  <c r="L183" i="1"/>
  <c r="M183" i="1"/>
  <c r="V183" i="1"/>
  <c r="Y183" i="1"/>
  <c r="Z183" i="1"/>
  <c r="AB183" i="1"/>
  <c r="AC183" i="1"/>
  <c r="AD183" i="1"/>
  <c r="T183" i="1" s="1"/>
  <c r="AE183" i="1"/>
  <c r="AF183" i="1"/>
  <c r="AH234" i="1"/>
  <c r="AM234" i="1"/>
  <c r="AN23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5" i="1"/>
  <c r="AM235" i="1"/>
  <c r="AN23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36" i="1"/>
  <c r="AM236" i="1"/>
  <c r="AN236" i="1"/>
  <c r="K187" i="1"/>
  <c r="L187" i="1"/>
  <c r="M187" i="1"/>
  <c r="N187" i="1" s="1"/>
  <c r="V187" i="1"/>
  <c r="S49" i="3" s="1"/>
  <c r="Y187" i="1"/>
  <c r="Z187" i="1"/>
  <c r="AB187" i="1"/>
  <c r="AC187" i="1"/>
  <c r="AD187" i="1"/>
  <c r="T187" i="1" s="1"/>
  <c r="AE187" i="1"/>
  <c r="R50" i="3" s="1"/>
  <c r="AF187" i="1"/>
  <c r="AH237" i="1"/>
  <c r="AM237" i="1"/>
  <c r="AN23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38" i="1"/>
  <c r="AM238" i="1"/>
  <c r="AN23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9" i="1"/>
  <c r="AM239" i="1"/>
  <c r="AN239" i="1"/>
  <c r="K190" i="1"/>
  <c r="L190" i="1"/>
  <c r="M190" i="1"/>
  <c r="N190" i="1" s="1"/>
  <c r="V190" i="1"/>
  <c r="S53" i="3" s="1"/>
  <c r="Y190" i="1"/>
  <c r="Z190" i="1"/>
  <c r="AB190" i="1"/>
  <c r="AC190" i="1"/>
  <c r="AD190" i="1"/>
  <c r="T190" i="1" s="1"/>
  <c r="AE190" i="1"/>
  <c r="R53" i="3" s="1"/>
  <c r="AF190" i="1"/>
  <c r="AH240" i="1"/>
  <c r="AM240" i="1"/>
  <c r="AN24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41" i="1"/>
  <c r="AM241" i="1"/>
  <c r="AN24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42" i="1"/>
  <c r="AM242" i="1"/>
  <c r="AN24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43" i="1"/>
  <c r="AM243" i="1"/>
  <c r="AN24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44" i="1"/>
  <c r="AM244" i="1"/>
  <c r="AN244" i="1"/>
  <c r="K195" i="1"/>
  <c r="L195" i="1"/>
  <c r="M195" i="1"/>
  <c r="N195" i="1" s="1"/>
  <c r="V195" i="1"/>
  <c r="S52" i="3" s="1"/>
  <c r="Y195" i="1"/>
  <c r="Z195" i="1"/>
  <c r="AA195" i="1" s="1"/>
  <c r="AB195" i="1"/>
  <c r="AC195" i="1"/>
  <c r="AD195" i="1"/>
  <c r="T195" i="1" s="1"/>
  <c r="AE195" i="1"/>
  <c r="R52" i="3" s="1"/>
  <c r="AF195" i="1"/>
  <c r="AH245" i="1"/>
  <c r="AM245" i="1"/>
  <c r="AN24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6" i="1"/>
  <c r="AM246" i="1"/>
  <c r="AN24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7" i="1"/>
  <c r="AM247" i="1"/>
  <c r="AN24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8" i="1"/>
  <c r="AM248" i="1"/>
  <c r="AN248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49" i="1"/>
  <c r="AM249" i="1"/>
  <c r="AN24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50" i="1"/>
  <c r="AM250" i="1"/>
  <c r="AN25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51" i="1"/>
  <c r="AM251" i="1"/>
  <c r="AN251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52" i="1"/>
  <c r="AM252" i="1"/>
  <c r="AN25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3" i="1"/>
  <c r="AM253" i="1"/>
  <c r="AN25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54" i="1"/>
  <c r="AM254" i="1"/>
  <c r="AN25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55" i="1"/>
  <c r="AM255" i="1"/>
  <c r="AN255" i="1"/>
  <c r="K262" i="1"/>
  <c r="L262" i="1"/>
  <c r="M262" i="1"/>
  <c r="N262" i="1" s="1"/>
  <c r="V262" i="1"/>
  <c r="Y262" i="1"/>
  <c r="Z262" i="1"/>
  <c r="AB262" i="1"/>
  <c r="AC262" i="1"/>
  <c r="AD262" i="1"/>
  <c r="T262" i="1" s="1"/>
  <c r="AE262" i="1"/>
  <c r="AF262" i="1"/>
  <c r="AH256" i="1"/>
  <c r="AM256" i="1"/>
  <c r="AN256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57" i="1"/>
  <c r="AM257" i="1"/>
  <c r="AN257" i="1"/>
  <c r="K264" i="1"/>
  <c r="L264" i="1"/>
  <c r="M264" i="1"/>
  <c r="N264" i="1" s="1"/>
  <c r="V264" i="1"/>
  <c r="Y264" i="1"/>
  <c r="Z264" i="1"/>
  <c r="AB264" i="1"/>
  <c r="AC264" i="1"/>
  <c r="AD264" i="1"/>
  <c r="AE264" i="1"/>
  <c r="AF264" i="1"/>
  <c r="AH258" i="1"/>
  <c r="AM258" i="1"/>
  <c r="AN258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H259" i="1"/>
  <c r="AM259" i="1"/>
  <c r="AN259" i="1"/>
  <c r="K266" i="1"/>
  <c r="L266" i="1"/>
  <c r="M266" i="1"/>
  <c r="N266" i="1" s="1"/>
  <c r="V266" i="1"/>
  <c r="Y266" i="1"/>
  <c r="Z266" i="1"/>
  <c r="AB266" i="1"/>
  <c r="AC266" i="1"/>
  <c r="AD266" i="1"/>
  <c r="T266" i="1" s="1"/>
  <c r="AE266" i="1"/>
  <c r="AF266" i="1"/>
  <c r="AH260" i="1"/>
  <c r="AM260" i="1"/>
  <c r="AN260" i="1"/>
  <c r="K267" i="1"/>
  <c r="L267" i="1"/>
  <c r="M267" i="1"/>
  <c r="N267" i="1" s="1"/>
  <c r="V267" i="1"/>
  <c r="Y267" i="1"/>
  <c r="Z267" i="1"/>
  <c r="AB267" i="1"/>
  <c r="AC267" i="1"/>
  <c r="AD267" i="1"/>
  <c r="T267" i="1" s="1"/>
  <c r="AE267" i="1"/>
  <c r="AF267" i="1"/>
  <c r="AH261" i="1"/>
  <c r="AM261" i="1"/>
  <c r="AN26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62" i="1"/>
  <c r="AM262" i="1"/>
  <c r="AN26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63" i="1"/>
  <c r="AM263" i="1"/>
  <c r="AN26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64" i="1"/>
  <c r="AM264" i="1"/>
  <c r="AN264" i="1"/>
  <c r="K225" i="1"/>
  <c r="L225" i="1"/>
  <c r="M225" i="1"/>
  <c r="N225" i="1" s="1"/>
  <c r="V225" i="1"/>
  <c r="S54" i="3" s="1"/>
  <c r="Y225" i="1"/>
  <c r="Z225" i="1"/>
  <c r="AA225" i="1" s="1"/>
  <c r="AB225" i="1"/>
  <c r="AC225" i="1"/>
  <c r="AD225" i="1"/>
  <c r="T225" i="1" s="1"/>
  <c r="AE225" i="1"/>
  <c r="R54" i="3" s="1"/>
  <c r="AF225" i="1"/>
  <c r="AH265" i="1"/>
  <c r="AM265" i="1"/>
  <c r="AN265" i="1"/>
  <c r="K226" i="1"/>
  <c r="L226" i="1"/>
  <c r="M226" i="1"/>
  <c r="N226" i="1" s="1"/>
  <c r="T226" i="1"/>
  <c r="V226" i="1"/>
  <c r="Y226" i="1"/>
  <c r="Z226" i="1"/>
  <c r="AB226" i="1"/>
  <c r="AC226" i="1"/>
  <c r="AD226" i="1"/>
  <c r="AE226" i="1"/>
  <c r="AF226" i="1"/>
  <c r="AH266" i="1"/>
  <c r="AM266" i="1"/>
  <c r="AN26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67" i="1"/>
  <c r="AM267" i="1"/>
  <c r="AN267" i="1"/>
  <c r="M36" i="3"/>
  <c r="R36" i="3"/>
  <c r="S36" i="3"/>
  <c r="U36" i="3"/>
  <c r="T36" i="3" s="1"/>
  <c r="V36" i="3"/>
  <c r="X36" i="3"/>
  <c r="M48" i="3"/>
  <c r="U48" i="3"/>
  <c r="AD48" i="3" s="1"/>
  <c r="V48" i="3"/>
  <c r="X48" i="3"/>
  <c r="M51" i="3"/>
  <c r="U51" i="3"/>
  <c r="AC51" i="3" s="1"/>
  <c r="V51" i="3"/>
  <c r="X51" i="3"/>
  <c r="M47" i="3"/>
  <c r="S47" i="3"/>
  <c r="U47" i="3"/>
  <c r="AC47" i="3" s="1"/>
  <c r="V47" i="3"/>
  <c r="X47" i="3"/>
  <c r="M27" i="3"/>
  <c r="S27" i="3"/>
  <c r="U27" i="3"/>
  <c r="T27" i="3" s="1"/>
  <c r="V27" i="3"/>
  <c r="X27" i="3"/>
  <c r="M37" i="3"/>
  <c r="S37" i="3"/>
  <c r="U37" i="3"/>
  <c r="AC37" i="3" s="1"/>
  <c r="V37" i="3"/>
  <c r="X37" i="3"/>
  <c r="M28" i="3"/>
  <c r="U28" i="3"/>
  <c r="AC28" i="3" s="1"/>
  <c r="V28" i="3"/>
  <c r="X28" i="3"/>
  <c r="M19" i="3"/>
  <c r="R19" i="3"/>
  <c r="S19" i="3"/>
  <c r="U19" i="3"/>
  <c r="AC19" i="3" s="1"/>
  <c r="V19" i="3"/>
  <c r="X19" i="3"/>
  <c r="M20" i="3"/>
  <c r="U20" i="3"/>
  <c r="T20" i="3" s="1"/>
  <c r="V20" i="3"/>
  <c r="X20" i="3"/>
  <c r="M62" i="3"/>
  <c r="S62" i="3"/>
  <c r="U62" i="3"/>
  <c r="AC62" i="3" s="1"/>
  <c r="V62" i="3"/>
  <c r="X62" i="3"/>
  <c r="M70" i="3"/>
  <c r="U70" i="3"/>
  <c r="AC70" i="3" s="1"/>
  <c r="V70" i="3"/>
  <c r="X70" i="3"/>
  <c r="M71" i="3"/>
  <c r="U71" i="3"/>
  <c r="AC71" i="3" s="1"/>
  <c r="V71" i="3"/>
  <c r="X71" i="3"/>
  <c r="M21" i="3"/>
  <c r="S21" i="3"/>
  <c r="U21" i="3"/>
  <c r="T21" i="3" s="1"/>
  <c r="V21" i="3"/>
  <c r="X21" i="3"/>
  <c r="M35" i="3"/>
  <c r="S35" i="3"/>
  <c r="U35" i="3"/>
  <c r="AC35" i="3" s="1"/>
  <c r="V35" i="3"/>
  <c r="X35" i="3"/>
  <c r="M7" i="3"/>
  <c r="R7" i="3"/>
  <c r="U7" i="3"/>
  <c r="V7" i="3"/>
  <c r="X7" i="3"/>
  <c r="M58" i="3"/>
  <c r="U58" i="3"/>
  <c r="AC58" i="3" s="1"/>
  <c r="V58" i="3"/>
  <c r="X58" i="3"/>
  <c r="M65" i="3"/>
  <c r="U65" i="3"/>
  <c r="T65" i="3" s="1"/>
  <c r="V65" i="3"/>
  <c r="X65" i="3"/>
  <c r="M66" i="3"/>
  <c r="S66" i="3"/>
  <c r="U66" i="3"/>
  <c r="AC66" i="3" s="1"/>
  <c r="V66" i="3"/>
  <c r="X66" i="3"/>
  <c r="M55" i="3"/>
  <c r="U55" i="3"/>
  <c r="AD55" i="3" s="1"/>
  <c r="V55" i="3"/>
  <c r="X55" i="3"/>
  <c r="M72" i="3"/>
  <c r="U72" i="3"/>
  <c r="AC72" i="3" s="1"/>
  <c r="V72" i="3"/>
  <c r="X72" i="3"/>
  <c r="M73" i="3"/>
  <c r="U73" i="3"/>
  <c r="T73" i="3" s="1"/>
  <c r="V73" i="3"/>
  <c r="X73" i="3"/>
  <c r="M74" i="3"/>
  <c r="U74" i="3"/>
  <c r="AC74" i="3" s="1"/>
  <c r="V74" i="3"/>
  <c r="X74" i="3"/>
  <c r="M10" i="3"/>
  <c r="R10" i="3"/>
  <c r="U10" i="3"/>
  <c r="V10" i="3"/>
  <c r="X10" i="3"/>
  <c r="M8" i="3"/>
  <c r="R8" i="3"/>
  <c r="U8" i="3"/>
  <c r="AC8" i="3" s="1"/>
  <c r="V8" i="3"/>
  <c r="X8" i="3"/>
  <c r="M41" i="3"/>
  <c r="R41" i="3"/>
  <c r="U41" i="3"/>
  <c r="T41" i="3" s="1"/>
  <c r="V41" i="3"/>
  <c r="X41" i="3"/>
  <c r="M42" i="3"/>
  <c r="R42" i="3"/>
  <c r="S42" i="3"/>
  <c r="U42" i="3"/>
  <c r="AC42" i="3" s="1"/>
  <c r="V42" i="3"/>
  <c r="X42" i="3"/>
  <c r="M67" i="3"/>
  <c r="U67" i="3"/>
  <c r="AD67" i="3" s="1"/>
  <c r="V67" i="3"/>
  <c r="X67" i="3"/>
  <c r="M68" i="3"/>
  <c r="R68" i="3"/>
  <c r="U68" i="3"/>
  <c r="AC68" i="3" s="1"/>
  <c r="V68" i="3"/>
  <c r="X68" i="3"/>
  <c r="M31" i="3"/>
  <c r="R31" i="3"/>
  <c r="U31" i="3"/>
  <c r="T31" i="3" s="1"/>
  <c r="V31" i="3"/>
  <c r="X31" i="3"/>
  <c r="M43" i="3"/>
  <c r="U43" i="3"/>
  <c r="AC43" i="3" s="1"/>
  <c r="V43" i="3"/>
  <c r="X43" i="3"/>
  <c r="M12" i="3"/>
  <c r="R12" i="3"/>
  <c r="U12" i="3"/>
  <c r="AD12" i="3" s="1"/>
  <c r="V12" i="3"/>
  <c r="X12" i="3"/>
  <c r="M63" i="3"/>
  <c r="U63" i="3"/>
  <c r="AC63" i="3" s="1"/>
  <c r="V63" i="3"/>
  <c r="X63" i="3"/>
  <c r="M64" i="3"/>
  <c r="U64" i="3"/>
  <c r="T64" i="3" s="1"/>
  <c r="V64" i="3"/>
  <c r="X64" i="3"/>
  <c r="M75" i="3"/>
  <c r="U75" i="3"/>
  <c r="AC75" i="3" s="1"/>
  <c r="V75" i="3"/>
  <c r="X75" i="3"/>
  <c r="M44" i="3"/>
  <c r="R44" i="3"/>
  <c r="U44" i="3"/>
  <c r="AD44" i="3" s="1"/>
  <c r="V44" i="3"/>
  <c r="X44" i="3"/>
  <c r="M22" i="3"/>
  <c r="R22" i="3"/>
  <c r="U22" i="3"/>
  <c r="AC22" i="3" s="1"/>
  <c r="V22" i="3"/>
  <c r="X22" i="3"/>
  <c r="M57" i="3"/>
  <c r="U57" i="3"/>
  <c r="T57" i="3" s="1"/>
  <c r="V57" i="3"/>
  <c r="X57" i="3"/>
  <c r="M56" i="3"/>
  <c r="U56" i="3"/>
  <c r="AC56" i="3" s="1"/>
  <c r="V56" i="3"/>
  <c r="X56" i="3"/>
  <c r="M11" i="3"/>
  <c r="S11" i="3"/>
  <c r="U11" i="3"/>
  <c r="V11" i="3"/>
  <c r="X11" i="3"/>
  <c r="M23" i="3"/>
  <c r="U23" i="3"/>
  <c r="AC23" i="3" s="1"/>
  <c r="V23" i="3"/>
  <c r="X23" i="3"/>
  <c r="M69" i="3"/>
  <c r="U69" i="3"/>
  <c r="T69" i="3" s="1"/>
  <c r="V69" i="3"/>
  <c r="X69" i="3"/>
  <c r="M14" i="3"/>
  <c r="R14" i="3"/>
  <c r="S14" i="3"/>
  <c r="U14" i="3"/>
  <c r="AC14" i="3" s="1"/>
  <c r="V14" i="3"/>
  <c r="X14" i="3"/>
  <c r="M24" i="3"/>
  <c r="U24" i="3"/>
  <c r="AD24" i="3" s="1"/>
  <c r="V24" i="3"/>
  <c r="X24" i="3"/>
  <c r="M61" i="3"/>
  <c r="S61" i="3"/>
  <c r="U61" i="3"/>
  <c r="AC61" i="3" s="1"/>
  <c r="V61" i="3"/>
  <c r="X61" i="3"/>
  <c r="M59" i="3"/>
  <c r="U59" i="3"/>
  <c r="T59" i="3" s="1"/>
  <c r="V59" i="3"/>
  <c r="X59" i="3"/>
  <c r="M17" i="3"/>
  <c r="U17" i="3"/>
  <c r="AC17" i="3" s="1"/>
  <c r="V17" i="3"/>
  <c r="X17" i="3"/>
  <c r="M60" i="3"/>
  <c r="U60" i="3"/>
  <c r="T60" i="3" s="1"/>
  <c r="V60" i="3"/>
  <c r="X60" i="3"/>
  <c r="M18" i="3"/>
  <c r="U18" i="3"/>
  <c r="AC18" i="3" s="1"/>
  <c r="V18" i="3"/>
  <c r="X18" i="3"/>
  <c r="M32" i="3"/>
  <c r="U32" i="3"/>
  <c r="AD32" i="3" s="1"/>
  <c r="V32" i="3"/>
  <c r="X32" i="3"/>
  <c r="M49" i="3"/>
  <c r="U49" i="3"/>
  <c r="AC49" i="3" s="1"/>
  <c r="V49" i="3"/>
  <c r="X49" i="3"/>
  <c r="M50" i="3"/>
  <c r="U50" i="3"/>
  <c r="V50" i="3"/>
  <c r="X50" i="3"/>
  <c r="M33" i="3"/>
  <c r="R33" i="3"/>
  <c r="U33" i="3"/>
  <c r="AC33" i="3" s="1"/>
  <c r="V33" i="3"/>
  <c r="X33" i="3"/>
  <c r="M45" i="3"/>
  <c r="U45" i="3"/>
  <c r="T45" i="3" s="1"/>
  <c r="V45" i="3"/>
  <c r="X45" i="3"/>
  <c r="M53" i="3"/>
  <c r="U53" i="3"/>
  <c r="V53" i="3"/>
  <c r="X53" i="3"/>
  <c r="M13" i="3"/>
  <c r="U13" i="3"/>
  <c r="V13" i="3"/>
  <c r="X13" i="3"/>
  <c r="M30" i="3"/>
  <c r="R30" i="3"/>
  <c r="U30" i="3"/>
  <c r="AC30" i="3" s="1"/>
  <c r="V30" i="3"/>
  <c r="X30" i="3"/>
  <c r="M34" i="3"/>
  <c r="S34" i="3"/>
  <c r="U34" i="3"/>
  <c r="V34" i="3"/>
  <c r="X34" i="3"/>
  <c r="M52" i="3"/>
  <c r="U52" i="3"/>
  <c r="AC52" i="3" s="1"/>
  <c r="V52" i="3"/>
  <c r="X52" i="3"/>
  <c r="M46" i="3"/>
  <c r="U46" i="3"/>
  <c r="V46" i="3"/>
  <c r="X46" i="3"/>
  <c r="M38" i="3"/>
  <c r="U38" i="3"/>
  <c r="AC38" i="3" s="1"/>
  <c r="V38" i="3"/>
  <c r="X38" i="3"/>
  <c r="M54" i="3"/>
  <c r="U54" i="3"/>
  <c r="T54" i="3" s="1"/>
  <c r="V54" i="3"/>
  <c r="X54" i="3"/>
  <c r="M9" i="3"/>
  <c r="U9" i="3"/>
  <c r="T9" i="3" s="1"/>
  <c r="V9" i="3"/>
  <c r="X9" i="3"/>
  <c r="M25" i="3"/>
  <c r="R25" i="3"/>
  <c r="U25" i="3"/>
  <c r="V25" i="3"/>
  <c r="X25" i="3"/>
  <c r="M39" i="3"/>
  <c r="R39" i="3"/>
  <c r="U39" i="3"/>
  <c r="AC39" i="3" s="1"/>
  <c r="V39" i="3"/>
  <c r="X39" i="3"/>
  <c r="M29" i="3"/>
  <c r="U29" i="3"/>
  <c r="T29" i="3" s="1"/>
  <c r="V29" i="3"/>
  <c r="X29" i="3"/>
  <c r="M26" i="3"/>
  <c r="S26" i="3"/>
  <c r="U26" i="3"/>
  <c r="T26" i="3" s="1"/>
  <c r="V26" i="3"/>
  <c r="X26" i="3"/>
  <c r="M15" i="3"/>
  <c r="U15" i="3"/>
  <c r="AD74" i="3" s="1"/>
  <c r="V15" i="3"/>
  <c r="X15" i="3"/>
  <c r="M40" i="3"/>
  <c r="S40" i="3"/>
  <c r="U40" i="3"/>
  <c r="AC40" i="3" s="1"/>
  <c r="V40" i="3"/>
  <c r="X40" i="3"/>
  <c r="AG185" i="1"/>
  <c r="AG156" i="1"/>
  <c r="AG16" i="1"/>
  <c r="AG32" i="1"/>
  <c r="AG48" i="1"/>
  <c r="AG27" i="1"/>
  <c r="AG43" i="1"/>
  <c r="AG18" i="1"/>
  <c r="AG34" i="1"/>
  <c r="AG50" i="1"/>
  <c r="AG29" i="1"/>
  <c r="AG45" i="1"/>
  <c r="AG60" i="1"/>
  <c r="AG75" i="1"/>
  <c r="AG59" i="1"/>
  <c r="AG58" i="1"/>
  <c r="AG74" i="1"/>
  <c r="AG57" i="1"/>
  <c r="AG73" i="1"/>
  <c r="AG89" i="1"/>
  <c r="AG104" i="1"/>
  <c r="AG88" i="1"/>
  <c r="AG103" i="1"/>
  <c r="AG118" i="1"/>
  <c r="AG98" i="1"/>
  <c r="AG113" i="1"/>
  <c r="AG93" i="1"/>
  <c r="AG109" i="1"/>
  <c r="AG125" i="1"/>
  <c r="AG141" i="1"/>
  <c r="AG120" i="1"/>
  <c r="AG136" i="1"/>
  <c r="AG148" i="1"/>
  <c r="AG123" i="1"/>
  <c r="AG139" i="1"/>
  <c r="AG151" i="1"/>
  <c r="AG134" i="1"/>
  <c r="AG146" i="1"/>
  <c r="AG212" i="1"/>
  <c r="AG234" i="1"/>
  <c r="AG250" i="1"/>
  <c r="AG163" i="1"/>
  <c r="AG155" i="1"/>
  <c r="AG219" i="1"/>
  <c r="AG241" i="1"/>
  <c r="AG257" i="1"/>
  <c r="AG170" i="1"/>
  <c r="AG210" i="1"/>
  <c r="AG232" i="1"/>
  <c r="AG248" i="1"/>
  <c r="AG161" i="1"/>
  <c r="AG153" i="1"/>
  <c r="AG217" i="1"/>
  <c r="AG239" i="1"/>
  <c r="AG255" i="1"/>
  <c r="AG168" i="1"/>
  <c r="AG181" i="1"/>
  <c r="AG198" i="1"/>
  <c r="AG224" i="1"/>
  <c r="AG193" i="1"/>
  <c r="AG265" i="1"/>
  <c r="AG183" i="1"/>
  <c r="AG200" i="1"/>
  <c r="AG226" i="1"/>
  <c r="AG191" i="1"/>
  <c r="AG263" i="1"/>
  <c r="AG79" i="1"/>
  <c r="AG61" i="1"/>
  <c r="AG108" i="1"/>
  <c r="AG107" i="1"/>
  <c r="AG102" i="1"/>
  <c r="AG85" i="1"/>
  <c r="AG112" i="1"/>
  <c r="AG140" i="1"/>
  <c r="AG127" i="1"/>
  <c r="AG122" i="1"/>
  <c r="AG138" i="1"/>
  <c r="AG216" i="1"/>
  <c r="AG254" i="1"/>
  <c r="AG207" i="1"/>
  <c r="AG245" i="1"/>
  <c r="AG174" i="1"/>
  <c r="AG236" i="1"/>
  <c r="AG252" i="1"/>
  <c r="AG158" i="1"/>
  <c r="AG243" i="1"/>
  <c r="AG172" i="1"/>
  <c r="AG202" i="1"/>
  <c r="AG180" i="1"/>
  <c r="AG223" i="1"/>
  <c r="AG188" i="1"/>
  <c r="AG178" i="1"/>
  <c r="AG267" i="1"/>
  <c r="AG40" i="1"/>
  <c r="AG35" i="1"/>
  <c r="AG26" i="1"/>
  <c r="AG21" i="1"/>
  <c r="AG52" i="1"/>
  <c r="AG83" i="1"/>
  <c r="AG82" i="1"/>
  <c r="AG81" i="1"/>
  <c r="AG80" i="1"/>
  <c r="AG111" i="1"/>
  <c r="AG110" i="1"/>
  <c r="AG106" i="1"/>
  <c r="AG101" i="1"/>
  <c r="AG133" i="1"/>
  <c r="AG131" i="1"/>
  <c r="AG126" i="1"/>
  <c r="AG157" i="1"/>
  <c r="AG242" i="1"/>
  <c r="AG171" i="1"/>
  <c r="AG233" i="1"/>
  <c r="AG162" i="1"/>
  <c r="AG218" i="1"/>
  <c r="AG256" i="1"/>
  <c r="AG231" i="1"/>
  <c r="AG160" i="1"/>
  <c r="AG262" i="1"/>
  <c r="AG227" i="1"/>
  <c r="AG182" i="1"/>
  <c r="AG94" i="1"/>
  <c r="AG132" i="1"/>
  <c r="AG119" i="1"/>
  <c r="AG130" i="1"/>
  <c r="AG246" i="1"/>
  <c r="AG215" i="1"/>
  <c r="AG166" i="1"/>
  <c r="AG260" i="1"/>
  <c r="AG251" i="1"/>
  <c r="AG266" i="1"/>
  <c r="AG196" i="1"/>
  <c r="AG20" i="1"/>
  <c r="AG36" i="1"/>
  <c r="AG15" i="1"/>
  <c r="AG31" i="1"/>
  <c r="AG47" i="1"/>
  <c r="AG22" i="1"/>
  <c r="AG38" i="1"/>
  <c r="AG17" i="1"/>
  <c r="AG33" i="1"/>
  <c r="AG49" i="1"/>
  <c r="AG64" i="1"/>
  <c r="AG63" i="1"/>
  <c r="AG78" i="1"/>
  <c r="AG62" i="1"/>
  <c r="AG77" i="1"/>
  <c r="AG76" i="1"/>
  <c r="AG92" i="1"/>
  <c r="AG91" i="1"/>
  <c r="AG87" i="1"/>
  <c r="AG97" i="1"/>
  <c r="AG129" i="1"/>
  <c r="AG124" i="1"/>
  <c r="AG152" i="1"/>
  <c r="AG143" i="1"/>
  <c r="AG150" i="1"/>
  <c r="AG238" i="1"/>
  <c r="AG167" i="1"/>
  <c r="AG229" i="1"/>
  <c r="AG261" i="1"/>
  <c r="AG214" i="1"/>
  <c r="AG165" i="1"/>
  <c r="AG221" i="1"/>
  <c r="AG259" i="1"/>
  <c r="AG186" i="1"/>
  <c r="AG197" i="1"/>
  <c r="AG204" i="1"/>
  <c r="AG195" i="1"/>
  <c r="AG128" i="1"/>
  <c r="AG249" i="1"/>
  <c r="AG169" i="1"/>
  <c r="AG176" i="1"/>
  <c r="AG184" i="1"/>
  <c r="AG192" i="1"/>
  <c r="AG225" i="1"/>
  <c r="AG41" i="1"/>
  <c r="AG71" i="1"/>
  <c r="AG53" i="1"/>
  <c r="AG115" i="1"/>
  <c r="AG114" i="1"/>
  <c r="AG90" i="1"/>
  <c r="AG105" i="1"/>
  <c r="AG149" i="1"/>
  <c r="AG147" i="1"/>
  <c r="AG208" i="1"/>
  <c r="AG159" i="1"/>
  <c r="AG253" i="1"/>
  <c r="AG244" i="1"/>
  <c r="AG235" i="1"/>
  <c r="AG194" i="1"/>
  <c r="AG179" i="1"/>
  <c r="AG203" i="1"/>
  <c r="AG24" i="1"/>
  <c r="AG19" i="1"/>
  <c r="AG51" i="1"/>
  <c r="AG42" i="1"/>
  <c r="AG37" i="1"/>
  <c r="AG68" i="1"/>
  <c r="AG67" i="1"/>
  <c r="AG66" i="1"/>
  <c r="AG65" i="1"/>
  <c r="AG96" i="1"/>
  <c r="AG95" i="1"/>
  <c r="AG86" i="1"/>
  <c r="AG116" i="1"/>
  <c r="AG145" i="1"/>
  <c r="AG117" i="1"/>
  <c r="AG144" i="1"/>
  <c r="AG142" i="1"/>
  <c r="AG220" i="1"/>
  <c r="AG258" i="1"/>
  <c r="AG211" i="1"/>
  <c r="AG154" i="1"/>
  <c r="AG240" i="1"/>
  <c r="AG209" i="1"/>
  <c r="AG247" i="1"/>
  <c r="AG190" i="1"/>
  <c r="AG201" i="1"/>
  <c r="AG264" i="1"/>
  <c r="AG199" i="1"/>
  <c r="AG28" i="1"/>
  <c r="AG44" i="1"/>
  <c r="AG23" i="1"/>
  <c r="AG39" i="1"/>
  <c r="AG14" i="1"/>
  <c r="AG30" i="1"/>
  <c r="AG46" i="1"/>
  <c r="AG25" i="1"/>
  <c r="AG56" i="1"/>
  <c r="AG72" i="1"/>
  <c r="AG55" i="1"/>
  <c r="AG54" i="1"/>
  <c r="AG70" i="1"/>
  <c r="AG69" i="1"/>
  <c r="AG84" i="1"/>
  <c r="AG100" i="1"/>
  <c r="AG99" i="1"/>
  <c r="AG121" i="1"/>
  <c r="AG135" i="1"/>
  <c r="AG175" i="1"/>
  <c r="AG228" i="1"/>
  <c r="AG213" i="1"/>
  <c r="AG177" i="1"/>
  <c r="AG205" i="1"/>
  <c r="AG187" i="1"/>
  <c r="AG137" i="1"/>
  <c r="AG230" i="1"/>
  <c r="AG237" i="1"/>
  <c r="AG206" i="1"/>
  <c r="AG173" i="1"/>
  <c r="AG164" i="1"/>
  <c r="AG189" i="1"/>
  <c r="AG222" i="1"/>
  <c r="W36" i="3"/>
  <c r="W61" i="3"/>
  <c r="W31" i="3"/>
  <c r="W35" i="3"/>
  <c r="W43" i="3"/>
  <c r="W17" i="3"/>
  <c r="W70" i="3"/>
  <c r="W67" i="3"/>
  <c r="W24" i="3"/>
  <c r="W46" i="3"/>
  <c r="W58" i="3"/>
  <c r="W27" i="3"/>
  <c r="W30" i="3"/>
  <c r="W53" i="3"/>
  <c r="W63" i="3"/>
  <c r="W32" i="3"/>
  <c r="W45" i="3"/>
  <c r="W65" i="3"/>
  <c r="W64" i="3"/>
  <c r="W52" i="3"/>
  <c r="W48" i="3"/>
  <c r="W66" i="3"/>
  <c r="W75" i="3"/>
  <c r="W49" i="3"/>
  <c r="W7" i="3"/>
  <c r="W12" i="3"/>
  <c r="W60" i="3"/>
  <c r="W47" i="3"/>
  <c r="W72" i="3"/>
  <c r="W20" i="3"/>
  <c r="W34" i="3"/>
  <c r="W39" i="3"/>
  <c r="W22" i="3"/>
  <c r="W9" i="3"/>
  <c r="W38" i="3"/>
  <c r="W73" i="3"/>
  <c r="W57" i="3"/>
  <c r="W62" i="3"/>
  <c r="W42" i="3"/>
  <c r="W14" i="3"/>
  <c r="W28" i="3"/>
  <c r="W10" i="3"/>
  <c r="W11" i="3"/>
  <c r="W13" i="3"/>
  <c r="W71" i="3"/>
  <c r="W59" i="3"/>
  <c r="W15" i="3"/>
  <c r="W68" i="3"/>
  <c r="W18" i="3"/>
  <c r="W29" i="3"/>
  <c r="W33" i="3"/>
  <c r="W37" i="3"/>
  <c r="W74" i="3"/>
  <c r="W56" i="3"/>
  <c r="W51" i="3"/>
  <c r="W55" i="3"/>
  <c r="W44" i="3"/>
  <c r="W50" i="3"/>
  <c r="W19" i="3"/>
  <c r="W8" i="3"/>
  <c r="W21" i="3"/>
  <c r="W25" i="3"/>
  <c r="W40" i="3"/>
  <c r="W23" i="3"/>
  <c r="W26" i="3"/>
  <c r="W54" i="3"/>
  <c r="W41" i="3"/>
  <c r="W69" i="3"/>
  <c r="S185" i="1" l="1"/>
  <c r="AI185" i="1"/>
  <c r="U185" i="1"/>
  <c r="W185" i="1"/>
  <c r="AI156" i="1"/>
  <c r="U156" i="1"/>
  <c r="S156" i="1" s="1"/>
  <c r="W156" i="1"/>
  <c r="X156" i="1"/>
  <c r="AA208" i="1"/>
  <c r="AA148" i="1"/>
  <c r="X137" i="1"/>
  <c r="AA61" i="1"/>
  <c r="AA59" i="1"/>
  <c r="AA57" i="1"/>
  <c r="AA20" i="1"/>
  <c r="AA239" i="1"/>
  <c r="X21" i="1"/>
  <c r="R26" i="3"/>
  <c r="X58" i="1"/>
  <c r="X54" i="1"/>
  <c r="X113" i="1"/>
  <c r="X109" i="1"/>
  <c r="X112" i="1"/>
  <c r="R49" i="3"/>
  <c r="AD66" i="3"/>
  <c r="S75" i="3"/>
  <c r="S68" i="3"/>
  <c r="AA190" i="1"/>
  <c r="AA211" i="1"/>
  <c r="AA209" i="1"/>
  <c r="AA128" i="1"/>
  <c r="X116" i="1"/>
  <c r="X90" i="1"/>
  <c r="AA31" i="1"/>
  <c r="AA27" i="1"/>
  <c r="X111" i="1"/>
  <c r="AA127" i="1"/>
  <c r="AA56" i="1"/>
  <c r="X110" i="1"/>
  <c r="X77" i="1"/>
  <c r="S50" i="3"/>
  <c r="T63" i="3"/>
  <c r="X250" i="1"/>
  <c r="X247" i="1"/>
  <c r="X129" i="1"/>
  <c r="AA120" i="1"/>
  <c r="AA84" i="1"/>
  <c r="AA80" i="1"/>
  <c r="AA69" i="1"/>
  <c r="X66" i="1"/>
  <c r="T54" i="1"/>
  <c r="X92" i="1"/>
  <c r="R73" i="3"/>
  <c r="T19" i="3"/>
  <c r="AA134" i="1"/>
  <c r="X80" i="1"/>
  <c r="X76" i="1"/>
  <c r="X91" i="1"/>
  <c r="AD47" i="3"/>
  <c r="AD36" i="3"/>
  <c r="AD20" i="3"/>
  <c r="AC36" i="3"/>
  <c r="AA255" i="1"/>
  <c r="AE68" i="3"/>
  <c r="X199" i="1"/>
  <c r="X243" i="1"/>
  <c r="X235" i="1"/>
  <c r="AD68" i="3"/>
  <c r="R72" i="3"/>
  <c r="AE19" i="3"/>
  <c r="R71" i="3"/>
  <c r="AA164" i="1"/>
  <c r="AA162" i="1"/>
  <c r="W162" i="1" s="1"/>
  <c r="AA250" i="1"/>
  <c r="AA249" i="1"/>
  <c r="AA242" i="1"/>
  <c r="AA234" i="1"/>
  <c r="W234" i="1" s="1"/>
  <c r="AA230" i="1"/>
  <c r="X141" i="1"/>
  <c r="AA129" i="1"/>
  <c r="W129" i="1" s="1"/>
  <c r="X70" i="1"/>
  <c r="X62" i="1"/>
  <c r="R60" i="3"/>
  <c r="R57" i="3"/>
  <c r="AD69" i="3"/>
  <c r="AE58" i="3"/>
  <c r="R59" i="3"/>
  <c r="R75" i="3"/>
  <c r="AE35" i="3"/>
  <c r="S74" i="3"/>
  <c r="AE27" i="3"/>
  <c r="S58" i="3"/>
  <c r="S70" i="3"/>
  <c r="AA265" i="1"/>
  <c r="AA187" i="1"/>
  <c r="AA182" i="1"/>
  <c r="W182" i="1" s="1"/>
  <c r="AA178" i="1"/>
  <c r="AA176" i="1"/>
  <c r="AA258" i="1"/>
  <c r="AA219" i="1"/>
  <c r="W219" i="1" s="1"/>
  <c r="T116" i="1"/>
  <c r="AA87" i="1"/>
  <c r="T87" i="1"/>
  <c r="AA86" i="1"/>
  <c r="T85" i="1"/>
  <c r="AA60" i="1"/>
  <c r="AA52" i="1"/>
  <c r="AA48" i="1"/>
  <c r="AA32" i="1"/>
  <c r="X78" i="1"/>
  <c r="X81" i="1"/>
  <c r="AA171" i="1"/>
  <c r="AA163" i="1"/>
  <c r="X160" i="1"/>
  <c r="AA207" i="1"/>
  <c r="AA158" i="1"/>
  <c r="W158" i="1" s="1"/>
  <c r="AA119" i="1"/>
  <c r="AA100" i="1"/>
  <c r="AA90" i="1"/>
  <c r="W90" i="1" s="1"/>
  <c r="X86" i="1"/>
  <c r="AA35" i="1"/>
  <c r="AE67" i="3"/>
  <c r="AE51" i="3"/>
  <c r="R63" i="3"/>
  <c r="R66" i="3"/>
  <c r="X192" i="1"/>
  <c r="AD62" i="3"/>
  <c r="R61" i="3"/>
  <c r="R69" i="3"/>
  <c r="AE47" i="3"/>
  <c r="R55" i="3"/>
  <c r="T58" i="3"/>
  <c r="AD19" i="3"/>
  <c r="R62" i="3"/>
  <c r="X264" i="1"/>
  <c r="X179" i="1"/>
  <c r="X218" i="1"/>
  <c r="AA137" i="1"/>
  <c r="AA107" i="1"/>
  <c r="AA65" i="1"/>
  <c r="AA47" i="1"/>
  <c r="AA43" i="1"/>
  <c r="W43" i="1" s="1"/>
  <c r="X40" i="1"/>
  <c r="AA36" i="1"/>
  <c r="X79" i="1"/>
  <c r="X75" i="1"/>
  <c r="AC15" i="3"/>
  <c r="S60" i="3"/>
  <c r="R74" i="3"/>
  <c r="X183" i="1"/>
  <c r="X167" i="1"/>
  <c r="AA251" i="1"/>
  <c r="X153" i="1"/>
  <c r="AA141" i="1"/>
  <c r="W141" i="1" s="1"/>
  <c r="AA118" i="1"/>
  <c r="AA112" i="1"/>
  <c r="AA45" i="1"/>
  <c r="AA41" i="1"/>
  <c r="W41" i="1" s="1"/>
  <c r="X24" i="1"/>
  <c r="AA19" i="1"/>
  <c r="T15" i="3"/>
  <c r="S39" i="3"/>
  <c r="AE64" i="3"/>
  <c r="S63" i="3"/>
  <c r="S10" i="3"/>
  <c r="S55" i="3"/>
  <c r="X267" i="1"/>
  <c r="AA191" i="1"/>
  <c r="AA175" i="1"/>
  <c r="X150" i="1"/>
  <c r="AD70" i="3"/>
  <c r="T38" i="3"/>
  <c r="AD64" i="3"/>
  <c r="S64" i="3"/>
  <c r="AD27" i="3"/>
  <c r="T72" i="3"/>
  <c r="T71" i="3"/>
  <c r="X222" i="1"/>
  <c r="AC13" i="3"/>
  <c r="AE56" i="3"/>
  <c r="AE55" i="3"/>
  <c r="S59" i="3"/>
  <c r="S57" i="3"/>
  <c r="AC31" i="3"/>
  <c r="AC27" i="3"/>
  <c r="AC48" i="3"/>
  <c r="AA157" i="1"/>
  <c r="AE34" i="3"/>
  <c r="AC45" i="3"/>
  <c r="AD59" i="3"/>
  <c r="T33" i="3"/>
  <c r="AD56" i="3"/>
  <c r="S56" i="3"/>
  <c r="AD31" i="3"/>
  <c r="T8" i="3"/>
  <c r="R58" i="3"/>
  <c r="AC21" i="3"/>
  <c r="X226" i="1"/>
  <c r="AA263" i="1"/>
  <c r="AA202" i="1"/>
  <c r="X195" i="1"/>
  <c r="X182" i="1"/>
  <c r="AA159" i="1"/>
  <c r="X254" i="1"/>
  <c r="X208" i="1"/>
  <c r="X121" i="1"/>
  <c r="X101" i="1"/>
  <c r="AA72" i="1"/>
  <c r="X37" i="1"/>
  <c r="AE74" i="3"/>
  <c r="AD72" i="3"/>
  <c r="AC54" i="3"/>
  <c r="AC34" i="3"/>
  <c r="T34" i="3"/>
  <c r="AC32" i="3"/>
  <c r="T32" i="3"/>
  <c r="AE11" i="3"/>
  <c r="AE42" i="3"/>
  <c r="R64" i="3"/>
  <c r="AE36" i="3"/>
  <c r="AD28" i="3"/>
  <c r="S73" i="3"/>
  <c r="S72" i="3"/>
  <c r="T47" i="3"/>
  <c r="AA227" i="1"/>
  <c r="X225" i="1"/>
  <c r="AA267" i="1"/>
  <c r="AA266" i="1"/>
  <c r="AA203" i="1"/>
  <c r="X200" i="1"/>
  <c r="AA181" i="1"/>
  <c r="X178" i="1"/>
  <c r="AA168" i="1"/>
  <c r="AA166" i="1"/>
  <c r="W166" i="1" s="1"/>
  <c r="X163" i="1"/>
  <c r="AA246" i="1"/>
  <c r="X220" i="1"/>
  <c r="AA216" i="1"/>
  <c r="AA212" i="1"/>
  <c r="AA155" i="1"/>
  <c r="AA153" i="1"/>
  <c r="AA152" i="1"/>
  <c r="W152" i="1" s="1"/>
  <c r="X149" i="1"/>
  <c r="AA145" i="1"/>
  <c r="AA138" i="1"/>
  <c r="AA124" i="1"/>
  <c r="W124" i="1" s="1"/>
  <c r="AA117" i="1"/>
  <c r="AA104" i="1"/>
  <c r="X93" i="1"/>
  <c r="AA75" i="1"/>
  <c r="W75" i="1" s="1"/>
  <c r="AA73" i="1"/>
  <c r="X49" i="1"/>
  <c r="X44" i="1"/>
  <c r="AA30" i="1"/>
  <c r="AA28" i="1"/>
  <c r="AA24" i="1"/>
  <c r="X20" i="1"/>
  <c r="AA16" i="1"/>
  <c r="W16" i="1" s="1"/>
  <c r="AA46" i="1"/>
  <c r="AA44" i="1"/>
  <c r="X29" i="1"/>
  <c r="AA29" i="1"/>
  <c r="W29" i="1" s="1"/>
  <c r="AA224" i="1"/>
  <c r="T222" i="1"/>
  <c r="U222" i="1" s="1"/>
  <c r="S222" i="1" s="1"/>
  <c r="X263" i="1"/>
  <c r="AA205" i="1"/>
  <c r="W205" i="1" s="1"/>
  <c r="X204" i="1"/>
  <c r="AA198" i="1"/>
  <c r="AA194" i="1"/>
  <c r="X191" i="1"/>
  <c r="T179" i="1"/>
  <c r="U179" i="1" s="1"/>
  <c r="S179" i="1" s="1"/>
  <c r="X175" i="1"/>
  <c r="AA165" i="1"/>
  <c r="W165" i="1" s="1"/>
  <c r="X164" i="1"/>
  <c r="X159" i="1"/>
  <c r="AA252" i="1"/>
  <c r="X251" i="1"/>
  <c r="X246" i="1"/>
  <c r="T243" i="1"/>
  <c r="X240" i="1"/>
  <c r="X238" i="1"/>
  <c r="X232" i="1"/>
  <c r="X231" i="1"/>
  <c r="AA220" i="1"/>
  <c r="X214" i="1"/>
  <c r="X213" i="1"/>
  <c r="AA150" i="1"/>
  <c r="T149" i="1"/>
  <c r="AA147" i="1"/>
  <c r="W147" i="1" s="1"/>
  <c r="AA140" i="1"/>
  <c r="AA136" i="1"/>
  <c r="AA132" i="1"/>
  <c r="W132" i="1" s="1"/>
  <c r="X125" i="1"/>
  <c r="AA121" i="1"/>
  <c r="T121" i="1"/>
  <c r="AA115" i="1"/>
  <c r="W115" i="1" s="1"/>
  <c r="AA111" i="1"/>
  <c r="X105" i="1"/>
  <c r="AA105" i="1"/>
  <c r="T101" i="1"/>
  <c r="U101" i="1" s="1"/>
  <c r="S101" i="1" s="1"/>
  <c r="AA97" i="1"/>
  <c r="T93" i="1"/>
  <c r="AA91" i="1"/>
  <c r="X84" i="1"/>
  <c r="AA76" i="1"/>
  <c r="AA68" i="1"/>
  <c r="X65" i="1"/>
  <c r="AA58" i="1"/>
  <c r="T264" i="1"/>
  <c r="X203" i="1"/>
  <c r="X168" i="1"/>
  <c r="X255" i="1"/>
  <c r="X239" i="1"/>
  <c r="X236" i="1"/>
  <c r="X230" i="1"/>
  <c r="T218" i="1"/>
  <c r="X142" i="1"/>
  <c r="X73" i="1"/>
  <c r="T49" i="1"/>
  <c r="U49" i="1" s="1"/>
  <c r="S49" i="1" s="1"/>
  <c r="X41" i="1"/>
  <c r="AA39" i="1"/>
  <c r="X33" i="1"/>
  <c r="AA33" i="1"/>
  <c r="W33" i="1" s="1"/>
  <c r="AA14" i="1"/>
  <c r="AA223" i="1"/>
  <c r="AA262" i="1"/>
  <c r="X196" i="1"/>
  <c r="AA186" i="1"/>
  <c r="X172" i="1"/>
  <c r="AA169" i="1"/>
  <c r="AA167" i="1"/>
  <c r="W167" i="1" s="1"/>
  <c r="X259" i="1"/>
  <c r="AA256" i="1"/>
  <c r="AA254" i="1"/>
  <c r="AA240" i="1"/>
  <c r="W240" i="1" s="1"/>
  <c r="AA238" i="1"/>
  <c r="AA237" i="1"/>
  <c r="AA235" i="1"/>
  <c r="AA232" i="1"/>
  <c r="W232" i="1" s="1"/>
  <c r="AA221" i="1"/>
  <c r="AA218" i="1"/>
  <c r="X217" i="1"/>
  <c r="AA214" i="1"/>
  <c r="W214" i="1" s="1"/>
  <c r="T212" i="1"/>
  <c r="AA210" i="1"/>
  <c r="X209" i="1"/>
  <c r="X152" i="1"/>
  <c r="AA143" i="1"/>
  <c r="AA135" i="1"/>
  <c r="AA126" i="1"/>
  <c r="AA102" i="1"/>
  <c r="AA94" i="1"/>
  <c r="AA89" i="1"/>
  <c r="AA83" i="1"/>
  <c r="W83" i="1" s="1"/>
  <c r="AA79" i="1"/>
  <c r="AA74" i="1"/>
  <c r="X69" i="1"/>
  <c r="AA64" i="1"/>
  <c r="W64" i="1" s="1"/>
  <c r="X61" i="1"/>
  <c r="X57" i="1"/>
  <c r="AA53" i="1"/>
  <c r="AA51" i="1"/>
  <c r="W51" i="1" s="1"/>
  <c r="X45" i="1"/>
  <c r="X36" i="1"/>
  <c r="X25" i="1"/>
  <c r="AA23" i="1"/>
  <c r="W23" i="1" s="1"/>
  <c r="AA21" i="1"/>
  <c r="X17" i="1"/>
  <c r="X177" i="1"/>
  <c r="X176" i="1"/>
  <c r="AA174" i="1"/>
  <c r="X171" i="1"/>
  <c r="T168" i="1"/>
  <c r="AA161" i="1"/>
  <c r="W161" i="1" s="1"/>
  <c r="AA261" i="1"/>
  <c r="X258" i="1"/>
  <c r="T255" i="1"/>
  <c r="AA248" i="1"/>
  <c r="W248" i="1" s="1"/>
  <c r="AA245" i="1"/>
  <c r="X242" i="1"/>
  <c r="AA236" i="1"/>
  <c r="T236" i="1"/>
  <c r="U236" i="1" s="1"/>
  <c r="S236" i="1" s="1"/>
  <c r="X234" i="1"/>
  <c r="AA229" i="1"/>
  <c r="X216" i="1"/>
  <c r="T167" i="1"/>
  <c r="T254" i="1"/>
  <c r="T235" i="1"/>
  <c r="X228" i="1"/>
  <c r="T220" i="1"/>
  <c r="U220" i="1" s="1"/>
  <c r="S220" i="1" s="1"/>
  <c r="X206" i="1"/>
  <c r="T206" i="1"/>
  <c r="T154" i="1"/>
  <c r="X154" i="1"/>
  <c r="AA172" i="1"/>
  <c r="AA259" i="1"/>
  <c r="AA243" i="1"/>
  <c r="X221" i="1"/>
  <c r="AA217" i="1"/>
  <c r="AA226" i="1"/>
  <c r="AA222" i="1"/>
  <c r="AA264" i="1"/>
  <c r="W264" i="1" s="1"/>
  <c r="AA204" i="1"/>
  <c r="AA201" i="1"/>
  <c r="AA200" i="1"/>
  <c r="AA197" i="1"/>
  <c r="W197" i="1" s="1"/>
  <c r="AA196" i="1"/>
  <c r="AA193" i="1"/>
  <c r="AA192" i="1"/>
  <c r="AA189" i="1"/>
  <c r="W189" i="1" s="1"/>
  <c r="AA188" i="1"/>
  <c r="AA184" i="1"/>
  <c r="AA183" i="1"/>
  <c r="AA180" i="1"/>
  <c r="W180" i="1" s="1"/>
  <c r="AA179" i="1"/>
  <c r="AA177" i="1"/>
  <c r="AA173" i="1"/>
  <c r="AA170" i="1"/>
  <c r="W170" i="1" s="1"/>
  <c r="AA160" i="1"/>
  <c r="AA260" i="1"/>
  <c r="AA257" i="1"/>
  <c r="AA247" i="1"/>
  <c r="W247" i="1" s="1"/>
  <c r="AA244" i="1"/>
  <c r="AA241" i="1"/>
  <c r="AA233" i="1"/>
  <c r="AA231" i="1"/>
  <c r="AA228" i="1"/>
  <c r="AA215" i="1"/>
  <c r="AA213" i="1"/>
  <c r="X210" i="1"/>
  <c r="AA206" i="1"/>
  <c r="AA151" i="1"/>
  <c r="AA149" i="1"/>
  <c r="X148" i="1"/>
  <c r="AA142" i="1"/>
  <c r="W142" i="1" s="1"/>
  <c r="T142" i="1"/>
  <c r="T141" i="1"/>
  <c r="AA139" i="1"/>
  <c r="X133" i="1"/>
  <c r="X128" i="1"/>
  <c r="AA125" i="1"/>
  <c r="T125" i="1"/>
  <c r="AA123" i="1"/>
  <c r="W123" i="1" s="1"/>
  <c r="AA122" i="1"/>
  <c r="AA113" i="1"/>
  <c r="AA109" i="1"/>
  <c r="W109" i="1" s="1"/>
  <c r="T105" i="1"/>
  <c r="AA103" i="1"/>
  <c r="AA98" i="1"/>
  <c r="X97" i="1"/>
  <c r="AA93" i="1"/>
  <c r="T90" i="1"/>
  <c r="AA88" i="1"/>
  <c r="AA85" i="1"/>
  <c r="T84" i="1"/>
  <c r="AA82" i="1"/>
  <c r="AA81" i="1"/>
  <c r="T80" i="1"/>
  <c r="AA78" i="1"/>
  <c r="AA77" i="1"/>
  <c r="T76" i="1"/>
  <c r="X74" i="1"/>
  <c r="T58" i="1"/>
  <c r="AA55" i="1"/>
  <c r="AA54" i="1"/>
  <c r="X48" i="1"/>
  <c r="T45" i="1"/>
  <c r="AA38" i="1"/>
  <c r="X32" i="1"/>
  <c r="T29" i="1"/>
  <c r="U29" i="1" s="1"/>
  <c r="S29" i="1" s="1"/>
  <c r="AA22" i="1"/>
  <c r="X16" i="1"/>
  <c r="X140" i="1"/>
  <c r="X124" i="1"/>
  <c r="AA114" i="1"/>
  <c r="AA99" i="1"/>
  <c r="T57" i="1"/>
  <c r="T44" i="1"/>
  <c r="U44" i="1" s="1"/>
  <c r="S44" i="1" s="1"/>
  <c r="AA42" i="1"/>
  <c r="T33" i="1"/>
  <c r="T28" i="1"/>
  <c r="AA26" i="1"/>
  <c r="W26" i="1" s="1"/>
  <c r="AA17" i="1"/>
  <c r="T17" i="1"/>
  <c r="AA154" i="1"/>
  <c r="AA146" i="1"/>
  <c r="W146" i="1" s="1"/>
  <c r="AA144" i="1"/>
  <c r="X136" i="1"/>
  <c r="AA133" i="1"/>
  <c r="AA131" i="1"/>
  <c r="AA130" i="1"/>
  <c r="X120" i="1"/>
  <c r="AA116" i="1"/>
  <c r="AA110" i="1"/>
  <c r="AA106" i="1"/>
  <c r="AA101" i="1"/>
  <c r="W101" i="1" s="1"/>
  <c r="AA95" i="1"/>
  <c r="AA71" i="1"/>
  <c r="AA70" i="1"/>
  <c r="AA67" i="1"/>
  <c r="AA66" i="1"/>
  <c r="AA63" i="1"/>
  <c r="AA62" i="1"/>
  <c r="X53" i="1"/>
  <c r="AA49" i="1"/>
  <c r="X132" i="1"/>
  <c r="AA50" i="1"/>
  <c r="W50" i="1" s="1"/>
  <c r="AA37" i="1"/>
  <c r="AA34" i="1"/>
  <c r="AA25" i="1"/>
  <c r="AA18" i="1"/>
  <c r="W18" i="1" s="1"/>
  <c r="AI265" i="1"/>
  <c r="U225" i="1"/>
  <c r="S225" i="1" s="1"/>
  <c r="AI261" i="1"/>
  <c r="U267" i="1"/>
  <c r="S267" i="1" s="1"/>
  <c r="AI257" i="1"/>
  <c r="U263" i="1"/>
  <c r="S263" i="1" s="1"/>
  <c r="AI253" i="1"/>
  <c r="U203" i="1"/>
  <c r="S203" i="1" s="1"/>
  <c r="AI249" i="1"/>
  <c r="U199" i="1"/>
  <c r="S199" i="1" s="1"/>
  <c r="AI245" i="1"/>
  <c r="U195" i="1"/>
  <c r="S195" i="1" s="1"/>
  <c r="AI241" i="1"/>
  <c r="U191" i="1"/>
  <c r="S191" i="1" s="1"/>
  <c r="AI237" i="1"/>
  <c r="U187" i="1"/>
  <c r="S187" i="1" s="1"/>
  <c r="AI233" i="1"/>
  <c r="U182" i="1"/>
  <c r="S182" i="1" s="1"/>
  <c r="AI229" i="1"/>
  <c r="U178" i="1"/>
  <c r="S178" i="1" s="1"/>
  <c r="AI266" i="1"/>
  <c r="U226" i="1"/>
  <c r="S226" i="1" s="1"/>
  <c r="AI262" i="1"/>
  <c r="AI258" i="1"/>
  <c r="U264" i="1"/>
  <c r="S264" i="1" s="1"/>
  <c r="AI254" i="1"/>
  <c r="U204" i="1"/>
  <c r="S204" i="1" s="1"/>
  <c r="AI250" i="1"/>
  <c r="U200" i="1"/>
  <c r="S200" i="1" s="1"/>
  <c r="AI246" i="1"/>
  <c r="U196" i="1"/>
  <c r="S196" i="1" s="1"/>
  <c r="AI242" i="1"/>
  <c r="U192" i="1"/>
  <c r="S192" i="1" s="1"/>
  <c r="AI238" i="1"/>
  <c r="U188" i="1"/>
  <c r="S188" i="1" s="1"/>
  <c r="AI234" i="1"/>
  <c r="U183" i="1"/>
  <c r="S183" i="1" s="1"/>
  <c r="AI230" i="1"/>
  <c r="U227" i="1"/>
  <c r="S227" i="1" s="1"/>
  <c r="AI267" i="1"/>
  <c r="U223" i="1"/>
  <c r="S223" i="1" s="1"/>
  <c r="AI263" i="1"/>
  <c r="U265" i="1"/>
  <c r="S265" i="1" s="1"/>
  <c r="AI259" i="1"/>
  <c r="U205" i="1"/>
  <c r="S205" i="1" s="1"/>
  <c r="AI255" i="1"/>
  <c r="U201" i="1"/>
  <c r="S201" i="1" s="1"/>
  <c r="AI251" i="1"/>
  <c r="U197" i="1"/>
  <c r="S197" i="1" s="1"/>
  <c r="AI247" i="1"/>
  <c r="U193" i="1"/>
  <c r="S193" i="1" s="1"/>
  <c r="AI243" i="1"/>
  <c r="U189" i="1"/>
  <c r="S189" i="1" s="1"/>
  <c r="AI239" i="1"/>
  <c r="U184" i="1"/>
  <c r="S184" i="1" s="1"/>
  <c r="AI235" i="1"/>
  <c r="U180" i="1"/>
  <c r="S180" i="1" s="1"/>
  <c r="AI231" i="1"/>
  <c r="U224" i="1"/>
  <c r="S224" i="1" s="1"/>
  <c r="AI264" i="1"/>
  <c r="U266" i="1"/>
  <c r="S266" i="1" s="1"/>
  <c r="AI260" i="1"/>
  <c r="U262" i="1"/>
  <c r="S262" i="1" s="1"/>
  <c r="AI256" i="1"/>
  <c r="U202" i="1"/>
  <c r="S202" i="1" s="1"/>
  <c r="AI252" i="1"/>
  <c r="U198" i="1"/>
  <c r="S198" i="1" s="1"/>
  <c r="AI248" i="1"/>
  <c r="U194" i="1"/>
  <c r="S194" i="1" s="1"/>
  <c r="AI244" i="1"/>
  <c r="U190" i="1"/>
  <c r="S190" i="1" s="1"/>
  <c r="AI240" i="1"/>
  <c r="U186" i="1"/>
  <c r="S186" i="1" s="1"/>
  <c r="AI236" i="1"/>
  <c r="U181" i="1"/>
  <c r="S181" i="1" s="1"/>
  <c r="AI232" i="1"/>
  <c r="AI228" i="1"/>
  <c r="U176" i="1"/>
  <c r="S176" i="1" s="1"/>
  <c r="AI227" i="1"/>
  <c r="AI223" i="1"/>
  <c r="U172" i="1"/>
  <c r="S172" i="1" s="1"/>
  <c r="AI219" i="1"/>
  <c r="U168" i="1"/>
  <c r="S168" i="1" s="1"/>
  <c r="AI215" i="1"/>
  <c r="U164" i="1"/>
  <c r="S164" i="1" s="1"/>
  <c r="AI211" i="1"/>
  <c r="U160" i="1"/>
  <c r="S160" i="1" s="1"/>
  <c r="AI207" i="1"/>
  <c r="U259" i="1"/>
  <c r="S259" i="1" s="1"/>
  <c r="AI203" i="1"/>
  <c r="U255" i="1"/>
  <c r="S255" i="1" s="1"/>
  <c r="AI199" i="1"/>
  <c r="U251" i="1"/>
  <c r="S251" i="1" s="1"/>
  <c r="AI195" i="1"/>
  <c r="U247" i="1"/>
  <c r="S247" i="1" s="1"/>
  <c r="AI191" i="1"/>
  <c r="U243" i="1"/>
  <c r="S243" i="1" s="1"/>
  <c r="AI187" i="1"/>
  <c r="U239" i="1"/>
  <c r="S239" i="1" s="1"/>
  <c r="AI182" i="1"/>
  <c r="U235" i="1"/>
  <c r="S235" i="1" s="1"/>
  <c r="AI178" i="1"/>
  <c r="U231" i="1"/>
  <c r="S231" i="1" s="1"/>
  <c r="AI174" i="1"/>
  <c r="U221" i="1"/>
  <c r="S221" i="1" s="1"/>
  <c r="AI170" i="1"/>
  <c r="U217" i="1"/>
  <c r="S217" i="1" s="1"/>
  <c r="AI166" i="1"/>
  <c r="U213" i="1"/>
  <c r="S213" i="1" s="1"/>
  <c r="AI162" i="1"/>
  <c r="U209" i="1"/>
  <c r="S209" i="1" s="1"/>
  <c r="AI158" i="1"/>
  <c r="U158" i="1"/>
  <c r="S158" i="1" s="1"/>
  <c r="U153" i="1"/>
  <c r="S153" i="1" s="1"/>
  <c r="AI153" i="1"/>
  <c r="AI224" i="1"/>
  <c r="U173" i="1"/>
  <c r="S173" i="1" s="1"/>
  <c r="AI220" i="1"/>
  <c r="U169" i="1"/>
  <c r="S169" i="1" s="1"/>
  <c r="AI216" i="1"/>
  <c r="U165" i="1"/>
  <c r="S165" i="1" s="1"/>
  <c r="AI212" i="1"/>
  <c r="U161" i="1"/>
  <c r="S161" i="1" s="1"/>
  <c r="AI208" i="1"/>
  <c r="U260" i="1"/>
  <c r="S260" i="1" s="1"/>
  <c r="AI204" i="1"/>
  <c r="U256" i="1"/>
  <c r="S256" i="1" s="1"/>
  <c r="AI200" i="1"/>
  <c r="U252" i="1"/>
  <c r="S252" i="1" s="1"/>
  <c r="AI196" i="1"/>
  <c r="U248" i="1"/>
  <c r="S248" i="1" s="1"/>
  <c r="AI192" i="1"/>
  <c r="U244" i="1"/>
  <c r="S244" i="1" s="1"/>
  <c r="AI188" i="1"/>
  <c r="U240" i="1"/>
  <c r="S240" i="1" s="1"/>
  <c r="AI183" i="1"/>
  <c r="AI179" i="1"/>
  <c r="U232" i="1"/>
  <c r="S232" i="1" s="1"/>
  <c r="AI175" i="1"/>
  <c r="U228" i="1"/>
  <c r="S228" i="1" s="1"/>
  <c r="AI171" i="1"/>
  <c r="U218" i="1"/>
  <c r="S218" i="1" s="1"/>
  <c r="AI167" i="1"/>
  <c r="U214" i="1"/>
  <c r="S214" i="1" s="1"/>
  <c r="AI163" i="1"/>
  <c r="U210" i="1"/>
  <c r="S210" i="1" s="1"/>
  <c r="AI159" i="1"/>
  <c r="U206" i="1"/>
  <c r="S206" i="1" s="1"/>
  <c r="AI154" i="1"/>
  <c r="U154" i="1"/>
  <c r="S154" i="1" s="1"/>
  <c r="U174" i="1"/>
  <c r="S174" i="1" s="1"/>
  <c r="AI225" i="1"/>
  <c r="U170" i="1"/>
  <c r="S170" i="1" s="1"/>
  <c r="AI221" i="1"/>
  <c r="U166" i="1"/>
  <c r="S166" i="1" s="1"/>
  <c r="AI217" i="1"/>
  <c r="U162" i="1"/>
  <c r="S162" i="1" s="1"/>
  <c r="AI213" i="1"/>
  <c r="U261" i="1"/>
  <c r="S261" i="1" s="1"/>
  <c r="AI209" i="1"/>
  <c r="U257" i="1"/>
  <c r="S257" i="1" s="1"/>
  <c r="AI205" i="1"/>
  <c r="U253" i="1"/>
  <c r="S253" i="1" s="1"/>
  <c r="AI201" i="1"/>
  <c r="U249" i="1"/>
  <c r="S249" i="1" s="1"/>
  <c r="AI197" i="1"/>
  <c r="U245" i="1"/>
  <c r="S245" i="1" s="1"/>
  <c r="AI193" i="1"/>
  <c r="U241" i="1"/>
  <c r="S241" i="1" s="1"/>
  <c r="AI189" i="1"/>
  <c r="U237" i="1"/>
  <c r="S237" i="1" s="1"/>
  <c r="AI184" i="1"/>
  <c r="U233" i="1"/>
  <c r="S233" i="1" s="1"/>
  <c r="AI180" i="1"/>
  <c r="U229" i="1"/>
  <c r="S229" i="1" s="1"/>
  <c r="AI176" i="1"/>
  <c r="U219" i="1"/>
  <c r="S219" i="1" s="1"/>
  <c r="AI172" i="1"/>
  <c r="U215" i="1"/>
  <c r="S215" i="1" s="1"/>
  <c r="AI168" i="1"/>
  <c r="U211" i="1"/>
  <c r="S211" i="1" s="1"/>
  <c r="AI164" i="1"/>
  <c r="U207" i="1"/>
  <c r="S207" i="1" s="1"/>
  <c r="AI160" i="1"/>
  <c r="U155" i="1"/>
  <c r="S155" i="1" s="1"/>
  <c r="AI155" i="1"/>
  <c r="U175" i="1"/>
  <c r="S175" i="1" s="1"/>
  <c r="AI226" i="1"/>
  <c r="U171" i="1"/>
  <c r="S171" i="1" s="1"/>
  <c r="AI222" i="1"/>
  <c r="U167" i="1"/>
  <c r="S167" i="1" s="1"/>
  <c r="AI218" i="1"/>
  <c r="U163" i="1"/>
  <c r="S163" i="1" s="1"/>
  <c r="AI214" i="1"/>
  <c r="U159" i="1"/>
  <c r="S159" i="1" s="1"/>
  <c r="AI210" i="1"/>
  <c r="U258" i="1"/>
  <c r="S258" i="1" s="1"/>
  <c r="AI206" i="1"/>
  <c r="U254" i="1"/>
  <c r="S254" i="1" s="1"/>
  <c r="AI202" i="1"/>
  <c r="U250" i="1"/>
  <c r="S250" i="1" s="1"/>
  <c r="AI198" i="1"/>
  <c r="U246" i="1"/>
  <c r="S246" i="1" s="1"/>
  <c r="AI194" i="1"/>
  <c r="U242" i="1"/>
  <c r="S242" i="1" s="1"/>
  <c r="AI190" i="1"/>
  <c r="U238" i="1"/>
  <c r="S238" i="1" s="1"/>
  <c r="AI186" i="1"/>
  <c r="U234" i="1"/>
  <c r="S234" i="1" s="1"/>
  <c r="AI181" i="1"/>
  <c r="U230" i="1"/>
  <c r="S230" i="1" s="1"/>
  <c r="AI177" i="1"/>
  <c r="AI173" i="1"/>
  <c r="U216" i="1"/>
  <c r="S216" i="1" s="1"/>
  <c r="AI169" i="1"/>
  <c r="U212" i="1"/>
  <c r="S212" i="1" s="1"/>
  <c r="AI165" i="1"/>
  <c r="U208" i="1"/>
  <c r="S208" i="1" s="1"/>
  <c r="AI161" i="1"/>
  <c r="U157" i="1"/>
  <c r="S157" i="1" s="1"/>
  <c r="AI157" i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AI151" i="1"/>
  <c r="AI147" i="1"/>
  <c r="AI144" i="1"/>
  <c r="AI143" i="1"/>
  <c r="AI139" i="1"/>
  <c r="AI135" i="1"/>
  <c r="AI131" i="1"/>
  <c r="AI127" i="1"/>
  <c r="AI123" i="1"/>
  <c r="AI119" i="1"/>
  <c r="AI117" i="1"/>
  <c r="U117" i="1"/>
  <c r="S117" i="1" s="1"/>
  <c r="U152" i="1"/>
  <c r="S152" i="1" s="1"/>
  <c r="AI152" i="1"/>
  <c r="U148" i="1"/>
  <c r="S148" i="1" s="1"/>
  <c r="AI148" i="1"/>
  <c r="U140" i="1"/>
  <c r="S140" i="1" s="1"/>
  <c r="AI140" i="1"/>
  <c r="U136" i="1"/>
  <c r="S136" i="1" s="1"/>
  <c r="AI136" i="1"/>
  <c r="U132" i="1"/>
  <c r="AI132" i="1"/>
  <c r="U128" i="1"/>
  <c r="S128" i="1" s="1"/>
  <c r="AI128" i="1"/>
  <c r="U124" i="1"/>
  <c r="S124" i="1" s="1"/>
  <c r="AI124" i="1"/>
  <c r="U120" i="1"/>
  <c r="S120" i="1" s="1"/>
  <c r="AI120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AI133" i="1"/>
  <c r="U129" i="1"/>
  <c r="S129" i="1" s="1"/>
  <c r="AI129" i="1"/>
  <c r="U125" i="1"/>
  <c r="S125" i="1" s="1"/>
  <c r="AI125" i="1"/>
  <c r="U121" i="1"/>
  <c r="S121" i="1" s="1"/>
  <c r="AI121" i="1"/>
  <c r="AI116" i="1"/>
  <c r="U116" i="1"/>
  <c r="S116" i="1" s="1"/>
  <c r="AI112" i="1"/>
  <c r="U112" i="1"/>
  <c r="S112" i="1" s="1"/>
  <c r="AI109" i="1"/>
  <c r="U109" i="1"/>
  <c r="S109" i="1" s="1"/>
  <c r="AI105" i="1"/>
  <c r="U105" i="1"/>
  <c r="S105" i="1" s="1"/>
  <c r="AI101" i="1"/>
  <c r="AI97" i="1"/>
  <c r="U97" i="1"/>
  <c r="S97" i="1" s="1"/>
  <c r="AI93" i="1"/>
  <c r="U93" i="1"/>
  <c r="S93" i="1" s="1"/>
  <c r="AI90" i="1"/>
  <c r="U90" i="1"/>
  <c r="S90" i="1" s="1"/>
  <c r="U86" i="1"/>
  <c r="S86" i="1" s="1"/>
  <c r="AI86" i="1"/>
  <c r="U85" i="1"/>
  <c r="S85" i="1" s="1"/>
  <c r="AI85" i="1"/>
  <c r="AI113" i="1"/>
  <c r="U113" i="1"/>
  <c r="S113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87" i="1"/>
  <c r="U87" i="1"/>
  <c r="S87" i="1" s="1"/>
  <c r="W118" i="1"/>
  <c r="AI118" i="1"/>
  <c r="U114" i="1"/>
  <c r="S114" i="1" s="1"/>
  <c r="AI114" i="1"/>
  <c r="U110" i="1"/>
  <c r="S110" i="1" s="1"/>
  <c r="AI110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U88" i="1"/>
  <c r="S88" i="1" s="1"/>
  <c r="AI88" i="1"/>
  <c r="U115" i="1"/>
  <c r="S115" i="1" s="1"/>
  <c r="AI115" i="1"/>
  <c r="U111" i="1"/>
  <c r="S111" i="1" s="1"/>
  <c r="AI111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9" i="1"/>
  <c r="S89" i="1" s="1"/>
  <c r="AI89" i="1"/>
  <c r="AI84" i="1"/>
  <c r="U84" i="1"/>
  <c r="S84" i="1" s="1"/>
  <c r="AI80" i="1"/>
  <c r="U80" i="1"/>
  <c r="S80" i="1" s="1"/>
  <c r="AI76" i="1"/>
  <c r="U76" i="1"/>
  <c r="S76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AI81" i="1"/>
  <c r="U81" i="1"/>
  <c r="S81" i="1" s="1"/>
  <c r="AI77" i="1"/>
  <c r="U77" i="1"/>
  <c r="S77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82" i="1"/>
  <c r="S82" i="1" s="1"/>
  <c r="AI82" i="1"/>
  <c r="U78" i="1"/>
  <c r="S78" i="1" s="1"/>
  <c r="AI78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U83" i="1"/>
  <c r="S83" i="1" s="1"/>
  <c r="AI83" i="1"/>
  <c r="U79" i="1"/>
  <c r="S79" i="1" s="1"/>
  <c r="AI79" i="1"/>
  <c r="U75" i="1"/>
  <c r="S75" i="1" s="1"/>
  <c r="AI75" i="1"/>
  <c r="U72" i="1"/>
  <c r="S72" i="1" s="1"/>
  <c r="AI72" i="1"/>
  <c r="U68" i="1"/>
  <c r="S68" i="1" s="1"/>
  <c r="AI68" i="1"/>
  <c r="U64" i="1"/>
  <c r="S64" i="1" s="1"/>
  <c r="AI64" i="1"/>
  <c r="U60" i="1"/>
  <c r="S60" i="1"/>
  <c r="AI60" i="1"/>
  <c r="U56" i="1"/>
  <c r="S56" i="1" s="1"/>
  <c r="AI56" i="1"/>
  <c r="U52" i="1"/>
  <c r="S52" i="1" s="1"/>
  <c r="AI52" i="1"/>
  <c r="AI49" i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76" i="1"/>
  <c r="W225" i="1"/>
  <c r="W267" i="1"/>
  <c r="W263" i="1"/>
  <c r="W203" i="1"/>
  <c r="W199" i="1"/>
  <c r="W195" i="1"/>
  <c r="W191" i="1"/>
  <c r="W187" i="1"/>
  <c r="W178" i="1"/>
  <c r="W175" i="1"/>
  <c r="W227" i="1"/>
  <c r="W226" i="1"/>
  <c r="W224" i="1"/>
  <c r="W223" i="1"/>
  <c r="W222" i="1"/>
  <c r="W266" i="1"/>
  <c r="W265" i="1"/>
  <c r="W262" i="1"/>
  <c r="W204" i="1"/>
  <c r="W202" i="1"/>
  <c r="W201" i="1"/>
  <c r="W200" i="1"/>
  <c r="W198" i="1"/>
  <c r="W196" i="1"/>
  <c r="W194" i="1"/>
  <c r="W193" i="1"/>
  <c r="W192" i="1"/>
  <c r="W190" i="1"/>
  <c r="W188" i="1"/>
  <c r="W186" i="1"/>
  <c r="W184" i="1"/>
  <c r="W183" i="1"/>
  <c r="W181" i="1"/>
  <c r="W179" i="1"/>
  <c r="X224" i="1"/>
  <c r="X266" i="1"/>
  <c r="X262" i="1"/>
  <c r="X202" i="1"/>
  <c r="X198" i="1"/>
  <c r="X194" i="1"/>
  <c r="X190" i="1"/>
  <c r="X181" i="1"/>
  <c r="W171" i="1"/>
  <c r="W168" i="1"/>
  <c r="W258" i="1"/>
  <c r="W255" i="1"/>
  <c r="W252" i="1"/>
  <c r="W249" i="1"/>
  <c r="W242" i="1"/>
  <c r="W237" i="1"/>
  <c r="W218" i="1"/>
  <c r="W216" i="1"/>
  <c r="W206" i="1"/>
  <c r="W177" i="1"/>
  <c r="W172" i="1"/>
  <c r="W169" i="1"/>
  <c r="W159" i="1"/>
  <c r="W259" i="1"/>
  <c r="W256" i="1"/>
  <c r="W253" i="1"/>
  <c r="W246" i="1"/>
  <c r="W243" i="1"/>
  <c r="W239" i="1"/>
  <c r="W230" i="1"/>
  <c r="W217" i="1"/>
  <c r="W212" i="1"/>
  <c r="W207" i="1"/>
  <c r="W157" i="1"/>
  <c r="T177" i="1"/>
  <c r="U177" i="1" s="1"/>
  <c r="S177" i="1" s="1"/>
  <c r="W173" i="1"/>
  <c r="W163" i="1"/>
  <c r="W160" i="1"/>
  <c r="W260" i="1"/>
  <c r="W257" i="1"/>
  <c r="W250" i="1"/>
  <c r="W244" i="1"/>
  <c r="W241" i="1"/>
  <c r="W238" i="1"/>
  <c r="W233" i="1"/>
  <c r="W231" i="1"/>
  <c r="W228" i="1"/>
  <c r="W221" i="1"/>
  <c r="W215" i="1"/>
  <c r="W213" i="1"/>
  <c r="W210" i="1"/>
  <c r="W209" i="1"/>
  <c r="W154" i="1"/>
  <c r="X227" i="1"/>
  <c r="X223" i="1"/>
  <c r="X265" i="1"/>
  <c r="X205" i="1"/>
  <c r="X201" i="1"/>
  <c r="X197" i="1"/>
  <c r="X193" i="1"/>
  <c r="X184" i="1"/>
  <c r="X180" i="1"/>
  <c r="W174" i="1"/>
  <c r="W164" i="1"/>
  <c r="W261" i="1"/>
  <c r="W254" i="1"/>
  <c r="W251" i="1"/>
  <c r="W245" i="1"/>
  <c r="W236" i="1"/>
  <c r="W235" i="1"/>
  <c r="W229" i="1"/>
  <c r="W220" i="1"/>
  <c r="W211" i="1"/>
  <c r="W208" i="1"/>
  <c r="W155" i="1"/>
  <c r="W151" i="1"/>
  <c r="W149" i="1"/>
  <c r="W140" i="1"/>
  <c r="W139" i="1"/>
  <c r="W125" i="1"/>
  <c r="W122" i="1"/>
  <c r="W143" i="1"/>
  <c r="W137" i="1"/>
  <c r="W136" i="1"/>
  <c r="W135" i="1"/>
  <c r="W134" i="1"/>
  <c r="W121" i="1"/>
  <c r="W120" i="1"/>
  <c r="W119" i="1"/>
  <c r="X173" i="1"/>
  <c r="X169" i="1"/>
  <c r="X165" i="1"/>
  <c r="X161" i="1"/>
  <c r="X260" i="1"/>
  <c r="X256" i="1"/>
  <c r="X252" i="1"/>
  <c r="X248" i="1"/>
  <c r="X244" i="1"/>
  <c r="W153" i="1"/>
  <c r="W144" i="1"/>
  <c r="W133" i="1"/>
  <c r="W131" i="1"/>
  <c r="W130" i="1"/>
  <c r="X174" i="1"/>
  <c r="X170" i="1"/>
  <c r="X166" i="1"/>
  <c r="X162" i="1"/>
  <c r="X261" i="1"/>
  <c r="X257" i="1"/>
  <c r="X253" i="1"/>
  <c r="X249" i="1"/>
  <c r="X245" i="1"/>
  <c r="X241" i="1"/>
  <c r="X237" i="1"/>
  <c r="X233" i="1"/>
  <c r="X229" i="1"/>
  <c r="X219" i="1"/>
  <c r="X215" i="1"/>
  <c r="X211" i="1"/>
  <c r="X207" i="1"/>
  <c r="X155" i="1"/>
  <c r="W150" i="1"/>
  <c r="W148" i="1"/>
  <c r="W145" i="1"/>
  <c r="W138" i="1"/>
  <c r="W128" i="1"/>
  <c r="W127" i="1"/>
  <c r="W126" i="1"/>
  <c r="W113" i="1"/>
  <c r="W104" i="1"/>
  <c r="W103" i="1"/>
  <c r="W98" i="1"/>
  <c r="W93" i="1"/>
  <c r="W89" i="1"/>
  <c r="W88" i="1"/>
  <c r="X138" i="1"/>
  <c r="X134" i="1"/>
  <c r="X130" i="1"/>
  <c r="X126" i="1"/>
  <c r="X122" i="1"/>
  <c r="T118" i="1"/>
  <c r="U118" i="1" s="1"/>
  <c r="S118" i="1" s="1"/>
  <c r="X118" i="1"/>
  <c r="W114" i="1"/>
  <c r="W105" i="1"/>
  <c r="W100" i="1"/>
  <c r="W99" i="1"/>
  <c r="W94" i="1"/>
  <c r="X151" i="1"/>
  <c r="T151" i="1"/>
  <c r="U151" i="1" s="1"/>
  <c r="S151" i="1" s="1"/>
  <c r="T147" i="1"/>
  <c r="U147" i="1" s="1"/>
  <c r="S147" i="1" s="1"/>
  <c r="T144" i="1"/>
  <c r="U144" i="1" s="1"/>
  <c r="S144" i="1" s="1"/>
  <c r="T143" i="1"/>
  <c r="U143" i="1" s="1"/>
  <c r="S143" i="1" s="1"/>
  <c r="X139" i="1"/>
  <c r="T139" i="1"/>
  <c r="U139" i="1" s="1"/>
  <c r="S139" i="1" s="1"/>
  <c r="X135" i="1"/>
  <c r="T135" i="1"/>
  <c r="U135" i="1" s="1"/>
  <c r="S135" i="1" s="1"/>
  <c r="X131" i="1"/>
  <c r="T131" i="1"/>
  <c r="U131" i="1" s="1"/>
  <c r="S131" i="1" s="1"/>
  <c r="X127" i="1"/>
  <c r="T127" i="1"/>
  <c r="U127" i="1" s="1"/>
  <c r="S127" i="1" s="1"/>
  <c r="X123" i="1"/>
  <c r="T123" i="1"/>
  <c r="U123" i="1" s="1"/>
  <c r="S123" i="1" s="1"/>
  <c r="X119" i="1"/>
  <c r="T119" i="1"/>
  <c r="U119" i="1" s="1"/>
  <c r="S119" i="1" s="1"/>
  <c r="W111" i="1"/>
  <c r="W110" i="1"/>
  <c r="W106" i="1"/>
  <c r="W96" i="1"/>
  <c r="W95" i="1"/>
  <c r="W117" i="1"/>
  <c r="W116" i="1"/>
  <c r="W112" i="1"/>
  <c r="W108" i="1"/>
  <c r="W107" i="1"/>
  <c r="W102" i="1"/>
  <c r="W97" i="1"/>
  <c r="W92" i="1"/>
  <c r="W91" i="1"/>
  <c r="W87" i="1"/>
  <c r="X115" i="1"/>
  <c r="X108" i="1"/>
  <c r="X104" i="1"/>
  <c r="X100" i="1"/>
  <c r="X96" i="1"/>
  <c r="X89" i="1"/>
  <c r="W82" i="1"/>
  <c r="W81" i="1"/>
  <c r="W79" i="1"/>
  <c r="W78" i="1"/>
  <c r="W77" i="1"/>
  <c r="W57" i="1"/>
  <c r="W55" i="1"/>
  <c r="W54" i="1"/>
  <c r="W52" i="1"/>
  <c r="W69" i="1"/>
  <c r="W65" i="1"/>
  <c r="W61" i="1"/>
  <c r="W59" i="1"/>
  <c r="W58" i="1"/>
  <c r="W56" i="1"/>
  <c r="X117" i="1"/>
  <c r="X106" i="1"/>
  <c r="X102" i="1"/>
  <c r="X98" i="1"/>
  <c r="X94" i="1"/>
  <c r="W86" i="1"/>
  <c r="W73" i="1"/>
  <c r="W71" i="1"/>
  <c r="W70" i="1"/>
  <c r="W67" i="1"/>
  <c r="W66" i="1"/>
  <c r="W63" i="1"/>
  <c r="W62" i="1"/>
  <c r="W60" i="1"/>
  <c r="X114" i="1"/>
  <c r="X107" i="1"/>
  <c r="X103" i="1"/>
  <c r="X99" i="1"/>
  <c r="X95" i="1"/>
  <c r="X88" i="1"/>
  <c r="W85" i="1"/>
  <c r="W84" i="1"/>
  <c r="W80" i="1"/>
  <c r="W76" i="1"/>
  <c r="W74" i="1"/>
  <c r="W72" i="1"/>
  <c r="W68" i="1"/>
  <c r="W53" i="1"/>
  <c r="X83" i="1"/>
  <c r="X72" i="1"/>
  <c r="X68" i="1"/>
  <c r="X64" i="1"/>
  <c r="X60" i="1"/>
  <c r="X56" i="1"/>
  <c r="X52" i="1"/>
  <c r="W44" i="1"/>
  <c r="W39" i="1"/>
  <c r="W38" i="1"/>
  <c r="W28" i="1"/>
  <c r="W22" i="1"/>
  <c r="W48" i="1"/>
  <c r="W45" i="1"/>
  <c r="W42" i="1"/>
  <c r="W32" i="1"/>
  <c r="W27" i="1"/>
  <c r="W17" i="1"/>
  <c r="W49" i="1"/>
  <c r="W47" i="1"/>
  <c r="W46" i="1"/>
  <c r="W36" i="1"/>
  <c r="W31" i="1"/>
  <c r="W30" i="1"/>
  <c r="W21" i="1"/>
  <c r="W20" i="1"/>
  <c r="W15" i="1"/>
  <c r="W14" i="1"/>
  <c r="X82" i="1"/>
  <c r="X71" i="1"/>
  <c r="X67" i="1"/>
  <c r="X63" i="1"/>
  <c r="X59" i="1"/>
  <c r="X55" i="1"/>
  <c r="W40" i="1"/>
  <c r="W37" i="1"/>
  <c r="W35" i="1"/>
  <c r="W34" i="1"/>
  <c r="W25" i="1"/>
  <c r="W24" i="1"/>
  <c r="W19" i="1"/>
  <c r="X50" i="1"/>
  <c r="X46" i="1"/>
  <c r="X42" i="1"/>
  <c r="X38" i="1"/>
  <c r="X34" i="1"/>
  <c r="X30" i="1"/>
  <c r="X26" i="1"/>
  <c r="X22" i="1"/>
  <c r="X18" i="1"/>
  <c r="X51" i="1"/>
  <c r="X47" i="1"/>
  <c r="X43" i="1"/>
  <c r="X39" i="1"/>
  <c r="X35" i="1"/>
  <c r="X31" i="1"/>
  <c r="X27" i="1"/>
  <c r="X23" i="1"/>
  <c r="X19" i="1"/>
  <c r="X15" i="1"/>
  <c r="AE60" i="3"/>
  <c r="T18" i="3"/>
  <c r="AD52" i="3"/>
  <c r="AE50" i="3"/>
  <c r="T23" i="3"/>
  <c r="AC57" i="3"/>
  <c r="AE43" i="3"/>
  <c r="AD17" i="3"/>
  <c r="AD13" i="3"/>
  <c r="AD60" i="3"/>
  <c r="AE59" i="3"/>
  <c r="AE39" i="3"/>
  <c r="AE31" i="3"/>
  <c r="AE23" i="3"/>
  <c r="AD15" i="3"/>
  <c r="AE44" i="3"/>
  <c r="AE38" i="3"/>
  <c r="AD29" i="3"/>
  <c r="AD25" i="3"/>
  <c r="AD21" i="3"/>
  <c r="AD9" i="3"/>
  <c r="AE46" i="3"/>
  <c r="AD40" i="3"/>
  <c r="AD39" i="3"/>
  <c r="AD23" i="3"/>
  <c r="AE15" i="3"/>
  <c r="AD11" i="3"/>
  <c r="AD8" i="3"/>
  <c r="AD73" i="3"/>
  <c r="AE72" i="3"/>
  <c r="AE70" i="3"/>
  <c r="AC46" i="3"/>
  <c r="AD65" i="3"/>
  <c r="AC59" i="3"/>
  <c r="AC69" i="3"/>
  <c r="AD43" i="3"/>
  <c r="T22" i="3"/>
  <c r="AE40" i="3"/>
  <c r="AC41" i="3"/>
  <c r="AC65" i="3"/>
  <c r="AC20" i="3"/>
  <c r="AC29" i="3"/>
  <c r="AC25" i="3"/>
  <c r="T25" i="3"/>
  <c r="AD63" i="3"/>
  <c r="T30" i="3"/>
  <c r="AE54" i="3"/>
  <c r="AE52" i="3"/>
  <c r="AD51" i="3"/>
  <c r="T61" i="3"/>
  <c r="AE48" i="3"/>
  <c r="AC64" i="3"/>
  <c r="AD35" i="3"/>
  <c r="T68" i="3"/>
  <c r="AE32" i="3"/>
  <c r="AC73" i="3"/>
  <c r="Y52" i="3"/>
  <c r="Y33" i="3"/>
  <c r="Y69" i="3"/>
  <c r="Y57" i="3"/>
  <c r="Y64" i="3"/>
  <c r="Y31" i="3"/>
  <c r="Y41" i="3"/>
  <c r="Y73" i="3"/>
  <c r="Y65" i="3"/>
  <c r="Y29" i="3"/>
  <c r="Y54" i="3"/>
  <c r="Y38" i="3"/>
  <c r="Y45" i="3"/>
  <c r="Y18" i="3"/>
  <c r="Y26" i="3"/>
  <c r="Y9" i="3"/>
  <c r="Y32" i="3"/>
  <c r="Y61" i="3"/>
  <c r="Y23" i="3"/>
  <c r="Y22" i="3"/>
  <c r="Y63" i="3"/>
  <c r="Y68" i="3"/>
  <c r="Y40" i="3"/>
  <c r="Y39" i="3"/>
  <c r="Y53" i="3"/>
  <c r="Y15" i="3"/>
  <c r="Y25" i="3"/>
  <c r="Y34" i="3"/>
  <c r="Y30" i="3"/>
  <c r="Y59" i="3"/>
  <c r="Y21" i="3"/>
  <c r="Y20" i="3"/>
  <c r="Y27" i="3"/>
  <c r="Y36" i="3"/>
  <c r="Y8" i="3"/>
  <c r="Y72" i="3"/>
  <c r="Y58" i="3"/>
  <c r="Y71" i="3"/>
  <c r="Y19" i="3"/>
  <c r="Y47" i="3"/>
  <c r="Y46" i="3"/>
  <c r="Y13" i="3"/>
  <c r="Y50" i="3"/>
  <c r="Y60" i="3"/>
  <c r="Y24" i="3"/>
  <c r="Y11" i="3"/>
  <c r="Y44" i="3"/>
  <c r="Y12" i="3"/>
  <c r="Y67" i="3"/>
  <c r="Y10" i="3"/>
  <c r="Y55" i="3"/>
  <c r="Y7" i="3"/>
  <c r="Y70" i="3"/>
  <c r="Y28" i="3"/>
  <c r="Y51" i="3"/>
  <c r="Y49" i="3"/>
  <c r="Y17" i="3"/>
  <c r="Y14" i="3"/>
  <c r="Y56" i="3"/>
  <c r="Y75" i="3"/>
  <c r="Y43" i="3"/>
  <c r="Y42" i="3"/>
  <c r="Y74" i="3"/>
  <c r="Y66" i="3"/>
  <c r="Y35" i="3"/>
  <c r="Y62" i="3"/>
  <c r="Y37" i="3"/>
  <c r="Y48" i="3"/>
  <c r="T53" i="3"/>
  <c r="AE61" i="3"/>
  <c r="AC50" i="3"/>
  <c r="AD58" i="3"/>
  <c r="AD49" i="3"/>
  <c r="T14" i="3"/>
  <c r="AE49" i="3"/>
  <c r="AD45" i="3"/>
  <c r="T56" i="3"/>
  <c r="AE45" i="3"/>
  <c r="AD41" i="3"/>
  <c r="T75" i="3"/>
  <c r="AE41" i="3"/>
  <c r="AD37" i="3"/>
  <c r="T43" i="3"/>
  <c r="AE37" i="3"/>
  <c r="AD33" i="3"/>
  <c r="T42" i="3"/>
  <c r="AE33" i="3"/>
  <c r="AC10" i="3"/>
  <c r="AD30" i="3"/>
  <c r="T10" i="3"/>
  <c r="AE30" i="3"/>
  <c r="AC55" i="3"/>
  <c r="AD26" i="3"/>
  <c r="T55" i="3"/>
  <c r="AE26" i="3"/>
  <c r="AC7" i="3"/>
  <c r="AD22" i="3"/>
  <c r="T7" i="3"/>
  <c r="AE22" i="3"/>
  <c r="AE75" i="3"/>
  <c r="T40" i="3"/>
  <c r="AC26" i="3"/>
  <c r="AE71" i="3"/>
  <c r="T39" i="3"/>
  <c r="AC9" i="3"/>
  <c r="AE66" i="3"/>
  <c r="T13" i="3"/>
  <c r="T50" i="3"/>
  <c r="AC60" i="3"/>
  <c r="AD54" i="3"/>
  <c r="AD57" i="3"/>
  <c r="T49" i="3"/>
  <c r="AE57" i="3"/>
  <c r="AC24" i="3"/>
  <c r="AD50" i="3"/>
  <c r="AC11" i="3"/>
  <c r="AD46" i="3"/>
  <c r="AC44" i="3"/>
  <c r="AD42" i="3"/>
  <c r="AC12" i="3"/>
  <c r="AD38" i="3"/>
  <c r="AC67" i="3"/>
  <c r="AD34" i="3"/>
  <c r="AD75" i="3"/>
  <c r="AD71" i="3"/>
  <c r="T52" i="3"/>
  <c r="AE65" i="3"/>
  <c r="AD61" i="3"/>
  <c r="AE73" i="3"/>
  <c r="AE69" i="3"/>
  <c r="T46" i="3"/>
  <c r="AE63" i="3"/>
  <c r="AE62" i="3"/>
  <c r="AC53" i="3"/>
  <c r="AD53" i="3"/>
  <c r="T17" i="3"/>
  <c r="AE53" i="3"/>
  <c r="T24" i="3"/>
  <c r="T11" i="3"/>
  <c r="T44" i="3"/>
  <c r="T12" i="3"/>
  <c r="T67" i="3"/>
  <c r="AE18" i="3"/>
  <c r="T70" i="3"/>
  <c r="AE14" i="3"/>
  <c r="T28" i="3"/>
  <c r="AE10" i="3"/>
  <c r="T51" i="3"/>
  <c r="AE29" i="3"/>
  <c r="T74" i="3"/>
  <c r="AE25" i="3"/>
  <c r="T66" i="3"/>
  <c r="AE21" i="3"/>
  <c r="T35" i="3"/>
  <c r="AD18" i="3"/>
  <c r="AE17" i="3"/>
  <c r="T62" i="3"/>
  <c r="AD14" i="3"/>
  <c r="AE13" i="3"/>
  <c r="T37" i="3"/>
  <c r="AD10" i="3"/>
  <c r="AE9" i="3"/>
  <c r="T48" i="3"/>
  <c r="AE28" i="3"/>
  <c r="AE24" i="3"/>
  <c r="AE20" i="3"/>
  <c r="AE12" i="3"/>
  <c r="AE8" i="3"/>
  <c r="S16" i="3"/>
  <c r="R16" i="3"/>
  <c r="M16" i="3"/>
  <c r="U16" i="3"/>
  <c r="V16" i="3"/>
  <c r="X16" i="3"/>
  <c r="W16" i="3"/>
  <c r="S132" i="1" l="1"/>
  <c r="T16" i="3"/>
  <c r="AD16" i="3"/>
  <c r="AE16" i="3"/>
  <c r="AC16" i="3"/>
  <c r="Y1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36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48" i="3" s="1"/>
  <c r="G39" i="4"/>
  <c r="G40" i="4"/>
  <c r="G41" i="4"/>
  <c r="G42" i="4"/>
  <c r="G43" i="4"/>
  <c r="G44" i="4"/>
  <c r="G45" i="4"/>
  <c r="N51" i="3" s="1"/>
  <c r="G46" i="4"/>
  <c r="G47" i="4"/>
  <c r="N27" i="3" s="1"/>
  <c r="G48" i="4"/>
  <c r="N37" i="3" s="1"/>
  <c r="G49" i="4"/>
  <c r="G50" i="4"/>
  <c r="G51" i="4"/>
  <c r="N47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20" i="3" s="1"/>
  <c r="G66" i="4"/>
  <c r="G67" i="4"/>
  <c r="G68" i="4"/>
  <c r="G69" i="4"/>
  <c r="G70" i="4"/>
  <c r="G71" i="4"/>
  <c r="G72" i="4"/>
  <c r="G73" i="4"/>
  <c r="G74" i="4"/>
  <c r="G75" i="4"/>
  <c r="G76" i="4"/>
  <c r="N21" i="3" s="1"/>
  <c r="G77" i="4"/>
  <c r="G78" i="4"/>
  <c r="G79" i="4"/>
  <c r="G80" i="4"/>
  <c r="N35" i="3" s="1"/>
  <c r="G81" i="4"/>
  <c r="G82" i="4"/>
  <c r="G83" i="4"/>
  <c r="G84" i="4"/>
  <c r="G85" i="4"/>
  <c r="G86" i="4"/>
  <c r="G87" i="4"/>
  <c r="G88" i="4"/>
  <c r="N7" i="3" s="1"/>
  <c r="G89" i="4"/>
  <c r="G90" i="4"/>
  <c r="G91" i="4"/>
  <c r="G92" i="4"/>
  <c r="G93" i="4"/>
  <c r="G94" i="4"/>
  <c r="G95" i="4"/>
  <c r="N16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N43" i="3" s="1"/>
  <c r="G138" i="4"/>
  <c r="G139" i="4"/>
  <c r="G140" i="4"/>
  <c r="G141" i="4"/>
  <c r="N12" i="3" s="1"/>
  <c r="G142" i="4"/>
  <c r="G143" i="4"/>
  <c r="N31" i="3" s="1"/>
  <c r="G144" i="4"/>
  <c r="G145" i="4"/>
  <c r="G146" i="4"/>
  <c r="G147" i="4"/>
  <c r="G148" i="4"/>
  <c r="G149" i="4"/>
  <c r="G150" i="4"/>
  <c r="G151" i="4"/>
  <c r="G152" i="4"/>
  <c r="G153" i="4"/>
  <c r="G154" i="4"/>
  <c r="N44" i="3" s="1"/>
  <c r="G155" i="4"/>
  <c r="G156" i="4"/>
  <c r="G157" i="4"/>
  <c r="N22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N11" i="3" s="1"/>
  <c r="G171" i="4"/>
  <c r="G172" i="4"/>
  <c r="G173" i="4"/>
  <c r="G174" i="4"/>
  <c r="N24" i="3" s="1"/>
  <c r="G175" i="4"/>
  <c r="G176" i="4"/>
  <c r="G177" i="4"/>
  <c r="G178" i="4"/>
  <c r="G179" i="4"/>
  <c r="G180" i="4"/>
  <c r="G181" i="4"/>
  <c r="G182" i="4"/>
  <c r="N17" i="3" s="1"/>
  <c r="G183" i="4"/>
  <c r="G184" i="4"/>
  <c r="G185" i="4"/>
  <c r="G186" i="4"/>
  <c r="G187" i="4"/>
  <c r="G188" i="4"/>
  <c r="G189" i="4"/>
  <c r="G190" i="4"/>
  <c r="G191" i="4"/>
  <c r="G192" i="4"/>
  <c r="N18" i="3" s="1"/>
  <c r="G193" i="4"/>
  <c r="G194" i="4"/>
  <c r="G195" i="4"/>
  <c r="G196" i="4"/>
  <c r="G197" i="4"/>
  <c r="G198" i="4"/>
  <c r="G199" i="4"/>
  <c r="G200" i="4"/>
  <c r="G201" i="4"/>
  <c r="G202" i="4"/>
  <c r="G203" i="4"/>
  <c r="N32" i="3" s="1"/>
  <c r="G204" i="4"/>
  <c r="G205" i="4"/>
  <c r="N45" i="3" s="1"/>
  <c r="G206" i="4"/>
  <c r="G207" i="4"/>
  <c r="N33" i="3" s="1"/>
  <c r="G208" i="4"/>
  <c r="G209" i="4"/>
  <c r="N13" i="3" s="1"/>
  <c r="G210" i="4"/>
  <c r="G211" i="4"/>
  <c r="G212" i="4"/>
  <c r="N53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N30" i="3" s="1"/>
  <c r="G229" i="4"/>
  <c r="G230" i="4"/>
  <c r="G231" i="4"/>
  <c r="N34" i="3" s="1"/>
  <c r="G232" i="4"/>
  <c r="G233" i="4"/>
  <c r="G234" i="4"/>
  <c r="N46" i="3" s="1"/>
  <c r="G235" i="4"/>
  <c r="N52" i="3" s="1"/>
  <c r="G236" i="4"/>
  <c r="G237" i="4"/>
  <c r="N38" i="3" s="1"/>
  <c r="G238" i="4"/>
  <c r="G239" i="4"/>
  <c r="G240" i="4"/>
  <c r="G241" i="4"/>
  <c r="N9" i="3" s="1"/>
  <c r="G242" i="4"/>
  <c r="G243" i="4"/>
  <c r="G244" i="4"/>
  <c r="G245" i="4"/>
  <c r="G246" i="4"/>
  <c r="G247" i="4"/>
  <c r="G248" i="4"/>
  <c r="G249" i="4"/>
  <c r="G250" i="4"/>
  <c r="N54" i="3" s="1"/>
  <c r="G251" i="4"/>
  <c r="G252" i="4"/>
  <c r="G253" i="4"/>
  <c r="G254" i="4"/>
  <c r="G255" i="4"/>
  <c r="G256" i="4"/>
  <c r="G257" i="4"/>
  <c r="G258" i="4"/>
  <c r="G2" i="4"/>
  <c r="N42" i="3" l="1"/>
  <c r="N41" i="3"/>
  <c r="N50" i="3"/>
  <c r="N49" i="3"/>
  <c r="N57" i="3"/>
  <c r="N56" i="3"/>
  <c r="N75" i="3"/>
  <c r="N69" i="3"/>
  <c r="N60" i="3"/>
  <c r="N8" i="3"/>
  <c r="N10" i="3"/>
  <c r="N29" i="3"/>
  <c r="N26" i="3"/>
  <c r="N28" i="3"/>
  <c r="N19" i="3"/>
  <c r="N23" i="3"/>
  <c r="N14" i="3"/>
  <c r="N59" i="3"/>
  <c r="N66" i="3"/>
  <c r="N55" i="3"/>
  <c r="N65" i="3"/>
  <c r="N63" i="3"/>
  <c r="N64" i="3"/>
  <c r="N71" i="3"/>
  <c r="N72" i="3"/>
  <c r="N70" i="3"/>
  <c r="N73" i="3"/>
  <c r="N74" i="3"/>
  <c r="N58" i="3"/>
  <c r="N39" i="3"/>
  <c r="N25" i="3"/>
  <c r="N68" i="3"/>
  <c r="N61" i="3"/>
  <c r="N67" i="3"/>
  <c r="N62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B3" i="6" l="1"/>
  <c r="M26" i="5"/>
  <c r="AH13" i="1" l="1"/>
  <c r="B4" i="6"/>
  <c r="F3" i="6"/>
  <c r="G3" i="6"/>
  <c r="H3" i="6"/>
  <c r="J3" i="6"/>
  <c r="I3" i="6"/>
  <c r="J7" i="1"/>
  <c r="G4" i="6" l="1"/>
  <c r="F4" i="6"/>
  <c r="H4" i="6"/>
  <c r="J4" i="6"/>
  <c r="I4" i="6"/>
  <c r="B5" i="6"/>
  <c r="X6" i="1"/>
  <c r="W6" i="1"/>
  <c r="V6" i="1"/>
  <c r="S6" i="1"/>
  <c r="R2" i="1"/>
  <c r="I2" i="1"/>
  <c r="O6" i="1"/>
  <c r="N6" i="1"/>
  <c r="M6" i="1"/>
  <c r="J6" i="1"/>
  <c r="B6" i="6" l="1"/>
  <c r="I5" i="6"/>
  <c r="G5" i="6"/>
  <c r="H5" i="6"/>
  <c r="J5" i="6"/>
  <c r="F5" i="6"/>
  <c r="P3" i="5"/>
  <c r="G6" i="6" l="1"/>
  <c r="I6" i="6"/>
  <c r="J6" i="6"/>
  <c r="F6" i="6"/>
  <c r="H6" i="6"/>
  <c r="B7" i="6"/>
  <c r="M18" i="5"/>
  <c r="B8" i="6" l="1"/>
  <c r="F7" i="6"/>
  <c r="G7" i="6"/>
  <c r="I7" i="6"/>
  <c r="J7" i="6"/>
  <c r="H7" i="6"/>
  <c r="G282" i="4"/>
  <c r="G283" i="4"/>
  <c r="G284" i="4"/>
  <c r="G285" i="4"/>
  <c r="G286" i="4"/>
  <c r="G287" i="4"/>
  <c r="G288" i="4"/>
  <c r="G289" i="4"/>
  <c r="N40" i="3" s="1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8" i="6" l="1"/>
  <c r="I8" i="6"/>
  <c r="J8" i="6"/>
  <c r="F8" i="6"/>
  <c r="H8" i="6"/>
  <c r="B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0" i="6" l="1"/>
  <c r="F9" i="6"/>
  <c r="G9" i="6"/>
  <c r="I9" i="6"/>
  <c r="H9" i="6"/>
  <c r="J9" i="6"/>
  <c r="G259" i="4"/>
  <c r="G260" i="4"/>
  <c r="N15" i="3" s="1"/>
  <c r="G261" i="4"/>
  <c r="G262" i="4"/>
  <c r="G263" i="4"/>
  <c r="G264" i="4"/>
  <c r="G265" i="4"/>
  <c r="B11" i="6" l="1"/>
  <c r="G10" i="6"/>
  <c r="I10" i="6"/>
  <c r="H10" i="6"/>
  <c r="J10" i="6"/>
  <c r="F10" i="6"/>
  <c r="M14" i="5"/>
  <c r="M13" i="5"/>
  <c r="M12" i="5"/>
  <c r="M11" i="5"/>
  <c r="M10" i="5"/>
  <c r="M9" i="5"/>
  <c r="M8" i="5"/>
  <c r="M7" i="5"/>
  <c r="M6" i="5"/>
  <c r="M5" i="5"/>
  <c r="M4" i="5"/>
  <c r="M3" i="5"/>
  <c r="F11" i="6" l="1"/>
  <c r="G11" i="6"/>
  <c r="I11" i="6"/>
  <c r="J11" i="6"/>
  <c r="H11" i="6"/>
  <c r="B12" i="6"/>
  <c r="O3" i="3"/>
  <c r="H12" i="6" l="1"/>
  <c r="I12" i="6"/>
  <c r="F12" i="6"/>
  <c r="G12" i="6"/>
  <c r="J12" i="6"/>
  <c r="B1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4" i="6" l="1"/>
  <c r="F14" i="6" s="1"/>
  <c r="F13" i="6"/>
  <c r="G13" i="6"/>
  <c r="I13" i="6"/>
  <c r="H13" i="6"/>
  <c r="J13" i="6"/>
  <c r="J8" i="1"/>
  <c r="J4" i="1"/>
  <c r="S8" i="1"/>
  <c r="S4" i="1"/>
  <c r="J14" i="6" l="1"/>
  <c r="I14" i="6"/>
  <c r="G14" i="6"/>
  <c r="H14" i="6"/>
  <c r="B15" i="6"/>
  <c r="S9" i="1"/>
  <c r="J9" i="1"/>
  <c r="B16" i="6" l="1"/>
  <c r="H15" i="6"/>
  <c r="J15" i="6"/>
  <c r="F15" i="6"/>
  <c r="G15" i="6"/>
  <c r="I15" i="6"/>
  <c r="S11" i="1"/>
  <c r="A11" i="1"/>
  <c r="B17" i="6" l="1"/>
  <c r="F16" i="6"/>
  <c r="I16" i="6"/>
  <c r="J16" i="6"/>
  <c r="G16" i="6"/>
  <c r="H16" i="6"/>
  <c r="B1" i="6"/>
  <c r="A5" i="3"/>
  <c r="B18" i="6" l="1"/>
  <c r="G17" i="6"/>
  <c r="H17" i="6"/>
  <c r="F17" i="6"/>
  <c r="I17" i="6"/>
  <c r="J17" i="6"/>
  <c r="G18" i="6" l="1"/>
  <c r="H18" i="6"/>
  <c r="I18" i="6"/>
  <c r="J18" i="6"/>
  <c r="F18" i="6"/>
  <c r="B19" i="6"/>
  <c r="H19" i="6" l="1"/>
  <c r="F19" i="6"/>
  <c r="G19" i="6"/>
  <c r="I19" i="6"/>
  <c r="J19" i="6"/>
  <c r="B20" i="6"/>
  <c r="B21" i="6" l="1"/>
  <c r="G20" i="6"/>
  <c r="H20" i="6"/>
  <c r="I20" i="6"/>
  <c r="J20" i="6"/>
  <c r="F20" i="6"/>
  <c r="B22" i="6" l="1"/>
  <c r="I21" i="6"/>
  <c r="G21" i="6"/>
  <c r="F21" i="6"/>
  <c r="H21" i="6"/>
  <c r="J21" i="6"/>
  <c r="G22" i="6" l="1"/>
  <c r="F22" i="6"/>
  <c r="H22" i="6"/>
  <c r="I22" i="6"/>
  <c r="J22" i="6"/>
  <c r="B23" i="6"/>
  <c r="H23" i="6" l="1"/>
  <c r="J23" i="6"/>
  <c r="F23" i="6"/>
  <c r="G23" i="6"/>
  <c r="I23" i="6"/>
  <c r="B24" i="6"/>
  <c r="B25" i="6" l="1"/>
  <c r="F24" i="6"/>
  <c r="G24" i="6"/>
  <c r="I24" i="6"/>
  <c r="H24" i="6"/>
  <c r="J24" i="6"/>
  <c r="F25" i="6" l="1"/>
  <c r="G25" i="6"/>
  <c r="J25" i="6"/>
  <c r="H25" i="6"/>
  <c r="I25" i="6"/>
  <c r="B26" i="6"/>
  <c r="G26" i="6" l="1"/>
  <c r="J26" i="6"/>
  <c r="F26" i="6"/>
  <c r="H26" i="6"/>
  <c r="I26" i="6"/>
  <c r="B27" i="6"/>
  <c r="B28" i="6" l="1"/>
  <c r="F27" i="6"/>
  <c r="G27" i="6"/>
  <c r="H27" i="6"/>
  <c r="I27" i="6"/>
  <c r="J27" i="6"/>
  <c r="B29" i="6" l="1"/>
  <c r="J28" i="6"/>
  <c r="F28" i="6"/>
  <c r="I28" i="6"/>
  <c r="G28" i="6"/>
  <c r="H28" i="6"/>
  <c r="B30" i="6" l="1"/>
  <c r="G29" i="6"/>
  <c r="H29" i="6"/>
  <c r="F29" i="6"/>
  <c r="I29" i="6"/>
  <c r="J29" i="6"/>
  <c r="G30" i="6" l="1"/>
  <c r="I30" i="6"/>
  <c r="J30" i="6"/>
  <c r="F30" i="6"/>
  <c r="H30" i="6"/>
  <c r="B31" i="6"/>
  <c r="B32" i="6" l="1"/>
  <c r="J31" i="6"/>
  <c r="F31" i="6"/>
  <c r="H31" i="6"/>
  <c r="G31" i="6"/>
  <c r="I31" i="6"/>
  <c r="B33" i="6" l="1"/>
  <c r="H32" i="6"/>
  <c r="F32" i="6"/>
  <c r="I32" i="6"/>
  <c r="J32" i="6"/>
  <c r="G32" i="6"/>
  <c r="B35" i="6" l="1"/>
  <c r="B34" i="6"/>
  <c r="G33" i="6"/>
  <c r="H33" i="6"/>
  <c r="F33" i="6"/>
  <c r="I33" i="6"/>
  <c r="J33" i="6"/>
  <c r="G34" i="6" l="1"/>
  <c r="H34" i="6"/>
  <c r="I34" i="6"/>
  <c r="J34" i="6"/>
  <c r="F34" i="6"/>
  <c r="H35" i="6"/>
  <c r="J35" i="6"/>
  <c r="G35" i="6"/>
  <c r="I35" i="6"/>
  <c r="F3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<sst xmlns="http://schemas.openxmlformats.org/spreadsheetml/2006/main" count="3240" uniqueCount="1056">
  <si>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</si>
  <si>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</si>
  <si>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</si>
  <si>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</si>
  <si>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</si>
  <si>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</si>
  <si>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</si>
  <si>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</si>
  <si>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</si>
  <si>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</si>
  <si>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</si>
  <si>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</si>
  <si>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</si>
  <si>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</si>
  <si>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</si>
  <si>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</si>
  <si>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</si>
  <si>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</si>
  <si>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</si>
  <si>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</si>
  <si>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</si>
  <si>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</si>
  <si>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</si>
  <si>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</si>
  <si>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</si>
  <si>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</si>
  <si>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</si>
  <si>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</si>
  <si>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</si>
  <si>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</si>
  <si>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</si>
  <si>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</si>
  <si>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</si>
  <si>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</si>
  <si>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</si>
  <si>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</si>
  <si>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</si>
  <si>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</si>
  <si>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</si>
  <si>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</si>
  <si>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</si>
  <si>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</si>
  <si>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</si>
  <si>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</si>
  <si>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</si>
  <si>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</si>
  <si>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</si>
  <si>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</si>
  <si>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</si>
  <si>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</si>
  <si>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</si>
  <si>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</si>
  <si>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</si>
  <si>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</si>
  <si>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</si>
  <si>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</si>
  <si>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</si>
  <si>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</si>
  <si>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</si>
  <si>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</si>
  <si>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</si>
  <si>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</si>
  <si>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</si>
  <si>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</si>
  <si>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</si>
  <si>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</si>
  <si>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</si>
  <si>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</si>
  <si>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</si>
  <si>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</si>
  <si>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</si>
  <si>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</si>
  <si>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</si>
  <si>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</si>
  <si>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</si>
  <si>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</si>
  <si>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</si>
  <si>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</si>
  <si>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</si>
  <si>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</si>
  <si>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</si>
  <si>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</si>
  <si>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</si>
  <si>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</si>
  <si>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</si>
  <si>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</si>
  <si>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</si>
  <si>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</si>
  <si>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</si>
  <si>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</si>
  <si>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</si>
  <si>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</si>
  <si>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</si>
  <si>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</si>
  <si>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</si>
  <si>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</si>
  <si>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</si>
  <si>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</si>
  <si>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</si>
  <si>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</si>
  <si>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</si>
  <si>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</si>
  <si>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</si>
  <si>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</si>
  <si>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</si>
  <si>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</si>
  <si>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</si>
  <si>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</si>
  <si>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</si>
  <si>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</si>
  <si>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</si>
  <si>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</si>
  <si>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</si>
  <si>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</si>
  <si>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</si>
  <si>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</si>
  <si>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</si>
  <si>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</si>
  <si>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</si>
  <si>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</si>
  <si>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</si>
  <si>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</si>
  <si>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</si>
  <si>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</si>
  <si>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</si>
  <si>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</si>
  <si>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</si>
  <si>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</si>
  <si>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</si>
  <si>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</si>
  <si>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</si>
  <si>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</si>
  <si>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</si>
  <si>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</si>
  <si>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</si>
  <si>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</si>
  <si>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</si>
  <si>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</si>
  <si>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</si>
  <si>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</si>
  <si>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</si>
  <si>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</si>
  <si>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</si>
  <si>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</si>
  <si>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</si>
  <si>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</si>
  <si>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</si>
  <si>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</si>
  <si>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</si>
  <si>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</si>
  <si>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</si>
  <si>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</si>
  <si>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</si>
  <si>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</si>
  <si>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</si>
  <si>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</si>
  <si>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</si>
  <si>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</si>
  <si>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</si>
  <si>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</si>
  <si>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</si>
  <si>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</si>
  <si>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</si>
  <si>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</si>
  <si>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</si>
  <si>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</si>
  <si>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</si>
  <si>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</si>
  <si>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</si>
  <si>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</si>
  <si>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</si>
  <si>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</si>
  <si>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</si>
  <si>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</si>
  <si>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</si>
  <si>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</si>
  <si>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</si>
  <si>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</si>
  <si>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</si>
  <si>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</si>
  <si>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</si>
  <si>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</si>
  <si>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</si>
  <si>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</si>
  <si>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</si>
  <si>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</si>
  <si>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</si>
  <si>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</si>
  <si>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</si>
  <si>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</si>
  <si>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</si>
  <si>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</si>
  <si>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</si>
  <si>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</si>
  <si>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</si>
  <si>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</si>
  <si>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</si>
  <si>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</si>
  <si>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</si>
  <si>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</si>
  <si>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</si>
  <si>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</si>
  <si>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</si>
  <si>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</si>
  <si>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</si>
  <si>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</si>
  <si>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</si>
  <si>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</si>
  <si>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</si>
  <si>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</si>
  <si>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</si>
  <si>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</si>
  <si>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</si>
  <si>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</si>
  <si>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</si>
  <si>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</si>
  <si>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</si>
  <si>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</si>
  <si>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</si>
  <si>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</si>
  <si>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</si>
  <si>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</si>
  <si>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</si>
  <si>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</si>
  <si>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</si>
  <si>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</si>
  <si>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</si>
  <si>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</si>
  <si>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</si>
  <si>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</si>
  <si>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</si>
  <si>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</si>
  <si>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</si>
  <si>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</si>
  <si>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</si>
  <si>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</si>
  <si>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</si>
  <si>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</si>
  <si>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</si>
  <si>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</si>
  <si>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</si>
  <si>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</si>
  <si>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</si>
  <si>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</si>
  <si>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</si>
  <si>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</si>
  <si>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</si>
  <si>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</si>
  <si>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</si>
  <si>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</si>
  <si>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</si>
  <si>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</si>
  <si>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</si>
  <si>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</si>
  <si>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</si>
  <si>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</si>
  <si>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</si>
  <si>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</si>
  <si>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</si>
  <si>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</si>
  <si>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</si>
  <si>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</si>
  <si>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</si>
  <si>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</si>
  <si>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</si>
  <si>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</si>
  <si>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</si>
  <si>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</si>
  <si>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</si>
  <si>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</si>
  <si>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</si>
  <si>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</si>
  <si>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</si>
  <si>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</si>
  <si>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</si>
  <si>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</si>
  <si>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</si>
  <si>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</si>
  <si>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</si>
  <si>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</si>
  <si>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</si>
  <si>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</si>
  <si>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</si>
  <si>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</si>
  <si>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</si>
  <si>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</si>
  <si>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</si>
  <si>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</si>
  <si>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</si>
  <si>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</si>
  <si>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</si>
  <si>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</si>
  <si>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</si>
  <si>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</si>
  <si>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</si>
  <si>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</si>
  <si>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</si>
  <si>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</si>
  <si>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</si>
  <si>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</si>
  <si>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</si>
  <si>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</si>
  <si>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</si>
  <si>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</si>
  <si>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</si>
  <si>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</si>
  <si>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</si>
  <si>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</si>
  <si>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</si>
  <si>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</si>
  <si>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</si>
  <si>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</si>
  <si>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</si>
  <si>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</si>
  <si>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</si>
  <si>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</si>
  <si>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</si>
  <si>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</si>
  <si>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</si>
  <si>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</si>
  <si>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</si>
  <si>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</si>
  <si>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</si>
  <si>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</si>
  <si>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</si>
  <si>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</si>
  <si>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</si>
  <si>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</si>
  <si>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</si>
  <si>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</si>
  <si>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</si>
  <si>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</si>
  <si>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</si>
  <si>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</si>
  <si>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</si>
  <si>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</si>
  <si>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</si>
  <si>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</si>
  <si>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</si>
  <si>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</si>
  <si>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</si>
  <si>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</si>
  <si>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</si>
  <si>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</si>
  <si>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</si>
  <si>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</si>
  <si>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</si>
  <si>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</si>
  <si>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</si>
  <si>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</si>
  <si>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</si>
  <si>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</si>
  <si>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</si>
  <si>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</si>
  <si>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</si>
  <si>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</si>
  <si>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</si>
  <si>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</si>
  <si>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</si>
  <si>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</si>
  <si>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</si>
  <si>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</si>
  <si>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</si>
  <si>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</si>
  <si>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</si>
  <si>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</si>
  <si>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</si>
  <si>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</si>
  <si>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</si>
  <si>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</si>
  <si>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</si>
  <si>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</si>
  <si>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</si>
  <si>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</si>
  <si>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</si>
  <si>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</si>
  <si>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</si>
  <si>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</si>
  <si>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</si>
  <si>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</si>
  <si>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</si>
  <si>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</si>
  <si>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</si>
  <si>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</si>
  <si>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</si>
  <si>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</si>
  <si>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rtdc.l.rtdc.4049:itc</t>
  </si>
  <si>
    <t>rtdc.l.rtdc.4050:itc</t>
  </si>
  <si>
    <t>rtdc.l.rtdc.4008:itc</t>
  </si>
  <si>
    <t>rtdc.l.rtdc.4054:itc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</si>
  <si>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</si>
  <si>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</si>
  <si>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</si>
  <si>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</si>
  <si>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</si>
  <si>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</si>
  <si>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</si>
  <si>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</si>
  <si>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</si>
  <si>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</si>
  <si>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</si>
  <si>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</si>
  <si>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</si>
  <si>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</si>
  <si>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</si>
  <si>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</si>
  <si>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</si>
  <si>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</si>
  <si>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</si>
  <si>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</si>
  <si>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</si>
  <si>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</si>
  <si>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</si>
  <si>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</si>
  <si>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</si>
  <si>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</si>
  <si>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</si>
  <si>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</si>
  <si>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</si>
  <si>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</si>
  <si>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</si>
  <si>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</si>
  <si>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</si>
  <si>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</si>
  <si>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</si>
  <si>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</si>
  <si>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</si>
  <si>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</si>
  <si>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</si>
  <si>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</si>
  <si>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204:233004</t>
  </si>
  <si>
    <t>rtdc.l.rtdc.4018:itc</t>
  </si>
  <si>
    <t>204:458</t>
  </si>
  <si>
    <t>204:473</t>
  </si>
  <si>
    <t>204:233308</t>
  </si>
  <si>
    <t>rtdc.l.rtdc.4017:itc</t>
  </si>
  <si>
    <t>204:233312</t>
  </si>
  <si>
    <t>204:444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</si>
  <si>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</si>
  <si>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</si>
  <si>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</si>
  <si>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</si>
  <si>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</si>
  <si>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</si>
  <si>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</si>
  <si>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204:437</t>
  </si>
  <si>
    <t>204:475</t>
  </si>
  <si>
    <t>MAELZER</t>
  </si>
  <si>
    <t>KURT</t>
  </si>
  <si>
    <t>MACDONALD</t>
  </si>
  <si>
    <t>BRUDER</t>
  </si>
  <si>
    <t>RICHARD</t>
  </si>
  <si>
    <t>204:232989</t>
  </si>
  <si>
    <t>204:233293</t>
  </si>
  <si>
    <t>300:58944</t>
  </si>
  <si>
    <t>300:58943</t>
  </si>
  <si>
    <t>204:978</t>
  </si>
  <si>
    <t>Onboard in-route failure</t>
  </si>
  <si>
    <t>BONDS</t>
  </si>
  <si>
    <t>REYNALDO</t>
  </si>
  <si>
    <t>204:136</t>
  </si>
  <si>
    <t>204:233310</t>
  </si>
  <si>
    <t>204:232980</t>
  </si>
  <si>
    <t>300:58621</t>
  </si>
  <si>
    <t>300:58946</t>
  </si>
  <si>
    <t>300:58643</t>
  </si>
  <si>
    <t>rtdc.l.rtdc.4011:itc</t>
  </si>
  <si>
    <t>rtdc.l.rtdc.4012:itc</t>
  </si>
  <si>
    <t>YANG</t>
  </si>
  <si>
    <t>JAN</t>
  </si>
  <si>
    <t>204:232992</t>
  </si>
  <si>
    <t>204:233297</t>
  </si>
  <si>
    <t>204:435</t>
  </si>
  <si>
    <t>204:233300</t>
  </si>
  <si>
    <t>204:232998</t>
  </si>
  <si>
    <t>204:233314</t>
  </si>
  <si>
    <t>300:58954</t>
  </si>
  <si>
    <t>Form C</t>
  </si>
  <si>
    <t>rtdc.l.rtdc.4063:itc</t>
  </si>
  <si>
    <t>rtdc.l.rtdc.4064:itc</t>
  </si>
  <si>
    <t>204:233321</t>
  </si>
  <si>
    <t>204:232993</t>
  </si>
  <si>
    <t>204:233295</t>
  </si>
  <si>
    <t>204:232994</t>
  </si>
  <si>
    <t>204:478</t>
  </si>
  <si>
    <t>204:232990</t>
  </si>
  <si>
    <t>204:233332</t>
  </si>
  <si>
    <t>204:160</t>
  </si>
  <si>
    <t>204:165</t>
  </si>
  <si>
    <t>204:471</t>
  </si>
  <si>
    <t>204:703</t>
  </si>
  <si>
    <t>204:983</t>
  </si>
  <si>
    <t>300:58628</t>
  </si>
  <si>
    <t>rtdc.l.rtdc.4025:itc</t>
  </si>
  <si>
    <t>rtdc.l.rtdc.4026:itc</t>
  </si>
  <si>
    <t>NELSON</t>
  </si>
  <si>
    <t>ARIANE</t>
  </si>
  <si>
    <t>204:232969</t>
  </si>
  <si>
    <t>204:232974</t>
  </si>
  <si>
    <t>204:233280</t>
  </si>
  <si>
    <t>204:232987</t>
  </si>
  <si>
    <t>204:232975</t>
  </si>
  <si>
    <t>204:233315</t>
  </si>
  <si>
    <t>204:132</t>
  </si>
  <si>
    <t>204:233278</t>
  </si>
  <si>
    <t>204:232962</t>
  </si>
  <si>
    <t>204:433</t>
  </si>
  <si>
    <t>204:997</t>
  </si>
  <si>
    <t>300:58937</t>
  </si>
  <si>
    <t>204:134</t>
  </si>
  <si>
    <t>204:232991</t>
  </si>
  <si>
    <t>rtdc.l.rtdc.4023:itc</t>
  </si>
  <si>
    <t>rtdc.l.rtdc.4006:itc</t>
  </si>
  <si>
    <t>STARKS</t>
  </si>
  <si>
    <t>ANGELINA</t>
  </si>
  <si>
    <t>rtdc.l.rtdc.4024:itc</t>
  </si>
  <si>
    <t>SPECTOR</t>
  </si>
  <si>
    <t>HUFFSMITH</t>
  </si>
  <si>
    <t>MONTY</t>
  </si>
  <si>
    <t>MILLER</t>
  </si>
  <si>
    <t>KEVIN</t>
  </si>
  <si>
    <t>LOZA</t>
  </si>
  <si>
    <t>FIDEL</t>
  </si>
  <si>
    <t>STEWART</t>
  </si>
  <si>
    <t>LEVIN</t>
  </si>
  <si>
    <t>SCOTT</t>
  </si>
  <si>
    <t>LEVERE</t>
  </si>
  <si>
    <t>CRAIG</t>
  </si>
  <si>
    <t>MOSES</t>
  </si>
  <si>
    <t>BRADLEY</t>
  </si>
  <si>
    <t>DE LA ROSA</t>
  </si>
  <si>
    <t>ALEX</t>
  </si>
  <si>
    <t>242-04</t>
  </si>
  <si>
    <t>309-04</t>
  </si>
  <si>
    <t>244-04</t>
  </si>
  <si>
    <t>311-04</t>
  </si>
  <si>
    <t>313-04</t>
  </si>
  <si>
    <t>204:233274</t>
  </si>
  <si>
    <t>204:232973</t>
  </si>
  <si>
    <t>204:233289</t>
  </si>
  <si>
    <t>204:232955</t>
  </si>
  <si>
    <t>204:172</t>
  </si>
  <si>
    <t>204:233301</t>
  </si>
  <si>
    <t>204:233284</t>
  </si>
  <si>
    <t>204:233317</t>
  </si>
  <si>
    <t>204:233291</t>
  </si>
  <si>
    <t>204:233298</t>
  </si>
  <si>
    <t>204:232977</t>
  </si>
  <si>
    <t>204:232986</t>
  </si>
  <si>
    <t>204:232971</t>
  </si>
  <si>
    <t>204:233079</t>
  </si>
  <si>
    <t>204:232979</t>
  </si>
  <si>
    <t>204:233305</t>
  </si>
  <si>
    <t>204:233069</t>
  </si>
  <si>
    <t>204:233025</t>
  </si>
  <si>
    <t>204:233353</t>
  </si>
  <si>
    <t>204:233053</t>
  </si>
  <si>
    <t>204:233325</t>
  </si>
  <si>
    <t>204:174</t>
  </si>
  <si>
    <t>204:723</t>
  </si>
  <si>
    <t>204:694</t>
  </si>
  <si>
    <t>204:976</t>
  </si>
  <si>
    <t>300:58636</t>
  </si>
  <si>
    <t>204:964</t>
  </si>
  <si>
    <t>300:58952</t>
  </si>
  <si>
    <t>300:58963</t>
  </si>
  <si>
    <t>300:58626</t>
  </si>
  <si>
    <t>204:712</t>
  </si>
  <si>
    <t>204:747</t>
  </si>
  <si>
    <t>204:985</t>
  </si>
  <si>
    <t>204:1177</t>
  </si>
  <si>
    <t>300:58594</t>
  </si>
  <si>
    <t>165-05</t>
  </si>
  <si>
    <t>Delayed by onboard in-route failure</t>
  </si>
  <si>
    <t>115-05</t>
  </si>
  <si>
    <t>rtdc.l.rtdc.4041:itc</t>
  </si>
  <si>
    <t>106-05</t>
  </si>
  <si>
    <t>802-05</t>
  </si>
  <si>
    <t>804-05</t>
  </si>
  <si>
    <t>806-05</t>
  </si>
  <si>
    <t>122-05</t>
  </si>
  <si>
    <t>120-05</t>
  </si>
  <si>
    <t>rtdc.l.rtdc.4005:itc</t>
  </si>
  <si>
    <t>126-05</t>
  </si>
  <si>
    <t>132-05</t>
  </si>
  <si>
    <t>66-05</t>
  </si>
  <si>
    <t>61-05</t>
  </si>
  <si>
    <t>rtdc.l.rtdc.4053:itc</t>
  </si>
  <si>
    <t>138-05</t>
  </si>
  <si>
    <t>140-05</t>
  </si>
  <si>
    <t>SWITCH UNKNOWN</t>
  </si>
  <si>
    <t>Track device (7)</t>
  </si>
  <si>
    <t>149-05</t>
  </si>
  <si>
    <t>Reactive Warning (1)</t>
  </si>
  <si>
    <t>NON SYNCHRONIZED SUBDIV</t>
  </si>
  <si>
    <t>PTC function (8)</t>
  </si>
  <si>
    <t>63-05</t>
  </si>
  <si>
    <t>148-05</t>
  </si>
  <si>
    <t>153-05</t>
  </si>
  <si>
    <t>164-05</t>
  </si>
  <si>
    <t>rtdc.l.rtdc.4062:itc</t>
  </si>
  <si>
    <t>167-05</t>
  </si>
  <si>
    <t>162-05</t>
  </si>
  <si>
    <t>62-05</t>
  </si>
  <si>
    <t>175-05</t>
  </si>
  <si>
    <t>rtdc.l.rtdc.4055:itc</t>
  </si>
  <si>
    <t>170-05</t>
  </si>
  <si>
    <t>181-05</t>
  </si>
  <si>
    <t>174-05</t>
  </si>
  <si>
    <t>176-05</t>
  </si>
  <si>
    <t>187-05</t>
  </si>
  <si>
    <t>193-05</t>
  </si>
  <si>
    <t>194-05</t>
  </si>
  <si>
    <t>828-05</t>
  </si>
  <si>
    <t>rtdc.l.rtdc.4061:itc</t>
  </si>
  <si>
    <t>196-05</t>
  </si>
  <si>
    <t>201-05</t>
  </si>
  <si>
    <t>831-05</t>
  </si>
  <si>
    <t>198-05</t>
  </si>
  <si>
    <t>206-05</t>
  </si>
  <si>
    <t>213-05</t>
  </si>
  <si>
    <t>836-05</t>
  </si>
  <si>
    <t>215-05</t>
  </si>
  <si>
    <t>212-05</t>
  </si>
  <si>
    <t>906-05</t>
  </si>
  <si>
    <t>214-05</t>
  </si>
  <si>
    <t>216-05</t>
  </si>
  <si>
    <t>220-05</t>
  </si>
  <si>
    <t>224-05</t>
  </si>
  <si>
    <t>240-05</t>
  </si>
  <si>
    <t>Y</t>
  </si>
  <si>
    <t>300-05</t>
  </si>
  <si>
    <t>101-05</t>
  </si>
  <si>
    <t>51-05</t>
  </si>
  <si>
    <t>302-05</t>
  </si>
  <si>
    <t>52-05</t>
  </si>
  <si>
    <t>103-05</t>
  </si>
  <si>
    <t>304-05</t>
  </si>
  <si>
    <t>306-05</t>
  </si>
  <si>
    <t>102-05</t>
  </si>
  <si>
    <t>105-05</t>
  </si>
  <si>
    <t>308-05</t>
  </si>
  <si>
    <t>WENDY</t>
  </si>
  <si>
    <t>107-05</t>
  </si>
  <si>
    <t>104-05</t>
  </si>
  <si>
    <t>109-05</t>
  </si>
  <si>
    <t>111-05</t>
  </si>
  <si>
    <t>310-05</t>
  </si>
  <si>
    <t>901-05</t>
  </si>
  <si>
    <t>rtdc.l.rtdc.4056:itc</t>
  </si>
  <si>
    <t>113-05</t>
  </si>
  <si>
    <t>108-05</t>
  </si>
  <si>
    <t>800-05</t>
  </si>
  <si>
    <t>312-05</t>
  </si>
  <si>
    <t>801-05</t>
  </si>
  <si>
    <t>110-05</t>
  </si>
  <si>
    <t>902-05</t>
  </si>
  <si>
    <t>GEBRETEKLE</t>
  </si>
  <si>
    <t>DAGNEW</t>
  </si>
  <si>
    <t>117-05</t>
  </si>
  <si>
    <t>112-05</t>
  </si>
  <si>
    <t>119-05</t>
  </si>
  <si>
    <t>803-05</t>
  </si>
  <si>
    <t>114-05</t>
  </si>
  <si>
    <t>121-05</t>
  </si>
  <si>
    <t>116-05</t>
  </si>
  <si>
    <t>123-05</t>
  </si>
  <si>
    <t>805-05</t>
  </si>
  <si>
    <t>118-05</t>
  </si>
  <si>
    <t>125-05</t>
  </si>
  <si>
    <t>807-05</t>
  </si>
  <si>
    <t>127-05</t>
  </si>
  <si>
    <t>129-05</t>
  </si>
  <si>
    <t>124-05</t>
  </si>
  <si>
    <t>131-05</t>
  </si>
  <si>
    <t>809-05</t>
  </si>
  <si>
    <t>808-05</t>
  </si>
  <si>
    <t>133-05</t>
  </si>
  <si>
    <t>128-05</t>
  </si>
  <si>
    <t>811-05</t>
  </si>
  <si>
    <t>135-05</t>
  </si>
  <si>
    <t>130-05</t>
  </si>
  <si>
    <t>810-05</t>
  </si>
  <si>
    <t>137-05</t>
  </si>
  <si>
    <t>134-05</t>
  </si>
  <si>
    <t>139-05</t>
  </si>
  <si>
    <t>903-05</t>
  </si>
  <si>
    <t>812-05</t>
  </si>
  <si>
    <t>141-05</t>
  </si>
  <si>
    <t>136-05</t>
  </si>
  <si>
    <t>SANTIZO</t>
  </si>
  <si>
    <t>D. EDY</t>
  </si>
  <si>
    <t>143-05</t>
  </si>
  <si>
    <t>813-05</t>
  </si>
  <si>
    <t>PELLITIER</t>
  </si>
  <si>
    <t>GEORGE</t>
  </si>
  <si>
    <t>145-05</t>
  </si>
  <si>
    <t>147-05</t>
  </si>
  <si>
    <t>BARTELL</t>
  </si>
  <si>
    <t>KIM</t>
  </si>
  <si>
    <t>142-05</t>
  </si>
  <si>
    <t>814-05</t>
  </si>
  <si>
    <t>144-05</t>
  </si>
  <si>
    <t>151-05</t>
  </si>
  <si>
    <t>146-05</t>
  </si>
  <si>
    <t>815-05</t>
  </si>
  <si>
    <t>155-05</t>
  </si>
  <si>
    <t>816-05</t>
  </si>
  <si>
    <t>150-05</t>
  </si>
  <si>
    <t>157-05</t>
  </si>
  <si>
    <t>152-05</t>
  </si>
  <si>
    <t>159-05</t>
  </si>
  <si>
    <t>817-05</t>
  </si>
  <si>
    <t>154-05</t>
  </si>
  <si>
    <t>64-05</t>
  </si>
  <si>
    <t>YORK</t>
  </si>
  <si>
    <t>EDGAR</t>
  </si>
  <si>
    <t>156-05</t>
  </si>
  <si>
    <t>161-05</t>
  </si>
  <si>
    <t>163-05</t>
  </si>
  <si>
    <t>818-05</t>
  </si>
  <si>
    <t>158-05</t>
  </si>
  <si>
    <t>160-05</t>
  </si>
  <si>
    <t>819-05</t>
  </si>
  <si>
    <t>169-05</t>
  </si>
  <si>
    <t>RESPASS</t>
  </si>
  <si>
    <t>AARON</t>
  </si>
  <si>
    <t>89-05</t>
  </si>
  <si>
    <t>BROWN</t>
  </si>
  <si>
    <t>JACOB</t>
  </si>
  <si>
    <t>166-05</t>
  </si>
  <si>
    <t>171-05</t>
  </si>
  <si>
    <t>820-05</t>
  </si>
  <si>
    <t>173-05</t>
  </si>
  <si>
    <t>HOLCOMB</t>
  </si>
  <si>
    <t>KAMDEN</t>
  </si>
  <si>
    <t>168-05</t>
  </si>
  <si>
    <t>177-05</t>
  </si>
  <si>
    <t>821-05</t>
  </si>
  <si>
    <t>172-05</t>
  </si>
  <si>
    <t>179-05</t>
  </si>
  <si>
    <t>822-05</t>
  </si>
  <si>
    <t>178-05</t>
  </si>
  <si>
    <t>183-05</t>
  </si>
  <si>
    <t>823-05</t>
  </si>
  <si>
    <t>180-05</t>
  </si>
  <si>
    <t>185-05</t>
  </si>
  <si>
    <t>182-05</t>
  </si>
  <si>
    <t>824-05</t>
  </si>
  <si>
    <t>184-05</t>
  </si>
  <si>
    <t>189-05</t>
  </si>
  <si>
    <t>191-05</t>
  </si>
  <si>
    <t>186-05</t>
  </si>
  <si>
    <t>904-05</t>
  </si>
  <si>
    <t>188-05</t>
  </si>
  <si>
    <t>195-05</t>
  </si>
  <si>
    <t>825-05</t>
  </si>
  <si>
    <t>190-05</t>
  </si>
  <si>
    <t>192-05</t>
  </si>
  <si>
    <t>197-05</t>
  </si>
  <si>
    <t>826-05</t>
  </si>
  <si>
    <t>827-05</t>
  </si>
  <si>
    <t>199-05</t>
  </si>
  <si>
    <t>829-05</t>
  </si>
  <si>
    <t>203-05</t>
  </si>
  <si>
    <t>830-05</t>
  </si>
  <si>
    <t>205-05</t>
  </si>
  <si>
    <t>85-05</t>
  </si>
  <si>
    <t>200-05</t>
  </si>
  <si>
    <t>207-05</t>
  </si>
  <si>
    <t>202-05</t>
  </si>
  <si>
    <t>832-05</t>
  </si>
  <si>
    <t>833-05</t>
  </si>
  <si>
    <t>209-05</t>
  </si>
  <si>
    <t>204-05</t>
  </si>
  <si>
    <t>86-05</t>
  </si>
  <si>
    <t>211-05</t>
  </si>
  <si>
    <t>53-05</t>
  </si>
  <si>
    <t>834-05</t>
  </si>
  <si>
    <t>835-05</t>
  </si>
  <si>
    <t>208-05</t>
  </si>
  <si>
    <t>210-05</t>
  </si>
  <si>
    <t>837-05</t>
  </si>
  <si>
    <t>217-05</t>
  </si>
  <si>
    <t>219-05</t>
  </si>
  <si>
    <t>838-05</t>
  </si>
  <si>
    <t>839-05</t>
  </si>
  <si>
    <t>301-05</t>
  </si>
  <si>
    <t>221-05</t>
  </si>
  <si>
    <t>218-05</t>
  </si>
  <si>
    <t>303-05</t>
  </si>
  <si>
    <t>841-05</t>
  </si>
  <si>
    <t>223-05</t>
  </si>
  <si>
    <t>840-05</t>
  </si>
  <si>
    <t>305-05</t>
  </si>
  <si>
    <t>222-05</t>
  </si>
  <si>
    <t>225-05</t>
  </si>
  <si>
    <t>843-05</t>
  </si>
  <si>
    <t>227-05</t>
  </si>
  <si>
    <t>842-05</t>
  </si>
  <si>
    <t>229-05</t>
  </si>
  <si>
    <t>226-05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</si>
  <si>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</si>
  <si>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</si>
  <si>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</si>
  <si>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</si>
  <si>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</si>
  <si>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</si>
  <si>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</si>
  <si>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</si>
  <si>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</si>
  <si>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</si>
  <si>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</si>
  <si>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</si>
  <si>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</si>
  <si>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</si>
  <si>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</si>
  <si>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</si>
  <si>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</si>
  <si>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</si>
  <si>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</si>
  <si>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</si>
  <si>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</si>
  <si>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</si>
  <si>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</si>
  <si>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</si>
  <si>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</si>
  <si>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</si>
  <si>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Dry</t>
  </si>
  <si>
    <t>Dry and Partly Cloudy</t>
  </si>
  <si>
    <t>204:768</t>
  </si>
  <si>
    <t>204:431</t>
  </si>
  <si>
    <t>204:477</t>
  </si>
  <si>
    <t>204:233318</t>
  </si>
  <si>
    <t>204:233331</t>
  </si>
  <si>
    <t>204:233000</t>
  </si>
  <si>
    <t>204:233276</t>
  </si>
  <si>
    <t>204:67551</t>
  </si>
  <si>
    <t>204:64147</t>
  </si>
  <si>
    <t>204:232981</t>
  </si>
  <si>
    <t>204:233435</t>
  </si>
  <si>
    <t>204:233299</t>
  </si>
  <si>
    <t>204:232964</t>
  </si>
  <si>
    <t>204:233191</t>
  </si>
  <si>
    <t>204:232870</t>
  </si>
  <si>
    <t>204:233337</t>
  </si>
  <si>
    <t>204:232967</t>
  </si>
  <si>
    <t>204:130</t>
  </si>
  <si>
    <t>204:233281</t>
  </si>
  <si>
    <t>204:493</t>
  </si>
  <si>
    <t>204:233399</t>
  </si>
  <si>
    <t>204:161</t>
  </si>
  <si>
    <t>204:233346</t>
  </si>
  <si>
    <t>204:233038</t>
  </si>
  <si>
    <t>204:233364</t>
  </si>
  <si>
    <t>204:233044</t>
  </si>
  <si>
    <t>204:233380</t>
  </si>
  <si>
    <t>204:233068</t>
  </si>
  <si>
    <t>204:129</t>
  </si>
  <si>
    <t>204:232948</t>
  </si>
  <si>
    <t>204:169</t>
  </si>
  <si>
    <t>204:1078</t>
  </si>
  <si>
    <t>204:233402</t>
  </si>
  <si>
    <t>204:233096</t>
  </si>
  <si>
    <t>204:233326</t>
  </si>
  <si>
    <t>204:233391</t>
  </si>
  <si>
    <t>204:233100</t>
  </si>
  <si>
    <t>204:121</t>
  </si>
  <si>
    <t>204:233370</t>
  </si>
  <si>
    <t>204:233006</t>
  </si>
  <si>
    <t>204:233334</t>
  </si>
  <si>
    <t>204:233366</t>
  </si>
  <si>
    <t>204:233057</t>
  </si>
  <si>
    <t>204:424</t>
  </si>
  <si>
    <t>204:233405</t>
  </si>
  <si>
    <t>204:233101</t>
  </si>
  <si>
    <t>204:613</t>
  </si>
  <si>
    <t>204:233040</t>
  </si>
  <si>
    <t>204:429</t>
  </si>
  <si>
    <t>204:233383</t>
  </si>
  <si>
    <t>204:233355</t>
  </si>
  <si>
    <t>204:234</t>
  </si>
  <si>
    <t>204:228068</t>
  </si>
  <si>
    <t>204:236</t>
  </si>
  <si>
    <t>204:57619</t>
  </si>
  <si>
    <t>204:64752</t>
  </si>
  <si>
    <t>204:232965</t>
  </si>
  <si>
    <t>204:233336</t>
  </si>
  <si>
    <t>204:233282</t>
  </si>
  <si>
    <t>204:124895</t>
  </si>
  <si>
    <t>204:882</t>
  </si>
  <si>
    <t>204:232976</t>
  </si>
  <si>
    <t>204:233319</t>
  </si>
  <si>
    <t>204:167</t>
  </si>
  <si>
    <t>204:151</t>
  </si>
  <si>
    <t>300:23603</t>
  </si>
  <si>
    <t>300:23308</t>
  </si>
  <si>
    <t>300:23246</t>
  </si>
  <si>
    <t>300:20614</t>
  </si>
  <si>
    <t>204:539</t>
  </si>
  <si>
    <t>300:23297</t>
  </si>
  <si>
    <t>300:20189</t>
  </si>
  <si>
    <t>204:557</t>
  </si>
  <si>
    <t>300:23302</t>
  </si>
  <si>
    <t>300:23097</t>
  </si>
  <si>
    <t>300:22921</t>
  </si>
  <si>
    <t>300:23472</t>
  </si>
  <si>
    <t>300:23652</t>
  </si>
  <si>
    <t>204:426</t>
  </si>
  <si>
    <t>204:3542</t>
  </si>
  <si>
    <t>204:3215</t>
  </si>
  <si>
    <t>300:18996</t>
  </si>
  <si>
    <t>204:2009</t>
  </si>
  <si>
    <t>300:110061</t>
  </si>
  <si>
    <t>300:46527</t>
  </si>
  <si>
    <t>300:112193</t>
  </si>
  <si>
    <t>300:110047</t>
  </si>
  <si>
    <t>300:112202</t>
  </si>
  <si>
    <t>300:28788</t>
  </si>
  <si>
    <t>300:30220</t>
  </si>
  <si>
    <t>300:112515</t>
  </si>
  <si>
    <t>300:39545</t>
  </si>
  <si>
    <t>300:112513</t>
  </si>
  <si>
    <t>300:112204</t>
  </si>
  <si>
    <t>204:1058</t>
  </si>
  <si>
    <t>300:21718</t>
  </si>
  <si>
    <t>204:450</t>
  </si>
  <si>
    <t>204:1378</t>
  </si>
  <si>
    <t>300:17153</t>
  </si>
  <si>
    <t>204:721</t>
  </si>
  <si>
    <t>300:112504</t>
  </si>
  <si>
    <t>300:23180</t>
  </si>
  <si>
    <t>204:898</t>
  </si>
  <si>
    <t>204:872</t>
  </si>
  <si>
    <t>300:8665</t>
  </si>
  <si>
    <t>204:1175</t>
  </si>
  <si>
    <t>204:1194</t>
  </si>
  <si>
    <t>300:58939</t>
  </si>
  <si>
    <t>204:372</t>
  </si>
  <si>
    <t>300:58961</t>
  </si>
  <si>
    <t>300:8992</t>
  </si>
  <si>
    <t>300:17459</t>
  </si>
  <si>
    <t>204:3424</t>
  </si>
  <si>
    <t>204:1496</t>
  </si>
  <si>
    <t>204:3735</t>
  </si>
  <si>
    <t>204:1171</t>
  </si>
  <si>
    <t>204:3598</t>
  </si>
  <si>
    <t>300:23432</t>
  </si>
  <si>
    <t>300:41987</t>
  </si>
  <si>
    <t>300:42021</t>
  </si>
  <si>
    <t>204:140</t>
  </si>
  <si>
    <t>300:58640</t>
  </si>
  <si>
    <t>300:28784</t>
  </si>
  <si>
    <t>300:58645</t>
  </si>
  <si>
    <t>300:58653</t>
  </si>
  <si>
    <t>204:923</t>
  </si>
  <si>
    <t>204:1238</t>
  </si>
  <si>
    <t>204:448</t>
  </si>
  <si>
    <t>300:42301</t>
  </si>
  <si>
    <t>300:42339</t>
  </si>
  <si>
    <t>300:58975</t>
  </si>
  <si>
    <t>204:3298</t>
  </si>
  <si>
    <t>204:743</t>
  </si>
  <si>
    <t>204:1037</t>
  </si>
  <si>
    <t>300:58926</t>
  </si>
  <si>
    <t>300:58990</t>
  </si>
  <si>
    <t>300:58659</t>
  </si>
  <si>
    <t>204:780</t>
  </si>
  <si>
    <t>204:1004</t>
  </si>
  <si>
    <t>300:58598</t>
  </si>
  <si>
    <t>204:1053</t>
  </si>
  <si>
    <t>300:58670</t>
  </si>
  <si>
    <t>204:705</t>
  </si>
  <si>
    <t>204:1041</t>
  </si>
  <si>
    <t>300:58609</t>
  </si>
  <si>
    <t>204:173</t>
  </si>
  <si>
    <t>300:58980</t>
  </si>
  <si>
    <t>300:58664</t>
  </si>
  <si>
    <t>204:995</t>
  </si>
  <si>
    <t>300:58651</t>
  </si>
  <si>
    <t>204:710</t>
  </si>
  <si>
    <t>204:1002</t>
  </si>
  <si>
    <t>300:58978</t>
  </si>
  <si>
    <t>300:58666</t>
  </si>
  <si>
    <t>300:58658</t>
  </si>
  <si>
    <t>204:988</t>
  </si>
  <si>
    <t>300:58967</t>
  </si>
  <si>
    <t>300:58649</t>
  </si>
  <si>
    <t>204:699</t>
  </si>
  <si>
    <t>204:1009</t>
  </si>
  <si>
    <t>204:981</t>
  </si>
  <si>
    <t>300:18294</t>
  </si>
  <si>
    <t>204:979</t>
  </si>
  <si>
    <t>204:960</t>
  </si>
  <si>
    <t>204:685</t>
  </si>
  <si>
    <t>204:990</t>
  </si>
  <si>
    <t>300:58632</t>
  </si>
  <si>
    <t>204:682</t>
  </si>
  <si>
    <t>204:675</t>
  </si>
  <si>
    <t>204:661</t>
  </si>
  <si>
    <t>204:953</t>
  </si>
  <si>
    <t>300:58638</t>
  </si>
  <si>
    <t>204:677</t>
  </si>
  <si>
    <t>204:974</t>
  </si>
  <si>
    <t>300:58958</t>
  </si>
  <si>
    <t>204:678</t>
  </si>
  <si>
    <t>204:1484</t>
  </si>
  <si>
    <t>300:23310</t>
  </si>
  <si>
    <t>204:1162</t>
  </si>
  <si>
    <t>204:3173</t>
  </si>
  <si>
    <t>204:3515</t>
  </si>
  <si>
    <t>204:2977</t>
  </si>
  <si>
    <t>204:1164</t>
  </si>
  <si>
    <t>204:322</t>
  </si>
  <si>
    <t>204:3306</t>
  </si>
  <si>
    <t>300:30080</t>
  </si>
  <si>
    <t>300:23510</t>
  </si>
  <si>
    <t>300:58662</t>
  </si>
  <si>
    <t>300:28713</t>
  </si>
  <si>
    <t>300:58655</t>
  </si>
  <si>
    <t>300:21693</t>
  </si>
  <si>
    <t>300:22019</t>
  </si>
  <si>
    <t>start /low /b %USERPROFILE%\Documents\GitHub\eaglep3\Utilities\DownloadLogsFromS3.py --loco 4005 --day 2017-07-05</t>
  </si>
  <si>
    <t>start /low /b %USERPROFILE%\Documents\GitHub\eaglep3\Utilities\DownloadLogsFromS3.py --loco 4018 --day 2017-07-05</t>
  </si>
  <si>
    <t>start /low /b %USERPROFILE%\Documents\GitHub\eaglep3\Utilities\DownloadLogsFromS3.py --loco 4008 --day 2017-07-05</t>
  </si>
  <si>
    <t>start /low /b %USERPROFILE%\Documents\GitHub\eaglep3\Utilities\DownloadLogsFromS3.py --loco 4041 --day 2017-07-05</t>
  </si>
  <si>
    <t>start /low /b %USERPROFILE%\Documents\GitHub\eaglep3\Utilities\DownloadLogsFromS3.py --loco 4001 --day 2017-07-05</t>
  </si>
  <si>
    <t>start /low /b %USERPROFILE%\Documents\GitHub\eaglep3\Utilities\DownloadLogsFromS3.py --loco 4017 --day 2017-07-06</t>
  </si>
  <si>
    <t>start /low /b %USERPROFILE%\Documents\GitHub\eaglep3\Utilities\DownloadLogsFromS3.py --loco 4062 --day 2017-07-05</t>
  </si>
  <si>
    <t>start /low /b %USERPROFILE%\Documents\GitHub\eaglep3\Utilities\DownloadLogsFromS3.py --loco 4055 --day 2017-07-05</t>
  </si>
  <si>
    <t>start /low /b %USERPROFILE%\Documents\GitHub\eaglep3\Utilities\DownloadLogsFromS3.py --loco 4013 --day 2017-07-05</t>
  </si>
  <si>
    <t>start /low /b %USERPROFILE%\Documents\GitHub\eaglep3\Utilities\DownloadLogsFromS3.py --loco 4014 --day 2017-07-05</t>
  </si>
  <si>
    <t>start /low /b %USERPROFILE%\Documents\GitHub\eaglep3\Utilities\DownloadLogsFromS3.py --loco 4054 --day 2017-07-05</t>
  </si>
  <si>
    <t>start /low /b %USERPROFILE%\Documents\GitHub\eaglep3\Utilities\DownloadLogsFromS3.py --loco 4053 --day 2017-07-05</t>
  </si>
  <si>
    <t>start /low /b %USERPROFILE%\Documents\GitHub\eaglep3\Utilities\DownloadLogsFromS3.py --loco 4013 --day 2017-07-06</t>
  </si>
  <si>
    <t>start /low /b %USERPROFILE%\Documents\GitHub\eaglep3\Utilities\DownloadLogsFromS3.py --loco 4007 --day 2017-07-06</t>
  </si>
  <si>
    <t>start /low /b %USERPROFILE%\Documents\GitHub\eaglep3\Utilities\DownloadLogsFromS3.py --loco 4007 --day 2017-07-05</t>
  </si>
  <si>
    <t>start /low /b %USERPROFILE%\Documents\GitHub\eaglep3\Utilities\DownloadLogsFromS3.py --loco 4061 --day 2017-07-05</t>
  </si>
  <si>
    <t>start /low /b %USERPROFILE%\Documents\GitHub\eaglep3\Utilities\DownloadLogsFromS3.py --loco 4018 --day 2017-07-06</t>
  </si>
  <si>
    <t>start /low /b %USERPROFILE%\Documents\GitHub\eaglep3\Utilities\DownloadLogsFromS3.py --loco 4055 --day 2017-07-06</t>
  </si>
  <si>
    <t>start /low /b %USERPROFILE%\Documents\GitHub\eaglep3\Utilities\DownloadLogsFromS3.py --loco 4006 --day 2017-07-05</t>
  </si>
  <si>
    <t>start /low /b %USERPROFILE%\Documents\GitHub\eaglep3\Utilities\DownloadLogsFromS3.py --loco 4042 --day 2017-07-05</t>
  </si>
  <si>
    <t>start /low /b %USERPROFILE%\Documents\GitHub\eaglep3\Utilities\DownloadLogsFromS3.py --loco 4014 --day 2017-07-06</t>
  </si>
  <si>
    <t>start /low /b %USERPROFILE%\Documents\GitHub\eaglep3\Utilities\DownloadLogsFromS3.py --loco 4025 --day 2017-07-05</t>
  </si>
  <si>
    <t>start /low /b %USERPROFILE%\Documents\GitHub\eaglep3\Utilities\DownloadLogsFromS3.py --loco 4025 --day 2017-07-06</t>
  </si>
  <si>
    <t>start /low /b %USERPROFILE%\Documents\GitHub\eaglep3\Utilities\DownloadLogsFromS3.py --loco 4026 --day 2017-07-05</t>
  </si>
  <si>
    <t>Wi-MAX data drop</t>
  </si>
  <si>
    <t>DTO Barricade Test</t>
  </si>
  <si>
    <t>Improper execution of bulletin - Form C was for NB Quebec, not SB Quebec. Form C at NB Quebec was being enforced/warned.</t>
  </si>
  <si>
    <t>242-05</t>
  </si>
  <si>
    <t>SMITH MICHAEL</t>
  </si>
  <si>
    <t>Delayed at Pecos 6S, CRMFM 2S, cut out Argo 4S due to PTC 1500 ft behavior</t>
  </si>
  <si>
    <t>Pena 2S STOP</t>
  </si>
  <si>
    <t>Onboard braking algorithm enforced for target 2.6 miles away</t>
  </si>
  <si>
    <t>Unhealthy at Chambers due to train stop</t>
  </si>
  <si>
    <t>Brief Wi-MAX data drop, no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</si>
</sst>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COUNTIFS($N$13:$N$9322,"&gt;0",$AG$13:$AG$9322,I1)</f>
        <v>141</v>
      </c>
      <c r="K5" s="39"/>
      <c r="L5" s="39"/>
      <c r="M5" s="40">
        <f>AVERAGEIFS($N$13:$N$9322,$AG$13:$AG$9322,I1)</f>
        <v>39.45673758869971</v>
      </c>
      <c r="N5" s="38">
        <f t="array" ref="N5">MIN(IF($AG$13:$AG$9322=I1,IF(ISNUMBER($N$13:$N$9322),IF($N$13:$N$9322&gt;0,$N$13:$N$9322))))</f>
        <v>35.316666666185483</v>
      </c>
      <c r="O5" s="3">
        <f t="array" ref="O5">MAX(IF($AG$13:$AG$9322=I1,IF(ISNUMBER($N$13:$N$9322),IF($N$13:$N$9322&gt;0,$N$13:$N$9322))))</f>
        <v>52.766666659153998</v>
      </c>
      <c r="P5" s="2"/>
      <c r="R5" s="166" t="s">
        <v>17</v>
      </c>
      <c r="S5" s="186">
        <f>COUNTIFS($N$13:$N$9322,"&gt;0",$AG$13:$AG$9322,R1)</f>
        <v>45</v>
      </c>
      <c r="T5" s="187"/>
      <c r="U5" s="187"/>
      <c r="V5" s="183">
        <f>AVERAGEIFS($N$13:$N$9322,$AG$13:$AG$9322,R1)</f>
        <v>14.831481481902301</v>
      </c>
      <c r="W5" s="184">
        <f t="array" ref="W5">MIN(IF($AG$13:$AG$9322=R1,IF(ISNUMBER($N$13:$N$9322),IF($N$13:$N$9322&gt;0,$N$13:$N$9322))))</f>
        <v>12.23333333269693</v>
      </c>
      <c r="X5" s="185">
        <f t="array" ref="X5">MAX(IF($AG$13:$AG$9322=R1,IF(ISNUMBER($N$13:$N$9322),IF($N$13:$N$9322&gt;0,$N$13:$N$9322))))</f>
        <v>18.549999998649582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COUNT($O$13:$O$121)</f>
        <v>0</v>
      </c>
      <c r="K6" s="39"/>
      <c r="L6" s="39"/>
      <c r="M6" s="40">
        <f>IFERROR(AVERAGE($O$13:$O$121),0)</f>
        <v>0</v>
      </c>
      <c r="N6" s="38">
        <f>MIN($O$13:$O$121)</f>
        <v>0</v>
      </c>
      <c r="O6" s="3">
        <f>MAX($O$13:$O$121)</f>
        <v>0</v>
      </c>
      <c r="P6" s="2"/>
      <c r="R6" s="167" t="s">
        <v>43</v>
      </c>
      <c r="S6" s="186">
        <f>COUNT($O$13:$O$121)</f>
        <v>0</v>
      </c>
      <c r="T6" s="187"/>
      <c r="U6" s="187"/>
      <c r="V6" s="183">
        <f>IFERROR(AVERAGE($O$13:$O$121),0)</f>
        <v>0</v>
      </c>
      <c r="W6" s="184">
        <f>MIN($O$13:$O$121)</f>
        <v>0</v>
      </c>
      <c r="X6" s="185">
        <f>MAX($O$13:$O$121)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COUNTIFS($P$13:$P$9322,"&gt;0",$AG$13:$AG$9322,I1)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COUNTIFS($P$13:$P$9322,"&gt;0",$AG$13:$AG$9322,R1)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39.45673758869971</v>
      </c>
      <c r="N8" s="38">
        <f>N5</f>
        <v>35.316666666185483</v>
      </c>
      <c r="O8" s="3">
        <f>O5</f>
        <v>52.766666659153998</v>
      </c>
      <c r="P8" s="2"/>
      <c r="R8" s="166" t="s">
        <v>16</v>
      </c>
      <c r="S8" s="186">
        <f>S5</f>
        <v>45</v>
      </c>
      <c r="T8" s="187"/>
      <c r="U8" s="187"/>
      <c r="V8" s="183">
        <f>V5</f>
        <v>14.831481481902301</v>
      </c>
      <c r="W8" s="184">
        <f>W5</f>
        <v>12.23333333269693</v>
      </c>
      <c r="X8" s="185">
        <f>X5</f>
        <v>18.549999998649582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0.95744680851063835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AVERAGE(S13:S97)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343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632</v>
      </c>
      <c r="B13" s="7">
        <v>4006</v>
      </c>
      <c r="C13" s="21" t="s">
        <v>202</v>
      </c>
      <c r="D13" s="21" t="s">
        <v>830</v>
      </c>
      <c r="E13" s="13">
        <v>42921.127708333333</v>
      </c>
      <c r="F13" s="13">
        <v>42921.135983796295</v>
      </c>
      <c r="G13" s="7">
        <v>1</v>
      </c>
      <c r="H13" s="21" t="s">
        <v>434</v>
      </c>
      <c r="I13" s="13">
        <v>42921.162881944445</v>
      </c>
      <c r="J13" s="7">
        <v>0</v>
      </c>
      <c r="K13" s="89" t="str">
        <f t="shared" ref="K13:K76" si="0">IF(ISEVEN(B13),(B13-1)&amp;"/"&amp;B13,B13&amp;"/"&amp;(B13+1))</f>
        <v>4005/4006</v>
      </c>
      <c r="L13" s="21" t="str">
        <f>VLOOKUP(A13,'Trips&amp;Operators'!$C$1:$G$99999,5,FALSE)</f>
        <v>BONDS REYNALDO</v>
      </c>
      <c r="M13" s="6">
        <f t="shared" ref="M13:M76" si="1">I13-F13</f>
        <v>2.6898148149484769E-2</v>
      </c>
      <c r="N13" s="7">
        <f t="shared" ref="N13:N51" si="2">24*60*SUM($M13:$M13)</f>
        <v>38.733333335258067</v>
      </c>
      <c r="O13" s="7"/>
      <c r="P13" s="7"/>
      <c r="Q13" s="22"/>
      <c r="R13" s="170"/>
      <c r="S13" s="213">
        <f t="shared" ref="S13:S51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-05T02:03:54-0600',mode:absolute,to:'2017-07-05T04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7.6799999999999993E-2</v>
      </c>
      <c r="Z13" s="197">
        <f t="shared" ref="Z13:Z44" si="8">RIGHT(H13,LEN(H13)-4)/10000</f>
        <v>23.3308</v>
      </c>
      <c r="AA13" s="197">
        <f t="shared" ref="AA13:AA76" si="9">ABS(Z13-Y13)</f>
        <v>23.254000000000001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/stypes="app*4006*20170705*"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4006 --swversion DE.1.0.9.0 --startMP 204:768 --initTime 2017-07-05T03:03:54 --startdatetime 2017-07-05T03:15:49 --delay 1 --endMP 204:233308 --enddatetime 2017-07-05T03:54:33 --enforcementcount 0 &gt;&gt;C:\Users\stu\Documents\GitHub\eaglep3-reporting\EC\2017-07-05-refined-times.txt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{"issue":{"subject":"","project_id":79,"tracker_id":40,"status_id":1,"priority_id":2,"assigned_to_id":23,"start_date":"2017-07-05","description":"","custom_fields":[{"id":1,"name":"Subdivision","value":"EC"},{"id":4,"name":"Milepost","value":"23.3308"},{"id":17,"name":"Train ID","value":"101-05"},{"id":16,"name":"Locomotive ID","value":"4006"},{"id":130,"name":"Impact","value":""},{"id":150,"name":"Time of Event (Mountain Time)","value":"03:54:33"},{"id":151,"name":"Denver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4006 --day 2017-07-05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09:54:33"},{"id":29,"name":"Sharepoint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639</v>
      </c>
      <c r="B14" s="7">
        <v>4005</v>
      </c>
      <c r="C14" s="21" t="s">
        <v>202</v>
      </c>
      <c r="D14" s="21" t="s">
        <v>452</v>
      </c>
      <c r="E14" s="13">
        <v>42921.171574074076</v>
      </c>
      <c r="F14" s="13">
        <v>42921.175335648149</v>
      </c>
      <c r="G14" s="7">
        <v>1</v>
      </c>
      <c r="H14" s="21" t="s">
        <v>358</v>
      </c>
      <c r="I14" s="13">
        <v>42921.204236111109</v>
      </c>
      <c r="J14" s="7">
        <v>0</v>
      </c>
      <c r="K14" s="89" t="str">
        <f t="shared" si="0"/>
        <v>4005/4006</v>
      </c>
      <c r="L14" s="21" t="str">
        <f>VLOOKUP(A14,'Trips&amp;Operators'!$C$1:$G$99999,5,FALSE)</f>
        <v>BONDS REYNALDO</v>
      </c>
      <c r="M14" s="6">
        <f t="shared" si="1"/>
        <v>2.8900462959427387E-2</v>
      </c>
      <c r="N14" s="7">
        <f t="shared" si="2"/>
        <v>41.616666661575437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-05T03:07:04-0600',mode:absolute,to:'2017-07-05T05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23.2989</v>
      </c>
      <c r="Z14" s="197">
        <f t="shared" si="8"/>
        <v>1.47E-2</v>
      </c>
      <c r="AA14" s="197">
        <f t="shared" si="9"/>
        <v>23.284199999999998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14" s="74" t="str">
        <f t="shared" si="12"/>
        <v>"C:\Program Files (x86)\AstroGrep\AstroGrep.exe" /e /r /s /spath="%USERPROFILE%\AppData\Local\Temp\OnboardLogs" /stypes="app*4005*20170705*"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4005 --swversion DE.1.0.9.0 --startMP 204:232989 --initTime 2017-07-05T04:07:04 --startdatetime 2017-07-05T04:12:29 --delay 1 --endMP 204:147 --enddatetime 2017-07-05T04:54:06 --enforcementcount 0 &gt;&gt;C:\Users\stu\Documents\GitHub\eaglep3-reporting\EC\2017-07-05-refined-times.txt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{"issue":{"subject":"","project_id":79,"tracker_id":40,"status_id":1,"priority_id":2,"assigned_to_id":23,"start_date":"2017-07-05","description":"","custom_fields":[{"id":1,"name":"Subdivision","value":"EC"},{"id":4,"name":"Milepost","value":"0.0147"},{"id":17,"name":"Train ID","value":"102-05"},{"id":16,"name":"Locomotive ID","value":"4005"},{"id":130,"name":"Impact","value":""},{"id":150,"name":"Time of Event (Mountain Time)","value":"04:54:06"},{"id":151,"name":"Denver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4005 --day 2017-07-05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636</v>
      </c>
      <c r="B15" s="7">
        <v>4018</v>
      </c>
      <c r="C15" s="21" t="s">
        <v>202</v>
      </c>
      <c r="D15" s="21" t="s">
        <v>445</v>
      </c>
      <c r="E15" s="13">
        <v>42921.147546296299</v>
      </c>
      <c r="F15" s="13">
        <v>42921.156851851854</v>
      </c>
      <c r="G15" s="7">
        <v>1</v>
      </c>
      <c r="H15" s="21" t="s">
        <v>502</v>
      </c>
      <c r="I15" s="13">
        <v>42921.183981481481</v>
      </c>
      <c r="J15" s="7">
        <v>0</v>
      </c>
      <c r="K15" s="89" t="str">
        <f t="shared" si="0"/>
        <v>4017/4018</v>
      </c>
      <c r="L15" s="21" t="str">
        <f>VLOOKUP(A15,'Trips&amp;Operators'!$C$1:$G$99999,5,FALSE)</f>
        <v>MAELZER KURT</v>
      </c>
      <c r="M15" s="6">
        <f t="shared" si="1"/>
        <v>2.7129629626870155E-2</v>
      </c>
      <c r="N15" s="7">
        <f t="shared" si="2"/>
        <v>39.066666662693024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-05T02:32:28-0600',mode:absolute,to:'2017-07-05T05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4.3700000000000003E-2</v>
      </c>
      <c r="Z15" s="197">
        <f t="shared" si="8"/>
        <v>23.331499999999998</v>
      </c>
      <c r="AA15" s="197">
        <f t="shared" si="9"/>
        <v>23.287799999999997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15" s="74" t="str">
        <f t="shared" si="12"/>
        <v>"C:\Program Files (x86)\AstroGrep\AstroGrep.exe" /e /r /s /spath="%USERPROFILE%\AppData\Local\Temp\OnboardLogs" /stypes="app*4018*20170705*"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103-05 --locoid 4018 --swversion DE.1.0.9.0 --startMP 204:437 --initTime 2017-07-05T03:32:28 --startdatetime 2017-07-05T03:45:52 --delay 1 --endMP 204:233315 --enddatetime 2017-07-05T04:24:56 --enforcementcount 0 &gt;&gt;C:\Users\stu\Documents\GitHub\eaglep3-reporting\EC\2017-07-05-refined-times.txt</v>
      </c>
      <c r="AI1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{"issue":{"subject":"","project_id":79,"tracker_id":40,"status_id":1,"priority_id":2,"assigned_to_id":23,"start_date":"2017-07-05","description":"","custom_fields":[{"id":1,"name":"Subdivision","value":"EC"},{"id":4,"name":"Milepost","value":"23.3315"},{"id":17,"name":"Train ID","value":"103-05"},{"id":16,"name":"Locomotive ID","value":"4018"},{"id":130,"name":"Impact","value":""},{"id":150,"name":"Time of Event (Mountain Time)","value":"04:24:56"},{"id":151,"name":"Denver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4018 --day 2017-07-05</v>
      </c>
      <c r="AN1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10:24:56"},{"id":29,"name":"Sharepoint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644</v>
      </c>
      <c r="B16" s="7">
        <v>4017</v>
      </c>
      <c r="C16" s="21" t="s">
        <v>202</v>
      </c>
      <c r="D16" s="21" t="s">
        <v>406</v>
      </c>
      <c r="E16" s="13">
        <v>42921.189108796294</v>
      </c>
      <c r="F16" s="13">
        <v>42921.196099537039</v>
      </c>
      <c r="G16" s="7">
        <v>1</v>
      </c>
      <c r="H16" s="21" t="s">
        <v>357</v>
      </c>
      <c r="I16" s="13">
        <v>42921.224247685182</v>
      </c>
      <c r="J16" s="7">
        <v>0</v>
      </c>
      <c r="K16" s="89" t="str">
        <f t="shared" si="0"/>
        <v>4017/4018</v>
      </c>
      <c r="L16" s="21" t="str">
        <f>VLOOKUP(A16,'Trips&amp;Operators'!$C$1:$G$99999,5,FALSE)</f>
        <v>MAELZER KURT</v>
      </c>
      <c r="M16" s="6">
        <f t="shared" si="1"/>
        <v>2.8148148143372964E-2</v>
      </c>
      <c r="N16" s="7">
        <f t="shared" si="2"/>
        <v>40.533333326457068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-05T03:32:19-0600',mode:absolute,to:'2017-07-05T06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23.299600000000002</v>
      </c>
      <c r="Z16" s="197">
        <f t="shared" si="8"/>
        <v>1.41E-2</v>
      </c>
      <c r="AA16" s="197">
        <f t="shared" si="9"/>
        <v>23.285500000000003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16" s="74" t="str">
        <f t="shared" si="12"/>
        <v>"C:\Program Files (x86)\AstroGrep\AstroGrep.exe" /e /r /s /spath="%USERPROFILE%\AppData\Local\Temp\OnboardLogs" /stypes="app*4017*20170705*"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104-05 --locoid 4017 --swversion DE.1.0.9.0 --startMP 204:232996 --initTime 2017-07-05T04:32:19 --startdatetime 2017-07-05T04:42:23 --delay 1 --endMP 204:141 --enddatetime 2017-07-05T05:22:55 --enforcementcount 0 &gt;&gt;C:\Users\stu\Documents\GitHub\eaglep3-reporting\EC\2017-07-05-refined-times.txt</v>
      </c>
      <c r="AI1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{"issue":{"subject":"","project_id":79,"tracker_id":40,"status_id":1,"priority_id":2,"assigned_to_id":23,"start_date":"2017-07-05","description":"","custom_fields":[{"id":1,"name":"Subdivision","value":"EC"},{"id":4,"name":"Milepost","value":"0.0141"},{"id":17,"name":"Train ID","value":"104-05"},{"id":16,"name":"Locomotive ID","value":"4017"},{"id":130,"name":"Impact","value":""},{"id":150,"name":"Time of Event (Mountain Time)","value":"05:22:55"},{"id":151,"name":"Denver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4017 --day 2017-07-05</v>
      </c>
      <c r="AN1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640</v>
      </c>
      <c r="B17" s="7">
        <v>4042</v>
      </c>
      <c r="C17" s="21" t="s">
        <v>202</v>
      </c>
      <c r="D17" s="21" t="s">
        <v>198</v>
      </c>
      <c r="E17" s="13">
        <v>42921.176157407404</v>
      </c>
      <c r="F17" s="13">
        <v>42921.177835648145</v>
      </c>
      <c r="G17" s="7">
        <v>1</v>
      </c>
      <c r="H17" s="21" t="s">
        <v>480</v>
      </c>
      <c r="I17" s="13">
        <v>42921.20516203704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STARKS ANGELINA</v>
      </c>
      <c r="M17" s="6">
        <f t="shared" si="1"/>
        <v>2.7326388895744458E-2</v>
      </c>
      <c r="N17" s="7">
        <f t="shared" si="2"/>
        <v>39.350000009872019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-05T03:13:40-0600',mode:absolute,to:'2017-07-05T05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4.5699999999999998E-2</v>
      </c>
      <c r="Z17" s="197">
        <f t="shared" si="8"/>
        <v>23.332100000000001</v>
      </c>
      <c r="AA17" s="197">
        <f t="shared" si="9"/>
        <v>23.2864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17" s="74" t="str">
        <f t="shared" si="12"/>
        <v>"C:\Program Files (x86)\AstroGrep\AstroGrep.exe" /e /r /s /spath="%USERPROFILE%\AppData\Local\Temp\OnboardLogs" /stypes="app*4042*20170705*"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105-05 --locoid 4042 --swversion DE.1.0.9.0 --startMP 204:457 --initTime 2017-07-05T04:13:40 --startdatetime 2017-07-05T04:16:05 --delay 1 --endMP 204:233321 --enddatetime 2017-07-05T04:55:26 --enforcementcount 0 &gt;&gt;C:\Users\stu\Documents\GitHub\eaglep3-reporting\EC\2017-07-05-refined-times.txt</v>
      </c>
      <c r="AI17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{"issue":{"subject":"","project_id":79,"tracker_id":40,"status_id":1,"priority_id":2,"assigned_to_id":23,"start_date":"2017-07-05","description":"","custom_fields":[{"id":1,"name":"Subdivision","value":"EC"},{"id":4,"name":"Milepost","value":"23.3321"},{"id":17,"name":"Train ID","value":"105-05"},{"id":16,"name":"Locomotive ID","value":"4042"},{"id":130,"name":"Impact","value":""},{"id":150,"name":"Time of Event (Mountain Time)","value":"04:55:26"},{"id":151,"name":"Denver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4042 --day 2017-07-05</v>
      </c>
      <c r="AN17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10:55:26"},{"id":29,"name":"Sharepoint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576</v>
      </c>
      <c r="B18" s="7">
        <v>4041</v>
      </c>
      <c r="C18" s="21" t="s">
        <v>202</v>
      </c>
      <c r="D18" s="21" t="s">
        <v>406</v>
      </c>
      <c r="E18" s="13">
        <v>42921.215381944443</v>
      </c>
      <c r="F18" s="13">
        <v>42921.217199074075</v>
      </c>
      <c r="G18" s="7">
        <v>1</v>
      </c>
      <c r="H18" s="21" t="s">
        <v>460</v>
      </c>
      <c r="I18" s="13">
        <v>42921.245856481481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STARKS ANGELINA</v>
      </c>
      <c r="M18" s="6">
        <f t="shared" si="1"/>
        <v>2.8657407405262347E-2</v>
      </c>
      <c r="N18" s="7">
        <f t="shared" si="2"/>
        <v>41.26666666357778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-05T04:10:09-0600',mode:absolute,to:'2017-07-05T06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23.299600000000002</v>
      </c>
      <c r="Z18" s="197">
        <f t="shared" si="8"/>
        <v>1.3599999999999999E-2</v>
      </c>
      <c r="AA18" s="197">
        <f t="shared" si="9"/>
        <v>23.286000000000001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18" s="74" t="str">
        <f t="shared" si="12"/>
        <v>"C:\Program Files (x86)\AstroGrep\AstroGrep.exe" /e /r /s /spath="%USERPROFILE%\AppData\Local\Temp\OnboardLogs" /stypes="app*4041*20170705*"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106-05 --locoid 4041 --swversion DE.1.0.9.0 --startMP 204:232996 --initTime 2017-07-05T05:10:09 --startdatetime 2017-07-05T05:12:46 --delay 1 --endMP 204:136 --enddatetime 2017-07-05T05:54:02 --enforcementcount 0 &gt;&gt;C:\Users\stu\Documents\GitHub\eaglep3-reporting\EC\2017-07-05-refined-times.txt</v>
      </c>
      <c r="AI18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{"issue":{"subject":"","project_id":79,"tracker_id":40,"status_id":1,"priority_id":2,"assigned_to_id":23,"start_date":"2017-07-05","description":"","custom_fields":[{"id":1,"name":"Subdivision","value":"EC"},{"id":4,"name":"Milepost","value":"0.0136"},{"id":17,"name":"Train ID","value":"106-05"},{"id":16,"name":"Locomotive ID","value":"4041"},{"id":130,"name":"Impact","value":""},{"id":150,"name":"Time of Event (Mountain Time)","value":"05:54:02"},{"id":151,"name":"Denver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4041 --day 2017-07-05</v>
      </c>
      <c r="AN18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643</v>
      </c>
      <c r="B19" s="7">
        <v>4008</v>
      </c>
      <c r="C19" s="21" t="s">
        <v>202</v>
      </c>
      <c r="D19" s="21" t="s">
        <v>350</v>
      </c>
      <c r="E19" s="13">
        <v>42921.183032407411</v>
      </c>
      <c r="F19" s="13">
        <v>42921.188090277778</v>
      </c>
      <c r="G19" s="7">
        <v>2</v>
      </c>
      <c r="H19" s="21" t="s">
        <v>543</v>
      </c>
      <c r="I19" s="13">
        <v>42921.214432870373</v>
      </c>
      <c r="J19" s="7">
        <v>0</v>
      </c>
      <c r="K19" s="89" t="str">
        <f t="shared" si="0"/>
        <v>4007/4008</v>
      </c>
      <c r="L19" s="21" t="str">
        <f>VLOOKUP(A19,'Trips&amp;Operators'!$C$1:$G$99999,5,FALSE)</f>
        <v>MILLER KEVIN</v>
      </c>
      <c r="M19" s="6">
        <f t="shared" si="1"/>
        <v>2.6342592595028691E-2</v>
      </c>
      <c r="N19" s="7">
        <f t="shared" si="2"/>
        <v>37.933333336841315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-05T03:23:34-0600',mode:absolute,to:'2017-07-05T06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4.6600000000000003E-2</v>
      </c>
      <c r="Z19" s="197">
        <f t="shared" si="8"/>
        <v>23.328399999999998</v>
      </c>
      <c r="AA19" s="197">
        <f t="shared" si="9"/>
        <v>23.281799999999997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9" s="74" t="str">
        <f t="shared" si="12"/>
        <v>"C:\Program Files (x86)\AstroGrep\AstroGrep.exe" /e /r /s /spath="%USERPROFILE%\AppData\Local\Temp\OnboardLogs" /stypes="app*4008*20170705*"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107-05 --locoid 4008 --swversion DE.1.0.9.0 --startMP 204:466 --initTime 2017-07-05T04:23:34 --startdatetime 2017-07-05T04:30:51 --delay 2 --endMP 204:233284 --enddatetime 2017-07-05T05:08:47 --enforcementcount 0 &gt;&gt;C:\Users\stu\Documents\GitHub\eaglep3-reporting\EC\2017-07-05-refined-times.txt</v>
      </c>
      <c r="AI19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{"issue":{"subject":"","project_id":79,"tracker_id":40,"status_id":1,"priority_id":2,"assigned_to_id":23,"start_date":"2017-07-05","description":"","custom_fields":[{"id":1,"name":"Subdivision","value":"EC"},{"id":4,"name":"Milepost","value":"23.3284"},{"id":17,"name":"Train ID","value":"107-05"},{"id":16,"name":"Locomotive ID","value":"4008"},{"id":130,"name":"Impact","value":""},{"id":150,"name":"Time of Event (Mountain Time)","value":"05:08:47"},{"id":151,"name":"Denver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4008 --day 2017-07-05</v>
      </c>
      <c r="AN19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651</v>
      </c>
      <c r="B20" s="7">
        <v>4007</v>
      </c>
      <c r="C20" s="21" t="s">
        <v>202</v>
      </c>
      <c r="D20" s="21" t="s">
        <v>540</v>
      </c>
      <c r="E20" s="13">
        <v>42921.216678240744</v>
      </c>
      <c r="F20" s="13">
        <v>42921.227326388886</v>
      </c>
      <c r="G20" s="7">
        <v>1</v>
      </c>
      <c r="H20" s="21" t="s">
        <v>347</v>
      </c>
      <c r="I20" s="13">
        <v>42921.255555555559</v>
      </c>
      <c r="J20" s="7">
        <v>0</v>
      </c>
      <c r="K20" s="89" t="str">
        <f t="shared" si="0"/>
        <v>4007/4008</v>
      </c>
      <c r="L20" s="21" t="str">
        <f>VLOOKUP(A20,'Trips&amp;Operators'!$C$1:$G$99999,5,FALSE)</f>
        <v>MILLER KEVIN</v>
      </c>
      <c r="M20" s="6">
        <f t="shared" si="1"/>
        <v>2.8229166673554573E-2</v>
      </c>
      <c r="N20" s="7">
        <f t="shared" si="2"/>
        <v>40.650000009918585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-05T04:12:01-0600',mode:absolute,to:'2017-07-05T07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23.295500000000001</v>
      </c>
      <c r="Z20" s="197">
        <f t="shared" si="8"/>
        <v>1.4999999999999999E-2</v>
      </c>
      <c r="AA20" s="197">
        <f t="shared" si="9"/>
        <v>23.2805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20" s="74" t="str">
        <f t="shared" si="12"/>
        <v>"C:\Program Files (x86)\AstroGrep\AstroGrep.exe" /e /r /s /spath="%USERPROFILE%\AppData\Local\Temp\OnboardLogs" /stypes="app*4007*20170705*"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108-05 --locoid 4007 --swversion DE.1.0.9.0 --startMP 204:232955 --initTime 2017-07-05T05:12:01 --startdatetime 2017-07-05T05:27:21 --delay 1 --endMP 204:150 --enddatetime 2017-07-05T06:08:00 --enforcementcount 0 &gt;&gt;C:\Users\stu\Documents\GitHub\eaglep3-reporting\EC\2017-07-05-refined-times.txt</v>
      </c>
      <c r="AI20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{"issue":{"subject":"","project_id":79,"tracker_id":40,"status_id":1,"priority_id":2,"assigned_to_id":23,"start_date":"2017-07-05","description":"","custom_fields":[{"id":1,"name":"Subdivision","value":"EC"},{"id":4,"name":"Milepost","value":"0.015"},{"id":17,"name":"Train ID","value":"108-05"},{"id":16,"name":"Locomotive ID","value":"4007"},{"id":130,"name":"Impact","value":""},{"id":150,"name":"Time of Event (Mountain Time)","value":"06:08:00"},{"id":151,"name":"Denver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4007 --day 2017-07-05</v>
      </c>
      <c r="AN20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645</v>
      </c>
      <c r="B21" s="7">
        <v>4054</v>
      </c>
      <c r="C21" s="21" t="s">
        <v>202</v>
      </c>
      <c r="D21" s="21" t="s">
        <v>351</v>
      </c>
      <c r="E21" s="13">
        <v>42921.193530092591</v>
      </c>
      <c r="F21" s="13">
        <v>42921.198483796295</v>
      </c>
      <c r="G21" s="7">
        <v>1</v>
      </c>
      <c r="H21" s="21" t="s">
        <v>546</v>
      </c>
      <c r="I21" s="13">
        <v>42921.226527777777</v>
      </c>
      <c r="J21" s="7">
        <v>0</v>
      </c>
      <c r="K21" s="89" t="str">
        <f t="shared" si="0"/>
        <v>4053/4054</v>
      </c>
      <c r="L21" s="21" t="str">
        <f>VLOOKUP(A21,'Trips&amp;Operators'!$C$1:$G$99999,5,FALSE)</f>
        <v>DAVIS WENDY</v>
      </c>
      <c r="M21" s="6">
        <f t="shared" si="1"/>
        <v>2.8043981481459923E-2</v>
      </c>
      <c r="N21" s="7">
        <f t="shared" si="2"/>
        <v>40.383333333302289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-05T03:38:41-0600',mode:absolute,to:'2017-07-05T06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4.5100000000000001E-2</v>
      </c>
      <c r="Z21" s="197">
        <f t="shared" si="8"/>
        <v>23.329799999999999</v>
      </c>
      <c r="AA21" s="197">
        <f t="shared" si="9"/>
        <v>23.284699999999997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21" s="74" t="str">
        <f t="shared" si="12"/>
        <v>"C:\Program Files (x86)\AstroGrep\AstroGrep.exe" /e /r /s /spath="%USERPROFILE%\AppData\Local\Temp\OnboardLogs" /stypes="app*4054*20170705*"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109-05 --locoid 4054 --swversion DE.1.0.9.0 --startMP 204:451 --initTime 2017-07-05T04:38:41 --startdatetime 2017-07-05T04:45:49 --delay 1 --endMP 204:233298 --enddatetime 2017-07-05T05:26:12 --enforcementcount 0 &gt;&gt;C:\Users\stu\Documents\GitHub\eaglep3-reporting\EC\2017-07-05-refined-times.txt</v>
      </c>
      <c r="AI21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{"issue":{"subject":"","project_id":79,"tracker_id":40,"status_id":1,"priority_id":2,"assigned_to_id":23,"start_date":"2017-07-05","description":"","custom_fields":[{"id":1,"name":"Subdivision","value":"EC"},{"id":4,"name":"Milepost","value":"23.3298"},{"id":17,"name":"Train ID","value":"109-05"},{"id":16,"name":"Locomotive ID","value":"4054"},{"id":130,"name":"Impact","value":""},{"id":150,"name":"Time of Event (Mountain Time)","value":"05:26:12"},{"id":151,"name":"Denver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4054 --day 2017-07-05</v>
      </c>
      <c r="AN21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655</v>
      </c>
      <c r="B22" s="7">
        <v>4053</v>
      </c>
      <c r="C22" s="21" t="s">
        <v>202</v>
      </c>
      <c r="D22" s="21" t="s">
        <v>498</v>
      </c>
      <c r="E22" s="13">
        <v>42921.235358796293</v>
      </c>
      <c r="F22" s="13">
        <v>42921.237673611111</v>
      </c>
      <c r="G22" s="7">
        <v>1</v>
      </c>
      <c r="H22" s="21" t="s">
        <v>357</v>
      </c>
      <c r="I22" s="13">
        <v>42921.266215277778</v>
      </c>
      <c r="J22" s="7">
        <v>0</v>
      </c>
      <c r="K22" s="89" t="str">
        <f t="shared" si="0"/>
        <v>4053/4054</v>
      </c>
      <c r="L22" s="21" t="str">
        <f>VLOOKUP(A22,'Trips&amp;Operators'!$C$1:$G$99999,5,FALSE)</f>
        <v>DAVIS WENDY</v>
      </c>
      <c r="M22" s="6">
        <f t="shared" si="1"/>
        <v>2.8541666666569654E-2</v>
      </c>
      <c r="N22" s="7">
        <f t="shared" si="2"/>
        <v>41.099999999860302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-05T04:38:55-0600',mode:absolute,to:'2017-07-05T07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23.2974</v>
      </c>
      <c r="Z22" s="197">
        <f t="shared" si="8"/>
        <v>1.41E-2</v>
      </c>
      <c r="AA22" s="197">
        <f t="shared" si="9"/>
        <v>23.283300000000001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22" s="74" t="str">
        <f t="shared" si="12"/>
        <v>"C:\Program Files (x86)\AstroGrep\AstroGrep.exe" /e /r /s /spath="%USERPROFILE%\AppData\Local\Temp\OnboardLogs" /stypes="app*4053*20170705*"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110-05 --locoid 4053 --swversion DE.1.0.9.0 --startMP 204:232974 --initTime 2017-07-05T05:38:55 --startdatetime 2017-07-05T05:42:15 --delay 1 --endMP 204:141 --enddatetime 2017-07-05T06:23:21 --enforcementcount 0 &gt;&gt;C:\Users\stu\Documents\GitHub\eaglep3-reporting\EC\2017-07-05-refined-times.txt</v>
      </c>
      <c r="AI22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{"issue":{"subject":"","project_id":79,"tracker_id":40,"status_id":1,"priority_id":2,"assigned_to_id":23,"start_date":"2017-07-05","description":"","custom_fields":[{"id":1,"name":"Subdivision","value":"EC"},{"id":4,"name":"Milepost","value":"0.0141"},{"id":17,"name":"Train ID","value":"110-05"},{"id":16,"name":"Locomotive ID","value":"4053"},{"id":130,"name":"Impact","value":""},{"id":150,"name":"Time of Event (Mountain Time)","value":"06:23:21"},{"id":151,"name":"Denver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4053 --day 2017-07-05</v>
      </c>
      <c r="AN22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646</v>
      </c>
      <c r="B23" s="7">
        <v>4006</v>
      </c>
      <c r="C23" s="21" t="s">
        <v>202</v>
      </c>
      <c r="D23" s="21" t="s">
        <v>831</v>
      </c>
      <c r="E23" s="13">
        <v>42921.205914351849</v>
      </c>
      <c r="F23" s="13">
        <v>42921.208912037036</v>
      </c>
      <c r="G23" s="7">
        <v>1</v>
      </c>
      <c r="H23" s="21" t="s">
        <v>482</v>
      </c>
      <c r="I23" s="13">
        <v>42921.234826388885</v>
      </c>
      <c r="J23" s="7">
        <v>0</v>
      </c>
      <c r="K23" s="89" t="str">
        <f t="shared" si="0"/>
        <v>4005/4006</v>
      </c>
      <c r="L23" s="21" t="str">
        <f>VLOOKUP(A23,'Trips&amp;Operators'!$C$1:$G$99999,5,FALSE)</f>
        <v>BONDS REYNALDO</v>
      </c>
      <c r="M23" s="6">
        <f t="shared" si="1"/>
        <v>2.5914351848769002E-2</v>
      </c>
      <c r="N23" s="7">
        <f t="shared" si="2"/>
        <v>37.316666662227362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-05T03:56:31-0600',mode:absolute,to:'2017-07-05T06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4.3099999999999999E-2</v>
      </c>
      <c r="Z23" s="197">
        <f t="shared" si="8"/>
        <v>23.329499999999999</v>
      </c>
      <c r="AA23" s="197">
        <f t="shared" si="9"/>
        <v>23.2864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23" s="74" t="str">
        <f t="shared" si="12"/>
        <v>"C:\Program Files (x86)\AstroGrep\AstroGrep.exe" /e /r /s /spath="%USERPROFILE%\AppData\Local\Temp\OnboardLogs" /stypes="app*4006*20170705*"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111-05 --locoid 4006 --swversion DE.1.0.9.0 --startMP 204:431 --initTime 2017-07-05T04:56:31 --startdatetime 2017-07-05T05:00:50 --delay 1 --endMP 204:233295 --enddatetime 2017-07-05T05:38:09 --enforcementcount 0 &gt;&gt;C:\Users\stu\Documents\GitHub\eaglep3-reporting\EC\2017-07-05-refined-times.txt</v>
      </c>
      <c r="AI23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{"issue":{"subject":"","project_id":79,"tracker_id":40,"status_id":1,"priority_id":2,"assigned_to_id":23,"start_date":"2017-07-05","description":"","custom_fields":[{"id":1,"name":"Subdivision","value":"EC"},{"id":4,"name":"Milepost","value":"23.3295"},{"id":17,"name":"Train ID","value":"111-05"},{"id":16,"name":"Locomotive ID","value":"4006"},{"id":130,"name":"Impact","value":""},{"id":150,"name":"Time of Event (Mountain Time)","value":"05:38:09"},{"id":151,"name":"Denver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4006 --day 2017-07-05</v>
      </c>
      <c r="AN23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660</v>
      </c>
      <c r="B24" s="7">
        <v>4005</v>
      </c>
      <c r="C24" s="21" t="s">
        <v>202</v>
      </c>
      <c r="D24" s="21" t="s">
        <v>538</v>
      </c>
      <c r="E24" s="13">
        <v>42921.24459490741</v>
      </c>
      <c r="F24" s="13">
        <v>42921.248159722221</v>
      </c>
      <c r="G24" s="7">
        <v>1</v>
      </c>
      <c r="H24" s="21" t="s">
        <v>349</v>
      </c>
      <c r="I24" s="13">
        <v>42921.277280092596</v>
      </c>
      <c r="J24" s="7">
        <v>0</v>
      </c>
      <c r="K24" s="89" t="str">
        <f t="shared" si="0"/>
        <v>4005/4006</v>
      </c>
      <c r="L24" s="21" t="str">
        <f>VLOOKUP(A24,'Trips&amp;Operators'!$C$1:$G$99999,5,FALSE)</f>
        <v>BONDS REYNALDO</v>
      </c>
      <c r="M24" s="6">
        <f t="shared" si="1"/>
        <v>2.9120370374585036E-2</v>
      </c>
      <c r="N24" s="7">
        <f t="shared" si="2"/>
        <v>41.933333339402452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-05T04:52:13-0600',mode:absolute,to:'2017-07-05T07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23.2973</v>
      </c>
      <c r="Z24" s="197">
        <f t="shared" si="8"/>
        <v>1.43E-2</v>
      </c>
      <c r="AA24" s="197">
        <f t="shared" si="9"/>
        <v>23.283000000000001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24" s="74" t="str">
        <f t="shared" si="12"/>
        <v>"C:\Program Files (x86)\AstroGrep\AstroGrep.exe" /e /r /s /spath="%USERPROFILE%\AppData\Local\Temp\OnboardLogs" /stypes="app*4005*20170705*"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112-05 --locoid 4005 --swversion DE.1.0.9.0 --startMP 204:232973 --initTime 2017-07-05T05:52:13 --startdatetime 2017-07-05T05:57:21 --delay 1 --endMP 204:143 --enddatetime 2017-07-05T06:39:17 --enforcementcount 0 &gt;&gt;C:\Users\stu\Documents\GitHub\eaglep3-reporting\EC\2017-07-05-refined-times.txt</v>
      </c>
      <c r="AI24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{"issue":{"subject":"","project_id":79,"tracker_id":40,"status_id":1,"priority_id":2,"assigned_to_id":23,"start_date":"2017-07-05","description":"","custom_fields":[{"id":1,"name":"Subdivision","value":"EC"},{"id":4,"name":"Milepost","value":"0.0143"},{"id":17,"name":"Train ID","value":"112-05"},{"id":16,"name":"Locomotive ID","value":"4005"},{"id":130,"name":"Impact","value":""},{"id":150,"name":"Time of Event (Mountain Time)","value":"06:39:17"},{"id":151,"name":"Denver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4005 --day 2017-07-05</v>
      </c>
      <c r="AN24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4056</v>
      </c>
      <c r="C25" s="21" t="s">
        <v>202</v>
      </c>
      <c r="D25" s="21" t="s">
        <v>437</v>
      </c>
      <c r="E25" s="13">
        <v>42921.215902777774</v>
      </c>
      <c r="F25" s="13">
        <v>42921.219293981485</v>
      </c>
      <c r="G25" s="7">
        <v>1</v>
      </c>
      <c r="H25" s="21" t="s">
        <v>471</v>
      </c>
      <c r="I25" s="13">
        <v>42921.245729166665</v>
      </c>
      <c r="J25" s="7">
        <v>0</v>
      </c>
      <c r="K25" s="89" t="str">
        <f t="shared" si="0"/>
        <v>4055/4056</v>
      </c>
      <c r="L25" s="21" t="str">
        <f>VLOOKUP(A25,'Trips&amp;Operators'!$C$1:$G$99999,5,FALSE)</f>
        <v>LOZA FIDEL</v>
      </c>
      <c r="M25" s="6">
        <f t="shared" si="1"/>
        <v>2.643518518016208E-2</v>
      </c>
      <c r="N25" s="7">
        <f t="shared" si="2"/>
        <v>38.066666659433395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-05T04:10:54-0600',mode:absolute,to:'2017-07-05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4.4400000000000002E-2</v>
      </c>
      <c r="Z25" s="197">
        <f t="shared" si="8"/>
        <v>23.329699999999999</v>
      </c>
      <c r="AA25" s="197">
        <f t="shared" si="9"/>
        <v>23.285299999999999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25" s="74" t="str">
        <f t="shared" si="12"/>
        <v>"C:\Program Files (x86)\AstroGrep\AstroGrep.exe" /e /r /s /spath="%USERPROFILE%\AppData\Local\Temp\OnboardLogs" /stypes="app*4056*20170705*"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113-05 --locoid 4056 --swversion DE.1.0.9.0 --startMP 204:444 --initTime 2017-07-05T05:10:54 --startdatetime 2017-07-05T05:15:47 --delay 1 --endMP 204:233297 --enddatetime 2017-07-05T05:53:51 --enforcementcount 0 &gt;&gt;C:\Users\stu\Documents\GitHub\eaglep3-reporting\EC\2017-07-05-refined-times.txt</v>
      </c>
      <c r="AI2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{"issue":{"subject":"","project_id":79,"tracker_id":40,"status_id":1,"priority_id":2,"assigned_to_id":23,"start_date":"2017-07-05","description":"","custom_fields":[{"id":1,"name":"Subdivision","value":"EC"},{"id":4,"name":"Milepost","value":"23.3297"},{"id":17,"name":"Train ID","value":"113-05"},{"id":16,"name":"Locomotive ID","value":"4056"},{"id":130,"name":"Impact","value":""},{"id":150,"name":"Time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4056 --day 2017-07-05</v>
      </c>
      <c r="AN2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663</v>
      </c>
      <c r="B26" s="7">
        <v>4055</v>
      </c>
      <c r="C26" s="21" t="s">
        <v>202</v>
      </c>
      <c r="D26" s="21" t="s">
        <v>551</v>
      </c>
      <c r="E26" s="13">
        <v>42921.256006944444</v>
      </c>
      <c r="F26" s="13">
        <v>42921.258576388886</v>
      </c>
      <c r="G26" s="7">
        <v>1</v>
      </c>
      <c r="H26" s="21" t="s">
        <v>193</v>
      </c>
      <c r="I26" s="13">
        <v>42921.286643518521</v>
      </c>
      <c r="J26" s="7">
        <v>0</v>
      </c>
      <c r="K26" s="89" t="str">
        <f t="shared" si="0"/>
        <v>4055/4056</v>
      </c>
      <c r="L26" s="21" t="str">
        <f>VLOOKUP(A26,'Trips&amp;Operators'!$C$1:$G$99999,5,FALSE)</f>
        <v>LOZA FIDEL</v>
      </c>
      <c r="M26" s="6">
        <f t="shared" si="1"/>
        <v>2.8067129635019228E-2</v>
      </c>
      <c r="N26" s="7">
        <f t="shared" si="2"/>
        <v>40.416666674427688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-05T05:08:39-0600',mode:absolute,to:'2017-07-05T07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23.297899999999998</v>
      </c>
      <c r="Z26" s="197">
        <f t="shared" si="8"/>
        <v>1.52E-2</v>
      </c>
      <c r="AA26" s="197">
        <f t="shared" si="9"/>
        <v>23.282699999999998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26" s="74" t="str">
        <f t="shared" si="12"/>
        <v>"C:\Program Files (x86)\AstroGrep\AstroGrep.exe" /e /r /s /spath="%USERPROFILE%\AppData\Local\Temp\OnboardLogs" /stypes="app*4055*20170705*"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114-05 --locoid 4055 --swversion DE.1.0.9.0 --startMP 204:232979 --initTime 2017-07-05T06:08:39 --startdatetime 2017-07-05T06:12:21 --delay 1 --endMP 204:152 --enddatetime 2017-07-05T06:52:46 --enforcementcount 0 &gt;&gt;C:\Users\stu\Documents\GitHub\eaglep3-reporting\EC\2017-07-05-refined-times.txt</v>
      </c>
      <c r="AI2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{"issue":{"subject":"","project_id":79,"tracker_id":40,"status_id":1,"priority_id":2,"assigned_to_id":23,"start_date":"2017-07-05","description":"","custom_fields":[{"id":1,"name":"Subdivision","value":"EC"},{"id":4,"name":"Milepost","value":"0.0152"},{"id":17,"name":"Train ID","value":"114-05"},{"id":16,"name":"Locomotive ID","value":"4055"},{"id":130,"name":"Impact","value":""},{"id":150,"name":"Time of Event (Mountain Time)","value":"06:52:46"},{"id":151,"name":"Denver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4055 --day 2017-07-05</v>
      </c>
      <c r="AN2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574</v>
      </c>
      <c r="B27" s="7">
        <v>4018</v>
      </c>
      <c r="C27" s="21" t="s">
        <v>202</v>
      </c>
      <c r="D27" s="21" t="s">
        <v>446</v>
      </c>
      <c r="E27" s="13">
        <v>42921.226145833331</v>
      </c>
      <c r="F27" s="13">
        <v>42921.229699074072</v>
      </c>
      <c r="G27" s="7">
        <v>1</v>
      </c>
      <c r="H27" s="21" t="s">
        <v>545</v>
      </c>
      <c r="I27" s="13">
        <v>42921.255520833336</v>
      </c>
      <c r="J27" s="7">
        <v>0</v>
      </c>
      <c r="K27" s="89" t="str">
        <f t="shared" si="0"/>
        <v>4017/4018</v>
      </c>
      <c r="L27" s="21" t="str">
        <f>VLOOKUP(A27,'Trips&amp;Operators'!$C$1:$G$99999,5,FALSE)</f>
        <v>MAELZER KURT</v>
      </c>
      <c r="M27" s="6">
        <f t="shared" si="1"/>
        <v>2.5821759263635613E-2</v>
      </c>
      <c r="N27" s="7">
        <f t="shared" si="2"/>
        <v>37.183333339635283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-05T04:25:39-0600',mode:absolute,to:'2017-07-05T07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4.7500000000000001E-2</v>
      </c>
      <c r="Z27" s="197">
        <f t="shared" si="8"/>
        <v>23.3291</v>
      </c>
      <c r="AA27" s="197">
        <f t="shared" si="9"/>
        <v>23.281600000000001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27" s="74" t="str">
        <f t="shared" si="12"/>
        <v>"C:\Program Files (x86)\AstroGrep\AstroGrep.exe" /e /r /s /spath="%USERPROFILE%\AppData\Local\Temp\OnboardLogs" /stypes="app*4018*20170705*"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115-05 --locoid 4018 --swversion DE.1.0.9.0 --startMP 204:475 --initTime 2017-07-05T05:25:39 --startdatetime 2017-07-05T05:30:46 --delay 1 --endMP 204:233291 --enddatetime 2017-07-05T06:07:57 --enforcementcount 0 &gt;&gt;C:\Users\stu\Documents\GitHub\eaglep3-reporting\EC\2017-07-05-refined-times.txt</v>
      </c>
      <c r="AI27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{"issue":{"subject":"","project_id":79,"tracker_id":40,"status_id":1,"priority_id":2,"assigned_to_id":23,"start_date":"2017-07-05","description":"","custom_fields":[{"id":1,"name":"Subdivision","value":"EC"},{"id":4,"name":"Milepost","value":"23.3291"},{"id":17,"name":"Train ID","value":"115-05"},{"id":16,"name":"Locomotive ID","value":"4018"},{"id":130,"name":"Impact","value":""},{"id":150,"name":"Time of Event (Mountain Time)","value":"06:07:57"},{"id":151,"name":"Denver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4018 --day 2017-07-05</v>
      </c>
      <c r="AN27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665</v>
      </c>
      <c r="B28" s="7">
        <v>4017</v>
      </c>
      <c r="C28" s="21" t="s">
        <v>202</v>
      </c>
      <c r="D28" s="21" t="s">
        <v>549</v>
      </c>
      <c r="E28" s="13">
        <v>42921.262499999997</v>
      </c>
      <c r="F28" s="13">
        <v>42921.268912037034</v>
      </c>
      <c r="G28" s="7">
        <v>0</v>
      </c>
      <c r="H28" s="21" t="s">
        <v>349</v>
      </c>
      <c r="I28" s="13">
        <v>42921.296400462961</v>
      </c>
      <c r="J28" s="7">
        <v>0</v>
      </c>
      <c r="K28" s="89" t="str">
        <f t="shared" si="0"/>
        <v>4017/4018</v>
      </c>
      <c r="L28" s="21" t="str">
        <f>VLOOKUP(A28,'Trips&amp;Operators'!$C$1:$G$99999,5,FALSE)</f>
        <v>MAELZER KURT</v>
      </c>
      <c r="M28" s="6">
        <f t="shared" si="1"/>
        <v>2.7488425927003846E-2</v>
      </c>
      <c r="N28" s="7">
        <f t="shared" si="2"/>
        <v>39.583333334885538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-05T05:18:00-0600',mode:absolute,to:'2017-07-05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23.2971</v>
      </c>
      <c r="Z28" s="197">
        <f t="shared" si="8"/>
        <v>1.43E-2</v>
      </c>
      <c r="AA28" s="197">
        <f t="shared" si="9"/>
        <v>23.282800000000002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28" s="74" t="str">
        <f t="shared" si="12"/>
        <v>"C:\Program Files (x86)\AstroGrep\AstroGrep.exe" /e /r /s /spath="%USERPROFILE%\AppData\Local\Temp\OnboardLogs" /stypes="app*4017*20170705*"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116-05 --locoid 4017 --swversion DE.1.0.9.0 --startMP 204:232971 --initTime 2017-07-05T06:18:00 --startdatetime 2017-07-05T06:27:14 --delay 0 --endMP 204:143 --enddatetime 2017-07-05T07:06:49 --enforcementcount 0 &gt;&gt;C:\Users\stu\Documents\GitHub\eaglep3-reporting\EC\2017-07-05-refined-times.txt</v>
      </c>
      <c r="AI28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{"issue":{"subject":"","project_id":79,"tracker_id":40,"status_id":1,"priority_id":2,"assigned_to_id":23,"start_date":"2017-07-05","description":"","custom_fields":[{"id":1,"name":"Subdivision","value":"EC"},{"id":4,"name":"Milepost","value":"0.0143"},{"id":17,"name":"Train ID","value":"116-05"},{"id":16,"name":"Locomotive ID","value":"4017"},{"id":130,"name":"Impact","value":""},{"id":150,"name":"Time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4017 --day 2017-07-05</v>
      </c>
      <c r="AN28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659</v>
      </c>
      <c r="B29" s="7">
        <v>4014</v>
      </c>
      <c r="C29" s="21" t="s">
        <v>202</v>
      </c>
      <c r="D29" s="21" t="s">
        <v>437</v>
      </c>
      <c r="E29" s="13">
        <v>42921.237615740742</v>
      </c>
      <c r="F29" s="13">
        <v>42921.240243055552</v>
      </c>
      <c r="G29" s="7">
        <v>2</v>
      </c>
      <c r="H29" s="21" t="s">
        <v>502</v>
      </c>
      <c r="I29" s="13">
        <v>42921.266863425924</v>
      </c>
      <c r="J29" s="7">
        <v>0</v>
      </c>
      <c r="K29" s="89" t="str">
        <f t="shared" si="0"/>
        <v>4013/4014</v>
      </c>
      <c r="L29" s="21" t="str">
        <f>VLOOKUP(A29,'Trips&amp;Operators'!$C$1:$G$99999,5,FALSE)</f>
        <v>YANG JAN</v>
      </c>
      <c r="M29" s="6">
        <f t="shared" si="1"/>
        <v>2.662037037225673E-2</v>
      </c>
      <c r="N29" s="7">
        <f t="shared" si="2"/>
        <v>38.333333336049691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-05T04:42:10-0600',mode:absolute,to:'2017-07-05T07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4.4400000000000002E-2</v>
      </c>
      <c r="Z29" s="197">
        <f t="shared" si="8"/>
        <v>23.331499999999998</v>
      </c>
      <c r="AA29" s="197">
        <f t="shared" si="9"/>
        <v>23.287099999999999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29" s="74" t="str">
        <f t="shared" si="12"/>
        <v>"C:\Program Files (x86)\AstroGrep\AstroGrep.exe" /e /r /s /spath="%USERPROFILE%\AppData\Local\Temp\OnboardLogs" /stypes="app*4014*20170705*"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117-05 --locoid 4014 --swversion DE.1.0.9.0 --startMP 204:444 --initTime 2017-07-05T05:42:10 --startdatetime 2017-07-05T05:45:57 --delay 2 --endMP 204:233315 --enddatetime 2017-07-05T06:24:17 --enforcementcount 0 &gt;&gt;C:\Users\stu\Documents\GitHub\eaglep3-reporting\EC\2017-07-05-refined-times.txt</v>
      </c>
      <c r="AI29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{"issue":{"subject":"","project_id":79,"tracker_id":40,"status_id":1,"priority_id":2,"assigned_to_id":23,"start_date":"2017-07-05","description":"","custom_fields":[{"id":1,"name":"Subdivision","value":"EC"},{"id":4,"name":"Milepost","value":"23.3315"},{"id":17,"name":"Train ID","value":"117-05"},{"id":16,"name":"Locomotive ID","value":"4014"},{"id":130,"name":"Impact","value":""},{"id":150,"name":"Time of Event (Mountain Time)","value":"06:24:17"},{"id":151,"name":"Denver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4014 --day 2017-07-05</v>
      </c>
      <c r="AN29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668</v>
      </c>
      <c r="B30" s="7">
        <v>4013</v>
      </c>
      <c r="C30" s="21" t="s">
        <v>202</v>
      </c>
      <c r="D30" s="21" t="s">
        <v>443</v>
      </c>
      <c r="E30" s="13">
        <v>42921.274710648147</v>
      </c>
      <c r="F30" s="13">
        <v>42921.279467592591</v>
      </c>
      <c r="G30" s="7">
        <v>1</v>
      </c>
      <c r="H30" s="21" t="s">
        <v>413</v>
      </c>
      <c r="I30" s="13">
        <v>42921.307013888887</v>
      </c>
      <c r="J30" s="7">
        <v>0</v>
      </c>
      <c r="K30" s="89" t="str">
        <f t="shared" si="0"/>
        <v>4013/4014</v>
      </c>
      <c r="L30" s="21" t="str">
        <f>VLOOKUP(A30,'Trips&amp;Operators'!$C$1:$G$99999,5,FALSE)</f>
        <v>YANG JAN</v>
      </c>
      <c r="M30" s="6">
        <f t="shared" si="1"/>
        <v>2.7546296296350192E-2</v>
      </c>
      <c r="N30" s="7">
        <f t="shared" si="2"/>
        <v>39.666666666744277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-05T05:35:35-0600',mode:absolute,to:'2017-07-05T08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23.301500000000001</v>
      </c>
      <c r="Z30" s="197">
        <f t="shared" si="8"/>
        <v>1.38E-2</v>
      </c>
      <c r="AA30" s="197">
        <f t="shared" si="9"/>
        <v>23.287700000000001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30" s="74" t="str">
        <f t="shared" si="12"/>
        <v>"C:\Program Files (x86)\AstroGrep\AstroGrep.exe" /e /r /s /spath="%USERPROFILE%\AppData\Local\Temp\OnboardLogs" /stypes="app*4013*20170705*"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118-05 --locoid 4013 --swversion DE.1.0.9.0 --startMP 204:233015 --initTime 2017-07-05T06:35:35 --startdatetime 2017-07-05T06:42:26 --delay 1 --endMP 204:138 --enddatetime 2017-07-05T07:22:06 --enforcementcount 0 &gt;&gt;C:\Users\stu\Documents\GitHub\eaglep3-reporting\EC\2017-07-05-refined-times.txt</v>
      </c>
      <c r="AI30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{"issue":{"subject":"","project_id":79,"tracker_id":40,"status_id":1,"priority_id":2,"assigned_to_id":23,"start_date":"2017-07-05","description":"","custom_fields":[{"id":1,"name":"Subdivision","value":"EC"},{"id":4,"name":"Milepost","value":"0.0138"},{"id":17,"name":"Train ID","value":"118-05"},{"id":16,"name":"Locomotive ID","value":"4013"},{"id":130,"name":"Impact","value":""},{"id":150,"name":"Time of Event (Mountain Time)","value":"07:22:06"},{"id":151,"name":"Denver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4013 --day 2017-07-05</v>
      </c>
      <c r="AN30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661</v>
      </c>
      <c r="B31" s="7">
        <v>4042</v>
      </c>
      <c r="C31" s="21" t="s">
        <v>202</v>
      </c>
      <c r="D31" s="21" t="s">
        <v>832</v>
      </c>
      <c r="E31" s="13">
        <v>42921.247881944444</v>
      </c>
      <c r="F31" s="13">
        <v>42921.251226851855</v>
      </c>
      <c r="G31" s="7">
        <v>1</v>
      </c>
      <c r="H31" s="21" t="s">
        <v>482</v>
      </c>
      <c r="I31" s="13">
        <v>42921.277222222219</v>
      </c>
      <c r="J31" s="7">
        <v>0</v>
      </c>
      <c r="K31" s="89" t="str">
        <f t="shared" si="0"/>
        <v>4041/4042</v>
      </c>
      <c r="L31" s="21" t="str">
        <f>VLOOKUP(A31,'Trips&amp;Operators'!$C$1:$G$99999,5,FALSE)</f>
        <v>STARKS ANGELINA</v>
      </c>
      <c r="M31" s="6">
        <f t="shared" si="1"/>
        <v>2.5995370364398696E-2</v>
      </c>
      <c r="N31" s="7">
        <f t="shared" si="2"/>
        <v>37.433333324734122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-05T04:56:57-0600',mode:absolute,to:'2017-07-05T07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4.7699999999999999E-2</v>
      </c>
      <c r="Z31" s="197">
        <f t="shared" si="8"/>
        <v>23.329499999999999</v>
      </c>
      <c r="AA31" s="197">
        <f t="shared" si="9"/>
        <v>23.2818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31" s="74" t="str">
        <f t="shared" si="12"/>
        <v>"C:\Program Files (x86)\AstroGrep\AstroGrep.exe" /e /r /s /spath="%USERPROFILE%\AppData\Local\Temp\OnboardLogs" /stypes="app*4042*20170705*"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119-05 --locoid 4042 --swversion DE.1.0.9.0 --startMP 204:477 --initTime 2017-07-05T05:56:57 --startdatetime 2017-07-05T06:01:46 --delay 1 --endMP 204:233295 --enddatetime 2017-07-05T06:39:12 --enforcementcount 0 &gt;&gt;C:\Users\stu\Documents\GitHub\eaglep3-reporting\EC\2017-07-05-refined-times.txt</v>
      </c>
      <c r="AI31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{"issue":{"subject":"","project_id":79,"tracker_id":40,"status_id":1,"priority_id":2,"assigned_to_id":23,"start_date":"2017-07-05","description":"","custom_fields":[{"id":1,"name":"Subdivision","value":"EC"},{"id":4,"name":"Milepost","value":"23.3295"},{"id":17,"name":"Train ID","value":"119-05"},{"id":16,"name":"Locomotive ID","value":"4042"},{"id":130,"name":"Impact","value":""},{"id":150,"name":"Time of Event (Mountain Time)","value":"06:39:12"},{"id":151,"name":"Denver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4042 --day 2017-07-05</v>
      </c>
      <c r="AN31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581</v>
      </c>
      <c r="B32" s="7">
        <v>4041</v>
      </c>
      <c r="C32" s="21" t="s">
        <v>202</v>
      </c>
      <c r="D32" s="21" t="s">
        <v>538</v>
      </c>
      <c r="E32" s="13">
        <v>42921.289675925924</v>
      </c>
      <c r="F32" s="13">
        <v>42921.291018518517</v>
      </c>
      <c r="G32" s="7">
        <v>1</v>
      </c>
      <c r="H32" s="21" t="s">
        <v>348</v>
      </c>
      <c r="I32" s="13">
        <v>42921.31931712963</v>
      </c>
      <c r="J32" s="7">
        <v>0</v>
      </c>
      <c r="K32" s="89" t="str">
        <f t="shared" si="0"/>
        <v>4041/4042</v>
      </c>
      <c r="L32" s="21" t="str">
        <f>VLOOKUP(A32,'Trips&amp;Operators'!$C$1:$G$99999,5,FALSE)</f>
        <v>STARKS ANGELINA</v>
      </c>
      <c r="M32" s="6">
        <f t="shared" si="1"/>
        <v>2.8298611112404615E-2</v>
      </c>
      <c r="N32" s="7">
        <f t="shared" si="2"/>
        <v>40.750000001862645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-05T05:57:08-0600',mode:absolute,to:'2017-07-05T08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23.2973</v>
      </c>
      <c r="Z32" s="197">
        <f t="shared" si="8"/>
        <v>1.49E-2</v>
      </c>
      <c r="AA32" s="197">
        <f t="shared" si="9"/>
        <v>23.282399999999999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32" s="74" t="str">
        <f t="shared" si="12"/>
        <v>"C:\Program Files (x86)\AstroGrep\AstroGrep.exe" /e /r /s /spath="%USERPROFILE%\AppData\Local\Temp\OnboardLogs" /stypes="app*4041*20170705*"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120-05 --locoid 4041 --swversion DE.1.0.9.0 --startMP 204:232973 --initTime 2017-07-05T06:57:08 --startdatetime 2017-07-05T06:59:04 --delay 1 --endMP 204:149 --enddatetime 2017-07-05T07:39:49 --enforcementcount 0 &gt;&gt;C:\Users\stu\Documents\GitHub\eaglep3-reporting\EC\2017-07-05-refined-times.txt</v>
      </c>
      <c r="AI32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{"issue":{"subject":"","project_id":79,"tracker_id":40,"status_id":1,"priority_id":2,"assigned_to_id":23,"start_date":"2017-07-05","description":"","custom_fields":[{"id":1,"name":"Subdivision","value":"EC"},{"id":4,"name":"Milepost","value":"0.0149"},{"id":17,"name":"Train ID","value":"120-05"},{"id":16,"name":"Locomotive ID","value":"4041"},{"id":130,"name":"Impact","value":""},{"id":150,"name":"Time of Event (Mountain Time)","value":"07:39:49"},{"id":151,"name":"Denver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4041 --day 2017-07-05</v>
      </c>
      <c r="AN32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664</v>
      </c>
      <c r="B33" s="7">
        <v>4008</v>
      </c>
      <c r="C33" s="21" t="s">
        <v>202</v>
      </c>
      <c r="D33" s="21" t="s">
        <v>342</v>
      </c>
      <c r="E33" s="13">
        <v>42921.257986111108</v>
      </c>
      <c r="F33" s="13">
        <v>42921.261030092595</v>
      </c>
      <c r="G33" s="7">
        <v>1</v>
      </c>
      <c r="H33" s="21" t="s">
        <v>539</v>
      </c>
      <c r="I33" s="13">
        <v>42921.286469907405</v>
      </c>
      <c r="J33" s="7">
        <v>0</v>
      </c>
      <c r="K33" s="89" t="str">
        <f t="shared" si="0"/>
        <v>4007/4008</v>
      </c>
      <c r="L33" s="21" t="str">
        <f>VLOOKUP(A33,'Trips&amp;Operators'!$C$1:$G$99999,5,FALSE)</f>
        <v>MILLER KEVIN</v>
      </c>
      <c r="M33" s="6">
        <f t="shared" si="1"/>
        <v>2.5439814809942618E-2</v>
      </c>
      <c r="N33" s="7">
        <f t="shared" si="2"/>
        <v>36.63333332631737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-05T05:11:30-0600',mode:absolute,to:'2017-07-05T07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4.4900000000000002E-2</v>
      </c>
      <c r="Z33" s="197">
        <f t="shared" si="8"/>
        <v>23.328900000000001</v>
      </c>
      <c r="AA33" s="197">
        <f t="shared" si="9"/>
        <v>23.284000000000002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33" s="74" t="str">
        <f t="shared" si="12"/>
        <v>"C:\Program Files (x86)\AstroGrep\AstroGrep.exe" /e /r /s /spath="%USERPROFILE%\AppData\Local\Temp\OnboardLogs" /stypes="app*4008*20170705*"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121-05 --locoid 4008 --swversion DE.1.0.9.0 --startMP 204:449 --initTime 2017-07-05T06:11:30 --startdatetime 2017-07-05T06:15:53 --delay 1 --endMP 204:233289 --enddatetime 2017-07-05T06:52:31 --enforcementcount 0 &gt;&gt;C:\Users\stu\Documents\GitHub\eaglep3-reporting\EC\2017-07-05-refined-times.txt</v>
      </c>
      <c r="AI33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{"issue":{"subject":"","project_id":79,"tracker_id":40,"status_id":1,"priority_id":2,"assigned_to_id":23,"start_date":"2017-07-05","description":"","custom_fields":[{"id":1,"name":"Subdivision","value":"EC"},{"id":4,"name":"Milepost","value":"23.3289"},{"id":17,"name":"Train ID","value":"121-05"},{"id":16,"name":"Locomotive ID","value":"4008"},{"id":130,"name":"Impact","value":""},{"id":150,"name":"Time of Event (Mountain Time)","value":"06:52:31"},{"id":151,"name":"Denver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4008 --day 2017-07-05</v>
      </c>
      <c r="AN33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580</v>
      </c>
      <c r="B34" s="7">
        <v>4007</v>
      </c>
      <c r="C34" s="21" t="s">
        <v>202</v>
      </c>
      <c r="D34" s="21" t="s">
        <v>452</v>
      </c>
      <c r="E34" s="13">
        <v>42921.288553240738</v>
      </c>
      <c r="F34" s="13">
        <v>42921.300486111111</v>
      </c>
      <c r="G34" s="7">
        <v>1</v>
      </c>
      <c r="H34" s="21" t="s">
        <v>401</v>
      </c>
      <c r="I34" s="13">
        <v>42921.329618055555</v>
      </c>
      <c r="J34" s="7">
        <v>0</v>
      </c>
      <c r="K34" s="89" t="str">
        <f t="shared" si="0"/>
        <v>4007/4008</v>
      </c>
      <c r="L34" s="21" t="str">
        <f>VLOOKUP(A34,'Trips&amp;Operators'!$C$1:$G$99999,5,FALSE)</f>
        <v>MILLER KEVIN</v>
      </c>
      <c r="M34" s="6">
        <f t="shared" si="1"/>
        <v>2.9131944444088731E-2</v>
      </c>
      <c r="N34" s="7">
        <f t="shared" si="2"/>
        <v>41.949999999487773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-05T05:55:31-0600',mode:absolute,to:'2017-07-05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23.2989</v>
      </c>
      <c r="Z34" s="197">
        <f t="shared" si="8"/>
        <v>1.5599999999999999E-2</v>
      </c>
      <c r="AA34" s="197">
        <f t="shared" si="9"/>
        <v>23.283300000000001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34" s="74" t="str">
        <f t="shared" si="12"/>
        <v>"C:\Program Files (x86)\AstroGrep\AstroGrep.exe" /e /r /s /spath="%USERPROFILE%\AppData\Local\Temp\OnboardLogs" /stypes="app*4007*20170705*"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122-05 --locoid 4007 --swversion DE.1.0.9.0 --startMP 204:232989 --initTime 2017-07-05T06:55:31 --startdatetime 2017-07-05T07:12:42 --delay 1 --endMP 204:156 --enddatetime 2017-07-05T07:54:39 --enforcementcount 0 &gt;&gt;C:\Users\stu\Documents\GitHub\eaglep3-reporting\EC\2017-07-05-refined-times.txt</v>
      </c>
      <c r="AI34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{"issue":{"subject":"","project_id":79,"tracker_id":40,"status_id":1,"priority_id":2,"assigned_to_id":23,"start_date":"2017-07-05","description":"","custom_fields":[{"id":1,"name":"Subdivision","value":"EC"},{"id":4,"name":"Milepost","value":"0.0156"},{"id":17,"name":"Train ID","value":"122-05"},{"id":16,"name":"Locomotive ID","value":"4007"},{"id":130,"name":"Impact","value":""},{"id":150,"name":"Time of Event (Mountain Time)","value":"07:54:39"},{"id":151,"name":"Denver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4007 --day 2017-07-05</v>
      </c>
      <c r="AN34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666</v>
      </c>
      <c r="B35" s="7">
        <v>4054</v>
      </c>
      <c r="C35" s="21" t="s">
        <v>202</v>
      </c>
      <c r="D35" s="21" t="s">
        <v>400</v>
      </c>
      <c r="E35" s="13">
        <v>42921.267627314817</v>
      </c>
      <c r="F35" s="13">
        <v>42921.27140046296</v>
      </c>
      <c r="G35" s="7">
        <v>1</v>
      </c>
      <c r="H35" s="21" t="s">
        <v>436</v>
      </c>
      <c r="I35" s="13">
        <v>42921.298483796294</v>
      </c>
      <c r="J35" s="7">
        <v>0</v>
      </c>
      <c r="K35" s="89" t="str">
        <f t="shared" si="0"/>
        <v>4053/4054</v>
      </c>
      <c r="L35" s="21" t="str">
        <f>VLOOKUP(A35,'Trips&amp;Operators'!$C$1:$G$99999,5,FALSE)</f>
        <v>DAVIS WENDY</v>
      </c>
      <c r="M35" s="6">
        <f t="shared" si="1"/>
        <v>2.7083333334303461E-2</v>
      </c>
      <c r="N35" s="7">
        <f t="shared" si="2"/>
        <v>39.000000001396984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-05T05:25:23-0600',mode:absolute,to:'2017-07-05T08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4.6699999999999998E-2</v>
      </c>
      <c r="Z35" s="197">
        <f t="shared" si="8"/>
        <v>23.331199999999999</v>
      </c>
      <c r="AA35" s="197">
        <f t="shared" si="9"/>
        <v>23.284499999999998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35" s="74" t="str">
        <f t="shared" si="12"/>
        <v>"C:\Program Files (x86)\AstroGrep\AstroGrep.exe" /e /r /s /spath="%USERPROFILE%\AppData\Local\Temp\OnboardLogs" /stypes="app*4054*20170705*"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123-05 --locoid 4054 --swversion DE.1.0.9.0 --startMP 204:467 --initTime 2017-07-05T06:25:23 --startdatetime 2017-07-05T06:30:49 --delay 1 --endMP 204:233312 --enddatetime 2017-07-05T07:09:49 --enforcementcount 0 &gt;&gt;C:\Users\stu\Documents\GitHub\eaglep3-reporting\EC\2017-07-05-refined-times.txt</v>
      </c>
      <c r="AI3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{"issue":{"subject":"","project_id":79,"tracker_id":40,"status_id":1,"priority_id":2,"assigned_to_id":23,"start_date":"2017-07-05","description":"","custom_fields":[{"id":1,"name":"Subdivision","value":"EC"},{"id":4,"name":"Milepost","value":"23.3312"},{"id":17,"name":"Train ID","value":"123-05"},{"id":16,"name":"Locomotive ID","value":"4054"},{"id":130,"name":"Impact","value":""},{"id":150,"name":"Time of Event (Mountain Time)","value":"07:09:49"},{"id":151,"name":"Denver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4054 --day 2017-07-05</v>
      </c>
      <c r="AN3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673</v>
      </c>
      <c r="B36" s="7">
        <v>4053</v>
      </c>
      <c r="C36" s="21" t="s">
        <v>202</v>
      </c>
      <c r="D36" s="21" t="s">
        <v>483</v>
      </c>
      <c r="E36" s="13">
        <v>42921.30841435185</v>
      </c>
      <c r="F36" s="13">
        <v>42921.310578703706</v>
      </c>
      <c r="G36" s="7">
        <v>0</v>
      </c>
      <c r="H36" s="21" t="s">
        <v>401</v>
      </c>
      <c r="I36" s="13">
        <v>42921.339074074072</v>
      </c>
      <c r="J36" s="7">
        <v>0</v>
      </c>
      <c r="K36" s="89" t="str">
        <f t="shared" si="0"/>
        <v>4053/4054</v>
      </c>
      <c r="L36" s="21" t="str">
        <f>VLOOKUP(A36,'Trips&amp;Operators'!$C$1:$G$99999,5,FALSE)</f>
        <v>DAVIS WENDY</v>
      </c>
      <c r="M36" s="6">
        <f t="shared" si="1"/>
        <v>2.8495370366727002E-2</v>
      </c>
      <c r="N36" s="7">
        <f t="shared" si="2"/>
        <v>41.033333328086883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-05T06:24:07-0600',mode:absolute,to:'2017-07-05T09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23.299399999999999</v>
      </c>
      <c r="Z36" s="197">
        <f t="shared" si="8"/>
        <v>1.5599999999999999E-2</v>
      </c>
      <c r="AA36" s="197">
        <f t="shared" si="9"/>
        <v>23.283799999999999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36" s="74" t="str">
        <f t="shared" si="12"/>
        <v>"C:\Program Files (x86)\AstroGrep\AstroGrep.exe" /e /r /s /spath="%USERPROFILE%\AppData\Local\Temp\OnboardLogs" /stypes="app*4053*20170705*"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124-05 --locoid 4053 --swversion DE.1.0.9.0 --startMP 204:232994 --initTime 2017-07-05T07:24:07 --startdatetime 2017-07-05T07:27:14 --delay 0 --endMP 204:156 --enddatetime 2017-07-05T08:08:16 --enforcementcount 0 &gt;&gt;C:\Users\stu\Documents\GitHub\eaglep3-reporting\EC\2017-07-05-refined-times.txt</v>
      </c>
      <c r="AI3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{"issue":{"subject":"","project_id":79,"tracker_id":40,"status_id":1,"priority_id":2,"assigned_to_id":23,"start_date":"2017-07-05","description":"","custom_fields":[{"id":1,"name":"Subdivision","value":"EC"},{"id":4,"name":"Milepost","value":"0.0156"},{"id":17,"name":"Train ID","value":"124-05"},{"id":16,"name":"Locomotive ID","value":"4053"},{"id":130,"name":"Impact","value":""},{"id":150,"name":"Time of Event (Mountain Time)","value":"08:08:16"},{"id":151,"name":"Denver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4053 --day 2017-07-05</v>
      </c>
      <c r="AN3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669</v>
      </c>
      <c r="B37" s="7">
        <v>4006</v>
      </c>
      <c r="C37" s="21" t="s">
        <v>202</v>
      </c>
      <c r="D37" s="21" t="s">
        <v>354</v>
      </c>
      <c r="E37" s="13">
        <v>42921.278611111113</v>
      </c>
      <c r="F37" s="13">
        <v>42921.281817129631</v>
      </c>
      <c r="G37" s="7">
        <v>1</v>
      </c>
      <c r="H37" s="21" t="s">
        <v>557</v>
      </c>
      <c r="I37" s="13">
        <v>42921.307766203703</v>
      </c>
      <c r="J37" s="7">
        <v>0</v>
      </c>
      <c r="K37" s="89" t="str">
        <f t="shared" si="0"/>
        <v>4005/4006</v>
      </c>
      <c r="L37" s="21" t="str">
        <f>VLOOKUP(A37,'Trips&amp;Operators'!$C$1:$G$99999,5,FALSE)</f>
        <v>BONDS REYNALDO</v>
      </c>
      <c r="M37" s="6">
        <f t="shared" si="1"/>
        <v>2.5949074071832001E-2</v>
      </c>
      <c r="N37" s="7">
        <f t="shared" si="2"/>
        <v>37.366666663438082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-05T05:41:12-0600',mode:absolute,to:'2017-07-05T08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4.4699999999999997E-2</v>
      </c>
      <c r="Z37" s="197">
        <f t="shared" si="8"/>
        <v>23.3325</v>
      </c>
      <c r="AA37" s="197">
        <f t="shared" si="9"/>
        <v>23.287800000000001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37" s="74" t="str">
        <f t="shared" si="12"/>
        <v>"C:\Program Files (x86)\AstroGrep\AstroGrep.exe" /e /r /s /spath="%USERPROFILE%\AppData\Local\Temp\OnboardLogs" /stypes="app*4006*20170705*"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125-05 --locoid 4006 --swversion DE.1.0.9.0 --startMP 204:447 --initTime 2017-07-05T06:41:12 --startdatetime 2017-07-05T06:45:49 --delay 1 --endMP 204:233325 --enddatetime 2017-07-05T07:23:11 --enforcementcount 0 &gt;&gt;C:\Users\stu\Documents\GitHub\eaglep3-reporting\EC\2017-07-05-refined-times.txt</v>
      </c>
      <c r="AI37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{"issue":{"subject":"","project_id":79,"tracker_id":40,"status_id":1,"priority_id":2,"assigned_to_id":23,"start_date":"2017-07-05","description":"","custom_fields":[{"id":1,"name":"Subdivision","value":"EC"},{"id":4,"name":"Milepost","value":"23.3325"},{"id":17,"name":"Train ID","value":"125-05"},{"id":16,"name":"Locomotive ID","value":"4006"},{"id":130,"name":"Impact","value":""},{"id":150,"name":"Time of Event (Mountain Time)","value":"07:23:11"},{"id":151,"name":"Denver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4006 --day 2017-07-05</v>
      </c>
      <c r="AN37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583</v>
      </c>
      <c r="B38" s="7">
        <v>4005</v>
      </c>
      <c r="C38" s="21" t="s">
        <v>202</v>
      </c>
      <c r="D38" s="21" t="s">
        <v>481</v>
      </c>
      <c r="E38" s="13">
        <v>42921.318958333337</v>
      </c>
      <c r="F38" s="13">
        <v>42921.321157407408</v>
      </c>
      <c r="G38" s="7">
        <v>1</v>
      </c>
      <c r="H38" s="21" t="s">
        <v>347</v>
      </c>
      <c r="I38" s="13">
        <v>42921.350173611114</v>
      </c>
      <c r="J38" s="7">
        <v>0</v>
      </c>
      <c r="K38" s="89" t="str">
        <f t="shared" si="0"/>
        <v>4005/4006</v>
      </c>
      <c r="L38" s="21" t="str">
        <f>VLOOKUP(A38,'Trips&amp;Operators'!$C$1:$G$99999,5,FALSE)</f>
        <v>BONDS REYNALDO</v>
      </c>
      <c r="M38" s="6">
        <f t="shared" si="1"/>
        <v>2.9016203705396038E-2</v>
      </c>
      <c r="N38" s="7">
        <f t="shared" si="2"/>
        <v>41.783333335770294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-05T06:39:18-0600',mode:absolute,to:'2017-07-05T09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23.299299999999999</v>
      </c>
      <c r="Z38" s="197">
        <f t="shared" si="8"/>
        <v>1.4999999999999999E-2</v>
      </c>
      <c r="AA38" s="197">
        <f t="shared" si="9"/>
        <v>23.284299999999998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38" s="74" t="str">
        <f t="shared" si="12"/>
        <v>"C:\Program Files (x86)\AstroGrep\AstroGrep.exe" /e /r /s /spath="%USERPROFILE%\AppData\Local\Temp\OnboardLogs" /stypes="app*4005*20170705*"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126-05 --locoid 4005 --swversion DE.1.0.9.0 --startMP 204:232993 --initTime 2017-07-05T07:39:18 --startdatetime 2017-07-05T07:42:28 --delay 1 --endMP 204:150 --enddatetime 2017-07-05T08:24:15 --enforcementcount 0 &gt;&gt;C:\Users\stu\Documents\GitHub\eaglep3-reporting\EC\2017-07-05-refined-times.txt</v>
      </c>
      <c r="AI38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{"issue":{"subject":"","project_id":79,"tracker_id":40,"status_id":1,"priority_id":2,"assigned_to_id":23,"start_date":"2017-07-05","description":"","custom_fields":[{"id":1,"name":"Subdivision","value":"EC"},{"id":4,"name":"Milepost","value":"0.015"},{"id":17,"name":"Train ID","value":"126-05"},{"id":16,"name":"Locomotive ID","value":"4005"},{"id":130,"name":"Impact","value":""},{"id":150,"name":"Time of Event (Mountain Time)","value":"08:24:15"},{"id":151,"name":"Denver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4005 --day 2017-07-05</v>
      </c>
      <c r="AN38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671</v>
      </c>
      <c r="B39" s="7">
        <v>4056</v>
      </c>
      <c r="C39" s="21" t="s">
        <v>202</v>
      </c>
      <c r="D39" s="21" t="s">
        <v>472</v>
      </c>
      <c r="E39" s="13">
        <v>42921.289930555555</v>
      </c>
      <c r="F39" s="13">
        <v>42921.292384259257</v>
      </c>
      <c r="G39" s="7">
        <v>1</v>
      </c>
      <c r="H39" s="21" t="s">
        <v>833</v>
      </c>
      <c r="I39" s="13">
        <v>42921.317835648151</v>
      </c>
      <c r="J39" s="7">
        <v>0</v>
      </c>
      <c r="K39" s="89" t="str">
        <f t="shared" si="0"/>
        <v>4055/4056</v>
      </c>
      <c r="L39" s="21" t="str">
        <f>VLOOKUP(A39,'Trips&amp;Operators'!$C$1:$G$99999,5,FALSE)</f>
        <v>LOZA FIDEL</v>
      </c>
      <c r="M39" s="6">
        <f t="shared" si="1"/>
        <v>2.5451388893998228E-2</v>
      </c>
      <c r="N39" s="7">
        <f t="shared" si="2"/>
        <v>36.650000007357448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-05T05:57:30-0600',mode:absolute,to:'2017-07-05T08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4.3499999999999997E-2</v>
      </c>
      <c r="Z39" s="197">
        <f t="shared" si="8"/>
        <v>23.331800000000001</v>
      </c>
      <c r="AA39" s="197">
        <f t="shared" si="9"/>
        <v>23.2883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39" s="74" t="str">
        <f t="shared" si="12"/>
        <v>"C:\Program Files (x86)\AstroGrep\AstroGrep.exe" /e /r /s /spath="%USERPROFILE%\AppData\Local\Temp\OnboardLogs" /stypes="app*4056*20170705*"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127-05 --locoid 4056 --swversion DE.1.0.9.0 --startMP 204:435 --initTime 2017-07-05T06:57:30 --startdatetime 2017-07-05T07:01:02 --delay 1 --endMP 204:233318 --enddatetime 2017-07-05T07:37:41 --enforcementcount 0 &gt;&gt;C:\Users\stu\Documents\GitHub\eaglep3-reporting\EC\2017-07-05-refined-times.txt</v>
      </c>
      <c r="AI39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{"issue":{"subject":"","project_id":79,"tracker_id":40,"status_id":1,"priority_id":2,"assigned_to_id":23,"start_date":"2017-07-05","description":"","custom_fields":[{"id":1,"name":"Subdivision","value":"EC"},{"id":4,"name":"Milepost","value":"23.3318"},{"id":17,"name":"Train ID","value":"127-05"},{"id":16,"name":"Locomotive ID","value":"4056"},{"id":130,"name":"Impact","value":""},{"id":150,"name":"Time of Event (Mountain Time)","value":"07:37:41"},{"id":151,"name":"Denver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4056 --day 2017-07-05</v>
      </c>
      <c r="AN39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678</v>
      </c>
      <c r="B40" s="7">
        <v>4055</v>
      </c>
      <c r="C40" s="21" t="s">
        <v>202</v>
      </c>
      <c r="D40" s="21" t="s">
        <v>470</v>
      </c>
      <c r="E40" s="13">
        <v>42921.329004629632</v>
      </c>
      <c r="F40" s="13">
        <v>42921.331493055557</v>
      </c>
      <c r="G40" s="7">
        <v>1</v>
      </c>
      <c r="H40" s="21" t="s">
        <v>487</v>
      </c>
      <c r="I40" s="13">
        <v>42921.358796296299</v>
      </c>
      <c r="J40" s="7">
        <v>0</v>
      </c>
      <c r="K40" s="89" t="str">
        <f t="shared" si="0"/>
        <v>4055/4056</v>
      </c>
      <c r="L40" s="21" t="str">
        <f>VLOOKUP(A40,'Trips&amp;Operators'!$C$1:$G$99999,5,FALSE)</f>
        <v>LOZA FIDEL</v>
      </c>
      <c r="M40" s="6">
        <f t="shared" si="1"/>
        <v>2.7303240742185153E-2</v>
      </c>
      <c r="N40" s="7">
        <f t="shared" si="2"/>
        <v>39.31666666874662</v>
      </c>
      <c r="O40" s="7"/>
      <c r="P40" s="7"/>
      <c r="Q40" s="22"/>
      <c r="R40" s="170" t="s">
        <v>1054</v>
      </c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-05T06:53:46-0600',mode:absolute,to:'2017-07-05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23.299199999999999</v>
      </c>
      <c r="Z40" s="197">
        <f t="shared" si="8"/>
        <v>1.6E-2</v>
      </c>
      <c r="AA40" s="197">
        <f t="shared" si="9"/>
        <v>23.283200000000001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40" s="74" t="str">
        <f t="shared" si="12"/>
        <v>"C:\Program Files (x86)\AstroGrep\AstroGrep.exe" /e /r /s /spath="%USERPROFILE%\AppData\Local\Temp\OnboardLogs" /stypes="app*4055*20170705*"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128-05 --locoid 4055 --swversion DE.1.0.9.0 --startMP 204:232992 --initTime 2017-07-05T07:53:46 --startdatetime 2017-07-05T07:57:21 --delay 1 --endMP 204:160 --enddatetime 2017-07-05T08:36:40 --enforcementcount 0 &gt;&gt;C:\Users\stu\Documents\GitHub\eaglep3-reporting\EC\2017-07-05-refined-times.txt</v>
      </c>
      <c r="AI40" s="96" t="str">
        <f t="shared" si="19"/>
        <v>echo {"issue":{"subject":"Unhealthy at Chambers due to train stop","project_id":79,"tracker_id":40,"status_id":1,"priority_id":2,"assigned_to_id":23,"start_date":"2017-07-05","description":"","custom_fields":[{"id":1,"name":"Subdivision","value":"EC"},{"id":4,"name":"Milepost","value":"0.016"},{"id":17,"name":"Train ID","value":"128-05"},{"id":16,"name":"Locomotive ID","value":"4055"},{"id":130,"name":"Impact","value":""},{"id":150,"name":"Time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4055 --day 2017-07-05</v>
      </c>
      <c r="AN40" s="151" t="str">
        <f t="shared" si="21"/>
        <v>echo {"issue":{"subject":"Unhealthy at Chambers due to train stop","project_id":30,"tracker_id":4,"status_id":1,"priority_id":1,"assigned_to_id":10,"start_date":"2017-07-05","description":"","custom_fields":[{"id":30,"name":"Category","value":"Issue"},{"id":3,"name":"Functional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672</v>
      </c>
      <c r="B41" s="7">
        <v>4018</v>
      </c>
      <c r="C41" s="21" t="s">
        <v>202</v>
      </c>
      <c r="D41" s="21" t="s">
        <v>351</v>
      </c>
      <c r="E41" s="13">
        <v>42921.297962962963</v>
      </c>
      <c r="F41" s="13">
        <v>42921.302581018521</v>
      </c>
      <c r="G41" s="7">
        <v>2</v>
      </c>
      <c r="H41" s="21" t="s">
        <v>834</v>
      </c>
      <c r="I41" s="13">
        <v>42921.3281712963</v>
      </c>
      <c r="J41" s="7">
        <v>0</v>
      </c>
      <c r="K41" s="89" t="str">
        <f t="shared" si="0"/>
        <v>4017/4018</v>
      </c>
      <c r="L41" s="21" t="str">
        <f>VLOOKUP(A41,'Trips&amp;Operators'!$C$1:$G$99999,5,FALSE)</f>
        <v>MAELZER KURT</v>
      </c>
      <c r="M41" s="6">
        <f t="shared" si="1"/>
        <v>2.5590277778974269E-2</v>
      </c>
      <c r="N41" s="7">
        <f t="shared" si="2"/>
        <v>36.850000001722947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-05T06:09:04-0600',mode:absolute,to:'2017-07-05T08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4.5100000000000001E-2</v>
      </c>
      <c r="Z41" s="197">
        <f t="shared" si="8"/>
        <v>23.333100000000002</v>
      </c>
      <c r="AA41" s="197">
        <f t="shared" si="9"/>
        <v>23.288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41" s="74" t="str">
        <f t="shared" si="12"/>
        <v>"C:\Program Files (x86)\AstroGrep\AstroGrep.exe" /e /r /s /spath="%USERPROFILE%\AppData\Local\Temp\OnboardLogs" /stypes="app*4018*20170705*"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129-05 --locoid 4018 --swversion DE.1.0.9.0 --startMP 204:451 --initTime 2017-07-05T07:09:04 --startdatetime 2017-07-05T07:15:43 --delay 2 --endMP 204:233331 --enddatetime 2017-07-05T07:52:34 --enforcementcount 0 &gt;&gt;C:\Users\stu\Documents\GitHub\eaglep3-reporting\EC\2017-07-05-refined-times.txt</v>
      </c>
      <c r="AI41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{"issue":{"subject":"","project_id":79,"tracker_id":40,"status_id":1,"priority_id":2,"assigned_to_id":23,"start_date":"2017-07-05","description":"","custom_fields":[{"id":1,"name":"Subdivision","value":"EC"},{"id":4,"name":"Milepost","value":"23.3331"},{"id":17,"name":"Train ID","value":"129-05"},{"id":16,"name":"Locomotive ID","value":"4018"},{"id":130,"name":"Impact","value":""},{"id":150,"name":"Time of Event (Mountain Time)","value":"07:52:34"},{"id":151,"name":"Denver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4018 --day 2017-07-05</v>
      </c>
      <c r="AN41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681</v>
      </c>
      <c r="B42" s="7">
        <v>4017</v>
      </c>
      <c r="C42" s="21" t="s">
        <v>202</v>
      </c>
      <c r="D42" s="21" t="s">
        <v>430</v>
      </c>
      <c r="E42" s="13">
        <v>42921.333287037036</v>
      </c>
      <c r="F42" s="13">
        <v>42921.341863425929</v>
      </c>
      <c r="G42" s="7">
        <v>1</v>
      </c>
      <c r="H42" s="21" t="s">
        <v>460</v>
      </c>
      <c r="I42" s="13">
        <v>42921.369166666664</v>
      </c>
      <c r="J42" s="7">
        <v>0</v>
      </c>
      <c r="K42" s="89" t="str">
        <f t="shared" si="0"/>
        <v>4017/4018</v>
      </c>
      <c r="L42" s="21" t="str">
        <f>VLOOKUP(A42,'Trips&amp;Operators'!$C$1:$G$99999,5,FALSE)</f>
        <v>MAELZER KURT</v>
      </c>
      <c r="M42" s="6">
        <f t="shared" si="1"/>
        <v>2.7303240734909195E-2</v>
      </c>
      <c r="N42" s="7">
        <f t="shared" si="2"/>
        <v>39.316666658269241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-05T06:59:56-0600',mode:absolute,to:'2017-07-05T09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23.3004</v>
      </c>
      <c r="Z42" s="197">
        <f t="shared" si="8"/>
        <v>1.3599999999999999E-2</v>
      </c>
      <c r="AA42" s="197">
        <f t="shared" si="9"/>
        <v>23.286799999999999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42" s="74" t="str">
        <f t="shared" si="12"/>
        <v>"C:\Program Files (x86)\AstroGrep\AstroGrep.exe" /e /r /s /spath="%USERPROFILE%\AppData\Local\Temp\OnboardLogs" /stypes="app*4017*20170705*"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130-05 --locoid 4017 --swversion DE.1.0.9.0 --startMP 204:233004 --initTime 2017-07-05T07:59:56 --startdatetime 2017-07-05T08:12:17 --delay 1 --endMP 204:136 --enddatetime 2017-07-05T08:51:36 --enforcementcount 0 &gt;&gt;C:\Users\stu\Documents\GitHub\eaglep3-reporting\EC\2017-07-05-refined-times.txt</v>
      </c>
      <c r="AI42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{"issue":{"subject":"","project_id":79,"tracker_id":40,"status_id":1,"priority_id":2,"assigned_to_id":23,"start_date":"2017-07-05","description":"","custom_fields":[{"id":1,"name":"Subdivision","value":"EC"},{"id":4,"name":"Milepost","value":"0.0136"},{"id":17,"name":"Train ID","value":"130-05"},{"id":16,"name":"Locomotive ID","value":"4017"},{"id":130,"name":"Impact","value":""},{"id":150,"name":"Time of Event (Mountain Time)","value":"08:51:36"},{"id":151,"name":"Denver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4017 --day 2017-07-05</v>
      </c>
      <c r="AN42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674</v>
      </c>
      <c r="B43" s="7">
        <v>4014</v>
      </c>
      <c r="C43" s="21" t="s">
        <v>202</v>
      </c>
      <c r="D43" s="21" t="s">
        <v>437</v>
      </c>
      <c r="E43" s="13">
        <v>42921.309293981481</v>
      </c>
      <c r="F43" s="13">
        <v>42921.313101851854</v>
      </c>
      <c r="G43" s="7">
        <v>1</v>
      </c>
      <c r="H43" s="21" t="s">
        <v>833</v>
      </c>
      <c r="I43" s="13">
        <v>42921.339328703703</v>
      </c>
      <c r="J43" s="7">
        <v>0</v>
      </c>
      <c r="K43" s="89" t="str">
        <f t="shared" si="0"/>
        <v>4013/4014</v>
      </c>
      <c r="L43" s="21" t="str">
        <f>VLOOKUP(A43,'Trips&amp;Operators'!$C$1:$G$99999,5,FALSE)</f>
        <v>YANG JAN</v>
      </c>
      <c r="M43" s="6">
        <f t="shared" si="1"/>
        <v>2.622685184906004E-2</v>
      </c>
      <c r="N43" s="7">
        <f t="shared" si="2"/>
        <v>37.766666662646458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-05T06:25:23-0600',mode:absolute,to:'2017-07-05T09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4.4400000000000002E-2</v>
      </c>
      <c r="Z43" s="197">
        <f t="shared" si="8"/>
        <v>23.331800000000001</v>
      </c>
      <c r="AA43" s="197">
        <f t="shared" si="9"/>
        <v>23.287400000000002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43" s="74" t="str">
        <f t="shared" si="12"/>
        <v>"C:\Program Files (x86)\AstroGrep\AstroGrep.exe" /e /r /s /spath="%USERPROFILE%\AppData\Local\Temp\OnboardLogs" /stypes="app*4014*20170705*"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131-05 --locoid 4014 --swversion DE.1.0.9.0 --startMP 204:444 --initTime 2017-07-05T07:25:23 --startdatetime 2017-07-05T07:30:52 --delay 1 --endMP 204:233318 --enddatetime 2017-07-05T08:08:38 --enforcementcount 0 &gt;&gt;C:\Users\stu\Documents\GitHub\eaglep3-reporting\EC\2017-07-05-refined-times.txt</v>
      </c>
      <c r="AI43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{"issue":{"subject":"","project_id":79,"tracker_id":40,"status_id":1,"priority_id":2,"assigned_to_id":23,"start_date":"2017-07-05","description":"","custom_fields":[{"id":1,"name":"Subdivision","value":"EC"},{"id":4,"name":"Milepost","value":"23.3318"},{"id":17,"name":"Train ID","value":"131-05"},{"id":16,"name":"Locomotive ID","value":"4014"},{"id":130,"name":"Impact","value":""},{"id":150,"name":"Time of Event (Mountain Time)","value":"08:08:38"},{"id":151,"name":"Denver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4014 --day 2017-07-05</v>
      </c>
      <c r="AN43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584</v>
      </c>
      <c r="B44" s="7">
        <v>4013</v>
      </c>
      <c r="C44" s="21" t="s">
        <v>202</v>
      </c>
      <c r="D44" s="21" t="s">
        <v>548</v>
      </c>
      <c r="E44" s="13">
        <v>42921.348773148151</v>
      </c>
      <c r="F44" s="13">
        <v>42921.352314814816</v>
      </c>
      <c r="G44" s="7">
        <v>1</v>
      </c>
      <c r="H44" s="21" t="s">
        <v>401</v>
      </c>
      <c r="I44" s="13">
        <v>42921.37976851852</v>
      </c>
      <c r="J44" s="7">
        <v>0</v>
      </c>
      <c r="K44" s="89" t="str">
        <f t="shared" si="0"/>
        <v>4013/4014</v>
      </c>
      <c r="L44" s="21" t="str">
        <f>VLOOKUP(A44,'Trips&amp;Operators'!$C$1:$G$99999,5,FALSE)</f>
        <v>YANG JAN</v>
      </c>
      <c r="M44" s="6">
        <f t="shared" si="1"/>
        <v>2.7453703703940846E-2</v>
      </c>
      <c r="N44" s="7">
        <f t="shared" si="2"/>
        <v>39.533333333674818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-05T07:22:14-0600',mode:absolute,to:'2017-07-05T10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23.2986</v>
      </c>
      <c r="Z44" s="197">
        <f t="shared" si="8"/>
        <v>1.5599999999999999E-2</v>
      </c>
      <c r="AA44" s="197">
        <f t="shared" si="9"/>
        <v>23.283000000000001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44" s="74" t="str">
        <f t="shared" si="12"/>
        <v>"C:\Program Files (x86)\AstroGrep\AstroGrep.exe" /e /r /s /spath="%USERPROFILE%\AppData\Local\Temp\OnboardLogs" /stypes="app*4013*20170705*"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132-05 --locoid 4013 --swversion DE.1.0.9.0 --startMP 204:232986 --initTime 2017-07-05T08:22:14 --startdatetime 2017-07-05T08:27:20 --delay 1 --endMP 204:156 --enddatetime 2017-07-05T09:06:52 --enforcementcount 0 &gt;&gt;C:\Users\stu\Documents\GitHub\eaglep3-reporting\EC\2017-07-05-refined-times.txt</v>
      </c>
      <c r="AI44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{"issue":{"subject":"","project_id":79,"tracker_id":40,"status_id":1,"priority_id":2,"assigned_to_id":23,"start_date":"2017-07-05","description":"","custom_fields":[{"id":1,"name":"Subdivision","value":"EC"},{"id":4,"name":"Milepost","value":"0.0156"},{"id":17,"name":"Train ID","value":"132-05"},{"id":16,"name":"Locomotive ID","value":"4013"},{"id":130,"name":"Impact","value":""},{"id":150,"name":"Time of Event (Mountain Time)","value":"09:06:52"},{"id":151,"name":"Denver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4013 --day 2017-07-05</v>
      </c>
      <c r="AN44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677</v>
      </c>
      <c r="B45" s="7">
        <v>4042</v>
      </c>
      <c r="C45" s="21" t="s">
        <v>202</v>
      </c>
      <c r="D45" s="21" t="s">
        <v>472</v>
      </c>
      <c r="E45" s="13">
        <v>42921.32068287037</v>
      </c>
      <c r="F45" s="13">
        <v>42921.323449074072</v>
      </c>
      <c r="G45" s="7">
        <v>1</v>
      </c>
      <c r="H45" s="21" t="s">
        <v>546</v>
      </c>
      <c r="I45" s="13">
        <v>42921.349398148152</v>
      </c>
      <c r="J45" s="7">
        <v>0</v>
      </c>
      <c r="K45" s="89" t="str">
        <f t="shared" si="0"/>
        <v>4041/4042</v>
      </c>
      <c r="L45" s="21" t="str">
        <f>VLOOKUP(A45,'Trips&amp;Operators'!$C$1:$G$99999,5,FALSE)</f>
        <v>STARKS ANGELINA</v>
      </c>
      <c r="M45" s="6">
        <f t="shared" si="1"/>
        <v>2.5949074079107959E-2</v>
      </c>
      <c r="N45" s="7">
        <f t="shared" si="2"/>
        <v>37.366666673915461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-05T06:41:47-0600',mode:absolute,to:'2017-07-05T09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197" t="str">
        <f>IF(AA45&lt;VLOOKUP(AG45,Variables!$AC$3:$AD$8,2,FALSE),"Y","N")</f>
        <v>N</v>
      </c>
      <c r="X45" s="197">
        <f t="shared" ref="X45:X74" si="22">VALUE(LEFT(AD45,4))-VALUE(LEFT(AD44,4))</f>
        <v>1</v>
      </c>
      <c r="Y45" s="197">
        <f t="shared" ref="Y45:Y76" si="23">RIGHT(D45,LEN(D45)-4)/10000</f>
        <v>4.3499999999999997E-2</v>
      </c>
      <c r="Z45" s="197">
        <f t="shared" ref="Z45:Z76" si="24">RIGHT(H45,LEN(H45)-4)/10000</f>
        <v>23.329799999999999</v>
      </c>
      <c r="AA45" s="197">
        <f t="shared" si="9"/>
        <v>23.286299999999997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45" s="74" t="str">
        <f t="shared" si="12"/>
        <v>"C:\Program Files (x86)\AstroGrep\AstroGrep.exe" /e /r /s /spath="%USERPROFILE%\AppData\Local\Temp\OnboardLogs" /stypes="app*4042*20170705*"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133-05 --locoid 4042 --swversion DE.1.0.9.0 --startMP 204:435 --initTime 2017-07-05T07:41:47 --startdatetime 2017-07-05T07:45:46 --delay 1 --endMP 204:233298 --enddatetime 2017-07-05T08:23:08 --enforcementcount 0 &gt;&gt;C:\Users\stu\Documents\GitHub\eaglep3-reporting\EC\2017-07-05-refined-times.txt</v>
      </c>
      <c r="AI4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{"issue":{"subject":"","project_id":79,"tracker_id":40,"status_id":1,"priority_id":2,"assigned_to_id":23,"start_date":"2017-07-05","description":"","custom_fields":[{"id":1,"name":"Subdivision","value":"EC"},{"id":4,"name":"Milepost","value":"23.3298"},{"id":17,"name":"Train ID","value":"133-05"},{"id":16,"name":"Locomotive ID","value":"4042"},{"id":130,"name":"Impact","value":""},{"id":150,"name":"Time of Event (Mountain Time)","value":"08:23:08"},{"id":151,"name":"Denver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4042 --day 2017-07-05</v>
      </c>
      <c r="AN4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684</v>
      </c>
      <c r="B46" s="7">
        <v>4041</v>
      </c>
      <c r="C46" s="21" t="s">
        <v>202</v>
      </c>
      <c r="D46" s="21" t="s">
        <v>406</v>
      </c>
      <c r="E46" s="13">
        <v>42921.351134259261</v>
      </c>
      <c r="F46" s="13">
        <v>42921.362696759257</v>
      </c>
      <c r="G46" s="7">
        <v>1</v>
      </c>
      <c r="H46" s="21" t="s">
        <v>348</v>
      </c>
      <c r="I46" s="13">
        <v>42921.391944444447</v>
      </c>
      <c r="J46" s="7">
        <v>0</v>
      </c>
      <c r="K46" s="89" t="str">
        <f t="shared" si="0"/>
        <v>4041/4042</v>
      </c>
      <c r="L46" s="21" t="str">
        <f>VLOOKUP(A46,'Trips&amp;Operators'!$C$1:$G$99999,5,FALSE)</f>
        <v>STARKS ANGELINA</v>
      </c>
      <c r="M46" s="6">
        <f t="shared" si="1"/>
        <v>2.9247685190057382E-2</v>
      </c>
      <c r="N46" s="7">
        <f t="shared" si="2"/>
        <v>42.11666667368263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-05T07:25:38-0600',mode:absolute,to:'2017-07-05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23"/>
        <v>23.299600000000002</v>
      </c>
      <c r="Z46" s="197">
        <f t="shared" si="24"/>
        <v>1.49E-2</v>
      </c>
      <c r="AA46" s="197">
        <f t="shared" si="9"/>
        <v>23.284700000000001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46" s="74" t="str">
        <f t="shared" si="12"/>
        <v>"C:\Program Files (x86)\AstroGrep\AstroGrep.exe" /e /r /s /spath="%USERPROFILE%\AppData\Local\Temp\OnboardLogs" /stypes="app*4041*20170705*"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134-05 --locoid 4041 --swversion DE.1.0.9.0 --startMP 204:232996 --initTime 2017-07-05T08:25:38 --startdatetime 2017-07-05T08:42:17 --delay 1 --endMP 204:149 --enddatetime 2017-07-05T09:24:24 --enforcementcount 0 &gt;&gt;C:\Users\stu\Documents\GitHub\eaglep3-reporting\EC\2017-07-05-refined-times.txt</v>
      </c>
      <c r="AI4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{"issue":{"subject":"","project_id":79,"tracker_id":40,"status_id":1,"priority_id":2,"assigned_to_id":23,"start_date":"2017-07-05","description":"","custom_fields":[{"id":1,"name":"Subdivision","value":"EC"},{"id":4,"name":"Milepost","value":"0.0149"},{"id":17,"name":"Train ID","value":"134-05"},{"id":16,"name":"Locomotive ID","value":"4041"},{"id":130,"name":"Impact","value":""},{"id":150,"name":"Time of Event (Mountain Time)","value":"09:24:24"},{"id":151,"name":"Denver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4041 --day 2017-07-05</v>
      </c>
      <c r="AN4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680</v>
      </c>
      <c r="B47" s="7">
        <v>4008</v>
      </c>
      <c r="C47" s="21" t="s">
        <v>202</v>
      </c>
      <c r="D47" s="21" t="s">
        <v>407</v>
      </c>
      <c r="E47" s="13">
        <v>42921.331770833334</v>
      </c>
      <c r="F47" s="13">
        <v>42921.33390046296</v>
      </c>
      <c r="G47" s="7">
        <v>1</v>
      </c>
      <c r="H47" s="21" t="s">
        <v>542</v>
      </c>
      <c r="I47" s="13">
        <v>42921.359953703701</v>
      </c>
      <c r="J47" s="7">
        <v>0</v>
      </c>
      <c r="K47" s="89" t="str">
        <f t="shared" si="0"/>
        <v>4007/4008</v>
      </c>
      <c r="L47" s="21" t="str">
        <f>VLOOKUP(A47,'Trips&amp;Operators'!$C$1:$G$99999,5,FALSE)</f>
        <v>MILLER KEVIN</v>
      </c>
      <c r="M47" s="6">
        <f t="shared" si="1"/>
        <v>2.6053240741021E-2</v>
      </c>
      <c r="N47" s="7">
        <f t="shared" si="2"/>
        <v>37.51666666707024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-05T06:57:45-0600',mode:absolute,to:'2017-07-05T09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23"/>
        <v>4.6899999999999997E-2</v>
      </c>
      <c r="Z47" s="197">
        <f t="shared" si="24"/>
        <v>23.330100000000002</v>
      </c>
      <c r="AA47" s="197">
        <f t="shared" si="9"/>
        <v>23.283200000000001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47" s="74" t="str">
        <f t="shared" si="12"/>
        <v>"C:\Program Files (x86)\AstroGrep\AstroGrep.exe" /e /r /s /spath="%USERPROFILE%\AppData\Local\Temp\OnboardLogs" /stypes="app*4008*20170705*"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135-05 --locoid 4008 --swversion DE.1.0.9.0 --startMP 204:469 --initTime 2017-07-05T07:57:45 --startdatetime 2017-07-05T08:00:49 --delay 1 --endMP 204:233301 --enddatetime 2017-07-05T08:38:20 --enforcementcount 0 &gt;&gt;C:\Users\stu\Documents\GitHub\eaglep3-reporting\EC\2017-07-05-refined-times.txt</v>
      </c>
      <c r="AI47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{"issue":{"subject":"","project_id":79,"tracker_id":40,"status_id":1,"priority_id":2,"assigned_to_id":23,"start_date":"2017-07-05","description":"","custom_fields":[{"id":1,"name":"Subdivision","value":"EC"},{"id":4,"name":"Milepost","value":"23.3301"},{"id":17,"name":"Train ID","value":"135-05"},{"id":16,"name":"Locomotive ID","value":"4008"},{"id":130,"name":"Impact","value":""},{"id":150,"name":"Time of Event (Mountain Time)","value":"08:38:20"},{"id":151,"name":"Denver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4008 --day 2017-07-05</v>
      </c>
      <c r="AN47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689</v>
      </c>
      <c r="B48" s="7">
        <v>4007</v>
      </c>
      <c r="C48" s="21" t="s">
        <v>202</v>
      </c>
      <c r="D48" s="21" t="s">
        <v>547</v>
      </c>
      <c r="E48" s="13">
        <v>42921.369583333333</v>
      </c>
      <c r="F48" s="13">
        <v>42921.373078703706</v>
      </c>
      <c r="G48" s="7">
        <v>1</v>
      </c>
      <c r="H48" s="21" t="s">
        <v>395</v>
      </c>
      <c r="I48" s="13">
        <v>42921.400266203702</v>
      </c>
      <c r="J48" s="7">
        <v>0</v>
      </c>
      <c r="K48" s="89" t="str">
        <f t="shared" si="0"/>
        <v>4007/4008</v>
      </c>
      <c r="L48" s="21" t="str">
        <f>VLOOKUP(A48,'Trips&amp;Operators'!$C$1:$G$99999,5,FALSE)</f>
        <v>MILLER KEVIN</v>
      </c>
      <c r="M48" s="6">
        <f t="shared" si="1"/>
        <v>2.7187499996216502E-2</v>
      </c>
      <c r="N48" s="7">
        <f t="shared" si="2"/>
        <v>39.149999994551763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-05T07:52:12-0600',mode:absolute,to:'2017-07-05T10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23"/>
        <v>23.297699999999999</v>
      </c>
      <c r="Z48" s="197">
        <f t="shared" si="24"/>
        <v>1.4500000000000001E-2</v>
      </c>
      <c r="AA48" s="197">
        <f t="shared" si="9"/>
        <v>23.283199999999997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48" s="74" t="str">
        <f t="shared" si="12"/>
        <v>"C:\Program Files (x86)\AstroGrep\AstroGrep.exe" /e /r /s /spath="%USERPROFILE%\AppData\Local\Temp\OnboardLogs" /stypes="app*4007*20170705*"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136-05 --locoid 4007 --swversion DE.1.0.9.0 --startMP 204:232977 --initTime 2017-07-05T08:52:12 --startdatetime 2017-07-05T08:57:14 --delay 1 --endMP 204:145 --enddatetime 2017-07-05T09:36:23 --enforcementcount 0 &gt;&gt;C:\Users\stu\Documents\GitHub\eaglep3-reporting\EC\2017-07-05-refined-times.txt</v>
      </c>
      <c r="AI48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{"issue":{"subject":"","project_id":79,"tracker_id":40,"status_id":1,"priority_id":2,"assigned_to_id":23,"start_date":"2017-07-05","description":"","custom_fields":[{"id":1,"name":"Subdivision","value":"EC"},{"id":4,"name":"Milepost","value":"0.0145"},{"id":17,"name":"Train ID","value":"136-05"},{"id":16,"name":"Locomotive ID","value":"4007"},{"id":130,"name":"Impact","value":""},{"id":150,"name":"Time of Event (Mountain Time)","value":"09:36:23"},{"id":151,"name":"Denver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4007 --day 2017-07-05</v>
      </c>
      <c r="AN48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683</v>
      </c>
      <c r="B49" s="7">
        <v>4054</v>
      </c>
      <c r="C49" s="21" t="s">
        <v>202</v>
      </c>
      <c r="D49" s="21" t="s">
        <v>433</v>
      </c>
      <c r="E49" s="13">
        <v>42921.341006944444</v>
      </c>
      <c r="F49" s="13">
        <v>42921.344293981485</v>
      </c>
      <c r="G49" s="7">
        <v>1</v>
      </c>
      <c r="H49" s="21" t="s">
        <v>475</v>
      </c>
      <c r="I49" s="13">
        <v>42921.370694444442</v>
      </c>
      <c r="J49" s="7">
        <v>0</v>
      </c>
      <c r="K49" s="89" t="str">
        <f t="shared" si="0"/>
        <v>4053/4054</v>
      </c>
      <c r="L49" s="21" t="str">
        <f>VLOOKUP(A49,'Trips&amp;Operators'!$C$1:$G$99999,5,FALSE)</f>
        <v>DAVIS WENDY</v>
      </c>
      <c r="M49" s="6">
        <f t="shared" si="1"/>
        <v>2.640046295709908E-2</v>
      </c>
      <c r="N49" s="7">
        <f t="shared" si="2"/>
        <v>38.016666658222675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-05T07:11:03-0600',mode:absolute,to:'2017-07-05T09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23"/>
        <v>4.7300000000000002E-2</v>
      </c>
      <c r="Z49" s="197">
        <f t="shared" si="24"/>
        <v>23.331399999999999</v>
      </c>
      <c r="AA49" s="197">
        <f t="shared" si="9"/>
        <v>23.284099999999999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49" s="74" t="str">
        <f t="shared" si="12"/>
        <v>"C:\Program Files (x86)\AstroGrep\AstroGrep.exe" /e /r /s /spath="%USERPROFILE%\AppData\Local\Temp\OnboardLogs" /stypes="app*4054*20170705*"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137-05 --locoid 4054 --swversion DE.1.0.9.0 --startMP 204:473 --initTime 2017-07-05T08:11:03 --startdatetime 2017-07-05T08:15:47 --delay 1 --endMP 204:233314 --enddatetime 2017-07-05T08:53:48 --enforcementcount 0 &gt;&gt;C:\Users\stu\Documents\GitHub\eaglep3-reporting\EC\2017-07-05-refined-times.txt</v>
      </c>
      <c r="AI49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{"issue":{"subject":"","project_id":79,"tracker_id":40,"status_id":1,"priority_id":2,"assigned_to_id":23,"start_date":"2017-07-05","description":"","custom_fields":[{"id":1,"name":"Subdivision","value":"EC"},{"id":4,"name":"Milepost","value":"23.3314"},{"id":17,"name":"Train ID","value":"137-05"},{"id":16,"name":"Locomotive ID","value":"4054"},{"id":130,"name":"Impact","value":""},{"id":150,"name":"Time of Event (Mountain Time)","value":"08:53:48"},{"id":151,"name":"Denver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4054 --day 2017-07-05</v>
      </c>
      <c r="AN49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588</v>
      </c>
      <c r="B50" s="7">
        <v>4053</v>
      </c>
      <c r="C50" s="21" t="s">
        <v>202</v>
      </c>
      <c r="D50" s="21" t="s">
        <v>835</v>
      </c>
      <c r="E50" s="13">
        <v>42921.379166666666</v>
      </c>
      <c r="F50" s="13">
        <v>42921.38349537037</v>
      </c>
      <c r="G50" s="7">
        <v>1</v>
      </c>
      <c r="H50" s="21" t="s">
        <v>385</v>
      </c>
      <c r="I50" s="13">
        <v>42921.412731481483</v>
      </c>
      <c r="J50" s="7">
        <v>0</v>
      </c>
      <c r="K50" s="89" t="str">
        <f t="shared" si="0"/>
        <v>4053/4054</v>
      </c>
      <c r="L50" s="21" t="str">
        <f>VLOOKUP(A50,'Trips&amp;Operators'!$C$1:$G$99999,5,FALSE)</f>
        <v>DAVIS WENDY</v>
      </c>
      <c r="M50" s="6">
        <f t="shared" si="1"/>
        <v>2.923611111327773E-2</v>
      </c>
      <c r="N50" s="7">
        <f t="shared" si="2"/>
        <v>42.100000003119931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-05T08:06:00-0600',mode:absolute,to:'2017-07-05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23"/>
        <v>23.3</v>
      </c>
      <c r="Z50" s="197">
        <f t="shared" si="24"/>
        <v>1.54E-2</v>
      </c>
      <c r="AA50" s="197">
        <f t="shared" si="9"/>
        <v>23.284600000000001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50" s="74" t="str">
        <f t="shared" si="12"/>
        <v>"C:\Program Files (x86)\AstroGrep\AstroGrep.exe" /e /r /s /spath="%USERPROFILE%\AppData\Local\Temp\OnboardLogs" /stypes="app*4053*20170705*"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138-05 --locoid 4053 --swversion DE.1.0.9.0 --startMP 204:233000 --initTime 2017-07-05T09:06:00 --startdatetime 2017-07-05T09:12:14 --delay 1 --endMP 204:154 --enddatetime 2017-07-05T09:54:20 --enforcementcount 0 &gt;&gt;C:\Users\stu\Documents\GitHub\eaglep3-reporting\EC\2017-07-05-refined-times.txt</v>
      </c>
      <c r="AI50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{"issue":{"subject":"","project_id":79,"tracker_id":40,"status_id":1,"priority_id":2,"assigned_to_id":23,"start_date":"2017-07-05","description":"","custom_fields":[{"id":1,"name":"Subdivision","value":"EC"},{"id":4,"name":"Milepost","value":"0.0154"},{"id":17,"name":"Train ID","value":"138-05"},{"id":16,"name":"Locomotive ID","value":"4053"},{"id":130,"name":"Impact","value":""},{"id":150,"name":"Time of Event (Mountain Time)","value":"09:54:20"},{"id":151,"name":"Denver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4053 --day 2017-07-05</v>
      </c>
      <c r="AN50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685</v>
      </c>
      <c r="B51" s="7">
        <v>4006</v>
      </c>
      <c r="C51" s="21" t="s">
        <v>202</v>
      </c>
      <c r="D51" s="21" t="s">
        <v>350</v>
      </c>
      <c r="E51" s="13">
        <v>42921.351793981485</v>
      </c>
      <c r="F51" s="13">
        <v>42921.354664351849</v>
      </c>
      <c r="G51" s="7">
        <v>1</v>
      </c>
      <c r="H51" s="21" t="s">
        <v>836</v>
      </c>
      <c r="I51" s="13">
        <v>42921.381678240738</v>
      </c>
      <c r="J51" s="7">
        <v>0</v>
      </c>
      <c r="K51" s="89" t="str">
        <f t="shared" si="0"/>
        <v>4005/4006</v>
      </c>
      <c r="L51" s="21" t="str">
        <f>VLOOKUP(A51,'Trips&amp;Operators'!$C$1:$G$99999,5,FALSE)</f>
        <v>BONDS REYNALDO</v>
      </c>
      <c r="M51" s="6">
        <f t="shared" si="1"/>
        <v>2.7013888888177462E-2</v>
      </c>
      <c r="N51" s="7">
        <f t="shared" si="2"/>
        <v>38.899999998975545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-05T07:26:35-0600',mode:absolute,to:'2017-07-05T10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23"/>
        <v>4.6600000000000003E-2</v>
      </c>
      <c r="Z51" s="197">
        <f t="shared" si="24"/>
        <v>23.3276</v>
      </c>
      <c r="AA51" s="197">
        <f t="shared" si="9"/>
        <v>23.280999999999999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51" s="74" t="str">
        <f t="shared" si="12"/>
        <v>"C:\Program Files (x86)\AstroGrep\AstroGrep.exe" /e /r /s /spath="%USERPROFILE%\AppData\Local\Temp\OnboardLogs" /stypes="app*4006*20170705*"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139-05 --locoid 4006 --swversion DE.1.0.9.0 --startMP 204:466 --initTime 2017-07-05T08:26:35 --startdatetime 2017-07-05T08:30:43 --delay 1 --endMP 204:233276 --enddatetime 2017-07-05T09:09:37 --enforcementcount 0 &gt;&gt;C:\Users\stu\Documents\GitHub\eaglep3-reporting\EC\2017-07-05-refined-times.txt</v>
      </c>
      <c r="AI51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{"issue":{"subject":"","project_id":79,"tracker_id":40,"status_id":1,"priority_id":2,"assigned_to_id":23,"start_date":"2017-07-05","description":"","custom_fields":[{"id":1,"name":"Subdivision","value":"EC"},{"id":4,"name":"Milepost","value":"23.3276"},{"id":17,"name":"Train ID","value":"139-05"},{"id":16,"name":"Locomotive ID","value":"4006"},{"id":130,"name":"Impact","value":""},{"id":150,"name":"Time of Event (Mountain Time)","value":"09:09:37"},{"id":151,"name":"Denver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4006 --day 2017-07-05</v>
      </c>
      <c r="AN51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589</v>
      </c>
      <c r="B52" s="7">
        <v>4005</v>
      </c>
      <c r="C52" s="21" t="s">
        <v>202</v>
      </c>
      <c r="D52" s="21" t="s">
        <v>538</v>
      </c>
      <c r="E52" s="13">
        <v>42921.391412037039</v>
      </c>
      <c r="F52" s="13">
        <v>42921.414282407408</v>
      </c>
      <c r="G52" s="7">
        <v>1</v>
      </c>
      <c r="H52" s="21" t="s">
        <v>837</v>
      </c>
      <c r="I52" s="13">
        <v>42921.426134259258</v>
      </c>
      <c r="J52" s="7">
        <v>0</v>
      </c>
      <c r="K52" s="89" t="str">
        <f t="shared" si="0"/>
        <v>4005/4006</v>
      </c>
      <c r="L52" s="21" t="str">
        <f>VLOOKUP(A52,'Trips&amp;Operators'!$C$1:$G$99999,5,FALSE)</f>
        <v>BONDS REYNALDO</v>
      </c>
      <c r="M52" s="6">
        <f t="shared" si="1"/>
        <v>1.1851851850224193E-2</v>
      </c>
      <c r="N52" s="7"/>
      <c r="O52" s="7"/>
      <c r="P52" s="7">
        <f>24*60*SUM($M52:$M52)</f>
        <v>17.066666664322838</v>
      </c>
      <c r="Q52" s="22"/>
      <c r="R52" s="170" t="s">
        <v>1046</v>
      </c>
      <c r="S52" s="213">
        <f>SUM(U52:U53)/IF(AG52="EC",12,1)</f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3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-05T08:23:38-0600',mode:absolute,to:'2017-07-05T11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97" t="str">
        <f>IF(AA52&lt;VLOOKUP(AG52,Variables!$AC$3:$AD$8,2,FALSE),"Y","N")</f>
        <v>Y</v>
      </c>
      <c r="X52" s="197">
        <f t="shared" si="22"/>
        <v>1</v>
      </c>
      <c r="Y52" s="197">
        <f t="shared" si="23"/>
        <v>23.2973</v>
      </c>
      <c r="Z52" s="197">
        <f t="shared" si="24"/>
        <v>6.7550999999999997</v>
      </c>
      <c r="AA52" s="197">
        <f t="shared" si="9"/>
        <v>16.542200000000001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52" s="74" t="str">
        <f t="shared" si="12"/>
        <v>"C:\Program Files (x86)\AstroGrep\AstroGrep.exe" /e /r /s /spath="%USERPROFILE%\AppData\Local\Temp\OnboardLogs" /stypes="app*4005*20170705*"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140-05 --locoid 4005 --swversion DE.1.0.9.0 --startMP 204:232973 --initTime 2017-07-05T09:23:38 --startdatetime 2017-07-05T09:56:34 --delay 1 --endMP 204:67551 --enddatetime 2017-07-05T10:13:38 --enforcementcount 0 &gt;&gt;C:\Users\stu\Documents\GitHub\eaglep3-reporting\EC\2017-07-05-refined-times.txt</v>
      </c>
      <c r="AI52" s="96" t="str">
        <f t="shared" si="19"/>
        <v>echo {"issue":{"subject":"Wi-MAX data drop","project_id":79,"tracker_id":40,"status_id":1,"priority_id":2,"assigned_to_id":23,"start_date":"2017-07-05","description":"","custom_fields":[{"id":1,"name":"Subdivision","value":"EC"},{"id":4,"name":"Milepost","value":"6.7551"},{"id":17,"name":"Train ID","value":"140-05"},{"id":16,"name":"Locomotive ID","value":"4005"},{"id":130,"name":"Impact","value":""},{"id":150,"name":"Time of Event (Mountain Time)","value":"10:13:38"},{"id":151,"name":"Denver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4005 --day 2017-07-05</v>
      </c>
      <c r="AN52" s="151" t="str">
        <f t="shared" si="21"/>
        <v>echo {"issue":{"subject":"Wi-MAX data drop","project_id":30,"tracker_id":4,"status_id":1,"priority_id":1,"assigned_to_id":10,"start_date":"2017-07-05","description":"","custom_fields":[{"id":30,"name":"Category","value":"Issue"},{"id":3,"name":"Functional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16:13:38"},{"id":29,"name":"Sharepoint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589</v>
      </c>
      <c r="B53" s="7">
        <v>4005</v>
      </c>
      <c r="C53" s="21" t="s">
        <v>202</v>
      </c>
      <c r="D53" s="21" t="s">
        <v>838</v>
      </c>
      <c r="E53" s="13">
        <v>42921.413101851853</v>
      </c>
      <c r="F53" s="13">
        <v>42921.414282407408</v>
      </c>
      <c r="G53" s="7">
        <v>0</v>
      </c>
      <c r="H53" s="21" t="s">
        <v>460</v>
      </c>
      <c r="I53" s="13">
        <v>42921.426134259258</v>
      </c>
      <c r="J53" s="7">
        <v>0</v>
      </c>
      <c r="K53" s="89" t="str">
        <f t="shared" si="0"/>
        <v>4005/4006</v>
      </c>
      <c r="L53" s="21" t="str">
        <f>VLOOKUP(A53,'Trips&amp;Operators'!$C$1:$G$99999,5,FALSE)</f>
        <v>BONDS REYNALDO</v>
      </c>
      <c r="M53" s="6">
        <f t="shared" si="1"/>
        <v>1.1851851850224193E-2</v>
      </c>
      <c r="N53" s="7"/>
      <c r="O53" s="7"/>
      <c r="P53" s="7"/>
      <c r="Q53" s="22"/>
      <c r="R53" s="170"/>
      <c r="S53" s="213"/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9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-05T08:54:52-0600',mode:absolute,to:'2017-07-05T11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97" t="str">
        <f>IF(AA53&lt;VLOOKUP(AG53,Variables!$AC$3:$AD$8,2,FALSE),"Y","N")</f>
        <v>Y</v>
      </c>
      <c r="X53" s="197">
        <f t="shared" si="22"/>
        <v>0</v>
      </c>
      <c r="Y53" s="197">
        <f t="shared" si="23"/>
        <v>6.4146999999999998</v>
      </c>
      <c r="Z53" s="197">
        <f t="shared" si="24"/>
        <v>1.3599999999999999E-2</v>
      </c>
      <c r="AA53" s="197">
        <f t="shared" si="9"/>
        <v>6.4010999999999996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53" s="74" t="str">
        <f t="shared" si="12"/>
        <v>"C:\Program Files (x86)\AstroGrep\AstroGrep.exe" /e /r /s /spath="%USERPROFILE%\AppData\Local\Temp\OnboardLogs" /stypes="app*4005*20170705*"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140-05 --locoid 4005 --swversion DE.1.0.9.0 --startMP 204:64147 --initTime 2017-07-05T09:54:52 --startdatetime 2017-07-05T09:56:34 --delay 0 --endMP 204:136 --enddatetime 2017-07-05T10:13:38 --enforcementcount 0 &gt;&gt;C:\Users\stu\Documents\GitHub\eaglep3-reporting\EC\2017-07-05-refined-times.txt</v>
      </c>
      <c r="AI53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{"issue":{"subject":"","project_id":79,"tracker_id":40,"status_id":1,"priority_id":2,"assigned_to_id":23,"start_date":"2017-07-05","description":"","custom_fields":[{"id":1,"name":"Subdivision","value":"EC"},{"id":4,"name":"Milepost","value":"0.0136"},{"id":17,"name":"Train ID","value":"140-05"},{"id":16,"name":"Locomotive ID","value":"4005"},{"id":130,"name":"Impact","value":""},{"id":150,"name":"Time of Event (Mountain Time)","value":"10:13:38"},{"id":151,"name":"Denver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4005 --day 2017-07-05</v>
      </c>
      <c r="AN53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16:13:38"},{"id":29,"name":"Sharepoint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688</v>
      </c>
      <c r="B54" s="7">
        <v>4056</v>
      </c>
      <c r="C54" s="21" t="s">
        <v>202</v>
      </c>
      <c r="D54" s="21" t="s">
        <v>199</v>
      </c>
      <c r="E54" s="13">
        <v>42921.360879629632</v>
      </c>
      <c r="F54" s="13">
        <v>42921.365324074075</v>
      </c>
      <c r="G54" s="7">
        <v>1</v>
      </c>
      <c r="H54" s="21" t="s">
        <v>502</v>
      </c>
      <c r="I54" s="13">
        <v>42921.390462962961</v>
      </c>
      <c r="J54" s="7">
        <v>0</v>
      </c>
      <c r="K54" s="89" t="str">
        <f t="shared" si="0"/>
        <v>4055/4056</v>
      </c>
      <c r="L54" s="21" t="str">
        <f>VLOOKUP(A54,'Trips&amp;Operators'!$C$1:$G$99999,5,FALSE)</f>
        <v>LOZA FIDEL</v>
      </c>
      <c r="M54" s="6">
        <f t="shared" si="1"/>
        <v>2.5138888886431232E-2</v>
      </c>
      <c r="N54" s="7">
        <f t="shared" ref="N54:N85" si="25">24*60*SUM($M54:$M54)</f>
        <v>36.199999996460974</v>
      </c>
      <c r="O54" s="7"/>
      <c r="P54" s="7"/>
      <c r="Q54" s="22"/>
      <c r="R54" s="170"/>
      <c r="S54" s="213">
        <f t="shared" ref="S54:S85" si="26">SUM(U54:U54)/IF(AG54="EC",12,1)</f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-05T07:39:40-0600',mode:absolute,to:'2017-07-05T10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23"/>
        <v>4.5999999999999999E-2</v>
      </c>
      <c r="Z54" s="197">
        <f t="shared" si="24"/>
        <v>23.331499999999998</v>
      </c>
      <c r="AA54" s="197">
        <f t="shared" si="9"/>
        <v>23.285499999999999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54" s="74" t="str">
        <f t="shared" si="12"/>
        <v>"C:\Program Files (x86)\AstroGrep\AstroGrep.exe" /e /r /s /spath="%USERPROFILE%\AppData\Local\Temp\OnboardLogs" /stypes="app*4056*20170705*"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141-05 --locoid 4056 --swversion DE.1.0.9.0 --startMP 204:460 --initTime 2017-07-05T08:39:40 --startdatetime 2017-07-05T08:46:04 --delay 1 --endMP 204:233315 --enddatetime 2017-07-05T09:22:16 --enforcementcount 0 &gt;&gt;C:\Users\stu\Documents\GitHub\eaglep3-reporting\EC\2017-07-05-refined-times.txt</v>
      </c>
      <c r="AI54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{"issue":{"subject":"","project_id":79,"tracker_id":40,"status_id":1,"priority_id":2,"assigned_to_id":23,"start_date":"2017-07-05","description":"","custom_fields":[{"id":1,"name":"Subdivision","value":"EC"},{"id":4,"name":"Milepost","value":"23.3315"},{"id":17,"name":"Train ID","value":"141-05"},{"id":16,"name":"Locomotive ID","value":"4056"},{"id":130,"name":"Impact","value":""},{"id":150,"name":"Time of Event (Mountain Time)","value":"09:22:16"},{"id":151,"name":"Denver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4056 --day 2017-07-05</v>
      </c>
      <c r="AN54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700</v>
      </c>
      <c r="B55" s="7">
        <v>4055</v>
      </c>
      <c r="C55" s="21" t="s">
        <v>202</v>
      </c>
      <c r="D55" s="21" t="s">
        <v>839</v>
      </c>
      <c r="E55" s="13">
        <v>42921.401203703703</v>
      </c>
      <c r="F55" s="13">
        <v>42921.40457175926</v>
      </c>
      <c r="G55" s="7">
        <v>1</v>
      </c>
      <c r="H55" s="21" t="s">
        <v>194</v>
      </c>
      <c r="I55" s="13">
        <v>42921.431643518517</v>
      </c>
      <c r="J55" s="7">
        <v>0</v>
      </c>
      <c r="K55" s="89" t="str">
        <f t="shared" si="0"/>
        <v>4055/4056</v>
      </c>
      <c r="L55" s="21" t="str">
        <f>VLOOKUP(A55,'Trips&amp;Operators'!$C$1:$G$99999,5,FALSE)</f>
        <v>LOZA FIDEL</v>
      </c>
      <c r="M55" s="6">
        <f t="shared" si="1"/>
        <v>2.7071759257523809E-2</v>
      </c>
      <c r="N55" s="7">
        <f t="shared" si="25"/>
        <v>38.983333330834284</v>
      </c>
      <c r="O55" s="7"/>
      <c r="P55" s="7"/>
      <c r="Q55" s="22"/>
      <c r="R55" s="170"/>
      <c r="S55" s="213">
        <f t="shared" si="26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-05T08:37:44-0600',mode:absolute,to:'2017-07-05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23"/>
        <v>23.298100000000002</v>
      </c>
      <c r="Z55" s="197">
        <f t="shared" si="24"/>
        <v>1.5800000000000002E-2</v>
      </c>
      <c r="AA55" s="197">
        <f t="shared" si="9"/>
        <v>23.282300000000003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55" s="74" t="str">
        <f t="shared" si="12"/>
        <v>"C:\Program Files (x86)\AstroGrep\AstroGrep.exe" /e /r /s /spath="%USERPROFILE%\AppData\Local\Temp\OnboardLogs" /stypes="app*4055*20170705*"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142-05 --locoid 4055 --swversion DE.1.0.9.0 --startMP 204:232981 --initTime 2017-07-05T09:37:44 --startdatetime 2017-07-05T09:42:35 --delay 1 --endMP 204:158 --enddatetime 2017-07-05T10:21:34 --enforcementcount 0 &gt;&gt;C:\Users\stu\Documents\GitHub\eaglep3-reporting\EC\2017-07-05-refined-times.txt</v>
      </c>
      <c r="AI5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{"issue":{"subject":"","project_id":79,"tracker_id":40,"status_id":1,"priority_id":2,"assigned_to_id":23,"start_date":"2017-07-05","description":"","custom_fields":[{"id":1,"name":"Subdivision","value":"EC"},{"id":4,"name":"Milepost","value":"0.0158"},{"id":17,"name":"Train ID","value":"142-05"},{"id":16,"name":"Locomotive ID","value":"4055"},{"id":130,"name":"Impact","value":""},{"id":150,"name":"Time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4055 --day 2017-07-05</v>
      </c>
      <c r="AN5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692</v>
      </c>
      <c r="B56" s="7">
        <v>4018</v>
      </c>
      <c r="C56" s="21" t="s">
        <v>202</v>
      </c>
      <c r="D56" s="21" t="s">
        <v>506</v>
      </c>
      <c r="E56" s="13">
        <v>42921.371527777781</v>
      </c>
      <c r="F56" s="13">
        <v>42921.375590277778</v>
      </c>
      <c r="G56" s="7">
        <v>1</v>
      </c>
      <c r="H56" s="21" t="s">
        <v>840</v>
      </c>
      <c r="I56" s="13">
        <v>42921.401493055557</v>
      </c>
      <c r="J56" s="7">
        <v>0</v>
      </c>
      <c r="K56" s="89" t="str">
        <f t="shared" si="0"/>
        <v>4017/4018</v>
      </c>
      <c r="L56" s="21" t="str">
        <f>VLOOKUP(A56,'Trips&amp;Operators'!$C$1:$G$99999,5,FALSE)</f>
        <v>MAELZER KURT</v>
      </c>
      <c r="M56" s="6">
        <f t="shared" si="1"/>
        <v>2.5902777779265307E-2</v>
      </c>
      <c r="N56" s="7">
        <f t="shared" si="25"/>
        <v>37.300000002142042</v>
      </c>
      <c r="O56" s="7"/>
      <c r="P56" s="7"/>
      <c r="Q56" s="22"/>
      <c r="R56" s="170"/>
      <c r="S56" s="213">
        <f t="shared" si="26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-05T07:55:00-0600',mode:absolute,to:'2017-07-05T10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23"/>
        <v>4.3299999999999998E-2</v>
      </c>
      <c r="Z56" s="197">
        <f t="shared" si="24"/>
        <v>23.343499999999999</v>
      </c>
      <c r="AA56" s="197">
        <f t="shared" si="9"/>
        <v>23.3002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56" s="74" t="str">
        <f t="shared" si="12"/>
        <v>"C:\Program Files (x86)\AstroGrep\AstroGrep.exe" /e /r /s /spath="%USERPROFILE%\AppData\Local\Temp\OnboardLogs" /stypes="app*4018*20170705*"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143-05 --locoid 4018 --swversion DE.1.0.9.0 --startMP 204:433 --initTime 2017-07-05T08:55:00 --startdatetime 2017-07-05T09:00:51 --delay 1 --endMP 204:233435 --enddatetime 2017-07-05T09:38:09 --enforcementcount 0 &gt;&gt;C:\Users\stu\Documents\GitHub\eaglep3-reporting\EC\2017-07-05-refined-times.txt</v>
      </c>
      <c r="AI5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{"issue":{"subject":"","project_id":79,"tracker_id":40,"status_id":1,"priority_id":2,"assigned_to_id":23,"start_date":"2017-07-05","description":"","custom_fields":[{"id":1,"name":"Subdivision","value":"EC"},{"id":4,"name":"Milepost","value":"23.3435"},{"id":17,"name":"Train ID","value":"143-05"},{"id":16,"name":"Locomotive ID","value":"4018"},{"id":130,"name":"Impact","value":""},{"id":150,"name":"Time of Event (Mountain Time)","value":"09:38:09"},{"id":151,"name":"Denver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4018 --day 2017-07-05</v>
      </c>
      <c r="AN5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702</v>
      </c>
      <c r="B57" s="7">
        <v>4017</v>
      </c>
      <c r="C57" s="21" t="s">
        <v>202</v>
      </c>
      <c r="D57" s="21" t="s">
        <v>485</v>
      </c>
      <c r="E57" s="13">
        <v>42921.40693287037</v>
      </c>
      <c r="F57" s="13">
        <v>42921.414814814816</v>
      </c>
      <c r="G57" s="7">
        <v>0</v>
      </c>
      <c r="H57" s="21" t="s">
        <v>193</v>
      </c>
      <c r="I57" s="13">
        <v>42921.442546296297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MAELZER KURT</v>
      </c>
      <c r="M57" s="6">
        <f t="shared" si="1"/>
        <v>2.7731481481168885E-2</v>
      </c>
      <c r="N57" s="7">
        <f t="shared" si="25"/>
        <v>39.933333332883194</v>
      </c>
      <c r="O57" s="7"/>
      <c r="P57" s="7"/>
      <c r="Q57" s="22"/>
      <c r="R57" s="170"/>
      <c r="S57" s="213">
        <f t="shared" si="26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-05T08:45:59-0600',mode:absolute,to:'2017-07-05T11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23"/>
        <v>23.298999999999999</v>
      </c>
      <c r="Z57" s="197">
        <f t="shared" si="24"/>
        <v>1.52E-2</v>
      </c>
      <c r="AA57" s="197">
        <f t="shared" si="9"/>
        <v>23.283799999999999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57" s="74" t="str">
        <f t="shared" si="12"/>
        <v>"C:\Program Files (x86)\AstroGrep\AstroGrep.exe" /e /r /s /spath="%USERPROFILE%\AppData\Local\Temp\OnboardLogs" /stypes="app*4017*20170705*"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144-05 --locoid 4017 --swversion DE.1.0.9.0 --startMP 204:232990 --initTime 2017-07-05T09:45:59 --startdatetime 2017-07-05T09:57:20 --delay 0 --endMP 204:152 --enddatetime 2017-07-05T10:37:16 --enforcementcount 0 &gt;&gt;C:\Users\stu\Documents\GitHub\eaglep3-reporting\EC\2017-07-05-refined-times.txt</v>
      </c>
      <c r="AI57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{"issue":{"subject":"","project_id":79,"tracker_id":40,"status_id":1,"priority_id":2,"assigned_to_id":23,"start_date":"2017-07-05","description":"","custom_fields":[{"id":1,"name":"Subdivision","value":"EC"},{"id":4,"name":"Milepost","value":"0.0152"},{"id":17,"name":"Train ID","value":"144-05"},{"id":16,"name":"Locomotive ID","value":"4017"},{"id":130,"name":"Impact","value":""},{"id":150,"name":"Time of Event (Mountain Time)","value":"10:37:16"},{"id":151,"name":"Denver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4017 --day 2017-07-05</v>
      </c>
      <c r="AN57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696</v>
      </c>
      <c r="B58" s="7">
        <v>4014</v>
      </c>
      <c r="C58" s="21" t="s">
        <v>202</v>
      </c>
      <c r="D58" s="21" t="s">
        <v>832</v>
      </c>
      <c r="E58" s="13">
        <v>42921.382048611114</v>
      </c>
      <c r="F58" s="13">
        <v>42921.385960648149</v>
      </c>
      <c r="G58" s="7">
        <v>1</v>
      </c>
      <c r="H58" s="21" t="s">
        <v>557</v>
      </c>
      <c r="I58" s="13">
        <v>42921.411736111113</v>
      </c>
      <c r="J58" s="7">
        <v>0</v>
      </c>
      <c r="K58" s="89" t="str">
        <f t="shared" si="0"/>
        <v>4013/4014</v>
      </c>
      <c r="L58" s="21" t="str">
        <f>VLOOKUP(A58,'Trips&amp;Operators'!$C$1:$G$99999,5,FALSE)</f>
        <v>YANG JAN</v>
      </c>
      <c r="M58" s="6">
        <f t="shared" si="1"/>
        <v>2.5775462963792961E-2</v>
      </c>
      <c r="N58" s="7">
        <f t="shared" si="25"/>
        <v>37.116666667861864</v>
      </c>
      <c r="O58" s="7"/>
      <c r="P58" s="7"/>
      <c r="Q58" s="22"/>
      <c r="R58" s="170"/>
      <c r="S58" s="213">
        <f t="shared" si="26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-05T08:10:09-0600',mode:absolute,to:'2017-07-05T10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23"/>
        <v>4.7699999999999999E-2</v>
      </c>
      <c r="Z58" s="197">
        <f t="shared" si="24"/>
        <v>23.3325</v>
      </c>
      <c r="AA58" s="197">
        <f t="shared" si="9"/>
        <v>23.284800000000001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58" s="74" t="str">
        <f t="shared" si="12"/>
        <v>"C:\Program Files (x86)\AstroGrep\AstroGrep.exe" /e /r /s /spath="%USERPROFILE%\AppData\Local\Temp\OnboardLogs" /stypes="app*4014*20170705*"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145-05 --locoid 4014 --swversion DE.1.0.9.0 --startMP 204:477 --initTime 2017-07-05T09:10:09 --startdatetime 2017-07-05T09:15:47 --delay 1 --endMP 204:233325 --enddatetime 2017-07-05T09:52:54 --enforcementcount 0 &gt;&gt;C:\Users\stu\Documents\GitHub\eaglep3-reporting\EC\2017-07-05-refined-times.txt</v>
      </c>
      <c r="AI58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{"issue":{"subject":"","project_id":79,"tracker_id":40,"status_id":1,"priority_id":2,"assigned_to_id":23,"start_date":"2017-07-05","description":"","custom_fields":[{"id":1,"name":"Subdivision","value":"EC"},{"id":4,"name":"Milepost","value":"23.3325"},{"id":17,"name":"Train ID","value":"145-05"},{"id":16,"name":"Locomotive ID","value":"4014"},{"id":130,"name":"Impact","value":""},{"id":150,"name":"Time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4014 --day 2017-07-05</v>
      </c>
      <c r="AN58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704</v>
      </c>
      <c r="B59" s="7">
        <v>4013</v>
      </c>
      <c r="C59" s="21" t="s">
        <v>202</v>
      </c>
      <c r="D59" s="21" t="s">
        <v>474</v>
      </c>
      <c r="E59" s="13">
        <v>42921.414502314816</v>
      </c>
      <c r="F59" s="13">
        <v>42921.425451388888</v>
      </c>
      <c r="G59" s="7">
        <v>1</v>
      </c>
      <c r="H59" s="21" t="s">
        <v>385</v>
      </c>
      <c r="I59" s="13">
        <v>42921.453344907408</v>
      </c>
      <c r="J59" s="7">
        <v>0</v>
      </c>
      <c r="K59" s="89" t="str">
        <f t="shared" si="0"/>
        <v>4013/4014</v>
      </c>
      <c r="L59" s="21" t="str">
        <f>VLOOKUP(A59,'Trips&amp;Operators'!$C$1:$G$99999,5,FALSE)</f>
        <v>YANG JAN</v>
      </c>
      <c r="M59" s="6">
        <f t="shared" si="1"/>
        <v>2.789351851970423E-2</v>
      </c>
      <c r="N59" s="7">
        <f t="shared" si="25"/>
        <v>40.166666668374091</v>
      </c>
      <c r="O59" s="7"/>
      <c r="P59" s="7"/>
      <c r="Q59" s="22"/>
      <c r="R59" s="170"/>
      <c r="S59" s="213">
        <f t="shared" si="26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-05T08:56:53-0600',mode:absolute,to:'2017-07-05T11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23"/>
        <v>23.299800000000001</v>
      </c>
      <c r="Z59" s="197">
        <f t="shared" si="24"/>
        <v>1.54E-2</v>
      </c>
      <c r="AA59" s="197">
        <f t="shared" si="9"/>
        <v>23.284400000000002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59" s="74" t="str">
        <f t="shared" si="12"/>
        <v>"C:\Program Files (x86)\AstroGrep\AstroGrep.exe" /e /r /s /spath="%USERPROFILE%\AppData\Local\Temp\OnboardLogs" /stypes="app*4013*20170705*"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146-05 --locoid 4013 --swversion DE.1.0.9.0 --startMP 204:232998 --initTime 2017-07-05T09:56:53 --startdatetime 2017-07-05T10:12:39 --delay 1 --endMP 204:154 --enddatetime 2017-07-05T10:52:49 --enforcementcount 0 &gt;&gt;C:\Users\stu\Documents\GitHub\eaglep3-reporting\EC\2017-07-05-refined-times.txt</v>
      </c>
      <c r="AI59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{"issue":{"subject":"","project_id":79,"tracker_id":40,"status_id":1,"priority_id":2,"assigned_to_id":23,"start_date":"2017-07-05","description":"","custom_fields":[{"id":1,"name":"Subdivision","value":"EC"},{"id":4,"name":"Milepost","value":"0.0154"},{"id":17,"name":"Train ID","value":"146-05"},{"id":16,"name":"Locomotive ID","value":"4013"},{"id":130,"name":"Impact","value":""},{"id":150,"name":"Time of Event (Mountain Time)","value":"10:52:49"},{"id":151,"name":"Denver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4013 --day 2017-07-05</v>
      </c>
      <c r="AN59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4042</v>
      </c>
      <c r="C60" s="21" t="s">
        <v>202</v>
      </c>
      <c r="D60" s="21" t="s">
        <v>417</v>
      </c>
      <c r="E60" s="13">
        <v>42921.39371527778</v>
      </c>
      <c r="F60" s="13">
        <v>42921.396493055552</v>
      </c>
      <c r="G60" s="7">
        <v>1</v>
      </c>
      <c r="H60" s="21" t="s">
        <v>841</v>
      </c>
      <c r="I60" s="13">
        <v>42921.422546296293</v>
      </c>
      <c r="J60" s="7">
        <v>0</v>
      </c>
      <c r="K60" s="89" t="str">
        <f t="shared" si="0"/>
        <v>4041/4042</v>
      </c>
      <c r="L60" s="21" t="str">
        <f>VLOOKUP(A60,'Trips&amp;Operators'!$C$1:$G$99999,5,FALSE)</f>
        <v>STARKS ANGELINA</v>
      </c>
      <c r="M60" s="6">
        <f t="shared" si="1"/>
        <v>2.6053240741021E-2</v>
      </c>
      <c r="N60" s="7">
        <f t="shared" si="25"/>
        <v>37.51666666707024</v>
      </c>
      <c r="O60" s="7"/>
      <c r="P60" s="7"/>
      <c r="Q60" s="22"/>
      <c r="R60" s="170"/>
      <c r="S60" s="213">
        <f t="shared" si="26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-05T08:26:57-0600',mode:absolute,to:'2017-07-05T11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23"/>
        <v>4.5499999999999999E-2</v>
      </c>
      <c r="Z60" s="197">
        <f t="shared" si="24"/>
        <v>23.329899999999999</v>
      </c>
      <c r="AA60" s="197">
        <f t="shared" si="9"/>
        <v>23.284399999999998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60" s="74" t="str">
        <f t="shared" si="12"/>
        <v>"C:\Program Files (x86)\AstroGrep\AstroGrep.exe" /e /r /s /spath="%USERPROFILE%\AppData\Local\Temp\OnboardLogs" /stypes="app*4042*20170705*"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147-05 --locoid 4042 --swversion DE.1.0.9.0 --startMP 204:455 --initTime 2017-07-05T09:26:57 --startdatetime 2017-07-05T09:30:57 --delay 1 --endMP 204:233299 --enddatetime 2017-07-05T10:08:28 --enforcementcount 0 &gt;&gt;C:\Users\stu\Documents\GitHub\eaglep3-reporting\EC\2017-07-05-refined-times.txt</v>
      </c>
      <c r="AI60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{"issue":{"subject":"","project_id":79,"tracker_id":40,"status_id":1,"priority_id":2,"assigned_to_id":23,"start_date":"2017-07-05","description":"","custom_fields":[{"id":1,"name":"Subdivision","value":"EC"},{"id":4,"name":"Milepost","value":"23.3299"},{"id":17,"name":"Train ID","value":"147-05"},{"id":16,"name":"Locomotive ID","value":"4042"},{"id":130,"name":"Impact","value":""},{"id":150,"name":"Time of Event (Mountain Time)","value":"10:08:28"},{"id":151,"name":"Denver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4042 --day 2017-07-05</v>
      </c>
      <c r="AN60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597</v>
      </c>
      <c r="B61" s="7">
        <v>4041</v>
      </c>
      <c r="C61" s="21" t="s">
        <v>202</v>
      </c>
      <c r="D61" s="21" t="s">
        <v>462</v>
      </c>
      <c r="E61" s="13">
        <v>42921.432118055556</v>
      </c>
      <c r="F61" s="13">
        <v>42921.435578703706</v>
      </c>
      <c r="G61" s="7">
        <v>1</v>
      </c>
      <c r="H61" s="21" t="s">
        <v>358</v>
      </c>
      <c r="I61" s="13">
        <v>42921.46465277778</v>
      </c>
      <c r="J61" s="7">
        <v>0</v>
      </c>
      <c r="K61" s="89" t="str">
        <f t="shared" si="0"/>
        <v>4041/4042</v>
      </c>
      <c r="L61" s="21" t="str">
        <f>VLOOKUP(A61,'Trips&amp;Operators'!$C$1:$G$99999,5,FALSE)</f>
        <v>STARKS ANGELINA</v>
      </c>
      <c r="M61" s="6">
        <f t="shared" si="1"/>
        <v>2.9074074074742384E-2</v>
      </c>
      <c r="N61" s="7">
        <f t="shared" si="25"/>
        <v>41.866666667629033</v>
      </c>
      <c r="O61" s="7"/>
      <c r="P61" s="7"/>
      <c r="Q61" s="22"/>
      <c r="R61" s="170"/>
      <c r="S61" s="213">
        <f t="shared" si="26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-05T09:22:15-0600',mode:absolute,to:'2017-07-05T12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23"/>
        <v>23.297999999999998</v>
      </c>
      <c r="Z61" s="197">
        <f t="shared" si="24"/>
        <v>1.47E-2</v>
      </c>
      <c r="AA61" s="197">
        <f t="shared" si="9"/>
        <v>23.283299999999997</v>
      </c>
      <c r="AB61" s="54" t="str">
        <f>VLOOKUP(A61,Enforcements!$C$7:$K$13,8,0)</f>
        <v>Bulletin (2)</v>
      </c>
      <c r="AC61" s="51" t="str">
        <f>VLOOKUP(A61,Enforcements!$C$7:$E$13,3,0)</f>
        <v>GRADE CROSSING</v>
      </c>
      <c r="AD61" s="206">
        <f t="shared" si="10"/>
        <v>148</v>
      </c>
      <c r="AE61" s="77" t="str">
        <f t="shared" si="11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61" s="74" t="str">
        <f t="shared" si="12"/>
        <v>"C:\Program Files (x86)\AstroGrep\AstroGrep.exe" /e /r /s /spath="%USERPROFILE%\AppData\Local\Temp\OnboardLogs" /stypes="app*4041*20170705*"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148-05 --locoid 4041 --swversion DE.1.0.9.0 --startMP 204:232980 --initTime 2017-07-05T10:22:15 --startdatetime 2017-07-05T10:27:14 --delay 1 --endMP 204:147 --enddatetime 2017-07-05T11:09:06 --enforcementcount 0 &gt;&gt;C:\Users\stu\Documents\GitHub\eaglep3-reporting\EC\2017-07-05-refined-times.txt</v>
      </c>
      <c r="AI61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{"issue":{"subject":"","project_id":79,"tracker_id":40,"status_id":1,"priority_id":2,"assigned_to_id":23,"start_date":"2017-07-05","description":"","custom_fields":[{"id":1,"name":"Subdivision","value":"EC"},{"id":4,"name":"Milepost","value":"0.0147"},{"id":17,"name":"Train ID","value":"148-05"},{"id":16,"name":"Locomotive ID","value":"4041"},{"id":130,"name":"Impact","value":""},{"id":150,"name":"Time of Event (Mountain Time)","value":"11:09:06"},{"id":151,"name":"Denver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4041 --day 2017-07-05</v>
      </c>
      <c r="AN61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592</v>
      </c>
      <c r="B62" s="7">
        <v>4008</v>
      </c>
      <c r="C62" s="21" t="s">
        <v>202</v>
      </c>
      <c r="D62" s="21" t="s">
        <v>199</v>
      </c>
      <c r="E62" s="13">
        <v>42921.403275462966</v>
      </c>
      <c r="F62" s="13">
        <v>42921.406828703701</v>
      </c>
      <c r="G62" s="7">
        <v>1</v>
      </c>
      <c r="H62" s="21" t="s">
        <v>482</v>
      </c>
      <c r="I62" s="13">
        <v>42921.433541666665</v>
      </c>
      <c r="J62" s="7">
        <v>0</v>
      </c>
      <c r="K62" s="89" t="str">
        <f t="shared" si="0"/>
        <v>4007/4008</v>
      </c>
      <c r="L62" s="21" t="str">
        <f>VLOOKUP(A62,'Trips&amp;Operators'!$C$1:$G$99999,5,FALSE)</f>
        <v>MILLER KEVIN</v>
      </c>
      <c r="M62" s="6">
        <f t="shared" si="1"/>
        <v>2.6712962964666076E-2</v>
      </c>
      <c r="N62" s="7">
        <f t="shared" si="25"/>
        <v>38.466666669119149</v>
      </c>
      <c r="O62" s="7"/>
      <c r="P62" s="7"/>
      <c r="Q62" s="22"/>
      <c r="R62" s="170"/>
      <c r="S62" s="213">
        <f t="shared" si="26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-05T08:40:43-0600',mode:absolute,to:'2017-07-05T11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23"/>
        <v>4.5999999999999999E-2</v>
      </c>
      <c r="Z62" s="197">
        <f t="shared" si="24"/>
        <v>23.329499999999999</v>
      </c>
      <c r="AA62" s="197">
        <f t="shared" si="9"/>
        <v>23.2835</v>
      </c>
      <c r="AB62" s="54" t="str">
        <f>VLOOKUP(A62,Enforcements!$C$7:$K$13,8,0)</f>
        <v>Bulletin (2)</v>
      </c>
      <c r="AC62" s="51" t="str">
        <f>VLOOKUP(A62,Enforcements!$C$7:$E$13,3,0)</f>
        <v>GRADE CROSSING</v>
      </c>
      <c r="AD62" s="206">
        <f t="shared" si="10"/>
        <v>149</v>
      </c>
      <c r="AE62" s="77" t="str">
        <f t="shared" si="11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62" s="74" t="str">
        <f t="shared" si="12"/>
        <v>"C:\Program Files (x86)\AstroGrep\AstroGrep.exe" /e /r /s /spath="%USERPROFILE%\AppData\Local\Temp\OnboardLogs" /stypes="app*4008*20170705*"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149-05 --locoid 4008 --swversion DE.1.0.9.0 --startMP 204:460 --initTime 2017-07-05T09:40:43 --startdatetime 2017-07-05T09:45:50 --delay 1 --endMP 204:233295 --enddatetime 2017-07-05T10:24:18 --enforcementcount 0 &gt;&gt;C:\Users\stu\Documents\GitHub\eaglep3-reporting\EC\2017-07-05-refined-times.txt</v>
      </c>
      <c r="AI62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{"issue":{"subject":"","project_id":79,"tracker_id":40,"status_id":1,"priority_id":2,"assigned_to_id":23,"start_date":"2017-07-05","description":"","custom_fields":[{"id":1,"name":"Subdivision","value":"EC"},{"id":4,"name":"Milepost","value":"23.3295"},{"id":17,"name":"Train ID","value":"149-05"},{"id":16,"name":"Locomotive ID","value":"4008"},{"id":130,"name":"Impact","value":""},{"id":150,"name":"Time of Event (Mountain Time)","value":"10:24:18"},{"id":151,"name":"Denver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4008 --day 2017-07-05</v>
      </c>
      <c r="AN62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708</v>
      </c>
      <c r="B63" s="7">
        <v>4007</v>
      </c>
      <c r="C63" s="21" t="s">
        <v>202</v>
      </c>
      <c r="D63" s="21" t="s">
        <v>842</v>
      </c>
      <c r="E63" s="13">
        <v>42921.442384259259</v>
      </c>
      <c r="F63" s="13">
        <v>42921.446006944447</v>
      </c>
      <c r="G63" s="7">
        <v>1</v>
      </c>
      <c r="H63" s="21" t="s">
        <v>488</v>
      </c>
      <c r="I63" s="13">
        <v>42921.473634259259</v>
      </c>
      <c r="J63" s="7">
        <v>0</v>
      </c>
      <c r="K63" s="89" t="str">
        <f t="shared" si="0"/>
        <v>4007/4008</v>
      </c>
      <c r="L63" s="21" t="str">
        <f>VLOOKUP(A63,'Trips&amp;Operators'!$C$1:$G$99999,5,FALSE)</f>
        <v>MILLER KEVIN</v>
      </c>
      <c r="M63" s="6">
        <f t="shared" si="1"/>
        <v>2.7627314811979886E-2</v>
      </c>
      <c r="N63" s="7">
        <f t="shared" si="25"/>
        <v>39.783333329251036</v>
      </c>
      <c r="O63" s="7"/>
      <c r="P63" s="7"/>
      <c r="Q63" s="22"/>
      <c r="R63" s="170"/>
      <c r="S63" s="213">
        <f t="shared" si="26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-05T09:37:02-0600',mode:absolute,to:'2017-07-05T12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23"/>
        <v>23.296399999999998</v>
      </c>
      <c r="Z63" s="197">
        <f t="shared" si="24"/>
        <v>1.6500000000000001E-2</v>
      </c>
      <c r="AA63" s="197">
        <f t="shared" si="9"/>
        <v>23.279899999999998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63" s="74" t="str">
        <f t="shared" si="12"/>
        <v>"C:\Program Files (x86)\AstroGrep\AstroGrep.exe" /e /r /s /spath="%USERPROFILE%\AppData\Local\Temp\OnboardLogs" /stypes="app*4007*20170705*"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150-05 --locoid 4007 --swversion DE.1.0.9.0 --startMP 204:232964 --initTime 2017-07-05T10:37:02 --startdatetime 2017-07-05T10:42:15 --delay 1 --endMP 204:165 --enddatetime 2017-07-05T11:22:02 --enforcementcount 0 &gt;&gt;C:\Users\stu\Documents\GitHub\eaglep3-reporting\EC\2017-07-05-refined-times.txt</v>
      </c>
      <c r="AI63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{"issue":{"subject":"","project_id":79,"tracker_id":40,"status_id":1,"priority_id":2,"assigned_to_id":23,"start_date":"2017-07-05","description":"","custom_fields":[{"id":1,"name":"Subdivision","value":"EC"},{"id":4,"name":"Milepost","value":"0.0165"},{"id":17,"name":"Train ID","value":"150-05"},{"id":16,"name":"Locomotive ID","value":"4007"},{"id":130,"name":"Impact","value":""},{"id":150,"name":"Time of Event (Mountain Time)","value":"11:22:02"},{"id":151,"name":"Denver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4007 --day 2017-07-05</v>
      </c>
      <c r="AN63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703</v>
      </c>
      <c r="B64" s="7">
        <v>4054</v>
      </c>
      <c r="C64" s="21" t="s">
        <v>202</v>
      </c>
      <c r="D64" s="21" t="s">
        <v>433</v>
      </c>
      <c r="E64" s="13">
        <v>42921.414340277777</v>
      </c>
      <c r="F64" s="13">
        <v>42921.417291666665</v>
      </c>
      <c r="G64" s="7">
        <v>1</v>
      </c>
      <c r="H64" s="21" t="s">
        <v>475</v>
      </c>
      <c r="I64" s="13">
        <v>42921.444224537037</v>
      </c>
      <c r="J64" s="7">
        <v>0</v>
      </c>
      <c r="K64" s="89" t="str">
        <f t="shared" si="0"/>
        <v>4053/4054</v>
      </c>
      <c r="L64" s="21" t="str">
        <f>VLOOKUP(A64,'Trips&amp;Operators'!$C$1:$G$99999,5,FALSE)</f>
        <v>DAVIS WENDY</v>
      </c>
      <c r="M64" s="6">
        <f t="shared" si="1"/>
        <v>2.6932870372547768E-2</v>
      </c>
      <c r="N64" s="7">
        <f t="shared" si="25"/>
        <v>38.783333336468786</v>
      </c>
      <c r="O64" s="7"/>
      <c r="P64" s="7"/>
      <c r="Q64" s="22"/>
      <c r="R64" s="170"/>
      <c r="S64" s="213">
        <f t="shared" si="26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-05T08:56:39-0600',mode:absolute,to:'2017-07-05T11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23"/>
        <v>4.7300000000000002E-2</v>
      </c>
      <c r="Z64" s="197">
        <f t="shared" si="24"/>
        <v>23.331399999999999</v>
      </c>
      <c r="AA64" s="197">
        <f t="shared" si="9"/>
        <v>23.284099999999999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64" s="74" t="str">
        <f t="shared" si="12"/>
        <v>"C:\Program Files (x86)\AstroGrep\AstroGrep.exe" /e /r /s /spath="%USERPROFILE%\AppData\Local\Temp\OnboardLogs" /stypes="app*4054*20170705*"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151-05 --locoid 4054 --swversion DE.1.0.9.0 --startMP 204:473 --initTime 2017-07-05T09:56:39 --startdatetime 2017-07-05T10:00:54 --delay 1 --endMP 204:233314 --enddatetime 2017-07-05T10:39:41 --enforcementcount 0 &gt;&gt;C:\Users\stu\Documents\GitHub\eaglep3-reporting\EC\2017-07-05-refined-times.txt</v>
      </c>
      <c r="AI64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{"issue":{"subject":"","project_id":79,"tracker_id":40,"status_id":1,"priority_id":2,"assigned_to_id":23,"start_date":"2017-07-05","description":"","custom_fields":[{"id":1,"name":"Subdivision","value":"EC"},{"id":4,"name":"Milepost","value":"23.3314"},{"id":17,"name":"Train ID","value":"151-05"},{"id":16,"name":"Locomotive ID","value":"4054"},{"id":130,"name":"Impact","value":""},{"id":150,"name":"Time of Event (Mountain Time)","value":"10:39:41"},{"id":151,"name":"Denver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4054 --day 2017-07-05</v>
      </c>
      <c r="AN64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710</v>
      </c>
      <c r="B65" s="7">
        <v>4053</v>
      </c>
      <c r="C65" s="21" t="s">
        <v>202</v>
      </c>
      <c r="D65" s="21" t="s">
        <v>548</v>
      </c>
      <c r="E65" s="13">
        <v>42921.453738425924</v>
      </c>
      <c r="F65" s="13">
        <v>42921.456493055557</v>
      </c>
      <c r="G65" s="7">
        <v>1</v>
      </c>
      <c r="H65" s="21" t="s">
        <v>347</v>
      </c>
      <c r="I65" s="13">
        <v>42921.485659722224</v>
      </c>
      <c r="J65" s="7">
        <v>0</v>
      </c>
      <c r="K65" s="89" t="str">
        <f t="shared" si="0"/>
        <v>4053/4054</v>
      </c>
      <c r="L65" s="21" t="str">
        <f>VLOOKUP(A65,'Trips&amp;Operators'!$C$1:$G$99999,5,FALSE)</f>
        <v>DAVIS WENDY</v>
      </c>
      <c r="M65" s="6">
        <f t="shared" si="1"/>
        <v>2.9166666667151731E-2</v>
      </c>
      <c r="N65" s="7">
        <f t="shared" si="25"/>
        <v>42.000000000698492</v>
      </c>
      <c r="O65" s="7"/>
      <c r="P65" s="7"/>
      <c r="Q65" s="22"/>
      <c r="R65" s="170"/>
      <c r="S65" s="213">
        <f t="shared" si="26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-05T09:53:23-0600',mode:absolute,to:'2017-07-05T12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23"/>
        <v>23.2986</v>
      </c>
      <c r="Z65" s="197">
        <f t="shared" si="24"/>
        <v>1.4999999999999999E-2</v>
      </c>
      <c r="AA65" s="197">
        <f t="shared" si="9"/>
        <v>23.2836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65" s="74" t="str">
        <f t="shared" si="12"/>
        <v>"C:\Program Files (x86)\AstroGrep\AstroGrep.exe" /e /r /s /spath="%USERPROFILE%\AppData\Local\Temp\OnboardLogs" /stypes="app*4053*20170705*"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152-05 --locoid 4053 --swversion DE.1.0.9.0 --startMP 204:232986 --initTime 2017-07-05T10:53:23 --startdatetime 2017-07-05T10:57:21 --delay 1 --endMP 204:150 --enddatetime 2017-07-05T11:39:21 --enforcementcount 0 &gt;&gt;C:\Users\stu\Documents\GitHub\eaglep3-reporting\EC\2017-07-05-refined-times.txt</v>
      </c>
      <c r="AI6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{"issue":{"subject":"","project_id":79,"tracker_id":40,"status_id":1,"priority_id":2,"assigned_to_id":23,"start_date":"2017-07-05","description":"","custom_fields":[{"id":1,"name":"Subdivision","value":"EC"},{"id":4,"name":"Milepost","value":"0.015"},{"id":17,"name":"Train ID","value":"152-05"},{"id":16,"name":"Locomotive ID","value":"4053"},{"id":130,"name":"Impact","value":""},{"id":150,"name":"Time of Event (Mountain Time)","value":"11:39:21"},{"id":151,"name":"Denver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4053 --day 2017-07-05</v>
      </c>
      <c r="AN6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598</v>
      </c>
      <c r="B66" s="7">
        <v>4006</v>
      </c>
      <c r="C66" s="21" t="s">
        <v>202</v>
      </c>
      <c r="D66" s="21" t="s">
        <v>409</v>
      </c>
      <c r="E66" s="13">
        <v>42921.428263888891</v>
      </c>
      <c r="F66" s="13">
        <v>42921.433263888888</v>
      </c>
      <c r="G66" s="7">
        <v>1</v>
      </c>
      <c r="H66" s="21" t="s">
        <v>843</v>
      </c>
      <c r="I66" s="13">
        <v>42921.46025462963</v>
      </c>
      <c r="J66" s="7">
        <v>0</v>
      </c>
      <c r="K66" s="89" t="str">
        <f t="shared" si="0"/>
        <v>4005/4006</v>
      </c>
      <c r="L66" s="21" t="str">
        <f>VLOOKUP(A66,'Trips&amp;Operators'!$C$1:$G$99999,5,FALSE)</f>
        <v>MACDONALD THOMAS</v>
      </c>
      <c r="M66" s="6">
        <f t="shared" si="1"/>
        <v>2.6990740741894115E-2</v>
      </c>
      <c r="N66" s="7">
        <f t="shared" si="25"/>
        <v>38.866666668327525</v>
      </c>
      <c r="O66" s="7"/>
      <c r="P66" s="7"/>
      <c r="Q66" s="22"/>
      <c r="R66" s="170"/>
      <c r="S66" s="213">
        <f t="shared" si="26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-05T09:16:42-0600',mode:absolute,to:'2017-07-05T12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23"/>
        <v>4.4200000000000003E-2</v>
      </c>
      <c r="Z66" s="197">
        <f t="shared" si="24"/>
        <v>23.319099999999999</v>
      </c>
      <c r="AA66" s="197">
        <f t="shared" si="9"/>
        <v>23.274899999999999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66" s="74" t="str">
        <f t="shared" si="12"/>
        <v>"C:\Program Files (x86)\AstroGrep\AstroGrep.exe" /e /r /s /spath="%USERPROFILE%\AppData\Local\Temp\OnboardLogs" /stypes="app*4006*20170705*"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153-05 --locoid 4006 --swversion DE.1.0.9.0 --startMP 204:442 --initTime 2017-07-05T10:16:42 --startdatetime 2017-07-05T10:23:54 --delay 1 --endMP 204:233191 --enddatetime 2017-07-05T11:02:46 --enforcementcount 0 &gt;&gt;C:\Users\stu\Documents\GitHub\eaglep3-reporting\EC\2017-07-05-refined-times.txt</v>
      </c>
      <c r="AI6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{"issue":{"subject":"","project_id":79,"tracker_id":40,"status_id":1,"priority_id":2,"assigned_to_id":23,"start_date":"2017-07-05","description":"","custom_fields":[{"id":1,"name":"Subdivision","value":"EC"},{"id":4,"name":"Milepost","value":"23.3191"},{"id":17,"name":"Train ID","value":"153-05"},{"id":16,"name":"Locomotive ID","value":"4006"},{"id":130,"name":"Impact","value":""},{"id":150,"name":"Time of Event (Mountain Time)","value":"11:02:46"},{"id":151,"name":"Denver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4006 --day 2017-07-05</v>
      </c>
      <c r="AN6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17:02:46"},{"id":29,"name":"Sharepoint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713</v>
      </c>
      <c r="B67" s="7">
        <v>4005</v>
      </c>
      <c r="C67" s="21" t="s">
        <v>202</v>
      </c>
      <c r="D67" s="21" t="s">
        <v>844</v>
      </c>
      <c r="E67" s="13">
        <v>42921.461944444447</v>
      </c>
      <c r="F67" s="13">
        <v>42921.467152777775</v>
      </c>
      <c r="G67" s="7">
        <v>1</v>
      </c>
      <c r="H67" s="21" t="s">
        <v>444</v>
      </c>
      <c r="I67" s="13">
        <v>42921.495532407411</v>
      </c>
      <c r="J67" s="7">
        <v>0</v>
      </c>
      <c r="K67" s="89" t="str">
        <f t="shared" si="0"/>
        <v>4005/4006</v>
      </c>
      <c r="L67" s="21" t="str">
        <f>VLOOKUP(A67,'Trips&amp;Operators'!$C$1:$G$99999,5,FALSE)</f>
        <v>MACDONALD THOMAS</v>
      </c>
      <c r="M67" s="6">
        <f t="shared" si="1"/>
        <v>2.8379629635310266E-2</v>
      </c>
      <c r="N67" s="7">
        <f t="shared" si="25"/>
        <v>40.866666674846783</v>
      </c>
      <c r="O67" s="7"/>
      <c r="P67" s="7"/>
      <c r="Q67" s="22"/>
      <c r="R67" s="170"/>
      <c r="S67" s="213">
        <f t="shared" si="26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-05T10:05:12-0600',mode:absolute,to:'2017-07-05T12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23"/>
        <v>23.286999999999999</v>
      </c>
      <c r="Z67" s="197">
        <f t="shared" si="24"/>
        <v>1.6299999999999999E-2</v>
      </c>
      <c r="AA67" s="197">
        <f t="shared" si="9"/>
        <v>23.270699999999998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67" s="74" t="str">
        <f t="shared" si="12"/>
        <v>"C:\Program Files (x86)\AstroGrep\AstroGrep.exe" /e /r /s /spath="%USERPROFILE%\AppData\Local\Temp\OnboardLogs" /stypes="app*4005*20170705*"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154-05 --locoid 4005 --swversion DE.1.0.9.0 --startMP 204:232870 --initTime 2017-07-05T11:05:12 --startdatetime 2017-07-05T11:12:42 --delay 1 --endMP 204:163 --enddatetime 2017-07-05T11:53:34 --enforcementcount 0 &gt;&gt;C:\Users\stu\Documents\GitHub\eaglep3-reporting\EC\2017-07-05-refined-times.txt</v>
      </c>
      <c r="AI67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{"issue":{"subject":"","project_id":79,"tracker_id":40,"status_id":1,"priority_id":2,"assigned_to_id":23,"start_date":"2017-07-05","description":"","custom_fields":[{"id":1,"name":"Subdivision","value":"EC"},{"id":4,"name":"Milepost","value":"0.0163"},{"id":17,"name":"Train ID","value":"154-05"},{"id":16,"name":"Locomotive ID","value":"4005"},{"id":130,"name":"Impact","value":""},{"id":150,"name":"Time of Event (Mountain Time)","value":"11:53:34"},{"id":151,"name":"Denver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4005 --day 2017-07-05</v>
      </c>
      <c r="AN67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4056</v>
      </c>
      <c r="C68" s="21" t="s">
        <v>202</v>
      </c>
      <c r="D68" s="21" t="s">
        <v>489</v>
      </c>
      <c r="E68" s="13">
        <v>42921.434166666666</v>
      </c>
      <c r="F68" s="13">
        <v>42921.438101851854</v>
      </c>
      <c r="G68" s="7">
        <v>1</v>
      </c>
      <c r="H68" s="21" t="s">
        <v>845</v>
      </c>
      <c r="I68" s="13">
        <v>42921.463993055557</v>
      </c>
      <c r="J68" s="7">
        <v>0</v>
      </c>
      <c r="K68" s="89" t="str">
        <f t="shared" si="0"/>
        <v>4055/4056</v>
      </c>
      <c r="L68" s="21" t="str">
        <f>VLOOKUP(A68,'Trips&amp;Operators'!$C$1:$G$99999,5,FALSE)</f>
        <v>LOZA FIDEL</v>
      </c>
      <c r="M68" s="6">
        <f t="shared" si="1"/>
        <v>2.5891203702485655E-2</v>
      </c>
      <c r="N68" s="7">
        <f t="shared" si="25"/>
        <v>37.283333331579342</v>
      </c>
      <c r="O68" s="7"/>
      <c r="P68" s="7"/>
      <c r="Q68" s="22"/>
      <c r="R68" s="170"/>
      <c r="S68" s="213">
        <f t="shared" si="26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-05T09:25:12-0600',mode:absolute,to:'2017-07-05T12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23"/>
        <v>4.7100000000000003E-2</v>
      </c>
      <c r="Z68" s="197">
        <f t="shared" si="24"/>
        <v>23.3337</v>
      </c>
      <c r="AA68" s="197">
        <f t="shared" si="9"/>
        <v>23.2866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68" s="74" t="str">
        <f t="shared" si="12"/>
        <v>"C:\Program Files (x86)\AstroGrep\AstroGrep.exe" /e /r /s /spath="%USERPROFILE%\AppData\Local\Temp\OnboardLogs" /stypes="app*4056*20170705*"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155-05 --locoid 4056 --swversion DE.1.0.9.0 --startMP 204:471 --initTime 2017-07-05T10:25:12 --startdatetime 2017-07-05T10:30:52 --delay 1 --endMP 204:233337 --enddatetime 2017-07-05T11:08:09 --enforcementcount 0 &gt;&gt;C:\Users\stu\Documents\GitHub\eaglep3-reporting\EC\2017-07-05-refined-times.txt</v>
      </c>
      <c r="AI68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{"issue":{"subject":"","project_id":79,"tracker_id":40,"status_id":1,"priority_id":2,"assigned_to_id":23,"start_date":"2017-07-05","description":"","custom_fields":[{"id":1,"name":"Subdivision","value":"EC"},{"id":4,"name":"Milepost","value":"23.3337"},{"id":17,"name":"Train ID","value":"155-05"},{"id":16,"name":"Locomotive ID","value":"4056"},{"id":130,"name":"Impact","value":""},{"id":150,"name":"Time of Event (Mountain Time)","value":"11:08:09"},{"id":151,"name":"Denver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4056 --day 2017-07-05</v>
      </c>
      <c r="AN68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717</v>
      </c>
      <c r="B69" s="7">
        <v>4055</v>
      </c>
      <c r="C69" s="21" t="s">
        <v>202</v>
      </c>
      <c r="D69" s="21" t="s">
        <v>846</v>
      </c>
      <c r="E69" s="13">
        <v>42921.466932870368</v>
      </c>
      <c r="F69" s="13">
        <v>42921.47755787037</v>
      </c>
      <c r="G69" s="7">
        <v>1</v>
      </c>
      <c r="H69" s="21" t="s">
        <v>847</v>
      </c>
      <c r="I69" s="13">
        <v>42921.504571759258</v>
      </c>
      <c r="J69" s="7">
        <v>0</v>
      </c>
      <c r="K69" s="89" t="str">
        <f t="shared" si="0"/>
        <v>4055/4056</v>
      </c>
      <c r="L69" s="21" t="str">
        <f>VLOOKUP(A69,'Trips&amp;Operators'!$C$1:$G$99999,5,FALSE)</f>
        <v>LOZA FIDEL</v>
      </c>
      <c r="M69" s="6">
        <f t="shared" si="1"/>
        <v>2.7013888888177462E-2</v>
      </c>
      <c r="N69" s="7">
        <f t="shared" si="25"/>
        <v>38.899999998975545</v>
      </c>
      <c r="O69" s="7"/>
      <c r="P69" s="7"/>
      <c r="Q69" s="22"/>
      <c r="R69" s="170"/>
      <c r="S69" s="213">
        <f t="shared" si="26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-05T10:12:23-0600',mode:absolute,to:'2017-07-05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23"/>
        <v>23.296700000000001</v>
      </c>
      <c r="Z69" s="197">
        <f t="shared" si="24"/>
        <v>1.2999999999999999E-2</v>
      </c>
      <c r="AA69" s="197">
        <f t="shared" si="9"/>
        <v>23.2837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69" s="74" t="str">
        <f t="shared" si="12"/>
        <v>"C:\Program Files (x86)\AstroGrep\AstroGrep.exe" /e /r /s /spath="%USERPROFILE%\AppData\Local\Temp\OnboardLogs" /stypes="app*4055*20170705*"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156-05 --locoid 4055 --swversion DE.1.0.9.0 --startMP 204:232967 --initTime 2017-07-05T11:12:23 --startdatetime 2017-07-05T11:27:41 --delay 1 --endMP 204:130 --enddatetime 2017-07-05T12:06:35 --enforcementcount 0 &gt;&gt;C:\Users\stu\Documents\GitHub\eaglep3-reporting\EC\2017-07-05-refined-times.txt</v>
      </c>
      <c r="AI69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{"issue":{"subject":"","project_id":79,"tracker_id":40,"status_id":1,"priority_id":2,"assigned_to_id":23,"start_date":"2017-07-05","description":"","custom_fields":[{"id":1,"name":"Subdivision","value":"EC"},{"id":4,"name":"Milepost","value":"0.013"},{"id":17,"name":"Train ID","value":"156-05"},{"id":16,"name":"Locomotive ID","value":"4055"},{"id":130,"name":"Impact","value":""},{"id":150,"name":"Time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4055 --day 2017-07-05</v>
      </c>
      <c r="AN69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709</v>
      </c>
      <c r="B70" s="7">
        <v>4018</v>
      </c>
      <c r="C70" s="21" t="s">
        <v>202</v>
      </c>
      <c r="D70" s="21" t="s">
        <v>354</v>
      </c>
      <c r="E70" s="13">
        <v>42921.4452662037</v>
      </c>
      <c r="F70" s="13">
        <v>42921.448379629626</v>
      </c>
      <c r="G70" s="7">
        <v>2</v>
      </c>
      <c r="H70" s="21" t="s">
        <v>436</v>
      </c>
      <c r="I70" s="13">
        <v>42921.475590277776</v>
      </c>
      <c r="J70" s="7">
        <v>0</v>
      </c>
      <c r="K70" s="89" t="str">
        <f t="shared" si="0"/>
        <v>4017/4018</v>
      </c>
      <c r="L70" s="21" t="str">
        <f>VLOOKUP(A70,'Trips&amp;Operators'!$C$1:$G$99999,5,FALSE)</f>
        <v>DAVIS MICHAEL</v>
      </c>
      <c r="M70" s="6">
        <f t="shared" si="1"/>
        <v>2.7210648149775807E-2</v>
      </c>
      <c r="N70" s="7">
        <f t="shared" si="25"/>
        <v>39.183333335677162</v>
      </c>
      <c r="O70" s="7"/>
      <c r="P70" s="7"/>
      <c r="Q70" s="22"/>
      <c r="R70" s="170"/>
      <c r="S70" s="213">
        <f t="shared" si="26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-05T09:41:11-0600',mode:absolute,to:'2017-07-05T12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23"/>
        <v>4.4699999999999997E-2</v>
      </c>
      <c r="Z70" s="197">
        <f t="shared" si="24"/>
        <v>23.331199999999999</v>
      </c>
      <c r="AA70" s="197">
        <f t="shared" si="9"/>
        <v>23.2865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70" s="74" t="str">
        <f t="shared" si="12"/>
        <v>"C:\Program Files (x86)\AstroGrep\AstroGrep.exe" /e /r /s /spath="%USERPROFILE%\AppData\Local\Temp\OnboardLogs" /stypes="app*4018*20170705*"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157-05 --locoid 4018 --swversion DE.1.0.9.0 --startMP 204:447 --initTime 2017-07-05T10:41:11 --startdatetime 2017-07-05T10:45:40 --delay 2 --endMP 204:233312 --enddatetime 2017-07-05T11:24:51 --enforcementcount 0 &gt;&gt;C:\Users\stu\Documents\GitHub\eaglep3-reporting\EC\2017-07-05-refined-times.txt</v>
      </c>
      <c r="AI70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{"issue":{"subject":"","project_id":79,"tracker_id":40,"status_id":1,"priority_id":2,"assigned_to_id":23,"start_date":"2017-07-05","description":"","custom_fields":[{"id":1,"name":"Subdivision","value":"EC"},{"id":4,"name":"Milepost","value":"23.3312"},{"id":17,"name":"Train ID","value":"157-05"},{"id":16,"name":"Locomotive ID","value":"4018"},{"id":130,"name":"Impact","value":""},{"id":150,"name":"Time of Event (Mountain Time)","value":"11:24:51"},{"id":151,"name":"Denver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4018 --day 2017-07-05</v>
      </c>
      <c r="AN70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721</v>
      </c>
      <c r="B71" s="7">
        <v>4017</v>
      </c>
      <c r="C71" s="21" t="s">
        <v>202</v>
      </c>
      <c r="D71" s="21" t="s">
        <v>510</v>
      </c>
      <c r="E71" s="13">
        <v>42921.485219907408</v>
      </c>
      <c r="F71" s="13">
        <v>42921.487986111111</v>
      </c>
      <c r="G71" s="7">
        <v>1</v>
      </c>
      <c r="H71" s="21" t="s">
        <v>395</v>
      </c>
      <c r="I71" s="13">
        <v>42921.516909722224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DAVIS MICHAEL</v>
      </c>
      <c r="M71" s="6">
        <f t="shared" si="1"/>
        <v>2.8923611112986691E-2</v>
      </c>
      <c r="N71" s="7">
        <f t="shared" si="25"/>
        <v>41.650000002700835</v>
      </c>
      <c r="O71" s="7"/>
      <c r="P71" s="7"/>
      <c r="Q71" s="22"/>
      <c r="R71" s="170"/>
      <c r="S71" s="213">
        <f t="shared" si="26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-05T10:38:43-0600',mode:absolute,to:'2017-07-05T13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23"/>
        <v>23.299099999999999</v>
      </c>
      <c r="Z71" s="197">
        <f t="shared" si="24"/>
        <v>1.4500000000000001E-2</v>
      </c>
      <c r="AA71" s="197">
        <f t="shared" si="9"/>
        <v>23.284599999999998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71" s="74" t="str">
        <f t="shared" si="12"/>
        <v>"C:\Program Files (x86)\AstroGrep\AstroGrep.exe" /e /r /s /spath="%USERPROFILE%\AppData\Local\Temp\OnboardLogs" /stypes="app*4017*20170705*"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158-05 --locoid 4017 --swversion DE.1.0.9.0 --startMP 204:232991 --initTime 2017-07-05T11:38:43 --startdatetime 2017-07-05T11:42:42 --delay 1 --endMP 204:145 --enddatetime 2017-07-05T12:24:21 --enforcementcount 0 &gt;&gt;C:\Users\stu\Documents\GitHub\eaglep3-reporting\EC\2017-07-05-refined-times.txt</v>
      </c>
      <c r="AI71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{"issue":{"subject":"","project_id":79,"tracker_id":40,"status_id":1,"priority_id":2,"assigned_to_id":23,"start_date":"2017-07-05","description":"","custom_fields":[{"id":1,"name":"Subdivision","value":"EC"},{"id":4,"name":"Milepost","value":"0.0145"},{"id":17,"name":"Train ID","value":"158-05"},{"id":16,"name":"Locomotive ID","value":"4017"},{"id":130,"name":"Impact","value":""},{"id":150,"name":"Time of Event (Mountain Time)","value":"12:24:21"},{"id":151,"name":"Denver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4017 --day 2017-07-05</v>
      </c>
      <c r="AN71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711</v>
      </c>
      <c r="B72" s="7">
        <v>4014</v>
      </c>
      <c r="C72" s="21" t="s">
        <v>202</v>
      </c>
      <c r="D72" s="21" t="s">
        <v>354</v>
      </c>
      <c r="E72" s="13">
        <v>42921.455254629633</v>
      </c>
      <c r="F72" s="13">
        <v>42921.458958333336</v>
      </c>
      <c r="G72" s="7">
        <v>1</v>
      </c>
      <c r="H72" s="21" t="s">
        <v>545</v>
      </c>
      <c r="I72" s="13">
        <v>42921.484699074077</v>
      </c>
      <c r="J72" s="7">
        <v>0</v>
      </c>
      <c r="K72" s="89" t="str">
        <f t="shared" si="0"/>
        <v>4013/4014</v>
      </c>
      <c r="L72" s="21" t="str">
        <f>VLOOKUP(A72,'Trips&amp;Operators'!$C$1:$G$99999,5,FALSE)</f>
        <v>YANG JAN</v>
      </c>
      <c r="M72" s="6">
        <f t="shared" si="1"/>
        <v>2.5740740740729962E-2</v>
      </c>
      <c r="N72" s="7">
        <f t="shared" si="25"/>
        <v>37.066666666651145</v>
      </c>
      <c r="O72" s="7"/>
      <c r="P72" s="7"/>
      <c r="Q72" s="22"/>
      <c r="R72" s="170"/>
      <c r="S72" s="213">
        <f t="shared" si="26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-05T09:55:34-0600',mode:absolute,to:'2017-07-05T12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23"/>
        <v>4.4699999999999997E-2</v>
      </c>
      <c r="Z72" s="197">
        <f t="shared" si="24"/>
        <v>23.3291</v>
      </c>
      <c r="AA72" s="197">
        <f t="shared" si="9"/>
        <v>23.284400000000002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72" s="74" t="str">
        <f t="shared" si="12"/>
        <v>"C:\Program Files (x86)\AstroGrep\AstroGrep.exe" /e /r /s /spath="%USERPROFILE%\AppData\Local\Temp\OnboardLogs" /stypes="app*4014*20170705*"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159-05 --locoid 4014 --swversion DE.1.0.9.0 --startMP 204:447 --initTime 2017-07-05T10:55:34 --startdatetime 2017-07-05T11:00:54 --delay 1 --endMP 204:233291 --enddatetime 2017-07-05T11:37:58 --enforcementcount 0 &gt;&gt;C:\Users\stu\Documents\GitHub\eaglep3-reporting\EC\2017-07-05-refined-times.txt</v>
      </c>
      <c r="AI72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{"issue":{"subject":"","project_id":79,"tracker_id":40,"status_id":1,"priority_id":2,"assigned_to_id":23,"start_date":"2017-07-05","description":"","custom_fields":[{"id":1,"name":"Subdivision","value":"EC"},{"id":4,"name":"Milepost","value":"23.3291"},{"id":17,"name":"Train ID","value":"159-05"},{"id":16,"name":"Locomotive ID","value":"4014"},{"id":130,"name":"Impact","value":""},{"id":150,"name":"Time of Event (Mountain Time)","value":"11:37:58"},{"id":151,"name":"Denver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4014 --day 2017-07-05</v>
      </c>
      <c r="AN72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4013</v>
      </c>
      <c r="C73" s="21" t="s">
        <v>202</v>
      </c>
      <c r="D73" s="21" t="s">
        <v>462</v>
      </c>
      <c r="E73" s="13">
        <v>42921.493310185186</v>
      </c>
      <c r="F73" s="13">
        <v>42921.49832175926</v>
      </c>
      <c r="G73" s="7">
        <v>1</v>
      </c>
      <c r="H73" s="21" t="s">
        <v>558</v>
      </c>
      <c r="I73" s="13">
        <v>42921.528356481482</v>
      </c>
      <c r="J73" s="7">
        <v>0</v>
      </c>
      <c r="K73" s="89" t="str">
        <f t="shared" si="0"/>
        <v>4013/4014</v>
      </c>
      <c r="L73" s="21" t="str">
        <f>VLOOKUP(A73,'Trips&amp;Operators'!$C$1:$G$99999,5,FALSE)</f>
        <v>YANG JAN</v>
      </c>
      <c r="M73" s="6">
        <f t="shared" si="1"/>
        <v>3.0034722221898846E-2</v>
      </c>
      <c r="N73" s="7">
        <f t="shared" si="25"/>
        <v>43.249999999534339</v>
      </c>
      <c r="O73" s="7"/>
      <c r="P73" s="7"/>
      <c r="Q73" s="22"/>
      <c r="R73" s="170"/>
      <c r="S73" s="213">
        <f t="shared" si="26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-05T10:50:22-0600',mode:absolute,to:'2017-07-05T13:40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23"/>
        <v>23.297999999999998</v>
      </c>
      <c r="Z73" s="197">
        <f t="shared" si="24"/>
        <v>1.7399999999999999E-2</v>
      </c>
      <c r="AA73" s="197">
        <f t="shared" si="9"/>
        <v>23.2806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73" s="74" t="str">
        <f t="shared" si="12"/>
        <v>"C:\Program Files (x86)\AstroGrep\AstroGrep.exe" /e /r /s /spath="%USERPROFILE%\AppData\Local\Temp\OnboardLogs" /stypes="app*4013*20170705*"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160-05 --locoid 4013 --swversion DE.1.0.9.0 --startMP 204:232980 --initTime 2017-07-05T11:50:22 --startdatetime 2017-07-05T11:57:35 --delay 1 --endMP 204:174 --enddatetime 2017-07-05T12:40:50 --enforcementcount 0 &gt;&gt;C:\Users\stu\Documents\GitHub\eaglep3-reporting\EC\2017-07-05-refined-times.txt</v>
      </c>
      <c r="AI73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{"issue":{"subject":"","project_id":79,"tracker_id":40,"status_id":1,"priority_id":2,"assigned_to_id":23,"start_date":"2017-07-05","description":"","custom_fields":[{"id":1,"name":"Subdivision","value":"EC"},{"id":4,"name":"Milepost","value":"0.0174"},{"id":17,"name":"Train ID","value":"160-05"},{"id":16,"name":"Locomotive ID","value":"4013"},{"id":130,"name":"Impact","value":""},{"id":150,"name":"Time of Event (Mountain Time)","value":"12:40:50"},{"id":151,"name":"Denver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4013 --day 2017-07-05</v>
      </c>
      <c r="AN73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18:40:50"},{"id":29,"name":"Sharepoint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718</v>
      </c>
      <c r="B74" s="7">
        <v>4042</v>
      </c>
      <c r="C74" s="21" t="s">
        <v>202</v>
      </c>
      <c r="D74" s="21" t="s">
        <v>432</v>
      </c>
      <c r="E74" s="13">
        <v>42921.466898148145</v>
      </c>
      <c r="F74" s="13">
        <v>42921.469328703701</v>
      </c>
      <c r="G74" s="7">
        <v>1</v>
      </c>
      <c r="H74" s="21" t="s">
        <v>848</v>
      </c>
      <c r="I74" s="13">
        <v>42921.494837962964</v>
      </c>
      <c r="J74" s="7">
        <v>0</v>
      </c>
      <c r="K74" s="89" t="str">
        <f t="shared" si="0"/>
        <v>4041/4042</v>
      </c>
      <c r="L74" s="21" t="str">
        <f>VLOOKUP(A74,'Trips&amp;Operators'!$C$1:$G$99999,5,FALSE)</f>
        <v>STEWART MICHAEL</v>
      </c>
      <c r="M74" s="6">
        <f t="shared" si="1"/>
        <v>2.5509259263344575E-2</v>
      </c>
      <c r="N74" s="7">
        <f t="shared" si="25"/>
        <v>36.733333339216188</v>
      </c>
      <c r="O74" s="7"/>
      <c r="P74" s="7"/>
      <c r="Q74" s="22"/>
      <c r="R74" s="170"/>
      <c r="S74" s="213">
        <f t="shared" si="26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-05T10:12:20-0600',mode:absolute,to:'2017-07-05T12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23"/>
        <v>4.58E-2</v>
      </c>
      <c r="Z74" s="197">
        <f t="shared" si="24"/>
        <v>23.328099999999999</v>
      </c>
      <c r="AA74" s="197">
        <f t="shared" si="9"/>
        <v>23.282299999999999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74" s="74" t="str">
        <f t="shared" si="12"/>
        <v>"C:\Program Files (x86)\AstroGrep\AstroGrep.exe" /e /r /s /spath="%USERPROFILE%\AppData\Local\Temp\OnboardLogs" /stypes="app*4042*20170705*"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161-05 --locoid 4042 --swversion DE.1.0.9.0 --startMP 204:458 --initTime 2017-07-05T11:12:20 --startdatetime 2017-07-05T11:15:50 --delay 1 --endMP 204:233281 --enddatetime 2017-07-05T11:52:34 --enforcementcount 0 &gt;&gt;C:\Users\stu\Documents\GitHub\eaglep3-reporting\EC\2017-07-05-refined-times.txt</v>
      </c>
      <c r="AI74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{"issue":{"subject":"","project_id":79,"tracker_id":40,"status_id":1,"priority_id":2,"assigned_to_id":23,"start_date":"2017-07-05","description":"","custom_fields":[{"id":1,"name":"Subdivision","value":"EC"},{"id":4,"name":"Milepost","value":"23.3281"},{"id":17,"name":"Train ID","value":"161-05"},{"id":16,"name":"Locomotive ID","value":"4042"},{"id":130,"name":"Impact","value":""},{"id":150,"name":"Time of Event (Mountain Time)","value":"11:52:34"},{"id":151,"name":"Denver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4042 --day 2017-07-05</v>
      </c>
      <c r="AN74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602</v>
      </c>
      <c r="B75" s="7">
        <v>4041</v>
      </c>
      <c r="C75" s="21" t="s">
        <v>202</v>
      </c>
      <c r="D75" s="21" t="s">
        <v>839</v>
      </c>
      <c r="E75" s="13">
        <v>42921.504189814812</v>
      </c>
      <c r="F75" s="13">
        <v>42921.507893518516</v>
      </c>
      <c r="G75" s="7">
        <v>1</v>
      </c>
      <c r="H75" s="21" t="s">
        <v>558</v>
      </c>
      <c r="I75" s="13">
        <v>42921.536620370367</v>
      </c>
      <c r="J75" s="7">
        <v>0</v>
      </c>
      <c r="K75" s="89" t="str">
        <f t="shared" si="0"/>
        <v>4041/4042</v>
      </c>
      <c r="L75" s="21" t="str">
        <f>VLOOKUP(A75,'Trips&amp;Operators'!$C$1:$G$99999,5,FALSE)</f>
        <v>STEWART MICHAEL</v>
      </c>
      <c r="M75" s="6">
        <f t="shared" si="1"/>
        <v>2.8726851851388346E-2</v>
      </c>
      <c r="N75" s="7">
        <f t="shared" si="25"/>
        <v>41.366666665999219</v>
      </c>
      <c r="O75" s="7"/>
      <c r="P75" s="7"/>
      <c r="Q75" s="22"/>
      <c r="R75" s="170"/>
      <c r="S75" s="213">
        <f t="shared" si="26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-05T11:06:02-0600',mode:absolute,to:'2017-07-05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197" t="str">
        <f>IF(AA75&lt;VLOOKUP(AG75,Variables!$AC$3:$AD$8,2,FALSE),"Y","N")</f>
        <v>N</v>
      </c>
      <c r="X75" s="197">
        <f t="shared" ref="X75:X81" si="27">VALUE(LEFT(AD75,4))-VALUE(LEFT(AD74,4))</f>
        <v>1</v>
      </c>
      <c r="Y75" s="197">
        <f t="shared" si="23"/>
        <v>23.298100000000002</v>
      </c>
      <c r="Z75" s="197">
        <f t="shared" si="24"/>
        <v>1.7399999999999999E-2</v>
      </c>
      <c r="AA75" s="197">
        <f t="shared" si="9"/>
        <v>23.280700000000003</v>
      </c>
      <c r="AB75" s="54" t="str">
        <f>VLOOKUP(A75,Enforcements!$C$7:$K$13,8,0)</f>
        <v>Bulletin (2)</v>
      </c>
      <c r="AC75" s="51" t="str">
        <f>VLOOKUP(A75,Enforcements!$C$7:$E$13,3,0)</f>
        <v>GRADE CROSSING</v>
      </c>
      <c r="AD75" s="206">
        <f t="shared" si="10"/>
        <v>162</v>
      </c>
      <c r="AE75" s="77" t="str">
        <f t="shared" si="11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75" s="74" t="str">
        <f t="shared" si="12"/>
        <v>"C:\Program Files (x86)\AstroGrep\AstroGrep.exe" /e /r /s /spath="%USERPROFILE%\AppData\Local\Temp\OnboardLogs" /stypes="app*4041*20170705*"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162-05 --locoid 4041 --swversion DE.1.0.9.0 --startMP 204:232981 --initTime 2017-07-05T12:06:02 --startdatetime 2017-07-05T12:11:22 --delay 1 --endMP 204:174 --enddatetime 2017-07-05T12:52:44 --enforcementcount 0 &gt;&gt;C:\Users\stu\Documents\GitHub\eaglep3-reporting\EC\2017-07-05-refined-times.txt</v>
      </c>
      <c r="AI75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{"issue":{"subject":"","project_id":79,"tracker_id":40,"status_id":1,"priority_id":2,"assigned_to_id":23,"start_date":"2017-07-05","description":"","custom_fields":[{"id":1,"name":"Subdivision","value":"EC"},{"id":4,"name":"Milepost","value":"0.0174"},{"id":17,"name":"Train ID","value":"162-05"},{"id":16,"name":"Locomotive ID","value":"4041"},{"id":130,"name":"Impact","value":""},{"id":150,"name":"Time of Event (Mountain Time)","value":"12:52:44"},{"id":151,"name":"Denver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4041 --day 2017-07-05</v>
      </c>
      <c r="AN75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719</v>
      </c>
      <c r="B76" s="7">
        <v>4008</v>
      </c>
      <c r="C76" s="21" t="s">
        <v>202</v>
      </c>
      <c r="D76" s="21" t="s">
        <v>849</v>
      </c>
      <c r="E76" s="13">
        <v>42921.478634259256</v>
      </c>
      <c r="F76" s="13">
        <v>42921.480069444442</v>
      </c>
      <c r="G76" s="7">
        <v>1</v>
      </c>
      <c r="H76" s="21" t="s">
        <v>850</v>
      </c>
      <c r="I76" s="13">
        <v>42921.505509259259</v>
      </c>
      <c r="J76" s="7">
        <v>0</v>
      </c>
      <c r="K76" s="89" t="str">
        <f t="shared" si="0"/>
        <v>4007/4008</v>
      </c>
      <c r="L76" s="21" t="str">
        <f>VLOOKUP(A76,'Trips&amp;Operators'!$C$1:$G$99999,5,FALSE)</f>
        <v>ROMERO CHAD</v>
      </c>
      <c r="M76" s="6">
        <f t="shared" si="1"/>
        <v>2.5439814817218576E-2</v>
      </c>
      <c r="N76" s="7">
        <f t="shared" si="25"/>
        <v>36.633333336794749</v>
      </c>
      <c r="O76" s="7"/>
      <c r="P76" s="7"/>
      <c r="Q76" s="22"/>
      <c r="R76" s="170"/>
      <c r="S76" s="213">
        <f t="shared" si="26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-05T10:29:14-0600',mode:absolute,to:'2017-07-05T13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197" t="str">
        <f>IF(AA76&lt;VLOOKUP(AG76,Variables!$AC$3:$AD$8,2,FALSE),"Y","N")</f>
        <v>N</v>
      </c>
      <c r="X76" s="197">
        <f t="shared" si="27"/>
        <v>1</v>
      </c>
      <c r="Y76" s="197">
        <f t="shared" si="23"/>
        <v>4.9299999999999997E-2</v>
      </c>
      <c r="Z76" s="197">
        <f t="shared" si="24"/>
        <v>23.3399</v>
      </c>
      <c r="AA76" s="197">
        <f t="shared" si="9"/>
        <v>23.290600000000001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76" s="74" t="str">
        <f t="shared" si="12"/>
        <v>"C:\Program Files (x86)\AstroGrep\AstroGrep.exe" /e /r /s /spath="%USERPROFILE%\AppData\Local\Temp\OnboardLogs" /stypes="app*4008*20170705*"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163-05 --locoid 4008 --swversion DE.1.0.9.0 --startMP 204:493 --initTime 2017-07-05T11:29:14 --startdatetime 2017-07-05T11:31:18 --delay 1 --endMP 204:233399 --enddatetime 2017-07-05T12:07:56 --enforcementcount 0 &gt;&gt;C:\Users\stu\Documents\GitHub\eaglep3-reporting\EC\2017-07-05-refined-times.txt</v>
      </c>
      <c r="AI76" s="96" t="str">
        <f t="shared" si="19"/>
        <v>echo {"issue":{"subject":"","project_id":79,"tracker_id":40,"status_id":1,"priority_id":2,"assigned_to_id":23,"start_date":"2017-07-05","description":"","custom_fields":[{"id":1,"name":"Subdivision","value":"EC"},{"id":4,"name":"Milepost","value":"23.3399"},{"id":17,"name":"Train ID","value":"163-05"},{"id":16,"name":"Locomotive ID","value":"4008"},{"id":130,"name":"Impact","value":""},{"id":150,"name":"Time of Event (Mountain Time)","value":"12:07:56"},{"id":151,"name":"Denver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4008 --day 2017-07-05</v>
      </c>
      <c r="AN76" s="151" t="str">
        <f t="shared" si="21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599</v>
      </c>
      <c r="B77" s="7">
        <v>4007</v>
      </c>
      <c r="C77" s="21" t="s">
        <v>202</v>
      </c>
      <c r="D77" s="21" t="s">
        <v>553</v>
      </c>
      <c r="E77" s="13">
        <v>42921.508611111109</v>
      </c>
      <c r="F77" s="13">
        <v>42921.518912037034</v>
      </c>
      <c r="G77" s="7">
        <v>2</v>
      </c>
      <c r="H77" s="21" t="s">
        <v>851</v>
      </c>
      <c r="I77" s="13">
        <v>42921.546354166669</v>
      </c>
      <c r="J77" s="7">
        <v>0</v>
      </c>
      <c r="K77" s="89" t="str">
        <f t="shared" ref="K77:K140" si="28">IF(ISEVEN(B77),(B77-1)&amp;"/"&amp;B77,B77&amp;"/"&amp;(B77+1))</f>
        <v>4007/4008</v>
      </c>
      <c r="L77" s="21" t="str">
        <f>VLOOKUP(A77,'Trips&amp;Operators'!$C$1:$G$99999,5,FALSE)</f>
        <v>ROMERO CHAD</v>
      </c>
      <c r="M77" s="6">
        <f t="shared" ref="M77:M140" si="29">I77-F77</f>
        <v>2.7442129634437151E-2</v>
      </c>
      <c r="N77" s="7">
        <f t="shared" si="25"/>
        <v>39.516666673589498</v>
      </c>
      <c r="O77" s="7"/>
      <c r="P77" s="7"/>
      <c r="Q77" s="22"/>
      <c r="R77" s="170"/>
      <c r="S77" s="213">
        <f t="shared" si="26"/>
        <v>1</v>
      </c>
      <c r="T77" s="195" t="str">
        <f t="shared" ref="T77:T140" si="30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-05T11:12:24-0600',mode:absolute,to:'2017-07-05T14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197" t="str">
        <f>IF(AA77&lt;VLOOKUP(AG77,Variables!$AC$3:$AD$8,2,FALSE),"Y","N")</f>
        <v>N</v>
      </c>
      <c r="X77" s="197">
        <f t="shared" si="27"/>
        <v>1</v>
      </c>
      <c r="Y77" s="197">
        <f t="shared" ref="Y77:Y108" si="32">RIGHT(D77,LEN(D77)-4)/10000</f>
        <v>23.306899999999999</v>
      </c>
      <c r="Z77" s="197">
        <f t="shared" ref="Z77:Z108" si="33">RIGHT(H77,LEN(H77)-4)/10000</f>
        <v>1.61E-2</v>
      </c>
      <c r="AA77" s="197">
        <f t="shared" ref="AA77:AA140" si="34">ABS(Z77-Y77)</f>
        <v>23.290799999999997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164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/stypes="app*4007*20170705*"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ref="AH77:AH138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164-05 --locoid 4007 --swversion DE.1.0.9.0 --startMP 204:233069 --initTime 2017-07-05T12:12:24 --startdatetime 2017-07-05T12:27:14 --delay 2 --endMP 204:161 --enddatetime 2017-07-05T13:06:45 --enforcementcount 0 &gt;&gt;C:\Users\stu\Documents\GitHub\eaglep3-reporting\EC\2017-07-05-refined-times.txt</v>
      </c>
      <c r="AI77" s="96" t="str">
        <f t="shared" ref="AI77:AI138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{"issue":{"subject":"","project_id":79,"tracker_id":40,"status_id":1,"priority_id":2,"assigned_to_id":23,"start_date":"2017-07-05","description":"","custom_fields":[{"id":1,"name":"Subdivision","value":"EC"},{"id":4,"name":"Milepost","value":"0.0161"},{"id":17,"name":"Train ID","value":"164-05"},{"id":16,"name":"Locomotive ID","value":"4007"},{"id":130,"name":"Impact","value":""},{"id":150,"name":"Time of Event (Mountain Time)","value":"13:06:45"},{"id":151,"name":"Denver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8" si="41">"start /low /b "&amp;dls3logs&amp;" --loco "&amp;B77&amp;" --day "&amp;TEXT(F77,"YYYY-MM-DD")</f>
        <v>start /low /b %USERPROFILE%\Documents\GitHub\eaglep3\Utilities\DownloadLogsFromS3.py --loco 4007 --day 2017-07-05</v>
      </c>
      <c r="AN77" s="151" t="str">
        <f t="shared" ref="AN77:AN138" si="4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572</v>
      </c>
      <c r="B78" s="7">
        <v>4054</v>
      </c>
      <c r="C78" s="21" t="s">
        <v>202</v>
      </c>
      <c r="D78" s="21" t="s">
        <v>354</v>
      </c>
      <c r="E78" s="13">
        <v>42921.487766203703</v>
      </c>
      <c r="F78" s="13">
        <v>42921.490173611113</v>
      </c>
      <c r="G78" s="7">
        <v>2</v>
      </c>
      <c r="H78" s="21" t="s">
        <v>852</v>
      </c>
      <c r="I78" s="13">
        <v>42921.515682870369</v>
      </c>
      <c r="J78" s="7">
        <v>0</v>
      </c>
      <c r="K78" s="89" t="str">
        <f t="shared" si="28"/>
        <v>4053/4054</v>
      </c>
      <c r="L78" s="21" t="str">
        <f>VLOOKUP(A78,'Trips&amp;Operators'!$C$1:$G$99999,5,FALSE)</f>
        <v>HUFFSMITH MONTY</v>
      </c>
      <c r="M78" s="6">
        <f t="shared" si="29"/>
        <v>2.5509259256068617E-2</v>
      </c>
      <c r="N78" s="7">
        <f t="shared" si="25"/>
        <v>36.733333328738809</v>
      </c>
      <c r="O78" s="7"/>
      <c r="P78" s="7"/>
      <c r="Q78" s="22"/>
      <c r="R78" s="170"/>
      <c r="S78" s="213">
        <f t="shared" si="26"/>
        <v>1</v>
      </c>
      <c r="T78" s="195" t="str">
        <f t="shared" si="30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-07-05T10:42:23-0600',mode:absolute,to:'2017-07-05T13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97" t="str">
        <f>IF(AA78&lt;VLOOKUP(AG78,Variables!$AC$3:$AD$8,2,FALSE),"Y","N")</f>
        <v>N</v>
      </c>
      <c r="X78" s="197">
        <f t="shared" si="27"/>
        <v>1</v>
      </c>
      <c r="Y78" s="197">
        <f t="shared" si="32"/>
        <v>4.4699999999999997E-2</v>
      </c>
      <c r="Z78" s="197">
        <f t="shared" si="33"/>
        <v>23.334599999999998</v>
      </c>
      <c r="AA78" s="197">
        <f t="shared" si="34"/>
        <v>23.289899999999999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165</v>
      </c>
      <c r="AE78" s="77" t="str">
        <f t="shared" si="36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78" s="74" t="str">
        <f t="shared" si="37"/>
        <v>"C:\Program Files (x86)\AstroGrep\AstroGrep.exe" /e /r /s /spath="%USERPROFILE%\AppData\Local\Temp\OnboardLogs" /stypes="app*4054*20170705*" /stext=" 18:.+((SYSTEM_STATE.+slice.+state.+changed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si="39"/>
        <v>"%USERPROFILE%\Documents\GitHub\eaglep3\Utilities\RefineRTDCRunTimes.py" --tripid 165-05 --locoid 4054 --swversion DE.1.0.9.0 --startMP 204:447 --initTime 2017-07-05T11:42:23 --startdatetime 2017-07-05T11:45:51 --delay 2 --endMP 204:233346 --enddatetime 2017-07-05T12:22:35 --enforcementcount 0 &gt;&gt;C:\Users\stu\Documents\GitHub\eaglep3-reporting\EC\2017-07-05-refined-times.txt</v>
      </c>
      <c r="AI7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{"issue":{"subject":"","project_id":79,"tracker_id":40,"status_id":1,"priority_id":2,"assigned_to_id":23,"start_date":"2017-07-05","description":"","custom_fields":[{"id":1,"name":"Subdivision","value":"EC"},{"id":4,"name":"Milepost","value":"23.3346"},{"id":17,"name":"Train ID","value":"165-05"},{"id":16,"name":"Locomotive ID","value":"4054"},{"id":130,"name":"Impact","value":""},{"id":150,"name":"Time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1"/>
        <v>start /low /b %USERPROFILE%\Documents\GitHub\eaglep3\Utilities\DownloadLogsFromS3.py --loco 4054 --day 2017-07-05</v>
      </c>
      <c r="AN78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730</v>
      </c>
      <c r="B79" s="7">
        <v>4053</v>
      </c>
      <c r="C79" s="21" t="s">
        <v>202</v>
      </c>
      <c r="D79" s="21" t="s">
        <v>853</v>
      </c>
      <c r="E79" s="13">
        <v>42921.519375000003</v>
      </c>
      <c r="F79" s="13">
        <v>42921.529363425929</v>
      </c>
      <c r="G79" s="7">
        <v>1</v>
      </c>
      <c r="H79" s="21" t="s">
        <v>358</v>
      </c>
      <c r="I79" s="13">
        <v>42921.560196759259</v>
      </c>
      <c r="J79" s="7">
        <v>0</v>
      </c>
      <c r="K79" s="89" t="str">
        <f t="shared" si="28"/>
        <v>4053/4054</v>
      </c>
      <c r="L79" s="21" t="str">
        <f>VLOOKUP(A79,'Trips&amp;Operators'!$C$1:$G$99999,5,FALSE)</f>
        <v>HUFFSMITH MONTY</v>
      </c>
      <c r="M79" s="6">
        <f t="shared" si="29"/>
        <v>3.0833333330519963E-2</v>
      </c>
      <c r="N79" s="7">
        <f t="shared" si="25"/>
        <v>44.399999995948747</v>
      </c>
      <c r="O79" s="7"/>
      <c r="P79" s="7"/>
      <c r="Q79" s="22"/>
      <c r="R79" s="170"/>
      <c r="S79" s="213">
        <f t="shared" si="26"/>
        <v>1</v>
      </c>
      <c r="T79" s="195" t="str">
        <f t="shared" si="30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-07-05T11:27:54-0600',mode:absolute,to:'2017-07-05T14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97" t="str">
        <f>IF(AA79&lt;VLOOKUP(AG79,Variables!$AC$3:$AD$8,2,FALSE),"Y","N")</f>
        <v>N</v>
      </c>
      <c r="X79" s="197">
        <f t="shared" si="27"/>
        <v>1</v>
      </c>
      <c r="Y79" s="197">
        <f t="shared" si="32"/>
        <v>23.303799999999999</v>
      </c>
      <c r="Z79" s="197">
        <f t="shared" si="33"/>
        <v>1.47E-2</v>
      </c>
      <c r="AA79" s="197">
        <f t="shared" si="34"/>
        <v>23.289099999999998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166</v>
      </c>
      <c r="AE79" s="77" t="str">
        <f t="shared" si="36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79" s="74" t="str">
        <f t="shared" si="37"/>
        <v>"C:\Program Files (x86)\AstroGrep\AstroGrep.exe" /e /r /s /spath="%USERPROFILE%\AppData\Local\Temp\OnboardLogs" /stypes="app*4053*20170705*" /stext=" 19:.+((SYSTEM_STATE.+slice.+state.+changed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166-05 --locoid 4053 --swversion DE.1.0.9.0 --startMP 204:233038 --initTime 2017-07-05T12:27:54 --startdatetime 2017-07-05T12:42:17 --delay 1 --endMP 204:147 --enddatetime 2017-07-05T13:26:41 --enforcementcount 0 &gt;&gt;C:\Users\stu\Documents\GitHub\eaglep3-reporting\EC\2017-07-05-refined-times.txt</v>
      </c>
      <c r="AI79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{"issue":{"subject":"","project_id":79,"tracker_id":40,"status_id":1,"priority_id":2,"assigned_to_id":23,"start_date":"2017-07-05","description":"","custom_fields":[{"id":1,"name":"Subdivision","value":"EC"},{"id":4,"name":"Milepost","value":"0.0147"},{"id":17,"name":"Train ID","value":"166-05"},{"id":16,"name":"Locomotive ID","value":"4053"},{"id":130,"name":"Impact","value":""},{"id":150,"name":"Time of Event (Mountain Time)","value":"13:26:41"},{"id":151,"name":"Denver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4053 --day 2017-07-05</v>
      </c>
      <c r="AN79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601</v>
      </c>
      <c r="B80" s="7">
        <v>4062</v>
      </c>
      <c r="C80" s="21" t="s">
        <v>202</v>
      </c>
      <c r="D80" s="21" t="s">
        <v>407</v>
      </c>
      <c r="E80" s="13">
        <v>42921.492199074077</v>
      </c>
      <c r="F80" s="13">
        <v>42921.500497685185</v>
      </c>
      <c r="G80" s="7">
        <v>1</v>
      </c>
      <c r="H80" s="21" t="s">
        <v>854</v>
      </c>
      <c r="I80" s="13">
        <v>42921.527824074074</v>
      </c>
      <c r="J80" s="7">
        <v>0</v>
      </c>
      <c r="K80" s="89" t="str">
        <f t="shared" si="28"/>
        <v>4061/4062</v>
      </c>
      <c r="L80" s="21" t="str">
        <f>VLOOKUP(A80,'Trips&amp;Operators'!$C$1:$G$99999,5,FALSE)</f>
        <v>LEVIN SCOTT</v>
      </c>
      <c r="M80" s="6">
        <f t="shared" si="29"/>
        <v>2.73263888884685E-2</v>
      </c>
      <c r="N80" s="7">
        <f t="shared" si="25"/>
        <v>39.34999999939464</v>
      </c>
      <c r="O80" s="7"/>
      <c r="P80" s="7"/>
      <c r="Q80" s="22"/>
      <c r="R80" s="170"/>
      <c r="S80" s="213">
        <f t="shared" si="26"/>
        <v>1</v>
      </c>
      <c r="T80" s="195" t="str">
        <f t="shared" si="30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-07-05T10:48:46-0600',mode:absolute,to:'2017-07-05T13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0" s="197" t="str">
        <f>IF(AA80&lt;VLOOKUP(AG80,Variables!$AC$3:$AD$8,2,FALSE),"Y","N")</f>
        <v>N</v>
      </c>
      <c r="X80" s="197">
        <f t="shared" si="27"/>
        <v>1</v>
      </c>
      <c r="Y80" s="197">
        <f t="shared" si="32"/>
        <v>4.6899999999999997E-2</v>
      </c>
      <c r="Z80" s="197">
        <f t="shared" si="33"/>
        <v>23.336400000000001</v>
      </c>
      <c r="AA80" s="197">
        <f t="shared" si="34"/>
        <v>23.2895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167</v>
      </c>
      <c r="AE80" s="77" t="str">
        <f t="shared" si="36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80" s="74" t="str">
        <f t="shared" si="37"/>
        <v>"C:\Program Files (x86)\AstroGrep\AstroGrep.exe" /e /r /s /spath="%USERPROFILE%\AppData\Local\Temp\OnboardLogs" /stypes="app*4062*20170705*" /stext=" 18:.+((SYSTEM_STATE.+slice.+state.+changed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167-05 --locoid 4062 --swversion DE.1.0.9.0 --startMP 204:469 --initTime 2017-07-05T11:48:46 --startdatetime 2017-07-05T12:00:43 --delay 1 --endMP 204:233364 --enddatetime 2017-07-05T12:40:04 --enforcementcount 0 &gt;&gt;C:\Users\stu\Documents\GitHub\eaglep3-reporting\EC\2017-07-05-refined-times.txt</v>
      </c>
      <c r="AI80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{"issue":{"subject":"","project_id":79,"tracker_id":40,"status_id":1,"priority_id":2,"assigned_to_id":23,"start_date":"2017-07-05","description":"","custom_fields":[{"id":1,"name":"Subdivision","value":"EC"},{"id":4,"name":"Milepost","value":"23.3364"},{"id":17,"name":"Train ID","value":"167-05"},{"id":16,"name":"Locomotive ID","value":"4062"},{"id":130,"name":"Impact","value":""},{"id":150,"name":"Time of Event (Mountain Time)","value":"12:40:04"},{"id":151,"name":"Denver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4062 --day 2017-07-05</v>
      </c>
      <c r="AN80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736</v>
      </c>
      <c r="B81" s="7">
        <v>4061</v>
      </c>
      <c r="C81" s="21" t="s">
        <v>202</v>
      </c>
      <c r="D81" s="21" t="s">
        <v>855</v>
      </c>
      <c r="E81" s="13">
        <v>42921.537037037036</v>
      </c>
      <c r="F81" s="13">
        <v>42921.539837962962</v>
      </c>
      <c r="G81" s="7">
        <v>1</v>
      </c>
      <c r="H81" s="21" t="s">
        <v>357</v>
      </c>
      <c r="I81" s="13">
        <v>42921.570555555554</v>
      </c>
      <c r="J81" s="7">
        <v>0</v>
      </c>
      <c r="K81" s="89" t="str">
        <f t="shared" si="28"/>
        <v>4061/4062</v>
      </c>
      <c r="L81" s="21" t="str">
        <f>VLOOKUP(A81,'Trips&amp;Operators'!$C$1:$G$99999,5,FALSE)</f>
        <v>LEVIN SCOTT</v>
      </c>
      <c r="M81" s="6">
        <f t="shared" si="29"/>
        <v>3.071759259182727E-2</v>
      </c>
      <c r="N81" s="7">
        <f t="shared" si="25"/>
        <v>44.233333332231268</v>
      </c>
      <c r="O81" s="7"/>
      <c r="P81" s="7"/>
      <c r="Q81" s="22"/>
      <c r="R81" s="170"/>
      <c r="S81" s="213">
        <f t="shared" si="26"/>
        <v>1</v>
      </c>
      <c r="T81" s="195" t="str">
        <f t="shared" si="30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-07-05T11:53:20-0600',mode:absolute,to:'2017-07-05T14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1" s="197" t="str">
        <f>IF(AA81&lt;VLOOKUP(AG81,Variables!$AC$3:$AD$8,2,FALSE),"Y","N")</f>
        <v>N</v>
      </c>
      <c r="X81" s="197">
        <f t="shared" si="27"/>
        <v>1</v>
      </c>
      <c r="Y81" s="197">
        <f t="shared" si="32"/>
        <v>23.304400000000001</v>
      </c>
      <c r="Z81" s="197">
        <f t="shared" si="33"/>
        <v>1.41E-2</v>
      </c>
      <c r="AA81" s="197">
        <f t="shared" si="34"/>
        <v>23.290300000000002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168</v>
      </c>
      <c r="AE81" s="77" t="str">
        <f t="shared" si="36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81" s="74" t="str">
        <f t="shared" si="37"/>
        <v>"C:\Program Files (x86)\AstroGrep\AstroGrep.exe" /e /r /s /spath="%USERPROFILE%\AppData\Local\Temp\OnboardLogs" /stypes="app*4061*20170705*" /stext=" 19:.+((SYSTEM_STATE.+slice.+state.+changed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168-05 --locoid 4061 --swversion DE.1.0.9.0 --startMP 204:233044 --initTime 2017-07-05T12:53:20 --startdatetime 2017-07-05T12:57:22 --delay 1 --endMP 204:141 --enddatetime 2017-07-05T13:41:36 --enforcementcount 0 &gt;&gt;C:\Users\stu\Documents\GitHub\eaglep3-reporting\EC\2017-07-05-refined-times.txt</v>
      </c>
      <c r="AI81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{"issue":{"subject":"","project_id":79,"tracker_id":40,"status_id":1,"priority_id":2,"assigned_to_id":23,"start_date":"2017-07-05","description":"","custom_fields":[{"id":1,"name":"Subdivision","value":"EC"},{"id":4,"name":"Milepost","value":"0.0141"},{"id":17,"name":"Train ID","value":"168-05"},{"id":16,"name":"Locomotive ID","value":"4061"},{"id":130,"name":"Impact","value":""},{"id":150,"name":"Time of Event (Mountain Time)","value":"13:41:36"},{"id":151,"name":"Denver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4061 --day 2017-07-05</v>
      </c>
      <c r="AN81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19:41:36"},{"id":29,"name":"Sharepoint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724</v>
      </c>
      <c r="B82" s="7">
        <v>4056</v>
      </c>
      <c r="C82" s="21" t="s">
        <v>202</v>
      </c>
      <c r="D82" s="21" t="s">
        <v>354</v>
      </c>
      <c r="E82" s="13">
        <v>42921.506597222222</v>
      </c>
      <c r="F82" s="13">
        <v>42921.510925925926</v>
      </c>
      <c r="G82" s="7">
        <v>2</v>
      </c>
      <c r="H82" s="21" t="s">
        <v>856</v>
      </c>
      <c r="I82" s="13">
        <v>42921.53769675926</v>
      </c>
      <c r="J82" s="7">
        <v>0</v>
      </c>
      <c r="K82" s="89" t="str">
        <f t="shared" si="28"/>
        <v>4055/4056</v>
      </c>
      <c r="L82" s="21" t="str">
        <f>VLOOKUP(A82,'Trips&amp;Operators'!$C$1:$G$99999,5,FALSE)</f>
        <v>RESPASS AARON</v>
      </c>
      <c r="M82" s="6">
        <f t="shared" si="29"/>
        <v>2.6770833334012423E-2</v>
      </c>
      <c r="N82" s="7">
        <f t="shared" si="25"/>
        <v>38.550000000977889</v>
      </c>
      <c r="O82" s="7"/>
      <c r="P82" s="7"/>
      <c r="Q82" s="22"/>
      <c r="R82" s="170"/>
      <c r="S82" s="213">
        <f t="shared" si="26"/>
        <v>1</v>
      </c>
      <c r="T82" s="195" t="str">
        <f t="shared" si="30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-07-05T11:09:30-0600',mode:absolute,to:'2017-07-05T13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2" s="197" t="str">
        <f>IF(AA82&lt;VLOOKUP(AG82,Variables!$AC$3:$AD$8,2,FALSE),"Y","N")</f>
        <v>N</v>
      </c>
      <c r="X82" s="197">
        <f t="shared" ref="X82:X89" si="43">VALUE(LEFT(AD82,4))-VALUE(LEFT(AD81,4))</f>
        <v>1</v>
      </c>
      <c r="Y82" s="197">
        <f t="shared" si="32"/>
        <v>4.4699999999999997E-2</v>
      </c>
      <c r="Z82" s="197">
        <f t="shared" si="33"/>
        <v>23.338000000000001</v>
      </c>
      <c r="AA82" s="197">
        <f t="shared" si="34"/>
        <v>23.293300000000002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169</v>
      </c>
      <c r="AE82" s="77" t="str">
        <f t="shared" si="36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82" s="74" t="str">
        <f t="shared" si="37"/>
        <v>"C:\Program Files (x86)\AstroGrep\AstroGrep.exe" /e /r /s /spath="%USERPROFILE%\AppData\Local\Temp\OnboardLogs" /stypes="app*4056*20170705*"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169-05 --locoid 4056 --swversion DE.1.0.9.0 --startMP 204:447 --initTime 2017-07-05T12:09:30 --startdatetime 2017-07-05T12:15:44 --delay 2 --endMP 204:233380 --enddatetime 2017-07-05T12:54:17 --enforcementcount 0 &gt;&gt;C:\Users\stu\Documents\GitHub\eaglep3-reporting\EC\2017-07-05-refined-times.txt</v>
      </c>
      <c r="AI82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{"issue":{"subject":"","project_id":79,"tracker_id":40,"status_id":1,"priority_id":2,"assigned_to_id":23,"start_date":"2017-07-05","description":"","custom_fields":[{"id":1,"name":"Subdivision","value":"EC"},{"id":4,"name":"Milepost","value":"23.338"},{"id":17,"name":"Train ID","value":"169-05"},{"id":16,"name":"Locomotive ID","value":"4056"},{"id":130,"name":"Impact","value":""},{"id":150,"name":"Time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4056 --day 2017-07-05</v>
      </c>
      <c r="AN82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606</v>
      </c>
      <c r="B83" s="7">
        <v>4055</v>
      </c>
      <c r="C83" s="21" t="s">
        <v>202</v>
      </c>
      <c r="D83" s="21" t="s">
        <v>857</v>
      </c>
      <c r="E83" s="13">
        <v>42921.543749999997</v>
      </c>
      <c r="F83" s="13">
        <v>42921.550150462965</v>
      </c>
      <c r="G83" s="7">
        <v>2</v>
      </c>
      <c r="H83" s="21" t="s">
        <v>858</v>
      </c>
      <c r="I83" s="13">
        <v>42921.580011574071</v>
      </c>
      <c r="J83" s="7">
        <v>0</v>
      </c>
      <c r="K83" s="89" t="str">
        <f t="shared" si="28"/>
        <v>4055/4056</v>
      </c>
      <c r="L83" s="21" t="str">
        <f>VLOOKUP(A83,'Trips&amp;Operators'!$C$1:$G$99999,5,FALSE)</f>
        <v>RESPASS AARON</v>
      </c>
      <c r="M83" s="6">
        <f t="shared" si="29"/>
        <v>2.9861111106583849E-2</v>
      </c>
      <c r="N83" s="7">
        <f t="shared" si="25"/>
        <v>42.999999993480742</v>
      </c>
      <c r="O83" s="7"/>
      <c r="P83" s="7"/>
      <c r="Q83" s="22"/>
      <c r="R83" s="170"/>
      <c r="S83" s="213">
        <f t="shared" si="26"/>
        <v>1</v>
      </c>
      <c r="T83" s="195" t="str">
        <f t="shared" si="30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-07-05T12:03:00-0600',mode:absolute,to:'2017-07-05T14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3" s="197" t="str">
        <f>IF(AA83&lt;VLOOKUP(AG83,Variables!$AC$3:$AD$8,2,FALSE),"Y","N")</f>
        <v>N</v>
      </c>
      <c r="X83" s="197">
        <f t="shared" si="43"/>
        <v>1</v>
      </c>
      <c r="Y83" s="197">
        <f t="shared" si="32"/>
        <v>23.306799999999999</v>
      </c>
      <c r="Z83" s="197">
        <f t="shared" si="33"/>
        <v>1.29E-2</v>
      </c>
      <c r="AA83" s="197">
        <f t="shared" si="34"/>
        <v>23.293900000000001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170</v>
      </c>
      <c r="AE83" s="77" t="str">
        <f t="shared" si="36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83" s="74" t="str">
        <f t="shared" si="37"/>
        <v>"C:\Program Files (x86)\AstroGrep\AstroGrep.exe" /e /r /s /spath="%USERPROFILE%\AppData\Local\Temp\OnboardLogs" /stypes="app*4055*20170705*"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170-05 --locoid 4055 --swversion DE.1.0.9.0 --startMP 204:233068 --initTime 2017-07-05T13:03:00 --startdatetime 2017-07-05T13:12:13 --delay 2 --endMP 204:129 --enddatetime 2017-07-05T13:55:13 --enforcementcount 0 &gt;&gt;C:\Users\stu\Documents\GitHub\eaglep3-reporting\EC\2017-07-05-refined-times.txt</v>
      </c>
      <c r="AI83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{"issue":{"subject":"","project_id":79,"tracker_id":40,"status_id":1,"priority_id":2,"assigned_to_id":23,"start_date":"2017-07-05","description":"","custom_fields":[{"id":1,"name":"Subdivision","value":"EC"},{"id":4,"name":"Milepost","value":"0.0129"},{"id":17,"name":"Train ID","value":"170-05"},{"id":16,"name":"Locomotive ID","value":"4055"},{"id":130,"name":"Impact","value":""},{"id":150,"name":"Time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4055 --day 2017-07-05</v>
      </c>
      <c r="AN83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731</v>
      </c>
      <c r="B84" s="7">
        <v>4018</v>
      </c>
      <c r="C84" s="21" t="s">
        <v>202</v>
      </c>
      <c r="D84" s="21" t="s">
        <v>346</v>
      </c>
      <c r="E84" s="13">
        <v>42921.519780092596</v>
      </c>
      <c r="F84" s="13">
        <v>42921.524282407408</v>
      </c>
      <c r="G84" s="7">
        <v>2</v>
      </c>
      <c r="H84" s="21" t="s">
        <v>453</v>
      </c>
      <c r="I84" s="13">
        <v>42921.552418981482</v>
      </c>
      <c r="J84" s="7">
        <v>0</v>
      </c>
      <c r="K84" s="89" t="str">
        <f t="shared" si="28"/>
        <v>4017/4018</v>
      </c>
      <c r="L84" s="21" t="str">
        <f>VLOOKUP(A84,'Trips&amp;Operators'!$C$1:$G$99999,5,FALSE)</f>
        <v>DAVIS MICHAEL</v>
      </c>
      <c r="M84" s="6">
        <f t="shared" si="29"/>
        <v>2.8136574073869269E-2</v>
      </c>
      <c r="N84" s="7">
        <f t="shared" si="25"/>
        <v>40.516666666371748</v>
      </c>
      <c r="O84" s="7"/>
      <c r="P84" s="7"/>
      <c r="Q84" s="22"/>
      <c r="R84" s="170"/>
      <c r="S84" s="213">
        <f t="shared" si="26"/>
        <v>1</v>
      </c>
      <c r="T84" s="195" t="str">
        <f t="shared" si="30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-07-05T11:28:29-0600',mode:absolute,to:'2017-07-05T14:15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4" s="197" t="str">
        <f>IF(AA84&lt;VLOOKUP(AG84,Variables!$AC$3:$AD$8,2,FALSE),"Y","N")</f>
        <v>N</v>
      </c>
      <c r="X84" s="197">
        <f t="shared" si="43"/>
        <v>1</v>
      </c>
      <c r="Y84" s="197">
        <f t="shared" si="32"/>
        <v>4.4600000000000001E-2</v>
      </c>
      <c r="Z84" s="197">
        <f t="shared" si="33"/>
        <v>23.3293</v>
      </c>
      <c r="AA84" s="197">
        <f t="shared" si="34"/>
        <v>23.284700000000001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171</v>
      </c>
      <c r="AE84" s="77" t="str">
        <f t="shared" si="36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84" s="74" t="str">
        <f t="shared" si="37"/>
        <v>"C:\Program Files (x86)\AstroGrep\AstroGrep.exe" /e /r /s /spath="%USERPROFILE%\AppData\Local\Temp\OnboardLogs" /stypes="app*4018*20170705*"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171-05 --locoid 4018 --swversion DE.1.0.9.0 --startMP 204:446 --initTime 2017-07-05T12:28:29 --startdatetime 2017-07-05T12:34:58 --delay 2 --endMP 204:233293 --enddatetime 2017-07-05T13:15:29 --enforcementcount 0 &gt;&gt;C:\Users\stu\Documents\GitHub\eaglep3-reporting\EC\2017-07-05-refined-times.txt</v>
      </c>
      <c r="AI84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{"issue":{"subject":"","project_id":79,"tracker_id":40,"status_id":1,"priority_id":2,"assigned_to_id":23,"start_date":"2017-07-05","description":"","custom_fields":[{"id":1,"name":"Subdivision","value":"EC"},{"id":4,"name":"Milepost","value":"23.3293"},{"id":17,"name":"Train ID","value":"171-05"},{"id":16,"name":"Locomotive ID","value":"4018"},{"id":130,"name":"Impact","value":""},{"id":150,"name":"Time of Event (Mountain Time)","value":"13:15:29"},{"id":151,"name":"Denver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4018 --day 2017-07-05</v>
      </c>
      <c r="AN84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19:15:29"},{"id":29,"name":"Sharepoint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739</v>
      </c>
      <c r="B85" s="7">
        <v>4017</v>
      </c>
      <c r="C85" s="21" t="s">
        <v>202</v>
      </c>
      <c r="D85" s="21" t="s">
        <v>538</v>
      </c>
      <c r="E85" s="13">
        <v>42921.558738425927</v>
      </c>
      <c r="F85" s="13">
        <v>42921.560798611114</v>
      </c>
      <c r="G85" s="7">
        <v>1</v>
      </c>
      <c r="H85" s="21" t="s">
        <v>357</v>
      </c>
      <c r="I85" s="13">
        <v>42921.590671296297</v>
      </c>
      <c r="J85" s="7">
        <v>0</v>
      </c>
      <c r="K85" s="89" t="str">
        <f t="shared" si="28"/>
        <v>4017/4018</v>
      </c>
      <c r="L85" s="21" t="str">
        <f>VLOOKUP(A85,'Trips&amp;Operators'!$C$1:$G$99999,5,FALSE)</f>
        <v>DAVIS MICHAEL</v>
      </c>
      <c r="M85" s="6">
        <f t="shared" si="29"/>
        <v>2.9872685183363501E-2</v>
      </c>
      <c r="N85" s="7">
        <f t="shared" si="25"/>
        <v>43.016666664043441</v>
      </c>
      <c r="O85" s="7"/>
      <c r="P85" s="7"/>
      <c r="Q85" s="22"/>
      <c r="R85" s="170"/>
      <c r="S85" s="213">
        <f t="shared" si="26"/>
        <v>1</v>
      </c>
      <c r="T85" s="195" t="str">
        <f t="shared" si="30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-07-05T12:24:35-0600',mode:absolute,to:'2017-07-05T15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5" s="197" t="str">
        <f>IF(AA85&lt;VLOOKUP(AG85,Variables!$AC$3:$AD$8,2,FALSE),"Y","N")</f>
        <v>N</v>
      </c>
      <c r="X85" s="197">
        <f t="shared" si="43"/>
        <v>1</v>
      </c>
      <c r="Y85" s="197">
        <f t="shared" si="32"/>
        <v>23.2973</v>
      </c>
      <c r="Z85" s="197">
        <f t="shared" si="33"/>
        <v>1.41E-2</v>
      </c>
      <c r="AA85" s="197">
        <f t="shared" si="34"/>
        <v>23.283200000000001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172</v>
      </c>
      <c r="AE85" s="77" t="str">
        <f t="shared" si="36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85" s="74" t="str">
        <f t="shared" si="37"/>
        <v>"C:\Program Files (x86)\AstroGrep\AstroGrep.exe" /e /r /s /spath="%USERPROFILE%\AppData\Local\Temp\OnboardLogs" /stypes="app*4017*20170705*" /stext=" 20:.+((SYSTEM_STATE.+slice.+state.+changed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172-05 --locoid 4017 --swversion DE.1.0.9.0 --startMP 204:232973 --initTime 2017-07-05T13:24:35 --startdatetime 2017-07-05T13:27:33 --delay 1 --endMP 204:141 --enddatetime 2017-07-05T14:10:34 --enforcementcount 0 &gt;&gt;C:\Users\stu\Documents\GitHub\eaglep3-reporting\EC\2017-07-05-refined-times.txt</v>
      </c>
      <c r="AI85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{"issue":{"subject":"","project_id":79,"tracker_id":40,"status_id":1,"priority_id":2,"assigned_to_id":23,"start_date":"2017-07-05","description":"","custom_fields":[{"id":1,"name":"Subdivision","value":"EC"},{"id":4,"name":"Milepost","value":"0.0141"},{"id":17,"name":"Train ID","value":"172-05"},{"id":16,"name":"Locomotive ID","value":"4017"},{"id":130,"name":"Impact","value":""},{"id":150,"name":"Time of Event (Mountain Time)","value":"14:10:34"},{"id":151,"name":"Denver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4017 --day 2017-07-05</v>
      </c>
      <c r="AN85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733</v>
      </c>
      <c r="B86" s="7">
        <v>4014</v>
      </c>
      <c r="C86" s="21" t="s">
        <v>202</v>
      </c>
      <c r="D86" s="21" t="s">
        <v>484</v>
      </c>
      <c r="E86" s="13">
        <v>42921.530046296299</v>
      </c>
      <c r="F86" s="13">
        <v>42921.532731481479</v>
      </c>
      <c r="G86" s="7">
        <v>3</v>
      </c>
      <c r="H86" s="21" t="s">
        <v>461</v>
      </c>
      <c r="I86" s="13">
        <v>42921.559050925927</v>
      </c>
      <c r="J86" s="7">
        <v>0</v>
      </c>
      <c r="K86" s="89" t="str">
        <f t="shared" si="28"/>
        <v>4013/4014</v>
      </c>
      <c r="L86" s="21" t="str">
        <f>VLOOKUP(A86,'Trips&amp;Operators'!$C$1:$G$99999,5,FALSE)</f>
        <v>HOLCOMB KAMDEN</v>
      </c>
      <c r="M86" s="6">
        <f t="shared" si="29"/>
        <v>2.6319444448745344E-2</v>
      </c>
      <c r="N86" s="7">
        <f t="shared" ref="N86:N117" si="44">24*60*SUM($M86:$M86)</f>
        <v>37.900000006193295</v>
      </c>
      <c r="O86" s="7"/>
      <c r="P86" s="7"/>
      <c r="Q86" s="22"/>
      <c r="R86" s="170"/>
      <c r="S86" s="213">
        <f t="shared" ref="S86:S117" si="45">SUM(U86:U86)/IF(AG86="EC",12,1)</f>
        <v>1</v>
      </c>
      <c r="T86" s="195" t="str">
        <f t="shared" si="30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-07-05T11:43:16-0600',mode:absolute,to:'2017-07-05T14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6" s="197" t="str">
        <f>IF(AA86&lt;VLOOKUP(AG86,Variables!$AC$3:$AD$8,2,FALSE),"Y","N")</f>
        <v>N</v>
      </c>
      <c r="X86" s="197">
        <f t="shared" si="43"/>
        <v>1</v>
      </c>
      <c r="Y86" s="197">
        <f t="shared" si="32"/>
        <v>4.7800000000000002E-2</v>
      </c>
      <c r="Z86" s="197">
        <f t="shared" si="33"/>
        <v>23.331</v>
      </c>
      <c r="AA86" s="197">
        <f t="shared" si="34"/>
        <v>23.283200000000001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173</v>
      </c>
      <c r="AE86" s="77" t="str">
        <f t="shared" si="36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86" s="74" t="str">
        <f t="shared" si="37"/>
        <v>"C:\Program Files (x86)\AstroGrep\AstroGrep.exe" /e /r /s /spath="%USERPROFILE%\AppData\Local\Temp\OnboardLogs" /stypes="app*4014*20170705*"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173-05 --locoid 4014 --swversion DE.1.0.9.0 --startMP 204:478 --initTime 2017-07-05T12:43:16 --startdatetime 2017-07-05T12:47:08 --delay 3 --endMP 204:233310 --enddatetime 2017-07-05T13:25:02 --enforcementcount 0 &gt;&gt;C:\Users\stu\Documents\GitHub\eaglep3-reporting\EC\2017-07-05-refined-times.txt</v>
      </c>
      <c r="AI86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{"issue":{"subject":"","project_id":79,"tracker_id":40,"status_id":1,"priority_id":2,"assigned_to_id":23,"start_date":"2017-07-05","description":"","custom_fields":[{"id":1,"name":"Subdivision","value":"EC"},{"id":4,"name":"Milepost","value":"23.331"},{"id":17,"name":"Train ID","value":"173-05"},{"id":16,"name":"Locomotive ID","value":"4014"},{"id":130,"name":"Impact","value":""},{"id":150,"name":"Time of Event (Mountain Time)","value":"13:25:02"},{"id":151,"name":"Denver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4014 --day 2017-07-05</v>
      </c>
      <c r="AN86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608</v>
      </c>
      <c r="B87" s="7">
        <v>4013</v>
      </c>
      <c r="C87" s="21" t="s">
        <v>202</v>
      </c>
      <c r="D87" s="21" t="s">
        <v>406</v>
      </c>
      <c r="E87" s="13">
        <v>42921.566747685189</v>
      </c>
      <c r="F87" s="13">
        <v>42921.571689814817</v>
      </c>
      <c r="G87" s="7">
        <v>1</v>
      </c>
      <c r="H87" s="21" t="s">
        <v>509</v>
      </c>
      <c r="I87" s="13">
        <v>42921.599166666667</v>
      </c>
      <c r="J87" s="7">
        <v>0</v>
      </c>
      <c r="K87" s="89" t="str">
        <f t="shared" si="28"/>
        <v>4013/4014</v>
      </c>
      <c r="L87" s="21" t="str">
        <f>VLOOKUP(A87,'Trips&amp;Operators'!$C$1:$G$99999,5,FALSE)</f>
        <v>HOLCOMB KAMDEN</v>
      </c>
      <c r="M87" s="6">
        <f t="shared" si="29"/>
        <v>2.7476851850224193E-2</v>
      </c>
      <c r="N87" s="7">
        <f t="shared" si="44"/>
        <v>39.566666664322838</v>
      </c>
      <c r="O87" s="7"/>
      <c r="P87" s="7"/>
      <c r="Q87" s="22"/>
      <c r="R87" s="170"/>
      <c r="S87" s="213">
        <f t="shared" si="45"/>
        <v>1</v>
      </c>
      <c r="T87" s="195" t="str">
        <f t="shared" si="30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-07-05T12:36:07-0600',mode:absolute,to:'2017-07-05T15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7" s="197" t="str">
        <f>IF(AA87&lt;VLOOKUP(AG87,Variables!$AC$3:$AD$8,2,FALSE),"Y","N")</f>
        <v>N</v>
      </c>
      <c r="X87" s="197">
        <f t="shared" si="43"/>
        <v>1</v>
      </c>
      <c r="Y87" s="197">
        <f t="shared" si="32"/>
        <v>23.299600000000002</v>
      </c>
      <c r="Z87" s="197">
        <f t="shared" si="33"/>
        <v>1.34E-2</v>
      </c>
      <c r="AA87" s="197">
        <f t="shared" si="34"/>
        <v>23.286200000000001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174</v>
      </c>
      <c r="AE87" s="77" t="str">
        <f t="shared" si="36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87" s="74" t="str">
        <f t="shared" si="37"/>
        <v>"C:\Program Files (x86)\AstroGrep\AstroGrep.exe" /e /r /s /spath="%USERPROFILE%\AppData\Local\Temp\OnboardLogs" /stypes="app*4013*20170705*" /stext=" 20:.+((SYSTEM_STATE.+slice.+state.+changed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174-05 --locoid 4013 --swversion DE.1.0.9.0 --startMP 204:232996 --initTime 2017-07-05T13:36:07 --startdatetime 2017-07-05T13:43:14 --delay 1 --endMP 204:134 --enddatetime 2017-07-05T14:22:48 --enforcementcount 0 &gt;&gt;C:\Users\stu\Documents\GitHub\eaglep3-reporting\EC\2017-07-05-refined-times.txt</v>
      </c>
      <c r="AI87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{"issue":{"subject":"","project_id":79,"tracker_id":40,"status_id":1,"priority_id":2,"assigned_to_id":23,"start_date":"2017-07-05","description":"","custom_fields":[{"id":1,"name":"Subdivision","value":"EC"},{"id":4,"name":"Milepost","value":"0.0134"},{"id":17,"name":"Train ID","value":"174-05"},{"id":16,"name":"Locomotive ID","value":"4013"},{"id":130,"name":"Impact","value":""},{"id":150,"name":"Time of Event (Mountain Time)","value":"14:22:48"},{"id":151,"name":"Denver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4013 --day 2017-07-05</v>
      </c>
      <c r="AN87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604</v>
      </c>
      <c r="B88" s="7">
        <v>4042</v>
      </c>
      <c r="C88" s="21" t="s">
        <v>202</v>
      </c>
      <c r="D88" s="21" t="s">
        <v>409</v>
      </c>
      <c r="E88" s="13">
        <v>42921.538888888892</v>
      </c>
      <c r="F88" s="13">
        <v>42921.542164351849</v>
      </c>
      <c r="G88" s="7">
        <v>1</v>
      </c>
      <c r="H88" s="21" t="s">
        <v>499</v>
      </c>
      <c r="I88" s="13">
        <v>42921.569328703707</v>
      </c>
      <c r="J88" s="7">
        <v>0</v>
      </c>
      <c r="K88" s="89" t="str">
        <f t="shared" si="28"/>
        <v>4041/4042</v>
      </c>
      <c r="L88" s="21" t="str">
        <f>VLOOKUP(A88,'Trips&amp;Operators'!$C$1:$G$99999,5,FALSE)</f>
        <v>STEWART MICHAEL</v>
      </c>
      <c r="M88" s="6">
        <f t="shared" si="29"/>
        <v>2.7164351857209112E-2</v>
      </c>
      <c r="N88" s="7">
        <f t="shared" si="44"/>
        <v>39.116666674381122</v>
      </c>
      <c r="O88" s="7"/>
      <c r="P88" s="7"/>
      <c r="Q88" s="22"/>
      <c r="R88" s="170"/>
      <c r="S88" s="213">
        <f t="shared" si="45"/>
        <v>1</v>
      </c>
      <c r="T88" s="195" t="str">
        <f t="shared" si="30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-07-05T11:56:00-0600',mode:absolute,to:'2017-07-05T14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97" t="str">
        <f>IF(AA88&lt;VLOOKUP(AG88,Variables!$AC$3:$AD$8,2,FALSE),"Y","N")</f>
        <v>N</v>
      </c>
      <c r="X88" s="197">
        <f t="shared" si="43"/>
        <v>1</v>
      </c>
      <c r="Y88" s="197">
        <f t="shared" si="32"/>
        <v>4.4200000000000003E-2</v>
      </c>
      <c r="Z88" s="197">
        <f t="shared" si="33"/>
        <v>23.327999999999999</v>
      </c>
      <c r="AA88" s="197">
        <f t="shared" si="34"/>
        <v>23.283799999999999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175</v>
      </c>
      <c r="AE88" s="77" t="str">
        <f t="shared" si="36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88" s="74" t="str">
        <f t="shared" si="37"/>
        <v>"C:\Program Files (x86)\AstroGrep\AstroGrep.exe" /e /r /s /spath="%USERPROFILE%\AppData\Local\Temp\OnboardLogs" /stypes="app*4042*20170705*" /stext=" 19:.+((SYSTEM_STATE.+slice.+state.+changed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175-05 --locoid 4042 --swversion DE.1.0.9.0 --startMP 204:442 --initTime 2017-07-05T12:56:00 --startdatetime 2017-07-05T13:00:43 --delay 1 --endMP 204:233280 --enddatetime 2017-07-05T13:39:50 --enforcementcount 0 &gt;&gt;C:\Users\stu\Documents\GitHub\eaglep3-reporting\EC\2017-07-05-refined-times.txt</v>
      </c>
      <c r="AI8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{"issue":{"subject":"","project_id":79,"tracker_id":40,"status_id":1,"priority_id":2,"assigned_to_id":23,"start_date":"2017-07-05","description":"","custom_fields":[{"id":1,"name":"Subdivision","value":"EC"},{"id":4,"name":"Milepost","value":"23.328"},{"id":17,"name":"Train ID","value":"175-05"},{"id":16,"name":"Locomotive ID","value":"4042"},{"id":130,"name":"Impact","value":""},{"id":150,"name":"Time of Event (Mountain Time)","value":"13:39:50"},{"id":151,"name":"Denver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4042 --day 2017-07-05</v>
      </c>
      <c r="AN88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609</v>
      </c>
      <c r="B89" s="7">
        <v>4041</v>
      </c>
      <c r="C89" s="21" t="s">
        <v>202</v>
      </c>
      <c r="D89" s="21" t="s">
        <v>859</v>
      </c>
      <c r="E89" s="13">
        <v>42921.581053240741</v>
      </c>
      <c r="F89" s="13">
        <v>42921.582268518519</v>
      </c>
      <c r="G89" s="7">
        <v>1</v>
      </c>
      <c r="H89" s="21" t="s">
        <v>860</v>
      </c>
      <c r="I89" s="13">
        <v>42921.610127314816</v>
      </c>
      <c r="J89" s="7">
        <v>0</v>
      </c>
      <c r="K89" s="89" t="str">
        <f t="shared" si="28"/>
        <v>4041/4042</v>
      </c>
      <c r="L89" s="21" t="str">
        <f>VLOOKUP(A89,'Trips&amp;Operators'!$C$1:$G$99999,5,FALSE)</f>
        <v>STEWART MICHAEL</v>
      </c>
      <c r="M89" s="6">
        <f t="shared" si="29"/>
        <v>2.7858796296641231E-2</v>
      </c>
      <c r="N89" s="7">
        <f t="shared" si="44"/>
        <v>40.116666667163372</v>
      </c>
      <c r="O89" s="7"/>
      <c r="P89" s="7"/>
      <c r="Q89" s="22"/>
      <c r="R89" s="170"/>
      <c r="S89" s="213">
        <f t="shared" si="45"/>
        <v>1</v>
      </c>
      <c r="T89" s="195" t="str">
        <f t="shared" si="30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-07-05T12:56:43-0600',mode:absolute,to:'2017-07-05T15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97" t="str">
        <f>IF(AA89&lt;VLOOKUP(AG89,Variables!$AC$3:$AD$8,2,FALSE),"Y","N")</f>
        <v>N</v>
      </c>
      <c r="X89" s="197">
        <f t="shared" si="43"/>
        <v>1</v>
      </c>
      <c r="Y89" s="197">
        <f t="shared" si="32"/>
        <v>23.294799999999999</v>
      </c>
      <c r="Z89" s="197">
        <f t="shared" si="33"/>
        <v>1.6899999999999998E-2</v>
      </c>
      <c r="AA89" s="197">
        <f t="shared" si="34"/>
        <v>23.277899999999999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176</v>
      </c>
      <c r="AE89" s="77" t="str">
        <f t="shared" si="36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89" s="74" t="str">
        <f t="shared" si="37"/>
        <v>"C:\Program Files (x86)\AstroGrep\AstroGrep.exe" /e /r /s /spath="%USERPROFILE%\AppData\Local\Temp\OnboardLogs" /stypes="app*4041*20170705*" /stext=" 20:.+((SYSTEM_STATE.+slice.+state.+changed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176-05 --locoid 4041 --swversion DE.1.0.9.0 --startMP 204:232948 --initTime 2017-07-05T13:56:43 --startdatetime 2017-07-05T13:58:28 --delay 1 --endMP 204:169 --enddatetime 2017-07-05T14:38:35 --enforcementcount 0 &gt;&gt;C:\Users\stu\Documents\GitHub\eaglep3-reporting\EC\2017-07-05-refined-times.txt</v>
      </c>
      <c r="AI89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{"issue":{"subject":"","project_id":79,"tracker_id":40,"status_id":1,"priority_id":2,"assigned_to_id":23,"start_date":"2017-07-05","description":"","custom_fields":[{"id":1,"name":"Subdivision","value":"EC"},{"id":4,"name":"Milepost","value":"0.0169"},{"id":17,"name":"Train ID","value":"176-05"},{"id":16,"name":"Locomotive ID","value":"4041"},{"id":130,"name":"Impact","value":""},{"id":150,"name":"Time of Event (Mountain Time)","value":"14:38:35"},{"id":151,"name":"Denver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4041 --day 2017-07-05</v>
      </c>
      <c r="AN89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737</v>
      </c>
      <c r="B90" s="7">
        <v>4008</v>
      </c>
      <c r="C90" s="21" t="s">
        <v>202</v>
      </c>
      <c r="D90" s="21" t="s">
        <v>861</v>
      </c>
      <c r="E90" s="13">
        <v>42921.54760416667</v>
      </c>
      <c r="F90" s="13">
        <v>42921.55259259259</v>
      </c>
      <c r="G90" s="7">
        <v>7</v>
      </c>
      <c r="H90" s="21" t="s">
        <v>862</v>
      </c>
      <c r="I90" s="13">
        <v>42921.577291666668</v>
      </c>
      <c r="J90" s="7">
        <v>0</v>
      </c>
      <c r="K90" s="89" t="str">
        <f t="shared" si="28"/>
        <v>4007/4008</v>
      </c>
      <c r="L90" s="21" t="str">
        <f>VLOOKUP(A90,'Trips&amp;Operators'!$C$1:$G$99999,5,FALSE)</f>
        <v>ROMERO CHAD</v>
      </c>
      <c r="M90" s="6">
        <f t="shared" si="29"/>
        <v>2.4699074077943806E-2</v>
      </c>
      <c r="N90" s="7">
        <f t="shared" si="44"/>
        <v>35.56666667223908</v>
      </c>
      <c r="O90" s="7"/>
      <c r="P90" s="7"/>
      <c r="Q90" s="22"/>
      <c r="R90" s="170"/>
      <c r="S90" s="213">
        <f t="shared" si="45"/>
        <v>1</v>
      </c>
      <c r="T90" s="195" t="str">
        <f t="shared" si="30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-07-05T12:08:33-0600',mode:absolute,to:'2017-07-05T14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0" s="197" t="str">
        <f>IF(AA90&lt;VLOOKUP(AG90,Variables!$AC$3:$AD$8,2,FALSE),"Y","N")</f>
        <v>N</v>
      </c>
      <c r="X90" s="197">
        <f t="shared" ref="X90:X92" si="46">VALUE(LEFT(AD90,4))-VALUE(LEFT(AD89,4))</f>
        <v>1</v>
      </c>
      <c r="Y90" s="197">
        <f t="shared" si="32"/>
        <v>0.10780000000000001</v>
      </c>
      <c r="Z90" s="197">
        <f t="shared" si="33"/>
        <v>23.340199999999999</v>
      </c>
      <c r="AA90" s="197">
        <f t="shared" si="34"/>
        <v>23.232399999999998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177</v>
      </c>
      <c r="AE90" s="77" t="str">
        <f t="shared" si="36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90" s="74" t="str">
        <f t="shared" si="37"/>
        <v>"C:\Program Files (x86)\AstroGrep\AstroGrep.exe" /e /r /s /spath="%USERPROFILE%\AppData\Local\Temp\OnboardLogs" /stypes="app*4008*20170705*" /stext=" 19:.+((SYSTEM_STATE.+slice.+state.+changed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177-05 --locoid 4008 --swversion DE.1.0.9.0 --startMP 204:1078 --initTime 2017-07-05T13:08:33 --startdatetime 2017-07-05T13:15:44 --delay 7 --endMP 204:233402 --enddatetime 2017-07-05T13:51:18 --enforcementcount 0 &gt;&gt;C:\Users\stu\Documents\GitHub\eaglep3-reporting\EC\2017-07-05-refined-times.txt</v>
      </c>
      <c r="AI90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{"issue":{"subject":"","project_id":79,"tracker_id":40,"status_id":1,"priority_id":2,"assigned_to_id":23,"start_date":"2017-07-05","description":"","custom_fields":[{"id":1,"name":"Subdivision","value":"EC"},{"id":4,"name":"Milepost","value":"23.3402"},{"id":17,"name":"Train ID","value":"177-05"},{"id":16,"name":"Locomotive ID","value":"4008"},{"id":130,"name":"Impact","value":""},{"id":150,"name":"Time of Event (Mountain Time)","value":"13:51:18"},{"id":151,"name":"Denver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4008 --day 2017-07-05</v>
      </c>
      <c r="AN90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742</v>
      </c>
      <c r="B91" s="7">
        <v>4007</v>
      </c>
      <c r="C91" s="21" t="s">
        <v>202</v>
      </c>
      <c r="D91" s="21" t="s">
        <v>863</v>
      </c>
      <c r="E91" s="13">
        <v>42921.578414351854</v>
      </c>
      <c r="F91" s="13">
        <v>42921.591967592591</v>
      </c>
      <c r="G91" s="7">
        <v>1</v>
      </c>
      <c r="H91" s="21" t="s">
        <v>858</v>
      </c>
      <c r="I91" s="13">
        <v>42921.617766203701</v>
      </c>
      <c r="J91" s="7">
        <v>0</v>
      </c>
      <c r="K91" s="89" t="str">
        <f t="shared" si="28"/>
        <v>4007/4008</v>
      </c>
      <c r="L91" s="21" t="str">
        <f>VLOOKUP(A91,'Trips&amp;Operators'!$C$1:$G$99999,5,FALSE)</f>
        <v>ROMERO CHAD</v>
      </c>
      <c r="M91" s="6">
        <f t="shared" si="29"/>
        <v>2.5798611110076308E-2</v>
      </c>
      <c r="N91" s="7">
        <f t="shared" si="44"/>
        <v>37.149999998509884</v>
      </c>
      <c r="O91" s="7"/>
      <c r="P91" s="7"/>
      <c r="Q91" s="22"/>
      <c r="R91" s="170"/>
      <c r="S91" s="213">
        <f t="shared" si="45"/>
        <v>1</v>
      </c>
      <c r="T91" s="195" t="str">
        <f t="shared" si="30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-07-05T12:52:55-0600',mode:absolute,to:'2017-07-05T15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197" t="str">
        <f>IF(AA91&lt;VLOOKUP(AG91,Variables!$AC$3:$AD$8,2,FALSE),"Y","N")</f>
        <v>N</v>
      </c>
      <c r="X91" s="197">
        <f t="shared" si="46"/>
        <v>1</v>
      </c>
      <c r="Y91" s="197">
        <f t="shared" si="32"/>
        <v>23.3096</v>
      </c>
      <c r="Z91" s="197">
        <f t="shared" si="33"/>
        <v>1.29E-2</v>
      </c>
      <c r="AA91" s="197">
        <f t="shared" si="34"/>
        <v>23.296700000000001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178</v>
      </c>
      <c r="AE91" s="77" t="str">
        <f t="shared" si="36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91" s="74" t="str">
        <f t="shared" si="37"/>
        <v>"C:\Program Files (x86)\AstroGrep\AstroGrep.exe" /e /r /s /spath="%USERPROFILE%\AppData\Local\Temp\OnboardLogs" /stypes="app*4007*20170705*"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178-05 --locoid 4007 --swversion DE.1.0.9.0 --startMP 204:233096 --initTime 2017-07-05T13:52:55 --startdatetime 2017-07-05T14:12:26 --delay 1 --endMP 204:129 --enddatetime 2017-07-05T14:49:35 --enforcementcount 0 &gt;&gt;C:\Users\stu\Documents\GitHub\eaglep3-reporting\EC\2017-07-05-refined-times.txt</v>
      </c>
      <c r="AI91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{"issue":{"subject":"","project_id":79,"tracker_id":40,"status_id":1,"priority_id":2,"assigned_to_id":23,"start_date":"2017-07-05","description":"","custom_fields":[{"id":1,"name":"Subdivision","value":"EC"},{"id":4,"name":"Milepost","value":"0.0129"},{"id":17,"name":"Train ID","value":"178-05"},{"id":16,"name":"Locomotive ID","value":"4007"},{"id":130,"name":"Impact","value":""},{"id":150,"name":"Time of Event (Mountain Time)","value":"14:49:35"},{"id":151,"name":"Denver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1"/>
        <v>start /low /b %USERPROFILE%\Documents\GitHub\eaglep3\Utilities\DownloadLogsFromS3.py --loco 4007 --day 2017-07-05</v>
      </c>
      <c r="AN91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740</v>
      </c>
      <c r="B92" s="7">
        <v>4054</v>
      </c>
      <c r="C92" s="21" t="s">
        <v>202</v>
      </c>
      <c r="D92" s="21" t="s">
        <v>351</v>
      </c>
      <c r="E92" s="13">
        <v>42921.56145833333</v>
      </c>
      <c r="F92" s="13">
        <v>42921.563333333332</v>
      </c>
      <c r="G92" s="7">
        <v>1</v>
      </c>
      <c r="H92" s="21" t="s">
        <v>864</v>
      </c>
      <c r="I92" s="13">
        <v>42921.589606481481</v>
      </c>
      <c r="J92" s="7">
        <v>0</v>
      </c>
      <c r="K92" s="89" t="str">
        <f t="shared" si="28"/>
        <v>4053/4054</v>
      </c>
      <c r="L92" s="21" t="str">
        <f>VLOOKUP(A92,'Trips&amp;Operators'!$C$1:$G$99999,5,FALSE)</f>
        <v>HUFFSMITH MONTY</v>
      </c>
      <c r="M92" s="6">
        <f t="shared" si="29"/>
        <v>2.6273148148902692E-2</v>
      </c>
      <c r="N92" s="7">
        <f t="shared" si="44"/>
        <v>37.833333334419876</v>
      </c>
      <c r="O92" s="7"/>
      <c r="P92" s="7"/>
      <c r="Q92" s="22"/>
      <c r="R92" s="170"/>
      <c r="S92" s="213">
        <f t="shared" si="45"/>
        <v>1</v>
      </c>
      <c r="T92" s="195" t="str">
        <f t="shared" si="30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-07-05T12:28:30-0600',mode:absolute,to:'2017-07-05T15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97" t="str">
        <f>IF(AA92&lt;VLOOKUP(AG92,Variables!$AC$3:$AD$8,2,FALSE),"Y","N")</f>
        <v>N</v>
      </c>
      <c r="X92" s="197">
        <f t="shared" si="46"/>
        <v>1</v>
      </c>
      <c r="Y92" s="197">
        <f t="shared" si="32"/>
        <v>4.5100000000000001E-2</v>
      </c>
      <c r="Z92" s="197">
        <f t="shared" si="33"/>
        <v>23.332599999999999</v>
      </c>
      <c r="AA92" s="197">
        <f t="shared" si="34"/>
        <v>23.287499999999998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179</v>
      </c>
      <c r="AE92" s="77" t="str">
        <f t="shared" si="36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92" s="74" t="str">
        <f t="shared" si="37"/>
        <v>"C:\Program Files (x86)\AstroGrep\AstroGrep.exe" /e /r /s /spath="%USERPROFILE%\AppData\Local\Temp\OnboardLogs" /stypes="app*4054*20170705*"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179-05 --locoid 4054 --swversion DE.1.0.9.0 --startMP 204:451 --initTime 2017-07-05T13:28:30 --startdatetime 2017-07-05T13:31:12 --delay 1 --endMP 204:233326 --enddatetime 2017-07-05T14:09:02 --enforcementcount 0 &gt;&gt;C:\Users\stu\Documents\GitHub\eaglep3-reporting\EC\2017-07-05-refined-times.txt</v>
      </c>
      <c r="AI92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{"issue":{"subject":"","project_id":79,"tracker_id":40,"status_id":1,"priority_id":2,"assigned_to_id":23,"start_date":"2017-07-05","description":"","custom_fields":[{"id":1,"name":"Subdivision","value":"EC"},{"id":4,"name":"Milepost","value":"23.3326"},{"id":17,"name":"Train ID","value":"179-05"},{"id":16,"name":"Locomotive ID","value":"4054"},{"id":130,"name":"Impact","value":""},{"id":150,"name":"Time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1"/>
        <v>start /low /b %USERPROFILE%\Documents\GitHub\eaglep3\Utilities\DownloadLogsFromS3.py --loco 4054 --day 2017-07-05</v>
      </c>
      <c r="AN92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745</v>
      </c>
      <c r="B93" s="7">
        <v>4053</v>
      </c>
      <c r="C93" s="21" t="s">
        <v>202</v>
      </c>
      <c r="D93" s="21" t="s">
        <v>556</v>
      </c>
      <c r="E93" s="13">
        <v>42921.591284722221</v>
      </c>
      <c r="F93" s="13">
        <v>42921.602326388886</v>
      </c>
      <c r="G93" s="7">
        <v>1</v>
      </c>
      <c r="H93" s="21" t="s">
        <v>358</v>
      </c>
      <c r="I93" s="13">
        <v>42921.631053240744</v>
      </c>
      <c r="J93" s="7">
        <v>0</v>
      </c>
      <c r="K93" s="89" t="str">
        <f t="shared" si="28"/>
        <v>4053/4054</v>
      </c>
      <c r="L93" s="21" t="str">
        <f>VLOOKUP(A93,'Trips&amp;Operators'!$C$1:$G$99999,5,FALSE)</f>
        <v>HUFFSMITH MONTY</v>
      </c>
      <c r="M93" s="6">
        <f t="shared" si="29"/>
        <v>2.8726851858664304E-2</v>
      </c>
      <c r="N93" s="7">
        <f t="shared" si="44"/>
        <v>41.366666676476598</v>
      </c>
      <c r="O93" s="7"/>
      <c r="P93" s="7"/>
      <c r="Q93" s="22"/>
      <c r="R93" s="170"/>
      <c r="S93" s="213">
        <f t="shared" si="45"/>
        <v>1</v>
      </c>
      <c r="T93" s="195" t="str">
        <f t="shared" si="30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-07-05T13:11:27-0600',mode:absolute,to:'2017-07-05T16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197" t="str">
        <f>IF(AA93&lt;VLOOKUP(AG93,Variables!$AC$3:$AD$8,2,FALSE),"Y","N")</f>
        <v>N</v>
      </c>
      <c r="X93" s="197">
        <f t="shared" ref="X93:X108" si="47">VALUE(LEFT(AD93,4))-VALUE(LEFT(AD92,4))</f>
        <v>1</v>
      </c>
      <c r="Y93" s="197">
        <f t="shared" si="32"/>
        <v>23.305299999999999</v>
      </c>
      <c r="Z93" s="197">
        <f t="shared" si="33"/>
        <v>1.47E-2</v>
      </c>
      <c r="AA93" s="197">
        <f t="shared" si="34"/>
        <v>23.290599999999998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180</v>
      </c>
      <c r="AE93" s="77" t="str">
        <f t="shared" si="36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93" s="74" t="str">
        <f t="shared" si="37"/>
        <v>"C:\Program Files (x86)\AstroGrep\AstroGrep.exe" /e /r /s /spath="%USERPROFILE%\AppData\Local\Temp\OnboardLogs" /stypes="app*4053*20170705*" /stext=" 21:.+((SYSTEM_STATE.+slice.+state.+changed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180-05 --locoid 4053 --swversion DE.1.0.9.0 --startMP 204:233053 --initTime 2017-07-05T14:11:27 --startdatetime 2017-07-05T14:27:21 --delay 1 --endMP 204:147 --enddatetime 2017-07-05T15:08:43 --enforcementcount 0 &gt;&gt;C:\Users\stu\Documents\GitHub\eaglep3-reporting\EC\2017-07-05-refined-times.txt</v>
      </c>
      <c r="AI93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{"issue":{"subject":"","project_id":79,"tracker_id":40,"status_id":1,"priority_id":2,"assigned_to_id":23,"start_date":"2017-07-05","description":"","custom_fields":[{"id":1,"name":"Subdivision","value":"EC"},{"id":4,"name":"Milepost","value":"0.0147"},{"id":17,"name":"Train ID","value":"180-05"},{"id":16,"name":"Locomotive ID","value":"4053"},{"id":130,"name":"Impact","value":""},{"id":150,"name":"Time of Event (Mountain Time)","value":"15:08:43"},{"id":151,"name":"Denver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1"/>
        <v>start /low /b %USERPROFILE%\Documents\GitHub\eaglep3\Utilities\DownloadLogsFromS3.py --loco 4053 --day 2017-07-05</v>
      </c>
      <c r="AN93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</row>
    <row r="94" spans="1:91" s="20" customFormat="1" x14ac:dyDescent="0.25">
      <c r="A94" s="32" t="s">
        <v>607</v>
      </c>
      <c r="B94" s="7">
        <v>4062</v>
      </c>
      <c r="C94" s="21" t="s">
        <v>202</v>
      </c>
      <c r="D94" s="21" t="s">
        <v>409</v>
      </c>
      <c r="E94" s="13">
        <v>42921.571666666663</v>
      </c>
      <c r="F94" s="13">
        <v>42921.573518518519</v>
      </c>
      <c r="G94" s="7">
        <v>1</v>
      </c>
      <c r="H94" s="21" t="s">
        <v>865</v>
      </c>
      <c r="I94" s="13">
        <v>42921.598113425927</v>
      </c>
      <c r="J94" s="7">
        <v>0</v>
      </c>
      <c r="K94" s="89" t="str">
        <f t="shared" si="28"/>
        <v>4061/4062</v>
      </c>
      <c r="L94" s="21" t="str">
        <f>VLOOKUP(A94,'Trips&amp;Operators'!$C$1:$G$99999,5,FALSE)</f>
        <v>LEVIN SCOTT</v>
      </c>
      <c r="M94" s="6">
        <f t="shared" si="29"/>
        <v>2.4594907408754807E-2</v>
      </c>
      <c r="N94" s="7">
        <f t="shared" si="44"/>
        <v>35.416666668606922</v>
      </c>
      <c r="O94" s="7"/>
      <c r="P94" s="7"/>
      <c r="Q94" s="22"/>
      <c r="R94" s="170"/>
      <c r="S94" s="213">
        <f t="shared" si="45"/>
        <v>1</v>
      </c>
      <c r="T94" s="195" t="str">
        <f t="shared" si="30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-07-05T12:43:12-0600',mode:absolute,to:'2017-07-05T15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4" s="197" t="str">
        <f>IF(AA94&lt;VLOOKUP(AG94,Variables!$AC$3:$AD$8,2,FALSE),"Y","N")</f>
        <v>N</v>
      </c>
      <c r="X94" s="197">
        <f t="shared" si="47"/>
        <v>1</v>
      </c>
      <c r="Y94" s="197">
        <f t="shared" si="32"/>
        <v>4.4200000000000003E-2</v>
      </c>
      <c r="Z94" s="197">
        <f t="shared" si="33"/>
        <v>23.339099999999998</v>
      </c>
      <c r="AA94" s="197">
        <f t="shared" si="34"/>
        <v>23.294899999999998</v>
      </c>
      <c r="AB94" s="54" t="str">
        <f>VLOOKUP(A94,Enforcements!$C$7:$K$13,8,0)</f>
        <v>Bulletin (2)</v>
      </c>
      <c r="AC94" s="51" t="str">
        <f>VLOOKUP(A94,Enforcements!$C$7:$E$13,3,0)</f>
        <v>GRADE CROSSING</v>
      </c>
      <c r="AD94" s="206">
        <f t="shared" si="35"/>
        <v>181</v>
      </c>
      <c r="AE94" s="77" t="str">
        <f t="shared" si="36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94" s="74" t="str">
        <f t="shared" si="37"/>
        <v>"C:\Program Files (x86)\AstroGrep\AstroGrep.exe" /e /r /s /spath="%USERPROFILE%\AppData\Local\Temp\OnboardLogs" /stypes="app*4062*20170705*" /stext=" 20:.+((SYSTEM_STATE.+slice.+state.+changed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181-05 --locoid 4062 --swversion DE.1.0.9.0 --startMP 204:442 --initTime 2017-07-05T13:43:12 --startdatetime 2017-07-05T13:45:52 --delay 1 --endMP 204:233391 --enddatetime 2017-07-05T14:21:17 --enforcementcount 0 &gt;&gt;C:\Users\stu\Documents\GitHub\eaglep3-reporting\EC\2017-07-05-refined-times.txt</v>
      </c>
      <c r="AI94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{"issue":{"subject":"","project_id":79,"tracker_id":40,"status_id":1,"priority_id":2,"assigned_to_id":23,"start_date":"2017-07-05","description":"","custom_fields":[{"id":1,"name":"Subdivision","value":"EC"},{"id":4,"name":"Milepost","value":"23.3391"},{"id":17,"name":"Train ID","value":"181-05"},{"id":16,"name":"Locomotive ID","value":"4062"},{"id":130,"name":"Impact","value":""},{"id":150,"name":"Time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4062 --day 2017-07-05</v>
      </c>
      <c r="AN94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747</v>
      </c>
      <c r="B95" s="7">
        <v>4061</v>
      </c>
      <c r="C95" s="21" t="s">
        <v>202</v>
      </c>
      <c r="D95" s="21" t="s">
        <v>866</v>
      </c>
      <c r="E95" s="13">
        <v>42921.608553240738</v>
      </c>
      <c r="F95" s="13">
        <v>42921.612766203703</v>
      </c>
      <c r="G95" s="7">
        <v>1</v>
      </c>
      <c r="H95" s="21" t="s">
        <v>867</v>
      </c>
      <c r="I95" s="13">
        <v>42921.642175925925</v>
      </c>
      <c r="J95" s="7">
        <v>0</v>
      </c>
      <c r="K95" s="89" t="str">
        <f t="shared" si="28"/>
        <v>4061/4062</v>
      </c>
      <c r="L95" s="21" t="str">
        <f>VLOOKUP(A95,'Trips&amp;Operators'!$C$1:$G$99999,5,FALSE)</f>
        <v>LEVIN SCOTT</v>
      </c>
      <c r="M95" s="6">
        <f t="shared" si="29"/>
        <v>2.940972222131677E-2</v>
      </c>
      <c r="N95" s="7">
        <f t="shared" si="44"/>
        <v>42.349999998696148</v>
      </c>
      <c r="O95" s="7"/>
      <c r="P95" s="7"/>
      <c r="Q95" s="22"/>
      <c r="R95" s="170"/>
      <c r="S95" s="213">
        <f t="shared" si="45"/>
        <v>1</v>
      </c>
      <c r="T95" s="195" t="str">
        <f t="shared" si="30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-07-05T13:36:19-0600',mode:absolute,to:'2017-07-05T16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5" s="197" t="str">
        <f>IF(AA95&lt;VLOOKUP(AG95,Variables!$AC$3:$AD$8,2,FALSE),"Y","N")</f>
        <v>N</v>
      </c>
      <c r="X95" s="197">
        <f t="shared" si="47"/>
        <v>1</v>
      </c>
      <c r="Y95" s="197">
        <f t="shared" si="32"/>
        <v>23.31</v>
      </c>
      <c r="Z95" s="197">
        <f t="shared" si="33"/>
        <v>1.21E-2</v>
      </c>
      <c r="AA95" s="197">
        <f t="shared" si="34"/>
        <v>23.297899999999998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182</v>
      </c>
      <c r="AE95" s="77" t="str">
        <f t="shared" si="36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95" s="74" t="str">
        <f t="shared" si="37"/>
        <v>"C:\Program Files (x86)\AstroGrep\AstroGrep.exe" /e /r /s /spath="%USERPROFILE%\AppData\Local\Temp\OnboardLogs" /stypes="app*4061*20170705*" /stext=" 21:.+((SYSTEM_STATE.+slice.+state.+changed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182-05 --locoid 4061 --swversion DE.1.0.9.0 --startMP 204:233100 --initTime 2017-07-05T14:36:19 --startdatetime 2017-07-05T14:42:23 --delay 1 --endMP 204:121 --enddatetime 2017-07-05T15:24:44 --enforcementcount 0 &gt;&gt;C:\Users\stu\Documents\GitHub\eaglep3-reporting\EC\2017-07-05-refined-times.txt</v>
      </c>
      <c r="AI95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{"issue":{"subject":"","project_id":79,"tracker_id":40,"status_id":1,"priority_id":2,"assigned_to_id":23,"start_date":"2017-07-05","description":"","custom_fields":[{"id":1,"name":"Subdivision","value":"EC"},{"id":4,"name":"Milepost","value":"0.0121"},{"id":17,"name":"Train ID","value":"182-05"},{"id":16,"name":"Locomotive ID","value":"4061"},{"id":130,"name":"Impact","value":""},{"id":150,"name":"Time of Event (Mountain Time)","value":"15:24:44"},{"id":151,"name":"Denver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4061 --day 2017-07-05</v>
      </c>
      <c r="AN95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743</v>
      </c>
      <c r="B96" s="7">
        <v>4056</v>
      </c>
      <c r="C96" s="21" t="s">
        <v>202</v>
      </c>
      <c r="D96" s="21" t="s">
        <v>438</v>
      </c>
      <c r="E96" s="13">
        <v>42921.58116898148</v>
      </c>
      <c r="F96" s="13">
        <v>42921.58384259259</v>
      </c>
      <c r="G96" s="7">
        <v>2</v>
      </c>
      <c r="H96" s="21" t="s">
        <v>868</v>
      </c>
      <c r="I96" s="13">
        <v>42921.60974537037</v>
      </c>
      <c r="J96" s="7">
        <v>0</v>
      </c>
      <c r="K96" s="89" t="str">
        <f t="shared" si="28"/>
        <v>4055/4056</v>
      </c>
      <c r="L96" s="21" t="str">
        <f>VLOOKUP(A96,'Trips&amp;Operators'!$C$1:$G$99999,5,FALSE)</f>
        <v>RESPASS AARON</v>
      </c>
      <c r="M96" s="6">
        <f t="shared" si="29"/>
        <v>2.5902777779265307E-2</v>
      </c>
      <c r="N96" s="7">
        <f t="shared" si="44"/>
        <v>37.300000002142042</v>
      </c>
      <c r="O96" s="7"/>
      <c r="P96" s="7"/>
      <c r="Q96" s="22"/>
      <c r="R96" s="170"/>
      <c r="S96" s="213">
        <f t="shared" si="45"/>
        <v>1</v>
      </c>
      <c r="T96" s="195" t="str">
        <f t="shared" si="30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-07-05T12:56:53-0600',mode:absolute,to:'2017-07-05T15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197" t="str">
        <f>IF(AA96&lt;VLOOKUP(AG96,Variables!$AC$3:$AD$8,2,FALSE),"Y","N")</f>
        <v>N</v>
      </c>
      <c r="X96" s="197">
        <f t="shared" si="47"/>
        <v>1</v>
      </c>
      <c r="Y96" s="197">
        <f t="shared" si="32"/>
        <v>4.3999999999999997E-2</v>
      </c>
      <c r="Z96" s="197">
        <f t="shared" si="33"/>
        <v>23.337</v>
      </c>
      <c r="AA96" s="197">
        <f t="shared" si="34"/>
        <v>23.292999999999999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183</v>
      </c>
      <c r="AE96" s="77" t="str">
        <f t="shared" si="36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96" s="74" t="str">
        <f t="shared" si="37"/>
        <v>"C:\Program Files (x86)\AstroGrep\AstroGrep.exe" /e /r /s /spath="%USERPROFILE%\AppData\Local\Temp\OnboardLogs" /stypes="app*4056*20170705*" /stext=" 20:.+((SYSTEM_STATE.+slice.+state.+changed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183-05 --locoid 4056 --swversion DE.1.0.9.0 --startMP 204:440 --initTime 2017-07-05T13:56:53 --startdatetime 2017-07-05T14:00:44 --delay 2 --endMP 204:233370 --enddatetime 2017-07-05T14:38:02 --enforcementcount 0 &gt;&gt;C:\Users\stu\Documents\GitHub\eaglep3-reporting\EC\2017-07-05-refined-times.txt</v>
      </c>
      <c r="AI96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{"issue":{"subject":"","project_id":79,"tracker_id":40,"status_id":1,"priority_id":2,"assigned_to_id":23,"start_date":"2017-07-05","description":"","custom_fields":[{"id":1,"name":"Subdivision","value":"EC"},{"id":4,"name":"Milepost","value":"23.337"},{"id":17,"name":"Train ID","value":"183-05"},{"id":16,"name":"Locomotive ID","value":"4056"},{"id":130,"name":"Impact","value":""},{"id":150,"name":"Time of Event (Mountain Time)","value":"14:38:02"},{"id":151,"name":"Denver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4056 --day 2017-07-05</v>
      </c>
      <c r="AN96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749</v>
      </c>
      <c r="B97" s="7">
        <v>4055</v>
      </c>
      <c r="C97" s="21" t="s">
        <v>202</v>
      </c>
      <c r="D97" s="21" t="s">
        <v>556</v>
      </c>
      <c r="E97" s="13">
        <v>42921.611284722225</v>
      </c>
      <c r="F97" s="13">
        <v>42921.623090277775</v>
      </c>
      <c r="G97" s="7">
        <v>1</v>
      </c>
      <c r="H97" s="21" t="s">
        <v>385</v>
      </c>
      <c r="I97" s="13">
        <v>42921.651747685188</v>
      </c>
      <c r="J97" s="7">
        <v>0</v>
      </c>
      <c r="K97" s="89" t="str">
        <f t="shared" si="28"/>
        <v>4055/4056</v>
      </c>
      <c r="L97" s="21" t="str">
        <f>VLOOKUP(A97,'Trips&amp;Operators'!$C$1:$G$99999,5,FALSE)</f>
        <v>RESPASS AARON</v>
      </c>
      <c r="M97" s="6">
        <f t="shared" si="29"/>
        <v>2.8657407412538305E-2</v>
      </c>
      <c r="N97" s="7">
        <f t="shared" si="44"/>
        <v>41.266666674055159</v>
      </c>
      <c r="O97" s="7"/>
      <c r="P97" s="7"/>
      <c r="Q97" s="22"/>
      <c r="R97" s="170"/>
      <c r="S97" s="213">
        <f t="shared" si="45"/>
        <v>1</v>
      </c>
      <c r="T97" s="195" t="str">
        <f t="shared" si="30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-07-05T13:40:15-0600',mode:absolute,to:'2017-07-05T16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7" s="197" t="str">
        <f>IF(AA97&lt;VLOOKUP(AG97,Variables!$AC$3:$AD$8,2,FALSE),"Y","N")</f>
        <v>N</v>
      </c>
      <c r="X97" s="197">
        <f t="shared" si="47"/>
        <v>1</v>
      </c>
      <c r="Y97" s="197">
        <f t="shared" si="32"/>
        <v>23.305299999999999</v>
      </c>
      <c r="Z97" s="197">
        <f t="shared" si="33"/>
        <v>1.54E-2</v>
      </c>
      <c r="AA97" s="197">
        <f t="shared" si="34"/>
        <v>23.289899999999999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184</v>
      </c>
      <c r="AE97" s="77" t="str">
        <f t="shared" si="36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97" s="74" t="str">
        <f t="shared" si="37"/>
        <v>"C:\Program Files (x86)\AstroGrep\AstroGrep.exe" /e /r /s /spath="%USERPROFILE%\AppData\Local\Temp\OnboardLogs" /stypes="app*4055*20170705*" /stext=" 21:.+((SYSTEM_STATE.+slice.+state.+changed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184-05 --locoid 4055 --swversion DE.1.0.9.0 --startMP 204:233053 --initTime 2017-07-05T14:40:15 --startdatetime 2017-07-05T14:57:15 --delay 1 --endMP 204:154 --enddatetime 2017-07-05T15:38:31 --enforcementcount 0 &gt;&gt;C:\Users\stu\Documents\GitHub\eaglep3-reporting\EC\2017-07-05-refined-times.txt</v>
      </c>
      <c r="AI97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{"issue":{"subject":"","project_id":79,"tracker_id":40,"status_id":1,"priority_id":2,"assigned_to_id":23,"start_date":"2017-07-05","description":"","custom_fields":[{"id":1,"name":"Subdivision","value":"EC"},{"id":4,"name":"Milepost","value":"0.0154"},{"id":17,"name":"Train ID","value":"184-05"},{"id":16,"name":"Locomotive ID","value":"4055"},{"id":130,"name":"Impact","value":""},{"id":150,"name":"Time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4055 --day 2017-07-05</v>
      </c>
      <c r="AN97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746</v>
      </c>
      <c r="B98" s="7">
        <v>4018</v>
      </c>
      <c r="C98" s="21" t="s">
        <v>202</v>
      </c>
      <c r="D98" s="21" t="s">
        <v>832</v>
      </c>
      <c r="E98" s="13">
        <v>42921.593032407407</v>
      </c>
      <c r="F98" s="13">
        <v>42921.594641203701</v>
      </c>
      <c r="G98" s="7">
        <v>1</v>
      </c>
      <c r="H98" s="21" t="s">
        <v>436</v>
      </c>
      <c r="I98" s="13">
        <v>42921.622349537036</v>
      </c>
      <c r="J98" s="7">
        <v>0</v>
      </c>
      <c r="K98" s="89" t="str">
        <f t="shared" si="28"/>
        <v>4017/4018</v>
      </c>
      <c r="L98" s="21" t="str">
        <f>VLOOKUP(A98,'Trips&amp;Operators'!$C$1:$G$99999,5,FALSE)</f>
        <v>DAVIS MICHAEL</v>
      </c>
      <c r="M98" s="6">
        <f t="shared" si="29"/>
        <v>2.7708333334885538E-2</v>
      </c>
      <c r="N98" s="7">
        <f t="shared" si="44"/>
        <v>39.900000002235174</v>
      </c>
      <c r="O98" s="7"/>
      <c r="P98" s="7"/>
      <c r="Q98" s="22"/>
      <c r="R98" s="170"/>
      <c r="S98" s="213">
        <f t="shared" si="45"/>
        <v>1</v>
      </c>
      <c r="T98" s="195" t="str">
        <f t="shared" si="30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-07-05T13:13:58-0600',mode:absolute,to:'2017-07-05T15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8" s="197" t="str">
        <f>IF(AA98&lt;VLOOKUP(AG98,Variables!$AC$3:$AD$8,2,FALSE),"Y","N")</f>
        <v>N</v>
      </c>
      <c r="X98" s="197">
        <f t="shared" si="47"/>
        <v>1</v>
      </c>
      <c r="Y98" s="197">
        <f t="shared" si="32"/>
        <v>4.7699999999999999E-2</v>
      </c>
      <c r="Z98" s="197">
        <f t="shared" si="33"/>
        <v>23.331199999999999</v>
      </c>
      <c r="AA98" s="197">
        <f t="shared" si="34"/>
        <v>23.2835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185</v>
      </c>
      <c r="AE98" s="77" t="str">
        <f t="shared" si="36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98" s="74" t="str">
        <f t="shared" si="37"/>
        <v>"C:\Program Files (x86)\AstroGrep\AstroGrep.exe" /e /r /s /spath="%USERPROFILE%\AppData\Local\Temp\OnboardLogs" /stypes="app*4018*20170705*" /stext=" 20:.+((SYSTEM_STATE.+slice.+state.+changed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185-05 --locoid 4018 --swversion DE.1.0.9.0 --startMP 204:477 --initTime 2017-07-05T14:13:58 --startdatetime 2017-07-05T14:16:17 --delay 1 --endMP 204:233312 --enddatetime 2017-07-05T14:56:11 --enforcementcount 0 &gt;&gt;C:\Users\stu\Documents\GitHub\eaglep3-reporting\EC\2017-07-05-refined-times.txt</v>
      </c>
      <c r="AI9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{"issue":{"subject":"","project_id":79,"tracker_id":40,"status_id":1,"priority_id":2,"assigned_to_id":23,"start_date":"2017-07-05","description":"","custom_fields":[{"id":1,"name":"Subdivision","value":"EC"},{"id":4,"name":"Milepost","value":"23.3312"},{"id":17,"name":"Train ID","value":"185-05"},{"id":16,"name":"Locomotive ID","value":"4018"},{"id":130,"name":"Impact","value":""},{"id":150,"name":"Time of Event (Mountain Time)","value":"14:56:11"},{"id":151,"name":"Denver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4018 --day 2017-07-05</v>
      </c>
      <c r="AN98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752</v>
      </c>
      <c r="B99" s="7">
        <v>4017</v>
      </c>
      <c r="C99" s="21" t="s">
        <v>202</v>
      </c>
      <c r="D99" s="21" t="s">
        <v>869</v>
      </c>
      <c r="E99" s="13">
        <v>42921.631030092591</v>
      </c>
      <c r="F99" s="13">
        <v>42921.633726851855</v>
      </c>
      <c r="G99" s="7">
        <v>1</v>
      </c>
      <c r="H99" s="21" t="s">
        <v>355</v>
      </c>
      <c r="I99" s="13">
        <v>42921.662754629629</v>
      </c>
      <c r="J99" s="7">
        <v>0</v>
      </c>
      <c r="K99" s="89" t="str">
        <f t="shared" si="28"/>
        <v>4017/4018</v>
      </c>
      <c r="L99" s="21" t="str">
        <f>VLOOKUP(A99,'Trips&amp;Operators'!$C$1:$G$99999,5,FALSE)</f>
        <v>DAVIS MICHAEL</v>
      </c>
      <c r="M99" s="6">
        <f t="shared" si="29"/>
        <v>2.9027777774899732E-2</v>
      </c>
      <c r="N99" s="7">
        <f t="shared" si="44"/>
        <v>41.799999995855615</v>
      </c>
      <c r="O99" s="7"/>
      <c r="P99" s="7"/>
      <c r="Q99" s="22"/>
      <c r="R99" s="170"/>
      <c r="S99" s="213">
        <f t="shared" si="45"/>
        <v>1</v>
      </c>
      <c r="T99" s="195" t="str">
        <f t="shared" si="30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-07-05T14:08:41-0600',mode:absolute,to:'2017-07-05T16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9" s="197" t="str">
        <f>IF(AA99&lt;VLOOKUP(AG99,Variables!$AC$3:$AD$8,2,FALSE),"Y","N")</f>
        <v>N</v>
      </c>
      <c r="X99" s="197">
        <f t="shared" si="47"/>
        <v>1</v>
      </c>
      <c r="Y99" s="197">
        <f t="shared" si="32"/>
        <v>23.300599999999999</v>
      </c>
      <c r="Z99" s="197">
        <f t="shared" si="33"/>
        <v>1.3899999999999999E-2</v>
      </c>
      <c r="AA99" s="197">
        <f t="shared" si="34"/>
        <v>23.2867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186</v>
      </c>
      <c r="AE99" s="77" t="str">
        <f t="shared" si="36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99" s="74" t="str">
        <f t="shared" si="37"/>
        <v>"C:\Program Files (x86)\AstroGrep\AstroGrep.exe" /e /r /s /spath="%USERPROFILE%\AppData\Local\Temp\OnboardLogs" /stypes="app*4017*20170705*" /stext=" 21:.+((SYSTEM_STATE.+slice.+state.+changed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186-05 --locoid 4017 --swversion DE.1.0.9.0 --startMP 204:233006 --initTime 2017-07-05T15:08:41 --startdatetime 2017-07-05T15:12:34 --delay 1 --endMP 204:139 --enddatetime 2017-07-05T15:54:22 --enforcementcount 0 &gt;&gt;C:\Users\stu\Documents\GitHub\eaglep3-reporting\EC\2017-07-05-refined-times.txt</v>
      </c>
      <c r="AI99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{"issue":{"subject":"","project_id":79,"tracker_id":40,"status_id":1,"priority_id":2,"assigned_to_id":23,"start_date":"2017-07-05","description":"","custom_fields":[{"id":1,"name":"Subdivision","value":"EC"},{"id":4,"name":"Milepost","value":"0.0139"},{"id":17,"name":"Train ID","value":"186-05"},{"id":16,"name":"Locomotive ID","value":"4017"},{"id":130,"name":"Impact","value":""},{"id":150,"name":"Time of Event (Mountain Time)","value":"15:54:22"},{"id":151,"name":"Denver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4017 --day 2017-07-05</v>
      </c>
      <c r="AN99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610</v>
      </c>
      <c r="B100" s="7">
        <v>4014</v>
      </c>
      <c r="C100" s="21" t="s">
        <v>202</v>
      </c>
      <c r="D100" s="21" t="s">
        <v>831</v>
      </c>
      <c r="E100" s="13">
        <v>42921.601782407408</v>
      </c>
      <c r="F100" s="13">
        <v>42921.60496527778</v>
      </c>
      <c r="G100" s="7">
        <v>1</v>
      </c>
      <c r="H100" s="21" t="s">
        <v>870</v>
      </c>
      <c r="I100" s="13">
        <v>42921.631331018521</v>
      </c>
      <c r="J100" s="7">
        <v>0</v>
      </c>
      <c r="K100" s="89" t="str">
        <f t="shared" si="28"/>
        <v>4013/4014</v>
      </c>
      <c r="L100" s="21" t="str">
        <f>VLOOKUP(A100,'Trips&amp;Operators'!$C$1:$G$99999,5,FALSE)</f>
        <v>MOSES BRADLEY</v>
      </c>
      <c r="M100" s="6">
        <f t="shared" si="29"/>
        <v>2.6365740741312038E-2</v>
      </c>
      <c r="N100" s="7">
        <f t="shared" si="44"/>
        <v>37.966666667489335</v>
      </c>
      <c r="O100" s="7"/>
      <c r="P100" s="7"/>
      <c r="Q100" s="22"/>
      <c r="R100" s="170"/>
      <c r="S100" s="213">
        <f t="shared" si="45"/>
        <v>1</v>
      </c>
      <c r="T100" s="195" t="str">
        <f t="shared" si="30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-07-05T13:26:34-0600',mode:absolute,to:'2017-07-05T16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0" s="197" t="str">
        <f>IF(AA100&lt;VLOOKUP(AG100,Variables!$AC$3:$AD$8,2,FALSE),"Y","N")</f>
        <v>N</v>
      </c>
      <c r="X100" s="197">
        <f t="shared" si="47"/>
        <v>1</v>
      </c>
      <c r="Y100" s="197">
        <f t="shared" si="32"/>
        <v>4.3099999999999999E-2</v>
      </c>
      <c r="Z100" s="197">
        <f t="shared" si="33"/>
        <v>23.333400000000001</v>
      </c>
      <c r="AA100" s="197">
        <f t="shared" si="34"/>
        <v>23.290300000000002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187</v>
      </c>
      <c r="AE100" s="77" t="str">
        <f t="shared" si="36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100" s="74" t="str">
        <f t="shared" si="37"/>
        <v>"C:\Program Files (x86)\AstroGrep\AstroGrep.exe" /e /r /s /spath="%USERPROFILE%\AppData\Local\Temp\OnboardLogs" /stypes="app*4014*20170705*"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187-05 --locoid 4014 --swversion DE.1.0.9.0 --startMP 204:431 --initTime 2017-07-05T14:26:34 --startdatetime 2017-07-05T14:31:09 --delay 1 --endMP 204:233334 --enddatetime 2017-07-05T15:09:07 --enforcementcount 0 &gt;&gt;C:\Users\stu\Documents\GitHub\eaglep3-reporting\EC\2017-07-05-refined-times.txt</v>
      </c>
      <c r="AI100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{"issue":{"subject":"","project_id":79,"tracker_id":40,"status_id":1,"priority_id":2,"assigned_to_id":23,"start_date":"2017-07-05","description":"","custom_fields":[{"id":1,"name":"Subdivision","value":"EC"},{"id":4,"name":"Milepost","value":"23.3334"},{"id":17,"name":"Train ID","value":"187-05"},{"id":16,"name":"Locomotive ID","value":"4014"},{"id":130,"name":"Impact","value":""},{"id":150,"name":"Time of Event (Mountain Time)","value":"15:09:07"},{"id":151,"name":"Denver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4014 --day 2017-07-05</v>
      </c>
      <c r="AN100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754</v>
      </c>
      <c r="B101" s="7">
        <v>4013</v>
      </c>
      <c r="C101" s="21" t="s">
        <v>202</v>
      </c>
      <c r="D101" s="21" t="s">
        <v>474</v>
      </c>
      <c r="E101" s="13">
        <v>42921.639861111114</v>
      </c>
      <c r="F101" s="13">
        <v>42921.644062500003</v>
      </c>
      <c r="G101" s="7">
        <v>1</v>
      </c>
      <c r="H101" s="21" t="s">
        <v>349</v>
      </c>
      <c r="I101" s="13">
        <v>42921.671539351853</v>
      </c>
      <c r="J101" s="7">
        <v>0</v>
      </c>
      <c r="K101" s="89" t="str">
        <f t="shared" si="28"/>
        <v>4013/4014</v>
      </c>
      <c r="L101" s="21" t="str">
        <f>VLOOKUP(A101,'Trips&amp;Operators'!$C$1:$G$99999,5,FALSE)</f>
        <v>MOSES BRADLEY</v>
      </c>
      <c r="M101" s="6">
        <f t="shared" si="29"/>
        <v>2.7476851850224193E-2</v>
      </c>
      <c r="N101" s="7">
        <f t="shared" si="44"/>
        <v>39.566666664322838</v>
      </c>
      <c r="O101" s="7"/>
      <c r="P101" s="7"/>
      <c r="Q101" s="22"/>
      <c r="R101" s="170"/>
      <c r="S101" s="213">
        <f t="shared" si="45"/>
        <v>1</v>
      </c>
      <c r="T101" s="195" t="str">
        <f t="shared" si="30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-07-05T14:21:24-0600',mode:absolute,to:'2017-07-05T17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1" s="197" t="str">
        <f>IF(AA101&lt;VLOOKUP(AG101,Variables!$AC$3:$AD$8,2,FALSE),"Y","N")</f>
        <v>N</v>
      </c>
      <c r="X101" s="197">
        <f t="shared" si="47"/>
        <v>1</v>
      </c>
      <c r="Y101" s="197">
        <f t="shared" si="32"/>
        <v>23.299800000000001</v>
      </c>
      <c r="Z101" s="197">
        <f t="shared" si="33"/>
        <v>1.43E-2</v>
      </c>
      <c r="AA101" s="197">
        <f t="shared" si="34"/>
        <v>23.285500000000003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188</v>
      </c>
      <c r="AE101" s="77" t="str">
        <f t="shared" si="36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101" s="74" t="str">
        <f t="shared" si="37"/>
        <v>"C:\Program Files (x86)\AstroGrep\AstroGrep.exe" /e /r /s /spath="%USERPROFILE%\AppData\Local\Temp\OnboardLogs" /stypes="app*4013*20170705*" /stext=" 22:.+((SYSTEM_STATE.+slice.+state.+changed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188-05 --locoid 4013 --swversion DE.1.0.9.0 --startMP 204:232998 --initTime 2017-07-05T15:21:24 --startdatetime 2017-07-05T15:27:27 --delay 1 --endMP 204:143 --enddatetime 2017-07-05T16:07:01 --enforcementcount 0 &gt;&gt;C:\Users\stu\Documents\GitHub\eaglep3-reporting\EC\2017-07-05-refined-times.txt</v>
      </c>
      <c r="AI101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{"issue":{"subject":"","project_id":79,"tracker_id":40,"status_id":1,"priority_id":2,"assigned_to_id":23,"start_date":"2017-07-05","description":"","custom_fields":[{"id":1,"name":"Subdivision","value":"EC"},{"id":4,"name":"Milepost","value":"0.0143"},{"id":17,"name":"Train ID","value":"188-05"},{"id":16,"name":"Locomotive ID","value":"4013"},{"id":130,"name":"Impact","value":""},{"id":150,"name":"Time of Event (Mountain Time)","value":"16:07:01"},{"id":151,"name":"Denver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4013 --day 2017-07-05</v>
      </c>
      <c r="AN101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750</v>
      </c>
      <c r="B102" s="7">
        <v>4042</v>
      </c>
      <c r="C102" s="21" t="s">
        <v>202</v>
      </c>
      <c r="D102" s="21" t="s">
        <v>351</v>
      </c>
      <c r="E102" s="13">
        <v>42921.612141203703</v>
      </c>
      <c r="F102" s="13">
        <v>42921.615104166667</v>
      </c>
      <c r="G102" s="7">
        <v>1</v>
      </c>
      <c r="H102" s="21" t="s">
        <v>471</v>
      </c>
      <c r="I102" s="13">
        <v>42921.640474537038</v>
      </c>
      <c r="J102" s="7">
        <v>0</v>
      </c>
      <c r="K102" s="89" t="str">
        <f t="shared" si="28"/>
        <v>4041/4042</v>
      </c>
      <c r="L102" s="21" t="str">
        <f>VLOOKUP(A102,'Trips&amp;Operators'!$C$1:$G$99999,5,FALSE)</f>
        <v>STEWART MICHAEL</v>
      </c>
      <c r="M102" s="6">
        <f t="shared" si="29"/>
        <v>2.5370370371092577E-2</v>
      </c>
      <c r="N102" s="7">
        <f t="shared" si="44"/>
        <v>36.53333333437331</v>
      </c>
      <c r="O102" s="7"/>
      <c r="P102" s="7"/>
      <c r="Q102" s="22"/>
      <c r="R102" s="170"/>
      <c r="S102" s="213">
        <f t="shared" si="45"/>
        <v>1</v>
      </c>
      <c r="T102" s="195" t="str">
        <f t="shared" si="30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-07-05T13:41:29-0600',mode:absolute,to:'2017-07-05T16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197" t="str">
        <f>IF(AA102&lt;VLOOKUP(AG102,Variables!$AC$3:$AD$8,2,FALSE),"Y","N")</f>
        <v>N</v>
      </c>
      <c r="X102" s="197">
        <f t="shared" si="47"/>
        <v>1</v>
      </c>
      <c r="Y102" s="197">
        <f t="shared" si="32"/>
        <v>4.5100000000000001E-2</v>
      </c>
      <c r="Z102" s="197">
        <f t="shared" si="33"/>
        <v>23.329699999999999</v>
      </c>
      <c r="AA102" s="197">
        <f t="shared" si="34"/>
        <v>23.284599999999998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189</v>
      </c>
      <c r="AE102" s="77" t="str">
        <f t="shared" si="36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102" s="74" t="str">
        <f t="shared" si="37"/>
        <v>"C:\Program Files (x86)\AstroGrep\AstroGrep.exe" /e /r /s /spath="%USERPROFILE%\AppData\Local\Temp\OnboardLogs" /stypes="app*4042*20170705*"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189-05 --locoid 4042 --swversion DE.1.0.9.0 --startMP 204:451 --initTime 2017-07-05T14:41:29 --startdatetime 2017-07-05T14:45:45 --delay 1 --endMP 204:233297 --enddatetime 2017-07-05T15:22:17 --enforcementcount 0 &gt;&gt;C:\Users\stu\Documents\GitHub\eaglep3-reporting\EC\2017-07-05-refined-times.txt</v>
      </c>
      <c r="AI102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{"issue":{"subject":"","project_id":79,"tracker_id":40,"status_id":1,"priority_id":2,"assigned_to_id":23,"start_date":"2017-07-05","description":"","custom_fields":[{"id":1,"name":"Subdivision","value":"EC"},{"id":4,"name":"Milepost","value":"23.3297"},{"id":17,"name":"Train ID","value":"189-05"},{"id":16,"name":"Locomotive ID","value":"4042"},{"id":130,"name":"Impact","value":""},{"id":150,"name":"Time of Event (Mountain Time)","value":"15:22:17"},{"id":151,"name":"Denver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4042 --day 2017-07-05</v>
      </c>
      <c r="AN102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757</v>
      </c>
      <c r="B103" s="7">
        <v>4041</v>
      </c>
      <c r="C103" s="21" t="s">
        <v>202</v>
      </c>
      <c r="D103" s="21" t="s">
        <v>498</v>
      </c>
      <c r="E103" s="13">
        <v>42921.650648148148</v>
      </c>
      <c r="F103" s="13">
        <v>42921.654618055552</v>
      </c>
      <c r="G103" s="7">
        <v>1</v>
      </c>
      <c r="H103" s="21" t="s">
        <v>355</v>
      </c>
      <c r="I103" s="13">
        <v>42921.682974537034</v>
      </c>
      <c r="J103" s="7">
        <v>0</v>
      </c>
      <c r="K103" s="89" t="str">
        <f t="shared" si="28"/>
        <v>4041/4042</v>
      </c>
      <c r="L103" s="21" t="str">
        <f>VLOOKUP(A103,'Trips&amp;Operators'!$C$1:$G$99999,5,FALSE)</f>
        <v>STEWART MICHAEL</v>
      </c>
      <c r="M103" s="6">
        <f t="shared" si="29"/>
        <v>2.8356481481750961E-2</v>
      </c>
      <c r="N103" s="7">
        <f t="shared" si="44"/>
        <v>40.833333333721384</v>
      </c>
      <c r="O103" s="7"/>
      <c r="P103" s="7"/>
      <c r="Q103" s="22"/>
      <c r="R103" s="170"/>
      <c r="S103" s="213">
        <f t="shared" si="45"/>
        <v>1</v>
      </c>
      <c r="T103" s="195" t="str">
        <f t="shared" si="30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-07-05T14:36:56-0600',mode:absolute,to:'2017-07-05T17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3" s="197" t="str">
        <f>IF(AA103&lt;VLOOKUP(AG103,Variables!$AC$3:$AD$8,2,FALSE),"Y","N")</f>
        <v>N</v>
      </c>
      <c r="X103" s="197">
        <f t="shared" si="47"/>
        <v>1</v>
      </c>
      <c r="Y103" s="197">
        <f t="shared" si="32"/>
        <v>23.2974</v>
      </c>
      <c r="Z103" s="197">
        <f t="shared" si="33"/>
        <v>1.3899999999999999E-2</v>
      </c>
      <c r="AA103" s="197">
        <f t="shared" si="34"/>
        <v>23.2835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190</v>
      </c>
      <c r="AE103" s="77" t="str">
        <f t="shared" si="36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103" s="74" t="str">
        <f t="shared" si="37"/>
        <v>"C:\Program Files (x86)\AstroGrep\AstroGrep.exe" /e /r /s /spath="%USERPROFILE%\AppData\Local\Temp\OnboardLogs" /stypes="app*4041*20170705*" /stext=" 22:.+((SYSTEM_STATE.+slice.+state.+changed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190-05 --locoid 4041 --swversion DE.1.0.9.0 --startMP 204:232974 --initTime 2017-07-05T15:36:56 --startdatetime 2017-07-05T15:42:39 --delay 1 --endMP 204:139 --enddatetime 2017-07-05T16:23:29 --enforcementcount 0 &gt;&gt;C:\Users\stu\Documents\GitHub\eaglep3-reporting\EC\2017-07-05-refined-times.txt</v>
      </c>
      <c r="AI103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{"issue":{"subject":"","project_id":79,"tracker_id":40,"status_id":1,"priority_id":2,"assigned_to_id":23,"start_date":"2017-07-05","description":"","custom_fields":[{"id":1,"name":"Subdivision","value":"EC"},{"id":4,"name":"Milepost","value":"0.0139"},{"id":17,"name":"Train ID","value":"190-05"},{"id":16,"name":"Locomotive ID","value":"4041"},{"id":130,"name":"Impact","value":""},{"id":150,"name":"Time of Event (Mountain Time)","value":"16:23:29"},{"id":151,"name":"Denver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4041 --day 2017-07-05</v>
      </c>
      <c r="AN103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751</v>
      </c>
      <c r="B104" s="7">
        <v>4008</v>
      </c>
      <c r="C104" s="21" t="s">
        <v>202</v>
      </c>
      <c r="D104" s="21" t="s">
        <v>437</v>
      </c>
      <c r="E104" s="13">
        <v>42921.619756944441</v>
      </c>
      <c r="F104" s="13">
        <v>42921.625532407408</v>
      </c>
      <c r="G104" s="7">
        <v>1</v>
      </c>
      <c r="H104" s="21" t="s">
        <v>871</v>
      </c>
      <c r="I104" s="13">
        <v>42921.650706018518</v>
      </c>
      <c r="J104" s="7">
        <v>0</v>
      </c>
      <c r="K104" s="89" t="str">
        <f t="shared" si="28"/>
        <v>4007/4008</v>
      </c>
      <c r="L104" s="21" t="str">
        <f>VLOOKUP(A104,'Trips&amp;Operators'!$C$1:$G$99999,5,FALSE)</f>
        <v>ROMERO CHAD</v>
      </c>
      <c r="M104" s="6">
        <f t="shared" si="29"/>
        <v>2.5173611109494232E-2</v>
      </c>
      <c r="N104" s="7">
        <f t="shared" si="44"/>
        <v>36.249999997671694</v>
      </c>
      <c r="O104" s="7"/>
      <c r="P104" s="7"/>
      <c r="Q104" s="22"/>
      <c r="R104" s="170"/>
      <c r="S104" s="213">
        <f t="shared" si="45"/>
        <v>1</v>
      </c>
      <c r="T104" s="195" t="str">
        <f t="shared" si="30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-07-05T13:52:27-0600',mode:absolute,to:'2017-07-05T16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197" t="str">
        <f>IF(AA104&lt;VLOOKUP(AG104,Variables!$AC$3:$AD$8,2,FALSE),"Y","N")</f>
        <v>N</v>
      </c>
      <c r="X104" s="197">
        <f t="shared" si="47"/>
        <v>1</v>
      </c>
      <c r="Y104" s="197">
        <f t="shared" si="32"/>
        <v>4.4400000000000002E-2</v>
      </c>
      <c r="Z104" s="197">
        <f t="shared" si="33"/>
        <v>23.336600000000001</v>
      </c>
      <c r="AA104" s="197">
        <f t="shared" si="34"/>
        <v>23.292200000000001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191</v>
      </c>
      <c r="AE104" s="77" t="str">
        <f t="shared" si="36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04" s="74" t="str">
        <f t="shared" si="37"/>
        <v>"C:\Program Files (x86)\AstroGrep\AstroGrep.exe" /e /r /s /spath="%USERPROFILE%\AppData\Local\Temp\OnboardLogs" /stypes="app*4008*20170705*" /stext=" 21:.+((SYSTEM_STATE.+slice.+state.+changed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191-05 --locoid 4008 --swversion DE.1.0.9.0 --startMP 204:444 --initTime 2017-07-05T14:52:27 --startdatetime 2017-07-05T15:00:46 --delay 1 --endMP 204:233366 --enddatetime 2017-07-05T15:37:01 --enforcementcount 0 &gt;&gt;C:\Users\stu\Documents\GitHub\eaglep3-reporting\EC\2017-07-05-refined-times.txt</v>
      </c>
      <c r="AI104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{"issue":{"subject":"","project_id":79,"tracker_id":40,"status_id":1,"priority_id":2,"assigned_to_id":23,"start_date":"2017-07-05","description":"","custom_fields":[{"id":1,"name":"Subdivision","value":"EC"},{"id":4,"name":"Milepost","value":"23.3366"},{"id":17,"name":"Train ID","value":"191-05"},{"id":16,"name":"Locomotive ID","value":"4008"},{"id":130,"name":"Impact","value":""},{"id":150,"name":"Time of Event (Mountain Time)","value":"15:37:01"},{"id":151,"name":"Denver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4008 --day 2017-07-05</v>
      </c>
      <c r="AN104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758</v>
      </c>
      <c r="B105" s="7">
        <v>4007</v>
      </c>
      <c r="C105" s="21" t="s">
        <v>202</v>
      </c>
      <c r="D105" s="21" t="s">
        <v>872</v>
      </c>
      <c r="E105" s="13">
        <v>42921.652002314811</v>
      </c>
      <c r="F105" s="13">
        <v>42921.664756944447</v>
      </c>
      <c r="G105" s="7">
        <v>1</v>
      </c>
      <c r="H105" s="21" t="s">
        <v>413</v>
      </c>
      <c r="I105" s="13">
        <v>42921.690636574072</v>
      </c>
      <c r="J105" s="7">
        <v>0</v>
      </c>
      <c r="K105" s="89" t="str">
        <f t="shared" si="28"/>
        <v>4007/4008</v>
      </c>
      <c r="L105" s="21" t="str">
        <f>VLOOKUP(A105,'Trips&amp;Operators'!$C$1:$G$99999,5,FALSE)</f>
        <v>ROMERO CHAD</v>
      </c>
      <c r="M105" s="6">
        <f t="shared" si="29"/>
        <v>2.5879629625706002E-2</v>
      </c>
      <c r="N105" s="7">
        <f t="shared" si="44"/>
        <v>37.266666661016643</v>
      </c>
      <c r="O105" s="7"/>
      <c r="P105" s="7"/>
      <c r="Q105" s="22"/>
      <c r="R105" s="170"/>
      <c r="S105" s="213">
        <f t="shared" si="45"/>
        <v>1</v>
      </c>
      <c r="T105" s="195" t="str">
        <f t="shared" si="30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-07-05T14:38:53-0600',mode:absolute,to:'2017-07-05T17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197" t="str">
        <f>IF(AA105&lt;VLOOKUP(AG105,Variables!$AC$3:$AD$8,2,FALSE),"Y","N")</f>
        <v>N</v>
      </c>
      <c r="X105" s="197">
        <f t="shared" si="47"/>
        <v>1</v>
      </c>
      <c r="Y105" s="197">
        <f t="shared" si="32"/>
        <v>23.305700000000002</v>
      </c>
      <c r="Z105" s="197">
        <f t="shared" si="33"/>
        <v>1.38E-2</v>
      </c>
      <c r="AA105" s="197">
        <f t="shared" si="34"/>
        <v>23.291900000000002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192</v>
      </c>
      <c r="AE105" s="77" t="str">
        <f t="shared" si="36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105" s="74" t="str">
        <f t="shared" si="37"/>
        <v>"C:\Program Files (x86)\AstroGrep\AstroGrep.exe" /e /r /s /spath="%USERPROFILE%\AppData\Local\Temp\OnboardLogs" /stypes="app*4007*20170705*" /stext=" 22:.+((SYSTEM_STATE.+slice.+state.+changed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192-05 --locoid 4007 --swversion DE.1.0.9.0 --startMP 204:233057 --initTime 2017-07-05T15:38:53 --startdatetime 2017-07-05T15:57:15 --delay 1 --endMP 204:138 --enddatetime 2017-07-05T16:34:31 --enforcementcount 0 &gt;&gt;C:\Users\stu\Documents\GitHub\eaglep3-reporting\EC\2017-07-05-refined-times.txt</v>
      </c>
      <c r="AI105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{"issue":{"subject":"","project_id":79,"tracker_id":40,"status_id":1,"priority_id":2,"assigned_to_id":23,"start_date":"2017-07-05","description":"","custom_fields":[{"id":1,"name":"Subdivision","value":"EC"},{"id":4,"name":"Milepost","value":"0.0138"},{"id":17,"name":"Train ID","value":"192-05"},{"id":16,"name":"Locomotive ID","value":"4007"},{"id":130,"name":"Impact","value":""},{"id":150,"name":"Time of Event (Mountain Time)","value":"16:34:31"},{"id":151,"name":"Denver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4007 --day 2017-07-05</v>
      </c>
      <c r="AN105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611</v>
      </c>
      <c r="B106" s="7">
        <v>4054</v>
      </c>
      <c r="C106" s="21" t="s">
        <v>202</v>
      </c>
      <c r="D106" s="21" t="s">
        <v>438</v>
      </c>
      <c r="E106" s="13">
        <v>42921.632476851853</v>
      </c>
      <c r="F106" s="13">
        <v>42921.635949074072</v>
      </c>
      <c r="G106" s="7">
        <v>1</v>
      </c>
      <c r="H106" s="21" t="s">
        <v>499</v>
      </c>
      <c r="I106" s="13">
        <v>42921.66128472222</v>
      </c>
      <c r="J106" s="7">
        <v>0</v>
      </c>
      <c r="K106" s="89" t="str">
        <f t="shared" si="28"/>
        <v>4053/4054</v>
      </c>
      <c r="L106" s="21" t="str">
        <f>VLOOKUP(A106,'Trips&amp;Operators'!$C$1:$G$99999,5,FALSE)</f>
        <v>BRUDER RICHARD</v>
      </c>
      <c r="M106" s="6">
        <f t="shared" si="29"/>
        <v>2.5335648148029577E-2</v>
      </c>
      <c r="N106" s="7">
        <f t="shared" si="44"/>
        <v>36.483333333162591</v>
      </c>
      <c r="O106" s="7"/>
      <c r="P106" s="7"/>
      <c r="Q106" s="22"/>
      <c r="R106" s="170"/>
      <c r="S106" s="213">
        <f t="shared" si="45"/>
        <v>1</v>
      </c>
      <c r="T106" s="195" t="str">
        <f t="shared" si="30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-07-05T14:10:46-0600',mode:absolute,to:'2017-07-05T16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97" t="str">
        <f>IF(AA106&lt;VLOOKUP(AG106,Variables!$AC$3:$AD$8,2,FALSE),"Y","N")</f>
        <v>N</v>
      </c>
      <c r="X106" s="197">
        <f t="shared" si="47"/>
        <v>1</v>
      </c>
      <c r="Y106" s="197">
        <f t="shared" si="32"/>
        <v>4.3999999999999997E-2</v>
      </c>
      <c r="Z106" s="197">
        <f t="shared" si="33"/>
        <v>23.327999999999999</v>
      </c>
      <c r="AA106" s="197">
        <f t="shared" si="34"/>
        <v>23.283999999999999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193</v>
      </c>
      <c r="AE106" s="77" t="str">
        <f t="shared" si="36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106" s="74" t="str">
        <f t="shared" si="37"/>
        <v>"C:\Program Files (x86)\AstroGrep\AstroGrep.exe" /e /r /s /spath="%USERPROFILE%\AppData\Local\Temp\OnboardLogs" /stypes="app*4054*20170705*" /stext=" 21:.+((SYSTEM_STATE.+slice.+state.+changed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193-05 --locoid 4054 --swversion DE.1.0.9.0 --startMP 204:440 --initTime 2017-07-05T15:10:46 --startdatetime 2017-07-05T15:15:46 --delay 1 --endMP 204:233280 --enddatetime 2017-07-05T15:52:15 --enforcementcount 0 &gt;&gt;C:\Users\stu\Documents\GitHub\eaglep3-reporting\EC\2017-07-05-refined-times.txt</v>
      </c>
      <c r="AI106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{"issue":{"subject":"","project_id":79,"tracker_id":40,"status_id":1,"priority_id":2,"assigned_to_id":23,"start_date":"2017-07-05","description":"","custom_fields":[{"id":1,"name":"Subdivision","value":"EC"},{"id":4,"name":"Milepost","value":"23.328"},{"id":17,"name":"Train ID","value":"193-05"},{"id":16,"name":"Locomotive ID","value":"4054"},{"id":130,"name":"Impact","value":""},{"id":150,"name":"Time of Event (Mountain Time)","value":"15:52:15"},{"id":151,"name":"Denver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4054 --day 2017-07-05</v>
      </c>
      <c r="AN106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612</v>
      </c>
      <c r="B107" s="7">
        <v>4053</v>
      </c>
      <c r="C107" s="21" t="s">
        <v>202</v>
      </c>
      <c r="D107" s="21" t="s">
        <v>483</v>
      </c>
      <c r="E107" s="13">
        <v>42921.672233796293</v>
      </c>
      <c r="F107" s="13">
        <v>42921.675324074073</v>
      </c>
      <c r="G107" s="7">
        <v>1</v>
      </c>
      <c r="H107" s="21" t="s">
        <v>460</v>
      </c>
      <c r="I107" s="13">
        <v>42921.703101851854</v>
      </c>
      <c r="J107" s="7">
        <v>0</v>
      </c>
      <c r="K107" s="89" t="str">
        <f t="shared" si="28"/>
        <v>4053/4054</v>
      </c>
      <c r="L107" s="21" t="str">
        <f>VLOOKUP(A107,'Trips&amp;Operators'!$C$1:$G$99999,5,FALSE)</f>
        <v>BRUDER RICHARD</v>
      </c>
      <c r="M107" s="6">
        <f t="shared" si="29"/>
        <v>2.7777777781011537E-2</v>
      </c>
      <c r="N107" s="7">
        <f t="shared" si="44"/>
        <v>40.000000004656613</v>
      </c>
      <c r="O107" s="7"/>
      <c r="P107" s="7"/>
      <c r="Q107" s="22"/>
      <c r="R107" s="170"/>
      <c r="S107" s="213">
        <f t="shared" si="45"/>
        <v>1</v>
      </c>
      <c r="T107" s="195" t="str">
        <f t="shared" si="30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-07-05T15:08:01-0600',mode:absolute,to:'2017-07-05T17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197" t="str">
        <f>IF(AA107&lt;VLOOKUP(AG107,Variables!$AC$3:$AD$8,2,FALSE),"Y","N")</f>
        <v>N</v>
      </c>
      <c r="X107" s="197">
        <f t="shared" si="47"/>
        <v>1</v>
      </c>
      <c r="Y107" s="197">
        <f t="shared" si="32"/>
        <v>23.299399999999999</v>
      </c>
      <c r="Z107" s="197">
        <f t="shared" si="33"/>
        <v>1.3599999999999999E-2</v>
      </c>
      <c r="AA107" s="197">
        <f t="shared" si="34"/>
        <v>23.285799999999998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194</v>
      </c>
      <c r="AE107" s="77" t="str">
        <f t="shared" si="36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107" s="74" t="str">
        <f t="shared" si="37"/>
        <v>"C:\Program Files (x86)\AstroGrep\AstroGrep.exe" /e /r /s /spath="%USERPROFILE%\AppData\Local\Temp\OnboardLogs" /stypes="app*4053*20170705*"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194-05 --locoid 4053 --swversion DE.1.0.9.0 --startMP 204:232994 --initTime 2017-07-05T16:08:01 --startdatetime 2017-07-05T16:12:28 --delay 1 --endMP 204:136 --enddatetime 2017-07-05T16:52:28 --enforcementcount 0 &gt;&gt;C:\Users\stu\Documents\GitHub\eaglep3-reporting\EC\2017-07-05-refined-times.txt</v>
      </c>
      <c r="AI107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{"issue":{"subject":"","project_id":79,"tracker_id":40,"status_id":1,"priority_id":2,"assigned_to_id":23,"start_date":"2017-07-05","description":"","custom_fields":[{"id":1,"name":"Subdivision","value":"EC"},{"id":4,"name":"Milepost","value":"0.0136"},{"id":17,"name":"Train ID","value":"194-05"},{"id":16,"name":"Locomotive ID","value":"4053"},{"id":130,"name":"Impact","value":""},{"id":150,"name":"Time of Event (Mountain Time)","value":"16:52:28"},{"id":151,"name":"Denver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4053 --day 2017-07-05</v>
      </c>
      <c r="AN107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755</v>
      </c>
      <c r="B108" s="7">
        <v>4062</v>
      </c>
      <c r="C108" s="21" t="s">
        <v>202</v>
      </c>
      <c r="D108" s="21" t="s">
        <v>873</v>
      </c>
      <c r="E108" s="13">
        <v>42921.643483796295</v>
      </c>
      <c r="F108" s="13">
        <v>42921.646481481483</v>
      </c>
      <c r="G108" s="7">
        <v>1</v>
      </c>
      <c r="H108" s="21" t="s">
        <v>874</v>
      </c>
      <c r="I108" s="13">
        <v>42921.672152777777</v>
      </c>
      <c r="J108" s="7">
        <v>0</v>
      </c>
      <c r="K108" s="89" t="str">
        <f t="shared" si="28"/>
        <v>4061/4062</v>
      </c>
      <c r="L108" s="21" t="str">
        <f>VLOOKUP(A108,'Trips&amp;Operators'!$C$1:$G$99999,5,FALSE)</f>
        <v>LEVIN SCOTT</v>
      </c>
      <c r="M108" s="6">
        <f t="shared" si="29"/>
        <v>2.5671296294603962E-2</v>
      </c>
      <c r="N108" s="7">
        <f t="shared" si="44"/>
        <v>36.966666664229706</v>
      </c>
      <c r="O108" s="7"/>
      <c r="P108" s="7"/>
      <c r="Q108" s="22"/>
      <c r="R108" s="170"/>
      <c r="S108" s="213">
        <f t="shared" si="45"/>
        <v>1</v>
      </c>
      <c r="T108" s="195" t="str">
        <f t="shared" si="30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-07-05T14:26:37-0600',mode:absolute,to:'2017-07-05T17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8" s="197" t="str">
        <f>IF(AA108&lt;VLOOKUP(AG108,Variables!$AC$3:$AD$8,2,FALSE),"Y","N")</f>
        <v>N</v>
      </c>
      <c r="X108" s="197">
        <f t="shared" si="47"/>
        <v>1</v>
      </c>
      <c r="Y108" s="197">
        <f t="shared" si="32"/>
        <v>4.24E-2</v>
      </c>
      <c r="Z108" s="197">
        <f t="shared" si="33"/>
        <v>23.340499999999999</v>
      </c>
      <c r="AA108" s="197">
        <f t="shared" si="34"/>
        <v>23.298099999999998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195</v>
      </c>
      <c r="AE108" s="77" t="str">
        <f t="shared" si="36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108" s="74" t="str">
        <f t="shared" si="37"/>
        <v>"C:\Program Files (x86)\AstroGrep\AstroGrep.exe" /e /r /s /spath="%USERPROFILE%\AppData\Local\Temp\OnboardLogs" /stypes="app*4062*20170705*"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195-05 --locoid 4062 --swversion DE.1.0.9.0 --startMP 204:424 --initTime 2017-07-05T15:26:37 --startdatetime 2017-07-05T15:30:56 --delay 1 --endMP 204:233405 --enddatetime 2017-07-05T16:07:54 --enforcementcount 0 &gt;&gt;C:\Users\stu\Documents\GitHub\eaglep3-reporting\EC\2017-07-05-refined-times.txt</v>
      </c>
      <c r="AI10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{"issue":{"subject":"","project_id":79,"tracker_id":40,"status_id":1,"priority_id":2,"assigned_to_id":23,"start_date":"2017-07-05","description":"","custom_fields":[{"id":1,"name":"Subdivision","value":"EC"},{"id":4,"name":"Milepost","value":"23.3405"},{"id":17,"name":"Train ID","value":"195-05"},{"id":16,"name":"Locomotive ID","value":"4062"},{"id":130,"name":"Impact","value":""},{"id":150,"name":"Time of Event (Mountain Time)","value":"16:07:54"},{"id":151,"name":"Denver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4062 --day 2017-07-05</v>
      </c>
      <c r="AN108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615</v>
      </c>
      <c r="B109" s="7">
        <v>4061</v>
      </c>
      <c r="C109" s="21" t="s">
        <v>202</v>
      </c>
      <c r="D109" s="21" t="s">
        <v>875</v>
      </c>
      <c r="E109" s="13">
        <v>42921.682199074072</v>
      </c>
      <c r="F109" s="13">
        <v>42921.685740740744</v>
      </c>
      <c r="G109" s="7">
        <v>1</v>
      </c>
      <c r="H109" s="21" t="s">
        <v>460</v>
      </c>
      <c r="I109" s="13">
        <v>42921.714004629626</v>
      </c>
      <c r="J109" s="7">
        <v>0</v>
      </c>
      <c r="K109" s="89" t="str">
        <f t="shared" si="28"/>
        <v>4061/4062</v>
      </c>
      <c r="L109" s="21" t="str">
        <f>VLOOKUP(A109,'Trips&amp;Operators'!$C$1:$G$99999,5,FALSE)</f>
        <v>LEVIN SCOTT</v>
      </c>
      <c r="M109" s="6">
        <f t="shared" si="29"/>
        <v>2.8263888882065658E-2</v>
      </c>
      <c r="N109" s="7">
        <f t="shared" si="44"/>
        <v>40.699999990174547</v>
      </c>
      <c r="O109" s="7"/>
      <c r="P109" s="7"/>
      <c r="Q109" s="22"/>
      <c r="R109" s="170"/>
      <c r="S109" s="213">
        <f t="shared" si="45"/>
        <v>1</v>
      </c>
      <c r="T109" s="195" t="str">
        <f t="shared" si="30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-07-05T15:22:22-0600',mode:absolute,to:'2017-07-05T18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9" s="197" t="str">
        <f>IF(AA109&lt;VLOOKUP(AG109,Variables!$AC$3:$AD$8,2,FALSE),"Y","N")</f>
        <v>N</v>
      </c>
      <c r="X109" s="197">
        <f t="shared" ref="X109:X113" si="48">VALUE(LEFT(AD109,4))-VALUE(LEFT(AD108,4))</f>
        <v>1</v>
      </c>
      <c r="Y109" s="197">
        <f t="shared" ref="Y109:Y140" si="49">RIGHT(D109,LEN(D109)-4)/10000</f>
        <v>23.310099999999998</v>
      </c>
      <c r="Z109" s="197">
        <f t="shared" ref="Z109:Z140" si="50">RIGHT(H109,LEN(H109)-4)/10000</f>
        <v>1.3599999999999999E-2</v>
      </c>
      <c r="AA109" s="197">
        <f t="shared" si="34"/>
        <v>23.296499999999998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196</v>
      </c>
      <c r="AE109" s="77" t="str">
        <f t="shared" si="36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109" s="74" t="str">
        <f t="shared" si="37"/>
        <v>"C:\Program Files (x86)\AstroGrep\AstroGrep.exe" /e /r /s /spath="%USERPROFILE%\AppData\Local\Temp\OnboardLogs" /stypes="app*4061*20170705*"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196-05 --locoid 4061 --swversion DE.1.0.9.0 --startMP 204:233101 --initTime 2017-07-05T16:22:22 --startdatetime 2017-07-05T16:27:28 --delay 1 --endMP 204:136 --enddatetime 2017-07-05T17:08:10 --enforcementcount 0 &gt;&gt;C:\Users\stu\Documents\GitHub\eaglep3-reporting\EC\2017-07-05-refined-times.txt</v>
      </c>
      <c r="AI109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{"issue":{"subject":"","project_id":79,"tracker_id":40,"status_id":1,"priority_id":2,"assigned_to_id":23,"start_date":"2017-07-05","description":"","custom_fields":[{"id":1,"name":"Subdivision","value":"EC"},{"id":4,"name":"Milepost","value":"0.0136"},{"id":17,"name":"Train ID","value":"196-05"},{"id":16,"name":"Locomotive ID","value":"4061"},{"id":130,"name":"Impact","value":""},{"id":150,"name":"Time of Event (Mountain Time)","value":"17:08:10"},{"id":151,"name":"Denver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4061 --day 2017-07-05</v>
      </c>
      <c r="AN109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759</v>
      </c>
      <c r="B110" s="7">
        <v>4056</v>
      </c>
      <c r="C110" s="21" t="s">
        <v>202</v>
      </c>
      <c r="D110" s="21" t="s">
        <v>350</v>
      </c>
      <c r="E110" s="13">
        <v>42921.653020833335</v>
      </c>
      <c r="F110" s="13">
        <v>42921.656898148147</v>
      </c>
      <c r="G110" s="7">
        <v>1</v>
      </c>
      <c r="H110" s="21" t="s">
        <v>544</v>
      </c>
      <c r="I110" s="13">
        <v>42921.681875000002</v>
      </c>
      <c r="J110" s="7">
        <v>0</v>
      </c>
      <c r="K110" s="89" t="str">
        <f t="shared" si="28"/>
        <v>4055/4056</v>
      </c>
      <c r="L110" s="21" t="str">
        <f>VLOOKUP(A110,'Trips&amp;Operators'!$C$1:$G$99999,5,FALSE)</f>
        <v>RESPASS AARON</v>
      </c>
      <c r="M110" s="6">
        <f t="shared" si="29"/>
        <v>2.4976851855171844E-2</v>
      </c>
      <c r="N110" s="7">
        <f t="shared" si="44"/>
        <v>35.966666671447456</v>
      </c>
      <c r="O110" s="7"/>
      <c r="P110" s="7"/>
      <c r="Q110" s="22"/>
      <c r="R110" s="170"/>
      <c r="S110" s="213">
        <f t="shared" si="45"/>
        <v>1</v>
      </c>
      <c r="T110" s="195" t="str">
        <f t="shared" si="30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-07-05T14:40:21-0600',mode:absolute,to:'2017-07-05T17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197" t="str">
        <f>IF(AA110&lt;VLOOKUP(AG110,Variables!$AC$3:$AD$8,2,FALSE),"Y","N")</f>
        <v>N</v>
      </c>
      <c r="X110" s="197">
        <f t="shared" si="48"/>
        <v>1</v>
      </c>
      <c r="Y110" s="197">
        <f t="shared" si="49"/>
        <v>4.6600000000000003E-2</v>
      </c>
      <c r="Z110" s="197">
        <f t="shared" si="50"/>
        <v>23.331700000000001</v>
      </c>
      <c r="AA110" s="197">
        <f t="shared" si="34"/>
        <v>23.2851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197</v>
      </c>
      <c r="AE110" s="77" t="str">
        <f t="shared" si="36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110" s="74" t="str">
        <f t="shared" si="37"/>
        <v>"C:\Program Files (x86)\AstroGrep\AstroGrep.exe" /e /r /s /spath="%USERPROFILE%\AppData\Local\Temp\OnboardLogs" /stypes="app*4056*20170705*"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197-05 --locoid 4056 --swversion DE.1.0.9.0 --startMP 204:466 --initTime 2017-07-05T15:40:21 --startdatetime 2017-07-05T15:45:56 --delay 1 --endMP 204:233317 --enddatetime 2017-07-05T16:21:54 --enforcementcount 0 &gt;&gt;C:\Users\stu\Documents\GitHub\eaglep3-reporting\EC\2017-07-05-refined-times.txt</v>
      </c>
      <c r="AI110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{"issue":{"subject":"","project_id":79,"tracker_id":40,"status_id":1,"priority_id":2,"assigned_to_id":23,"start_date":"2017-07-05","description":"","custom_fields":[{"id":1,"name":"Subdivision","value":"EC"},{"id":4,"name":"Milepost","value":"23.3317"},{"id":17,"name":"Train ID","value":"197-05"},{"id":16,"name":"Locomotive ID","value":"4056"},{"id":130,"name":"Impact","value":""},{"id":150,"name":"Time of Event (Mountain Time)","value":"16:21:54"},{"id":151,"name":"Denver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4056 --day 2017-07-05</v>
      </c>
      <c r="AN110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618</v>
      </c>
      <c r="B111" s="7">
        <v>4055</v>
      </c>
      <c r="C111" s="21" t="s">
        <v>202</v>
      </c>
      <c r="D111" s="21" t="s">
        <v>510</v>
      </c>
      <c r="E111" s="13">
        <v>42921.690254629626</v>
      </c>
      <c r="F111" s="13">
        <v>42921.69630787037</v>
      </c>
      <c r="G111" s="7">
        <v>1</v>
      </c>
      <c r="H111" s="21" t="s">
        <v>460</v>
      </c>
      <c r="I111" s="13">
        <v>42921.724293981482</v>
      </c>
      <c r="J111" s="7">
        <v>0</v>
      </c>
      <c r="K111" s="89" t="str">
        <f t="shared" si="28"/>
        <v>4055/4056</v>
      </c>
      <c r="L111" s="21" t="str">
        <f>VLOOKUP(A111,'Trips&amp;Operators'!$C$1:$G$99999,5,FALSE)</f>
        <v>RESPASS AARON</v>
      </c>
      <c r="M111" s="6">
        <f t="shared" si="29"/>
        <v>2.7986111112113576E-2</v>
      </c>
      <c r="N111" s="7">
        <f t="shared" si="44"/>
        <v>40.30000000144355</v>
      </c>
      <c r="O111" s="7"/>
      <c r="P111" s="7"/>
      <c r="Q111" s="22"/>
      <c r="R111" s="170"/>
      <c r="S111" s="213">
        <f t="shared" si="45"/>
        <v>1</v>
      </c>
      <c r="T111" s="195" t="str">
        <f t="shared" si="30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-07-05T15:33:58-0600',mode:absolute,to:'2017-07-05T18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197" t="str">
        <f>IF(AA111&lt;VLOOKUP(AG111,Variables!$AC$3:$AD$8,2,FALSE),"Y","N")</f>
        <v>N</v>
      </c>
      <c r="X111" s="197">
        <f t="shared" si="48"/>
        <v>1</v>
      </c>
      <c r="Y111" s="197">
        <f t="shared" si="49"/>
        <v>23.299099999999999</v>
      </c>
      <c r="Z111" s="197">
        <f t="shared" si="50"/>
        <v>1.3599999999999999E-2</v>
      </c>
      <c r="AA111" s="197">
        <f t="shared" si="34"/>
        <v>23.285499999999999</v>
      </c>
      <c r="AB111" s="54" t="str">
        <f>VLOOKUP(A111,Enforcements!$C$7:$K$13,8,0)</f>
        <v>Bulletin (2)</v>
      </c>
      <c r="AC111" s="51" t="str">
        <f>VLOOKUP(A111,Enforcements!$C$7:$E$13,3,0)</f>
        <v>GRADE CROSSING</v>
      </c>
      <c r="AD111" s="206">
        <f t="shared" si="35"/>
        <v>198</v>
      </c>
      <c r="AE111" s="77" t="str">
        <f t="shared" si="36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111" s="74" t="str">
        <f t="shared" si="37"/>
        <v>"C:\Program Files (x86)\AstroGrep\AstroGrep.exe" /e /r /s /spath="%USERPROFILE%\AppData\Local\Temp\OnboardLogs" /stypes="app*4055*20170705*" /stext=" 23:.+((SYSTEM_STATE.+slice.+state.+changed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198-05 --locoid 4055 --swversion DE.1.0.9.0 --startMP 204:232991 --initTime 2017-07-05T16:33:58 --startdatetime 2017-07-05T16:42:41 --delay 1 --endMP 204:136 --enddatetime 2017-07-05T17:22:59 --enforcementcount 0 &gt;&gt;C:\Users\stu\Documents\GitHub\eaglep3-reporting\EC\2017-07-05-refined-times.txt</v>
      </c>
      <c r="AI111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{"issue":{"subject":"","project_id":79,"tracker_id":40,"status_id":1,"priority_id":2,"assigned_to_id":23,"start_date":"2017-07-05","description":"","custom_fields":[{"id":1,"name":"Subdivision","value":"EC"},{"id":4,"name":"Milepost","value":"0.0136"},{"id":17,"name":"Train ID","value":"198-05"},{"id":16,"name":"Locomotive ID","value":"4055"},{"id":130,"name":"Impact","value":""},{"id":150,"name":"Time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4055 --day 2017-07-05</v>
      </c>
      <c r="AN111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762</v>
      </c>
      <c r="B112" s="7">
        <v>4018</v>
      </c>
      <c r="C112" s="21" t="s">
        <v>202</v>
      </c>
      <c r="D112" s="21" t="s">
        <v>876</v>
      </c>
      <c r="E112" s="13">
        <v>42921.665196759262</v>
      </c>
      <c r="F112" s="13">
        <v>42921.667094907411</v>
      </c>
      <c r="G112" s="7">
        <v>2</v>
      </c>
      <c r="H112" s="21" t="s">
        <v>486</v>
      </c>
      <c r="I112" s="13">
        <v>42921.694803240738</v>
      </c>
      <c r="J112" s="7">
        <v>0</v>
      </c>
      <c r="K112" s="89" t="str">
        <f t="shared" si="28"/>
        <v>4017/4018</v>
      </c>
      <c r="L112" s="21" t="str">
        <f>VLOOKUP(A112,'Trips&amp;Operators'!$C$1:$G$99999,5,FALSE)</f>
        <v>DAVIS MICHAEL</v>
      </c>
      <c r="M112" s="6">
        <f t="shared" si="29"/>
        <v>2.770833332760958E-2</v>
      </c>
      <c r="N112" s="7">
        <f t="shared" si="44"/>
        <v>39.899999991757795</v>
      </c>
      <c r="O112" s="7"/>
      <c r="P112" s="7"/>
      <c r="Q112" s="22"/>
      <c r="R112" s="170"/>
      <c r="S112" s="213">
        <f t="shared" si="45"/>
        <v>1</v>
      </c>
      <c r="T112" s="195" t="str">
        <f t="shared" si="30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-07-05T14:57:53-0600',mode:absolute,to:'2017-07-05T17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2" s="197" t="str">
        <f>IF(AA112&lt;VLOOKUP(AG112,Variables!$AC$3:$AD$8,2,FALSE),"Y","N")</f>
        <v>N</v>
      </c>
      <c r="X112" s="197">
        <f t="shared" si="48"/>
        <v>1</v>
      </c>
      <c r="Y112" s="197">
        <f t="shared" si="49"/>
        <v>6.13E-2</v>
      </c>
      <c r="Z112" s="197">
        <f t="shared" si="50"/>
        <v>23.333200000000001</v>
      </c>
      <c r="AA112" s="197">
        <f t="shared" si="34"/>
        <v>23.271900000000002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199</v>
      </c>
      <c r="AE112" s="77" t="str">
        <f t="shared" si="36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112" s="74" t="str">
        <f t="shared" si="37"/>
        <v>"C:\Program Files (x86)\AstroGrep\AstroGrep.exe" /e /r /s /spath="%USERPROFILE%\AppData\Local\Temp\OnboardLogs" /stypes="app*4018*20170705*" /stext=" 22:.+((SYSTEM_STATE.+slice.+state.+changed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199-05 --locoid 4018 --swversion DE.1.0.9.0 --startMP 204:613 --initTime 2017-07-05T15:57:53 --startdatetime 2017-07-05T16:00:37 --delay 2 --endMP 204:233332 --enddatetime 2017-07-05T16:40:31 --enforcementcount 0 &gt;&gt;C:\Users\stu\Documents\GitHub\eaglep3-reporting\EC\2017-07-05-refined-times.txt</v>
      </c>
      <c r="AI112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{"issue":{"subject":"","project_id":79,"tracker_id":40,"status_id":1,"priority_id":2,"assigned_to_id":23,"start_date":"2017-07-05","description":"","custom_fields":[{"id":1,"name":"Subdivision","value":"EC"},{"id":4,"name":"Milepost","value":"23.3332"},{"id":17,"name":"Train ID","value":"199-05"},{"id":16,"name":"Locomotive ID","value":"4018"},{"id":130,"name":"Impact","value":""},{"id":150,"name":"Time of Event (Mountain Time)","value":"16:40:31"},{"id":151,"name":"Denver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4018 --day 2017-07-05</v>
      </c>
      <c r="AN112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768</v>
      </c>
      <c r="B113" s="7">
        <v>4017</v>
      </c>
      <c r="C113" s="21" t="s">
        <v>202</v>
      </c>
      <c r="D113" s="21" t="s">
        <v>474</v>
      </c>
      <c r="E113" s="13">
        <v>42921.703946759262</v>
      </c>
      <c r="F113" s="13">
        <v>42921.706643518519</v>
      </c>
      <c r="G113" s="7">
        <v>1</v>
      </c>
      <c r="H113" s="21" t="s">
        <v>358</v>
      </c>
      <c r="I113" s="13">
        <v>42921.736481481479</v>
      </c>
      <c r="J113" s="7">
        <v>0</v>
      </c>
      <c r="K113" s="89" t="str">
        <f t="shared" si="28"/>
        <v>4017/4018</v>
      </c>
      <c r="L113" s="21" t="str">
        <f>VLOOKUP(A113,'Trips&amp;Operators'!$C$1:$G$99999,5,FALSE)</f>
        <v>DAVIS MICHAEL</v>
      </c>
      <c r="M113" s="6">
        <f t="shared" si="29"/>
        <v>2.9837962960300501E-2</v>
      </c>
      <c r="N113" s="7">
        <f t="shared" si="44"/>
        <v>42.966666662832722</v>
      </c>
      <c r="O113" s="7"/>
      <c r="P113" s="7"/>
      <c r="Q113" s="22"/>
      <c r="R113" s="170"/>
      <c r="S113" s="213">
        <f t="shared" si="45"/>
        <v>1</v>
      </c>
      <c r="T113" s="195" t="str">
        <f t="shared" si="30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-07-05T15:53:41-0600',mode:absolute,to:'2017-07-05T18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3" s="197" t="str">
        <f>IF(AA113&lt;VLOOKUP(AG113,Variables!$AC$3:$AD$8,2,FALSE),"Y","N")</f>
        <v>N</v>
      </c>
      <c r="X113" s="197">
        <f t="shared" si="48"/>
        <v>1</v>
      </c>
      <c r="Y113" s="197">
        <f t="shared" si="49"/>
        <v>23.299800000000001</v>
      </c>
      <c r="Z113" s="197">
        <f t="shared" si="50"/>
        <v>1.47E-2</v>
      </c>
      <c r="AA113" s="197">
        <f t="shared" si="34"/>
        <v>23.2851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200</v>
      </c>
      <c r="AE113" s="77" t="str">
        <f t="shared" si="36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113" s="74" t="str">
        <f t="shared" si="37"/>
        <v>"C:\Program Files (x86)\AstroGrep\AstroGrep.exe" /e /r /s /spath="%USERPROFILE%\AppData\Local\Temp\OnboardLogs" /stypes="app*4017*20170705*" /stext=" 23:.+((SYSTEM_STATE.+slice.+state.+changed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200-05 --locoid 4017 --swversion DE.1.0.9.0 --startMP 204:232998 --initTime 2017-07-05T16:53:41 --startdatetime 2017-07-05T16:57:34 --delay 1 --endMP 204:147 --enddatetime 2017-07-05T17:40:32 --enforcementcount 0 &gt;&gt;C:\Users\stu\Documents\GitHub\eaglep3-reporting\EC\2017-07-05-refined-times.txt</v>
      </c>
      <c r="AI113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{"issue":{"subject":"","project_id":79,"tracker_id":40,"status_id":1,"priority_id":2,"assigned_to_id":23,"start_date":"2017-07-05","description":"","custom_fields":[{"id":1,"name":"Subdivision","value":"EC"},{"id":4,"name":"Milepost","value":"0.0147"},{"id":17,"name":"Train ID","value":"200-05"},{"id":16,"name":"Locomotive ID","value":"4017"},{"id":130,"name":"Impact","value":""},{"id":150,"name":"Time of Event (Mountain Time)","value":"17:40:32"},{"id":151,"name":"Denver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4017 --day 2017-07-05</v>
      </c>
      <c r="AN113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616</v>
      </c>
      <c r="B114" s="7">
        <v>4014</v>
      </c>
      <c r="C114" s="21" t="s">
        <v>202</v>
      </c>
      <c r="D114" s="21" t="s">
        <v>438</v>
      </c>
      <c r="E114" s="13">
        <v>42921.672789351855</v>
      </c>
      <c r="F114" s="13">
        <v>42921.67763888889</v>
      </c>
      <c r="G114" s="7">
        <v>1</v>
      </c>
      <c r="H114" s="21" t="s">
        <v>537</v>
      </c>
      <c r="I114" s="13">
        <v>42921.703240740739</v>
      </c>
      <c r="J114" s="7">
        <v>0</v>
      </c>
      <c r="K114" s="89" t="str">
        <f t="shared" si="28"/>
        <v>4013/4014</v>
      </c>
      <c r="L114" s="21" t="str">
        <f>VLOOKUP(A114,'Trips&amp;Operators'!$C$1:$G$99999,5,FALSE)</f>
        <v>HOLCOMB KAMDEN</v>
      </c>
      <c r="M114" s="6">
        <f t="shared" si="29"/>
        <v>2.5601851848477963E-2</v>
      </c>
      <c r="N114" s="7">
        <f t="shared" si="44"/>
        <v>36.866666661808267</v>
      </c>
      <c r="O114" s="7"/>
      <c r="P114" s="7"/>
      <c r="Q114" s="22"/>
      <c r="R114" s="170"/>
      <c r="S114" s="213">
        <f t="shared" si="45"/>
        <v>1</v>
      </c>
      <c r="T114" s="195" t="str">
        <f t="shared" si="30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-07-05T15:08:49-0600',mode:absolute,to:'2017-07-05T17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4" s="197" t="str">
        <f>IF(AA114&lt;VLOOKUP(AG114,Variables!$AC$3:$AD$8,2,FALSE),"Y","N")</f>
        <v>N</v>
      </c>
      <c r="X114" s="197">
        <f t="shared" ref="X114:X142" si="51">VALUE(LEFT(AD114,4))-VALUE(LEFT(AD113,4))</f>
        <v>1</v>
      </c>
      <c r="Y114" s="197">
        <f t="shared" si="49"/>
        <v>4.3999999999999997E-2</v>
      </c>
      <c r="Z114" s="197">
        <f t="shared" si="50"/>
        <v>23.327400000000001</v>
      </c>
      <c r="AA114" s="197">
        <f t="shared" si="34"/>
        <v>23.2834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201</v>
      </c>
      <c r="AE114" s="77" t="str">
        <f t="shared" si="36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114" s="74" t="str">
        <f t="shared" si="37"/>
        <v>"C:\Program Files (x86)\AstroGrep\AstroGrep.exe" /e /r /s /spath="%USERPROFILE%\AppData\Local\Temp\OnboardLogs" /stypes="app*4014*20170705*" /stext=" 22:.+((SYSTEM_STATE.+slice.+state.+changed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201-05 --locoid 4014 --swversion DE.1.0.9.0 --startMP 204:440 --initTime 2017-07-05T16:08:49 --startdatetime 2017-07-05T16:15:48 --delay 1 --endMP 204:233274 --enddatetime 2017-07-05T16:52:40 --enforcementcount 0 &gt;&gt;C:\Users\stu\Documents\GitHub\eaglep3-reporting\EC\2017-07-05-refined-times.txt</v>
      </c>
      <c r="AI114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{"issue":{"subject":"","project_id":79,"tracker_id":40,"status_id":1,"priority_id":2,"assigned_to_id":23,"start_date":"2017-07-05","description":"","custom_fields":[{"id":1,"name":"Subdivision","value":"EC"},{"id":4,"name":"Milepost","value":"23.3274"},{"id":17,"name":"Train ID","value":"201-05"},{"id":16,"name":"Locomotive ID","value":"4014"},{"id":130,"name":"Impact","value":""},{"id":150,"name":"Time of Event (Mountain Time)","value":"16:52:40"},{"id":151,"name":"Denver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4014 --day 2017-07-05</v>
      </c>
      <c r="AN114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770</v>
      </c>
      <c r="B115" s="7">
        <v>4013</v>
      </c>
      <c r="C115" s="21" t="s">
        <v>202</v>
      </c>
      <c r="D115" s="21" t="s">
        <v>505</v>
      </c>
      <c r="E115" s="13">
        <v>42921.710821759261</v>
      </c>
      <c r="F115" s="13">
        <v>42921.717106481483</v>
      </c>
      <c r="G115" s="7">
        <v>1</v>
      </c>
      <c r="H115" s="21" t="s">
        <v>395</v>
      </c>
      <c r="I115" s="13">
        <v>42921.744085648148</v>
      </c>
      <c r="J115" s="7">
        <v>0</v>
      </c>
      <c r="K115" s="89" t="str">
        <f t="shared" si="28"/>
        <v>4013/4014</v>
      </c>
      <c r="L115" s="21" t="str">
        <f>VLOOKUP(A115,'Trips&amp;Operators'!$C$1:$G$99999,5,FALSE)</f>
        <v>HOLCOMB KAMDEN</v>
      </c>
      <c r="M115" s="6">
        <f t="shared" si="29"/>
        <v>2.6979166665114462E-2</v>
      </c>
      <c r="N115" s="7">
        <f t="shared" si="44"/>
        <v>38.849999997764826</v>
      </c>
      <c r="O115" s="7"/>
      <c r="P115" s="7"/>
      <c r="Q115" s="22"/>
      <c r="R115" s="170"/>
      <c r="S115" s="213">
        <f t="shared" si="45"/>
        <v>1</v>
      </c>
      <c r="T115" s="195" t="str">
        <f t="shared" si="30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-07-05T16:03:35-0600',mode:absolute,to:'2017-07-05T18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5" s="197" t="str">
        <f>IF(AA115&lt;VLOOKUP(AG115,Variables!$AC$3:$AD$8,2,FALSE),"Y","N")</f>
        <v>N</v>
      </c>
      <c r="X115" s="197">
        <f t="shared" si="51"/>
        <v>1</v>
      </c>
      <c r="Y115" s="197">
        <f t="shared" si="49"/>
        <v>23.296199999999999</v>
      </c>
      <c r="Z115" s="197">
        <f t="shared" si="50"/>
        <v>1.4500000000000001E-2</v>
      </c>
      <c r="AA115" s="197">
        <f t="shared" si="34"/>
        <v>23.281699999999997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202</v>
      </c>
      <c r="AE115" s="77" t="str">
        <f t="shared" si="36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115" s="74" t="str">
        <f t="shared" si="37"/>
        <v>"C:\Program Files (x86)\AstroGrep\AstroGrep.exe" /e /r /s /spath="%USERPROFILE%\AppData\Local\Temp\OnboardLogs" /stypes="app*4013*20170705*"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202-05 --locoid 4013 --swversion DE.1.0.9.0 --startMP 204:232962 --initTime 2017-07-05T17:03:35 --startdatetime 2017-07-05T17:12:38 --delay 1 --endMP 204:145 --enddatetime 2017-07-05T17:51:29 --enforcementcount 0 &gt;&gt;C:\Users\stu\Documents\GitHub\eaglep3-reporting\EC\2017-07-05-refined-times.txt</v>
      </c>
      <c r="AI115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{"issue":{"subject":"","project_id":79,"tracker_id":40,"status_id":1,"priority_id":2,"assigned_to_id":23,"start_date":"2017-07-05","description":"","custom_fields":[{"id":1,"name":"Subdivision","value":"EC"},{"id":4,"name":"Milepost","value":"0.0145"},{"id":17,"name":"Train ID","value":"202-05"},{"id":16,"name":"Locomotive ID","value":"4013"},{"id":130,"name":"Impact","value":""},{"id":150,"name":"Time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4013 --day 2017-07-05</v>
      </c>
      <c r="AN115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764</v>
      </c>
      <c r="B116" s="7">
        <v>4042</v>
      </c>
      <c r="C116" s="21" t="s">
        <v>202</v>
      </c>
      <c r="D116" s="21" t="s">
        <v>198</v>
      </c>
      <c r="E116" s="13">
        <v>42921.685624999998</v>
      </c>
      <c r="F116" s="13">
        <v>42921.688113425924</v>
      </c>
      <c r="G116" s="7">
        <v>1</v>
      </c>
      <c r="H116" s="21" t="s">
        <v>471</v>
      </c>
      <c r="I116" s="13">
        <v>42921.714062500003</v>
      </c>
      <c r="J116" s="7">
        <v>0</v>
      </c>
      <c r="K116" s="89" t="str">
        <f t="shared" si="28"/>
        <v>4041/4042</v>
      </c>
      <c r="L116" s="21" t="str">
        <f>VLOOKUP(A116,'Trips&amp;Operators'!$C$1:$G$99999,5,FALSE)</f>
        <v>STEWART MICHAEL</v>
      </c>
      <c r="M116" s="6">
        <f t="shared" si="29"/>
        <v>2.5949074079107959E-2</v>
      </c>
      <c r="N116" s="7">
        <f t="shared" si="44"/>
        <v>37.366666673915461</v>
      </c>
      <c r="O116" s="7"/>
      <c r="P116" s="7"/>
      <c r="Q116" s="22"/>
      <c r="R116" s="170"/>
      <c r="S116" s="213">
        <f t="shared" si="45"/>
        <v>1</v>
      </c>
      <c r="T116" s="195" t="str">
        <f t="shared" si="30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-07-05T15:27:18-0600',mode:absolute,to:'2017-07-05T18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6" s="197" t="str">
        <f>IF(AA116&lt;VLOOKUP(AG116,Variables!$AC$3:$AD$8,2,FALSE),"Y","N")</f>
        <v>N</v>
      </c>
      <c r="X116" s="197">
        <f t="shared" si="51"/>
        <v>1</v>
      </c>
      <c r="Y116" s="197">
        <f t="shared" si="49"/>
        <v>4.5699999999999998E-2</v>
      </c>
      <c r="Z116" s="197">
        <f t="shared" si="50"/>
        <v>23.329699999999999</v>
      </c>
      <c r="AA116" s="197">
        <f t="shared" si="34"/>
        <v>23.283999999999999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203</v>
      </c>
      <c r="AE116" s="77" t="str">
        <f t="shared" si="36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116" s="74" t="str">
        <f t="shared" si="37"/>
        <v>"C:\Program Files (x86)\AstroGrep\AstroGrep.exe" /e /r /s /spath="%USERPROFILE%\AppData\Local\Temp\OnboardLogs" /stypes="app*4042*20170705*"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203-05 --locoid 4042 --swversion DE.1.0.9.0 --startMP 204:457 --initTime 2017-07-05T16:27:18 --startdatetime 2017-07-05T16:30:53 --delay 1 --endMP 204:233297 --enddatetime 2017-07-05T17:08:15 --enforcementcount 0 &gt;&gt;C:\Users\stu\Documents\GitHub\eaglep3-reporting\EC\2017-07-05-refined-times.txt</v>
      </c>
      <c r="AI116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{"issue":{"subject":"","project_id":79,"tracker_id":40,"status_id":1,"priority_id":2,"assigned_to_id":23,"start_date":"2017-07-05","description":"","custom_fields":[{"id":1,"name":"Subdivision","value":"EC"},{"id":4,"name":"Milepost","value":"23.3297"},{"id":17,"name":"Train ID","value":"203-05"},{"id":16,"name":"Locomotive ID","value":"4042"},{"id":130,"name":"Impact","value":""},{"id":150,"name":"Time of Event (Mountain Time)","value":"17:08:15"},{"id":151,"name":"Denver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4042 --day 2017-07-05</v>
      </c>
      <c r="AN116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774</v>
      </c>
      <c r="B117" s="7">
        <v>4041</v>
      </c>
      <c r="C117" s="21" t="s">
        <v>202</v>
      </c>
      <c r="D117" s="21" t="s">
        <v>497</v>
      </c>
      <c r="E117" s="13">
        <v>42921.724826388891</v>
      </c>
      <c r="F117" s="13">
        <v>42921.727326388886</v>
      </c>
      <c r="G117" s="7">
        <v>1</v>
      </c>
      <c r="H117" s="21" t="s">
        <v>347</v>
      </c>
      <c r="I117" s="13">
        <v>42921.755902777775</v>
      </c>
      <c r="J117" s="7">
        <v>0</v>
      </c>
      <c r="K117" s="89" t="str">
        <f t="shared" si="28"/>
        <v>4041/4042</v>
      </c>
      <c r="L117" s="21" t="str">
        <f>VLOOKUP(A117,'Trips&amp;Operators'!$C$1:$G$99999,5,FALSE)</f>
        <v>STEWART MICHAEL</v>
      </c>
      <c r="M117" s="6">
        <f t="shared" si="29"/>
        <v>2.8576388889632653E-2</v>
      </c>
      <c r="N117" s="7">
        <f t="shared" si="44"/>
        <v>41.150000001071021</v>
      </c>
      <c r="O117" s="7"/>
      <c r="P117" s="7"/>
      <c r="Q117" s="22"/>
      <c r="R117" s="170"/>
      <c r="S117" s="213">
        <f t="shared" si="45"/>
        <v>1</v>
      </c>
      <c r="T117" s="195" t="str">
        <f t="shared" si="30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-07-05T16:23:45-0600',mode:absolute,to:'2017-07-05T19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7" s="197" t="str">
        <f>IF(AA117&lt;VLOOKUP(AG117,Variables!$AC$3:$AD$8,2,FALSE),"Y","N")</f>
        <v>N</v>
      </c>
      <c r="X117" s="197">
        <f t="shared" si="51"/>
        <v>1</v>
      </c>
      <c r="Y117" s="197">
        <f t="shared" si="49"/>
        <v>23.296900000000001</v>
      </c>
      <c r="Z117" s="197">
        <f t="shared" si="50"/>
        <v>1.4999999999999999E-2</v>
      </c>
      <c r="AA117" s="197">
        <f t="shared" si="34"/>
        <v>23.2819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204</v>
      </c>
      <c r="AE117" s="77" t="str">
        <f t="shared" si="36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117" s="74" t="str">
        <f t="shared" si="37"/>
        <v>"C:\Program Files (x86)\AstroGrep\AstroGrep.exe" /e /r /s /spath="%USERPROFILE%\AppData\Local\Temp\OnboardLogs" /stypes="app*4041*20170706*" /stext=" 00:.+((SYSTEM_STATE.+slice.+state.+changed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204-05 --locoid 4041 --swversion DE.1.0.9.0 --startMP 204:232969 --initTime 2017-07-05T17:23:45 --startdatetime 2017-07-05T17:27:21 --delay 1 --endMP 204:150 --enddatetime 2017-07-05T18:08:30 --enforcementcount 0 &gt;&gt;C:\Users\stu\Documents\GitHub\eaglep3-reporting\EC\2017-07-05-refined-times.txt</v>
      </c>
      <c r="AI117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{"issue":{"subject":"","project_id":79,"tracker_id":40,"status_id":1,"priority_id":2,"assigned_to_id":23,"start_date":"2017-07-05","description":"","custom_fields":[{"id":1,"name":"Subdivision","value":"EC"},{"id":4,"name":"Milepost","value":"0.015"},{"id":17,"name":"Train ID","value":"204-05"},{"id":16,"name":"Locomotive ID","value":"4041"},{"id":130,"name":"Impact","value":""},{"id":150,"name":"Time of Event (Mountain Time)","value":"18:08:30"},{"id":151,"name":"Denver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4041 --day 2017-07-05</v>
      </c>
      <c r="AN117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766</v>
      </c>
      <c r="B118" s="7">
        <v>4008</v>
      </c>
      <c r="C118" s="21" t="s">
        <v>202</v>
      </c>
      <c r="D118" s="21" t="s">
        <v>384</v>
      </c>
      <c r="E118" s="13">
        <v>42921.693506944444</v>
      </c>
      <c r="F118" s="13">
        <v>42921.698414351849</v>
      </c>
      <c r="G118" s="7">
        <v>1</v>
      </c>
      <c r="H118" s="21" t="s">
        <v>555</v>
      </c>
      <c r="I118" s="13">
        <v>42921.722939814812</v>
      </c>
      <c r="J118" s="7">
        <v>0</v>
      </c>
      <c r="K118" s="89" t="str">
        <f t="shared" si="28"/>
        <v>4007/4008</v>
      </c>
      <c r="L118" s="21" t="str">
        <f>VLOOKUP(A118,'Trips&amp;Operators'!$C$1:$G$99999,5,FALSE)</f>
        <v>ROMERO CHAD</v>
      </c>
      <c r="M118" s="6">
        <f t="shared" si="29"/>
        <v>2.4525462962628808E-2</v>
      </c>
      <c r="N118" s="7">
        <f t="shared" ref="N118:N131" si="52">24*60*SUM($M118:$M118)</f>
        <v>35.316666666185483</v>
      </c>
      <c r="O118" s="7"/>
      <c r="P118" s="7"/>
      <c r="Q118" s="22"/>
      <c r="R118" s="170"/>
      <c r="S118" s="213">
        <f t="shared" ref="S118:S131" si="53">SUM(U118:U118)/IF(AG118="EC",12,1)</f>
        <v>1</v>
      </c>
      <c r="T118" s="195" t="str">
        <f t="shared" si="30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-07-05T15:38:39-0600',mode:absolute,to:'2017-07-05T18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197" t="str">
        <f>IF(AA118&lt;VLOOKUP(AG118,Variables!$AC$3:$AD$8,2,FALSE),"Y","N")</f>
        <v>N</v>
      </c>
      <c r="X118" s="197">
        <f t="shared" si="51"/>
        <v>1</v>
      </c>
      <c r="Y118" s="197">
        <f t="shared" si="49"/>
        <v>4.6199999999999998E-2</v>
      </c>
      <c r="Z118" s="197">
        <f t="shared" si="50"/>
        <v>23.3353</v>
      </c>
      <c r="AA118" s="197">
        <f t="shared" si="34"/>
        <v>23.289100000000001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205</v>
      </c>
      <c r="AE118" s="77" t="str">
        <f t="shared" si="36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18" s="74" t="str">
        <f t="shared" si="37"/>
        <v>"C:\Program Files (x86)\AstroGrep\AstroGrep.exe" /e /r /s /spath="%USERPROFILE%\AppData\Local\Temp\OnboardLogs" /stypes="app*4008*20170705*"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205-05 --locoid 4008 --swversion DE.1.0.9.0 --startMP 204:462 --initTime 2017-07-05T16:38:39 --startdatetime 2017-07-05T16:45:43 --delay 1 --endMP 204:233353 --enddatetime 2017-07-05T17:21:02 --enforcementcount 0 &gt;&gt;C:\Users\stu\Documents\GitHub\eaglep3-reporting\EC\2017-07-05-refined-times.txt</v>
      </c>
      <c r="AI11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{"issue":{"subject":"","project_id":79,"tracker_id":40,"status_id":1,"priority_id":2,"assigned_to_id":23,"start_date":"2017-07-05","description":"","custom_fields":[{"id":1,"name":"Subdivision","value":"EC"},{"id":4,"name":"Milepost","value":"23.3353"},{"id":17,"name":"Train ID","value":"205-05"},{"id":16,"name":"Locomotive ID","value":"4008"},{"id":130,"name":"Impact","value":""},{"id":150,"name":"Time of Event (Mountain Time)","value":"17:21:02"},{"id":151,"name":"Denver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4008 --day 2017-07-05</v>
      </c>
      <c r="AN118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619</v>
      </c>
      <c r="B119" s="7">
        <v>4007</v>
      </c>
      <c r="C119" s="21" t="s">
        <v>202</v>
      </c>
      <c r="D119" s="21" t="s">
        <v>877</v>
      </c>
      <c r="E119" s="13">
        <v>42921.727094907408</v>
      </c>
      <c r="F119" s="13">
        <v>42921.737650462965</v>
      </c>
      <c r="G119" s="7">
        <v>1</v>
      </c>
      <c r="H119" s="21" t="s">
        <v>858</v>
      </c>
      <c r="I119" s="13">
        <v>42921.76358796296</v>
      </c>
      <c r="J119" s="7">
        <v>0</v>
      </c>
      <c r="K119" s="89" t="str">
        <f t="shared" si="28"/>
        <v>4007/4008</v>
      </c>
      <c r="L119" s="21" t="str">
        <f>VLOOKUP(A119,'Trips&amp;Operators'!$C$1:$G$99999,5,FALSE)</f>
        <v>ROMERO CHAD</v>
      </c>
      <c r="M119" s="6">
        <f t="shared" si="29"/>
        <v>2.5937499995052349E-2</v>
      </c>
      <c r="N119" s="7">
        <f t="shared" si="52"/>
        <v>37.349999992875382</v>
      </c>
      <c r="O119" s="7"/>
      <c r="P119" s="7"/>
      <c r="Q119" s="22"/>
      <c r="R119" s="170"/>
      <c r="S119" s="213">
        <f t="shared" si="53"/>
        <v>1</v>
      </c>
      <c r="T119" s="195" t="str">
        <f t="shared" si="30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-07-05T16:27:01-0600',mode:absolute,to:'2017-07-05T19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197" t="str">
        <f>IF(AA119&lt;VLOOKUP(AG119,Variables!$AC$3:$AD$8,2,FALSE),"Y","N")</f>
        <v>N</v>
      </c>
      <c r="X119" s="197">
        <f t="shared" si="51"/>
        <v>1</v>
      </c>
      <c r="Y119" s="197">
        <f t="shared" si="49"/>
        <v>23.303999999999998</v>
      </c>
      <c r="Z119" s="197">
        <f t="shared" si="50"/>
        <v>1.29E-2</v>
      </c>
      <c r="AA119" s="197">
        <f t="shared" si="34"/>
        <v>23.2911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206</v>
      </c>
      <c r="AE119" s="77" t="str">
        <f t="shared" si="36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119" s="74" t="str">
        <f t="shared" si="37"/>
        <v>"C:\Program Files (x86)\AstroGrep\AstroGrep.exe" /e /r /s /spath="%USERPROFILE%\AppData\Local\Temp\OnboardLogs" /stypes="app*4007*20170706*" /stext=" 00:.+((SYSTEM_STATE.+slice.+state.+changed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206-05 --locoid 4007 --swversion DE.1.0.9.0 --startMP 204:233040 --initTime 2017-07-05T17:27:01 --startdatetime 2017-07-05T17:42:13 --delay 1 --endMP 204:129 --enddatetime 2017-07-05T18:19:34 --enforcementcount 0 &gt;&gt;C:\Users\stu\Documents\GitHub\eaglep3-reporting\EC\2017-07-05-refined-times.txt</v>
      </c>
      <c r="AI119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{"issue":{"subject":"","project_id":79,"tracker_id":40,"status_id":1,"priority_id":2,"assigned_to_id":23,"start_date":"2017-07-05","description":"","custom_fields":[{"id":1,"name":"Subdivision","value":"EC"},{"id":4,"name":"Milepost","value":"0.0129"},{"id":17,"name":"Train ID","value":"206-05"},{"id":16,"name":"Locomotive ID","value":"4007"},{"id":130,"name":"Impact","value":""},{"id":150,"name":"Time of Event (Mountain Time)","value":"18:19:34"},{"id":151,"name":"Denver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4007 --day 2017-07-05</v>
      </c>
      <c r="AN119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769</v>
      </c>
      <c r="B120" s="7">
        <v>4054</v>
      </c>
      <c r="C120" s="21" t="s">
        <v>202</v>
      </c>
      <c r="D120" s="21" t="s">
        <v>437</v>
      </c>
      <c r="E120" s="13">
        <v>42921.704895833333</v>
      </c>
      <c r="F120" s="13">
        <v>42921.708865740744</v>
      </c>
      <c r="G120" s="7">
        <v>1</v>
      </c>
      <c r="H120" s="21" t="s">
        <v>482</v>
      </c>
      <c r="I120" s="13">
        <v>42921.734791666669</v>
      </c>
      <c r="J120" s="7">
        <v>0</v>
      </c>
      <c r="K120" s="89" t="str">
        <f t="shared" si="28"/>
        <v>4053/4054</v>
      </c>
      <c r="L120" s="21" t="str">
        <f>VLOOKUP(A120,'Trips&amp;Operators'!$C$1:$G$99999,5,FALSE)</f>
        <v>BRUDER RICHARD</v>
      </c>
      <c r="M120" s="6">
        <f t="shared" si="29"/>
        <v>2.5925925925548654E-2</v>
      </c>
      <c r="N120" s="7">
        <f t="shared" si="52"/>
        <v>37.333333332790062</v>
      </c>
      <c r="O120" s="7"/>
      <c r="P120" s="7"/>
      <c r="Q120" s="22"/>
      <c r="R120" s="170"/>
      <c r="S120" s="213">
        <f t="shared" si="53"/>
        <v>1</v>
      </c>
      <c r="T120" s="195" t="str">
        <f t="shared" si="30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-07-05T15:55:03-0600',mode:absolute,to:'2017-07-05T18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97" t="str">
        <f>IF(AA120&lt;VLOOKUP(AG120,Variables!$AC$3:$AD$8,2,FALSE),"Y","N")</f>
        <v>N</v>
      </c>
      <c r="X120" s="197">
        <f t="shared" si="51"/>
        <v>1</v>
      </c>
      <c r="Y120" s="197">
        <f t="shared" si="49"/>
        <v>4.4400000000000002E-2</v>
      </c>
      <c r="Z120" s="197">
        <f t="shared" si="50"/>
        <v>23.329499999999999</v>
      </c>
      <c r="AA120" s="197">
        <f t="shared" si="34"/>
        <v>23.2851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207</v>
      </c>
      <c r="AE120" s="77" t="str">
        <f t="shared" si="36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120" s="74" t="str">
        <f t="shared" si="37"/>
        <v>"C:\Program Files (x86)\AstroGrep\AstroGrep.exe" /e /r /s /spath="%USERPROFILE%\AppData\Local\Temp\OnboardLogs" /stypes="app*4054*20170705*" /stext=" 23:.+((SYSTEM_STATE.+slice.+state.+changed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207-05 --locoid 4054 --swversion DE.1.0.9.0 --startMP 204:444 --initTime 2017-07-05T16:55:03 --startdatetime 2017-07-05T17:00:46 --delay 1 --endMP 204:233295 --enddatetime 2017-07-05T17:38:06 --enforcementcount 0 &gt;&gt;C:\Users\stu\Documents\GitHub\eaglep3-reporting\EC\2017-07-05-refined-times.txt</v>
      </c>
      <c r="AI120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{"issue":{"subject":"","project_id":79,"tracker_id":40,"status_id":1,"priority_id":2,"assigned_to_id":23,"start_date":"2017-07-05","description":"","custom_fields":[{"id":1,"name":"Subdivision","value":"EC"},{"id":4,"name":"Milepost","value":"23.3295"},{"id":17,"name":"Train ID","value":"207-05"},{"id":16,"name":"Locomotive ID","value":"4054"},{"id":130,"name":"Impact","value":""},{"id":150,"name":"Time of Event (Mountain Time)","value":"17:38:06"},{"id":151,"name":"Denver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4054 --day 2017-07-05</v>
      </c>
      <c r="AN120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780</v>
      </c>
      <c r="B121" s="7">
        <v>4053</v>
      </c>
      <c r="C121" s="21" t="s">
        <v>202</v>
      </c>
      <c r="D121" s="21" t="s">
        <v>547</v>
      </c>
      <c r="E121" s="13">
        <v>42921.742800925924</v>
      </c>
      <c r="F121" s="13">
        <v>42921.748090277775</v>
      </c>
      <c r="G121" s="7">
        <v>1</v>
      </c>
      <c r="H121" s="21" t="s">
        <v>395</v>
      </c>
      <c r="I121" s="13">
        <v>42921.77579861111</v>
      </c>
      <c r="J121" s="7">
        <v>0</v>
      </c>
      <c r="K121" s="89" t="str">
        <f t="shared" si="28"/>
        <v>4053/4054</v>
      </c>
      <c r="L121" s="21" t="str">
        <f>VLOOKUP(A121,'Trips&amp;Operators'!$C$1:$G$99999,5,FALSE)</f>
        <v>BRUDER RICHARD</v>
      </c>
      <c r="M121" s="6">
        <f t="shared" si="29"/>
        <v>2.7708333334885538E-2</v>
      </c>
      <c r="N121" s="7">
        <f t="shared" si="52"/>
        <v>39.900000002235174</v>
      </c>
      <c r="O121" s="7"/>
      <c r="P121" s="7"/>
      <c r="Q121" s="22"/>
      <c r="R121" s="170"/>
      <c r="S121" s="213">
        <f t="shared" si="53"/>
        <v>1</v>
      </c>
      <c r="T121" s="195" t="str">
        <f t="shared" si="30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-07-05T16:49:38-0600',mode:absolute,to:'2017-07-05T19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1" s="197" t="str">
        <f>IF(AA121&lt;VLOOKUP(AG121,Variables!$AC$3:$AD$8,2,FALSE),"Y","N")</f>
        <v>N</v>
      </c>
      <c r="X121" s="197">
        <f t="shared" si="51"/>
        <v>1</v>
      </c>
      <c r="Y121" s="197">
        <f t="shared" si="49"/>
        <v>23.297699999999999</v>
      </c>
      <c r="Z121" s="197">
        <f t="shared" si="50"/>
        <v>1.4500000000000001E-2</v>
      </c>
      <c r="AA121" s="197">
        <f t="shared" si="34"/>
        <v>23.283199999999997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208</v>
      </c>
      <c r="AE121" s="77" t="str">
        <f t="shared" si="36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121" s="74" t="str">
        <f t="shared" si="37"/>
        <v>"C:\Program Files (x86)\AstroGrep\AstroGrep.exe" /e /r /s /spath="%USERPROFILE%\AppData\Local\Temp\OnboardLogs" /stypes="app*4053*20170706*" /stext=" 00:.+((SYSTEM_STATE.+slice.+state.+changed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208-05 --locoid 4053 --swversion DE.1.0.9.0 --startMP 204:232977 --initTime 2017-07-05T17:49:38 --startdatetime 2017-07-05T17:57:15 --delay 1 --endMP 204:145 --enddatetime 2017-07-05T18:37:09 --enforcementcount 0 &gt;&gt;C:\Users\stu\Documents\GitHub\eaglep3-reporting\EC\2017-07-05-refined-times.txt</v>
      </c>
      <c r="AI121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{"issue":{"subject":"","project_id":79,"tracker_id":40,"status_id":1,"priority_id":2,"assigned_to_id":23,"start_date":"2017-07-05","description":"","custom_fields":[{"id":1,"name":"Subdivision","value":"EC"},{"id":4,"name":"Milepost","value":"0.0145"},{"id":17,"name":"Train ID","value":"208-05"},{"id":16,"name":"Locomotive ID","value":"4053"},{"id":130,"name":"Impact","value":""},{"id":150,"name":"Time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4053 --day 2017-07-05</v>
      </c>
      <c r="AN121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773</v>
      </c>
      <c r="B122" s="7">
        <v>4062</v>
      </c>
      <c r="C122" s="21" t="s">
        <v>202</v>
      </c>
      <c r="D122" s="21" t="s">
        <v>878</v>
      </c>
      <c r="E122" s="13">
        <v>42921.715949074074</v>
      </c>
      <c r="F122" s="13">
        <v>42921.719270833331</v>
      </c>
      <c r="G122" s="7">
        <v>1</v>
      </c>
      <c r="H122" s="21" t="s">
        <v>879</v>
      </c>
      <c r="I122" s="13">
        <v>42921.744629629633</v>
      </c>
      <c r="J122" s="7">
        <v>0</v>
      </c>
      <c r="K122" s="89" t="str">
        <f t="shared" si="28"/>
        <v>4061/4062</v>
      </c>
      <c r="L122" s="21" t="str">
        <f>VLOOKUP(A122,'Trips&amp;Operators'!$C$1:$G$99999,5,FALSE)</f>
        <v>LEVIN SCOTT</v>
      </c>
      <c r="M122" s="6">
        <f t="shared" si="29"/>
        <v>2.5358796301588882E-2</v>
      </c>
      <c r="N122" s="7">
        <f t="shared" si="52"/>
        <v>36.51666667428799</v>
      </c>
      <c r="O122" s="7"/>
      <c r="P122" s="7"/>
      <c r="Q122" s="22"/>
      <c r="R122" s="170"/>
      <c r="S122" s="213">
        <f t="shared" si="53"/>
        <v>1</v>
      </c>
      <c r="T122" s="195" t="str">
        <f t="shared" si="30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-07-05T16:10:58-0600',mode:absolute,to:'2017-07-05T18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2" s="197" t="str">
        <f>IF(AA122&lt;VLOOKUP(AG122,Variables!$AC$3:$AD$8,2,FALSE),"Y","N")</f>
        <v>N</v>
      </c>
      <c r="X122" s="197">
        <f t="shared" si="51"/>
        <v>1</v>
      </c>
      <c r="Y122" s="197">
        <f t="shared" si="49"/>
        <v>4.2900000000000001E-2</v>
      </c>
      <c r="Z122" s="197">
        <f t="shared" si="50"/>
        <v>23.3383</v>
      </c>
      <c r="AA122" s="197">
        <f t="shared" si="34"/>
        <v>23.295400000000001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209</v>
      </c>
      <c r="AE122" s="77" t="str">
        <f t="shared" si="36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122" s="74" t="str">
        <f t="shared" si="37"/>
        <v>"C:\Program Files (x86)\AstroGrep\AstroGrep.exe" /e /r /s /spath="%USERPROFILE%\AppData\Local\Temp\OnboardLogs" /stypes="app*4062*20170705*" /stext=" 23:.+((SYSTEM_STATE.+slice.+state.+changed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209-05 --locoid 4062 --swversion DE.1.0.9.0 --startMP 204:429 --initTime 2017-07-05T17:10:58 --startdatetime 2017-07-05T17:15:45 --delay 1 --endMP 204:233383 --enddatetime 2017-07-05T17:52:16 --enforcementcount 0 &gt;&gt;C:\Users\stu\Documents\GitHub\eaglep3-reporting\EC\2017-07-05-refined-times.txt</v>
      </c>
      <c r="AI122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{"issue":{"subject":"","project_id":79,"tracker_id":40,"status_id":1,"priority_id":2,"assigned_to_id":23,"start_date":"2017-07-05","description":"","custom_fields":[{"id":1,"name":"Subdivision","value":"EC"},{"id":4,"name":"Milepost","value":"23.3383"},{"id":17,"name":"Train ID","value":"209-05"},{"id":16,"name":"Locomotive ID","value":"4062"},{"id":130,"name":"Impact","value":""},{"id":150,"name":"Time of Event (Mountain Time)","value":"17:52:16"},{"id":151,"name":"Denver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4062 --day 2017-07-05</v>
      </c>
      <c r="AN122" s="151" t="str">
        <f t="shared" si="42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781</v>
      </c>
      <c r="B123" s="7">
        <v>4061</v>
      </c>
      <c r="C123" s="21" t="s">
        <v>202</v>
      </c>
      <c r="D123" s="21" t="s">
        <v>550</v>
      </c>
      <c r="E123" s="13">
        <v>42921.755902777775</v>
      </c>
      <c r="F123" s="13">
        <v>42921.758564814816</v>
      </c>
      <c r="G123" s="7">
        <v>1</v>
      </c>
      <c r="H123" s="21" t="s">
        <v>357</v>
      </c>
      <c r="I123" s="13">
        <v>42921.785949074074</v>
      </c>
      <c r="J123" s="7">
        <v>0</v>
      </c>
      <c r="K123" s="89" t="str">
        <f t="shared" si="28"/>
        <v>4061/4062</v>
      </c>
      <c r="L123" s="21" t="str">
        <f>VLOOKUP(A123,'Trips&amp;Operators'!$C$1:$G$99999,5,FALSE)</f>
        <v>LEVIN SCOTT</v>
      </c>
      <c r="M123" s="6">
        <f t="shared" si="29"/>
        <v>2.7384259257814847E-2</v>
      </c>
      <c r="N123" s="7">
        <f t="shared" si="52"/>
        <v>39.43333333125338</v>
      </c>
      <c r="O123" s="7"/>
      <c r="P123" s="7"/>
      <c r="Q123" s="22"/>
      <c r="R123" s="170"/>
      <c r="S123" s="213">
        <f t="shared" si="53"/>
        <v>1</v>
      </c>
      <c r="T123" s="195" t="str">
        <f t="shared" si="30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-07-05T17:08:30-0600',mode:absolute,to:'2017-07-05T19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3" s="197" t="str">
        <f>IF(AA123&lt;VLOOKUP(AG123,Variables!$AC$3:$AD$8,2,FALSE),"Y","N")</f>
        <v>N</v>
      </c>
      <c r="X123" s="197">
        <f t="shared" si="51"/>
        <v>1</v>
      </c>
      <c r="Y123" s="197">
        <f t="shared" si="49"/>
        <v>23.3079</v>
      </c>
      <c r="Z123" s="197">
        <f t="shared" si="50"/>
        <v>1.41E-2</v>
      </c>
      <c r="AA123" s="197">
        <f t="shared" si="34"/>
        <v>23.293800000000001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210</v>
      </c>
      <c r="AE123" s="77" t="str">
        <f t="shared" si="36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123" s="74" t="str">
        <f t="shared" si="37"/>
        <v>"C:\Program Files (x86)\AstroGrep\AstroGrep.exe" /e /r /s /spath="%USERPROFILE%\AppData\Local\Temp\OnboardLogs" /stypes="app*4061*20170706*" /stext=" 00:.+((SYSTEM_STATE.+slice.+state.+changed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210-05 --locoid 4061 --swversion DE.1.0.9.0 --startMP 204:233079 --initTime 2017-07-05T18:08:30 --startdatetime 2017-07-05T18:12:20 --delay 1 --endMP 204:141 --enddatetime 2017-07-05T18:51:46 --enforcementcount 0 &gt;&gt;C:\Users\stu\Documents\GitHub\eaglep3-reporting\EC\2017-07-05-refined-times.txt</v>
      </c>
      <c r="AI123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{"issue":{"subject":"","project_id":79,"tracker_id":40,"status_id":1,"priority_id":2,"assigned_to_id":23,"start_date":"2017-07-05","description":"","custom_fields":[{"id":1,"name":"Subdivision","value":"EC"},{"id":4,"name":"Milepost","value":"0.0141"},{"id":17,"name":"Train ID","value":"210-05"},{"id":16,"name":"Locomotive ID","value":"4061"},{"id":130,"name":"Impact","value":""},{"id":150,"name":"Time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4061 --day 2017-07-05</v>
      </c>
      <c r="AN123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776</v>
      </c>
      <c r="B124" s="7">
        <v>4056</v>
      </c>
      <c r="C124" s="21" t="s">
        <v>202</v>
      </c>
      <c r="D124" s="21" t="s">
        <v>400</v>
      </c>
      <c r="E124" s="13">
        <v>42921.725497685184</v>
      </c>
      <c r="F124" s="13">
        <v>42921.729687500003</v>
      </c>
      <c r="G124" s="7">
        <v>1</v>
      </c>
      <c r="H124" s="21" t="s">
        <v>880</v>
      </c>
      <c r="I124" s="13">
        <v>42921.755300925928</v>
      </c>
      <c r="J124" s="7">
        <v>0</v>
      </c>
      <c r="K124" s="89" t="str">
        <f t="shared" si="28"/>
        <v>4055/4056</v>
      </c>
      <c r="L124" s="21" t="str">
        <f>VLOOKUP(A124,'Trips&amp;Operators'!$C$1:$G$99999,5,FALSE)</f>
        <v>RESPASS AARON</v>
      </c>
      <c r="M124" s="6">
        <f t="shared" si="29"/>
        <v>2.5613425925257616E-2</v>
      </c>
      <c r="N124" s="7">
        <f t="shared" si="52"/>
        <v>36.883333332370967</v>
      </c>
      <c r="O124" s="7"/>
      <c r="P124" s="7"/>
      <c r="Q124" s="22"/>
      <c r="R124" s="170"/>
      <c r="S124" s="213">
        <f t="shared" si="53"/>
        <v>1</v>
      </c>
      <c r="T124" s="195" t="str">
        <f t="shared" si="30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-07-05T16:24:43-0600',mode:absolute,to:'2017-07-05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197" t="str">
        <f>IF(AA124&lt;VLOOKUP(AG124,Variables!$AC$3:$AD$8,2,FALSE),"Y","N")</f>
        <v>N</v>
      </c>
      <c r="X124" s="197">
        <f t="shared" si="51"/>
        <v>1</v>
      </c>
      <c r="Y124" s="197">
        <f t="shared" si="49"/>
        <v>4.6699999999999998E-2</v>
      </c>
      <c r="Z124" s="197">
        <f t="shared" si="50"/>
        <v>23.3355</v>
      </c>
      <c r="AA124" s="197">
        <f t="shared" si="34"/>
        <v>23.288799999999998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211</v>
      </c>
      <c r="AE124" s="77" t="str">
        <f t="shared" si="36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124" s="74" t="str">
        <f t="shared" si="37"/>
        <v>"C:\Program Files (x86)\AstroGrep\AstroGrep.exe" /e /r /s /spath="%USERPROFILE%\AppData\Local\Temp\OnboardLogs" /stypes="app*4056*20170706*"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211-05 --locoid 4056 --swversion DE.1.0.9.0 --startMP 204:467 --initTime 2017-07-05T17:24:43 --startdatetime 2017-07-05T17:30:45 --delay 1 --endMP 204:233355 --enddatetime 2017-07-05T18:07:38 --enforcementcount 0 &gt;&gt;C:\Users\stu\Documents\GitHub\eaglep3-reporting\EC\2017-07-05-refined-times.txt</v>
      </c>
      <c r="AI124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{"issue":{"subject":"","project_id":79,"tracker_id":40,"status_id":1,"priority_id":2,"assigned_to_id":23,"start_date":"2017-07-05","description":"","custom_fields":[{"id":1,"name":"Subdivision","value":"EC"},{"id":4,"name":"Milepost","value":"23.3355"},{"id":17,"name":"Train ID","value":"211-05"},{"id":16,"name":"Locomotive ID","value":"4056"},{"id":130,"name":"Impact","value":""},{"id":150,"name":"Time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4056 --day 2017-07-05</v>
      </c>
      <c r="AN124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623</v>
      </c>
      <c r="B125" s="7">
        <v>4055</v>
      </c>
      <c r="C125" s="21" t="s">
        <v>202</v>
      </c>
      <c r="D125" s="21" t="s">
        <v>554</v>
      </c>
      <c r="E125" s="13">
        <v>42921.757141203707</v>
      </c>
      <c r="F125" s="13">
        <v>42921.76902777778</v>
      </c>
      <c r="G125" s="7">
        <v>1</v>
      </c>
      <c r="H125" s="21" t="s">
        <v>881</v>
      </c>
      <c r="I125" s="13">
        <v>42921.796527777777</v>
      </c>
      <c r="J125" s="7">
        <v>0</v>
      </c>
      <c r="K125" s="89" t="str">
        <f t="shared" si="28"/>
        <v>4055/4056</v>
      </c>
      <c r="L125" s="21" t="str">
        <f>VLOOKUP(A125,'Trips&amp;Operators'!$C$1:$G$99999,5,FALSE)</f>
        <v>RESPASS AARON</v>
      </c>
      <c r="M125" s="6">
        <f t="shared" si="29"/>
        <v>2.749999999650754E-2</v>
      </c>
      <c r="N125" s="7">
        <f t="shared" si="52"/>
        <v>39.599999994970858</v>
      </c>
      <c r="O125" s="7"/>
      <c r="P125" s="7"/>
      <c r="Q125" s="22"/>
      <c r="R125" s="170"/>
      <c r="S125" s="213">
        <f t="shared" si="53"/>
        <v>1</v>
      </c>
      <c r="T125" s="195" t="str">
        <f t="shared" si="30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-07-05T17:10:17-0600',mode:absolute,to:'2017-07-05T20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197" t="str">
        <f>IF(AA125&lt;VLOOKUP(AG125,Variables!$AC$3:$AD$8,2,FALSE),"Y","N")</f>
        <v>N</v>
      </c>
      <c r="X125" s="197">
        <f t="shared" si="51"/>
        <v>1</v>
      </c>
      <c r="Y125" s="197">
        <f t="shared" si="49"/>
        <v>23.302499999999998</v>
      </c>
      <c r="Z125" s="197">
        <f t="shared" si="50"/>
        <v>2.3400000000000001E-2</v>
      </c>
      <c r="AA125" s="197">
        <f t="shared" si="34"/>
        <v>23.2791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212</v>
      </c>
      <c r="AE125" s="77" t="str">
        <f t="shared" si="36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125" s="74" t="str">
        <f t="shared" si="37"/>
        <v>"C:\Program Files (x86)\AstroGrep\AstroGrep.exe" /e /r /s /spath="%USERPROFILE%\AppData\Local\Temp\OnboardLogs" /stypes="app*4055*20170706*" /stext=" 01:.+((SYSTEM_STATE.+slice.+state.+changed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212-05 --locoid 4055 --swversion DE.1.0.9.0 --startMP 204:233025 --initTime 2017-07-05T18:10:17 --startdatetime 2017-07-05T18:27:24 --delay 1 --endMP 204:234 --enddatetime 2017-07-05T19:07:00 --enforcementcount 0 &gt;&gt;C:\Users\stu\Documents\GitHub\eaglep3-reporting\EC\2017-07-05-refined-times.txt</v>
      </c>
      <c r="AI125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{"issue":{"subject":"","project_id":79,"tracker_id":40,"status_id":1,"priority_id":2,"assigned_to_id":23,"start_date":"2017-07-05","description":"","custom_fields":[{"id":1,"name":"Subdivision","value":"EC"},{"id":4,"name":"Milepost","value":"0.0234"},{"id":17,"name":"Train ID","value":"212-05"},{"id":16,"name":"Locomotive ID","value":"4055"},{"id":130,"name":"Impact","value":""},{"id":150,"name":"Time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4055 --day 2017-07-05</v>
      </c>
      <c r="AN125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620</v>
      </c>
      <c r="B126" s="7">
        <v>4018</v>
      </c>
      <c r="C126" s="21" t="s">
        <v>202</v>
      </c>
      <c r="D126" s="21" t="s">
        <v>198</v>
      </c>
      <c r="E126" s="13">
        <v>42921.738333333335</v>
      </c>
      <c r="F126" s="13">
        <v>42921.74013888889</v>
      </c>
      <c r="G126" s="7">
        <v>1</v>
      </c>
      <c r="H126" s="21" t="s">
        <v>882</v>
      </c>
      <c r="I126" s="13">
        <v>42921.766342592593</v>
      </c>
      <c r="J126" s="7">
        <v>0</v>
      </c>
      <c r="K126" s="89" t="str">
        <f t="shared" si="28"/>
        <v>4017/4018</v>
      </c>
      <c r="L126" s="21" t="str">
        <f>VLOOKUP(A126,'Trips&amp;Operators'!$C$1:$G$99999,5,FALSE)</f>
        <v>HAITHCOX MICHAEL</v>
      </c>
      <c r="M126" s="6">
        <f t="shared" si="29"/>
        <v>2.6203703702776693E-2</v>
      </c>
      <c r="N126" s="7">
        <f t="shared" si="52"/>
        <v>37.733333331998438</v>
      </c>
      <c r="O126" s="7"/>
      <c r="P126" s="7"/>
      <c r="Q126" s="22"/>
      <c r="R126" s="170" t="s">
        <v>1047</v>
      </c>
      <c r="S126" s="213">
        <f t="shared" si="53"/>
        <v>1</v>
      </c>
      <c r="T126" s="195" t="str">
        <f t="shared" si="30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-07-05T16:43:12-0600',mode:absolute,to:'2017-07-05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197" t="str">
        <f>IF(AA126&lt;VLOOKUP(AG126,Variables!$AC$3:$AD$8,2,FALSE),"Y","N")</f>
        <v>Y</v>
      </c>
      <c r="X126" s="197">
        <f t="shared" si="51"/>
        <v>1</v>
      </c>
      <c r="Y126" s="197">
        <f t="shared" si="49"/>
        <v>4.5699999999999998E-2</v>
      </c>
      <c r="Z126" s="197">
        <f t="shared" si="50"/>
        <v>22.806799999999999</v>
      </c>
      <c r="AA126" s="197">
        <f t="shared" si="34"/>
        <v>22.761099999999999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213</v>
      </c>
      <c r="AE126" s="77" t="str">
        <f t="shared" si="36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126" s="74" t="str">
        <f t="shared" si="37"/>
        <v>"C:\Program Files (x86)\AstroGrep\AstroGrep.exe" /e /r /s /spath="%USERPROFILE%\AppData\Local\Temp\OnboardLogs" /stypes="app*4018*20170706*" /stext=" 00:.+((SYSTEM_STATE.+slice.+state.+changed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213-05 --locoid 4018 --swversion DE.1.0.9.0 --startMP 204:457 --initTime 2017-07-05T17:43:12 --startdatetime 2017-07-05T17:45:48 --delay 1 --endMP 204:228068 --enddatetime 2017-07-05T18:23:32 --enforcementcount 0 &gt;&gt;C:\Users\stu\Documents\GitHub\eaglep3-reporting\EC\2017-07-05-refined-times.txt</v>
      </c>
      <c r="AI126" s="96" t="str">
        <f t="shared" si="40"/>
        <v>echo {"issue":{"subject":"DTO Barricade Test","project_id":79,"tracker_id":40,"status_id":1,"priority_id":2,"assigned_to_id":23,"start_date":"2017-07-05","description":"","custom_fields":[{"id":1,"name":"Subdivision","value":"EC"},{"id":4,"name":"Milepost","value":"22.8068"},{"id":17,"name":"Train ID","value":"213-05"},{"id":16,"name":"Locomotive ID","value":"4018"},{"id":130,"name":"Impact","value":""},{"id":150,"name":"Time of Event (Mountain Time)","value":"18:23:32"},{"id":151,"name":"Denver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4018 --day 2017-07-05</v>
      </c>
      <c r="AN126" s="151" t="str">
        <f t="shared" si="42"/>
        <v>echo {"issue":{"subject":"DTO Barricade Test","project_id":30,"tracker_id":4,"status_id":1,"priority_id":1,"assigned_to_id":10,"start_date":"2017-07-06","description":"","custom_fields":[{"id":30,"name":"Category","value":"Issue"},{"id":3,"name":"Functional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625</v>
      </c>
      <c r="B127" s="7">
        <v>4017</v>
      </c>
      <c r="C127" s="21" t="s">
        <v>202</v>
      </c>
      <c r="D127" s="21" t="s">
        <v>474</v>
      </c>
      <c r="E127" s="13">
        <v>42921.77511574074</v>
      </c>
      <c r="F127" s="13">
        <v>42921.779421296298</v>
      </c>
      <c r="G127" s="7">
        <v>1</v>
      </c>
      <c r="H127" s="21" t="s">
        <v>541</v>
      </c>
      <c r="I127" s="13">
        <v>42921.808356481481</v>
      </c>
      <c r="J127" s="7">
        <v>0</v>
      </c>
      <c r="K127" s="89" t="str">
        <f t="shared" si="28"/>
        <v>4017/4018</v>
      </c>
      <c r="L127" s="21" t="str">
        <f>VLOOKUP(A127,'Trips&amp;Operators'!$C$1:$G$99999,5,FALSE)</f>
        <v>HAITHCOX MICHAEL</v>
      </c>
      <c r="M127" s="6">
        <f t="shared" si="29"/>
        <v>2.8935185182490386E-2</v>
      </c>
      <c r="N127" s="7">
        <f t="shared" si="52"/>
        <v>41.666666662786156</v>
      </c>
      <c r="O127" s="7"/>
      <c r="P127" s="7"/>
      <c r="Q127" s="22"/>
      <c r="R127" s="170"/>
      <c r="S127" s="213">
        <f t="shared" si="53"/>
        <v>1</v>
      </c>
      <c r="T127" s="195" t="str">
        <f t="shared" si="30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-07-05T17:36:10-0600',mode:absolute,to:'2017-07-05T20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197" t="str">
        <f>IF(AA127&lt;VLOOKUP(AG127,Variables!$AC$3:$AD$8,2,FALSE),"Y","N")</f>
        <v>N</v>
      </c>
      <c r="X127" s="197">
        <f t="shared" si="51"/>
        <v>1</v>
      </c>
      <c r="Y127" s="197">
        <f t="shared" si="49"/>
        <v>23.299800000000001</v>
      </c>
      <c r="Z127" s="197">
        <f t="shared" si="50"/>
        <v>1.72E-2</v>
      </c>
      <c r="AA127" s="197">
        <f t="shared" si="34"/>
        <v>23.282600000000002</v>
      </c>
      <c r="AB127" s="54" t="str">
        <f>VLOOKUP(A127,Enforcements!$C$7:$K$13,8,0)</f>
        <v>Bulletin (2)</v>
      </c>
      <c r="AC127" s="51" t="str">
        <f>VLOOKUP(A127,Enforcements!$C$7:$E$13,3,0)</f>
        <v>GRADE CROSSING</v>
      </c>
      <c r="AD127" s="206">
        <f t="shared" si="35"/>
        <v>214</v>
      </c>
      <c r="AE127" s="77" t="str">
        <f t="shared" si="36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127" s="74" t="str">
        <f t="shared" si="37"/>
        <v>"C:\Program Files (x86)\AstroGrep\AstroGrep.exe" /e /r /s /spath="%USERPROFILE%\AppData\Local\Temp\OnboardLogs" /stypes="app*4017*20170706*" /stext=" 01:.+((SYSTEM_STATE.+slice.+state.+changed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214-05 --locoid 4017 --swversion DE.1.0.9.0 --startMP 204:232998 --initTime 2017-07-05T18:36:10 --startdatetime 2017-07-05T18:42:22 --delay 1 --endMP 204:172 --enddatetime 2017-07-05T19:24:02 --enforcementcount 0 &gt;&gt;C:\Users\stu\Documents\GitHub\eaglep3-reporting\EC\2017-07-05-refined-times.txt</v>
      </c>
      <c r="AI127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{"issue":{"subject":"","project_id":79,"tracker_id":40,"status_id":1,"priority_id":2,"assigned_to_id":23,"start_date":"2017-07-05","description":"","custom_fields":[{"id":1,"name":"Subdivision","value":"EC"},{"id":4,"name":"Milepost","value":"0.0172"},{"id":17,"name":"Train ID","value":"214-05"},{"id":16,"name":"Locomotive ID","value":"4017"},{"id":130,"name":"Impact","value":""},{"id":150,"name":"Time of Event (Mountain Time)","value":"19:24:02"},{"id":151,"name":"Denver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4017 --day 2017-07-05</v>
      </c>
      <c r="AN127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622</v>
      </c>
      <c r="B128" s="7">
        <v>4014</v>
      </c>
      <c r="C128" s="21" t="s">
        <v>202</v>
      </c>
      <c r="D128" s="21" t="s">
        <v>342</v>
      </c>
      <c r="E128" s="13">
        <v>42921.745972222219</v>
      </c>
      <c r="F128" s="13">
        <v>42921.750358796293</v>
      </c>
      <c r="G128" s="7">
        <v>1</v>
      </c>
      <c r="H128" s="21" t="s">
        <v>436</v>
      </c>
      <c r="I128" s="13">
        <v>42921.776655092595</v>
      </c>
      <c r="J128" s="7">
        <v>0</v>
      </c>
      <c r="K128" s="89" t="str">
        <f t="shared" si="28"/>
        <v>4013/4014</v>
      </c>
      <c r="L128" s="21" t="str">
        <f>VLOOKUP(A128,'Trips&amp;Operators'!$C$1:$G$99999,5,FALSE)</f>
        <v>HOLCOMB KAMDEN</v>
      </c>
      <c r="M128" s="6">
        <f t="shared" si="29"/>
        <v>2.6296296302461997E-2</v>
      </c>
      <c r="N128" s="7">
        <f t="shared" si="52"/>
        <v>37.866666675545275</v>
      </c>
      <c r="O128" s="7"/>
      <c r="P128" s="7"/>
      <c r="Q128" s="22"/>
      <c r="R128" s="170"/>
      <c r="S128" s="213">
        <f t="shared" si="53"/>
        <v>1</v>
      </c>
      <c r="T128" s="195" t="str">
        <f t="shared" si="30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-07-05T16:54:12-0600',mode:absolute,to:'2017-07-05T19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8" s="197" t="str">
        <f>IF(AA128&lt;VLOOKUP(AG128,Variables!$AC$3:$AD$8,2,FALSE),"Y","N")</f>
        <v>N</v>
      </c>
      <c r="X128" s="197">
        <f t="shared" si="51"/>
        <v>1</v>
      </c>
      <c r="Y128" s="197">
        <f t="shared" si="49"/>
        <v>4.4900000000000002E-2</v>
      </c>
      <c r="Z128" s="197">
        <f t="shared" si="50"/>
        <v>23.331199999999999</v>
      </c>
      <c r="AA128" s="197">
        <f t="shared" si="34"/>
        <v>23.286300000000001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215</v>
      </c>
      <c r="AE128" s="77" t="str">
        <f t="shared" si="36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128" s="74" t="str">
        <f t="shared" si="37"/>
        <v>"C:\Program Files (x86)\AstroGrep\AstroGrep.exe" /e /r /s /spath="%USERPROFILE%\AppData\Local\Temp\OnboardLogs" /stypes="app*4014*20170706*" /stext=" 00:.+((SYSTEM_STATE.+slice.+state.+changed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215-05 --locoid 4014 --swversion DE.1.0.9.0 --startMP 204:449 --initTime 2017-07-05T17:54:12 --startdatetime 2017-07-05T18:00:31 --delay 1 --endMP 204:233312 --enddatetime 2017-07-05T18:38:23 --enforcementcount 0 &gt;&gt;C:\Users\stu\Documents\GitHub\eaglep3-reporting\EC\2017-07-05-refined-times.txt</v>
      </c>
      <c r="AI12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{"issue":{"subject":"","project_id":79,"tracker_id":40,"status_id":1,"priority_id":2,"assigned_to_id":23,"start_date":"2017-07-05","description":"","custom_fields":[{"id":1,"name":"Subdivision","value":"EC"},{"id":4,"name":"Milepost","value":"23.3312"},{"id":17,"name":"Train ID","value":"215-05"},{"id":16,"name":"Locomotive ID","value":"4014"},{"id":130,"name":"Impact","value":""},{"id":150,"name":"Time of Event (Mountain Time)","value":"18:38:23"},{"id":151,"name":"Denver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4014 --day 2017-07-05</v>
      </c>
      <c r="AN128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626</v>
      </c>
      <c r="B129" s="7">
        <v>4013</v>
      </c>
      <c r="C129" s="21" t="s">
        <v>202</v>
      </c>
      <c r="D129" s="21" t="s">
        <v>835</v>
      </c>
      <c r="E129" s="13">
        <v>42921.78670138889</v>
      </c>
      <c r="F129" s="13">
        <v>42921.789768518516</v>
      </c>
      <c r="G129" s="7">
        <v>1</v>
      </c>
      <c r="H129" s="21" t="s">
        <v>883</v>
      </c>
      <c r="I129" s="13">
        <v>42921.816620370373</v>
      </c>
      <c r="J129" s="7">
        <v>0</v>
      </c>
      <c r="K129" s="89" t="str">
        <f t="shared" si="28"/>
        <v>4013/4014</v>
      </c>
      <c r="L129" s="21" t="str">
        <f>VLOOKUP(A129,'Trips&amp;Operators'!$C$1:$G$99999,5,FALSE)</f>
        <v>HOLCOMB KAMDEN</v>
      </c>
      <c r="M129" s="6">
        <f t="shared" si="29"/>
        <v>2.6851851856918074E-2</v>
      </c>
      <c r="N129" s="7">
        <f t="shared" si="52"/>
        <v>38.666666673962027</v>
      </c>
      <c r="O129" s="7"/>
      <c r="P129" s="7"/>
      <c r="Q129" s="22"/>
      <c r="R129" s="170"/>
      <c r="S129" s="213">
        <f t="shared" si="53"/>
        <v>1</v>
      </c>
      <c r="T129" s="195" t="str">
        <f t="shared" si="30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-07-05T17:52:51-0600',mode:absolute,to:'2017-07-05T20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9" s="197" t="str">
        <f>IF(AA129&lt;VLOOKUP(AG129,Variables!$AC$3:$AD$8,2,FALSE),"Y","N")</f>
        <v>N</v>
      </c>
      <c r="X129" s="197">
        <f t="shared" si="51"/>
        <v>1</v>
      </c>
      <c r="Y129" s="197">
        <f t="shared" si="49"/>
        <v>23.3</v>
      </c>
      <c r="Z129" s="197">
        <f t="shared" si="50"/>
        <v>2.3599999999999999E-2</v>
      </c>
      <c r="AA129" s="197">
        <f t="shared" si="34"/>
        <v>23.276400000000002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216</v>
      </c>
      <c r="AE129" s="77" t="str">
        <f t="shared" si="36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129" s="74" t="str">
        <f t="shared" si="37"/>
        <v>"C:\Program Files (x86)\AstroGrep\AstroGrep.exe" /e /r /s /spath="%USERPROFILE%\AppData\Local\Temp\OnboardLogs" /stypes="app*4013*20170706*" /stext=" 01:.+((SYSTEM_STATE.+slice.+state.+changed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216-05 --locoid 4013 --swversion DE.1.0.9.0 --startMP 204:233000 --initTime 2017-07-05T18:52:51 --startdatetime 2017-07-05T18:57:16 --delay 1 --endMP 204:236 --enddatetime 2017-07-05T19:35:56 --enforcementcount 0 &gt;&gt;C:\Users\stu\Documents\GitHub\eaglep3-reporting\EC\2017-07-05-refined-times.txt</v>
      </c>
      <c r="AI129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{"issue":{"subject":"","project_id":79,"tracker_id":40,"status_id":1,"priority_id":2,"assigned_to_id":23,"start_date":"2017-07-05","description":"","custom_fields":[{"id":1,"name":"Subdivision","value":"EC"},{"id":4,"name":"Milepost","value":"0.0236"},{"id":17,"name":"Train ID","value":"216-05"},{"id":16,"name":"Locomotive ID","value":"4013"},{"id":130,"name":"Impact","value":""},{"id":150,"name":"Time of Event (Mountain Time)","value":"19:35:56"},{"id":151,"name":"Denver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4013 --day 2017-07-05</v>
      </c>
      <c r="AN129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783</v>
      </c>
      <c r="B130" s="7">
        <v>4042</v>
      </c>
      <c r="C130" s="21" t="s">
        <v>202</v>
      </c>
      <c r="D130" s="21" t="s">
        <v>446</v>
      </c>
      <c r="E130" s="13">
        <v>42921.759293981479</v>
      </c>
      <c r="F130" s="13">
        <v>42921.760972222219</v>
      </c>
      <c r="G130" s="7">
        <v>1</v>
      </c>
      <c r="H130" s="21" t="s">
        <v>544</v>
      </c>
      <c r="I130" s="13">
        <v>42921.786712962959</v>
      </c>
      <c r="J130" s="7">
        <v>0</v>
      </c>
      <c r="K130" s="89" t="str">
        <f t="shared" si="28"/>
        <v>4041/4042</v>
      </c>
      <c r="L130" s="21" t="str">
        <f>VLOOKUP(A130,'Trips&amp;Operators'!$C$1:$G$99999,5,FALSE)</f>
        <v>SMITH MICHAEL</v>
      </c>
      <c r="M130" s="6">
        <f t="shared" si="29"/>
        <v>2.5740740740729962E-2</v>
      </c>
      <c r="N130" s="7">
        <f t="shared" si="52"/>
        <v>37.066666666651145</v>
      </c>
      <c r="O130" s="7"/>
      <c r="P130" s="7"/>
      <c r="Q130" s="22"/>
      <c r="R130" s="170"/>
      <c r="S130" s="213">
        <f t="shared" si="53"/>
        <v>1</v>
      </c>
      <c r="T130" s="195" t="str">
        <f t="shared" si="30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-07-05T17:13:23-0600',mode:absolute,to:'2017-07-05T19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0" s="197" t="str">
        <f>IF(AA130&lt;VLOOKUP(AG130,Variables!$AC$3:$AD$8,2,FALSE),"Y","N")</f>
        <v>N</v>
      </c>
      <c r="X130" s="197">
        <f t="shared" si="51"/>
        <v>1</v>
      </c>
      <c r="Y130" s="197">
        <f t="shared" si="49"/>
        <v>4.7500000000000001E-2</v>
      </c>
      <c r="Z130" s="197">
        <f t="shared" si="50"/>
        <v>23.331700000000001</v>
      </c>
      <c r="AA130" s="197">
        <f t="shared" si="34"/>
        <v>23.284200000000002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217</v>
      </c>
      <c r="AE130" s="77" t="str">
        <f t="shared" si="36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130" s="74" t="str">
        <f t="shared" si="37"/>
        <v>"C:\Program Files (x86)\AstroGrep\AstroGrep.exe" /e /r /s /spath="%USERPROFILE%\AppData\Local\Temp\OnboardLogs" /stypes="app*4042*20170706*" /stext=" 00:.+((SYSTEM_STATE.+slice.+state.+changed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217-05 --locoid 4042 --swversion DE.1.0.9.0 --startMP 204:475 --initTime 2017-07-05T18:13:23 --startdatetime 2017-07-05T18:15:48 --delay 1 --endMP 204:233317 --enddatetime 2017-07-05T18:52:52 --enforcementcount 0 &gt;&gt;C:\Users\stu\Documents\GitHub\eaglep3-reporting\EC\2017-07-05-refined-times.txt</v>
      </c>
      <c r="AI130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{"issue":{"subject":"","project_id":79,"tracker_id":40,"status_id":1,"priority_id":2,"assigned_to_id":23,"start_date":"2017-07-05","description":"","custom_fields":[{"id":1,"name":"Subdivision","value":"EC"},{"id":4,"name":"Milepost","value":"23.3317"},{"id":17,"name":"Train ID","value":"217-05"},{"id":16,"name":"Locomotive ID","value":"4042"},{"id":130,"name":"Impact","value":""},{"id":150,"name":"Time of Event (Mountain Time)","value":"18:52:52"},{"id":151,"name":"Denver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4042 --day 2017-07-05</v>
      </c>
      <c r="AN130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789</v>
      </c>
      <c r="B131" s="7">
        <v>4041</v>
      </c>
      <c r="C131" s="21" t="s">
        <v>202</v>
      </c>
      <c r="D131" s="21" t="s">
        <v>500</v>
      </c>
      <c r="E131" s="13">
        <v>42921.792881944442</v>
      </c>
      <c r="F131" s="13">
        <v>42921.800196759257</v>
      </c>
      <c r="G131" s="7">
        <v>1</v>
      </c>
      <c r="H131" s="21" t="s">
        <v>347</v>
      </c>
      <c r="I131" s="13">
        <v>42921.827499999999</v>
      </c>
      <c r="J131" s="7">
        <v>0</v>
      </c>
      <c r="K131" s="89" t="str">
        <f t="shared" si="28"/>
        <v>4041/4042</v>
      </c>
      <c r="L131" s="21" t="str">
        <f>VLOOKUP(A131,'Trips&amp;Operators'!$C$1:$G$99999,5,FALSE)</f>
        <v>SMITH MICHAEL</v>
      </c>
      <c r="M131" s="6">
        <f t="shared" si="29"/>
        <v>2.7303240742185153E-2</v>
      </c>
      <c r="N131" s="7">
        <f t="shared" si="52"/>
        <v>39.31666666874662</v>
      </c>
      <c r="O131" s="7"/>
      <c r="P131" s="7"/>
      <c r="Q131" s="22"/>
      <c r="R131" s="170"/>
      <c r="S131" s="213">
        <f t="shared" si="53"/>
        <v>1</v>
      </c>
      <c r="T131" s="195" t="str">
        <f t="shared" si="30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-07-05T18:01:45-0600',mode:absolute,to:'2017-07-05T20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1" s="197" t="str">
        <f>IF(AA131&lt;VLOOKUP(AG131,Variables!$AC$3:$AD$8,2,FALSE),"Y","N")</f>
        <v>N</v>
      </c>
      <c r="X131" s="197">
        <f t="shared" si="51"/>
        <v>1</v>
      </c>
      <c r="Y131" s="197">
        <f t="shared" si="49"/>
        <v>23.2987</v>
      </c>
      <c r="Z131" s="197">
        <f t="shared" si="50"/>
        <v>1.4999999999999999E-2</v>
      </c>
      <c r="AA131" s="197">
        <f t="shared" si="34"/>
        <v>23.2837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218</v>
      </c>
      <c r="AE131" s="77" t="str">
        <f t="shared" si="36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131" s="74" t="str">
        <f t="shared" si="37"/>
        <v>"C:\Program Files (x86)\AstroGrep\AstroGrep.exe" /e /r /s /spath="%USERPROFILE%\AppData\Local\Temp\OnboardLogs" /stypes="app*4041*20170706*" /stext=" 01:.+((SYSTEM_STATE.+slice.+state.+changed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218-05 --locoid 4041 --swversion DE.1.0.9.0 --startMP 204:232987 --initTime 2017-07-05T19:01:45 --startdatetime 2017-07-05T19:12:17 --delay 1 --endMP 204:150 --enddatetime 2017-07-05T19:51:36 --enforcementcount 0 &gt;&gt;C:\Users\stu\Documents\GitHub\eaglep3-reporting\EC\2017-07-05-refined-times.txt</v>
      </c>
      <c r="AI131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{"issue":{"subject":"","project_id":79,"tracker_id":40,"status_id":1,"priority_id":2,"assigned_to_id":23,"start_date":"2017-07-05","description":"","custom_fields":[{"id":1,"name":"Subdivision","value":"EC"},{"id":4,"name":"Milepost","value":"0.015"},{"id":17,"name":"Train ID","value":"218-05"},{"id":16,"name":"Locomotive ID","value":"4041"},{"id":130,"name":"Impact","value":""},{"id":150,"name":"Time of Event (Mountain Time)","value":"19:51:36"},{"id":151,"name":"Denver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4041 --day 2017-07-05</v>
      </c>
      <c r="AN131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784</v>
      </c>
      <c r="B132" s="7">
        <v>4008</v>
      </c>
      <c r="C132" s="21" t="s">
        <v>202</v>
      </c>
      <c r="D132" s="21" t="s">
        <v>354</v>
      </c>
      <c r="E132" s="13">
        <v>42921.76703703704</v>
      </c>
      <c r="F132" s="13">
        <v>42921.787465277775</v>
      </c>
      <c r="G132" s="7">
        <v>2</v>
      </c>
      <c r="H132" s="21" t="s">
        <v>884</v>
      </c>
      <c r="I132" s="13">
        <v>42921.803773148145</v>
      </c>
      <c r="J132" s="7">
        <v>0</v>
      </c>
      <c r="K132" s="89" t="str">
        <f t="shared" si="28"/>
        <v>4007/4008</v>
      </c>
      <c r="L132" s="21" t="str">
        <f>VLOOKUP(A132,'Trips&amp;Operators'!$C$1:$G$99999,5,FALSE)</f>
        <v>LAMAR NEKESHA</v>
      </c>
      <c r="M132" s="6">
        <f t="shared" si="29"/>
        <v>1.6307870369928423E-2</v>
      </c>
      <c r="N132" s="7"/>
      <c r="O132" s="7"/>
      <c r="P132" s="7">
        <f>24*60*SUM($M132:$M132)</f>
        <v>23.48333333269693</v>
      </c>
      <c r="Q132" s="22"/>
      <c r="R132" s="170" t="s">
        <v>1048</v>
      </c>
      <c r="S132" s="213">
        <f>SUM(U132:U133)/IF(AG132="EC",12,1)</f>
        <v>0.75</v>
      </c>
      <c r="T132" s="195" t="str">
        <f t="shared" si="30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6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-07-05T17:24:32-0600',mode:absolute,to:'2017-07-05T20:17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97" t="str">
        <f>IF(AA132&lt;VLOOKUP(AG132,Variables!$AC$3:$AD$8,2,FALSE),"Y","N")</f>
        <v>Y</v>
      </c>
      <c r="X132" s="197">
        <f t="shared" si="51"/>
        <v>1</v>
      </c>
      <c r="Y132" s="197">
        <f t="shared" si="49"/>
        <v>4.4699999999999997E-2</v>
      </c>
      <c r="Z132" s="197">
        <f t="shared" si="50"/>
        <v>5.7618999999999998</v>
      </c>
      <c r="AA132" s="197">
        <f t="shared" si="34"/>
        <v>5.7172000000000001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219</v>
      </c>
      <c r="AE132" s="77" t="str">
        <f t="shared" si="36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32" s="74" t="str">
        <f t="shared" si="37"/>
        <v>"C:\Program Files (x86)\AstroGrep\AstroGrep.exe" /e /r /s /spath="%USERPROFILE%\AppData\Local\Temp\OnboardLogs" /stypes="app*4008*20170706*"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219-05 --locoid 4008 --swversion DE.1.0.9.0 --startMP 204:447 --initTime 2017-07-05T18:24:32 --startdatetime 2017-07-05T18:53:57 --delay 2 --endMP 204:57619 --enddatetime 2017-07-05T19:17:26 --enforcementcount 0 &gt;&gt;C:\Users\stu\Documents\GitHub\eaglep3-reporting\EC\2017-07-05-refined-times.txt</v>
      </c>
      <c r="AI132" s="96" t="str">
        <f t="shared" si="40"/>
        <v>echo {"issue":{"subject":"Improper execution of bulletin - Form C was for NB Quebec, not SB Quebec. Form C at NB Quebec was being enforced/warned.","project_id":79,"tracker_id":40,"status_id":1,"priority_id":2,"assigned_to_id":23,"start_date":"2017-07-05","description":"","custom_fields":[{"id":1,"name":"Subdivision","value":"EC"},{"id":4,"name":"Milepost","value":"5.7619"},{"id":17,"name":"Train ID","value":"219-05"},{"id":16,"name":"Locomotive ID","value":"4008"},{"id":130,"name":"Impact","value":""},{"id":150,"name":"Time of Event (Mountain Time)","value":"19:17:26"},{"id":151,"name":"Denver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4008 --day 2017-07-05</v>
      </c>
      <c r="AN132" s="151" t="str">
        <f t="shared" si="42"/>
        <v>echo {"issue":{"subject":"Improper execution of bulletin - Form C was for NB Quebec, not SB Quebec. Form C at NB Quebec was being enforced/warned.","project_id":30,"tracker_id":4,"status_id":1,"priority_id":1,"assigned_to_id":10,"start_date":"2017-07-06","description":"","custom_fields":[{"id":30,"name":"Category","value":"Issue"},{"id":3,"name":"Functional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01:17:26"},{"id":29,"name":"Sharepoint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784</v>
      </c>
      <c r="B133" s="7">
        <v>4008</v>
      </c>
      <c r="C133" s="21" t="s">
        <v>202</v>
      </c>
      <c r="D133" s="21" t="s">
        <v>885</v>
      </c>
      <c r="E133" s="13">
        <v>42921.786273148151</v>
      </c>
      <c r="F133" s="13">
        <v>42921.787465277775</v>
      </c>
      <c r="G133" s="7">
        <v>1</v>
      </c>
      <c r="H133" s="21" t="s">
        <v>504</v>
      </c>
      <c r="I133" s="13">
        <v>42921.803773148145</v>
      </c>
      <c r="J133" s="7">
        <v>0</v>
      </c>
      <c r="K133" s="89" t="str">
        <f t="shared" si="28"/>
        <v>4007/4008</v>
      </c>
      <c r="L133" s="21" t="str">
        <f>VLOOKUP(A133,'Trips&amp;Operators'!$C$1:$G$99999,5,FALSE)</f>
        <v>LAMAR NEKESHA</v>
      </c>
      <c r="M133" s="6">
        <f t="shared" si="29"/>
        <v>1.6307870369928423E-2</v>
      </c>
      <c r="N133" s="7"/>
      <c r="O133" s="7"/>
      <c r="P133" s="7"/>
      <c r="Q133" s="22"/>
      <c r="R133" s="170"/>
      <c r="S133" s="213"/>
      <c r="T133" s="195" t="str">
        <f t="shared" si="30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3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-07-05T17:52:14-0600',mode:absolute,to:'2017-07-05T20:17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7" t="str">
        <f>IF(AA133&lt;VLOOKUP(AG133,Variables!$AC$3:$AD$8,2,FALSE),"Y","N")</f>
        <v>Y</v>
      </c>
      <c r="X133" s="197">
        <f t="shared" si="51"/>
        <v>0</v>
      </c>
      <c r="Y133" s="197">
        <f t="shared" si="49"/>
        <v>6.4752000000000001</v>
      </c>
      <c r="Z133" s="197">
        <f t="shared" si="50"/>
        <v>23.3278</v>
      </c>
      <c r="AA133" s="197">
        <f t="shared" si="34"/>
        <v>16.852599999999999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33" s="74" t="str">
        <f t="shared" si="37"/>
        <v>"C:\Program Files (x86)\AstroGrep\AstroGrep.exe" /e /r /s /spath="%USERPROFILE%\AppData\Local\Temp\OnboardLogs" /stypes="app*4008*20170706*"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219-05 --locoid 4008 --swversion DE.1.0.9.0 --startMP 204:64752 --initTime 2017-07-05T18:52:14 --startdatetime 2017-07-05T18:53:57 --delay 1 --endMP 204:233278 --enddatetime 2017-07-05T19:17:26 --enforcementcount 0 &gt;&gt;C:\Users\stu\Documents\GitHub\eaglep3-reporting\EC\2017-07-05-refined-times.txt</v>
      </c>
      <c r="AI133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{"issue":{"subject":"","project_id":79,"tracker_id":40,"status_id":1,"priority_id":2,"assigned_to_id":23,"start_date":"2017-07-05","description":"","custom_fields":[{"id":1,"name":"Subdivision","value":"EC"},{"id":4,"name":"Milepost","value":"23.3278"},{"id":17,"name":"Train ID","value":"219-05"},{"id":16,"name":"Locomotive ID","value":"4008"},{"id":130,"name":"Impact","value":""},{"id":150,"name":"Time of Event (Mountain Time)","value":"19:17:26"},{"id":151,"name":"Denver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4008 --day 2017-07-05</v>
      </c>
      <c r="AN133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01:17:26"},{"id":29,"name":"Sharepoint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627</v>
      </c>
      <c r="B134" s="7">
        <v>4007</v>
      </c>
      <c r="C134" s="21" t="s">
        <v>202</v>
      </c>
      <c r="D134" s="21" t="s">
        <v>886</v>
      </c>
      <c r="E134" s="13">
        <v>42921.80809027778</v>
      </c>
      <c r="F134" s="13">
        <v>42921.810613425929</v>
      </c>
      <c r="G134" s="7">
        <v>1</v>
      </c>
      <c r="H134" s="21" t="s">
        <v>194</v>
      </c>
      <c r="I134" s="13">
        <v>42921.839085648149</v>
      </c>
      <c r="J134" s="7">
        <v>0</v>
      </c>
      <c r="K134" s="89" t="str">
        <f t="shared" si="28"/>
        <v>4007/4008</v>
      </c>
      <c r="L134" s="21" t="str">
        <f>VLOOKUP(A134,'Trips&amp;Operators'!$C$1:$G$99999,5,FALSE)</f>
        <v>LAMAR NEKESHA</v>
      </c>
      <c r="M134" s="6">
        <f t="shared" si="29"/>
        <v>2.8472222220443655E-2</v>
      </c>
      <c r="N134" s="7">
        <f t="shared" ref="N134:N139" si="54">24*60*SUM($M134:$M134)</f>
        <v>40.999999997438863</v>
      </c>
      <c r="O134" s="7"/>
      <c r="P134" s="7"/>
      <c r="Q134" s="22"/>
      <c r="R134" s="170"/>
      <c r="S134" s="213">
        <f t="shared" ref="S134:S165" si="55">SUM(U134:U134)/IF(AG134="EC",12,1)</f>
        <v>1</v>
      </c>
      <c r="T134" s="195" t="str">
        <f t="shared" si="30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-07-05T18:23:39-0600',mode:absolute,to:'2017-07-05T21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7" t="str">
        <f>IF(AA134&lt;VLOOKUP(AG134,Variables!$AC$3:$AD$8,2,FALSE),"Y","N")</f>
        <v>N</v>
      </c>
      <c r="X134" s="197">
        <f t="shared" si="51"/>
        <v>1</v>
      </c>
      <c r="Y134" s="197">
        <f t="shared" si="49"/>
        <v>23.296500000000002</v>
      </c>
      <c r="Z134" s="197">
        <f t="shared" si="50"/>
        <v>1.5800000000000002E-2</v>
      </c>
      <c r="AA134" s="197">
        <f t="shared" si="34"/>
        <v>23.280700000000003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134" s="74" t="str">
        <f t="shared" si="37"/>
        <v>"C:\Program Files (x86)\AstroGrep\AstroGrep.exe" /e /r /s /spath="%USERPROFILE%\AppData\Local\Temp\OnboardLogs" /stypes="app*4007*20170706*"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220-05 --locoid 4007 --swversion DE.1.0.9.0 --startMP 204:232965 --initTime 2017-07-05T19:23:39 --startdatetime 2017-07-05T19:27:17 --delay 1 --endMP 204:158 --enddatetime 2017-07-05T20:08:17 --enforcementcount 0 &gt;&gt;C:\Users\stu\Documents\GitHub\eaglep3-reporting\EC\2017-07-05-refined-times.txt</v>
      </c>
      <c r="AI134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{"issue":{"subject":"","project_id":79,"tracker_id":40,"status_id":1,"priority_id":2,"assigned_to_id":23,"start_date":"2017-07-05","description":"","custom_fields":[{"id":1,"name":"Subdivision","value":"EC"},{"id":4,"name":"Milepost","value":"0.0158"},{"id":17,"name":"Train ID","value":"220-05"},{"id":16,"name":"Locomotive ID","value":"4007"},{"id":130,"name":"Impact","value":""},{"id":150,"name":"Time of Event (Mountain Time)","value":"20:08:17"},{"id":151,"name":"Denver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4007 --day 2017-07-05</v>
      </c>
      <c r="AN134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02:08:17"},{"id":29,"name":"Sharepoint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788</v>
      </c>
      <c r="B135" s="7">
        <v>4062</v>
      </c>
      <c r="C135" s="21" t="s">
        <v>202</v>
      </c>
      <c r="D135" s="21" t="s">
        <v>438</v>
      </c>
      <c r="E135" s="13">
        <v>42921.787766203706</v>
      </c>
      <c r="F135" s="13">
        <v>42921.792187500003</v>
      </c>
      <c r="G135" s="7">
        <v>3</v>
      </c>
      <c r="H135" s="21" t="s">
        <v>887</v>
      </c>
      <c r="I135" s="13">
        <v>42921.819039351853</v>
      </c>
      <c r="J135" s="7">
        <v>0</v>
      </c>
      <c r="K135" s="89" t="str">
        <f t="shared" si="28"/>
        <v>4061/4062</v>
      </c>
      <c r="L135" s="21" t="str">
        <f>VLOOKUP(A135,'Trips&amp;Operators'!$C$1:$G$99999,5,FALSE)</f>
        <v>FORTUNATO FRANK</v>
      </c>
      <c r="M135" s="6">
        <f t="shared" si="29"/>
        <v>2.6851851849642117E-2</v>
      </c>
      <c r="N135" s="7">
        <f t="shared" si="54"/>
        <v>38.666666663484648</v>
      </c>
      <c r="O135" s="7"/>
      <c r="P135" s="7"/>
      <c r="Q135" s="22"/>
      <c r="R135" s="170"/>
      <c r="S135" s="213">
        <f t="shared" si="55"/>
        <v>1</v>
      </c>
      <c r="T135" s="195" t="str">
        <f t="shared" si="30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-07-05T17:54:23-0600',mode:absolute,to:'2017-07-05T20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5" s="197" t="str">
        <f>IF(AA135&lt;VLOOKUP(AG135,Variables!$AC$3:$AD$8,2,FALSE),"Y","N")</f>
        <v>N</v>
      </c>
      <c r="X135" s="197">
        <f t="shared" si="51"/>
        <v>1</v>
      </c>
      <c r="Y135" s="197">
        <f t="shared" si="49"/>
        <v>4.3999999999999997E-2</v>
      </c>
      <c r="Z135" s="197">
        <f t="shared" si="50"/>
        <v>23.333600000000001</v>
      </c>
      <c r="AA135" s="197">
        <f t="shared" si="34"/>
        <v>23.2896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135" s="74" t="str">
        <f t="shared" si="37"/>
        <v>"C:\Program Files (x86)\AstroGrep\AstroGrep.exe" /e /r /s /spath="%USERPROFILE%\AppData\Local\Temp\OnboardLogs" /stypes="app*4062*20170706*"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221-05 --locoid 4062 --swversion DE.1.0.9.0 --startMP 204:440 --initTime 2017-07-05T18:54:23 --startdatetime 2017-07-05T19:00:45 --delay 3 --endMP 204:233336 --enddatetime 2017-07-05T19:39:25 --enforcementcount 0 &gt;&gt;C:\Users\stu\Documents\GitHub\eaglep3-reporting\EC\2017-07-05-refined-times.txt</v>
      </c>
      <c r="AI135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{"issue":{"subject":"","project_id":79,"tracker_id":40,"status_id":1,"priority_id":2,"assigned_to_id":23,"start_date":"2017-07-05","description":"","custom_fields":[{"id":1,"name":"Subdivision","value":"EC"},{"id":4,"name":"Milepost","value":"23.3336"},{"id":17,"name":"Train ID","value":"221-05"},{"id":16,"name":"Locomotive ID","value":"4062"},{"id":130,"name":"Impact","value":""},{"id":150,"name":"Time of Event (Mountain Time)","value":"19:39:25"},{"id":151,"name":"Denver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4062 --day 2017-07-05</v>
      </c>
      <c r="AN135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795</v>
      </c>
      <c r="B136" s="7">
        <v>4061</v>
      </c>
      <c r="C136" s="21" t="s">
        <v>202</v>
      </c>
      <c r="D136" s="21" t="s">
        <v>485</v>
      </c>
      <c r="E136" s="13">
        <v>42921.828518518516</v>
      </c>
      <c r="F136" s="13">
        <v>42921.831412037034</v>
      </c>
      <c r="G136" s="7">
        <v>1</v>
      </c>
      <c r="H136" s="21" t="s">
        <v>193</v>
      </c>
      <c r="I136" s="13">
        <v>42921.860486111109</v>
      </c>
      <c r="J136" s="7">
        <v>0</v>
      </c>
      <c r="K136" s="89" t="str">
        <f t="shared" si="28"/>
        <v>4061/4062</v>
      </c>
      <c r="L136" s="21" t="str">
        <f>VLOOKUP(A136,'Trips&amp;Operators'!$C$1:$G$99999,5,FALSE)</f>
        <v>FORTUNATO FRANK</v>
      </c>
      <c r="M136" s="6">
        <f t="shared" si="29"/>
        <v>2.9074074074742384E-2</v>
      </c>
      <c r="N136" s="7">
        <f t="shared" si="54"/>
        <v>41.866666667629033</v>
      </c>
      <c r="O136" s="7"/>
      <c r="P136" s="7"/>
      <c r="Q136" s="22"/>
      <c r="R136" s="170" t="s">
        <v>1055</v>
      </c>
      <c r="S136" s="213">
        <f t="shared" si="55"/>
        <v>1</v>
      </c>
      <c r="T136" s="195" t="str">
        <f t="shared" si="30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-07-05T18:53:04-0600',mode:absolute,to:'2017-07-05T21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6" s="197" t="str">
        <f>IF(AA136&lt;VLOOKUP(AG136,Variables!$AC$3:$AD$8,2,FALSE),"Y","N")</f>
        <v>N</v>
      </c>
      <c r="X136" s="197">
        <f t="shared" si="51"/>
        <v>1</v>
      </c>
      <c r="Y136" s="197">
        <f t="shared" si="49"/>
        <v>23.298999999999999</v>
      </c>
      <c r="Z136" s="197">
        <f t="shared" si="50"/>
        <v>1.52E-2</v>
      </c>
      <c r="AA136" s="197">
        <f t="shared" si="34"/>
        <v>23.283799999999999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136" s="74" t="str">
        <f t="shared" si="37"/>
        <v>"C:\Program Files (x86)\AstroGrep\AstroGrep.exe" /e /r /s /spath="%USERPROFILE%\AppData\Local\Temp\OnboardLogs" /stypes="app*4061*20170706*"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222-05 --locoid 4061 --swversion DE.1.0.9.0 --startMP 204:232990 --initTime 2017-07-05T19:53:04 --startdatetime 2017-07-05T19:57:14 --delay 1 --endMP 204:152 --enddatetime 2017-07-05T20:39:06 --enforcementcount 0 &gt;&gt;C:\Users\stu\Documents\GitHub\eaglep3-reporting\EC\2017-07-05-refined-times.txt</v>
      </c>
      <c r="AI136" s="96" t="str">
        <f t="shared" si="40"/>
        <v>echo {"issue":{"subject":"Brief Wi-MAX data drop, no enforcement or cut out","project_id":79,"tracker_id":40,"status_id":1,"priority_id":2,"assigned_to_id":23,"start_date":"2017-07-05","description":"","custom_fields":[{"id":1,"name":"Subdivision","value":"EC"},{"id":4,"name":"Milepost","value":"0.0152"},{"id":17,"name":"Train ID","value":"222-05"},{"id":16,"name":"Locomotive ID","value":"4061"},{"id":130,"name":"Impact","value":""},{"id":150,"name":"Time of Event (Mountain Time)","value":"20:39:06"},{"id":151,"name":"Denver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4061 --day 2017-07-05</v>
      </c>
      <c r="AN136" s="151" t="str">
        <f t="shared" si="42"/>
        <v>echo {"issue":{"subject":"Brief Wi-MAX data drop, no enforcement or cut out","project_id":30,"tracker_id":4,"status_id":1,"priority_id":1,"assigned_to_id":10,"start_date":"2017-07-06","description":"","custom_fields":[{"id":30,"name":"Category","value":"Issue"},{"id":3,"name":"Functional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02:39:06"},{"id":29,"name":"Sharepoint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792</v>
      </c>
      <c r="B137" s="7">
        <v>4018</v>
      </c>
      <c r="C137" s="21" t="s">
        <v>202</v>
      </c>
      <c r="D137" s="21" t="s">
        <v>832</v>
      </c>
      <c r="E137" s="13">
        <v>42921.809560185182</v>
      </c>
      <c r="F137" s="13">
        <v>42921.813032407408</v>
      </c>
      <c r="G137" s="7">
        <v>1</v>
      </c>
      <c r="H137" s="21" t="s">
        <v>888</v>
      </c>
      <c r="I137" s="13">
        <v>42921.839421296296</v>
      </c>
      <c r="J137" s="7">
        <v>0</v>
      </c>
      <c r="K137" s="89" t="str">
        <f t="shared" si="28"/>
        <v>4017/4018</v>
      </c>
      <c r="L137" s="21" t="str">
        <f>VLOOKUP(A137,'Trips&amp;Operators'!$C$1:$G$99999,5,FALSE)</f>
        <v>HAITHCOX MICHAEL</v>
      </c>
      <c r="M137" s="6">
        <f t="shared" si="29"/>
        <v>2.6388888887595385E-2</v>
      </c>
      <c r="N137" s="7">
        <f t="shared" si="54"/>
        <v>37.999999998137355</v>
      </c>
      <c r="O137" s="7"/>
      <c r="P137" s="7"/>
      <c r="Q137" s="22"/>
      <c r="R137" s="170"/>
      <c r="S137" s="213">
        <f t="shared" si="55"/>
        <v>1</v>
      </c>
      <c r="T137" s="195" t="str">
        <f t="shared" si="30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-07-05T18:25:46-0600',mode:absolute,to:'2017-07-05T21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97" t="str">
        <f>IF(AA137&lt;VLOOKUP(AG137,Variables!$AC$3:$AD$8,2,FALSE),"Y","N")</f>
        <v>N</v>
      </c>
      <c r="X137" s="197">
        <f t="shared" si="51"/>
        <v>1</v>
      </c>
      <c r="Y137" s="197">
        <f t="shared" si="49"/>
        <v>4.7699999999999999E-2</v>
      </c>
      <c r="Z137" s="197">
        <f t="shared" si="50"/>
        <v>23.328199999999999</v>
      </c>
      <c r="AA137" s="197">
        <f t="shared" si="34"/>
        <v>23.2805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137" s="74" t="str">
        <f t="shared" si="37"/>
        <v>"C:\Program Files (x86)\AstroGrep\AstroGrep.exe" /e /r /s /spath="%USERPROFILE%\AppData\Local\Temp\OnboardLogs" /stypes="app*4018*20170706*"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223-05 --locoid 4018 --swversion DE.1.0.9.0 --startMP 204:477 --initTime 2017-07-05T19:25:46 --startdatetime 2017-07-05T19:30:46 --delay 1 --endMP 204:233282 --enddatetime 2017-07-05T20:08:46 --enforcementcount 0 &gt;&gt;C:\Users\stu\Documents\GitHub\eaglep3-reporting\EC\2017-07-05-refined-times.txt</v>
      </c>
      <c r="AI137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{"issue":{"subject":"","project_id":79,"tracker_id":40,"status_id":1,"priority_id":2,"assigned_to_id":23,"start_date":"2017-07-05","description":"","custom_fields":[{"id":1,"name":"Subdivision","value":"EC"},{"id":4,"name":"Milepost","value":"23.3282"},{"id":17,"name":"Train ID","value":"223-05"},{"id":16,"name":"Locomotive ID","value":"4018"},{"id":130,"name":"Impact","value":""},{"id":150,"name":"Time of Event (Mountain Time)","value":"20:08:46"},{"id":151,"name":"Denver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4018 --day 2017-07-05</v>
      </c>
      <c r="AN137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02:08:46"},{"id":29,"name":"Sharepoint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628</v>
      </c>
      <c r="B138" s="7">
        <v>4017</v>
      </c>
      <c r="C138" s="21" t="s">
        <v>202</v>
      </c>
      <c r="D138" s="21" t="s">
        <v>501</v>
      </c>
      <c r="E138" s="13">
        <v>42921.842291666668</v>
      </c>
      <c r="F138" s="13">
        <v>42921.852280092593</v>
      </c>
      <c r="G138" s="7">
        <v>0</v>
      </c>
      <c r="H138" s="21" t="s">
        <v>487</v>
      </c>
      <c r="I138" s="13">
        <v>42921.881666666668</v>
      </c>
      <c r="J138" s="7">
        <v>0</v>
      </c>
      <c r="K138" s="89" t="str">
        <f t="shared" si="28"/>
        <v>4017/4018</v>
      </c>
      <c r="L138" s="21" t="str">
        <f>VLOOKUP(A138,'Trips&amp;Operators'!$C$1:$G$99999,5,FALSE)</f>
        <v>HAITHCOX MICHAEL</v>
      </c>
      <c r="M138" s="6">
        <f t="shared" si="29"/>
        <v>2.9386574075033423E-2</v>
      </c>
      <c r="N138" s="7">
        <f t="shared" si="54"/>
        <v>42.316666668048128</v>
      </c>
      <c r="O138" s="7"/>
      <c r="P138" s="7"/>
      <c r="Q138" s="22"/>
      <c r="R138" s="170"/>
      <c r="S138" s="213">
        <f t="shared" si="55"/>
        <v>1</v>
      </c>
      <c r="T138" s="195" t="str">
        <f t="shared" si="30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-07-05T19:12:54-0600',mode:absolute,to:'2017-07-05T22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97" t="str">
        <f>IF(AA138&lt;VLOOKUP(AG138,Variables!$AC$3:$AD$8,2,FALSE),"Y","N")</f>
        <v>N</v>
      </c>
      <c r="X138" s="197">
        <f t="shared" si="51"/>
        <v>1</v>
      </c>
      <c r="Y138" s="197">
        <f t="shared" si="49"/>
        <v>23.297499999999999</v>
      </c>
      <c r="Z138" s="197">
        <f t="shared" si="50"/>
        <v>1.6E-2</v>
      </c>
      <c r="AA138" s="197">
        <f t="shared" si="34"/>
        <v>23.281500000000001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138" s="74" t="str">
        <f t="shared" si="37"/>
        <v>"C:\Program Files (x86)\AstroGrep\AstroGrep.exe" /e /r /s /spath="%USERPROFILE%\AppData\Local\Temp\OnboardLogs" /stypes="app*4017*20170706*"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224-05 --locoid 4017 --swversion DE.1.0.9.0 --startMP 204:232975 --initTime 2017-07-05T20:12:54 --startdatetime 2017-07-05T20:27:17 --delay 0 --endMP 204:160 --enddatetime 2017-07-05T21:09:36 --enforcementcount 0 &gt;&gt;C:\Users\stu\Documents\GitHub\eaglep3-reporting\EC\2017-07-05-refined-times.txt</v>
      </c>
      <c r="AI138" s="96" t="str">
        <f t="shared" si="40"/>
        <v>echo {"issue":{"subject":"","project_id":79,"tracker_id":40,"status_id":1,"priority_id":2,"assigned_to_id":23,"start_date":"2017-07-05","description":"","custom_fields":[{"id":1,"name":"Subdivision","value":"EC"},{"id":4,"name":"Milepost","value":"0.016"},{"id":17,"name":"Train ID","value":"224-05"},{"id":16,"name":"Locomotive ID","value":"4017"},{"id":130,"name":"Impact","value":""},{"id":150,"name":"Time of Event (Mountain Time)","value":"21:09:36"},{"id":151,"name":"Denver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4017 --day 2017-07-05</v>
      </c>
      <c r="AN138" s="151" t="str">
        <f t="shared" si="42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796</v>
      </c>
      <c r="B139" s="7">
        <v>4042</v>
      </c>
      <c r="C139" s="21" t="s">
        <v>202</v>
      </c>
      <c r="D139" s="21" t="s">
        <v>489</v>
      </c>
      <c r="E139" s="13">
        <v>42921.829236111109</v>
      </c>
      <c r="F139" s="13">
        <v>42921.83390046296</v>
      </c>
      <c r="G139" s="7">
        <v>1</v>
      </c>
      <c r="H139" s="21" t="s">
        <v>841</v>
      </c>
      <c r="I139" s="13">
        <v>42921.859872685185</v>
      </c>
      <c r="J139" s="7">
        <v>0</v>
      </c>
      <c r="K139" s="89" t="str">
        <f t="shared" si="28"/>
        <v>4041/4042</v>
      </c>
      <c r="L139" s="21" t="str">
        <f>VLOOKUP(A139,'Trips&amp;Operators'!$C$1:$G$99999,5,FALSE)</f>
        <v>SMITH MICHAEL</v>
      </c>
      <c r="M139" s="6">
        <f t="shared" si="29"/>
        <v>2.5972222225391306E-2</v>
      </c>
      <c r="N139" s="7">
        <f t="shared" si="54"/>
        <v>37.400000004563481</v>
      </c>
      <c r="O139" s="7"/>
      <c r="P139" s="7"/>
      <c r="Q139" s="22"/>
      <c r="R139" s="170"/>
      <c r="S139" s="213">
        <f t="shared" si="55"/>
        <v>1</v>
      </c>
      <c r="T139" s="195" t="str">
        <f t="shared" si="30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-07-05T18:54:06-0600',mode:absolute,to:'2017-07-05T21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197" t="str">
        <f>IF(AA139&lt;VLOOKUP(AG139,Variables!$AC$3:$AD$8,2,FALSE),"Y","N")</f>
        <v>N</v>
      </c>
      <c r="X139" s="197">
        <f t="shared" si="51"/>
        <v>1</v>
      </c>
      <c r="Y139" s="197">
        <f t="shared" si="49"/>
        <v>4.7100000000000003E-2</v>
      </c>
      <c r="Z139" s="197">
        <f t="shared" si="50"/>
        <v>23.329899999999999</v>
      </c>
      <c r="AA139" s="197">
        <f t="shared" si="34"/>
        <v>23.282799999999998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139" s="74" t="str">
        <f t="shared" si="37"/>
        <v>"C:\Program Files (x86)\AstroGrep\AstroGrep.exe" /e /r /s /spath="%USERPROFILE%\AppData\Local\Temp\OnboardLogs" /stypes="app*4042*20170706*"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ref="AH139:AH200" si="56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225-05 --locoid 4042 --swversion DE.1.0.9.0 --startMP 204:471 --initTime 2017-07-05T19:54:06 --startdatetime 2017-07-05T20:00:49 --delay 1 --endMP 204:233299 --enddatetime 2017-07-05T20:38:13 --enforcementcount 0 &gt;&gt;C:\Users\stu\Documents\GitHub\eaglep3-reporting\EC\2017-07-05-refined-times.txt</v>
      </c>
      <c r="AI139" s="96" t="str">
        <f t="shared" ref="AI139:AI200" si="57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{"issue":{"subject":"","project_id":79,"tracker_id":40,"status_id":1,"priority_id":2,"assigned_to_id":23,"start_date":"2017-07-05","description":"","custom_fields":[{"id":1,"name":"Subdivision","value":"EC"},{"id":4,"name":"Milepost","value":"23.3299"},{"id":17,"name":"Train ID","value":"225-05"},{"id":16,"name":"Locomotive ID","value":"4042"},{"id":130,"name":"Impact","value":""},{"id":150,"name":"Time of Event (Mountain Time)","value":"20:38:13"},{"id":151,"name":"Denver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ref="AM139:AM200" si="58">"start /low /b "&amp;dls3logs&amp;" --loco "&amp;B139&amp;" --day "&amp;TEXT(F139,"YYYY-MM-DD")</f>
        <v>start /low /b %USERPROFILE%\Documents\GitHub\eaglep3\Utilities\DownloadLogsFromS3.py --loco 4042 --day 2017-07-05</v>
      </c>
      <c r="AN139" s="151" t="str">
        <f t="shared" ref="AN139:AN200" si="59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02:38:13"},{"id":29,"name":"Sharepoint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801</v>
      </c>
      <c r="B140" s="7">
        <v>4041</v>
      </c>
      <c r="C140" s="21" t="s">
        <v>202</v>
      </c>
      <c r="D140" s="21" t="s">
        <v>501</v>
      </c>
      <c r="E140" s="13">
        <v>42921.867268518516</v>
      </c>
      <c r="F140" s="13">
        <v>42921.873182870368</v>
      </c>
      <c r="G140" s="7">
        <v>1</v>
      </c>
      <c r="H140" s="21" t="s">
        <v>889</v>
      </c>
      <c r="I140" s="13">
        <v>42921.883333333331</v>
      </c>
      <c r="J140" s="7">
        <v>0</v>
      </c>
      <c r="K140" s="89" t="str">
        <f t="shared" si="28"/>
        <v>4041/4042</v>
      </c>
      <c r="L140" s="21" t="str">
        <f>VLOOKUP(A140,'Trips&amp;Operators'!$C$1:$G$99999,5,FALSE)</f>
        <v>SMITH MICHAEL</v>
      </c>
      <c r="M140" s="6">
        <f t="shared" si="29"/>
        <v>1.0150462963792961E-2</v>
      </c>
      <c r="N140" s="7"/>
      <c r="O140" s="7"/>
      <c r="P140" s="7">
        <f>24*60*SUM($M140:$M140)</f>
        <v>14.616666667861864</v>
      </c>
      <c r="Q140" s="22"/>
      <c r="R140" s="170" t="s">
        <v>457</v>
      </c>
      <c r="S140" s="213">
        <f t="shared" si="55"/>
        <v>0</v>
      </c>
      <c r="T140" s="195" t="str">
        <f t="shared" si="30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-07-05T19:48:52-0600',mode:absolute,to:'2017-07-05T22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197" t="str">
        <f>IF(AA140&lt;VLOOKUP(AG140,Variables!$AC$3:$AD$8,2,FALSE),"Y","N")</f>
        <v>Y</v>
      </c>
      <c r="X140" s="197">
        <f t="shared" si="51"/>
        <v>1</v>
      </c>
      <c r="Y140" s="197">
        <f t="shared" si="49"/>
        <v>23.297499999999999</v>
      </c>
      <c r="Z140" s="197">
        <f t="shared" si="50"/>
        <v>12.4895</v>
      </c>
      <c r="AA140" s="197">
        <f t="shared" si="34"/>
        <v>10.808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140" s="74" t="str">
        <f t="shared" si="37"/>
        <v>"C:\Program Files (x86)\AstroGrep\AstroGrep.exe" /e /r /s /spath="%USERPROFILE%\AppData\Local\Temp\OnboardLogs" /stypes="app*4041*20170706*"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56"/>
        <v>"%USERPROFILE%\Documents\GitHub\eaglep3\Utilities\RefineRTDCRunTimes.py" --tripid 226-05 --locoid 4041 --swversion DE.1.0.9.0 --startMP 204:232975 --initTime 2017-07-05T20:48:52 --startdatetime 2017-07-05T20:57:23 --delay 1 --endMP 204:124895 --enddatetime 2017-07-05T21:12:00 --enforcementcount 0 &gt;&gt;C:\Users\stu\Documents\GitHub\eaglep3-reporting\EC\2017-07-05-refined-times.txt</v>
      </c>
      <c r="AI140" s="96" t="str">
        <f t="shared" si="57"/>
        <v>echo {"issue":{"subject":"Onboard in-route failure","project_id":79,"tracker_id":40,"status_id":1,"priority_id":2,"assigned_to_id":23,"start_date":"2017-07-05","description":"","custom_fields":[{"id":1,"name":"Subdivision","value":"EC"},{"id":4,"name":"Milepost","value":"12.4895"},{"id":17,"name":"Train ID","value":"226-05"},{"id":16,"name":"Locomotive ID","value":"4041"},{"id":130,"name":"Impact","value":""},{"id":150,"name":"Time of Event (Mountain Time)","value":"21:12:00"},{"id":151,"name":"Denver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8"/>
        <v>start /low /b %USERPROFILE%\Documents\GitHub\eaglep3\Utilities\DownloadLogsFromS3.py --loco 4041 --day 2017-07-05</v>
      </c>
      <c r="AN140" s="151" t="str">
        <f t="shared" si="59"/>
        <v>echo {"issue":{"subject":"Onboard in-route failure","project_id":30,"tracker_id":4,"status_id":1,"priority_id":1,"assigned_to_id":10,"start_date":"2017-07-06","description":"","custom_fields":[{"id":30,"name":"Category","value":"Issue"},{"id":3,"name":"Functional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798</v>
      </c>
      <c r="B141" s="7">
        <v>4008</v>
      </c>
      <c r="C141" s="21" t="s">
        <v>202</v>
      </c>
      <c r="D141" s="21" t="s">
        <v>350</v>
      </c>
      <c r="E141" s="13">
        <v>42921.84847222222</v>
      </c>
      <c r="F141" s="13">
        <v>42921.854664351849</v>
      </c>
      <c r="G141" s="7">
        <v>1</v>
      </c>
      <c r="H141" s="21" t="s">
        <v>471</v>
      </c>
      <c r="I141" s="13">
        <v>42921.880486111113</v>
      </c>
      <c r="J141" s="7">
        <v>0</v>
      </c>
      <c r="K141" s="89" t="str">
        <f t="shared" ref="K141:K204" si="60">IF(ISEVEN(B141),(B141-1)&amp;"/"&amp;B141,B141&amp;"/"&amp;(B141+1))</f>
        <v>4007/4008</v>
      </c>
      <c r="L141" s="21" t="str">
        <f>VLOOKUP(A141,'Trips&amp;Operators'!$C$1:$G$99999,5,FALSE)</f>
        <v>LAMAR NEKESHA</v>
      </c>
      <c r="M141" s="6">
        <f t="shared" ref="M141:M204" si="61">I141-F141</f>
        <v>2.5821759263635613E-2</v>
      </c>
      <c r="N141" s="7">
        <f t="shared" ref="N141:N182" si="62">24*60*SUM($M141:$M141)</f>
        <v>37.183333339635283</v>
      </c>
      <c r="O141" s="7"/>
      <c r="P141" s="7"/>
      <c r="Q141" s="22"/>
      <c r="R141" s="170"/>
      <c r="S141" s="213">
        <f t="shared" si="55"/>
        <v>1</v>
      </c>
      <c r="T141" s="195" t="str">
        <f t="shared" ref="T141:T204" si="63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-05T19:21:48-0600',mode:absolute,to:'2017-07-05T22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7" t="str">
        <f>IF(AA141&lt;VLOOKUP(AG141,Variables!$AC$3:$AD$8,2,FALSE),"Y","N")</f>
        <v>N</v>
      </c>
      <c r="X141" s="197">
        <f t="shared" si="51"/>
        <v>1</v>
      </c>
      <c r="Y141" s="197">
        <f t="shared" ref="Y141:Y155" si="65">RIGHT(D141,LEN(D141)-4)/10000</f>
        <v>4.6600000000000003E-2</v>
      </c>
      <c r="Z141" s="197">
        <f t="shared" ref="Z141:Z155" si="66">RIGHT(H141,LEN(H141)-4)/10000</f>
        <v>23.329699999999999</v>
      </c>
      <c r="AA141" s="197">
        <f t="shared" ref="AA141:AA204" si="67">ABS(Z141-Y141)</f>
        <v>23.283099999999997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8">VALUE(LEFT(A141,LEN(A141)-3))</f>
        <v>227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/stypes="app*4008*20170706*"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71">DetSubdiv(A141)</f>
        <v>EC</v>
      </c>
      <c r="AH141" s="78" t="str">
        <f t="shared" si="56"/>
        <v>"%USERPROFILE%\Documents\GitHub\eaglep3\Utilities\RefineRTDCRunTimes.py" --tripid 227-05 --locoid 4008 --swversion DE.1.0.9.0 --startMP 204:466 --initTime 2017-07-05T20:21:48 --startdatetime 2017-07-05T20:30:43 --delay 1 --endMP 204:233297 --enddatetime 2017-07-05T21:07:54 --enforcementcount 0 &gt;&gt;C:\Users\stu\Documents\GitHub\eaglep3-reporting\EC\2017-07-05-refined-times.txt</v>
      </c>
      <c r="AI141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{"issue":{"subject":"","project_id":79,"tracker_id":40,"status_id":1,"priority_id":2,"assigned_to_id":23,"start_date":"2017-07-05","description":"","custom_fields":[{"id":1,"name":"Subdivision","value":"EC"},{"id":4,"name":"Milepost","value":"23.3297"},{"id":17,"name":"Train ID","value":"227-05"},{"id":16,"name":"Locomotive ID","value":"4008"},{"id":130,"name":"Impact","value":""},{"id":150,"name":"Time of Event (Mountain Time)","value":"21:07:54"},{"id":151,"name":"Denver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8"/>
        <v>start /low /b %USERPROFILE%\Documents\GitHub\eaglep3\Utilities\DownloadLogsFromS3.py --loco 4008 --day 2017-07-05</v>
      </c>
      <c r="AN141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804</v>
      </c>
      <c r="B142" s="7">
        <v>4007</v>
      </c>
      <c r="C142" s="21" t="s">
        <v>202</v>
      </c>
      <c r="D142" s="21" t="s">
        <v>501</v>
      </c>
      <c r="E142" s="13">
        <v>42921.889166666668</v>
      </c>
      <c r="F142" s="13">
        <v>42921.895312499997</v>
      </c>
      <c r="G142" s="7">
        <v>1</v>
      </c>
      <c r="H142" s="21" t="s">
        <v>503</v>
      </c>
      <c r="I142" s="13">
        <v>42921.925208333334</v>
      </c>
      <c r="J142" s="7">
        <v>0</v>
      </c>
      <c r="K142" s="89" t="str">
        <f t="shared" si="60"/>
        <v>4007/4008</v>
      </c>
      <c r="L142" s="21" t="str">
        <f>VLOOKUP(A142,'Trips&amp;Operators'!$C$1:$G$99999,5,FALSE)</f>
        <v>LAMAR NEKESHA</v>
      </c>
      <c r="M142" s="6">
        <f t="shared" si="61"/>
        <v>2.9895833336922806E-2</v>
      </c>
      <c r="N142" s="7">
        <f t="shared" si="62"/>
        <v>43.05000000516884</v>
      </c>
      <c r="O142" s="7"/>
      <c r="P142" s="7"/>
      <c r="Q142" s="22"/>
      <c r="R142" s="170"/>
      <c r="S142" s="213">
        <f t="shared" si="55"/>
        <v>1</v>
      </c>
      <c r="T142" s="195" t="str">
        <f t="shared" si="63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4"/>
        <v>https://d0f6bd738d7f1b3e5a7ca70fe4ff75f0.us-east-1.aws.found.io/app/kibana#/discover/Steve-Slow-Train-Analysis-(2080s-and-2083s)?_g=(refreshInterval:(display:Off,pause:!f,section:0,value:0),time:(from:'2017-07-05T20:20:24-0600',mode:absolute,to:'2017-07-05T23:12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7" t="str">
        <f>IF(AA142&lt;VLOOKUP(AG142,Variables!$AC$3:$AD$8,2,FALSE),"Y","N")</f>
        <v>N</v>
      </c>
      <c r="X142" s="197">
        <f t="shared" si="51"/>
        <v>1</v>
      </c>
      <c r="Y142" s="197">
        <f t="shared" si="65"/>
        <v>23.297499999999999</v>
      </c>
      <c r="Z142" s="197">
        <f t="shared" si="66"/>
        <v>1.32E-2</v>
      </c>
      <c r="AA142" s="197">
        <f t="shared" si="67"/>
        <v>23.284299999999998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8"/>
        <v>228</v>
      </c>
      <c r="AE142" s="77" t="str">
        <f t="shared" si="69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142" s="74" t="str">
        <f t="shared" si="70"/>
        <v>"C:\Program Files (x86)\AstroGrep\AstroGrep.exe" /e /r /s /spath="%USERPROFILE%\AppData\Local\Temp\OnboardLogs" /stypes="app*4007*20170706*" /stext=" 04:.+((SYSTEM_STATE.+slice.+state.+changed )|(ment ac)|(multiple cpu faults)|(system.+state.+changed )|(\[timeout)|(PRM\|1\|D)|(kpr)|(kdp)|(train st.+moving)|(\|lc)|(penalty))"</v>
      </c>
      <c r="AG142" s="209" t="str">
        <f t="shared" si="71"/>
        <v>EC</v>
      </c>
      <c r="AH142" s="78" t="str">
        <f t="shared" si="56"/>
        <v>"%USERPROFILE%\Documents\GitHub\eaglep3\Utilities\RefineRTDCRunTimes.py" --tripid 228-05 --locoid 4007 --swversion DE.1.0.9.0 --startMP 204:232975 --initTime 2017-07-05T21:20:24 --startdatetime 2017-07-05T21:29:15 --delay 1 --endMP 204:132 --enddatetime 2017-07-05T22:12:18 --enforcementcount 0 &gt;&gt;C:\Users\stu\Documents\GitHub\eaglep3-reporting\EC\2017-07-05-refined-times.txt</v>
      </c>
      <c r="AI142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{"issue":{"subject":"","project_id":79,"tracker_id":40,"status_id":1,"priority_id":2,"assigned_to_id":23,"start_date":"2017-07-05","description":"","custom_fields":[{"id":1,"name":"Subdivision","value":"EC"},{"id":4,"name":"Milepost","value":"0.0132"},{"id":17,"name":"Train ID","value":"228-05"},{"id":16,"name":"Locomotive ID","value":"4007"},{"id":130,"name":"Impact","value":""},{"id":150,"name":"Time of Event (Mountain Time)","value":"22:12:18"},{"id":151,"name":"Denver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8"/>
        <v>start /low /b %USERPROFILE%\Documents\GitHub\eaglep3\Utilities\DownloadLogsFromS3.py --loco 4007 --day 2017-07-05</v>
      </c>
      <c r="AN142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04:12:18"},{"id":29,"name":"Sharepoint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800</v>
      </c>
      <c r="B143" s="7">
        <v>4062</v>
      </c>
      <c r="C143" s="21" t="s">
        <v>202</v>
      </c>
      <c r="D143" s="21" t="s">
        <v>353</v>
      </c>
      <c r="E143" s="13">
        <v>42921.867164351854</v>
      </c>
      <c r="F143" s="13">
        <v>42921.86917824074</v>
      </c>
      <c r="G143" s="7">
        <v>3</v>
      </c>
      <c r="H143" s="21" t="s">
        <v>833</v>
      </c>
      <c r="I143" s="13">
        <v>42921.904791666668</v>
      </c>
      <c r="J143" s="7">
        <v>0</v>
      </c>
      <c r="K143" s="89" t="str">
        <f t="shared" si="60"/>
        <v>4061/4062</v>
      </c>
      <c r="L143" s="21" t="str">
        <f>VLOOKUP(A143,'Trips&amp;Operators'!$C$1:$G$99999,5,FALSE)</f>
        <v>FORTUNATO FRANK</v>
      </c>
      <c r="M143" s="6">
        <f t="shared" si="61"/>
        <v>3.5613425927294884E-2</v>
      </c>
      <c r="N143" s="7">
        <f t="shared" si="62"/>
        <v>51.283333335304633</v>
      </c>
      <c r="O143" s="7"/>
      <c r="P143" s="7"/>
      <c r="Q143" s="22"/>
      <c r="R143" s="170" t="s">
        <v>573</v>
      </c>
      <c r="S143" s="213">
        <f t="shared" si="55"/>
        <v>1</v>
      </c>
      <c r="T143" s="195" t="str">
        <f t="shared" si="63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4"/>
        <v>https://d0f6bd738d7f1b3e5a7ca70fe4ff75f0.us-east-1.aws.found.io/app/kibana#/discover/Steve-Slow-Train-Analysis-(2080s-and-2083s)?_g=(refreshInterval:(display:Off,pause:!f,section:0,value:0),time:(from:'2017-07-05T19:48:43-0600',mode:absolute,to:'2017-07-05T22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3" s="197" t="str">
        <f>IF(AA143&lt;VLOOKUP(AG143,Variables!$AC$3:$AD$8,2,FALSE),"Y","N")</f>
        <v>N</v>
      </c>
      <c r="X143" s="197">
        <f t="shared" ref="X143:X147" si="72">VALUE(LEFT(AD143,4))-VALUE(LEFT(AD142,4))</f>
        <v>1</v>
      </c>
      <c r="Y143" s="197">
        <f t="shared" si="65"/>
        <v>4.53E-2</v>
      </c>
      <c r="Z143" s="197">
        <f t="shared" si="66"/>
        <v>23.331800000000001</v>
      </c>
      <c r="AA143" s="197">
        <f t="shared" si="67"/>
        <v>23.2865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8"/>
        <v>229</v>
      </c>
      <c r="AE143" s="77" t="str">
        <f t="shared" si="69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143" s="74" t="str">
        <f t="shared" si="70"/>
        <v>"C:\Program Files (x86)\AstroGrep\AstroGrep.exe" /e /r /s /spath="%USERPROFILE%\AppData\Local\Temp\OnboardLogs" /stypes="app*4062*20170706*" /stext=" 03:.+((SYSTEM_STATE.+slice.+state.+changed )|(ment ac)|(multiple cpu faults)|(system.+state.+changed )|(\[timeout)|(PRM\|1\|D)|(kpr)|(kdp)|(train st.+moving)|(\|lc)|(penalty))"</v>
      </c>
      <c r="AG143" s="209" t="str">
        <f t="shared" si="71"/>
        <v>EC</v>
      </c>
      <c r="AH143" s="78" t="str">
        <f t="shared" si="56"/>
        <v>"%USERPROFILE%\Documents\GitHub\eaglep3\Utilities\RefineRTDCRunTimes.py" --tripid 229-05 --locoid 4062 --swversion DE.1.0.9.0 --startMP 204:453 --initTime 2017-07-05T20:48:43 --startdatetime 2017-07-05T20:51:37 --delay 3 --endMP 204:233318 --enddatetime 2017-07-05T21:42:54 --enforcementcount 0 &gt;&gt;C:\Users\stu\Documents\GitHub\eaglep3-reporting\EC\2017-07-05-refined-times.txt</v>
      </c>
      <c r="AI143" s="96" t="str">
        <f t="shared" si="57"/>
        <v>echo {"issue":{"subject":"Delayed by onboard in-route failure","project_id":79,"tracker_id":40,"status_id":1,"priority_id":2,"assigned_to_id":23,"start_date":"2017-07-05","description":"","custom_fields":[{"id":1,"name":"Subdivision","value":"EC"},{"id":4,"name":"Milepost","value":"23.3318"},{"id":17,"name":"Train ID","value":"229-05"},{"id":16,"name":"Locomotive ID","value":"4062"},{"id":130,"name":"Impact","value":""},{"id":150,"name":"Time of Event (Mountain Time)","value":"21:42:54"},{"id":151,"name":"Denver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8"/>
        <v>start /low /b %USERPROFILE%\Documents\GitHub\eaglep3\Utilities\DownloadLogsFromS3.py --loco 4062 --day 2017-07-05</v>
      </c>
      <c r="AN143" s="151" t="str">
        <f t="shared" si="59"/>
        <v>echo {"issue":{"subject":"Delayed by onboard in-route failure","project_id":30,"tracker_id":4,"status_id":1,"priority_id":1,"assigned_to_id":10,"start_date":"2017-07-06","description":"","custom_fields":[{"id":30,"name":"Category","value":"Issue"},{"id":3,"name":"Functional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807</v>
      </c>
      <c r="B144" s="7">
        <v>4061</v>
      </c>
      <c r="C144" s="21" t="s">
        <v>202</v>
      </c>
      <c r="D144" s="21" t="s">
        <v>548</v>
      </c>
      <c r="E144" s="13">
        <v>42921.910601851851</v>
      </c>
      <c r="F144" s="13">
        <v>42921.91474537037</v>
      </c>
      <c r="G144" s="7">
        <v>1</v>
      </c>
      <c r="H144" s="21" t="s">
        <v>395</v>
      </c>
      <c r="I144" s="13">
        <v>42921.944965277777</v>
      </c>
      <c r="J144" s="7">
        <v>0</v>
      </c>
      <c r="K144" s="89" t="str">
        <f t="shared" si="60"/>
        <v>4061/4062</v>
      </c>
      <c r="L144" s="21" t="str">
        <f>VLOOKUP(A144,'Trips&amp;Operators'!$C$1:$G$99999,5,FALSE)</f>
        <v>FORTUNATO FRANK</v>
      </c>
      <c r="M144" s="6">
        <f t="shared" si="61"/>
        <v>3.0219907406717539E-2</v>
      </c>
      <c r="N144" s="7">
        <f t="shared" si="62"/>
        <v>43.516666665673256</v>
      </c>
      <c r="O144" s="7"/>
      <c r="P144" s="7"/>
      <c r="Q144" s="22"/>
      <c r="R144" s="170"/>
      <c r="S144" s="213">
        <f t="shared" si="55"/>
        <v>1</v>
      </c>
      <c r="T144" s="195" t="str">
        <f t="shared" si="63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4"/>
        <v>https://d0f6bd738d7f1b3e5a7ca70fe4ff75f0.us-east-1.aws.found.io/app/kibana#/discover/Steve-Slow-Train-Analysis-(2080s-and-2083s)?_g=(refreshInterval:(display:Off,pause:!f,section:0,value:0),time:(from:'2017-07-05T20:51:16-0600',mode:absolute,to:'2017-07-05T23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4" s="197" t="str">
        <f>IF(AA144&lt;VLOOKUP(AG144,Variables!$AC$3:$AD$8,2,FALSE),"Y","N")</f>
        <v>N</v>
      </c>
      <c r="X144" s="197">
        <f t="shared" si="72"/>
        <v>1</v>
      </c>
      <c r="Y144" s="197">
        <f t="shared" si="65"/>
        <v>23.2986</v>
      </c>
      <c r="Z144" s="197">
        <f t="shared" si="66"/>
        <v>1.4500000000000001E-2</v>
      </c>
      <c r="AA144" s="197">
        <f t="shared" si="67"/>
        <v>23.284099999999999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8"/>
        <v>230</v>
      </c>
      <c r="AE144" s="77" t="str">
        <f t="shared" si="69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144" s="74" t="str">
        <f t="shared" si="70"/>
        <v>"C:\Program Files (x86)\AstroGrep\AstroGrep.exe" /e /r /s /spath="%USERPROFILE%\AppData\Local\Temp\OnboardLogs" /stypes="app*4061*20170706*" /stext=" 04:.+((SYSTEM_STATE.+slice.+state.+changed )|(ment ac)|(multiple cpu faults)|(system.+state.+changed )|(\[timeout)|(PRM\|1\|D)|(kpr)|(kdp)|(train st.+moving)|(\|lc)|(penalty))"</v>
      </c>
      <c r="AG144" s="209" t="str">
        <f t="shared" si="71"/>
        <v>EC</v>
      </c>
      <c r="AH144" s="78" t="str">
        <f t="shared" si="56"/>
        <v>"%USERPROFILE%\Documents\GitHub\eaglep3\Utilities\RefineRTDCRunTimes.py" --tripid 230-05 --locoid 4061 --swversion DE.1.0.9.0 --startMP 204:232986 --initTime 2017-07-05T21:51:16 --startdatetime 2017-07-05T21:57:14 --delay 1 --endMP 204:145 --enddatetime 2017-07-05T22:40:45 --enforcementcount 0 &gt;&gt;C:\Users\stu\Documents\GitHub\eaglep3-reporting\EC\2017-07-05-refined-times.txt</v>
      </c>
      <c r="AI144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{"issue":{"subject":"","project_id":79,"tracker_id":40,"status_id":1,"priority_id":2,"assigned_to_id":23,"start_date":"2017-07-05","description":"","custom_fields":[{"id":1,"name":"Subdivision","value":"EC"},{"id":4,"name":"Milepost","value":"0.0145"},{"id":17,"name":"Train ID","value":"230-05"},{"id":16,"name":"Locomotive ID","value":"4061"},{"id":130,"name":"Impact","value":""},{"id":150,"name":"Time of Event (Mountain Time)","value":"22:40:45"},{"id":151,"name":"Denver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8"/>
        <v>start /low /b %USERPROFILE%\Documents\GitHub\eaglep3\Utilities\DownloadLogsFromS3.py --loco 4061 --day 2017-07-05</v>
      </c>
      <c r="AN144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802</v>
      </c>
      <c r="B145" s="7">
        <v>4018</v>
      </c>
      <c r="C145" s="21" t="s">
        <v>202</v>
      </c>
      <c r="D145" s="21" t="s">
        <v>446</v>
      </c>
      <c r="E145" s="13">
        <v>42921.894386574073</v>
      </c>
      <c r="F145" s="13">
        <v>42921.886967592596</v>
      </c>
      <c r="G145" s="7">
        <v>2</v>
      </c>
      <c r="H145" s="21" t="s">
        <v>471</v>
      </c>
      <c r="I145" s="13">
        <v>42921.923611111109</v>
      </c>
      <c r="J145" s="7">
        <v>0</v>
      </c>
      <c r="K145" s="89" t="str">
        <f t="shared" si="60"/>
        <v>4017/4018</v>
      </c>
      <c r="L145" s="21" t="str">
        <f>VLOOKUP(A145,'Trips&amp;Operators'!$C$1:$G$99999,5,FALSE)</f>
        <v>HAITHCOX MICHAEL</v>
      </c>
      <c r="M145" s="6">
        <f t="shared" si="61"/>
        <v>3.6643518513301387E-2</v>
      </c>
      <c r="N145" s="7">
        <f t="shared" si="62"/>
        <v>52.766666659153998</v>
      </c>
      <c r="O145" s="7"/>
      <c r="P145" s="7"/>
      <c r="Q145" s="22"/>
      <c r="R145" s="170" t="s">
        <v>573</v>
      </c>
      <c r="S145" s="213">
        <f t="shared" si="55"/>
        <v>1</v>
      </c>
      <c r="T145" s="195" t="str">
        <f t="shared" si="63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4"/>
        <v>https://d0f6bd738d7f1b3e5a7ca70fe4ff75f0.us-east-1.aws.found.io/app/kibana#/discover/Steve-Slow-Train-Analysis-(2080s-and-2083s)?_g=(refreshInterval:(display:Off,pause:!f,section:0,value:0),time:(from:'2017-07-05T20:27:55-0600',mode:absolute,to:'2017-07-05T23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97" t="str">
        <f>IF(AA145&lt;VLOOKUP(AG145,Variables!$AC$3:$AD$8,2,FALSE),"Y","N")</f>
        <v>N</v>
      </c>
      <c r="X145" s="197">
        <f t="shared" si="72"/>
        <v>1</v>
      </c>
      <c r="Y145" s="197">
        <f t="shared" si="65"/>
        <v>4.7500000000000001E-2</v>
      </c>
      <c r="Z145" s="197">
        <f t="shared" si="66"/>
        <v>23.329699999999999</v>
      </c>
      <c r="AA145" s="197">
        <f t="shared" si="67"/>
        <v>23.2822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8"/>
        <v>231</v>
      </c>
      <c r="AE145" s="77" t="str">
        <f t="shared" si="69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145" s="74" t="str">
        <f t="shared" si="70"/>
        <v>"C:\Program Files (x86)\AstroGrep\AstroGrep.exe" /e /r /s /spath="%USERPROFILE%\AppData\Local\Temp\OnboardLogs" /stypes="app*4018*20170706*" /stext=" 04:.+((SYSTEM_STATE.+slice.+state.+changed )|(ment ac)|(multiple cpu faults)|(system.+state.+changed )|(\[timeout)|(PRM\|1\|D)|(kpr)|(kdp)|(train st.+moving)|(\|lc)|(penalty))"</v>
      </c>
      <c r="AG145" s="209" t="str">
        <f t="shared" si="71"/>
        <v>EC</v>
      </c>
      <c r="AH145" s="78" t="str">
        <f t="shared" si="56"/>
        <v>"%USERPROFILE%\Documents\GitHub\eaglep3\Utilities\RefineRTDCRunTimes.py" --tripid 231-05 --locoid 4018 --swversion DE.1.0.9.0 --startMP 204:475 --initTime 2017-07-05T21:27:55 --startdatetime 2017-07-05T21:17:14 --delay 2 --endMP 204:233297 --enddatetime 2017-07-05T22:10:00 --enforcementcount 0 &gt;&gt;C:\Users\stu\Documents\GitHub\eaglep3-reporting\EC\2017-07-05-refined-times.txt</v>
      </c>
      <c r="AI145" s="96" t="str">
        <f t="shared" si="57"/>
        <v>echo {"issue":{"subject":"Delayed by onboard in-route failure","project_id":79,"tracker_id":40,"status_id":1,"priority_id":2,"assigned_to_id":23,"start_date":"2017-07-05","description":"","custom_fields":[{"id":1,"name":"Subdivision","value":"EC"},{"id":4,"name":"Milepost","value":"23.3297"},{"id":17,"name":"Train ID","value":"231-05"},{"id":16,"name":"Locomotive ID","value":"4018"},{"id":130,"name":"Impact","value":""},{"id":150,"name":"Time of Event (Mountain Time)","value":"22:10:00"},{"id":151,"name":"Denver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8"/>
        <v>start /low /b %USERPROFILE%\Documents\GitHub\eaglep3\Utilities\DownloadLogsFromS3.py --loco 4018 --day 2017-07-05</v>
      </c>
      <c r="AN145" s="151" t="str">
        <f t="shared" si="59"/>
        <v>echo {"issue":{"subject":"Delayed by onboard in-route failure","project_id":30,"tracker_id":4,"status_id":1,"priority_id":1,"assigned_to_id":10,"start_date":"2017-07-06","description":"","custom_fields":[{"id":30,"name":"Category","value":"Issue"},{"id":3,"name":"Functional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810</v>
      </c>
      <c r="B146" s="7">
        <v>4017</v>
      </c>
      <c r="C146" s="21" t="s">
        <v>202</v>
      </c>
      <c r="D146" s="21" t="s">
        <v>500</v>
      </c>
      <c r="E146" s="13">
        <v>42921.924571759257</v>
      </c>
      <c r="F146" s="13">
        <v>42921.935706018521</v>
      </c>
      <c r="G146" s="7">
        <v>0</v>
      </c>
      <c r="H146" s="21" t="s">
        <v>860</v>
      </c>
      <c r="I146" s="13">
        <v>42921.964328703703</v>
      </c>
      <c r="J146" s="7">
        <v>0</v>
      </c>
      <c r="K146" s="89" t="str">
        <f t="shared" si="60"/>
        <v>4017/4018</v>
      </c>
      <c r="L146" s="21" t="str">
        <f>VLOOKUP(A146,'Trips&amp;Operators'!$C$1:$G$99999,5,FALSE)</f>
        <v>HAITHCOX MICHAEL</v>
      </c>
      <c r="M146" s="6">
        <f t="shared" si="61"/>
        <v>2.8622685182199348E-2</v>
      </c>
      <c r="N146" s="7">
        <f t="shared" si="62"/>
        <v>41.216666662367061</v>
      </c>
      <c r="O146" s="7"/>
      <c r="P146" s="7"/>
      <c r="Q146" s="22"/>
      <c r="R146" s="170"/>
      <c r="S146" s="213">
        <f t="shared" si="55"/>
        <v>1</v>
      </c>
      <c r="T146" s="195" t="str">
        <f t="shared" si="63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4"/>
        <v>https://d0f6bd738d7f1b3e5a7ca70fe4ff75f0.us-east-1.aws.found.io/app/kibana#/discover/Steve-Slow-Train-Analysis-(2080s-and-2083s)?_g=(refreshInterval:(display:Off,pause:!f,section:0,value:0),time:(from:'2017-07-05T21:11:23-0600',mode:absolute,to:'2017-07-06T00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97" t="str">
        <f>IF(AA146&lt;VLOOKUP(AG146,Variables!$AC$3:$AD$8,2,FALSE),"Y","N")</f>
        <v>N</v>
      </c>
      <c r="X146" s="197">
        <f t="shared" si="72"/>
        <v>1</v>
      </c>
      <c r="Y146" s="197">
        <f t="shared" si="65"/>
        <v>23.2987</v>
      </c>
      <c r="Z146" s="197">
        <f t="shared" si="66"/>
        <v>1.6899999999999998E-2</v>
      </c>
      <c r="AA146" s="197">
        <f t="shared" si="67"/>
        <v>23.2818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8"/>
        <v>232</v>
      </c>
      <c r="AE146" s="77" t="str">
        <f t="shared" si="69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146" s="74" t="str">
        <f t="shared" si="70"/>
        <v>"C:\Program Files (x86)\AstroGrep\AstroGrep.exe" /e /r /s /spath="%USERPROFILE%\AppData\Local\Temp\OnboardLogs" /stypes="app*4017*20170706*" /stext=" 05:.+((SYSTEM_STATE.+slice.+state.+changed )|(ment ac)|(multiple cpu faults)|(system.+state.+changed )|(\[timeout)|(PRM\|1\|D)|(kpr)|(kdp)|(train st.+moving)|(\|lc)|(penalty))"</v>
      </c>
      <c r="AG146" s="209" t="str">
        <f t="shared" si="71"/>
        <v>EC</v>
      </c>
      <c r="AH146" s="78" t="str">
        <f t="shared" si="56"/>
        <v>"%USERPROFILE%\Documents\GitHub\eaglep3\Utilities\RefineRTDCRunTimes.py" --tripid 232-05 --locoid 4017 --swversion DE.1.0.9.0 --startMP 204:232987 --initTime 2017-07-05T22:11:23 --startdatetime 2017-07-05T22:27:25 --delay 0 --endMP 204:169 --enddatetime 2017-07-05T23:08:38 --enforcementcount 0 &gt;&gt;C:\Users\stu\Documents\GitHub\eaglep3-reporting\EC\2017-07-05-refined-times.txt</v>
      </c>
      <c r="AI146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{"issue":{"subject":"","project_id":79,"tracker_id":40,"status_id":1,"priority_id":2,"assigned_to_id":23,"start_date":"2017-07-05","description":"","custom_fields":[{"id":1,"name":"Subdivision","value":"EC"},{"id":4,"name":"Milepost","value":"0.0169"},{"id":17,"name":"Train ID","value":"232-05"},{"id":16,"name":"Locomotive ID","value":"4017"},{"id":130,"name":"Impact","value":""},{"id":150,"name":"Time of Event (Mountain Time)","value":"23:08:38"},{"id":151,"name":"Denver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8"/>
        <v>start /low /b %USERPROFILE%\Documents\GitHub\eaglep3\Utilities\DownloadLogsFromS3.py --loco 4017 --day 2017-07-05</v>
      </c>
      <c r="AN146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05:08:38"},{"id":29,"name":"Sharepoint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808</v>
      </c>
      <c r="B147" s="7">
        <v>4046</v>
      </c>
      <c r="C147" s="21" t="s">
        <v>202</v>
      </c>
      <c r="D147" s="21" t="s">
        <v>353</v>
      </c>
      <c r="E147" s="13">
        <v>42921.912222222221</v>
      </c>
      <c r="F147" s="13">
        <v>42921.917199074072</v>
      </c>
      <c r="G147" s="7">
        <v>2</v>
      </c>
      <c r="H147" s="21" t="s">
        <v>480</v>
      </c>
      <c r="I147" s="13">
        <v>42921.944490740738</v>
      </c>
      <c r="J147" s="7">
        <v>0</v>
      </c>
      <c r="K147" s="89" t="str">
        <f t="shared" si="60"/>
        <v>4045/4046</v>
      </c>
      <c r="L147" s="21" t="str">
        <f>VLOOKUP(A147,'Trips&amp;Operators'!$C$1:$G$99999,5,FALSE)</f>
        <v>SMITH MICHAEL</v>
      </c>
      <c r="M147" s="6">
        <f t="shared" si="61"/>
        <v>2.7291666665405501E-2</v>
      </c>
      <c r="N147" s="7">
        <f t="shared" si="62"/>
        <v>39.299999998183921</v>
      </c>
      <c r="O147" s="7"/>
      <c r="P147" s="7"/>
      <c r="Q147" s="22"/>
      <c r="R147" s="170"/>
      <c r="S147" s="213">
        <f t="shared" si="55"/>
        <v>1</v>
      </c>
      <c r="T147" s="195" t="str">
        <f t="shared" si="63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4"/>
        <v>https://d0f6bd738d7f1b3e5a7ca70fe4ff75f0.us-east-1.aws.found.io/app/kibana#/discover/Steve-Slow-Train-Analysis-(2080s-and-2083s)?_g=(refreshInterval:(display:Off,pause:!f,section:0,value:0),time:(from:'2017-07-05T20:53:36-0600',mode:absolute,to:'2017-07-05T23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197" t="str">
        <f>IF(AA147&lt;VLOOKUP(AG147,Variables!$AC$3:$AD$8,2,FALSE),"Y","N")</f>
        <v>N</v>
      </c>
      <c r="X147" s="197">
        <f t="shared" si="72"/>
        <v>1</v>
      </c>
      <c r="Y147" s="197">
        <f t="shared" si="65"/>
        <v>4.53E-2</v>
      </c>
      <c r="Z147" s="197">
        <f t="shared" si="66"/>
        <v>23.332100000000001</v>
      </c>
      <c r="AA147" s="197">
        <f t="shared" si="67"/>
        <v>23.286799999999999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8"/>
        <v>233</v>
      </c>
      <c r="AE147" s="77" t="str">
        <f t="shared" si="69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147" s="74" t="str">
        <f t="shared" si="70"/>
        <v>"C:\Program Files (x86)\AstroGrep\AstroGrep.exe" /e /r /s /spath="%USERPROFILE%\AppData\Local\Temp\OnboardLogs" /stypes="app*4046*20170706*" /stext=" 04:.+((SYSTEM_STATE.+slice.+state.+changed )|(ment ac)|(multiple cpu faults)|(system.+state.+changed )|(\[timeout)|(PRM\|1\|D)|(kpr)|(kdp)|(train st.+moving)|(\|lc)|(penalty))"</v>
      </c>
      <c r="AG147" s="209" t="str">
        <f t="shared" si="71"/>
        <v>EC</v>
      </c>
      <c r="AH147" s="78" t="str">
        <f t="shared" si="56"/>
        <v>"%USERPROFILE%\Documents\GitHub\eaglep3\Utilities\RefineRTDCRunTimes.py" --tripid 233-05 --locoid 4046 --swversion DE.1.0.9.0 --startMP 204:453 --initTime 2017-07-05T21:53:36 --startdatetime 2017-07-05T22:00:46 --delay 2 --endMP 204:233321 --enddatetime 2017-07-05T22:40:04 --enforcementcount 0 &gt;&gt;C:\Users\stu\Documents\GitHub\eaglep3-reporting\EC\2017-07-05-refined-times.txt</v>
      </c>
      <c r="AI147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{"issue":{"subject":"","project_id":79,"tracker_id":40,"status_id":1,"priority_id":2,"assigned_to_id":23,"start_date":"2017-07-05","description":"","custom_fields":[{"id":1,"name":"Subdivision","value":"EC"},{"id":4,"name":"Milepost","value":"23.3321"},{"id":17,"name":"Train ID","value":"233-05"},{"id":16,"name":"Locomotive ID","value":"4046"},{"id":130,"name":"Impact","value":""},{"id":150,"name":"Time of Event (Mountain Time)","value":"22:40:04"},{"id":151,"name":"Denver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8"/>
        <v>start /low /b %USERPROFILE%\Documents\GitHub\eaglep3\Utilities\DownloadLogsFromS3.py --loco 4046 --day 2017-07-05</v>
      </c>
      <c r="AN147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814</v>
      </c>
      <c r="B148" s="7">
        <v>4045</v>
      </c>
      <c r="C148" s="21" t="s">
        <v>202</v>
      </c>
      <c r="D148" s="21" t="s">
        <v>510</v>
      </c>
      <c r="E148" s="13">
        <v>42921.948182870372</v>
      </c>
      <c r="F148" s="13">
        <v>42921.956458333334</v>
      </c>
      <c r="G148" s="7">
        <v>1</v>
      </c>
      <c r="H148" s="21" t="s">
        <v>890</v>
      </c>
      <c r="I148" s="13">
        <v>42921.984571759262</v>
      </c>
      <c r="J148" s="7">
        <v>0</v>
      </c>
      <c r="K148" s="89" t="str">
        <f t="shared" si="60"/>
        <v>4045/4046</v>
      </c>
      <c r="L148" s="21" t="str">
        <f>VLOOKUP(A148,'Trips&amp;Operators'!$C$1:$G$99999,5,FALSE)</f>
        <v>SMITH MICHAEL</v>
      </c>
      <c r="M148" s="6">
        <f t="shared" si="61"/>
        <v>2.8113425927585922E-2</v>
      </c>
      <c r="N148" s="7">
        <f t="shared" si="62"/>
        <v>40.483333335723728</v>
      </c>
      <c r="O148" s="7"/>
      <c r="P148" s="7"/>
      <c r="Q148" s="22"/>
      <c r="R148" s="170"/>
      <c r="S148" s="213">
        <f t="shared" si="55"/>
        <v>1</v>
      </c>
      <c r="T148" s="195" t="str">
        <f t="shared" si="63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4"/>
        <v>https://d0f6bd738d7f1b3e5a7ca70fe4ff75f0.us-east-1.aws.found.io/app/kibana#/discover/Steve-Slow-Train-Analysis-(2080s-and-2083s)?_g=(refreshInterval:(display:Off,pause:!f,section:0,value:0),time:(from:'2017-07-05T21:45:23-0600',mode:absolute,to:'2017-07-06T00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197" t="str">
        <f>IF(AA148&lt;VLOOKUP(AG148,Variables!$AC$3:$AD$8,2,FALSE),"Y","N")</f>
        <v>N</v>
      </c>
      <c r="X148" s="197">
        <f t="shared" ref="X148:X156" si="73">VALUE(LEFT(AD148,4))-VALUE(LEFT(AD147,4))</f>
        <v>1</v>
      </c>
      <c r="Y148" s="197">
        <f t="shared" si="65"/>
        <v>23.299099999999999</v>
      </c>
      <c r="Z148" s="197">
        <f t="shared" si="66"/>
        <v>8.8200000000000001E-2</v>
      </c>
      <c r="AA148" s="197">
        <f t="shared" si="67"/>
        <v>23.210899999999999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8"/>
        <v>234</v>
      </c>
      <c r="AE148" s="77" t="str">
        <f t="shared" si="69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148" s="74" t="str">
        <f t="shared" si="70"/>
        <v>"C:\Program Files (x86)\AstroGrep\AstroGrep.exe" /e /r /s /spath="%USERPROFILE%\AppData\Local\Temp\OnboardLogs" /stypes="app*4045*20170706*" /stext=" 05:.+((SYSTEM_STATE.+slice.+state.+changed )|(ment ac)|(multiple cpu faults)|(system.+state.+changed )|(\[timeout)|(PRM\|1\|D)|(kpr)|(kdp)|(train st.+moving)|(\|lc)|(penalty))"</v>
      </c>
      <c r="AG148" s="209" t="str">
        <f t="shared" si="71"/>
        <v>EC</v>
      </c>
      <c r="AH148" s="78" t="str">
        <f t="shared" si="56"/>
        <v>"%USERPROFILE%\Documents\GitHub\eaglep3\Utilities\RefineRTDCRunTimes.py" --tripid 234-05 --locoid 4045 --swversion DE.1.0.9.0 --startMP 204:232991 --initTime 2017-07-05T22:45:23 --startdatetime 2017-07-05T22:57:18 --delay 1 --endMP 204:882 --enddatetime 2017-07-05T23:37:47 --enforcementcount 0 &gt;&gt;C:\Users\stu\Documents\GitHub\eaglep3-reporting\EC\2017-07-05-refined-times.txt</v>
      </c>
      <c r="AI148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{"issue":{"subject":"","project_id":79,"tracker_id":40,"status_id":1,"priority_id":2,"assigned_to_id":23,"start_date":"2017-07-05","description":"","custom_fields":[{"id":1,"name":"Subdivision","value":"EC"},{"id":4,"name":"Milepost","value":"0.0882"},{"id":17,"name":"Train ID","value":"234-05"},{"id":16,"name":"Locomotive ID","value":"4045"},{"id":130,"name":"Impact","value":""},{"id":150,"name":"Time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8"/>
        <v>start /low /b %USERPROFILE%\Documents\GitHub\eaglep3\Utilities\DownloadLogsFromS3.py --loco 4045 --day 2017-07-05</v>
      </c>
      <c r="AN148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05:37:47"},{"id":29,"name":"Sharepoint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811</v>
      </c>
      <c r="B149" s="7">
        <v>4008</v>
      </c>
      <c r="C149" s="21" t="s">
        <v>202</v>
      </c>
      <c r="D149" s="21" t="s">
        <v>437</v>
      </c>
      <c r="E149" s="13">
        <v>42921.932696759257</v>
      </c>
      <c r="F149" s="13">
        <v>42921.937997685185</v>
      </c>
      <c r="G149" s="7">
        <v>2</v>
      </c>
      <c r="H149" s="21" t="s">
        <v>473</v>
      </c>
      <c r="I149" s="13">
        <v>42921.965231481481</v>
      </c>
      <c r="J149" s="7">
        <v>0</v>
      </c>
      <c r="K149" s="89" t="str">
        <f t="shared" si="60"/>
        <v>4007/4008</v>
      </c>
      <c r="L149" s="21" t="str">
        <f>VLOOKUP(A149,'Trips&amp;Operators'!$C$1:$G$99999,5,FALSE)</f>
        <v>LAMAR NEKESHA</v>
      </c>
      <c r="M149" s="6">
        <f t="shared" si="61"/>
        <v>2.7233796296059154E-2</v>
      </c>
      <c r="N149" s="7">
        <f t="shared" si="62"/>
        <v>39.216666666325182</v>
      </c>
      <c r="O149" s="7"/>
      <c r="P149" s="7"/>
      <c r="Q149" s="22"/>
      <c r="R149" s="170"/>
      <c r="S149" s="213">
        <f t="shared" si="55"/>
        <v>1</v>
      </c>
      <c r="T149" s="195" t="str">
        <f t="shared" si="63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4"/>
        <v>https://d0f6bd738d7f1b3e5a7ca70fe4ff75f0.us-east-1.aws.found.io/app/kibana#/discover/Steve-Slow-Train-Analysis-(2080s-and-2083s)?_g=(refreshInterval:(display:Off,pause:!f,section:0,value:0),time:(from:'2017-07-05T21:23:05-0600',mode:absolute,to:'2017-07-06T00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7" t="str">
        <f>IF(AA149&lt;VLOOKUP(AG149,Variables!$AC$3:$AD$8,2,FALSE),"Y","N")</f>
        <v>N</v>
      </c>
      <c r="X149" s="197">
        <f t="shared" si="73"/>
        <v>1</v>
      </c>
      <c r="Y149" s="197">
        <f t="shared" si="65"/>
        <v>4.4400000000000002E-2</v>
      </c>
      <c r="Z149" s="197">
        <f t="shared" si="66"/>
        <v>23.33</v>
      </c>
      <c r="AA149" s="197">
        <f t="shared" si="67"/>
        <v>23.285599999999999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8"/>
        <v>235</v>
      </c>
      <c r="AE149" s="77" t="str">
        <f t="shared" si="69"/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AF149" s="74" t="str">
        <f t="shared" si="70"/>
        <v>"C:\Program Files (x86)\AstroGrep\AstroGrep.exe" /e /r /s /spath="%USERPROFILE%\AppData\Local\Temp\OnboardLogs" /stypes="app*4008*20170706*" /stext=" 05:.+((SYSTEM_STATE.+slice.+state.+changed )|(ment ac)|(multiple cpu faults)|(system.+state.+changed )|(\[timeout)|(PRM\|1\|D)|(kpr)|(kdp)|(train st.+moving)|(\|lc)|(penalty))"</v>
      </c>
      <c r="AG149" s="209" t="str">
        <f t="shared" si="71"/>
        <v>EC</v>
      </c>
      <c r="AH149" s="78" t="str">
        <f t="shared" si="56"/>
        <v>"%USERPROFILE%\Documents\GitHub\eaglep3\Utilities\RefineRTDCRunTimes.py" --tripid 235-05 --locoid 4008 --swversion DE.1.0.9.0 --startMP 204:444 --initTime 2017-07-05T22:23:05 --startdatetime 2017-07-05T22:30:43 --delay 2 --endMP 204:233300 --enddatetime 2017-07-05T23:09:56 --enforcementcount 0 &gt;&gt;C:\Users\stu\Documents\GitHub\eaglep3-reporting\EC\2017-07-05-refined-times.txt</v>
      </c>
      <c r="AI149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{"issue":{"subject":"","project_id":79,"tracker_id":40,"status_id":1,"priority_id":2,"assigned_to_id":23,"start_date":"2017-07-05","description":"","custom_fields":[{"id":1,"name":"Subdivision","value":"EC"},{"id":4,"name":"Milepost","value":"23.33"},{"id":17,"name":"Train ID","value":"235-05"},{"id":16,"name":"Locomotive ID","value":"4008"},{"id":130,"name":"Impact","value":""},{"id":150,"name":"Time of Event (Mountain Time)","value":"23:09:56"},{"id":151,"name":"Denver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8"/>
        <v>start /low /b %USERPROFILE%\Documents\GitHub\eaglep3\Utilities\DownloadLogsFromS3.py --loco 4008 --day 2017-07-05</v>
      </c>
      <c r="AN149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05:09:56"},{"id":29,"name":"Sharepoint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818</v>
      </c>
      <c r="B150" s="7">
        <v>4007</v>
      </c>
      <c r="C150" s="21" t="s">
        <v>202</v>
      </c>
      <c r="D150" s="21" t="s">
        <v>891</v>
      </c>
      <c r="E150" s="13">
        <v>42921.974189814813</v>
      </c>
      <c r="F150" s="13">
        <v>42921.977476851855</v>
      </c>
      <c r="G150" s="7">
        <v>0</v>
      </c>
      <c r="H150" s="21" t="s">
        <v>193</v>
      </c>
      <c r="I150" s="13">
        <v>42922.005937499998</v>
      </c>
      <c r="J150" s="7">
        <v>0</v>
      </c>
      <c r="K150" s="89" t="str">
        <f t="shared" si="60"/>
        <v>4007/4008</v>
      </c>
      <c r="L150" s="21" t="str">
        <f>VLOOKUP(A150,'Trips&amp;Operators'!$C$1:$G$99999,5,FALSE)</f>
        <v>LAMAR NEKESHA</v>
      </c>
      <c r="M150" s="6">
        <f t="shared" si="61"/>
        <v>2.8460648143664002E-2</v>
      </c>
      <c r="N150" s="7">
        <f t="shared" si="62"/>
        <v>40.983333326876163</v>
      </c>
      <c r="O150" s="7"/>
      <c r="P150" s="7"/>
      <c r="Q150" s="22"/>
      <c r="R150" s="170"/>
      <c r="S150" s="213">
        <f t="shared" si="55"/>
        <v>1</v>
      </c>
      <c r="T150" s="195" t="str">
        <f t="shared" si="63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4"/>
        <v>https://d0f6bd738d7f1b3e5a7ca70fe4ff75f0.us-east-1.aws.found.io/app/kibana#/discover/Steve-Slow-Train-Analysis-(2080s-and-2083s)?_g=(refreshInterval:(display:Off,pause:!f,section:0,value:0),time:(from:'2017-07-05T22:22:50-0600',mode:absolute,to:'2017-07-06T01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7" t="str">
        <f>IF(AA150&lt;VLOOKUP(AG150,Variables!$AC$3:$AD$8,2,FALSE),"Y","N")</f>
        <v>N</v>
      </c>
      <c r="X150" s="197">
        <f t="shared" si="73"/>
        <v>1</v>
      </c>
      <c r="Y150" s="197">
        <f t="shared" si="65"/>
        <v>23.297599999999999</v>
      </c>
      <c r="Z150" s="197">
        <f t="shared" si="66"/>
        <v>1.52E-2</v>
      </c>
      <c r="AA150" s="197">
        <f t="shared" si="67"/>
        <v>23.282399999999999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8"/>
        <v>236</v>
      </c>
      <c r="AE150" s="77" t="str">
        <f t="shared" si="69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150" s="74" t="str">
        <f t="shared" si="70"/>
        <v>"C:\Program Files (x86)\AstroGrep\AstroGrep.exe" /e /r /s /spath="%USERPROFILE%\AppData\Local\Temp\OnboardLogs" /stypes="app*4007*20170706*" /stext=" 06:.+((SYSTEM_STATE.+slice.+state.+changed )|(ment ac)|(multiple cpu faults)|(system.+state.+changed )|(\[timeout)|(PRM\|1\|D)|(kpr)|(kdp)|(train st.+moving)|(\|lc)|(penalty))"</v>
      </c>
      <c r="AG150" s="209" t="str">
        <f t="shared" si="71"/>
        <v>EC</v>
      </c>
      <c r="AH150" s="78" t="str">
        <f t="shared" si="56"/>
        <v>"%USERPROFILE%\Documents\GitHub\eaglep3\Utilities\RefineRTDCRunTimes.py" --tripid 236-05 --locoid 4007 --swversion DE.1.0.9.0 --startMP 204:232976 --initTime 2017-07-05T23:22:50 --startdatetime 2017-07-05T23:27:34 --delay 0 --endMP 204:152 --enddatetime 2017-07-06T00:08:33 --enforcementcount 0 &gt;&gt;C:\Users\stu\Documents\GitHub\eaglep3-reporting\EC\2017-07-05-refined-times.txt</v>
      </c>
      <c r="AI150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{"issue":{"subject":"","project_id":79,"tracker_id":40,"status_id":1,"priority_id":2,"assigned_to_id":23,"start_date":"2017-07-06","description":"","custom_fields":[{"id":1,"name":"Subdivision","value":"EC"},{"id":4,"name":"Milepost","value":"0.0152"},{"id":17,"name":"Train ID","value":"236-05"},{"id":16,"name":"Locomotive ID","value":"4007"},{"id":130,"name":"Impact","value":""},{"id":150,"name":"Time of Event (Mountain Time)","value":"00:08:33"},{"id":151,"name":"Denver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8"/>
        <v>start /low /b %USERPROFILE%\Documents\GitHub\eaglep3\Utilities\DownloadLogsFromS3.py --loco 4007 --day 2017-07-05</v>
      </c>
      <c r="AN150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06:08:33"},{"id":29,"name":"Sharepoint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813</v>
      </c>
      <c r="B151" s="7">
        <v>4062</v>
      </c>
      <c r="C151" s="21" t="s">
        <v>202</v>
      </c>
      <c r="D151" s="21" t="s">
        <v>351</v>
      </c>
      <c r="E151" s="13">
        <v>42921.946886574071</v>
      </c>
      <c r="F151" s="13">
        <v>42921.958854166667</v>
      </c>
      <c r="G151" s="7">
        <v>1</v>
      </c>
      <c r="H151" s="21" t="s">
        <v>892</v>
      </c>
      <c r="I151" s="13">
        <v>42921.986516203702</v>
      </c>
      <c r="J151" s="7">
        <v>0</v>
      </c>
      <c r="K151" s="89" t="str">
        <f t="shared" si="60"/>
        <v>4061/4062</v>
      </c>
      <c r="L151" s="21" t="str">
        <f>VLOOKUP(A151,'Trips&amp;Operators'!$C$1:$G$99999,5,FALSE)</f>
        <v>FORTUNATO FRANK</v>
      </c>
      <c r="M151" s="6">
        <f t="shared" si="61"/>
        <v>2.7662037035042886E-2</v>
      </c>
      <c r="N151" s="7">
        <f t="shared" si="62"/>
        <v>39.833333330461755</v>
      </c>
      <c r="O151" s="7"/>
      <c r="P151" s="7"/>
      <c r="Q151" s="22"/>
      <c r="R151" s="170"/>
      <c r="S151" s="213">
        <f t="shared" si="55"/>
        <v>1</v>
      </c>
      <c r="T151" s="195" t="str">
        <f t="shared" si="63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4"/>
        <v>https://d0f6bd738d7f1b3e5a7ca70fe4ff75f0.us-east-1.aws.found.io/app/kibana#/discover/Steve-Slow-Train-Analysis-(2080s-and-2083s)?_g=(refreshInterval:(display:Off,pause:!f,section:0,value:0),time:(from:'2017-07-05T21:43:31-0600',mode:absolute,to:'2017-07-06T00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1" s="197" t="str">
        <f>IF(AA151&lt;VLOOKUP(AG151,Variables!$AC$3:$AD$8,2,FALSE),"Y","N")</f>
        <v>N</v>
      </c>
      <c r="X151" s="197">
        <f t="shared" si="73"/>
        <v>1</v>
      </c>
      <c r="Y151" s="197">
        <f t="shared" si="65"/>
        <v>4.5100000000000001E-2</v>
      </c>
      <c r="Z151" s="197">
        <f t="shared" si="66"/>
        <v>23.331900000000001</v>
      </c>
      <c r="AA151" s="197">
        <f t="shared" si="67"/>
        <v>23.286799999999999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8"/>
        <v>237</v>
      </c>
      <c r="AE151" s="77" t="str">
        <f t="shared" si="69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151" s="74" t="str">
        <f t="shared" si="70"/>
        <v>"C:\Program Files (x86)\AstroGrep\AstroGrep.exe" /e /r /s /spath="%USERPROFILE%\AppData\Local\Temp\OnboardLogs" /stypes="app*4062*20170706*" /stext=" 05:.+((SYSTEM_STATE.+slice.+state.+changed )|(ment ac)|(multiple cpu faults)|(system.+state.+changed )|(\[timeout)|(PRM\|1\|D)|(kpr)|(kdp)|(train st.+moving)|(\|lc)|(penalty))"</v>
      </c>
      <c r="AG151" s="209" t="str">
        <f t="shared" si="71"/>
        <v>EC</v>
      </c>
      <c r="AH151" s="78" t="str">
        <f t="shared" si="56"/>
        <v>"%USERPROFILE%\Documents\GitHub\eaglep3\Utilities\RefineRTDCRunTimes.py" --tripid 237-05 --locoid 4062 --swversion DE.1.0.9.0 --startMP 204:451 --initTime 2017-07-05T22:43:31 --startdatetime 2017-07-05T23:00:45 --delay 1 --endMP 204:233319 --enddatetime 2017-07-05T23:40:35 --enforcementcount 0 &gt;&gt;C:\Users\stu\Documents\GitHub\eaglep3-reporting\EC\2017-07-05-refined-times.txt</v>
      </c>
      <c r="AI151" s="96" t="str">
        <f t="shared" si="57"/>
        <v>echo {"issue":{"subject":"","project_id":79,"tracker_id":40,"status_id":1,"priority_id":2,"assigned_to_id":23,"start_date":"2017-07-05","description":"","custom_fields":[{"id":1,"name":"Subdivision","value":"EC"},{"id":4,"name":"Milepost","value":"23.3319"},{"id":17,"name":"Train ID","value":"237-05"},{"id":16,"name":"Locomotive ID","value":"4062"},{"id":130,"name":"Impact","value":""},{"id":150,"name":"Time of Event (Mountain Time)","value":"23:40:35"},{"id":151,"name":"Denver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8"/>
        <v>start /low /b %USERPROFILE%\Documents\GitHub\eaglep3\Utilities\DownloadLogsFromS3.py --loco 4062 --day 2017-07-05</v>
      </c>
      <c r="AN151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05:40:35"},{"id":29,"name":"Sharepoint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819</v>
      </c>
      <c r="B152" s="7">
        <v>4061</v>
      </c>
      <c r="C152" s="21" t="s">
        <v>202</v>
      </c>
      <c r="D152" s="21" t="s">
        <v>481</v>
      </c>
      <c r="E152" s="13">
        <v>42921.988553240742</v>
      </c>
      <c r="F152" s="13">
        <v>42921.998124999998</v>
      </c>
      <c r="G152" s="7">
        <v>1</v>
      </c>
      <c r="H152" s="21" t="s">
        <v>401</v>
      </c>
      <c r="I152" s="13">
        <v>42922.027037037034</v>
      </c>
      <c r="J152" s="7">
        <v>0</v>
      </c>
      <c r="K152" s="89" t="str">
        <f t="shared" si="60"/>
        <v>4061/4062</v>
      </c>
      <c r="L152" s="21" t="str">
        <f>VLOOKUP(A152,'Trips&amp;Operators'!$C$1:$G$99999,5,FALSE)</f>
        <v>FORTUNATO FRANK</v>
      </c>
      <c r="M152" s="6">
        <f t="shared" si="61"/>
        <v>2.8912037036207039E-2</v>
      </c>
      <c r="N152" s="7">
        <f t="shared" si="62"/>
        <v>41.633333332138136</v>
      </c>
      <c r="O152" s="7"/>
      <c r="P152" s="7"/>
      <c r="Q152" s="22"/>
      <c r="R152" s="170"/>
      <c r="S152" s="213">
        <f t="shared" si="55"/>
        <v>1</v>
      </c>
      <c r="T152" s="195" t="str">
        <f t="shared" si="63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4"/>
        <v>https://d0f6bd738d7f1b3e5a7ca70fe4ff75f0.us-east-1.aws.found.io/app/kibana#/discover/Steve-Slow-Train-Analysis-(2080s-and-2083s)?_g=(refreshInterval:(display:Off,pause:!f,section:0,value:0),time:(from:'2017-07-05T22:43:31-0600',mode:absolute,to:'2017-07-06T01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2" s="197" t="str">
        <f>IF(AA152&lt;VLOOKUP(AG152,Variables!$AC$3:$AD$8,2,FALSE),"Y","N")</f>
        <v>N</v>
      </c>
      <c r="X152" s="197">
        <f t="shared" si="73"/>
        <v>1</v>
      </c>
      <c r="Y152" s="197">
        <f t="shared" si="65"/>
        <v>23.299299999999999</v>
      </c>
      <c r="Z152" s="197">
        <f t="shared" si="66"/>
        <v>1.5599999999999999E-2</v>
      </c>
      <c r="AA152" s="197">
        <f t="shared" si="67"/>
        <v>23.2837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8"/>
        <v>238</v>
      </c>
      <c r="AE152" s="77" t="str">
        <f t="shared" si="69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152" s="74" t="str">
        <f t="shared" si="70"/>
        <v>"C:\Program Files (x86)\AstroGrep\AstroGrep.exe" /e /r /s /spath="%USERPROFILE%\AppData\Local\Temp\OnboardLogs" /stypes="app*4061*20170706*" /stext=" 06:.+((SYSTEM_STATE.+slice.+state.+changed )|(ment ac)|(multiple cpu faults)|(system.+state.+changed )|(\[timeout)|(PRM\|1\|D)|(kpr)|(kdp)|(train st.+moving)|(\|lc)|(penalty))"</v>
      </c>
      <c r="AG152" s="209" t="str">
        <f t="shared" si="71"/>
        <v>EC</v>
      </c>
      <c r="AH152" s="78" t="str">
        <f t="shared" si="56"/>
        <v>"%USERPROFILE%\Documents\GitHub\eaglep3\Utilities\RefineRTDCRunTimes.py" --tripid 238-05 --locoid 4061 --swversion DE.1.0.9.0 --startMP 204:232993 --initTime 2017-07-05T23:43:31 --startdatetime 2017-07-05T23:57:18 --delay 1 --endMP 204:156 --enddatetime 2017-07-06T00:38:56 --enforcementcount 0 &gt;&gt;C:\Users\stu\Documents\GitHub\eaglep3-reporting\EC\2017-07-05-refined-times.txt</v>
      </c>
      <c r="AI152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{"issue":{"subject":"","project_id":79,"tracker_id":40,"status_id":1,"priority_id":2,"assigned_to_id":23,"start_date":"2017-07-06","description":"","custom_fields":[{"id":1,"name":"Subdivision","value":"EC"},{"id":4,"name":"Milepost","value":"0.0156"},{"id":17,"name":"Train ID","value":"238-05"},{"id":16,"name":"Locomotive ID","value":"4061"},{"id":130,"name":"Impact","value":""},{"id":150,"name":"Time of Event (Mountain Time)","value":"00:38:56"},{"id":151,"name":"Denver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8"/>
        <v>start /low /b %USERPROFILE%\Documents\GitHub\eaglep3\Utilities\DownloadLogsFromS3.py --loco 4061 --day 2017-07-05</v>
      </c>
      <c r="AN152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06:38:56"},{"id":29,"name":"Sharepoint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815</v>
      </c>
      <c r="B153" s="7">
        <v>4018</v>
      </c>
      <c r="C153" s="21" t="s">
        <v>202</v>
      </c>
      <c r="D153" s="21" t="s">
        <v>407</v>
      </c>
      <c r="E153" s="13">
        <v>42921.965590277781</v>
      </c>
      <c r="F153" s="13">
        <v>42921.979687500003</v>
      </c>
      <c r="G153" s="7">
        <v>1</v>
      </c>
      <c r="H153" s="21" t="s">
        <v>848</v>
      </c>
      <c r="I153" s="13">
        <v>42922.006724537037</v>
      </c>
      <c r="J153" s="7">
        <v>0</v>
      </c>
      <c r="K153" s="89" t="str">
        <f t="shared" si="60"/>
        <v>4017/4018</v>
      </c>
      <c r="L153" s="21" t="str">
        <f>VLOOKUP(A153,'Trips&amp;Operators'!$C$1:$G$99999,5,FALSE)</f>
        <v>HAITHCOX MICHAEL</v>
      </c>
      <c r="M153" s="6">
        <f t="shared" si="61"/>
        <v>2.7037037034460809E-2</v>
      </c>
      <c r="N153" s="7">
        <f t="shared" si="62"/>
        <v>38.933333329623565</v>
      </c>
      <c r="O153" s="7"/>
      <c r="P153" s="7"/>
      <c r="Q153" s="22"/>
      <c r="R153" s="170"/>
      <c r="S153" s="213">
        <f t="shared" si="55"/>
        <v>1</v>
      </c>
      <c r="T153" s="195" t="str">
        <f t="shared" si="63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4"/>
        <v>https://d0f6bd738d7f1b3e5a7ca70fe4ff75f0.us-east-1.aws.found.io/app/kibana#/discover/Steve-Slow-Train-Analysis-(2080s-and-2083s)?_g=(refreshInterval:(display:Off,pause:!f,section:0,value:0),time:(from:'2017-07-05T22:10:27-0600',mode:absolute,to:'2017-07-06T01:09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97" t="str">
        <f>IF(AA153&lt;VLOOKUP(AG153,Variables!$AC$3:$AD$8,2,FALSE),"Y","N")</f>
        <v>N</v>
      </c>
      <c r="X153" s="197">
        <f t="shared" si="73"/>
        <v>1</v>
      </c>
      <c r="Y153" s="197">
        <f t="shared" si="65"/>
        <v>4.6899999999999997E-2</v>
      </c>
      <c r="Z153" s="197">
        <f t="shared" si="66"/>
        <v>23.328099999999999</v>
      </c>
      <c r="AA153" s="197">
        <f t="shared" si="67"/>
        <v>23.281199999999998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8"/>
        <v>239</v>
      </c>
      <c r="AE153" s="77" t="str">
        <f t="shared" si="69"/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AF153" s="74" t="str">
        <f t="shared" si="70"/>
        <v>"C:\Program Files (x86)\AstroGrep\AstroGrep.exe" /e /r /s /spath="%USERPROFILE%\AppData\Local\Temp\OnboardLogs" /stypes="app*4018*20170706*" /stext=" 06:.+((SYSTEM_STATE.+slice.+state.+changed )|(ment ac)|(multiple cpu faults)|(system.+state.+changed )|(\[timeout)|(PRM\|1\|D)|(kpr)|(kdp)|(train st.+moving)|(\|lc)|(penalty))"</v>
      </c>
      <c r="AG153" s="209" t="str">
        <f t="shared" si="71"/>
        <v>EC</v>
      </c>
      <c r="AH153" s="78" t="str">
        <f t="shared" si="56"/>
        <v>"%USERPROFILE%\Documents\GitHub\eaglep3\Utilities\RefineRTDCRunTimes.py" --tripid 239-05 --locoid 4018 --swversion DE.1.0.9.0 --startMP 204:469 --initTime 2017-07-05T23:10:27 --startdatetime 2017-07-05T23:30:45 --delay 1 --endMP 204:233281 --enddatetime 2017-07-06T00:09:41 --enforcementcount 0 &gt;&gt;C:\Users\stu\Documents\GitHub\eaglep3-reporting\EC\2017-07-05-refined-times.txt</v>
      </c>
      <c r="AI153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{"issue":{"subject":"","project_id":79,"tracker_id":40,"status_id":1,"priority_id":2,"assigned_to_id":23,"start_date":"2017-07-06","description":"","custom_fields":[{"id":1,"name":"Subdivision","value":"EC"},{"id":4,"name":"Milepost","value":"23.3281"},{"id":17,"name":"Train ID","value":"239-05"},{"id":16,"name":"Locomotive ID","value":"4018"},{"id":130,"name":"Impact","value":""},{"id":150,"name":"Time of Event (Mountain Time)","value":"00:09:41"},{"id":151,"name":"Denver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8"/>
        <v>start /low /b %USERPROFILE%\Documents\GitHub\eaglep3\Utilities\DownloadLogsFromS3.py --loco 4018 --day 2017-07-05</v>
      </c>
      <c r="AN153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06:09:41"},{"id":29,"name":"Sharepoint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629</v>
      </c>
      <c r="B154" s="7">
        <v>4017</v>
      </c>
      <c r="C154" s="21" t="s">
        <v>202</v>
      </c>
      <c r="D154" s="21" t="s">
        <v>842</v>
      </c>
      <c r="E154" s="13">
        <v>42922.007650462961</v>
      </c>
      <c r="F154" s="13">
        <v>42922.018993055557</v>
      </c>
      <c r="G154" s="7">
        <v>1</v>
      </c>
      <c r="H154" s="21" t="s">
        <v>893</v>
      </c>
      <c r="I154" s="13">
        <v>42922.046967592592</v>
      </c>
      <c r="J154" s="7">
        <v>0</v>
      </c>
      <c r="K154" s="89" t="str">
        <f t="shared" si="60"/>
        <v>4017/4018</v>
      </c>
      <c r="L154" s="21" t="str">
        <f>VLOOKUP(A154,'Trips&amp;Operators'!$C$1:$G$99999,5,FALSE)</f>
        <v>HAITHCOX MICHAEL</v>
      </c>
      <c r="M154" s="6">
        <f t="shared" si="61"/>
        <v>2.7974537035333924E-2</v>
      </c>
      <c r="N154" s="7">
        <f t="shared" si="62"/>
        <v>40.283333330880851</v>
      </c>
      <c r="O154" s="7"/>
      <c r="P154" s="7"/>
      <c r="Q154" s="22"/>
      <c r="R154" s="170"/>
      <c r="S154" s="213">
        <f t="shared" si="55"/>
        <v>1</v>
      </c>
      <c r="T154" s="195" t="str">
        <f t="shared" si="63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4"/>
        <v>https://d0f6bd738d7f1b3e5a7ca70fe4ff75f0.us-east-1.aws.found.io/app/kibana#/discover/Steve-Slow-Train-Analysis-(2080s-and-2083s)?_g=(refreshInterval:(display:Off,pause:!f,section:0,value:0),time:(from:'2017-07-05T23:11:01-0600',mode:absolute,to:'2017-07-06T02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97" t="str">
        <f>IF(AA154&lt;VLOOKUP(AG154,Variables!$AC$3:$AD$8,2,FALSE),"Y","N")</f>
        <v>N</v>
      </c>
      <c r="X154" s="197">
        <f t="shared" si="73"/>
        <v>1</v>
      </c>
      <c r="Y154" s="197">
        <f t="shared" si="65"/>
        <v>23.296399999999998</v>
      </c>
      <c r="Z154" s="197">
        <f t="shared" si="66"/>
        <v>1.67E-2</v>
      </c>
      <c r="AA154" s="197">
        <f t="shared" si="67"/>
        <v>23.279699999999998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8"/>
        <v>240</v>
      </c>
      <c r="AE154" s="77" t="str">
        <f t="shared" si="69"/>
        <v>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 &amp; 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</v>
      </c>
      <c r="AF154" s="74" t="str">
        <f t="shared" si="70"/>
        <v>"C:\Program Files (x86)\AstroGrep\AstroGrep.exe" /e /r /s /spath="%USERPROFILE%\AppData\Local\Temp\OnboardLogs" /stypes="app*4017*20170706*" /stext=" 07:.+((SYSTEM_STATE.+slice.+state.+changed )|(ment ac)|(multiple cpu faults)|(system.+state.+changed )|(\[timeout)|(PRM\|1\|D)|(kpr)|(kdp)|(train st.+moving)|(\|lc)|(penalty))"</v>
      </c>
      <c r="AG154" s="209" t="str">
        <f t="shared" si="71"/>
        <v>EC</v>
      </c>
      <c r="AH154" s="78" t="str">
        <f t="shared" si="56"/>
        <v>"%USERPROFILE%\Documents\GitHub\eaglep3\Utilities\RefineRTDCRunTimes.py" --tripid 240-05 --locoid 4017 --swversion DE.1.0.9.0 --startMP 204:232964 --initTime 2017-07-06T00:11:01 --startdatetime 2017-07-06T00:27:21 --delay 1 --endMP 204:167 --enddatetime 2017-07-06T01:07:38 --enforcementcount 0 &gt;&gt;C:\Users\stu\Documents\GitHub\eaglep3-reporting\EC\2017-07-05-refined-times.txt</v>
      </c>
      <c r="AI154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{"issue":{"subject":"","project_id":79,"tracker_id":40,"status_id":1,"priority_id":2,"assigned_to_id":23,"start_date":"2017-07-06","description":"","custom_fields":[{"id":1,"name":"Subdivision","value":"EC"},{"id":4,"name":"Milepost","value":"0.0167"},{"id":17,"name":"Train ID","value":"240-05"},{"id":16,"name":"Locomotive ID","value":"4017"},{"id":130,"name":"Impact","value":""},{"id":150,"name":"Time of Event (Mountain Time)","value":"01:07:38"},{"id":151,"name":"Denver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8"/>
        <v>start /low /b %USERPROFILE%\Documents\GitHub\eaglep3\Utilities\DownloadLogsFromS3.py --loco 4017 --day 2017-07-06</v>
      </c>
      <c r="AN154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07:07:38"},{"id":29,"name":"Sharepoint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820</v>
      </c>
      <c r="B155" s="7">
        <v>4042</v>
      </c>
      <c r="C155" s="21" t="s">
        <v>202</v>
      </c>
      <c r="D155" s="21" t="s">
        <v>353</v>
      </c>
      <c r="E155" s="13">
        <v>42921.991689814815</v>
      </c>
      <c r="F155" s="13">
        <v>42922.000509259262</v>
      </c>
      <c r="G155" s="7">
        <v>1</v>
      </c>
      <c r="H155" s="21" t="s">
        <v>544</v>
      </c>
      <c r="I155" s="13">
        <v>42922.026643518519</v>
      </c>
      <c r="J155" s="7">
        <v>0</v>
      </c>
      <c r="K155" s="89" t="str">
        <f t="shared" si="60"/>
        <v>4041/4042</v>
      </c>
      <c r="L155" s="21" t="str">
        <f>VLOOKUP(A155,'Trips&amp;Operators'!$C$1:$G$99999,5,FALSE)</f>
        <v>SMITH MICHAEL</v>
      </c>
      <c r="M155" s="6">
        <f t="shared" si="61"/>
        <v>2.6134259256650694E-2</v>
      </c>
      <c r="N155" s="7">
        <f t="shared" si="62"/>
        <v>37.633333329576999</v>
      </c>
      <c r="O155" s="7"/>
      <c r="P155" s="7"/>
      <c r="Q155" s="22"/>
      <c r="R155" s="170"/>
      <c r="S155" s="213">
        <f t="shared" si="55"/>
        <v>1</v>
      </c>
      <c r="T155" s="195" t="str">
        <f t="shared" si="63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4"/>
        <v>https://d0f6bd738d7f1b3e5a7ca70fe4ff75f0.us-east-1.aws.found.io/app/kibana#/discover/Steve-Slow-Train-Analysis-(2080s-and-2083s)?_g=(refreshInterval:(display:Off,pause:!f,section:0,value:0),time:(from:'2017-07-05T22:48:02-0600',mode:absolute,to:'2017-07-06T01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197" t="str">
        <f>IF(AA155&lt;VLOOKUP(AG155,Variables!$AC$3:$AD$8,2,FALSE),"Y","N")</f>
        <v>N</v>
      </c>
      <c r="X155" s="197">
        <f t="shared" si="73"/>
        <v>1</v>
      </c>
      <c r="Y155" s="197">
        <f t="shared" si="65"/>
        <v>4.53E-2</v>
      </c>
      <c r="Z155" s="197">
        <f t="shared" si="66"/>
        <v>23.331700000000001</v>
      </c>
      <c r="AA155" s="197">
        <f t="shared" si="67"/>
        <v>23.2864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8"/>
        <v>241</v>
      </c>
      <c r="AE155" s="77" t="str">
        <f t="shared" si="69"/>
        <v>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 &amp; aws s3 cp s3://rtdc.mdm.uploadarchive.raw/RTDC4042/ "%USERPROFILE%\AppData\Local\Temp\OnboardLogs"\RTDC4042\2017-07-07 --exclude "*" --recursive --include "*20170707*" &amp; "%USERPROFILE%\Documents\GitHub\mrs-test-scripts\Headless Mode &amp; Sideloading\WalkAndUnGZ.bat" "%USERPROFILE%\AppData\Local\Temp\OnboardLogs"\RTDC4042\2017-07-07</v>
      </c>
      <c r="AF155" s="74" t="str">
        <f t="shared" si="70"/>
        <v>"C:\Program Files (x86)\AstroGrep\AstroGrep.exe" /e /r /s /spath="%USERPROFILE%\AppData\Local\Temp\OnboardLogs" /stypes="app*4042*20170706*" /stext=" 06:.+((SYSTEM_STATE.+slice.+state.+changed )|(ment ac)|(multiple cpu faults)|(system.+state.+changed )|(\[timeout)|(PRM\|1\|D)|(kpr)|(kdp)|(train st.+moving)|(\|lc)|(penalty))"</v>
      </c>
      <c r="AG155" s="209" t="str">
        <f t="shared" si="71"/>
        <v>EC</v>
      </c>
      <c r="AH155" s="78" t="str">
        <f t="shared" si="56"/>
        <v>"%USERPROFILE%\Documents\GitHub\eaglep3\Utilities\RefineRTDCRunTimes.py" --tripid 241-05 --locoid 4042 --swversion DE.1.0.9.0 --startMP 204:453 --initTime 2017-07-05T23:48:02 --startdatetime 2017-07-06T00:00:44 --delay 1 --endMP 204:233317 --enddatetime 2017-07-06T00:38:22 --enforcementcount 0 &gt;&gt;C:\Users\stu\Documents\GitHub\eaglep3-reporting\EC\2017-07-05-refined-times.txt</v>
      </c>
      <c r="AI155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{"issue":{"subject":"","project_id":79,"tracker_id":40,"status_id":1,"priority_id":2,"assigned_to_id":23,"start_date":"2017-07-06","description":"","custom_fields":[{"id":1,"name":"Subdivision","value":"EC"},{"id":4,"name":"Milepost","value":"23.3317"},{"id":17,"name":"Train ID","value":"241-05"},{"id":16,"name":"Locomotive ID","value":"4042"},{"id":130,"name":"Impact","value":""},{"id":150,"name":"Time of Event (Mountain Time)","value":"00:38:22"},{"id":151,"name":"Denver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8"/>
        <v>start /low /b %USERPROFILE%\Documents\GitHub\eaglep3\Utilities\DownloadLogsFromS3.py --loco 4042 --day 2017-07-06</v>
      </c>
      <c r="AN155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06:38:22"},{"id":29,"name":"Sharepoint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1049</v>
      </c>
      <c r="B156" s="7">
        <v>4041</v>
      </c>
      <c r="C156" s="21" t="s">
        <v>202</v>
      </c>
      <c r="D156" s="21" t="s">
        <v>353</v>
      </c>
      <c r="E156" s="13">
        <v>42921.991689814815</v>
      </c>
      <c r="F156" s="13">
        <v>42922.039872685185</v>
      </c>
      <c r="G156" s="7">
        <v>1</v>
      </c>
      <c r="H156" s="21" t="s">
        <v>544</v>
      </c>
      <c r="I156" s="13">
        <v>42922.067488425928</v>
      </c>
      <c r="J156" s="7">
        <v>0</v>
      </c>
      <c r="K156" s="89" t="str">
        <f t="shared" si="60"/>
        <v>4041/4042</v>
      </c>
      <c r="L156" s="21" t="s">
        <v>1050</v>
      </c>
      <c r="M156" s="6">
        <f t="shared" si="61"/>
        <v>2.7615740742476191E-2</v>
      </c>
      <c r="N156" s="7">
        <f t="shared" si="62"/>
        <v>39.766666669165716</v>
      </c>
      <c r="O156" s="7"/>
      <c r="P156" s="7"/>
      <c r="Q156" s="22"/>
      <c r="R156" s="170"/>
      <c r="S156" s="213">
        <f t="shared" si="55"/>
        <v>1</v>
      </c>
      <c r="T156" s="195" t="str">
        <f t="shared" si="63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4"/>
        <v>https://d0f6bd738d7f1b3e5a7ca70fe4ff75f0.us-east-1.aws.found.io/app/kibana#/discover/Steve-Slow-Train-Analysis-(2080s-and-2083s)?_g=(refreshInterval:(display:Off,pause:!f,section:0,value:0),time:(from:'2017-07-05T22:48:02-0600',mode:absolute,to:'2017-07-06T02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197" t="str">
        <f>IF(AA156&lt;VLOOKUP(AG156,Variables!$AC$3:$AD$8,2,FALSE),"Y","N")</f>
        <v>N</v>
      </c>
      <c r="X156" s="197">
        <f t="shared" si="73"/>
        <v>1</v>
      </c>
      <c r="Y156" s="197">
        <v>23.296399999999998</v>
      </c>
      <c r="Z156" s="197">
        <v>1.67E-2</v>
      </c>
      <c r="AA156" s="197">
        <f t="shared" si="67"/>
        <v>23.279699999999998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8"/>
        <v>242</v>
      </c>
      <c r="AE156" s="77" t="str">
        <f t="shared" si="69"/>
        <v>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 &amp; aws s3 cp s3://rtdc.mdm.uploadarchive.raw/RTDC4041/ "%USERPROFILE%\AppData\Local\Temp\OnboardLogs"\RTDC4041\2017-07-07 --exclude "*" --recursive --include "*20170707*" &amp; "%USERPROFILE%\Documents\GitHub\mrs-test-scripts\Headless Mode &amp; Sideloading\WalkAndUnGZ.bat" "%USERPROFILE%\AppData\Local\Temp\OnboardLogs"\RTDC4041\2017-07-07</v>
      </c>
      <c r="AF156" s="74" t="str">
        <f t="shared" si="70"/>
        <v>"C:\Program Files (x86)\AstroGrep\AstroGrep.exe" /e /r /s /spath="%USERPROFILE%\AppData\Local\Temp\OnboardLogs" /stypes="app*4041*20170706*" /stext=" 07:.+((SYSTEM_STATE.+slice.+state.+changed )|(ment ac)|(multiple cpu faults)|(system.+state.+changed )|(\[timeout)|(PRM\|1\|D)|(kpr)|(kdp)|(train st.+moving)|(\|lc)|(penalty))"</v>
      </c>
      <c r="AG156" s="209" t="str">
        <f t="shared" si="71"/>
        <v>EC</v>
      </c>
      <c r="AH156" s="78" t="str">
        <f t="shared" ref="AH156" si="74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242-05 --locoid 4041 --swversion DE.1.0.9.0 --startMP 204:453 --initTime 2017-07-05T23:48:02 --startdatetime 2017-07-06T00:57:25 --delay 1 --endMP 204:233317 --enddatetime 2017-07-06T01:37:11 --enforcementcount 0 &gt;&gt;C:\Users\stu\Documents\GitHub\eaglep3-reporting\EC\2017-07-05-refined-times.txt</v>
      </c>
      <c r="AI156" s="96" t="str">
        <f t="shared" ref="AI156" si="75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{"issue":{"subject":"","project_id":79,"tracker_id":40,"status_id":1,"priority_id":2,"assigned_to_id":23,"start_date":"2017-07-06","description":"","custom_fields":[{"id":1,"name":"Subdivision","value":"EC"},{"id":4,"name":"Milepost","value":"0.0167"},{"id":17,"name":"Train ID","value":"242-05"},{"id":16,"name":"Locomotive ID","value":"4041"},{"id":130,"name":"Impact","value":""},{"id":150,"name":"Time of Event (Mountain Time)","value":"01:37:11"},{"id":151,"name":"Denver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ref="AM156" si="76">"start /low /b "&amp;dls3logs&amp;" --loco "&amp;B156&amp;" --day "&amp;TEXT(F156,"YYYY-MM-DD")</f>
        <v>start /low /b %USERPROFILE%\Documents\GitHub\eaglep3\Utilities\DownloadLogsFromS3.py --loco 4041 --day 2017-07-06</v>
      </c>
      <c r="AN156" s="151" t="str">
        <f t="shared" ref="AN156" si="77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07:37:11"},{"id":29,"name":"Sharepoint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821</v>
      </c>
      <c r="B157" s="7">
        <v>4008</v>
      </c>
      <c r="C157" s="21" t="s">
        <v>202</v>
      </c>
      <c r="D157" s="21" t="s">
        <v>417</v>
      </c>
      <c r="E157" s="13">
        <v>42922.015856481485</v>
      </c>
      <c r="F157" s="13">
        <v>42922.021365740744</v>
      </c>
      <c r="G157" s="7">
        <v>1</v>
      </c>
      <c r="H157" s="21" t="s">
        <v>552</v>
      </c>
      <c r="I157" s="13">
        <v>42922.046817129631</v>
      </c>
      <c r="J157" s="7">
        <v>0</v>
      </c>
      <c r="K157" s="89" t="str">
        <f t="shared" si="60"/>
        <v>4007/4008</v>
      </c>
      <c r="L157" s="21" t="str">
        <f>VLOOKUP(A157,'Trips&amp;Operators'!$C$1:$G$99999,5,FALSE)</f>
        <v>LAMAR NEKESHA</v>
      </c>
      <c r="M157" s="6">
        <f t="shared" si="61"/>
        <v>2.545138888672227E-2</v>
      </c>
      <c r="N157" s="7">
        <f t="shared" si="62"/>
        <v>36.649999996880069</v>
      </c>
      <c r="O157" s="7"/>
      <c r="P157" s="7"/>
      <c r="Q157" s="22"/>
      <c r="R157" s="170"/>
      <c r="S157" s="213">
        <f t="shared" si="55"/>
        <v>1</v>
      </c>
      <c r="T157" s="195" t="str">
        <f t="shared" si="63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4"/>
        <v>https://d0f6bd738d7f1b3e5a7ca70fe4ff75f0.us-east-1.aws.found.io/app/kibana#/discover/Steve-Slow-Train-Analysis-(2080s-and-2083s)?_g=(refreshInterval:(display:Off,pause:!f,section:0,value:0),time:(from:'2017-07-05T23:22:50-0600',mode:absolute,to:'2017-07-06T02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97" t="str">
        <f>IF(AA157&lt;VLOOKUP(AG157,Variables!$AC$3:$AD$8,2,FALSE),"Y","N")</f>
        <v>N</v>
      </c>
      <c r="X157" s="197">
        <f t="shared" ref="X157:X158" si="78">VALUE(LEFT(AD157,4))-VALUE(LEFT(AD156,4))</f>
        <v>1</v>
      </c>
      <c r="Y157" s="197">
        <f t="shared" ref="Y157:Y188" si="79">RIGHT(D157,LEN(D157)-4)/10000</f>
        <v>4.5499999999999999E-2</v>
      </c>
      <c r="Z157" s="197">
        <f t="shared" ref="Z157:Z188" si="80">RIGHT(H157,LEN(H157)-4)/10000</f>
        <v>23.330500000000001</v>
      </c>
      <c r="AA157" s="197">
        <f t="shared" si="67"/>
        <v>23.285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8"/>
        <v>243</v>
      </c>
      <c r="AE157" s="77" t="str">
        <f t="shared" si="69"/>
        <v>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 &amp; aws s3 cp s3://rtdc.mdm.uploadarchive.raw/RTDC4008/ "%USERPROFILE%\AppData\Local\Temp\OnboardLogs"\RTDC4008\2017-07-07 --exclude "*" --recursive --include "*20170707*" &amp; "%USERPROFILE%\Documents\GitHub\mrs-test-scripts\Headless Mode &amp; Sideloading\WalkAndUnGZ.bat" "%USERPROFILE%\AppData\Local\Temp\OnboardLogs"\RTDC4008\2017-07-07</v>
      </c>
      <c r="AF157" s="74" t="str">
        <f t="shared" si="70"/>
        <v>"C:\Program Files (x86)\AstroGrep\AstroGrep.exe" /e /r /s /spath="%USERPROFILE%\AppData\Local\Temp\OnboardLogs" /stypes="app*4008*20170706*" /stext=" 07:.+((SYSTEM_STATE.+slice.+state.+changed )|(ment ac)|(multiple cpu faults)|(system.+state.+changed )|(\[timeout)|(PRM\|1\|D)|(kpr)|(kdp)|(train st.+moving)|(\|lc)|(penalty))"</v>
      </c>
      <c r="AG157" s="209" t="str">
        <f t="shared" si="71"/>
        <v>EC</v>
      </c>
      <c r="AH157" s="78" t="str">
        <f t="shared" si="56"/>
        <v>"%USERPROFILE%\Documents\GitHub\eaglep3\Utilities\RefineRTDCRunTimes.py" --tripid 243-05 --locoid 4008 --swversion DE.1.0.9.0 --startMP 204:455 --initTime 2017-07-06T00:22:50 --startdatetime 2017-07-06T00:30:46 --delay 1 --endMP 204:233305 --enddatetime 2017-07-06T01:07:25 --enforcementcount 0 &gt;&gt;C:\Users\stu\Documents\GitHub\eaglep3-reporting\EC\2017-07-05-refined-times.txt</v>
      </c>
      <c r="AI157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{"issue":{"subject":"","project_id":79,"tracker_id":40,"status_id":1,"priority_id":2,"assigned_to_id":23,"start_date":"2017-07-06","description":"","custom_fields":[{"id":1,"name":"Subdivision","value":"EC"},{"id":4,"name":"Milepost","value":"23.3305"},{"id":17,"name":"Train ID","value":"243-05"},{"id":16,"name":"Locomotive ID","value":"4008"},{"id":130,"name":"Impact","value":""},{"id":150,"name":"Time of Event (Mountain Time)","value":"01:07:25"},{"id":151,"name":"Denver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8"/>
        <v>start /low /b %USERPROFILE%\Documents\GitHub\eaglep3\Utilities\DownloadLogsFromS3.py --loco 4008 --day 2017-07-06</v>
      </c>
      <c r="AN157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07:07:25"},{"id":29,"name":"Sharepoint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824</v>
      </c>
      <c r="B158" s="7">
        <v>4007</v>
      </c>
      <c r="C158" s="21" t="s">
        <v>202</v>
      </c>
      <c r="D158" s="21" t="s">
        <v>497</v>
      </c>
      <c r="E158" s="13">
        <v>42922.049872685187</v>
      </c>
      <c r="F158" s="13">
        <v>42922.060578703706</v>
      </c>
      <c r="G158" s="7">
        <v>1</v>
      </c>
      <c r="H158" s="21" t="s">
        <v>894</v>
      </c>
      <c r="I158" s="13">
        <v>42922.088541666664</v>
      </c>
      <c r="J158" s="7">
        <v>0</v>
      </c>
      <c r="K158" s="89" t="str">
        <f t="shared" si="60"/>
        <v>4007/4008</v>
      </c>
      <c r="L158" s="21" t="str">
        <f>VLOOKUP(A158,'Trips&amp;Operators'!$C$1:$G$99999,5,FALSE)</f>
        <v>LAMAR NEKESHA</v>
      </c>
      <c r="M158" s="6">
        <f t="shared" si="61"/>
        <v>2.7962962958554272E-2</v>
      </c>
      <c r="N158" s="7">
        <f t="shared" si="62"/>
        <v>40.266666660318151</v>
      </c>
      <c r="O158" s="7"/>
      <c r="P158" s="7"/>
      <c r="Q158" s="22"/>
      <c r="R158" s="170"/>
      <c r="S158" s="213">
        <f t="shared" si="55"/>
        <v>1</v>
      </c>
      <c r="T158" s="195" t="str">
        <f t="shared" si="63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4"/>
        <v>https://d0f6bd738d7f1b3e5a7ca70fe4ff75f0.us-east-1.aws.found.io/app/kibana#/discover/Steve-Slow-Train-Analysis-(2080s-and-2083s)?_g=(refreshInterval:(display:Off,pause:!f,section:0,value:0),time:(from:'2017-07-06T00:11:49-0600',mode:absolute,to:'2017-07-06T03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97" t="str">
        <f>IF(AA158&lt;VLOOKUP(AG158,Variables!$AC$3:$AD$8,2,FALSE),"Y","N")</f>
        <v>N</v>
      </c>
      <c r="X158" s="197">
        <f t="shared" si="78"/>
        <v>1</v>
      </c>
      <c r="Y158" s="197">
        <f t="shared" si="79"/>
        <v>23.296900000000001</v>
      </c>
      <c r="Z158" s="197">
        <f t="shared" si="80"/>
        <v>1.5100000000000001E-2</v>
      </c>
      <c r="AA158" s="197">
        <f t="shared" si="67"/>
        <v>23.2818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8"/>
        <v>244</v>
      </c>
      <c r="AE158" s="77" t="str">
        <f t="shared" si="69"/>
        <v>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 &amp; aws s3 cp s3://rtdc.mdm.uploadarchive.raw/RTDC4007/ "%USERPROFILE%\AppData\Local\Temp\OnboardLogs"\RTDC4007\2017-07-07 --exclude "*" --recursive --include "*20170707*" &amp; "%USERPROFILE%\Documents\GitHub\mrs-test-scripts\Headless Mode &amp; Sideloading\WalkAndUnGZ.bat" "%USERPROFILE%\AppData\Local\Temp\OnboardLogs"\RTDC4007\2017-07-07</v>
      </c>
      <c r="AF158" s="74" t="str">
        <f t="shared" si="70"/>
        <v>"C:\Program Files (x86)\AstroGrep\AstroGrep.exe" /e /r /s /spath="%USERPROFILE%\AppData\Local\Temp\OnboardLogs" /stypes="app*4007*20170706*" /stext=" 08:.+((SYSTEM_STATE.+slice.+state.+changed )|(ment ac)|(multiple cpu faults)|(system.+state.+changed )|(\[timeout)|(PRM\|1\|D)|(kpr)|(kdp)|(train st.+moving)|(\|lc)|(penalty))"</v>
      </c>
      <c r="AG158" s="209" t="str">
        <f t="shared" si="71"/>
        <v>EC</v>
      </c>
      <c r="AH158" s="78" t="str">
        <f t="shared" si="56"/>
        <v>"%USERPROFILE%\Documents\GitHub\eaglep3\Utilities\RefineRTDCRunTimes.py" --tripid 244-05 --locoid 4007 --swversion DE.1.0.9.0 --startMP 204:232969 --initTime 2017-07-06T01:11:49 --startdatetime 2017-07-06T01:27:14 --delay 1 --endMP 204:151 --enddatetime 2017-07-06T02:07:30 --enforcementcount 0 &gt;&gt;C:\Users\stu\Documents\GitHub\eaglep3-reporting\EC\2017-07-05-refined-times.txt</v>
      </c>
      <c r="AI158" s="96" t="str">
        <f t="shared" si="57"/>
        <v>echo {"issue":{"subject":"","project_id":79,"tracker_id":40,"status_id":1,"priority_id":2,"assigned_to_id":23,"start_date":"2017-07-06","description":"","custom_fields":[{"id":1,"name":"Subdivision","value":"EC"},{"id":4,"name":"Milepost","value":"0.0151"},{"id":17,"name":"Train ID","value":"244-05"},{"id":16,"name":"Locomotive ID","value":"4007"},{"id":130,"name":"Impact","value":""},{"id":150,"name":"Time of Event (Mountain Time)","value":"02:07:30"},{"id":151,"name":"Denver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8"/>
        <v>start /low /b %USERPROFILE%\Documents\GitHub\eaglep3\Utilities\DownloadLogsFromS3.py --loco 4007 --day 2017-07-06</v>
      </c>
      <c r="AN158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652</v>
      </c>
      <c r="B159" s="7">
        <v>4025</v>
      </c>
      <c r="C159" s="21" t="s">
        <v>202</v>
      </c>
      <c r="D159" s="21" t="s">
        <v>465</v>
      </c>
      <c r="E159" s="13">
        <v>42921.219930555555</v>
      </c>
      <c r="F159" s="13">
        <v>42921.221446759257</v>
      </c>
      <c r="G159" s="7">
        <v>1</v>
      </c>
      <c r="H159" s="21" t="s">
        <v>962</v>
      </c>
      <c r="I159" s="13">
        <v>42921.230914351851</v>
      </c>
      <c r="J159" s="7">
        <v>0</v>
      </c>
      <c r="K159" s="89" t="str">
        <f t="shared" si="60"/>
        <v>4025/4026</v>
      </c>
      <c r="L159" s="21" t="str">
        <f>VLOOKUP(A159,'Trips&amp;Operators'!$C$1:$G$99999,5,FALSE)</f>
        <v>MACDONALD THOMAS</v>
      </c>
      <c r="M159" s="6">
        <f t="shared" si="61"/>
        <v>9.4675925938645378E-3</v>
      </c>
      <c r="N159" s="7">
        <f t="shared" si="62"/>
        <v>13.633333335164934</v>
      </c>
      <c r="O159" s="7"/>
      <c r="P159" s="7"/>
      <c r="Q159" s="22"/>
      <c r="R159" s="170"/>
      <c r="S159" s="213">
        <f t="shared" si="55"/>
        <v>1</v>
      </c>
      <c r="T159" s="195" t="str">
        <f t="shared" si="63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64"/>
        <v>https://d0f6bd738d7f1b3e5a7ca70fe4ff75f0.us-east-1.aws.found.io/app/kibana#/discover/Steve-Slow-Train-Analysis-(2080s-and-2083s)?_g=(refreshInterval:(display:Off,pause:!f,section:0,value:0),time:(from:'2017-07-05T04:16:42-0600',mode:absolute,to:'2017-07-05T06:32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197" t="str">
        <f>IF(AA159&lt;VLOOKUP(AG159,Variables!$AC$3:$AD$8,2,FALSE),"Y","N")</f>
        <v>N</v>
      </c>
      <c r="X159" s="197">
        <f t="shared" ref="X159:X184" si="81">VALUE(LEFT(AD159,4))-VALUE(LEFT(AD158,4))</f>
        <v>556</v>
      </c>
      <c r="Y159" s="197">
        <f t="shared" si="79"/>
        <v>5.8643000000000001</v>
      </c>
      <c r="Z159" s="197">
        <f t="shared" si="80"/>
        <v>7.4300000000000005E-2</v>
      </c>
      <c r="AA159" s="197">
        <f t="shared" si="67"/>
        <v>5.79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8"/>
        <v>800</v>
      </c>
      <c r="AE159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59" s="74" t="str">
        <f t="shared" si="70"/>
        <v>"C:\Program Files (x86)\AstroGrep\AstroGrep.exe" /e /r /s /spath="%USERPROFILE%\AppData\Local\Temp\OnboardLogs" /stypes="app*4025*20170705*" /stext=" 11:.+((SYSTEM_STATE.+slice.+state.+changed )|(ment ac)|(multiple cpu faults)|(system.+state.+changed )|(\[timeout)|(PRM\|1\|D)|(kpr)|(kdp)|(train st.+moving)|(\|lc)|(penalty))"</v>
      </c>
      <c r="AG159" s="209" t="str">
        <f t="shared" si="71"/>
        <v>NW</v>
      </c>
      <c r="AH159" s="78" t="str">
        <f t="shared" si="56"/>
        <v>"%USERPROFILE%\Documents\GitHub\eaglep3\Utilities\RefineRTDCRunTimes.py" --tripid 800-05 --locoid 4025 --swversion DE.1.0.9.0 --startMP 300:58643 --initTime 2017-07-05T05:16:42 --startdatetime 2017-07-05T05:18:53 --delay 1 --endMP 204:743 --enddatetime 2017-07-05T05:32:31 --enforcementcount 0 &gt;&gt;C:\Users\stu\Documents\GitHub\eaglep3-reporting\EC\2017-07-05-refined-times.txt</v>
      </c>
      <c r="AI159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{"issue":{"subject":"","project_id":79,"tracker_id":40,"status_id":1,"priority_id":2,"assigned_to_id":23,"start_date":"2017-07-05","description":"","custom_fields":[{"id":1,"name":"Subdivision","value":"NW"},{"id":4,"name":"Milepost","value":"0.0743"},{"id":17,"name":"Train ID","value":"800-05"},{"id":16,"name":"Locomotive ID","value":"4025"},{"id":130,"name":"Impact","value":""},{"id":150,"name":"Time of Event (Mountain Time)","value":"05:32:31"},{"id":151,"name":"Denver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8"/>
        <v>start /low /b %USERPROFILE%\Documents\GitHub\eaglep3\Utilities\DownloadLogsFromS3.py --loco 4025 --day 2017-07-05</v>
      </c>
      <c r="AN159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11:32:31"},{"id":29,"name":"Sharepoint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654</v>
      </c>
      <c r="B160" s="7">
        <v>4026</v>
      </c>
      <c r="C160" s="21" t="s">
        <v>202</v>
      </c>
      <c r="D160" s="21" t="s">
        <v>963</v>
      </c>
      <c r="E160" s="13">
        <v>42921.23170138889</v>
      </c>
      <c r="F160" s="13">
        <v>42921.244189814817</v>
      </c>
      <c r="G160" s="7">
        <v>5</v>
      </c>
      <c r="H160" s="21" t="s">
        <v>964</v>
      </c>
      <c r="I160" s="13">
        <v>42921.25341435185</v>
      </c>
      <c r="J160" s="7">
        <v>0</v>
      </c>
      <c r="K160" s="89" t="str">
        <f t="shared" si="60"/>
        <v>4025/4026</v>
      </c>
      <c r="L160" s="21" t="str">
        <f>VLOOKUP(A160,'Trips&amp;Operators'!$C$1:$G$99999,5,FALSE)</f>
        <v>MACDONALD THOMAS</v>
      </c>
      <c r="M160" s="6">
        <f t="shared" si="61"/>
        <v>9.2245370324235409E-3</v>
      </c>
      <c r="N160" s="7">
        <f t="shared" si="62"/>
        <v>13.283333326689899</v>
      </c>
      <c r="O160" s="7"/>
      <c r="P160" s="7"/>
      <c r="Q160" s="22"/>
      <c r="R160" s="170"/>
      <c r="S160" s="213">
        <f t="shared" si="55"/>
        <v>1</v>
      </c>
      <c r="T160" s="195" t="str">
        <f t="shared" si="63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64"/>
        <v>https://d0f6bd738d7f1b3e5a7ca70fe4ff75f0.us-east-1.aws.found.io/app/kibana#/discover/Steve-Slow-Train-Analysis-(2080s-and-2083s)?_g=(refreshInterval:(display:Off,pause:!f,section:0,value:0),time:(from:'2017-07-05T04:33:39-0600',mode:absolute,to:'2017-07-05T07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197" t="str">
        <f>IF(AA160&lt;VLOOKUP(AG160,Variables!$AC$3:$AD$8,2,FALSE),"Y","N")</f>
        <v>N</v>
      </c>
      <c r="X160" s="197">
        <f t="shared" si="81"/>
        <v>1</v>
      </c>
      <c r="Y160" s="197">
        <f t="shared" si="79"/>
        <v>0.1037</v>
      </c>
      <c r="Z160" s="197">
        <f t="shared" si="80"/>
        <v>5.8925999999999998</v>
      </c>
      <c r="AA160" s="197">
        <f t="shared" si="67"/>
        <v>5.7888999999999999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8"/>
        <v>801</v>
      </c>
      <c r="AE160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60" s="74" t="str">
        <f t="shared" si="70"/>
        <v>"C:\Program Files (x86)\AstroGrep\AstroGrep.exe" /e /r /s /spath="%USERPROFILE%\AppData\Local\Temp\OnboardLogs" /stypes="app*4026*20170705*" /stext=" 12:.+((SYSTEM_STATE.+slice.+state.+changed )|(ment ac)|(multiple cpu faults)|(system.+state.+changed )|(\[timeout)|(PRM\|1\|D)|(kpr)|(kdp)|(train st.+moving)|(\|lc)|(penalty))"</v>
      </c>
      <c r="AG160" s="209" t="str">
        <f t="shared" si="71"/>
        <v>NW</v>
      </c>
      <c r="AH160" s="78" t="str">
        <f t="shared" si="56"/>
        <v>"%USERPROFILE%\Documents\GitHub\eaglep3\Utilities\RefineRTDCRunTimes.py" --tripid 801-05 --locoid 4026 --swversion DE.1.0.9.0 --startMP 204:1037 --initTime 2017-07-05T05:33:39 --startdatetime 2017-07-05T05:51:38 --delay 5 --endMP 300:58926 --enddatetime 2017-07-05T06:04:55 --enforcementcount 0 &gt;&gt;C:\Users\stu\Documents\GitHub\eaglep3-reporting\EC\2017-07-05-refined-times.txt</v>
      </c>
      <c r="AI160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{"issue":{"subject":"","project_id":79,"tracker_id":40,"status_id":1,"priority_id":2,"assigned_to_id":23,"start_date":"2017-07-05","description":"","custom_fields":[{"id":1,"name":"Subdivision","value":"NW"},{"id":4,"name":"Milepost","value":"5.8926"},{"id":17,"name":"Train ID","value":"801-05"},{"id":16,"name":"Locomotive ID","value":"4026"},{"id":130,"name":"Impact","value":""},{"id":150,"name":"Time of Event (Mountain Time)","value":"06:04:55"},{"id":151,"name":"Denver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8"/>
        <v>start /low /b %USERPROFILE%\Documents\GitHub\eaglep3\Utilities\DownloadLogsFromS3.py --loco 4026 --day 2017-07-05</v>
      </c>
      <c r="AN160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577</v>
      </c>
      <c r="B161" s="7">
        <v>4025</v>
      </c>
      <c r="C161" s="21" t="s">
        <v>202</v>
      </c>
      <c r="D161" s="21" t="s">
        <v>571</v>
      </c>
      <c r="E161" s="13">
        <v>42921.25445601852</v>
      </c>
      <c r="F161" s="13">
        <v>42921.255810185183</v>
      </c>
      <c r="G161" s="7">
        <v>1</v>
      </c>
      <c r="H161" s="21" t="s">
        <v>490</v>
      </c>
      <c r="I161" s="13">
        <v>42921.268321759257</v>
      </c>
      <c r="J161" s="7">
        <v>0</v>
      </c>
      <c r="K161" s="89" t="str">
        <f t="shared" si="60"/>
        <v>4025/4026</v>
      </c>
      <c r="L161" s="21" t="str">
        <f>VLOOKUP(A161,'Trips&amp;Operators'!$C$1:$G$99999,5,FALSE)</f>
        <v>MACDONALD THOMAS</v>
      </c>
      <c r="M161" s="6">
        <f t="shared" si="61"/>
        <v>1.2511574073869269E-2</v>
      </c>
      <c r="N161" s="7">
        <f t="shared" si="62"/>
        <v>18.016666666371748</v>
      </c>
      <c r="O161" s="7"/>
      <c r="P161" s="7"/>
      <c r="Q161" s="22"/>
      <c r="R161" s="170"/>
      <c r="S161" s="213">
        <f t="shared" si="55"/>
        <v>1</v>
      </c>
      <c r="T161" s="195" t="str">
        <f t="shared" si="63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4"/>
        <v>https://d0f6bd738d7f1b3e5a7ca70fe4ff75f0.us-east-1.aws.found.io/app/kibana#/discover/Steve-Slow-Train-Analysis-(2080s-and-2083s)?_g=(refreshInterval:(display:Off,pause:!f,section:0,value:0),time:(from:'2017-07-05T05:06:25-0600',mode:absolute,to:'2017-07-05T07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97" t="str">
        <f>IF(AA161&lt;VLOOKUP(AG161,Variables!$AC$3:$AD$8,2,FALSE),"Y","N")</f>
        <v>N</v>
      </c>
      <c r="X161" s="197">
        <f t="shared" si="81"/>
        <v>1</v>
      </c>
      <c r="Y161" s="197">
        <f t="shared" si="79"/>
        <v>5.8593999999999999</v>
      </c>
      <c r="Z161" s="197">
        <f t="shared" si="80"/>
        <v>7.0300000000000001E-2</v>
      </c>
      <c r="AA161" s="197">
        <f t="shared" si="67"/>
        <v>5.7891000000000004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8"/>
        <v>802</v>
      </c>
      <c r="AE161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61" s="74" t="str">
        <f t="shared" si="70"/>
        <v>"C:\Program Files (x86)\AstroGrep\AstroGrep.exe" /e /r /s /spath="%USERPROFILE%\AppData\Local\Temp\OnboardLogs" /stypes="app*4025*20170705*" /stext=" 12:.+((SYSTEM_STATE.+slice.+state.+changed )|(ment ac)|(multiple cpu faults)|(system.+state.+changed )|(\[timeout)|(PRM\|1\|D)|(kpr)|(kdp)|(train st.+moving)|(\|lc)|(penalty))"</v>
      </c>
      <c r="AG161" s="209" t="str">
        <f t="shared" si="71"/>
        <v>NW</v>
      </c>
      <c r="AH161" s="78" t="str">
        <f t="shared" si="56"/>
        <v>"%USERPROFILE%\Documents\GitHub\eaglep3\Utilities\RefineRTDCRunTimes.py" --tripid 802-05 --locoid 4025 --swversion DE.1.0.9.0 --startMP 300:58594 --initTime 2017-07-05T06:06:25 --startdatetime 2017-07-05T06:08:22 --delay 1 --endMP 204:703 --enddatetime 2017-07-05T06:26:23 --enforcementcount 0 &gt;&gt;C:\Users\stu\Documents\GitHub\eaglep3-reporting\EC\2017-07-05-refined-times.txt</v>
      </c>
      <c r="AI161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{"issue":{"subject":"","project_id":79,"tracker_id":40,"status_id":1,"priority_id":2,"assigned_to_id":23,"start_date":"2017-07-05","description":"","custom_fields":[{"id":1,"name":"Subdivision","value":"NW"},{"id":4,"name":"Milepost","value":"0.0703"},{"id":17,"name":"Train ID","value":"802-05"},{"id":16,"name":"Locomotive ID","value":"4025"},{"id":130,"name":"Impact","value":""},{"id":150,"name":"Time of Event (Mountain Time)","value":"06:26:23"},{"id":151,"name":"Denver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8"/>
        <v>start /low /b %USERPROFILE%\Documents\GitHub\eaglep3\Utilities\DownloadLogsFromS3.py --loco 4025 --day 2017-07-05</v>
      </c>
      <c r="AN161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662</v>
      </c>
      <c r="B162" s="7">
        <v>4002</v>
      </c>
      <c r="C162" s="21" t="s">
        <v>202</v>
      </c>
      <c r="D162" s="21" t="s">
        <v>507</v>
      </c>
      <c r="E162" s="13">
        <v>42921.251550925925</v>
      </c>
      <c r="F162" s="13">
        <v>42921.264780092592</v>
      </c>
      <c r="G162" s="7">
        <v>1</v>
      </c>
      <c r="H162" s="21" t="s">
        <v>965</v>
      </c>
      <c r="I162" s="13">
        <v>42921.274131944447</v>
      </c>
      <c r="J162" s="7">
        <v>0</v>
      </c>
      <c r="K162" s="89" t="str">
        <f t="shared" si="60"/>
        <v>4001/4002</v>
      </c>
      <c r="L162" s="21" t="str">
        <f>VLOOKUP(A162,'Trips&amp;Operators'!$C$1:$G$99999,5,FALSE)</f>
        <v>GEBRETEKLE DAGNEW</v>
      </c>
      <c r="M162" s="6">
        <f t="shared" si="61"/>
        <v>9.3518518551718444E-3</v>
      </c>
      <c r="N162" s="7">
        <f t="shared" si="62"/>
        <v>13.466666671447456</v>
      </c>
      <c r="O162" s="7"/>
      <c r="P162" s="7"/>
      <c r="Q162" s="22"/>
      <c r="R162" s="170"/>
      <c r="S162" s="213">
        <f t="shared" si="55"/>
        <v>1</v>
      </c>
      <c r="T162" s="195" t="str">
        <f t="shared" si="63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4"/>
        <v>https://d0f6bd738d7f1b3e5a7ca70fe4ff75f0.us-east-1.aws.found.io/app/kibana#/discover/Steve-Slow-Train-Analysis-(2080s-and-2083s)?_g=(refreshInterval:(display:Off,pause:!f,section:0,value:0),time:(from:'2017-07-05T05:02:14-0600',mode:absolute,to:'2017-07-05T07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2" s="197" t="str">
        <f>IF(AA162&lt;VLOOKUP(AG162,Variables!$AC$3:$AD$8,2,FALSE),"Y","N")</f>
        <v>N</v>
      </c>
      <c r="X162" s="197">
        <f t="shared" si="81"/>
        <v>1</v>
      </c>
      <c r="Y162" s="197">
        <f t="shared" si="79"/>
        <v>9.9699999999999997E-2</v>
      </c>
      <c r="Z162" s="197">
        <f t="shared" si="80"/>
        <v>5.899</v>
      </c>
      <c r="AA162" s="197">
        <f t="shared" si="67"/>
        <v>5.7992999999999997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8"/>
        <v>803</v>
      </c>
      <c r="AE162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62" s="74" t="str">
        <f t="shared" si="70"/>
        <v>"C:\Program Files (x86)\AstroGrep\AstroGrep.exe" /e /r /s /spath="%USERPROFILE%\AppData\Local\Temp\OnboardLogs" /stypes="app*4002*20170705*" /stext=" 12:.+((SYSTEM_STATE.+slice.+state.+changed )|(ment ac)|(multiple cpu faults)|(system.+state.+changed )|(\[timeout)|(PRM\|1\|D)|(kpr)|(kdp)|(train st.+moving)|(\|lc)|(penalty))"</v>
      </c>
      <c r="AG162" s="209" t="str">
        <f t="shared" si="71"/>
        <v>NW</v>
      </c>
      <c r="AH162" s="78" t="str">
        <f t="shared" si="56"/>
        <v>"%USERPROFILE%\Documents\GitHub\eaglep3\Utilities\RefineRTDCRunTimes.py" --tripid 803-05 --locoid 4002 --swversion DE.1.0.9.0 --startMP 204:997 --initTime 2017-07-05T06:02:14 --startdatetime 2017-07-05T06:21:17 --delay 1 --endMP 300:58990 --enddatetime 2017-07-05T06:34:45 --enforcementcount 0 &gt;&gt;C:\Users\stu\Documents\GitHub\eaglep3-reporting\EC\2017-07-05-refined-times.txt</v>
      </c>
      <c r="AI162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{"issue":{"subject":"","project_id":79,"tracker_id":40,"status_id":1,"priority_id":2,"assigned_to_id":23,"start_date":"2017-07-05","description":"","custom_fields":[{"id":1,"name":"Subdivision","value":"NW"},{"id":4,"name":"Milepost","value":"5.899"},{"id":17,"name":"Train ID","value":"803-05"},{"id":16,"name":"Locomotive ID","value":"4002"},{"id":130,"name":"Impact","value":""},{"id":150,"name":"Time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8"/>
        <v>start /low /b %USERPROFILE%\Documents\GitHub\eaglep3\Utilities\DownloadLogsFromS3.py --loco 4002 --day 2017-07-05</v>
      </c>
      <c r="AN162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578</v>
      </c>
      <c r="B163" s="7">
        <v>4001</v>
      </c>
      <c r="C163" s="21" t="s">
        <v>202</v>
      </c>
      <c r="D163" s="21" t="s">
        <v>966</v>
      </c>
      <c r="E163" s="13">
        <v>42921.275462962964</v>
      </c>
      <c r="F163" s="13">
        <v>42921.277025462965</v>
      </c>
      <c r="G163" s="7">
        <v>1</v>
      </c>
      <c r="H163" s="21" t="s">
        <v>967</v>
      </c>
      <c r="I163" s="13">
        <v>42921.288217592592</v>
      </c>
      <c r="J163" s="7">
        <v>0</v>
      </c>
      <c r="K163" s="89" t="str">
        <f t="shared" si="60"/>
        <v>4001/4002</v>
      </c>
      <c r="L163" s="21" t="str">
        <f>VLOOKUP(A163,'Trips&amp;Operators'!$C$1:$G$99999,5,FALSE)</f>
        <v>GEBRETEKLE DAGNEW</v>
      </c>
      <c r="M163" s="6">
        <f t="shared" si="61"/>
        <v>1.1192129626579117E-2</v>
      </c>
      <c r="N163" s="7">
        <f t="shared" si="62"/>
        <v>16.116666662273929</v>
      </c>
      <c r="O163" s="7"/>
      <c r="P163" s="7"/>
      <c r="Q163" s="22"/>
      <c r="R163" s="170"/>
      <c r="S163" s="213">
        <f t="shared" si="55"/>
        <v>1</v>
      </c>
      <c r="T163" s="195" t="str">
        <f t="shared" si="63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4"/>
        <v>https://d0f6bd738d7f1b3e5a7ca70fe4ff75f0.us-east-1.aws.found.io/app/kibana#/discover/Steve-Slow-Train-Analysis-(2080s-and-2083s)?_g=(refreshInterval:(display:Off,pause:!f,section:0,value:0),time:(from:'2017-07-05T05:36:40-0600',mode:absolute,to:'2017-07-05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3" s="197" t="str">
        <f>IF(AA163&lt;VLOOKUP(AG163,Variables!$AC$3:$AD$8,2,FALSE),"Y","N")</f>
        <v>N</v>
      </c>
      <c r="X163" s="197">
        <f t="shared" si="81"/>
        <v>1</v>
      </c>
      <c r="Y163" s="197">
        <f t="shared" si="79"/>
        <v>5.8658999999999999</v>
      </c>
      <c r="Z163" s="197">
        <f t="shared" si="80"/>
        <v>7.8E-2</v>
      </c>
      <c r="AA163" s="197">
        <f t="shared" si="67"/>
        <v>5.7878999999999996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8"/>
        <v>804</v>
      </c>
      <c r="AE163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63" s="74" t="str">
        <f t="shared" si="70"/>
        <v>"C:\Program Files (x86)\AstroGrep\AstroGrep.exe" /e /r /s /spath="%USERPROFILE%\AppData\Local\Temp\OnboardLogs" /stypes="app*4001*20170705*" /stext=" 12:.+((SYSTEM_STATE.+slice.+state.+changed )|(ment ac)|(multiple cpu faults)|(system.+state.+changed )|(\[timeout)|(PRM\|1\|D)|(kpr)|(kdp)|(train st.+moving)|(\|lc)|(penalty))"</v>
      </c>
      <c r="AG163" s="209" t="str">
        <f t="shared" si="71"/>
        <v>NW</v>
      </c>
      <c r="AH163" s="78" t="str">
        <f t="shared" si="56"/>
        <v>"%USERPROFILE%\Documents\GitHub\eaglep3\Utilities\RefineRTDCRunTimes.py" --tripid 804-05 --locoid 4001 --swversion DE.1.0.9.0 --startMP 300:58659 --initTime 2017-07-05T06:36:40 --startdatetime 2017-07-05T06:38:55 --delay 1 --endMP 204:780 --enddatetime 2017-07-05T06:55:02 --enforcementcount 0 &gt;&gt;C:\Users\stu\Documents\GitHub\eaglep3-reporting\EC\2017-07-05-refined-times.txt</v>
      </c>
      <c r="AI163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{"issue":{"subject":"","project_id":79,"tracker_id":40,"status_id":1,"priority_id":2,"assigned_to_id":23,"start_date":"2017-07-05","description":"","custom_fields":[{"id":1,"name":"Subdivision","value":"NW"},{"id":4,"name":"Milepost","value":"0.078"},{"id":17,"name":"Train ID","value":"804-05"},{"id":16,"name":"Locomotive ID","value":"4001"},{"id":130,"name":"Impact","value":""},{"id":150,"name":"Time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8"/>
        <v>start /low /b %USERPROFILE%\Documents\GitHub\eaglep3\Utilities\DownloadLogsFromS3.py --loco 4001 --day 2017-07-05</v>
      </c>
      <c r="AN163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667</v>
      </c>
      <c r="B164" s="7">
        <v>4026</v>
      </c>
      <c r="C164" s="21" t="s">
        <v>202</v>
      </c>
      <c r="D164" s="21" t="s">
        <v>968</v>
      </c>
      <c r="E164" s="13">
        <v>42921.270173611112</v>
      </c>
      <c r="F164" s="13">
        <v>42921.285763888889</v>
      </c>
      <c r="G164" s="7">
        <v>0</v>
      </c>
      <c r="H164" s="21" t="s">
        <v>508</v>
      </c>
      <c r="I164" s="13">
        <v>42921.295011574075</v>
      </c>
      <c r="J164" s="7">
        <v>0</v>
      </c>
      <c r="K164" s="89" t="str">
        <f t="shared" si="60"/>
        <v>4025/4026</v>
      </c>
      <c r="L164" s="21" t="str">
        <f>VLOOKUP(A164,'Trips&amp;Operators'!$C$1:$G$99999,5,FALSE)</f>
        <v>MACDONALD THOMAS</v>
      </c>
      <c r="M164" s="6">
        <f t="shared" si="61"/>
        <v>9.2476851859828457E-3</v>
      </c>
      <c r="N164" s="7">
        <f t="shared" si="62"/>
        <v>13.316666667815298</v>
      </c>
      <c r="O164" s="7"/>
      <c r="P164" s="7"/>
      <c r="Q164" s="22"/>
      <c r="R164" s="170"/>
      <c r="S164" s="213">
        <f t="shared" si="55"/>
        <v>1</v>
      </c>
      <c r="T164" s="195" t="str">
        <f t="shared" si="63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4"/>
        <v>https://d0f6bd738d7f1b3e5a7ca70fe4ff75f0.us-east-1.aws.found.io/app/kibana#/discover/Steve-Slow-Train-Analysis-(2080s-and-2083s)?_g=(refreshInterval:(display:Off,pause:!f,section:0,value:0),time:(from:'2017-07-05T05:29:03-0600',mode:absolute,to:'2017-07-05T08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197" t="str">
        <f>IF(AA164&lt;VLOOKUP(AG164,Variables!$AC$3:$AD$8,2,FALSE),"Y","N")</f>
        <v>N</v>
      </c>
      <c r="X164" s="197">
        <f t="shared" si="81"/>
        <v>1</v>
      </c>
      <c r="Y164" s="197">
        <f t="shared" si="79"/>
        <v>0.1004</v>
      </c>
      <c r="Z164" s="197">
        <f t="shared" si="80"/>
        <v>5.8936999999999999</v>
      </c>
      <c r="AA164" s="197">
        <f t="shared" si="67"/>
        <v>5.7933000000000003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8"/>
        <v>805</v>
      </c>
      <c r="AE164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64" s="74" t="str">
        <f t="shared" si="70"/>
        <v>"C:\Program Files (x86)\AstroGrep\AstroGrep.exe" /e /r /s /spath="%USERPROFILE%\AppData\Local\Temp\OnboardLogs" /stypes="app*4026*20170705*" /stext=" 13:.+((SYSTEM_STATE.+slice.+state.+changed )|(ment ac)|(multiple cpu faults)|(system.+state.+changed )|(\[timeout)|(PRM\|1\|D)|(kpr)|(kdp)|(train st.+moving)|(\|lc)|(penalty))"</v>
      </c>
      <c r="AG164" s="209" t="str">
        <f t="shared" si="71"/>
        <v>NW</v>
      </c>
      <c r="AH164" s="78" t="str">
        <f t="shared" si="56"/>
        <v>"%USERPROFILE%\Documents\GitHub\eaglep3\Utilities\RefineRTDCRunTimes.py" --tripid 805-05 --locoid 4026 --swversion DE.1.0.9.0 --startMP 204:1004 --initTime 2017-07-05T06:29:03 --startdatetime 2017-07-05T06:51:30 --delay 0 --endMP 300:58937 --enddatetime 2017-07-05T07:04:49 --enforcementcount 0 &gt;&gt;C:\Users\stu\Documents\GitHub\eaglep3-reporting\EC\2017-07-05-refined-times.txt</v>
      </c>
      <c r="AI164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{"issue":{"subject":"","project_id":79,"tracker_id":40,"status_id":1,"priority_id":2,"assigned_to_id":23,"start_date":"2017-07-05","description":"","custom_fields":[{"id":1,"name":"Subdivision","value":"NW"},{"id":4,"name":"Milepost","value":"5.8937"},{"id":17,"name":"Train ID","value":"805-05"},{"id":16,"name":"Locomotive ID","value":"4026"},{"id":130,"name":"Impact","value":""},{"id":150,"name":"Time of Event (Mountain Time)","value":"07:04:49"},{"id":151,"name":"Denver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8"/>
        <v>start /low /b %USERPROFILE%\Documents\GitHub\eaglep3\Utilities\DownloadLogsFromS3.py --loco 4026 --day 2017-07-05</v>
      </c>
      <c r="AN164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579</v>
      </c>
      <c r="B165" s="7">
        <v>4025</v>
      </c>
      <c r="C165" s="21" t="s">
        <v>202</v>
      </c>
      <c r="D165" s="21" t="s">
        <v>969</v>
      </c>
      <c r="E165" s="13">
        <v>42921.295706018522</v>
      </c>
      <c r="F165" s="13">
        <v>42921.297037037039</v>
      </c>
      <c r="G165" s="7">
        <v>1</v>
      </c>
      <c r="H165" s="21" t="s">
        <v>568</v>
      </c>
      <c r="I165" s="13">
        <v>42921.309918981482</v>
      </c>
      <c r="J165" s="7">
        <v>0</v>
      </c>
      <c r="K165" s="89" t="str">
        <f t="shared" si="60"/>
        <v>4025/4026</v>
      </c>
      <c r="L165" s="21" t="str">
        <f>VLOOKUP(A165,'Trips&amp;Operators'!$C$1:$G$99999,5,FALSE)</f>
        <v>MACDONALD THOMAS</v>
      </c>
      <c r="M165" s="6">
        <f t="shared" si="61"/>
        <v>1.2881944443506654E-2</v>
      </c>
      <c r="N165" s="7">
        <f t="shared" si="62"/>
        <v>18.549999998649582</v>
      </c>
      <c r="O165" s="7"/>
      <c r="P165" s="7"/>
      <c r="Q165" s="22"/>
      <c r="R165" s="170"/>
      <c r="S165" s="213">
        <f t="shared" si="55"/>
        <v>1</v>
      </c>
      <c r="T165" s="195" t="str">
        <f t="shared" si="63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4"/>
        <v>https://d0f6bd738d7f1b3e5a7ca70fe4ff75f0.us-east-1.aws.found.io/app/kibana#/discover/Steve-Slow-Train-Analysis-(2080s-and-2083s)?_g=(refreshInterval:(display:Off,pause:!f,section:0,value:0),time:(from:'2017-07-05T06:05:49-0600',mode:absolute,to:'2017-07-05T08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97" t="str">
        <f>IF(AA165&lt;VLOOKUP(AG165,Variables!$AC$3:$AD$8,2,FALSE),"Y","N")</f>
        <v>N</v>
      </c>
      <c r="X165" s="197">
        <f t="shared" si="81"/>
        <v>1</v>
      </c>
      <c r="Y165" s="197">
        <f t="shared" si="79"/>
        <v>5.8597999999999999</v>
      </c>
      <c r="Z165" s="197">
        <f t="shared" si="80"/>
        <v>7.4700000000000003E-2</v>
      </c>
      <c r="AA165" s="197">
        <f t="shared" si="67"/>
        <v>5.7850999999999999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8"/>
        <v>806</v>
      </c>
      <c r="AE165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65" s="74" t="str">
        <f t="shared" si="70"/>
        <v>"C:\Program Files (x86)\AstroGrep\AstroGrep.exe" /e /r /s /spath="%USERPROFILE%\AppData\Local\Temp\OnboardLogs" /stypes="app*4025*20170705*" /stext=" 13:.+((SYSTEM_STATE.+slice.+state.+changed )|(ment ac)|(multiple cpu faults)|(system.+state.+changed )|(\[timeout)|(PRM\|1\|D)|(kpr)|(kdp)|(train st.+moving)|(\|lc)|(penalty))"</v>
      </c>
      <c r="AG165" s="209" t="str">
        <f t="shared" si="71"/>
        <v>NW</v>
      </c>
      <c r="AH165" s="78" t="str">
        <f t="shared" si="56"/>
        <v>"%USERPROFILE%\Documents\GitHub\eaglep3\Utilities\RefineRTDCRunTimes.py" --tripid 806-05 --locoid 4025 --swversion DE.1.0.9.0 --startMP 300:58598 --initTime 2017-07-05T07:05:49 --startdatetime 2017-07-05T07:07:44 --delay 1 --endMP 204:747 --enddatetime 2017-07-05T07:26:17 --enforcementcount 0 &gt;&gt;C:\Users\stu\Documents\GitHub\eaglep3-reporting\EC\2017-07-05-refined-times.txt</v>
      </c>
      <c r="AI165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{"issue":{"subject":"","project_id":79,"tracker_id":40,"status_id":1,"priority_id":2,"assigned_to_id":23,"start_date":"2017-07-05","description":"","custom_fields":[{"id":1,"name":"Subdivision","value":"NW"},{"id":4,"name":"Milepost","value":"0.0747"},{"id":17,"name":"Train ID","value":"806-05"},{"id":16,"name":"Locomotive ID","value":"4025"},{"id":130,"name":"Impact","value":""},{"id":150,"name":"Time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8"/>
        <v>start /low /b %USERPROFILE%\Documents\GitHub\eaglep3\Utilities\DownloadLogsFromS3.py --loco 4025 --day 2017-07-05</v>
      </c>
      <c r="AN165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670</v>
      </c>
      <c r="B166" s="7">
        <v>4002</v>
      </c>
      <c r="C166" s="21" t="s">
        <v>202</v>
      </c>
      <c r="D166" s="21" t="s">
        <v>970</v>
      </c>
      <c r="E166" s="13">
        <v>42921.289861111109</v>
      </c>
      <c r="F166" s="13">
        <v>42921.306423611109</v>
      </c>
      <c r="G166" s="7">
        <v>1</v>
      </c>
      <c r="H166" s="21" t="s">
        <v>965</v>
      </c>
      <c r="I166" s="13">
        <v>42921.315393518518</v>
      </c>
      <c r="J166" s="7">
        <v>0</v>
      </c>
      <c r="K166" s="89" t="str">
        <f t="shared" si="60"/>
        <v>4001/4002</v>
      </c>
      <c r="L166" s="21" t="str">
        <f>VLOOKUP(A166,'Trips&amp;Operators'!$C$1:$G$99999,5,FALSE)</f>
        <v>GEBRETEKLE DAGNEW</v>
      </c>
      <c r="M166" s="6">
        <f t="shared" si="61"/>
        <v>8.969907408754807E-3</v>
      </c>
      <c r="N166" s="7">
        <f t="shared" si="62"/>
        <v>12.916666668606922</v>
      </c>
      <c r="O166" s="7"/>
      <c r="P166" s="7"/>
      <c r="Q166" s="22"/>
      <c r="R166" s="170"/>
      <c r="S166" s="213">
        <f t="shared" ref="S166:S197" si="82">SUM(U166:U166)/IF(AG166="EC",12,1)</f>
        <v>1</v>
      </c>
      <c r="T166" s="195" t="str">
        <f t="shared" si="63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4"/>
        <v>https://d0f6bd738d7f1b3e5a7ca70fe4ff75f0.us-east-1.aws.found.io/app/kibana#/discover/Steve-Slow-Train-Analysis-(2080s-and-2083s)?_g=(refreshInterval:(display:Off,pause:!f,section:0,value:0),time:(from:'2017-07-05T05:57:24-0600',mode:absolute,to:'2017-07-05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197" t="str">
        <f>IF(AA166&lt;VLOOKUP(AG166,Variables!$AC$3:$AD$8,2,FALSE),"Y","N")</f>
        <v>N</v>
      </c>
      <c r="X166" s="197">
        <f t="shared" si="81"/>
        <v>1</v>
      </c>
      <c r="Y166" s="197">
        <f t="shared" si="79"/>
        <v>0.1053</v>
      </c>
      <c r="Z166" s="197">
        <f t="shared" si="80"/>
        <v>5.899</v>
      </c>
      <c r="AA166" s="197">
        <f t="shared" si="67"/>
        <v>5.7937000000000003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8"/>
        <v>807</v>
      </c>
      <c r="AE166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66" s="74" t="str">
        <f t="shared" si="70"/>
        <v>"C:\Program Files (x86)\AstroGrep\AstroGrep.exe" /e /r /s /spath="%USERPROFILE%\AppData\Local\Temp\OnboardLogs" /stypes="app*4002*20170705*" /stext=" 13:.+((SYSTEM_STATE.+slice.+state.+changed )|(ment ac)|(multiple cpu faults)|(system.+state.+changed )|(\[timeout)|(PRM\|1\|D)|(kpr)|(kdp)|(train st.+moving)|(\|lc)|(penalty))"</v>
      </c>
      <c r="AG166" s="209" t="str">
        <f t="shared" si="71"/>
        <v>NW</v>
      </c>
      <c r="AH166" s="78" t="str">
        <f t="shared" si="56"/>
        <v>"%USERPROFILE%\Documents\GitHub\eaglep3\Utilities\RefineRTDCRunTimes.py" --tripid 807-05 --locoid 4002 --swversion DE.1.0.9.0 --startMP 204:1053 --initTime 2017-07-05T06:57:24 --startdatetime 2017-07-05T07:21:15 --delay 1 --endMP 300:58990 --enddatetime 2017-07-05T07:34:10 --enforcementcount 0 &gt;&gt;C:\Users\stu\Documents\GitHub\eaglep3-reporting\EC\2017-07-05-refined-times.txt</v>
      </c>
      <c r="AI166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{"issue":{"subject":"","project_id":79,"tracker_id":40,"status_id":1,"priority_id":2,"assigned_to_id":23,"start_date":"2017-07-05","description":"","custom_fields":[{"id":1,"name":"Subdivision","value":"NW"},{"id":4,"name":"Milepost","value":"5.899"},{"id":17,"name":"Train ID","value":"807-05"},{"id":16,"name":"Locomotive ID","value":"4002"},{"id":130,"name":"Impact","value":""},{"id":150,"name":"Time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8"/>
        <v>start /low /b %USERPROFILE%\Documents\GitHub\eaglep3\Utilities\DownloadLogsFromS3.py --loco 4002 --day 2017-07-05</v>
      </c>
      <c r="AN166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676</v>
      </c>
      <c r="B167" s="7">
        <v>4001</v>
      </c>
      <c r="C167" s="21" t="s">
        <v>202</v>
      </c>
      <c r="D167" s="21" t="s">
        <v>971</v>
      </c>
      <c r="E167" s="13">
        <v>42921.316365740742</v>
      </c>
      <c r="F167" s="13">
        <v>42921.317766203705</v>
      </c>
      <c r="G167" s="7">
        <v>1</v>
      </c>
      <c r="H167" s="21" t="s">
        <v>972</v>
      </c>
      <c r="I167" s="13">
        <v>42921.330092592594</v>
      </c>
      <c r="J167" s="7">
        <v>0</v>
      </c>
      <c r="K167" s="89" t="str">
        <f t="shared" si="60"/>
        <v>4001/4002</v>
      </c>
      <c r="L167" s="21" t="str">
        <f>VLOOKUP(A167,'Trips&amp;Operators'!$C$1:$G$99999,5,FALSE)</f>
        <v>GEBRETEKLE DAGNEW</v>
      </c>
      <c r="M167" s="6">
        <f t="shared" si="61"/>
        <v>1.2326388889050577E-2</v>
      </c>
      <c r="N167" s="7">
        <f t="shared" si="62"/>
        <v>17.750000000232831</v>
      </c>
      <c r="O167" s="7"/>
      <c r="P167" s="7"/>
      <c r="Q167" s="22"/>
      <c r="R167" s="170"/>
      <c r="S167" s="213">
        <f t="shared" si="82"/>
        <v>1</v>
      </c>
      <c r="T167" s="195" t="str">
        <f t="shared" si="63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4"/>
        <v>https://d0f6bd738d7f1b3e5a7ca70fe4ff75f0.us-east-1.aws.found.io/app/kibana#/discover/Steve-Slow-Train-Analysis-(2080s-and-2083s)?_g=(refreshInterval:(display:Off,pause:!f,section:0,value:0),time:(from:'2017-07-05T06:35:34-0600',mode:absolute,to:'2017-07-05T08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7" s="197" t="str">
        <f>IF(AA167&lt;VLOOKUP(AG167,Variables!$AC$3:$AD$8,2,FALSE),"Y","N")</f>
        <v>N</v>
      </c>
      <c r="X167" s="197">
        <f t="shared" si="81"/>
        <v>1</v>
      </c>
      <c r="Y167" s="197">
        <f t="shared" si="79"/>
        <v>5.867</v>
      </c>
      <c r="Z167" s="197">
        <f t="shared" si="80"/>
        <v>7.0499999999999993E-2</v>
      </c>
      <c r="AA167" s="197">
        <f t="shared" si="67"/>
        <v>5.7965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8"/>
        <v>808</v>
      </c>
      <c r="AE167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67" s="74" t="str">
        <f t="shared" si="70"/>
        <v>"C:\Program Files (x86)\AstroGrep\AstroGrep.exe" /e /r /s /spath="%USERPROFILE%\AppData\Local\Temp\OnboardLogs" /stypes="app*4001*20170705*" /stext=" 13:.+((SYSTEM_STATE.+slice.+state.+changed )|(ment ac)|(multiple cpu faults)|(system.+state.+changed )|(\[timeout)|(PRM\|1\|D)|(kpr)|(kdp)|(train st.+moving)|(\|lc)|(penalty))"</v>
      </c>
      <c r="AG167" s="209" t="str">
        <f t="shared" si="71"/>
        <v>NW</v>
      </c>
      <c r="AH167" s="78" t="str">
        <f t="shared" si="56"/>
        <v>"%USERPROFILE%\Documents\GitHub\eaglep3\Utilities\RefineRTDCRunTimes.py" --tripid 808-05 --locoid 4001 --swversion DE.1.0.9.0 --startMP 300:58670 --initTime 2017-07-05T07:35:34 --startdatetime 2017-07-05T07:37:35 --delay 1 --endMP 204:705 --enddatetime 2017-07-05T07:55:20 --enforcementcount 0 &gt;&gt;C:\Users\stu\Documents\GitHub\eaglep3-reporting\EC\2017-07-05-refined-times.txt</v>
      </c>
      <c r="AI167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{"issue":{"subject":"","project_id":79,"tracker_id":40,"status_id":1,"priority_id":2,"assigned_to_id":23,"start_date":"2017-07-05","description":"","custom_fields":[{"id":1,"name":"Subdivision","value":"NW"},{"id":4,"name":"Milepost","value":"0.0705"},{"id":17,"name":"Train ID","value":"808-05"},{"id":16,"name":"Locomotive ID","value":"4001"},{"id":130,"name":"Impact","value":""},{"id":150,"name":"Time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8"/>
        <v>start /low /b %USERPROFILE%\Documents\GitHub\eaglep3\Utilities\DownloadLogsFromS3.py --loco 4001 --day 2017-07-05</v>
      </c>
      <c r="AN167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675</v>
      </c>
      <c r="B168" s="7">
        <v>4026</v>
      </c>
      <c r="C168" s="21" t="s">
        <v>202</v>
      </c>
      <c r="D168" s="21" t="s">
        <v>973</v>
      </c>
      <c r="E168" s="13">
        <v>42921.310856481483</v>
      </c>
      <c r="F168" s="13">
        <v>42921.327534722222</v>
      </c>
      <c r="G168" s="7">
        <v>1</v>
      </c>
      <c r="H168" s="21" t="s">
        <v>964</v>
      </c>
      <c r="I168" s="13">
        <v>42921.336967592593</v>
      </c>
      <c r="J168" s="7">
        <v>0</v>
      </c>
      <c r="K168" s="89" t="str">
        <f t="shared" si="60"/>
        <v>4025/4026</v>
      </c>
      <c r="L168" s="21" t="str">
        <f>VLOOKUP(A168,'Trips&amp;Operators'!$C$1:$G$99999,5,FALSE)</f>
        <v>MACDONALD THOMAS</v>
      </c>
      <c r="M168" s="6">
        <f t="shared" si="61"/>
        <v>9.4328703708015382E-3</v>
      </c>
      <c r="N168" s="7">
        <f t="shared" si="62"/>
        <v>13.583333333954215</v>
      </c>
      <c r="O168" s="7"/>
      <c r="P168" s="7"/>
      <c r="Q168" s="22"/>
      <c r="R168" s="170"/>
      <c r="S168" s="213">
        <f t="shared" si="82"/>
        <v>1</v>
      </c>
      <c r="T168" s="195" t="str">
        <f t="shared" si="63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4"/>
        <v>https://d0f6bd738d7f1b3e5a7ca70fe4ff75f0.us-east-1.aws.found.io/app/kibana#/discover/Steve-Slow-Train-Analysis-(2080s-and-2083s)?_g=(refreshInterval:(display:Off,pause:!f,section:0,value:0),time:(from:'2017-07-05T06:27:38-0600',mode:absolute,to:'2017-07-05T09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197" t="str">
        <f>IF(AA168&lt;VLOOKUP(AG168,Variables!$AC$3:$AD$8,2,FALSE),"Y","N")</f>
        <v>N</v>
      </c>
      <c r="X168" s="197">
        <f t="shared" si="81"/>
        <v>1</v>
      </c>
      <c r="Y168" s="197">
        <f t="shared" si="79"/>
        <v>0.1041</v>
      </c>
      <c r="Z168" s="197">
        <f t="shared" si="80"/>
        <v>5.8925999999999998</v>
      </c>
      <c r="AA168" s="197">
        <f t="shared" si="67"/>
        <v>5.7885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8"/>
        <v>809</v>
      </c>
      <c r="AE168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68" s="74" t="str">
        <f t="shared" si="70"/>
        <v>"C:\Program Files (x86)\AstroGrep\AstroGrep.exe" /e /r /s /spath="%USERPROFILE%\AppData\Local\Temp\OnboardLogs" /stypes="app*4026*20170705*" /stext=" 14:.+((SYSTEM_STATE.+slice.+state.+changed )|(ment ac)|(multiple cpu faults)|(system.+state.+changed )|(\[timeout)|(PRM\|1\|D)|(kpr)|(kdp)|(train st.+moving)|(\|lc)|(penalty))"</v>
      </c>
      <c r="AG168" s="209" t="str">
        <f t="shared" si="71"/>
        <v>NW</v>
      </c>
      <c r="AH168" s="78" t="str">
        <f t="shared" si="56"/>
        <v>"%USERPROFILE%\Documents\GitHub\eaglep3\Utilities\RefineRTDCRunTimes.py" --tripid 809-05 --locoid 4026 --swversion DE.1.0.9.0 --startMP 204:1041 --initTime 2017-07-05T07:27:38 --startdatetime 2017-07-05T07:51:39 --delay 1 --endMP 300:58926 --enddatetime 2017-07-05T08:05:14 --enforcementcount 0 &gt;&gt;C:\Users\stu\Documents\GitHub\eaglep3-reporting\EC\2017-07-05-refined-times.txt</v>
      </c>
      <c r="AI168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{"issue":{"subject":"","project_id":79,"tracker_id":40,"status_id":1,"priority_id":2,"assigned_to_id":23,"start_date":"2017-07-05","description":"","custom_fields":[{"id":1,"name":"Subdivision","value":"NW"},{"id":4,"name":"Milepost","value":"5.8926"},{"id":17,"name":"Train ID","value":"809-05"},{"id":16,"name":"Locomotive ID","value":"4026"},{"id":130,"name":"Impact","value":""},{"id":150,"name":"Time of Event (Mountain Time)","value":"08:05:14"},{"id":151,"name":"Denver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8"/>
        <v>start /low /b %USERPROFILE%\Documents\GitHub\eaglep3\Utilities\DownloadLogsFromS3.py --loco 4026 --day 2017-07-05</v>
      </c>
      <c r="AN168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682</v>
      </c>
      <c r="B169" s="7">
        <v>4025</v>
      </c>
      <c r="C169" s="21" t="s">
        <v>202</v>
      </c>
      <c r="D169" s="21" t="s">
        <v>974</v>
      </c>
      <c r="E169" s="13">
        <v>42921.338020833333</v>
      </c>
      <c r="F169" s="13">
        <v>42921.339305555557</v>
      </c>
      <c r="G169" s="7">
        <v>1</v>
      </c>
      <c r="H169" s="21" t="s">
        <v>975</v>
      </c>
      <c r="I169" s="13">
        <v>42921.351099537038</v>
      </c>
      <c r="J169" s="7">
        <v>0</v>
      </c>
      <c r="K169" s="89" t="str">
        <f t="shared" si="60"/>
        <v>4025/4026</v>
      </c>
      <c r="L169" s="21" t="str">
        <f>VLOOKUP(A169,'Trips&amp;Operators'!$C$1:$G$99999,5,FALSE)</f>
        <v>MACDONALD THOMAS</v>
      </c>
      <c r="M169" s="6">
        <f t="shared" si="61"/>
        <v>1.1793981480877846E-2</v>
      </c>
      <c r="N169" s="7">
        <f t="shared" si="62"/>
        <v>16.983333332464099</v>
      </c>
      <c r="O169" s="7"/>
      <c r="P169" s="7"/>
      <c r="Q169" s="22"/>
      <c r="R169" s="170"/>
      <c r="S169" s="213">
        <f t="shared" si="82"/>
        <v>1</v>
      </c>
      <c r="T169" s="195" t="str">
        <f t="shared" si="63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4"/>
        <v>https://d0f6bd738d7f1b3e5a7ca70fe4ff75f0.us-east-1.aws.found.io/app/kibana#/discover/Steve-Slow-Train-Analysis-(2080s-and-2083s)?_g=(refreshInterval:(display:Off,pause:!f,section:0,value:0),time:(from:'2017-07-05T07:06:45-0600',mode:absolute,to:'2017-07-05T09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97" t="str">
        <f>IF(AA169&lt;VLOOKUP(AG169,Variables!$AC$3:$AD$8,2,FALSE),"Y","N")</f>
        <v>N</v>
      </c>
      <c r="X169" s="197">
        <f t="shared" si="81"/>
        <v>1</v>
      </c>
      <c r="Y169" s="197">
        <f t="shared" si="79"/>
        <v>5.8609</v>
      </c>
      <c r="Z169" s="197">
        <f t="shared" si="80"/>
        <v>1.7299999999999999E-2</v>
      </c>
      <c r="AA169" s="197">
        <f t="shared" si="67"/>
        <v>5.8436000000000003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8"/>
        <v>810</v>
      </c>
      <c r="AE169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69" s="74" t="str">
        <f t="shared" si="70"/>
        <v>"C:\Program Files (x86)\AstroGrep\AstroGrep.exe" /e /r /s /spath="%USERPROFILE%\AppData\Local\Temp\OnboardLogs" /stypes="app*4025*20170705*" /stext=" 14:.+((SYSTEM_STATE.+slice.+state.+changed )|(ment ac)|(multiple cpu faults)|(system.+state.+changed )|(\[timeout)|(PRM\|1\|D)|(kpr)|(kdp)|(train st.+moving)|(\|lc)|(penalty))"</v>
      </c>
      <c r="AG169" s="209" t="str">
        <f t="shared" si="71"/>
        <v>NW</v>
      </c>
      <c r="AH169" s="78" t="str">
        <f t="shared" si="56"/>
        <v>"%USERPROFILE%\Documents\GitHub\eaglep3\Utilities\RefineRTDCRunTimes.py" --tripid 810-05 --locoid 4025 --swversion DE.1.0.9.0 --startMP 300:58609 --initTime 2017-07-05T08:06:45 --startdatetime 2017-07-05T08:08:36 --delay 1 --endMP 204:173 --enddatetime 2017-07-05T08:25:35 --enforcementcount 0 &gt;&gt;C:\Users\stu\Documents\GitHub\eaglep3-reporting\EC\2017-07-05-refined-times.txt</v>
      </c>
      <c r="AI169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{"issue":{"subject":"","project_id":79,"tracker_id":40,"status_id":1,"priority_id":2,"assigned_to_id":23,"start_date":"2017-07-05","description":"","custom_fields":[{"id":1,"name":"Subdivision","value":"NW"},{"id":4,"name":"Milepost","value":"0.0173"},{"id":17,"name":"Train ID","value":"810-05"},{"id":16,"name":"Locomotive ID","value":"4025"},{"id":130,"name":"Impact","value":""},{"id":150,"name":"Time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8"/>
        <v>start /low /b %USERPROFILE%\Documents\GitHub\eaglep3\Utilities\DownloadLogsFromS3.py --loco 4025 --day 2017-07-05</v>
      </c>
      <c r="AN169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679</v>
      </c>
      <c r="B170" s="7">
        <v>4002</v>
      </c>
      <c r="C170" s="21" t="s">
        <v>202</v>
      </c>
      <c r="D170" s="21" t="s">
        <v>569</v>
      </c>
      <c r="E170" s="13">
        <v>42921.331712962965</v>
      </c>
      <c r="F170" s="13">
        <v>42921.348101851851</v>
      </c>
      <c r="G170" s="7">
        <v>1</v>
      </c>
      <c r="H170" s="21" t="s">
        <v>976</v>
      </c>
      <c r="I170" s="13">
        <v>42921.357210648152</v>
      </c>
      <c r="J170" s="7">
        <v>0</v>
      </c>
      <c r="K170" s="89" t="str">
        <f t="shared" si="60"/>
        <v>4001/4002</v>
      </c>
      <c r="L170" s="21" t="str">
        <f>VLOOKUP(A170,'Trips&amp;Operators'!$C$1:$G$99999,5,FALSE)</f>
        <v>GEBRETEKLE DAGNEW</v>
      </c>
      <c r="M170" s="6">
        <f t="shared" si="61"/>
        <v>9.1087963010068052E-3</v>
      </c>
      <c r="N170" s="7">
        <f t="shared" si="62"/>
        <v>13.116666673449799</v>
      </c>
      <c r="O170" s="7"/>
      <c r="P170" s="7"/>
      <c r="Q170" s="22"/>
      <c r="R170" s="170"/>
      <c r="S170" s="213">
        <f t="shared" si="82"/>
        <v>1</v>
      </c>
      <c r="T170" s="195" t="str">
        <f t="shared" si="63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4"/>
        <v>https://d0f6bd738d7f1b3e5a7ca70fe4ff75f0.us-east-1.aws.found.io/app/kibana#/discover/Steve-Slow-Train-Analysis-(2080s-and-2083s)?_g=(refreshInterval:(display:Off,pause:!f,section:0,value:0),time:(from:'2017-07-05T06:57:40-0600',mode:absolute,to:'2017-07-05T09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197" t="str">
        <f>IF(AA170&lt;VLOOKUP(AG170,Variables!$AC$3:$AD$8,2,FALSE),"Y","N")</f>
        <v>N</v>
      </c>
      <c r="X170" s="197">
        <f t="shared" si="81"/>
        <v>1</v>
      </c>
      <c r="Y170" s="197">
        <f t="shared" si="79"/>
        <v>9.8500000000000004E-2</v>
      </c>
      <c r="Z170" s="197">
        <f t="shared" si="80"/>
        <v>5.8979999999999997</v>
      </c>
      <c r="AA170" s="197">
        <f t="shared" si="67"/>
        <v>5.7995000000000001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8"/>
        <v>811</v>
      </c>
      <c r="AE170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70" s="74" t="str">
        <f t="shared" si="70"/>
        <v>"C:\Program Files (x86)\AstroGrep\AstroGrep.exe" /e /r /s /spath="%USERPROFILE%\AppData\Local\Temp\OnboardLogs" /stypes="app*4002*20170705*" /stext=" 14:.+((SYSTEM_STATE.+slice.+state.+changed )|(ment ac)|(multiple cpu faults)|(system.+state.+changed )|(\[timeout)|(PRM\|1\|D)|(kpr)|(kdp)|(train st.+moving)|(\|lc)|(penalty))"</v>
      </c>
      <c r="AG170" s="209" t="str">
        <f t="shared" si="71"/>
        <v>NW</v>
      </c>
      <c r="AH170" s="78" t="str">
        <f t="shared" si="56"/>
        <v>"%USERPROFILE%\Documents\GitHub\eaglep3\Utilities\RefineRTDCRunTimes.py" --tripid 811-05 --locoid 4002 --swversion DE.1.0.9.0 --startMP 204:985 --initTime 2017-07-05T07:57:40 --startdatetime 2017-07-05T08:21:16 --delay 1 --endMP 300:58980 --enddatetime 2017-07-05T08:34:23 --enforcementcount 0 &gt;&gt;C:\Users\stu\Documents\GitHub\eaglep3-reporting\EC\2017-07-05-refined-times.txt</v>
      </c>
      <c r="AI170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{"issue":{"subject":"","project_id":79,"tracker_id":40,"status_id":1,"priority_id":2,"assigned_to_id":23,"start_date":"2017-07-05","description":"","custom_fields":[{"id":1,"name":"Subdivision","value":"NW"},{"id":4,"name":"Milepost","value":"5.898"},{"id":17,"name":"Train ID","value":"811-05"},{"id":16,"name":"Locomotive ID","value":"4002"},{"id":130,"name":"Impact","value":""},{"id":150,"name":"Time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8"/>
        <v>start /low /b %USERPROFILE%\Documents\GitHub\eaglep3\Utilities\DownloadLogsFromS3.py --loco 4002 --day 2017-07-05</v>
      </c>
      <c r="AN170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687</v>
      </c>
      <c r="B171" s="7">
        <v>4001</v>
      </c>
      <c r="C171" s="21" t="s">
        <v>202</v>
      </c>
      <c r="D171" s="21" t="s">
        <v>977</v>
      </c>
      <c r="E171" s="13">
        <v>42921.358124999999</v>
      </c>
      <c r="F171" s="13">
        <v>42921.359513888892</v>
      </c>
      <c r="G171" s="7">
        <v>0</v>
      </c>
      <c r="H171" s="21" t="s">
        <v>972</v>
      </c>
      <c r="I171" s="13">
        <v>42921.370983796296</v>
      </c>
      <c r="J171" s="7">
        <v>0</v>
      </c>
      <c r="K171" s="89" t="str">
        <f t="shared" si="60"/>
        <v>4001/4002</v>
      </c>
      <c r="L171" s="21" t="str">
        <f>VLOOKUP(A171,'Trips&amp;Operators'!$C$1:$G$99999,5,FALSE)</f>
        <v>GEBRETEKLE DAGNEW</v>
      </c>
      <c r="M171" s="6">
        <f t="shared" si="61"/>
        <v>1.1469907403807156E-2</v>
      </c>
      <c r="N171" s="7">
        <f t="shared" si="62"/>
        <v>16.516666661482304</v>
      </c>
      <c r="O171" s="7"/>
      <c r="P171" s="7"/>
      <c r="Q171" s="22"/>
      <c r="R171" s="170"/>
      <c r="S171" s="213">
        <f t="shared" si="82"/>
        <v>1</v>
      </c>
      <c r="T171" s="195" t="str">
        <f t="shared" si="63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4"/>
        <v>https://d0f6bd738d7f1b3e5a7ca70fe4ff75f0.us-east-1.aws.found.io/app/kibana#/discover/Steve-Slow-Train-Analysis-(2080s-and-2083s)?_g=(refreshInterval:(display:Off,pause:!f,section:0,value:0),time:(from:'2017-07-05T07:35:42-0600',mode:absolute,to:'2017-07-05T09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197" t="str">
        <f>IF(AA171&lt;VLOOKUP(AG171,Variables!$AC$3:$AD$8,2,FALSE),"Y","N")</f>
        <v>N</v>
      </c>
      <c r="X171" s="197">
        <f t="shared" si="81"/>
        <v>1</v>
      </c>
      <c r="Y171" s="197">
        <f t="shared" si="79"/>
        <v>5.8663999999999996</v>
      </c>
      <c r="Z171" s="197">
        <f t="shared" si="80"/>
        <v>7.0499999999999993E-2</v>
      </c>
      <c r="AA171" s="197">
        <f t="shared" si="67"/>
        <v>5.7958999999999996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8"/>
        <v>812</v>
      </c>
      <c r="AE171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71" s="74" t="str">
        <f t="shared" si="70"/>
        <v>"C:\Program Files (x86)\AstroGrep\AstroGrep.exe" /e /r /s /spath="%USERPROFILE%\AppData\Local\Temp\OnboardLogs" /stypes="app*4001*20170705*" /stext=" 14:.+((SYSTEM_STATE.+slice.+state.+changed )|(ment ac)|(multiple cpu faults)|(system.+state.+changed )|(\[timeout)|(PRM\|1\|D)|(kpr)|(kdp)|(train st.+moving)|(\|lc)|(penalty))"</v>
      </c>
      <c r="AG171" s="209" t="str">
        <f t="shared" si="71"/>
        <v>NW</v>
      </c>
      <c r="AH171" s="78" t="str">
        <f t="shared" si="56"/>
        <v>"%USERPROFILE%\Documents\GitHub\eaglep3\Utilities\RefineRTDCRunTimes.py" --tripid 812-05 --locoid 4001 --swversion DE.1.0.9.0 --startMP 300:58664 --initTime 2017-07-05T08:35:42 --startdatetime 2017-07-05T08:37:42 --delay 0 --endMP 204:705 --enddatetime 2017-07-05T08:54:13 --enforcementcount 0 &gt;&gt;C:\Users\stu\Documents\GitHub\eaglep3-reporting\EC\2017-07-05-refined-times.txt</v>
      </c>
      <c r="AI171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{"issue":{"subject":"","project_id":79,"tracker_id":40,"status_id":1,"priority_id":2,"assigned_to_id":23,"start_date":"2017-07-05","description":"","custom_fields":[{"id":1,"name":"Subdivision","value":"NW"},{"id":4,"name":"Milepost","value":"0.0705"},{"id":17,"name":"Train ID","value":"812-05"},{"id":16,"name":"Locomotive ID","value":"4001"},{"id":130,"name":"Impact","value":""},{"id":150,"name":"Time of Event (Mountain Time)","value":"08:54:13"},{"id":151,"name":"Denver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8"/>
        <v>start /low /b %USERPROFILE%\Documents\GitHub\eaglep3\Utilities\DownloadLogsFromS3.py --loco 4001 --day 2017-07-05</v>
      </c>
      <c r="AN171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14:54:13"},{"id":29,"name":"Sharepoint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693</v>
      </c>
      <c r="B172" s="7">
        <v>4002</v>
      </c>
      <c r="C172" s="21" t="s">
        <v>202</v>
      </c>
      <c r="D172" s="21" t="s">
        <v>978</v>
      </c>
      <c r="E172" s="13">
        <v>42921.37228009259</v>
      </c>
      <c r="F172" s="13">
        <v>42921.390173611115</v>
      </c>
      <c r="G172" s="7">
        <v>1</v>
      </c>
      <c r="H172" s="21" t="s">
        <v>960</v>
      </c>
      <c r="I172" s="13">
        <v>42921.400995370372</v>
      </c>
      <c r="J172" s="7">
        <v>0</v>
      </c>
      <c r="K172" s="89" t="str">
        <f t="shared" si="60"/>
        <v>4001/4002</v>
      </c>
      <c r="L172" s="21" t="str">
        <f>VLOOKUP(A172,'Trips&amp;Operators'!$C$1:$G$99999,5,FALSE)</f>
        <v>GEBRETEKLE DAGNEW</v>
      </c>
      <c r="M172" s="6">
        <f t="shared" si="61"/>
        <v>1.0821759256941732E-2</v>
      </c>
      <c r="N172" s="7">
        <f t="shared" si="62"/>
        <v>15.583333329996094</v>
      </c>
      <c r="O172" s="7"/>
      <c r="P172" s="7"/>
      <c r="Q172" s="22"/>
      <c r="R172" s="170"/>
      <c r="S172" s="213">
        <f t="shared" si="82"/>
        <v>1</v>
      </c>
      <c r="T172" s="195" t="str">
        <f t="shared" si="63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4"/>
        <v>https://d0f6bd738d7f1b3e5a7ca70fe4ff75f0.us-east-1.aws.found.io/app/kibana#/discover/Steve-Slow-Train-Analysis-(2080s-and-2083s)?_g=(refreshInterval:(display:Off,pause:!f,section:0,value:0),time:(from:'2017-07-05T07:56:05-0600',mode:absolute,to:'2017-07-05T10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197" t="str">
        <f>IF(AA172&lt;VLOOKUP(AG172,Variables!$AC$3:$AD$8,2,FALSE),"Y","N")</f>
        <v>N</v>
      </c>
      <c r="X172" s="197">
        <f t="shared" si="81"/>
        <v>1</v>
      </c>
      <c r="Y172" s="197">
        <f t="shared" si="79"/>
        <v>9.9500000000000005E-2</v>
      </c>
      <c r="Z172" s="197">
        <f t="shared" si="80"/>
        <v>5.8975</v>
      </c>
      <c r="AA172" s="197">
        <f t="shared" si="67"/>
        <v>5.798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8"/>
        <v>813</v>
      </c>
      <c r="AE172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72" s="74" t="str">
        <f t="shared" si="70"/>
        <v>"C:\Program Files (x86)\AstroGrep\AstroGrep.exe" /e /r /s /spath="%USERPROFILE%\AppData\Local\Temp\OnboardLogs" /stypes="app*4002*20170705*" /stext=" 15:.+((SYSTEM_STATE.+slice.+state.+changed )|(ment ac)|(multiple cpu faults)|(system.+state.+changed )|(\[timeout)|(PRM\|1\|D)|(kpr)|(kdp)|(train st.+moving)|(\|lc)|(penalty))"</v>
      </c>
      <c r="AG172" s="209" t="str">
        <f t="shared" si="71"/>
        <v>NW</v>
      </c>
      <c r="AH172" s="78" t="str">
        <f t="shared" si="56"/>
        <v>"%USERPROFILE%\Documents\GitHub\eaglep3\Utilities\RefineRTDCRunTimes.py" --tripid 813-05 --locoid 4002 --swversion DE.1.0.9.0 --startMP 204:995 --initTime 2017-07-05T08:56:05 --startdatetime 2017-07-05T09:21:51 --delay 1 --endMP 300:58975 --enddatetime 2017-07-05T09:37:26 --enforcementcount 0 &gt;&gt;C:\Users\stu\Documents\GitHub\eaglep3-reporting\EC\2017-07-05-refined-times.txt</v>
      </c>
      <c r="AI172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{"issue":{"subject":"","project_id":79,"tracker_id":40,"status_id":1,"priority_id":2,"assigned_to_id":23,"start_date":"2017-07-05","description":"","custom_fields":[{"id":1,"name":"Subdivision","value":"NW"},{"id":4,"name":"Milepost","value":"5.8975"},{"id":17,"name":"Train ID","value":"813-05"},{"id":16,"name":"Locomotive ID","value":"4002"},{"id":130,"name":"Impact","value":""},{"id":150,"name":"Time of Event (Mountain Time)","value":"09:37:26"},{"id":151,"name":"Denver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8"/>
        <v>start /low /b %USERPROFILE%\Documents\GitHub\eaglep3\Utilities\DownloadLogsFromS3.py --loco 4002 --day 2017-07-05</v>
      </c>
      <c r="AN172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701</v>
      </c>
      <c r="B173" s="7">
        <v>4001</v>
      </c>
      <c r="C173" s="21" t="s">
        <v>202</v>
      </c>
      <c r="D173" s="21" t="s">
        <v>979</v>
      </c>
      <c r="E173" s="13">
        <v>42921.402071759258</v>
      </c>
      <c r="F173" s="13">
        <v>42921.404953703706</v>
      </c>
      <c r="G173" s="7">
        <v>1</v>
      </c>
      <c r="H173" s="21" t="s">
        <v>980</v>
      </c>
      <c r="I173" s="13">
        <v>42921.413449074076</v>
      </c>
      <c r="J173" s="7">
        <v>0</v>
      </c>
      <c r="K173" s="89" t="str">
        <f t="shared" si="60"/>
        <v>4001/4002</v>
      </c>
      <c r="L173" s="21" t="str">
        <f>VLOOKUP(A173,'Trips&amp;Operators'!$C$1:$G$99999,5,FALSE)</f>
        <v>GEBRETEKLE DAGNEW</v>
      </c>
      <c r="M173" s="6">
        <f t="shared" si="61"/>
        <v>8.4953703699284233E-3</v>
      </c>
      <c r="N173" s="7">
        <f t="shared" si="62"/>
        <v>12.23333333269693</v>
      </c>
      <c r="O173" s="7"/>
      <c r="P173" s="7"/>
      <c r="Q173" s="22"/>
      <c r="R173" s="170"/>
      <c r="S173" s="213">
        <f t="shared" si="82"/>
        <v>1</v>
      </c>
      <c r="T173" s="195" t="str">
        <f t="shared" si="63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4"/>
        <v>https://d0f6bd738d7f1b3e5a7ca70fe4ff75f0.us-east-1.aws.found.io/app/kibana#/discover/Steve-Slow-Train-Analysis-(2080s-and-2083s)?_g=(refreshInterval:(display:Off,pause:!f,section:0,value:0),time:(from:'2017-07-05T08:38:59-0600',mode:absolute,to:'2017-07-05T10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197" t="str">
        <f>IF(AA173&lt;VLOOKUP(AG173,Variables!$AC$3:$AD$8,2,FALSE),"Y","N")</f>
        <v>N</v>
      </c>
      <c r="X173" s="197">
        <f t="shared" si="81"/>
        <v>1</v>
      </c>
      <c r="Y173" s="197">
        <f t="shared" si="79"/>
        <v>5.8651</v>
      </c>
      <c r="Z173" s="197">
        <f t="shared" si="80"/>
        <v>7.0999999999999994E-2</v>
      </c>
      <c r="AA173" s="197">
        <f t="shared" si="67"/>
        <v>5.7941000000000003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8"/>
        <v>814</v>
      </c>
      <c r="AE173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73" s="74" t="str">
        <f t="shared" si="70"/>
        <v>"C:\Program Files (x86)\AstroGrep\AstroGrep.exe" /e /r /s /spath="%USERPROFILE%\AppData\Local\Temp\OnboardLogs" /stypes="app*4001*20170705*" /stext=" 15:.+((SYSTEM_STATE.+slice.+state.+changed )|(ment ac)|(multiple cpu faults)|(system.+state.+changed )|(\[timeout)|(PRM\|1\|D)|(kpr)|(kdp)|(train st.+moving)|(\|lc)|(penalty))"</v>
      </c>
      <c r="AG173" s="209" t="str">
        <f t="shared" si="71"/>
        <v>NW</v>
      </c>
      <c r="AH173" s="78" t="str">
        <f t="shared" si="56"/>
        <v>"%USERPROFILE%\Documents\GitHub\eaglep3\Utilities\RefineRTDCRunTimes.py" --tripid 814-05 --locoid 4001 --swversion DE.1.0.9.0 --startMP 300:58651 --initTime 2017-07-05T09:38:59 --startdatetime 2017-07-05T09:43:08 --delay 1 --endMP 204:710 --enddatetime 2017-07-05T09:55:22 --enforcementcount 0 &gt;&gt;C:\Users\stu\Documents\GitHub\eaglep3-reporting\EC\2017-07-05-refined-times.txt</v>
      </c>
      <c r="AI173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{"issue":{"subject":"","project_id":79,"tracker_id":40,"status_id":1,"priority_id":2,"assigned_to_id":23,"start_date":"2017-07-05","description":"","custom_fields":[{"id":1,"name":"Subdivision","value":"NW"},{"id":4,"name":"Milepost","value":"0.071"},{"id":17,"name":"Train ID","value":"814-05"},{"id":16,"name":"Locomotive ID","value":"4001"},{"id":130,"name":"Impact","value":""},{"id":150,"name":"Time of Event (Mountain Time)","value":"09:55:22"},{"id":151,"name":"Denver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8"/>
        <v>start /low /b %USERPROFILE%\Documents\GitHub\eaglep3\Utilities\DownloadLogsFromS3.py --loco 4001 --day 2017-07-05</v>
      </c>
      <c r="AN173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705</v>
      </c>
      <c r="B174" s="7">
        <v>4002</v>
      </c>
      <c r="C174" s="21" t="s">
        <v>202</v>
      </c>
      <c r="D174" s="21" t="s">
        <v>981</v>
      </c>
      <c r="E174" s="13">
        <v>42921.414583333331</v>
      </c>
      <c r="F174" s="13">
        <v>42921.431435185186</v>
      </c>
      <c r="G174" s="7">
        <v>1</v>
      </c>
      <c r="H174" s="21" t="s">
        <v>982</v>
      </c>
      <c r="I174" s="13">
        <v>42921.440706018519</v>
      </c>
      <c r="J174" s="7">
        <v>0</v>
      </c>
      <c r="K174" s="89" t="str">
        <f t="shared" si="60"/>
        <v>4001/4002</v>
      </c>
      <c r="L174" s="21" t="str">
        <f>VLOOKUP(A174,'Trips&amp;Operators'!$C$1:$G$99999,5,FALSE)</f>
        <v>GEBRETEKLE DAGNEW</v>
      </c>
      <c r="M174" s="6">
        <f t="shared" si="61"/>
        <v>9.2708333322661929E-3</v>
      </c>
      <c r="N174" s="7">
        <f t="shared" si="62"/>
        <v>13.349999998463318</v>
      </c>
      <c r="O174" s="7"/>
      <c r="P174" s="7"/>
      <c r="Q174" s="22"/>
      <c r="R174" s="170"/>
      <c r="S174" s="213">
        <f t="shared" si="82"/>
        <v>1</v>
      </c>
      <c r="T174" s="195" t="str">
        <f t="shared" si="63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4"/>
        <v>https://d0f6bd738d7f1b3e5a7ca70fe4ff75f0.us-east-1.aws.found.io/app/kibana#/discover/Steve-Slow-Train-Analysis-(2080s-and-2083s)?_g=(refreshInterval:(display:Off,pause:!f,section:0,value:0),time:(from:'2017-07-05T08:57:00-0600',mode:absolute,to:'2017-07-05T11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197" t="str">
        <f>IF(AA174&lt;VLOOKUP(AG174,Variables!$AC$3:$AD$8,2,FALSE),"Y","N")</f>
        <v>N</v>
      </c>
      <c r="X174" s="197">
        <f t="shared" si="81"/>
        <v>1</v>
      </c>
      <c r="Y174" s="197">
        <f t="shared" si="79"/>
        <v>0.1002</v>
      </c>
      <c r="Z174" s="197">
        <f t="shared" si="80"/>
        <v>5.8978000000000002</v>
      </c>
      <c r="AA174" s="197">
        <f t="shared" si="67"/>
        <v>5.7976000000000001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8"/>
        <v>815</v>
      </c>
      <c r="AE174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74" s="74" t="str">
        <f t="shared" si="70"/>
        <v>"C:\Program Files (x86)\AstroGrep\AstroGrep.exe" /e /r /s /spath="%USERPROFILE%\AppData\Local\Temp\OnboardLogs" /stypes="app*4002*20170705*" /stext=" 16:.+((SYSTEM_STATE.+slice.+state.+changed )|(ment ac)|(multiple cpu faults)|(system.+state.+changed )|(\[timeout)|(PRM\|1\|D)|(kpr)|(kdp)|(train st.+moving)|(\|lc)|(penalty))"</v>
      </c>
      <c r="AG174" s="209" t="str">
        <f t="shared" si="71"/>
        <v>NW</v>
      </c>
      <c r="AH174" s="78" t="str">
        <f t="shared" si="56"/>
        <v>"%USERPROFILE%\Documents\GitHub\eaglep3\Utilities\RefineRTDCRunTimes.py" --tripid 815-05 --locoid 4002 --swversion DE.1.0.9.0 --startMP 204:1002 --initTime 2017-07-05T09:57:00 --startdatetime 2017-07-05T10:21:16 --delay 1 --endMP 300:58978 --enddatetime 2017-07-05T10:34:37 --enforcementcount 0 &gt;&gt;C:\Users\stu\Documents\GitHub\eaglep3-reporting\EC\2017-07-05-refined-times.txt</v>
      </c>
      <c r="AI174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{"issue":{"subject":"","project_id":79,"tracker_id":40,"status_id":1,"priority_id":2,"assigned_to_id":23,"start_date":"2017-07-05","description":"","custom_fields":[{"id":1,"name":"Subdivision","value":"NW"},{"id":4,"name":"Milepost","value":"5.8978"},{"id":17,"name":"Train ID","value":"815-05"},{"id":16,"name":"Locomotive ID","value":"4002"},{"id":130,"name":"Impact","value":""},{"id":150,"name":"Time of Event (Mountain Time)","value":"10:34:37"},{"id":151,"name":"Denver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8"/>
        <v>start /low /b %USERPROFILE%\Documents\GitHub\eaglep3\Utilities\DownloadLogsFromS3.py --loco 4002 --day 2017-07-05</v>
      </c>
      <c r="AN174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707</v>
      </c>
      <c r="B175" s="7">
        <v>4001</v>
      </c>
      <c r="C175" s="21" t="s">
        <v>202</v>
      </c>
      <c r="D175" s="21" t="s">
        <v>983</v>
      </c>
      <c r="E175" s="13">
        <v>42921.441967592589</v>
      </c>
      <c r="F175" s="13">
        <v>42921.443391203706</v>
      </c>
      <c r="G175" s="7">
        <v>1</v>
      </c>
      <c r="H175" s="21" t="s">
        <v>972</v>
      </c>
      <c r="I175" s="13">
        <v>42921.454259259262</v>
      </c>
      <c r="J175" s="7">
        <v>0</v>
      </c>
      <c r="K175" s="89" t="str">
        <f t="shared" si="60"/>
        <v>4001/4002</v>
      </c>
      <c r="L175" s="21" t="str">
        <f>VLOOKUP(A175,'Trips&amp;Operators'!$C$1:$G$99999,5,FALSE)</f>
        <v>GEBRETEKLE DAGNEW</v>
      </c>
      <c r="M175" s="6">
        <f t="shared" si="61"/>
        <v>1.0868055556784384E-2</v>
      </c>
      <c r="N175" s="7">
        <f t="shared" si="62"/>
        <v>15.650000001769513</v>
      </c>
      <c r="O175" s="7"/>
      <c r="P175" s="7"/>
      <c r="Q175" s="22"/>
      <c r="R175" s="170"/>
      <c r="S175" s="213">
        <f t="shared" si="82"/>
        <v>1</v>
      </c>
      <c r="T175" s="195" t="str">
        <f t="shared" si="63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4"/>
        <v>https://d0f6bd738d7f1b3e5a7ca70fe4ff75f0.us-east-1.aws.found.io/app/kibana#/discover/Steve-Slow-Train-Analysis-(2080s-and-2083s)?_g=(refreshInterval:(display:Off,pause:!f,section:0,value:0),time:(from:'2017-07-05T09:36:26-0600',mode:absolute,to:'2017-07-05T11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197" t="str">
        <f>IF(AA175&lt;VLOOKUP(AG175,Variables!$AC$3:$AD$8,2,FALSE),"Y","N")</f>
        <v>N</v>
      </c>
      <c r="X175" s="197">
        <f t="shared" si="81"/>
        <v>1</v>
      </c>
      <c r="Y175" s="197">
        <f t="shared" si="79"/>
        <v>5.8666</v>
      </c>
      <c r="Z175" s="197">
        <f t="shared" si="80"/>
        <v>7.0499999999999993E-2</v>
      </c>
      <c r="AA175" s="197">
        <f t="shared" si="67"/>
        <v>5.7961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8"/>
        <v>816</v>
      </c>
      <c r="AE175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75" s="74" t="str">
        <f t="shared" si="70"/>
        <v>"C:\Program Files (x86)\AstroGrep\AstroGrep.exe" /e /r /s /spath="%USERPROFILE%\AppData\Local\Temp\OnboardLogs" /stypes="app*4001*20170705*" /stext=" 16:.+((SYSTEM_STATE.+slice.+state.+changed )|(ment ac)|(multiple cpu faults)|(system.+state.+changed )|(\[timeout)|(PRM\|1\|D)|(kpr)|(kdp)|(train st.+moving)|(\|lc)|(penalty))"</v>
      </c>
      <c r="AG175" s="209" t="str">
        <f t="shared" si="71"/>
        <v>NW</v>
      </c>
      <c r="AH175" s="78" t="str">
        <f t="shared" si="56"/>
        <v>"%USERPROFILE%\Documents\GitHub\eaglep3\Utilities\RefineRTDCRunTimes.py" --tripid 816-05 --locoid 4001 --swversion DE.1.0.9.0 --startMP 300:58666 --initTime 2017-07-05T10:36:26 --startdatetime 2017-07-05T10:38:29 --delay 1 --endMP 204:705 --enddatetime 2017-07-05T10:54:08 --enforcementcount 0 &gt;&gt;C:\Users\stu\Documents\GitHub\eaglep3-reporting\EC\2017-07-05-refined-times.txt</v>
      </c>
      <c r="AI175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{"issue":{"subject":"","project_id":79,"tracker_id":40,"status_id":1,"priority_id":2,"assigned_to_id":23,"start_date":"2017-07-05","description":"","custom_fields":[{"id":1,"name":"Subdivision","value":"NW"},{"id":4,"name":"Milepost","value":"0.0705"},{"id":17,"name":"Train ID","value":"816-05"},{"id":16,"name":"Locomotive ID","value":"4001"},{"id":130,"name":"Impact","value":""},{"id":150,"name":"Time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58"/>
        <v>start /low /b %USERPROFILE%\Documents\GitHub\eaglep3\Utilities\DownloadLogsFromS3.py --loco 4001 --day 2017-07-05</v>
      </c>
      <c r="AN175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712</v>
      </c>
      <c r="B176" s="7">
        <v>4002</v>
      </c>
      <c r="C176" s="21" t="s">
        <v>202</v>
      </c>
      <c r="D176" s="21" t="s">
        <v>491</v>
      </c>
      <c r="E176" s="13">
        <v>42921.455509259256</v>
      </c>
      <c r="F176" s="13">
        <v>42921.473124999997</v>
      </c>
      <c r="G176" s="7">
        <v>0</v>
      </c>
      <c r="H176" s="21" t="s">
        <v>982</v>
      </c>
      <c r="I176" s="13">
        <v>42921.481990740744</v>
      </c>
      <c r="J176" s="7">
        <v>0</v>
      </c>
      <c r="K176" s="89" t="str">
        <f t="shared" si="60"/>
        <v>4001/4002</v>
      </c>
      <c r="L176" s="21" t="str">
        <f>VLOOKUP(A176,'Trips&amp;Operators'!$C$1:$G$99999,5,FALSE)</f>
        <v>GEBRETEKLE DAGNEW</v>
      </c>
      <c r="M176" s="6">
        <f t="shared" si="61"/>
        <v>8.8657407468417659E-3</v>
      </c>
      <c r="N176" s="7">
        <f t="shared" si="62"/>
        <v>12.766666675452143</v>
      </c>
      <c r="O176" s="7"/>
      <c r="P176" s="7"/>
      <c r="Q176" s="22"/>
      <c r="R176" s="170"/>
      <c r="S176" s="213">
        <f t="shared" si="82"/>
        <v>1</v>
      </c>
      <c r="T176" s="195" t="str">
        <f t="shared" si="63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4"/>
        <v>https://d0f6bd738d7f1b3e5a7ca70fe4ff75f0.us-east-1.aws.found.io/app/kibana#/discover/Steve-Slow-Train-Analysis-(2080s-and-2083s)?_g=(refreshInterval:(display:Off,pause:!f,section:0,value:0),time:(from:'2017-07-05T09:55:56-0600',mode:absolute,to:'2017-07-05T12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197" t="str">
        <f>IF(AA176&lt;VLOOKUP(AG176,Variables!$AC$3:$AD$8,2,FALSE),"Y","N")</f>
        <v>N</v>
      </c>
      <c r="X176" s="197">
        <f t="shared" si="81"/>
        <v>1</v>
      </c>
      <c r="Y176" s="197">
        <f t="shared" si="79"/>
        <v>9.8299999999999998E-2</v>
      </c>
      <c r="Z176" s="197">
        <f t="shared" si="80"/>
        <v>5.8978000000000002</v>
      </c>
      <c r="AA176" s="197">
        <f t="shared" si="67"/>
        <v>5.7995000000000001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8"/>
        <v>817</v>
      </c>
      <c r="AE176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76" s="74" t="str">
        <f t="shared" si="70"/>
        <v>"C:\Program Files (x86)\AstroGrep\AstroGrep.exe" /e /r /s /spath="%USERPROFILE%\AppData\Local\Temp\OnboardLogs" /stypes="app*4002*20170705*" /stext=" 17:.+((SYSTEM_STATE.+slice.+state.+changed )|(ment ac)|(multiple cpu faults)|(system.+state.+changed )|(\[timeout)|(PRM\|1\|D)|(kpr)|(kdp)|(train st.+moving)|(\|lc)|(penalty))"</v>
      </c>
      <c r="AG176" s="209" t="str">
        <f t="shared" si="71"/>
        <v>NW</v>
      </c>
      <c r="AH176" s="78" t="str">
        <f t="shared" si="56"/>
        <v>"%USERPROFILE%\Documents\GitHub\eaglep3\Utilities\RefineRTDCRunTimes.py" --tripid 817-05 --locoid 4002 --swversion DE.1.0.9.0 --startMP 204:983 --initTime 2017-07-05T10:55:56 --startdatetime 2017-07-05T11:21:18 --delay 0 --endMP 300:58978 --enddatetime 2017-07-05T11:34:04 --enforcementcount 0 &gt;&gt;C:\Users\stu\Documents\GitHub\eaglep3-reporting\EC\2017-07-05-refined-times.txt</v>
      </c>
      <c r="AI176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{"issue":{"subject":"","project_id":79,"tracker_id":40,"status_id":1,"priority_id":2,"assigned_to_id":23,"start_date":"2017-07-05","description":"","custom_fields":[{"id":1,"name":"Subdivision","value":"NW"},{"id":4,"name":"Milepost","value":"5.8978"},{"id":17,"name":"Train ID","value":"817-05"},{"id":16,"name":"Locomotive ID","value":"4002"},{"id":130,"name":"Impact","value":""},{"id":150,"name":"Time of Event (Mountain Time)","value":"11:34:04"},{"id":151,"name":"Denver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8"/>
        <v>start /low /b %USERPROFILE%\Documents\GitHub\eaglep3\Utilities\DownloadLogsFromS3.py --loco 4002 --day 2017-07-05</v>
      </c>
      <c r="AN176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720</v>
      </c>
      <c r="B177" s="7">
        <v>4001</v>
      </c>
      <c r="C177" s="21" t="s">
        <v>202</v>
      </c>
      <c r="D177" s="21" t="s">
        <v>984</v>
      </c>
      <c r="E177" s="13">
        <v>42921.483217592591</v>
      </c>
      <c r="F177" s="13">
        <v>42921.484699074077</v>
      </c>
      <c r="G177" s="7">
        <v>1</v>
      </c>
      <c r="H177" s="21" t="s">
        <v>490</v>
      </c>
      <c r="I177" s="13">
        <v>42921.496238425927</v>
      </c>
      <c r="J177" s="7">
        <v>0</v>
      </c>
      <c r="K177" s="89" t="str">
        <f t="shared" si="60"/>
        <v>4001/4002</v>
      </c>
      <c r="L177" s="21" t="str">
        <f>VLOOKUP(A177,'Trips&amp;Operators'!$C$1:$G$99999,5,FALSE)</f>
        <v>GEBRETEKLE DAGNEW</v>
      </c>
      <c r="M177" s="6">
        <f t="shared" si="61"/>
        <v>1.1539351849933155E-2</v>
      </c>
      <c r="N177" s="7">
        <f t="shared" si="62"/>
        <v>16.616666663903743</v>
      </c>
      <c r="O177" s="7"/>
      <c r="P177" s="7"/>
      <c r="Q177" s="22"/>
      <c r="R177" s="170"/>
      <c r="S177" s="213">
        <f t="shared" si="82"/>
        <v>1</v>
      </c>
      <c r="T177" s="195" t="str">
        <f t="shared" si="63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4"/>
        <v>https://d0f6bd738d7f1b3e5a7ca70fe4ff75f0.us-east-1.aws.found.io/app/kibana#/discover/Steve-Slow-Train-Analysis-(2080s-and-2083s)?_g=(refreshInterval:(display:Off,pause:!f,section:0,value:0),time:(from:'2017-07-05T10:35:50-0600',mode:absolute,to:'2017-07-05T12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197" t="str">
        <f>IF(AA177&lt;VLOOKUP(AG177,Variables!$AC$3:$AD$8,2,FALSE),"Y","N")</f>
        <v>N</v>
      </c>
      <c r="X177" s="197">
        <f t="shared" si="81"/>
        <v>1</v>
      </c>
      <c r="Y177" s="197">
        <f t="shared" si="79"/>
        <v>5.8658000000000001</v>
      </c>
      <c r="Z177" s="197">
        <f t="shared" si="80"/>
        <v>7.0300000000000001E-2</v>
      </c>
      <c r="AA177" s="197">
        <f t="shared" si="67"/>
        <v>5.7955000000000005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8"/>
        <v>818</v>
      </c>
      <c r="AE177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77" s="74" t="str">
        <f t="shared" si="70"/>
        <v>"C:\Program Files (x86)\AstroGrep\AstroGrep.exe" /e /r /s /spath="%USERPROFILE%\AppData\Local\Temp\OnboardLogs" /stypes="app*4001*20170705*" /stext=" 17:.+((SYSTEM_STATE.+slice.+state.+changed )|(ment ac)|(multiple cpu faults)|(system.+state.+changed )|(\[timeout)|(PRM\|1\|D)|(kpr)|(kdp)|(train st.+moving)|(\|lc)|(penalty))"</v>
      </c>
      <c r="AG177" s="209" t="str">
        <f t="shared" si="71"/>
        <v>NW</v>
      </c>
      <c r="AH177" s="78" t="str">
        <f t="shared" si="56"/>
        <v>"%USERPROFILE%\Documents\GitHub\eaglep3\Utilities\RefineRTDCRunTimes.py" --tripid 818-05 --locoid 4001 --swversion DE.1.0.9.0 --startMP 300:58658 --initTime 2017-07-05T11:35:50 --startdatetime 2017-07-05T11:37:58 --delay 1 --endMP 204:703 --enddatetime 2017-07-05T11:54:35 --enforcementcount 0 &gt;&gt;C:\Users\stu\Documents\GitHub\eaglep3-reporting\EC\2017-07-05-refined-times.txt</v>
      </c>
      <c r="AI177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{"issue":{"subject":"","project_id":79,"tracker_id":40,"status_id":1,"priority_id":2,"assigned_to_id":23,"start_date":"2017-07-05","description":"","custom_fields":[{"id":1,"name":"Subdivision","value":"NW"},{"id":4,"name":"Milepost","value":"0.0703"},{"id":17,"name":"Train ID","value":"818-05"},{"id":16,"name":"Locomotive ID","value":"4001"},{"id":130,"name":"Impact","value":""},{"id":150,"name":"Time of Event (Mountain Time)","value":"11:54:35"},{"id":151,"name":"Denver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8"/>
        <v>start /low /b %USERPROFILE%\Documents\GitHub\eaglep3\Utilities\DownloadLogsFromS3.py --loco 4001 --day 2017-07-05</v>
      </c>
      <c r="AN177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723</v>
      </c>
      <c r="B178" s="7">
        <v>4002</v>
      </c>
      <c r="C178" s="21" t="s">
        <v>202</v>
      </c>
      <c r="D178" s="21" t="s">
        <v>985</v>
      </c>
      <c r="E178" s="13">
        <v>42921.497465277775</v>
      </c>
      <c r="F178" s="13">
        <v>42921.514768518522</v>
      </c>
      <c r="G178" s="7">
        <v>1</v>
      </c>
      <c r="H178" s="21" t="s">
        <v>986</v>
      </c>
      <c r="I178" s="13">
        <v>42921.523969907408</v>
      </c>
      <c r="J178" s="7">
        <v>0</v>
      </c>
      <c r="K178" s="89" t="str">
        <f t="shared" si="60"/>
        <v>4001/4002</v>
      </c>
      <c r="L178" s="21" t="str">
        <f>VLOOKUP(A178,'Trips&amp;Operators'!$C$1:$G$99999,5,FALSE)</f>
        <v>GEBRETEKLE DAGNEW</v>
      </c>
      <c r="M178" s="6">
        <f t="shared" si="61"/>
        <v>9.2013888861401938E-3</v>
      </c>
      <c r="N178" s="7">
        <f t="shared" si="62"/>
        <v>13.249999996041879</v>
      </c>
      <c r="O178" s="7"/>
      <c r="P178" s="7"/>
      <c r="Q178" s="22"/>
      <c r="R178" s="170"/>
      <c r="S178" s="213">
        <f t="shared" si="82"/>
        <v>1</v>
      </c>
      <c r="T178" s="195" t="str">
        <f t="shared" si="63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4"/>
        <v>https://d0f6bd738d7f1b3e5a7ca70fe4ff75f0.us-east-1.aws.found.io/app/kibana#/discover/Steve-Slow-Train-Analysis-(2080s-and-2083s)?_g=(refreshInterval:(display:Off,pause:!f,section:0,value:0),time:(from:'2017-07-05T10:56:21-0600',mode:absolute,to:'2017-07-05T13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197" t="str">
        <f>IF(AA178&lt;VLOOKUP(AG178,Variables!$AC$3:$AD$8,2,FALSE),"Y","N")</f>
        <v>N</v>
      </c>
      <c r="X178" s="197">
        <f t="shared" si="81"/>
        <v>1</v>
      </c>
      <c r="Y178" s="197">
        <f t="shared" si="79"/>
        <v>9.8799999999999999E-2</v>
      </c>
      <c r="Z178" s="197">
        <f t="shared" si="80"/>
        <v>5.8967000000000001</v>
      </c>
      <c r="AA178" s="197">
        <f t="shared" si="67"/>
        <v>5.7979000000000003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8"/>
        <v>819</v>
      </c>
      <c r="AE178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78" s="74" t="str">
        <f t="shared" si="70"/>
        <v>"C:\Program Files (x86)\AstroGrep\AstroGrep.exe" /e /r /s /spath="%USERPROFILE%\AppData\Local\Temp\OnboardLogs" /stypes="app*4002*20170705*" /stext=" 18:.+((SYSTEM_STATE.+slice.+state.+changed )|(ment ac)|(multiple cpu faults)|(system.+state.+changed )|(\[timeout)|(PRM\|1\|D)|(kpr)|(kdp)|(train st.+moving)|(\|lc)|(penalty))"</v>
      </c>
      <c r="AG178" s="209" t="str">
        <f t="shared" si="71"/>
        <v>NW</v>
      </c>
      <c r="AH178" s="78" t="str">
        <f t="shared" si="56"/>
        <v>"%USERPROFILE%\Documents\GitHub\eaglep3\Utilities\RefineRTDCRunTimes.py" --tripid 819-05 --locoid 4002 --swversion DE.1.0.9.0 --startMP 204:988 --initTime 2017-07-05T11:56:21 --startdatetime 2017-07-05T12:21:16 --delay 1 --endMP 300:58967 --enddatetime 2017-07-05T12:34:31 --enforcementcount 0 &gt;&gt;C:\Users\stu\Documents\GitHub\eaglep3-reporting\EC\2017-07-05-refined-times.txt</v>
      </c>
      <c r="AI178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{"issue":{"subject":"","project_id":79,"tracker_id":40,"status_id":1,"priority_id":2,"assigned_to_id":23,"start_date":"2017-07-05","description":"","custom_fields":[{"id":1,"name":"Subdivision","value":"NW"},{"id":4,"name":"Milepost","value":"5.8967"},{"id":17,"name":"Train ID","value":"819-05"},{"id":16,"name":"Locomotive ID","value":"4002"},{"id":130,"name":"Impact","value":""},{"id":150,"name":"Time of Event (Mountain Time)","value":"12:34:31"},{"id":151,"name":"Denver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8"/>
        <v>start /low /b %USERPROFILE%\Documents\GitHub\eaglep3\Utilities\DownloadLogsFromS3.py --loco 4002 --day 2017-07-05</v>
      </c>
      <c r="AN178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732</v>
      </c>
      <c r="B179" s="7">
        <v>4001</v>
      </c>
      <c r="C179" s="21" t="s">
        <v>202</v>
      </c>
      <c r="D179" s="21" t="s">
        <v>987</v>
      </c>
      <c r="E179" s="13">
        <v>42921.525150462963</v>
      </c>
      <c r="F179" s="13">
        <v>42921.526990740742</v>
      </c>
      <c r="G179" s="7">
        <v>1</v>
      </c>
      <c r="H179" s="21" t="s">
        <v>988</v>
      </c>
      <c r="I179" s="13">
        <v>42921.537812499999</v>
      </c>
      <c r="J179" s="7">
        <v>0</v>
      </c>
      <c r="K179" s="89" t="str">
        <f t="shared" si="60"/>
        <v>4001/4002</v>
      </c>
      <c r="L179" s="21" t="str">
        <f>VLOOKUP(A179,'Trips&amp;Operators'!$C$1:$G$99999,5,FALSE)</f>
        <v>GEBRETEKLE DAGNEW</v>
      </c>
      <c r="M179" s="6">
        <f t="shared" si="61"/>
        <v>1.0821759256941732E-2</v>
      </c>
      <c r="N179" s="7">
        <f t="shared" si="62"/>
        <v>15.583333329996094</v>
      </c>
      <c r="O179" s="7"/>
      <c r="P179" s="7"/>
      <c r="Q179" s="22"/>
      <c r="R179" s="170"/>
      <c r="S179" s="213">
        <f t="shared" si="82"/>
        <v>1</v>
      </c>
      <c r="T179" s="195" t="str">
        <f t="shared" si="63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4"/>
        <v>https://d0f6bd738d7f1b3e5a7ca70fe4ff75f0.us-east-1.aws.found.io/app/kibana#/discover/Steve-Slow-Train-Analysis-(2080s-and-2083s)?_g=(refreshInterval:(display:Off,pause:!f,section:0,value:0),time:(from:'2017-07-05T11:36:13-0600',mode:absolute,to:'2017-07-05T13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197" t="str">
        <f>IF(AA179&lt;VLOOKUP(AG179,Variables!$AC$3:$AD$8,2,FALSE),"Y","N")</f>
        <v>N</v>
      </c>
      <c r="X179" s="197">
        <f t="shared" si="81"/>
        <v>1</v>
      </c>
      <c r="Y179" s="197">
        <f t="shared" si="79"/>
        <v>5.8648999999999996</v>
      </c>
      <c r="Z179" s="197">
        <f t="shared" si="80"/>
        <v>6.9900000000000004E-2</v>
      </c>
      <c r="AA179" s="197">
        <f t="shared" si="67"/>
        <v>5.7949999999999999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8"/>
        <v>820</v>
      </c>
      <c r="AE179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79" s="74" t="str">
        <f t="shared" si="70"/>
        <v>"C:\Program Files (x86)\AstroGrep\AstroGrep.exe" /e /r /s /spath="%USERPROFILE%\AppData\Local\Temp\OnboardLogs" /stypes="app*4001*20170705*" /stext=" 18:.+((SYSTEM_STATE.+slice.+state.+changed )|(ment ac)|(multiple cpu faults)|(system.+state.+changed )|(\[timeout)|(PRM\|1\|D)|(kpr)|(kdp)|(train st.+moving)|(\|lc)|(penalty))"</v>
      </c>
      <c r="AG179" s="209" t="str">
        <f t="shared" si="71"/>
        <v>NW</v>
      </c>
      <c r="AH179" s="78" t="str">
        <f t="shared" si="56"/>
        <v>"%USERPROFILE%\Documents\GitHub\eaglep3\Utilities\RefineRTDCRunTimes.py" --tripid 820-05 --locoid 4001 --swversion DE.1.0.9.0 --startMP 300:58649 --initTime 2017-07-05T12:36:13 --startdatetime 2017-07-05T12:38:52 --delay 1 --endMP 204:699 --enddatetime 2017-07-05T12:54:27 --enforcementcount 0 &gt;&gt;C:\Users\stu\Documents\GitHub\eaglep3-reporting\EC\2017-07-05-refined-times.txt</v>
      </c>
      <c r="AI179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{"issue":{"subject":"","project_id":79,"tracker_id":40,"status_id":1,"priority_id":2,"assigned_to_id":23,"start_date":"2017-07-05","description":"","custom_fields":[{"id":1,"name":"Subdivision","value":"NW"},{"id":4,"name":"Milepost","value":"0.0699"},{"id":17,"name":"Train ID","value":"820-05"},{"id":16,"name":"Locomotive ID","value":"4001"},{"id":130,"name":"Impact","value":""},{"id":150,"name":"Time of Event (Mountain Time)","value":"12:54:27"},{"id":151,"name":"Denver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8"/>
        <v>start /low /b %USERPROFILE%\Documents\GitHub\eaglep3\Utilities\DownloadLogsFromS3.py --loco 4001 --day 2017-07-05</v>
      </c>
      <c r="AN179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738</v>
      </c>
      <c r="B180" s="7">
        <v>4002</v>
      </c>
      <c r="C180" s="21" t="s">
        <v>202</v>
      </c>
      <c r="D180" s="21" t="s">
        <v>989</v>
      </c>
      <c r="E180" s="13">
        <v>42921.549849537034</v>
      </c>
      <c r="F180" s="13">
        <v>42921.556527777779</v>
      </c>
      <c r="G180" s="7">
        <v>1</v>
      </c>
      <c r="H180" s="21" t="s">
        <v>565</v>
      </c>
      <c r="I180" s="13">
        <v>42921.566712962966</v>
      </c>
      <c r="J180" s="7">
        <v>0</v>
      </c>
      <c r="K180" s="89" t="str">
        <f t="shared" si="60"/>
        <v>4001/4002</v>
      </c>
      <c r="L180" s="21" t="str">
        <f>VLOOKUP(A180,'Trips&amp;Operators'!$C$1:$G$99999,5,FALSE)</f>
        <v>LEVERE CRAIG</v>
      </c>
      <c r="M180" s="6">
        <f t="shared" si="61"/>
        <v>1.0185185186855961E-2</v>
      </c>
      <c r="N180" s="7">
        <f t="shared" si="62"/>
        <v>14.666666669072583</v>
      </c>
      <c r="O180" s="7"/>
      <c r="P180" s="7"/>
      <c r="Q180" s="22"/>
      <c r="R180" s="170"/>
      <c r="S180" s="213">
        <f t="shared" si="82"/>
        <v>1</v>
      </c>
      <c r="T180" s="195" t="str">
        <f t="shared" si="63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4"/>
        <v>https://d0f6bd738d7f1b3e5a7ca70fe4ff75f0.us-east-1.aws.found.io/app/kibana#/discover/Steve-Slow-Train-Analysis-(2080s-and-2083s)?_g=(refreshInterval:(display:Off,pause:!f,section:0,value:0),time:(from:'2017-07-05T12:11:47-0600',mode:absolute,to:'2017-07-05T14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197" t="str">
        <f>IF(AA180&lt;VLOOKUP(AG180,Variables!$AC$3:$AD$8,2,FALSE),"Y","N")</f>
        <v>N</v>
      </c>
      <c r="X180" s="197">
        <f t="shared" si="81"/>
        <v>1</v>
      </c>
      <c r="Y180" s="197">
        <f t="shared" si="79"/>
        <v>0.1009</v>
      </c>
      <c r="Z180" s="197">
        <f t="shared" si="80"/>
        <v>5.8963000000000001</v>
      </c>
      <c r="AA180" s="197">
        <f t="shared" si="67"/>
        <v>5.7953999999999999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8"/>
        <v>821</v>
      </c>
      <c r="AE180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80" s="74" t="str">
        <f t="shared" si="70"/>
        <v>"C:\Program Files (x86)\AstroGrep\AstroGrep.exe" /e /r /s /spath="%USERPROFILE%\AppData\Local\Temp\OnboardLogs" /stypes="app*4002*20170705*" /stext=" 19:.+((SYSTEM_STATE.+slice.+state.+changed )|(ment ac)|(multiple cpu faults)|(system.+state.+changed )|(\[timeout)|(PRM\|1\|D)|(kpr)|(kdp)|(train st.+moving)|(\|lc)|(penalty))"</v>
      </c>
      <c r="AG180" s="209" t="str">
        <f t="shared" si="71"/>
        <v>NW</v>
      </c>
      <c r="AH180" s="78" t="str">
        <f t="shared" si="56"/>
        <v>"%USERPROFILE%\Documents\GitHub\eaglep3\Utilities\RefineRTDCRunTimes.py" --tripid 821-05 --locoid 4002 --swversion DE.1.0.9.0 --startMP 204:1009 --initTime 2017-07-05T13:11:47 --startdatetime 2017-07-05T13:21:24 --delay 1 --endMP 300:58963 --enddatetime 2017-07-05T13:36:04 --enforcementcount 0 &gt;&gt;C:\Users\stu\Documents\GitHub\eaglep3-reporting\EC\2017-07-05-refined-times.txt</v>
      </c>
      <c r="AI180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{"issue":{"subject":"","project_id":79,"tracker_id":40,"status_id":1,"priority_id":2,"assigned_to_id":23,"start_date":"2017-07-05","description":"","custom_fields":[{"id":1,"name":"Subdivision","value":"NW"},{"id":4,"name":"Milepost","value":"5.8963"},{"id":17,"name":"Train ID","value":"821-05"},{"id":16,"name":"Locomotive ID","value":"4002"},{"id":130,"name":"Impact","value":""},{"id":150,"name":"Time of Event (Mountain Time)","value":"13:36:04"},{"id":151,"name":"Denver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8"/>
        <v>start /low /b %USERPROFILE%\Documents\GitHub\eaglep3\Utilities\DownloadLogsFromS3.py --loco 4002 --day 2017-07-05</v>
      </c>
      <c r="AN180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741</v>
      </c>
      <c r="B181" s="7">
        <v>4001</v>
      </c>
      <c r="C181" s="21" t="s">
        <v>202</v>
      </c>
      <c r="D181" s="21" t="s">
        <v>562</v>
      </c>
      <c r="E181" s="13">
        <v>42921.567824074074</v>
      </c>
      <c r="F181" s="13">
        <v>42921.56962962963</v>
      </c>
      <c r="G181" s="7">
        <v>1</v>
      </c>
      <c r="H181" s="21" t="s">
        <v>988</v>
      </c>
      <c r="I181" s="13">
        <v>42921.580138888887</v>
      </c>
      <c r="J181" s="7">
        <v>0</v>
      </c>
      <c r="K181" s="89" t="str">
        <f t="shared" si="60"/>
        <v>4001/4002</v>
      </c>
      <c r="L181" s="21" t="str">
        <f>VLOOKUP(A181,'Trips&amp;Operators'!$C$1:$G$99999,5,FALSE)</f>
        <v>LEVERE CRAIG</v>
      </c>
      <c r="M181" s="6">
        <f t="shared" si="61"/>
        <v>1.0509259256650694E-2</v>
      </c>
      <c r="N181" s="7">
        <f t="shared" si="62"/>
        <v>15.133333329576999</v>
      </c>
      <c r="O181" s="7"/>
      <c r="P181" s="7"/>
      <c r="Q181" s="22"/>
      <c r="R181" s="170"/>
      <c r="S181" s="213">
        <f t="shared" si="82"/>
        <v>1</v>
      </c>
      <c r="T181" s="195" t="str">
        <f t="shared" si="63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4"/>
        <v>https://d0f6bd738d7f1b3e5a7ca70fe4ff75f0.us-east-1.aws.found.io/app/kibana#/discover/Steve-Slow-Train-Analysis-(2080s-and-2083s)?_g=(refreshInterval:(display:Off,pause:!f,section:0,value:0),time:(from:'2017-07-05T12:37:40-0600',mode:absolute,to:'2017-07-05T14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197" t="str">
        <f>IF(AA181&lt;VLOOKUP(AG181,Variables!$AC$3:$AD$8,2,FALSE),"Y","N")</f>
        <v>N</v>
      </c>
      <c r="X181" s="197">
        <f t="shared" si="81"/>
        <v>1</v>
      </c>
      <c r="Y181" s="197">
        <f t="shared" si="79"/>
        <v>5.8635999999999999</v>
      </c>
      <c r="Z181" s="197">
        <f t="shared" si="80"/>
        <v>6.9900000000000004E-2</v>
      </c>
      <c r="AA181" s="197">
        <f t="shared" si="67"/>
        <v>5.7937000000000003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8"/>
        <v>822</v>
      </c>
      <c r="AE181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81" s="74" t="str">
        <f t="shared" si="70"/>
        <v>"C:\Program Files (x86)\AstroGrep\AstroGrep.exe" /e /r /s /spath="%USERPROFILE%\AppData\Local\Temp\OnboardLogs" /stypes="app*4001*20170705*" /stext=" 19:.+((SYSTEM_STATE.+slice.+state.+changed )|(ment ac)|(multiple cpu faults)|(system.+state.+changed )|(\[timeout)|(PRM\|1\|D)|(kpr)|(kdp)|(train st.+moving)|(\|lc)|(penalty))"</v>
      </c>
      <c r="AG181" s="209" t="str">
        <f t="shared" si="71"/>
        <v>NW</v>
      </c>
      <c r="AH181" s="78" t="str">
        <f t="shared" si="56"/>
        <v>"%USERPROFILE%\Documents\GitHub\eaglep3\Utilities\RefineRTDCRunTimes.py" --tripid 822-05 --locoid 4001 --swversion DE.1.0.9.0 --startMP 300:58636 --initTime 2017-07-05T13:37:40 --startdatetime 2017-07-05T13:40:16 --delay 1 --endMP 204:699 --enddatetime 2017-07-05T13:55:24 --enforcementcount 0 &gt;&gt;C:\Users\stu\Documents\GitHub\eaglep3-reporting\EC\2017-07-05-refined-times.txt</v>
      </c>
      <c r="AI181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{"issue":{"subject":"","project_id":79,"tracker_id":40,"status_id":1,"priority_id":2,"assigned_to_id":23,"start_date":"2017-07-05","description":"","custom_fields":[{"id":1,"name":"Subdivision","value":"NW"},{"id":4,"name":"Milepost","value":"0.0699"},{"id":17,"name":"Train ID","value":"822-05"},{"id":16,"name":"Locomotive ID","value":"4001"},{"id":130,"name":"Impact","value":""},{"id":150,"name":"Time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8"/>
        <v>start /low /b %USERPROFILE%\Documents\GitHub\eaglep3\Utilities\DownloadLogsFromS3.py --loco 4001 --day 2017-07-05</v>
      </c>
      <c r="AN181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744</v>
      </c>
      <c r="B182" s="7">
        <v>4002</v>
      </c>
      <c r="C182" s="21" t="s">
        <v>202</v>
      </c>
      <c r="D182" s="21" t="s">
        <v>990</v>
      </c>
      <c r="E182" s="13">
        <v>42921.59034722222</v>
      </c>
      <c r="F182" s="13">
        <v>42921.598124999997</v>
      </c>
      <c r="G182" s="7">
        <v>1</v>
      </c>
      <c r="H182" s="21" t="s">
        <v>440</v>
      </c>
      <c r="I182" s="13">
        <v>42921.60869212963</v>
      </c>
      <c r="J182" s="7">
        <v>0</v>
      </c>
      <c r="K182" s="89" t="str">
        <f t="shared" si="60"/>
        <v>4001/4002</v>
      </c>
      <c r="L182" s="21" t="str">
        <f>VLOOKUP(A182,'Trips&amp;Operators'!$C$1:$G$99999,5,FALSE)</f>
        <v>LEVERE CRAIG</v>
      </c>
      <c r="M182" s="6">
        <f t="shared" si="61"/>
        <v>1.0567129633272998E-2</v>
      </c>
      <c r="N182" s="7">
        <f t="shared" si="62"/>
        <v>15.216666671913117</v>
      </c>
      <c r="O182" s="7"/>
      <c r="P182" s="7"/>
      <c r="Q182" s="22"/>
      <c r="R182" s="170"/>
      <c r="S182" s="213">
        <f t="shared" si="82"/>
        <v>1</v>
      </c>
      <c r="T182" s="195" t="str">
        <f t="shared" si="63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4"/>
        <v>https://d0f6bd738d7f1b3e5a7ca70fe4ff75f0.us-east-1.aws.found.io/app/kibana#/discover/Steve-Slow-Train-Analysis-(2080s-and-2083s)?_g=(refreshInterval:(display:Off,pause:!f,section:0,value:0),time:(from:'2017-07-05T13:10:06-0600',mode:absolute,to:'2017-07-05T15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197" t="str">
        <f>IF(AA182&lt;VLOOKUP(AG182,Variables!$AC$3:$AD$8,2,FALSE),"Y","N")</f>
        <v>N</v>
      </c>
      <c r="X182" s="197">
        <f t="shared" si="81"/>
        <v>1</v>
      </c>
      <c r="Y182" s="197">
        <f t="shared" si="79"/>
        <v>9.8100000000000007E-2</v>
      </c>
      <c r="Z182" s="197">
        <f t="shared" si="80"/>
        <v>5.8948</v>
      </c>
      <c r="AA182" s="197">
        <f t="shared" si="67"/>
        <v>5.7967000000000004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8"/>
        <v>823</v>
      </c>
      <c r="AE182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82" s="74" t="str">
        <f t="shared" si="70"/>
        <v>"C:\Program Files (x86)\AstroGrep\AstroGrep.exe" /e /r /s /spath="%USERPROFILE%\AppData\Local\Temp\OnboardLogs" /stypes="app*4002*20170705*" /stext=" 20:.+((SYSTEM_STATE.+slice.+state.+changed )|(ment ac)|(multiple cpu faults)|(system.+state.+changed )|(\[timeout)|(PRM\|1\|D)|(kpr)|(kdp)|(train st.+moving)|(\|lc)|(penalty))"</v>
      </c>
      <c r="AG182" s="209" t="str">
        <f t="shared" si="71"/>
        <v>NW</v>
      </c>
      <c r="AH182" s="78" t="str">
        <f t="shared" si="56"/>
        <v>"%USERPROFILE%\Documents\GitHub\eaglep3\Utilities\RefineRTDCRunTimes.py" --tripid 823-05 --locoid 4002 --swversion DE.1.0.9.0 --startMP 204:981 --initTime 2017-07-05T14:10:06 --startdatetime 2017-07-05T14:21:18 --delay 1 --endMP 300:58948 --enddatetime 2017-07-05T14:36:31 --enforcementcount 0 &gt;&gt;C:\Users\stu\Documents\GitHub\eaglep3-reporting\EC\2017-07-05-refined-times.txt</v>
      </c>
      <c r="AI182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{"issue":{"subject":"","project_id":79,"tracker_id":40,"status_id":1,"priority_id":2,"assigned_to_id":23,"start_date":"2017-07-05","description":"","custom_fields":[{"id":1,"name":"Subdivision","value":"NW"},{"id":4,"name":"Milepost","value":"5.8948"},{"id":17,"name":"Train ID","value":"823-05"},{"id":16,"name":"Locomotive ID","value":"4002"},{"id":130,"name":"Impact","value":""},{"id":150,"name":"Time of Event (Mountain Time)","value":"14:36:31"},{"id":151,"name":"Denver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8"/>
        <v>start /low /b %USERPROFILE%\Documents\GitHub\eaglep3\Utilities\DownloadLogsFromS3.py --loco 4002 --day 2017-07-05</v>
      </c>
      <c r="AN182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748</v>
      </c>
      <c r="B183" s="7">
        <v>4001</v>
      </c>
      <c r="C183" s="21" t="s">
        <v>202</v>
      </c>
      <c r="D183" s="21" t="s">
        <v>492</v>
      </c>
      <c r="E183" s="13">
        <v>42921.609618055554</v>
      </c>
      <c r="F183" s="13">
        <v>42921.611226851855</v>
      </c>
      <c r="G183" s="7">
        <v>1</v>
      </c>
      <c r="H183" s="21" t="s">
        <v>991</v>
      </c>
      <c r="I183" s="13">
        <v>42921.638819444444</v>
      </c>
      <c r="J183" s="7">
        <v>0</v>
      </c>
      <c r="K183" s="89" t="str">
        <f t="shared" si="60"/>
        <v>4001/4002</v>
      </c>
      <c r="L183" s="21" t="str">
        <f>VLOOKUP(A183,'Trips&amp;Operators'!$C$1:$G$99999,5,FALSE)</f>
        <v>LEVERE CRAIG</v>
      </c>
      <c r="M183" s="6">
        <f t="shared" si="61"/>
        <v>2.7592592588916887E-2</v>
      </c>
      <c r="N183" s="7"/>
      <c r="O183" s="7"/>
      <c r="P183" s="7">
        <f>24*60*SUM($M183:$M183)</f>
        <v>39.733333328040317</v>
      </c>
      <c r="Q183" s="22"/>
      <c r="R183" s="170" t="s">
        <v>1051</v>
      </c>
      <c r="S183" s="213">
        <f t="shared" si="82"/>
        <v>0</v>
      </c>
      <c r="T183" s="195" t="str">
        <f t="shared" si="63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96" t="str">
        <f t="shared" si="64"/>
        <v>https://d0f6bd738d7f1b3e5a7ca70fe4ff75f0.us-east-1.aws.found.io/app/kibana#/discover/Steve-Slow-Train-Analysis-(2080s-and-2083s)?_g=(refreshInterval:(display:Off,pause:!f,section:0,value:0),time:(from:'2017-07-05T13:37:51-0600',mode:absolute,to:'2017-07-05T16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197" t="str">
        <f>IF(AA183&lt;VLOOKUP(AG183,Variables!$AC$3:$AD$8,2,FALSE),"Y","N")</f>
        <v>Y</v>
      </c>
      <c r="X183" s="197">
        <f t="shared" si="81"/>
        <v>1</v>
      </c>
      <c r="Y183" s="197">
        <f t="shared" si="79"/>
        <v>5.8628</v>
      </c>
      <c r="Z183" s="197">
        <f t="shared" si="80"/>
        <v>1.8293999999999999</v>
      </c>
      <c r="AA183" s="197">
        <f t="shared" si="67"/>
        <v>4.0334000000000003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8"/>
        <v>824</v>
      </c>
      <c r="AE183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83" s="74" t="str">
        <f t="shared" si="70"/>
        <v>"C:\Program Files (x86)\AstroGrep\AstroGrep.exe" /e /r /s /spath="%USERPROFILE%\AppData\Local\Temp\OnboardLogs" /stypes="app*4001*20170705*" /stext=" 21:.+((SYSTEM_STATE.+slice.+state.+changed )|(ment ac)|(multiple cpu faults)|(system.+state.+changed )|(\[timeout)|(PRM\|1\|D)|(kpr)|(kdp)|(train st.+moving)|(\|lc)|(penalty))"</v>
      </c>
      <c r="AG183" s="209" t="str">
        <f t="shared" si="71"/>
        <v>NW</v>
      </c>
      <c r="AH183" s="78" t="str">
        <f t="shared" si="56"/>
        <v>"%USERPROFILE%\Documents\GitHub\eaglep3\Utilities\RefineRTDCRunTimes.py" --tripid 824-05 --locoid 4001 --swversion DE.1.0.9.0 --startMP 300:58628 --initTime 2017-07-05T14:37:51 --startdatetime 2017-07-05T14:40:10 --delay 1 --endMP 300:18294 --enddatetime 2017-07-05T15:19:54 --enforcementcount 0 &gt;&gt;C:\Users\stu\Documents\GitHub\eaglep3-reporting\EC\2017-07-05-refined-times.txt</v>
      </c>
      <c r="AI183" s="96" t="str">
        <f t="shared" si="57"/>
        <v>echo {"issue":{"subject":"Delayed at Pecos 6S, CRMFM 2S, cut out Argo 4S due to PTC 1500 ft behavior","project_id":79,"tracker_id":40,"status_id":1,"priority_id":2,"assigned_to_id":23,"start_date":"2017-07-05","description":"","custom_fields":[{"id":1,"name":"Subdivision","value":"NW"},{"id":4,"name":"Milepost","value":"1.8294"},{"id":17,"name":"Train ID","value":"824-05"},{"id":16,"name":"Locomotive ID","value":"4001"},{"id":130,"name":"Impact","value":""},{"id":150,"name":"Time of Event (Mountain Time)","value":"15:19:54"},{"id":151,"name":"Denver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8"/>
        <v>start /low /b %USERPROFILE%\Documents\GitHub\eaglep3\Utilities\DownloadLogsFromS3.py --loco 4001 --day 2017-07-05</v>
      </c>
      <c r="AN183" s="151" t="str">
        <f t="shared" si="59"/>
        <v>echo {"issue":{"subject":"Delayed at Pecos 6S, CRMFM 2S, cut out Argo 4S due to PTC 1500 ft behavior","project_id":30,"tracker_id":4,"status_id":1,"priority_id":1,"assigned_to_id":10,"start_date":"2017-07-05","description":"","custom_fields":[{"id":30,"name":"Category","value":"Issue"},{"id":3,"name":"Functional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756</v>
      </c>
      <c r="B184" s="7">
        <v>4002</v>
      </c>
      <c r="C184" s="21" t="s">
        <v>202</v>
      </c>
      <c r="D184" s="21" t="s">
        <v>992</v>
      </c>
      <c r="E184" s="13">
        <v>42921.64508101852</v>
      </c>
      <c r="F184" s="13">
        <v>42921.646585648145</v>
      </c>
      <c r="G184" s="7">
        <v>1</v>
      </c>
      <c r="H184" s="21" t="s">
        <v>454</v>
      </c>
      <c r="I184" s="13">
        <v>42921.656990740739</v>
      </c>
      <c r="J184" s="7">
        <v>0</v>
      </c>
      <c r="K184" s="89" t="str">
        <f t="shared" si="60"/>
        <v>4001/4002</v>
      </c>
      <c r="L184" s="21" t="str">
        <f>VLOOKUP(A184,'Trips&amp;Operators'!$C$1:$G$99999,5,FALSE)</f>
        <v>LEVERE CRAIG</v>
      </c>
      <c r="M184" s="6">
        <f t="shared" si="61"/>
        <v>1.0405092594737653E-2</v>
      </c>
      <c r="N184" s="7">
        <f>24*60*SUM($M184:$M184)</f>
        <v>14.98333333642222</v>
      </c>
      <c r="O184" s="7"/>
      <c r="P184" s="7"/>
      <c r="Q184" s="22"/>
      <c r="R184" s="170"/>
      <c r="S184" s="213">
        <f t="shared" si="82"/>
        <v>1</v>
      </c>
      <c r="T184" s="195" t="str">
        <f t="shared" si="63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4"/>
        <v>https://d0f6bd738d7f1b3e5a7ca70fe4ff75f0.us-east-1.aws.found.io/app/kibana#/discover/Steve-Slow-Train-Analysis-(2080s-and-2083s)?_g=(refreshInterval:(display:Off,pause:!f,section:0,value:0),time:(from:'2017-07-05T14:28:55-0600',mode:absolute,to:'2017-07-05T16:46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197" t="str">
        <f>IF(AA184&lt;VLOOKUP(AG184,Variables!$AC$3:$AD$8,2,FALSE),"Y","N")</f>
        <v>N</v>
      </c>
      <c r="X184" s="197">
        <f t="shared" si="81"/>
        <v>1</v>
      </c>
      <c r="Y184" s="197">
        <f t="shared" si="79"/>
        <v>9.7900000000000001E-2</v>
      </c>
      <c r="Z184" s="197">
        <f t="shared" si="80"/>
        <v>5.8944000000000001</v>
      </c>
      <c r="AA184" s="197">
        <f t="shared" si="67"/>
        <v>5.7965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8"/>
        <v>825</v>
      </c>
      <c r="AE184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84" s="74" t="str">
        <f t="shared" si="70"/>
        <v>"C:\Program Files (x86)\AstroGrep\AstroGrep.exe" /e /r /s /spath="%USERPROFILE%\AppData\Local\Temp\OnboardLogs" /stypes="app*4002*20170705*" /stext=" 21:.+((SYSTEM_STATE.+slice.+state.+changed )|(ment ac)|(multiple cpu faults)|(system.+state.+changed )|(\[timeout)|(PRM\|1\|D)|(kpr)|(kdp)|(train st.+moving)|(\|lc)|(penalty))"</v>
      </c>
      <c r="AG184" s="209" t="str">
        <f t="shared" si="71"/>
        <v>NW</v>
      </c>
      <c r="AH184" s="78" t="str">
        <f t="shared" si="56"/>
        <v>"%USERPROFILE%\Documents\GitHub\eaglep3\Utilities\RefineRTDCRunTimes.py" --tripid 825-05 --locoid 4002 --swversion DE.1.0.9.0 --startMP 204:979 --initTime 2017-07-05T15:28:55 --startdatetime 2017-07-05T15:31:05 --delay 1 --endMP 300:58944 --enddatetime 2017-07-05T15:46:04 --enforcementcount 0 &gt;&gt;C:\Users\stu\Documents\GitHub\eaglep3-reporting\EC\2017-07-05-refined-times.txt</v>
      </c>
      <c r="AI184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{"issue":{"subject":"","project_id":79,"tracker_id":40,"status_id":1,"priority_id":2,"assigned_to_id":23,"start_date":"2017-07-05","description":"","custom_fields":[{"id":1,"name":"Subdivision","value":"NW"},{"id":4,"name":"Milepost","value":"5.8944"},{"id":17,"name":"Train ID","value":"825-05"},{"id":16,"name":"Locomotive ID","value":"4002"},{"id":130,"name":"Impact","value":""},{"id":150,"name":"Time of Event (Mountain Time)","value":"15:46:04"},{"id":151,"name":"Denver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8"/>
        <v>start /low /b %USERPROFILE%\Documents\GitHub\eaglep3\Utilities\DownloadLogsFromS3.py --loco 4002 --day 2017-07-05</v>
      </c>
      <c r="AN184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21:46:04"},{"id":29,"name":"Sharepoint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760</v>
      </c>
      <c r="B185" s="7">
        <v>4001</v>
      </c>
      <c r="C185" s="21" t="s">
        <v>202</v>
      </c>
      <c r="D185" s="21" t="s">
        <v>992</v>
      </c>
      <c r="E185" s="13">
        <v>42921.64508101852</v>
      </c>
      <c r="F185" s="13">
        <v>42921.657638888886</v>
      </c>
      <c r="G185" s="7">
        <v>1</v>
      </c>
      <c r="H185" s="21" t="s">
        <v>454</v>
      </c>
      <c r="I185" s="13">
        <v>42921.658333333333</v>
      </c>
      <c r="J185" s="7">
        <v>0</v>
      </c>
      <c r="K185" s="89" t="str">
        <f t="shared" si="60"/>
        <v>4001/4002</v>
      </c>
      <c r="L185" s="21" t="str">
        <f>VLOOKUP(A185,'Trips&amp;Operators'!$C$1:$G$99999,5,FALSE)</f>
        <v>LEVERE CRAIG</v>
      </c>
      <c r="M185" s="6">
        <f t="shared" si="61"/>
        <v>6.944444467080757E-4</v>
      </c>
      <c r="N185" s="7"/>
      <c r="O185" s="7"/>
      <c r="P185" s="7">
        <f>24*60*SUM($M185:$M185)</f>
        <v>1.000000003259629</v>
      </c>
      <c r="Q185" s="22"/>
      <c r="R185" s="170" t="s">
        <v>457</v>
      </c>
      <c r="S185" s="213">
        <f t="shared" si="82"/>
        <v>0</v>
      </c>
      <c r="T185" s="195" t="str">
        <f t="shared" si="63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96" t="str">
        <f t="shared" si="64"/>
        <v>https://d0f6bd738d7f1b3e5a7ca70fe4ff75f0.us-east-1.aws.found.io/app/kibana#/discover/Steve-Slow-Train-Analysis-(2080s-and-2083s)?_g=(refreshInterval:(display:Off,pause:!f,section:0,value:0),time:(from:'2017-07-05T14:28:55-0600',mode:absolute,to:'2017-07-05T16:48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197" t="str">
        <f>IF(AA185&lt;VLOOKUP(AG185,Variables!$AC$3:$AD$8,2,FALSE),"Y","N")</f>
        <v>N</v>
      </c>
      <c r="X185" s="197">
        <f t="shared" ref="X185:X189" si="83">VALUE(LEFT(AD185,4))-VALUE(LEFT(AD184,4))</f>
        <v>1</v>
      </c>
      <c r="Y185" s="197">
        <f t="shared" si="79"/>
        <v>9.7900000000000001E-2</v>
      </c>
      <c r="Z185" s="197">
        <f t="shared" si="80"/>
        <v>5.8944000000000001</v>
      </c>
      <c r="AA185" s="197">
        <f t="shared" si="67"/>
        <v>5.7965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8"/>
        <v>826</v>
      </c>
      <c r="AE185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85" s="74" t="str">
        <f t="shared" si="70"/>
        <v>"C:\Program Files (x86)\AstroGrep\AstroGrep.exe" /e /r /s /spath="%USERPROFILE%\AppData\Local\Temp\OnboardLogs" /stypes="app*4001*20170705*" /stext=" 21:.+((SYSTEM_STATE.+slice.+state.+changed )|(ment ac)|(multiple cpu faults)|(system.+state.+changed )|(\[timeout)|(PRM\|1\|D)|(kpr)|(kdp)|(train st.+moving)|(\|lc)|(penalty))"</v>
      </c>
      <c r="AG185" s="209" t="str">
        <f t="shared" si="71"/>
        <v>NW</v>
      </c>
      <c r="AH185" s="78" t="str">
        <f t="shared" ref="AH185" si="84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826-05 --locoid 4001 --swversion DE.1.0.9.0 --startMP 204:979 --initTime 2017-07-05T15:28:55 --startdatetime 2017-07-05T15:47:00 --delay 1 --endMP 300:58944 --enddatetime 2017-07-05T15:48:00 --enforcementcount 0 &gt;&gt;C:\Users\stu\Documents\GitHub\eaglep3-reporting\EC\2017-07-05-refined-times.txt</v>
      </c>
      <c r="AI185" s="96" t="str">
        <f t="shared" ref="AI185" si="85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failure","project_id":79,"tracker_id":40,"status_id":1,"priority_id":2,"assigned_to_id":23,"start_date":"2017-07-05","description":"","custom_fields":[{"id":1,"name":"Subdivision","value":"NW"},{"id":4,"name":"Milepost","value":"5.8944"},{"id":17,"name":"Train ID","value":"826-05"},{"id":16,"name":"Locomotive ID","value":"4001"},{"id":130,"name":"Impact","value":""},{"id":150,"name":"Time of Event (Mountain Time)","value":"15:48:00"},{"id":151,"name":"Denver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ref="AM185" si="86">"start /low /b "&amp;dls3logs&amp;" --loco "&amp;B185&amp;" --day "&amp;TEXT(F185,"YYYY-MM-DD")</f>
        <v>start /low /b %USERPROFILE%\Documents\GitHub\eaglep3\Utilities\DownloadLogsFromS3.py --loco 4001 --day 2017-07-05</v>
      </c>
      <c r="AN185" s="151" t="str">
        <f t="shared" ref="AN185" si="87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21:48:00"},{"id":29,"name":"Sharepoint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761</v>
      </c>
      <c r="B186" s="7">
        <v>4026</v>
      </c>
      <c r="C186" s="21" t="s">
        <v>202</v>
      </c>
      <c r="D186" s="21" t="s">
        <v>993</v>
      </c>
      <c r="E186" s="13">
        <v>42921.659201388888</v>
      </c>
      <c r="F186" s="13">
        <v>42921.661203703705</v>
      </c>
      <c r="G186" s="7">
        <v>1</v>
      </c>
      <c r="H186" s="21" t="s">
        <v>508</v>
      </c>
      <c r="I186" s="13">
        <v>42921.67287037037</v>
      </c>
      <c r="J186" s="7">
        <v>0</v>
      </c>
      <c r="K186" s="89" t="str">
        <f t="shared" si="60"/>
        <v>4025/4026</v>
      </c>
      <c r="L186" s="21" t="str">
        <f>VLOOKUP(A186,'Trips&amp;Operators'!$C$1:$G$99999,5,FALSE)</f>
        <v>STAMBAUGH JAMES</v>
      </c>
      <c r="M186" s="6">
        <f t="shared" si="61"/>
        <v>1.1666666665405501E-2</v>
      </c>
      <c r="N186" s="7">
        <f t="shared" ref="N186:N217" si="88">24*60*SUM($M186:$M186)</f>
        <v>16.799999998183921</v>
      </c>
      <c r="O186" s="7"/>
      <c r="P186" s="7"/>
      <c r="Q186" s="22"/>
      <c r="R186" s="170"/>
      <c r="S186" s="213">
        <f t="shared" si="82"/>
        <v>1</v>
      </c>
      <c r="T186" s="195" t="str">
        <f t="shared" si="63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4"/>
        <v>https://d0f6bd738d7f1b3e5a7ca70fe4ff75f0.us-east-1.aws.found.io/app/kibana#/discover/Steve-Slow-Train-Analysis-(2080s-and-2083s)?_g=(refreshInterval:(display:Off,pause:!f,section:0,value:0),time:(from:'2017-07-05T14:49:15-0600',mode:absolute,to:'2017-07-05T17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197" t="str">
        <f>IF(AA186&lt;VLOOKUP(AG186,Variables!$AC$3:$AD$8,2,FALSE),"Y","N")</f>
        <v>N</v>
      </c>
      <c r="X186" s="197">
        <f t="shared" si="83"/>
        <v>1</v>
      </c>
      <c r="Y186" s="197">
        <f t="shared" si="79"/>
        <v>9.6000000000000002E-2</v>
      </c>
      <c r="Z186" s="197">
        <f t="shared" si="80"/>
        <v>5.8936999999999999</v>
      </c>
      <c r="AA186" s="197">
        <f t="shared" si="67"/>
        <v>5.7976999999999999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8"/>
        <v>827</v>
      </c>
      <c r="AE186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86" s="74" t="str">
        <f t="shared" si="70"/>
        <v>"C:\Program Files (x86)\AstroGrep\AstroGrep.exe" /e /r /s /spath="%USERPROFILE%\AppData\Local\Temp\OnboardLogs" /stypes="app*4026*20170705*" /stext=" 22:.+((SYSTEM_STATE.+slice.+state.+changed )|(ment ac)|(multiple cpu faults)|(system.+state.+changed )|(\[timeout)|(PRM\|1\|D)|(kpr)|(kdp)|(train st.+moving)|(\|lc)|(penalty))"</v>
      </c>
      <c r="AG186" s="209" t="str">
        <f t="shared" si="71"/>
        <v>NW</v>
      </c>
      <c r="AH186" s="78" t="str">
        <f t="shared" si="56"/>
        <v>"%USERPROFILE%\Documents\GitHub\eaglep3\Utilities\RefineRTDCRunTimes.py" --tripid 827-05 --locoid 4026 --swversion DE.1.0.9.0 --startMP 204:960 --initTime 2017-07-05T15:49:15 --startdatetime 2017-07-05T15:52:08 --delay 1 --endMP 300:58937 --enddatetime 2017-07-05T16:08:56 --enforcementcount 0 &gt;&gt;C:\Users\stu\Documents\GitHub\eaglep3-reporting\EC\2017-07-05-refined-times.txt</v>
      </c>
      <c r="AI186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{"issue":{"subject":"","project_id":79,"tracker_id":40,"status_id":1,"priority_id":2,"assigned_to_id":23,"start_date":"2017-07-05","description":"","custom_fields":[{"id":1,"name":"Subdivision","value":"NW"},{"id":4,"name":"Milepost","value":"5.8937"},{"id":17,"name":"Train ID","value":"827-05"},{"id":16,"name":"Locomotive ID","value":"4026"},{"id":130,"name":"Impact","value":""},{"id":150,"name":"Time of Event (Mountain Time)","value":"16:08:56"},{"id":151,"name":"Denver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8"/>
        <v>start /low /b %USERPROFILE%\Documents\GitHub\eaglep3\Utilities\DownloadLogsFromS3.py --loco 4026 --day 2017-07-05</v>
      </c>
      <c r="AN186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613</v>
      </c>
      <c r="B187" s="7">
        <v>4025</v>
      </c>
      <c r="C187" s="21" t="s">
        <v>202</v>
      </c>
      <c r="D187" s="21" t="s">
        <v>566</v>
      </c>
      <c r="E187" s="13">
        <v>42921.673784722225</v>
      </c>
      <c r="F187" s="13">
        <v>42921.675173611111</v>
      </c>
      <c r="G187" s="7">
        <v>1</v>
      </c>
      <c r="H187" s="21" t="s">
        <v>994</v>
      </c>
      <c r="I187" s="13">
        <v>42921.684837962966</v>
      </c>
      <c r="J187" s="7">
        <v>0</v>
      </c>
      <c r="K187" s="89" t="str">
        <f t="shared" si="60"/>
        <v>4025/4026</v>
      </c>
      <c r="L187" s="21" t="str">
        <f>VLOOKUP(A187,'Trips&amp;Operators'!$C$1:$G$99999,5,FALSE)</f>
        <v>STAMBAUGH JAMES</v>
      </c>
      <c r="M187" s="6">
        <f t="shared" si="61"/>
        <v>9.6643518554628827E-3</v>
      </c>
      <c r="N187" s="7">
        <f t="shared" si="88"/>
        <v>13.916666671866551</v>
      </c>
      <c r="O187" s="7"/>
      <c r="P187" s="7"/>
      <c r="Q187" s="22"/>
      <c r="R187" s="170"/>
      <c r="S187" s="213">
        <f t="shared" si="82"/>
        <v>1</v>
      </c>
      <c r="T187" s="195" t="str">
        <f t="shared" si="63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4"/>
        <v>https://d0f6bd738d7f1b3e5a7ca70fe4ff75f0.us-east-1.aws.found.io/app/kibana#/discover/Steve-Slow-Train-Analysis-(2080s-and-2083s)?_g=(refreshInterval:(display:Off,pause:!f,section:0,value:0),time:(from:'2017-07-05T15:10:15-0600',mode:absolute,to:'2017-07-05T17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97" t="str">
        <f>IF(AA187&lt;VLOOKUP(AG187,Variables!$AC$3:$AD$8,2,FALSE),"Y","N")</f>
        <v>N</v>
      </c>
      <c r="X187" s="197">
        <f t="shared" si="83"/>
        <v>1</v>
      </c>
      <c r="Y187" s="197">
        <f t="shared" si="79"/>
        <v>5.8625999999999996</v>
      </c>
      <c r="Z187" s="197">
        <f t="shared" si="80"/>
        <v>6.8500000000000005E-2</v>
      </c>
      <c r="AA187" s="197">
        <f t="shared" si="67"/>
        <v>5.7940999999999994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8"/>
        <v>828</v>
      </c>
      <c r="AE187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87" s="74" t="str">
        <f t="shared" si="70"/>
        <v>"C:\Program Files (x86)\AstroGrep\AstroGrep.exe" /e /r /s /spath="%USERPROFILE%\AppData\Local\Temp\OnboardLogs" /stypes="app*4025*20170705*" /stext=" 22:.+((SYSTEM_STATE.+slice.+state.+changed )|(ment ac)|(multiple cpu faults)|(system.+state.+changed )|(\[timeout)|(PRM\|1\|D)|(kpr)|(kdp)|(train st.+moving)|(\|lc)|(penalty))"</v>
      </c>
      <c r="AG187" s="209" t="str">
        <f t="shared" si="71"/>
        <v>NW</v>
      </c>
      <c r="AH187" s="78" t="str">
        <f t="shared" si="56"/>
        <v>"%USERPROFILE%\Documents\GitHub\eaglep3\Utilities\RefineRTDCRunTimes.py" --tripid 828-05 --locoid 4025 --swversion DE.1.0.9.0 --startMP 300:58626 --initTime 2017-07-05T16:10:15 --startdatetime 2017-07-05T16:12:15 --delay 1 --endMP 204:685 --enddatetime 2017-07-05T16:26:10 --enforcementcount 0 &gt;&gt;C:\Users\stu\Documents\GitHub\eaglep3-reporting\EC\2017-07-05-refined-times.txt</v>
      </c>
      <c r="AI187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{"issue":{"subject":"","project_id":79,"tracker_id":40,"status_id":1,"priority_id":2,"assigned_to_id":23,"start_date":"2017-07-05","description":"","custom_fields":[{"id":1,"name":"Subdivision","value":"NW"},{"id":4,"name":"Milepost","value":"0.0685"},{"id":17,"name":"Train ID","value":"828-05"},{"id":16,"name":"Locomotive ID","value":"4025"},{"id":130,"name":"Impact","value":""},{"id":150,"name":"Time of Event (Mountain Time)","value":"16:26:10"},{"id":151,"name":"Denver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8"/>
        <v>start /low /b %USERPROFILE%\Documents\GitHub\eaglep3\Utilities\DownloadLogsFromS3.py --loco 4025 --day 2017-07-05</v>
      </c>
      <c r="AN187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763</v>
      </c>
      <c r="B188" s="7">
        <v>4002</v>
      </c>
      <c r="C188" s="21" t="s">
        <v>202</v>
      </c>
      <c r="D188" s="21" t="s">
        <v>995</v>
      </c>
      <c r="E188" s="13">
        <v>42921.672777777778</v>
      </c>
      <c r="F188" s="13">
        <v>42921.681712962964</v>
      </c>
      <c r="G188" s="7">
        <v>1</v>
      </c>
      <c r="H188" s="21" t="s">
        <v>455</v>
      </c>
      <c r="I188" s="13">
        <v>42921.69253472222</v>
      </c>
      <c r="J188" s="7">
        <v>0</v>
      </c>
      <c r="K188" s="89" t="str">
        <f t="shared" si="60"/>
        <v>4001/4002</v>
      </c>
      <c r="L188" s="21" t="str">
        <f>VLOOKUP(A188,'Trips&amp;Operators'!$C$1:$G$99999,5,FALSE)</f>
        <v>LEVERE CRAIG</v>
      </c>
      <c r="M188" s="6">
        <f t="shared" si="61"/>
        <v>1.0821759256941732E-2</v>
      </c>
      <c r="N188" s="7">
        <f t="shared" si="88"/>
        <v>15.583333329996094</v>
      </c>
      <c r="O188" s="7"/>
      <c r="P188" s="7"/>
      <c r="Q188" s="22"/>
      <c r="R188" s="170"/>
      <c r="S188" s="213">
        <f t="shared" si="82"/>
        <v>1</v>
      </c>
      <c r="T188" s="195" t="str">
        <f t="shared" si="63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4"/>
        <v>https://d0f6bd738d7f1b3e5a7ca70fe4ff75f0.us-east-1.aws.found.io/app/kibana#/discover/Steve-Slow-Train-Analysis-(2080s-and-2083s)?_g=(refreshInterval:(display:Off,pause:!f,section:0,value:0),time:(from:'2017-07-05T15:08:48-0600',mode:absolute,to:'2017-07-05T17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8" s="197" t="str">
        <f>IF(AA188&lt;VLOOKUP(AG188,Variables!$AC$3:$AD$8,2,FALSE),"Y","N")</f>
        <v>N</v>
      </c>
      <c r="X188" s="197">
        <f t="shared" si="83"/>
        <v>1</v>
      </c>
      <c r="Y188" s="197">
        <f t="shared" si="79"/>
        <v>9.9000000000000005E-2</v>
      </c>
      <c r="Z188" s="197">
        <f t="shared" si="80"/>
        <v>5.8943000000000003</v>
      </c>
      <c r="AA188" s="197">
        <f t="shared" si="67"/>
        <v>5.7953000000000001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8"/>
        <v>829</v>
      </c>
      <c r="AE188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88" s="74" t="str">
        <f t="shared" si="70"/>
        <v>"C:\Program Files (x86)\AstroGrep\AstroGrep.exe" /e /r /s /spath="%USERPROFILE%\AppData\Local\Temp\OnboardLogs" /stypes="app*4002*20170705*" /stext=" 22:.+((SYSTEM_STATE.+slice.+state.+changed )|(ment ac)|(multiple cpu faults)|(system.+state.+changed )|(\[timeout)|(PRM\|1\|D)|(kpr)|(kdp)|(train st.+moving)|(\|lc)|(penalty))"</v>
      </c>
      <c r="AG188" s="209" t="str">
        <f t="shared" si="71"/>
        <v>NW</v>
      </c>
      <c r="AH188" s="78" t="str">
        <f t="shared" si="56"/>
        <v>"%USERPROFILE%\Documents\GitHub\eaglep3\Utilities\RefineRTDCRunTimes.py" --tripid 829-05 --locoid 4002 --swversion DE.1.0.9.0 --startMP 204:990 --initTime 2017-07-05T16:08:48 --startdatetime 2017-07-05T16:21:40 --delay 1 --endMP 300:58943 --enddatetime 2017-07-05T16:37:15 --enforcementcount 0 &gt;&gt;C:\Users\stu\Documents\GitHub\eaglep3-reporting\EC\2017-07-05-refined-times.txt</v>
      </c>
      <c r="AI188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{"issue":{"subject":"","project_id":79,"tracker_id":40,"status_id":1,"priority_id":2,"assigned_to_id":23,"start_date":"2017-07-05","description":"","custom_fields":[{"id":1,"name":"Subdivision","value":"NW"},{"id":4,"name":"Milepost","value":"5.8943"},{"id":17,"name":"Train ID","value":"829-05"},{"id":16,"name":"Locomotive ID","value":"4002"},{"id":130,"name":"Impact","value":""},{"id":150,"name":"Time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8"/>
        <v>start /low /b %USERPROFILE%\Documents\GitHub\eaglep3\Utilities\DownloadLogsFromS3.py --loco 4002 --day 2017-07-05</v>
      </c>
      <c r="AN188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765</v>
      </c>
      <c r="B189" s="7">
        <v>4001</v>
      </c>
      <c r="C189" s="21" t="s">
        <v>202</v>
      </c>
      <c r="D189" s="21" t="s">
        <v>996</v>
      </c>
      <c r="E189" s="13">
        <v>42921.693472222221</v>
      </c>
      <c r="F189" s="13">
        <v>42921.695185185185</v>
      </c>
      <c r="G189" s="7">
        <v>1</v>
      </c>
      <c r="H189" s="21" t="s">
        <v>997</v>
      </c>
      <c r="I189" s="13">
        <v>42921.706273148149</v>
      </c>
      <c r="J189" s="7">
        <v>0</v>
      </c>
      <c r="K189" s="89" t="str">
        <f t="shared" si="60"/>
        <v>4001/4002</v>
      </c>
      <c r="L189" s="21" t="str">
        <f>VLOOKUP(A189,'Trips&amp;Operators'!$C$1:$G$99999,5,FALSE)</f>
        <v>LEVERE CRAIG</v>
      </c>
      <c r="M189" s="6">
        <f t="shared" si="61"/>
        <v>1.1087962964666076E-2</v>
      </c>
      <c r="N189" s="7">
        <f t="shared" si="88"/>
        <v>15.966666669119149</v>
      </c>
      <c r="O189" s="7"/>
      <c r="P189" s="7"/>
      <c r="Q189" s="22"/>
      <c r="R189" s="170" t="s">
        <v>1055</v>
      </c>
      <c r="S189" s="213">
        <f t="shared" si="82"/>
        <v>1</v>
      </c>
      <c r="T189" s="195" t="str">
        <f t="shared" si="63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4"/>
        <v>https://d0f6bd738d7f1b3e5a7ca70fe4ff75f0.us-east-1.aws.found.io/app/kibana#/discover/Steve-Slow-Train-Analysis-(2080s-and-2083s)?_g=(refreshInterval:(display:Off,pause:!f,section:0,value:0),time:(from:'2017-07-05T15:38:36-0600',mode:absolute,to:'2017-07-05T17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9" s="197" t="str">
        <f>IF(AA189&lt;VLOOKUP(AG189,Variables!$AC$3:$AD$8,2,FALSE),"Y","N")</f>
        <v>N</v>
      </c>
      <c r="X189" s="197">
        <f t="shared" si="83"/>
        <v>1</v>
      </c>
      <c r="Y189" s="197">
        <f t="shared" ref="Y189:Y220" si="89">RIGHT(D189,LEN(D189)-4)/10000</f>
        <v>5.8632</v>
      </c>
      <c r="Z189" s="197">
        <f t="shared" ref="Z189:Z220" si="90">RIGHT(H189,LEN(H189)-4)/10000</f>
        <v>6.8199999999999997E-2</v>
      </c>
      <c r="AA189" s="197">
        <f t="shared" si="67"/>
        <v>5.7949999999999999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8"/>
        <v>830</v>
      </c>
      <c r="AE189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89" s="74" t="str">
        <f t="shared" si="70"/>
        <v>"C:\Program Files (x86)\AstroGrep\AstroGrep.exe" /e /r /s /spath="%USERPROFILE%\AppData\Local\Temp\OnboardLogs" /stypes="app*4001*20170705*" /stext=" 22:.+((SYSTEM_STATE.+slice.+state.+changed )|(ment ac)|(multiple cpu faults)|(system.+state.+changed )|(\[timeout)|(PRM\|1\|D)|(kpr)|(kdp)|(train st.+moving)|(\|lc)|(penalty))"</v>
      </c>
      <c r="AG189" s="209" t="str">
        <f t="shared" si="71"/>
        <v>NW</v>
      </c>
      <c r="AH189" s="78" t="str">
        <f t="shared" si="56"/>
        <v>"%USERPROFILE%\Documents\GitHub\eaglep3\Utilities\RefineRTDCRunTimes.py" --tripid 830-05 --locoid 4001 --swversion DE.1.0.9.0 --startMP 300:58632 --initTime 2017-07-05T16:38:36 --startdatetime 2017-07-05T16:41:04 --delay 1 --endMP 204:682 --enddatetime 2017-07-05T16:57:02 --enforcementcount 0 &gt;&gt;C:\Users\stu\Documents\GitHub\eaglep3-reporting\EC\2017-07-05-refined-times.txt</v>
      </c>
      <c r="AI189" s="96" t="str">
        <f t="shared" si="57"/>
        <v>echo {"issue":{"subject":"Brief Wi-MAX data drop, no enforcement or cut out","project_id":79,"tracker_id":40,"status_id":1,"priority_id":2,"assigned_to_id":23,"start_date":"2017-07-05","description":"","custom_fields":[{"id":1,"name":"Subdivision","value":"NW"},{"id":4,"name":"Milepost","value":"0.0682"},{"id":17,"name":"Train ID","value":"830-05"},{"id":16,"name":"Locomotive ID","value":"4001"},{"id":130,"name":"Impact","value":""},{"id":150,"name":"Time of Event (Mountain Time)","value":"16:57:02"},{"id":151,"name":"Denver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8"/>
        <v>start /low /b %USERPROFILE%\Documents\GitHub\eaglep3\Utilities\DownloadLogsFromS3.py --loco 4001 --day 2017-07-05</v>
      </c>
      <c r="AN189" s="151" t="str">
        <f t="shared" si="59"/>
        <v>echo {"issue":{"subject":"Brief Wi-MAX data drop, no enforcement or cut out","project_id":30,"tracker_id":4,"status_id":1,"priority_id":1,"assigned_to_id":10,"start_date":"2017-07-05","description":"","custom_fields":[{"id":30,"name":"Category","value":"Issue"},{"id":3,"name":"Functional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22:57:02"},{"id":29,"name":"Sharepoint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617</v>
      </c>
      <c r="B190" s="7">
        <v>4026</v>
      </c>
      <c r="C190" s="21" t="s">
        <v>202</v>
      </c>
      <c r="D190" s="21" t="s">
        <v>563</v>
      </c>
      <c r="E190" s="13">
        <v>42921.697534722225</v>
      </c>
      <c r="F190" s="13">
        <v>42921.702476851853</v>
      </c>
      <c r="G190" s="7">
        <v>1</v>
      </c>
      <c r="H190" s="21" t="s">
        <v>564</v>
      </c>
      <c r="I190" s="13">
        <v>42921.711562500001</v>
      </c>
      <c r="J190" s="7">
        <v>0</v>
      </c>
      <c r="K190" s="89" t="str">
        <f t="shared" si="60"/>
        <v>4025/4026</v>
      </c>
      <c r="L190" s="21" t="str">
        <f>VLOOKUP(A190,'Trips&amp;Operators'!$C$1:$G$99999,5,FALSE)</f>
        <v>STAMBAUGH JAMES</v>
      </c>
      <c r="M190" s="6">
        <f t="shared" si="61"/>
        <v>9.0856481474475004E-3</v>
      </c>
      <c r="N190" s="7">
        <f t="shared" si="88"/>
        <v>13.083333332324401</v>
      </c>
      <c r="O190" s="7"/>
      <c r="P190" s="7"/>
      <c r="Q190" s="22"/>
      <c r="R190" s="170"/>
      <c r="S190" s="213">
        <f t="shared" si="82"/>
        <v>1</v>
      </c>
      <c r="T190" s="195" t="str">
        <f t="shared" si="63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4"/>
        <v>https://d0f6bd738d7f1b3e5a7ca70fe4ff75f0.us-east-1.aws.found.io/app/kibana#/discover/Steve-Slow-Train-Analysis-(2080s-and-2083s)?_g=(refreshInterval:(display:Off,pause:!f,section:0,value:0),time:(from:'2017-07-05T15:44:27-0600',mode:absolute,to:'2017-07-05T18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197" t="str">
        <f>IF(AA190&lt;VLOOKUP(AG190,Variables!$AC$3:$AD$8,2,FALSE),"Y","N")</f>
        <v>N</v>
      </c>
      <c r="X190" s="197">
        <f t="shared" ref="X190:X221" si="91">VALUE(LEFT(AD190,4))-VALUE(LEFT(AD189,4))</f>
        <v>1</v>
      </c>
      <c r="Y190" s="197">
        <f t="shared" si="89"/>
        <v>9.64E-2</v>
      </c>
      <c r="Z190" s="197">
        <f t="shared" si="90"/>
        <v>5.8952</v>
      </c>
      <c r="AA190" s="197">
        <f t="shared" si="67"/>
        <v>5.7988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8"/>
        <v>831</v>
      </c>
      <c r="AE190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90" s="74" t="str">
        <f t="shared" si="70"/>
        <v>"C:\Program Files (x86)\AstroGrep\AstroGrep.exe" /e /r /s /spath="%USERPROFILE%\AppData\Local\Temp\OnboardLogs" /stypes="app*4026*20170705*" /stext=" 23:.+((SYSTEM_STATE.+slice.+state.+changed )|(ment ac)|(multiple cpu faults)|(system.+state.+changed )|(\[timeout)|(PRM\|1\|D)|(kpr)|(kdp)|(train st.+moving)|(\|lc)|(penalty))"</v>
      </c>
      <c r="AG190" s="209" t="str">
        <f t="shared" si="71"/>
        <v>NW</v>
      </c>
      <c r="AH190" s="78" t="str">
        <f t="shared" si="56"/>
        <v>"%USERPROFILE%\Documents\GitHub\eaglep3\Utilities\RefineRTDCRunTimes.py" --tripid 831-05 --locoid 4026 --swversion DE.1.0.9.0 --startMP 204:964 --initTime 2017-07-05T16:44:27 --startdatetime 2017-07-05T16:51:34 --delay 1 --endMP 300:58952 --enddatetime 2017-07-05T17:04:39 --enforcementcount 0 &gt;&gt;C:\Users\stu\Documents\GitHub\eaglep3-reporting\EC\2017-07-05-refined-times.txt</v>
      </c>
      <c r="AI190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{"issue":{"subject":"","project_id":79,"tracker_id":40,"status_id":1,"priority_id":2,"assigned_to_id":23,"start_date":"2017-07-05","description":"","custom_fields":[{"id":1,"name":"Subdivision","value":"NW"},{"id":4,"name":"Milepost","value":"5.8952"},{"id":17,"name":"Train ID","value":"831-05"},{"id":16,"name":"Locomotive ID","value":"4026"},{"id":130,"name":"Impact","value":""},{"id":150,"name":"Time of Event (Mountain Time)","value":"17:04:39"},{"id":151,"name":"Denver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8"/>
        <v>start /low /b %USERPROFILE%\Documents\GitHub\eaglep3\Utilities\DownloadLogsFromS3.py --loco 4026 --day 2017-07-05</v>
      </c>
      <c r="AN190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771</v>
      </c>
      <c r="B191" s="7">
        <v>4025</v>
      </c>
      <c r="C191" s="21" t="s">
        <v>202</v>
      </c>
      <c r="D191" s="21" t="s">
        <v>465</v>
      </c>
      <c r="E191" s="13">
        <v>42921.712719907409</v>
      </c>
      <c r="F191" s="13">
        <v>42921.716099537036</v>
      </c>
      <c r="G191" s="7">
        <v>1</v>
      </c>
      <c r="H191" s="21" t="s">
        <v>998</v>
      </c>
      <c r="I191" s="13">
        <v>42921.725868055553</v>
      </c>
      <c r="J191" s="7">
        <v>0</v>
      </c>
      <c r="K191" s="89" t="str">
        <f t="shared" si="60"/>
        <v>4025/4026</v>
      </c>
      <c r="L191" s="21" t="str">
        <f>VLOOKUP(A191,'Trips&amp;Operators'!$C$1:$G$99999,5,FALSE)</f>
        <v>STAMBAUGH JAMES</v>
      </c>
      <c r="M191" s="6">
        <f t="shared" si="61"/>
        <v>9.7685185173759237E-3</v>
      </c>
      <c r="N191" s="7">
        <f t="shared" si="88"/>
        <v>14.06666666502133</v>
      </c>
      <c r="O191" s="7"/>
      <c r="P191" s="7"/>
      <c r="Q191" s="22"/>
      <c r="R191" s="170"/>
      <c r="S191" s="213">
        <f t="shared" si="82"/>
        <v>1</v>
      </c>
      <c r="T191" s="195" t="str">
        <f t="shared" si="63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4"/>
        <v>https://d0f6bd738d7f1b3e5a7ca70fe4ff75f0.us-east-1.aws.found.io/app/kibana#/discover/Steve-Slow-Train-Analysis-(2080s-and-2083s)?_g=(refreshInterval:(display:Off,pause:!f,section:0,value:0),time:(from:'2017-07-05T16:06:19-0600',mode:absolute,to:'2017-07-05T18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97" t="str">
        <f>IF(AA191&lt;VLOOKUP(AG191,Variables!$AC$3:$AD$8,2,FALSE),"Y","N")</f>
        <v>N</v>
      </c>
      <c r="X191" s="197">
        <f t="shared" si="91"/>
        <v>1</v>
      </c>
      <c r="Y191" s="197">
        <f t="shared" si="89"/>
        <v>5.8643000000000001</v>
      </c>
      <c r="Z191" s="197">
        <f t="shared" si="90"/>
        <v>6.7500000000000004E-2</v>
      </c>
      <c r="AA191" s="197">
        <f t="shared" si="67"/>
        <v>5.7968000000000002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8"/>
        <v>832</v>
      </c>
      <c r="AE191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91" s="74" t="str">
        <f t="shared" si="70"/>
        <v>"C:\Program Files (x86)\AstroGrep\AstroGrep.exe" /e /r /s /spath="%USERPROFILE%\AppData\Local\Temp\OnboardLogs" /stypes="app*4025*20170705*" /stext=" 23:.+((SYSTEM_STATE.+slice.+state.+changed )|(ment ac)|(multiple cpu faults)|(system.+state.+changed )|(\[timeout)|(PRM\|1\|D)|(kpr)|(kdp)|(train st.+moving)|(\|lc)|(penalty))"</v>
      </c>
      <c r="AG191" s="209" t="str">
        <f t="shared" si="71"/>
        <v>NW</v>
      </c>
      <c r="AH191" s="78" t="str">
        <f t="shared" si="56"/>
        <v>"%USERPROFILE%\Documents\GitHub\eaglep3\Utilities\RefineRTDCRunTimes.py" --tripid 832-05 --locoid 4025 --swversion DE.1.0.9.0 --startMP 300:58643 --initTime 2017-07-05T17:06:19 --startdatetime 2017-07-05T17:11:11 --delay 1 --endMP 204:675 --enddatetime 2017-07-05T17:25:15 --enforcementcount 0 &gt;&gt;C:\Users\stu\Documents\GitHub\eaglep3-reporting\EC\2017-07-05-refined-times.txt</v>
      </c>
      <c r="AI191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{"issue":{"subject":"","project_id":79,"tracker_id":40,"status_id":1,"priority_id":2,"assigned_to_id":23,"start_date":"2017-07-05","description":"","custom_fields":[{"id":1,"name":"Subdivision","value":"NW"},{"id":4,"name":"Milepost","value":"0.0675"},{"id":17,"name":"Train ID","value":"832-05"},{"id":16,"name":"Locomotive ID","value":"4025"},{"id":130,"name":"Impact","value":""},{"id":150,"name":"Time of Event (Mountain Time)","value":"17:25:15"},{"id":151,"name":"Denver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8"/>
        <v>start /low /b %USERPROFILE%\Documents\GitHub\eaglep3\Utilities\DownloadLogsFromS3.py --loco 4025 --day 2017-07-05</v>
      </c>
      <c r="AN191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772</v>
      </c>
      <c r="B192" s="7">
        <v>4002</v>
      </c>
      <c r="C192" s="21" t="s">
        <v>202</v>
      </c>
      <c r="D192" s="21" t="s">
        <v>563</v>
      </c>
      <c r="E192" s="13">
        <v>42921.713912037034</v>
      </c>
      <c r="F192" s="13">
        <v>42921.723310185182</v>
      </c>
      <c r="G192" s="7">
        <v>1</v>
      </c>
      <c r="H192" s="21" t="s">
        <v>986</v>
      </c>
      <c r="I192" s="13">
        <v>42921.733657407407</v>
      </c>
      <c r="J192" s="7">
        <v>0</v>
      </c>
      <c r="K192" s="89" t="str">
        <f t="shared" si="60"/>
        <v>4001/4002</v>
      </c>
      <c r="L192" s="21" t="str">
        <f>VLOOKUP(A192,'Trips&amp;Operators'!$C$1:$G$99999,5,FALSE)</f>
        <v>LEVERE CRAIG</v>
      </c>
      <c r="M192" s="6">
        <f t="shared" si="61"/>
        <v>1.0347222225391306E-2</v>
      </c>
      <c r="N192" s="7">
        <f t="shared" si="88"/>
        <v>14.900000004563481</v>
      </c>
      <c r="O192" s="7"/>
      <c r="P192" s="7"/>
      <c r="Q192" s="22"/>
      <c r="R192" s="170"/>
      <c r="S192" s="213">
        <f t="shared" si="82"/>
        <v>1</v>
      </c>
      <c r="T192" s="195" t="str">
        <f t="shared" si="63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4"/>
        <v>https://d0f6bd738d7f1b3e5a7ca70fe4ff75f0.us-east-1.aws.found.io/app/kibana#/discover/Steve-Slow-Train-Analysis-(2080s-and-2083s)?_g=(refreshInterval:(display:Off,pause:!f,section:0,value:0),time:(from:'2017-07-05T16:08:02-0600',mode:absolute,to:'2017-07-05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2" s="197" t="str">
        <f>IF(AA192&lt;VLOOKUP(AG192,Variables!$AC$3:$AD$8,2,FALSE),"Y","N")</f>
        <v>N</v>
      </c>
      <c r="X192" s="197">
        <f t="shared" si="91"/>
        <v>1</v>
      </c>
      <c r="Y192" s="197">
        <f t="shared" si="89"/>
        <v>9.64E-2</v>
      </c>
      <c r="Z192" s="197">
        <f t="shared" si="90"/>
        <v>5.8967000000000001</v>
      </c>
      <c r="AA192" s="197">
        <f t="shared" si="67"/>
        <v>5.8003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8"/>
        <v>833</v>
      </c>
      <c r="AE192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92" s="74" t="str">
        <f t="shared" si="70"/>
        <v>"C:\Program Files (x86)\AstroGrep\AstroGrep.exe" /e /r /s /spath="%USERPROFILE%\AppData\Local\Temp\OnboardLogs" /stypes="app*4002*20170705*" /stext=" 23:.+((SYSTEM_STATE.+slice.+state.+changed )|(ment ac)|(multiple cpu faults)|(system.+state.+changed )|(\[timeout)|(PRM\|1\|D)|(kpr)|(kdp)|(train st.+moving)|(\|lc)|(penalty))"</v>
      </c>
      <c r="AG192" s="209" t="str">
        <f t="shared" si="71"/>
        <v>NW</v>
      </c>
      <c r="AH192" s="78" t="str">
        <f t="shared" si="56"/>
        <v>"%USERPROFILE%\Documents\GitHub\eaglep3\Utilities\RefineRTDCRunTimes.py" --tripid 833-05 --locoid 4002 --swversion DE.1.0.9.0 --startMP 204:964 --initTime 2017-07-05T17:08:02 --startdatetime 2017-07-05T17:21:34 --delay 1 --endMP 300:58967 --enddatetime 2017-07-05T17:36:28 --enforcementcount 0 &gt;&gt;C:\Users\stu\Documents\GitHub\eaglep3-reporting\EC\2017-07-05-refined-times.txt</v>
      </c>
      <c r="AI192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{"issue":{"subject":"","project_id":79,"tracker_id":40,"status_id":1,"priority_id":2,"assigned_to_id":23,"start_date":"2017-07-05","description":"","custom_fields":[{"id":1,"name":"Subdivision","value":"NW"},{"id":4,"name":"Milepost","value":"5.8967"},{"id":17,"name":"Train ID","value":"833-05"},{"id":16,"name":"Locomotive ID","value":"4002"},{"id":130,"name":"Impact","value":""},{"id":150,"name":"Time of Event (Mountain Time)","value":"17:36:28"},{"id":151,"name":"Denver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8"/>
        <v>start /low /b %USERPROFILE%\Documents\GitHub\eaglep3\Utilities\DownloadLogsFromS3.py --loco 4002 --day 2017-07-05</v>
      </c>
      <c r="AN192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778</v>
      </c>
      <c r="B193" s="7">
        <v>4001</v>
      </c>
      <c r="C193" s="21" t="s">
        <v>202</v>
      </c>
      <c r="D193" s="21" t="s">
        <v>983</v>
      </c>
      <c r="E193" s="13">
        <v>42921.7346875</v>
      </c>
      <c r="F193" s="13">
        <v>42921.736180555556</v>
      </c>
      <c r="G193" s="7">
        <v>1</v>
      </c>
      <c r="H193" s="21" t="s">
        <v>997</v>
      </c>
      <c r="I193" s="13">
        <v>42921.747094907405</v>
      </c>
      <c r="J193" s="7">
        <v>0</v>
      </c>
      <c r="K193" s="89" t="str">
        <f t="shared" si="60"/>
        <v>4001/4002</v>
      </c>
      <c r="L193" s="21" t="str">
        <f>VLOOKUP(A193,'Trips&amp;Operators'!$C$1:$G$99999,5,FALSE)</f>
        <v>LEVERE CRAIG</v>
      </c>
      <c r="M193" s="6">
        <f t="shared" si="61"/>
        <v>1.0914351849351078E-2</v>
      </c>
      <c r="N193" s="7">
        <f t="shared" si="88"/>
        <v>15.716666663065553</v>
      </c>
      <c r="O193" s="7"/>
      <c r="P193" s="7"/>
      <c r="Q193" s="22"/>
      <c r="R193" s="170"/>
      <c r="S193" s="213">
        <f t="shared" si="82"/>
        <v>1</v>
      </c>
      <c r="T193" s="195" t="str">
        <f t="shared" si="63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4"/>
        <v>https://d0f6bd738d7f1b3e5a7ca70fe4ff75f0.us-east-1.aws.found.io/app/kibana#/discover/Steve-Slow-Train-Analysis-(2080s-and-2083s)?_g=(refreshInterval:(display:Off,pause:!f,section:0,value:0),time:(from:'2017-07-05T16:37:57-0600',mode:absolute,to:'2017-07-05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3" s="197" t="str">
        <f>IF(AA193&lt;VLOOKUP(AG193,Variables!$AC$3:$AD$8,2,FALSE),"Y","N")</f>
        <v>N</v>
      </c>
      <c r="X193" s="197">
        <f t="shared" si="91"/>
        <v>1</v>
      </c>
      <c r="Y193" s="197">
        <f t="shared" si="89"/>
        <v>5.8666</v>
      </c>
      <c r="Z193" s="197">
        <f t="shared" si="90"/>
        <v>6.8199999999999997E-2</v>
      </c>
      <c r="AA193" s="197">
        <f t="shared" si="67"/>
        <v>5.7984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8"/>
        <v>834</v>
      </c>
      <c r="AE193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93" s="74" t="str">
        <f t="shared" si="70"/>
        <v>"C:\Program Files (x86)\AstroGrep\AstroGrep.exe" /e /r /s /spath="%USERPROFILE%\AppData\Local\Temp\OnboardLogs" /stypes="app*4001*20170705*" /stext=" 23:.+((SYSTEM_STATE.+slice.+state.+changed )|(ment ac)|(multiple cpu faults)|(system.+state.+changed )|(\[timeout)|(PRM\|1\|D)|(kpr)|(kdp)|(train st.+moving)|(\|lc)|(penalty))"</v>
      </c>
      <c r="AG193" s="209" t="str">
        <f t="shared" si="71"/>
        <v>NW</v>
      </c>
      <c r="AH193" s="78" t="str">
        <f t="shared" si="56"/>
        <v>"%USERPROFILE%\Documents\GitHub\eaglep3\Utilities\RefineRTDCRunTimes.py" --tripid 834-05 --locoid 4001 --swversion DE.1.0.9.0 --startMP 300:58666 --initTime 2017-07-05T17:37:57 --startdatetime 2017-07-05T17:40:06 --delay 1 --endMP 204:682 --enddatetime 2017-07-05T17:55:49 --enforcementcount 0 &gt;&gt;C:\Users\stu\Documents\GitHub\eaglep3-reporting\EC\2017-07-05-refined-times.txt</v>
      </c>
      <c r="AI193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{"issue":{"subject":"","project_id":79,"tracker_id":40,"status_id":1,"priority_id":2,"assigned_to_id":23,"start_date":"2017-07-05","description":"","custom_fields":[{"id":1,"name":"Subdivision","value":"NW"},{"id":4,"name":"Milepost","value":"0.0682"},{"id":17,"name":"Train ID","value":"834-05"},{"id":16,"name":"Locomotive ID","value":"4001"},{"id":130,"name":"Impact","value":""},{"id":150,"name":"Time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8"/>
        <v>start /low /b %USERPROFILE%\Documents\GitHub\eaglep3\Utilities\DownloadLogsFromS3.py --loco 4001 --day 2017-07-05</v>
      </c>
      <c r="AN193" s="151" t="str">
        <f t="shared" si="5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779</v>
      </c>
      <c r="B194" s="7">
        <v>4026</v>
      </c>
      <c r="C194" s="21" t="s">
        <v>202</v>
      </c>
      <c r="D194" s="21" t="s">
        <v>456</v>
      </c>
      <c r="E194" s="13">
        <v>42921.742407407408</v>
      </c>
      <c r="F194" s="13">
        <v>42921.744108796294</v>
      </c>
      <c r="G194" s="7">
        <v>0</v>
      </c>
      <c r="H194" s="21" t="s">
        <v>939</v>
      </c>
      <c r="I194" s="13">
        <v>42921.753217592595</v>
      </c>
      <c r="J194" s="7">
        <v>0</v>
      </c>
      <c r="K194" s="89" t="str">
        <f t="shared" si="60"/>
        <v>4025/4026</v>
      </c>
      <c r="L194" s="21" t="str">
        <f>VLOOKUP(A194,'Trips&amp;Operators'!$C$1:$G$99999,5,FALSE)</f>
        <v>STAMBAUGH JAMES</v>
      </c>
      <c r="M194" s="6">
        <f t="shared" si="61"/>
        <v>9.1087963010068052E-3</v>
      </c>
      <c r="N194" s="7">
        <f t="shared" si="88"/>
        <v>13.116666673449799</v>
      </c>
      <c r="O194" s="7"/>
      <c r="P194" s="7"/>
      <c r="Q194" s="22"/>
      <c r="R194" s="170"/>
      <c r="S194" s="213">
        <f t="shared" si="82"/>
        <v>1</v>
      </c>
      <c r="T194" s="195" t="str">
        <f t="shared" si="63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4"/>
        <v>https://d0f6bd738d7f1b3e5a7ca70fe4ff75f0.us-east-1.aws.found.io/app/kibana#/discover/Steve-Slow-Train-Analysis-(2080s-and-2083s)?_g=(refreshInterval:(display:Off,pause:!f,section:0,value:0),time:(from:'2017-07-05T16:49:04-0600',mode:absolute,to:'2017-07-05T19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4" s="197" t="str">
        <f>IF(AA194&lt;VLOOKUP(AG194,Variables!$AC$3:$AD$8,2,FALSE),"Y","N")</f>
        <v>N</v>
      </c>
      <c r="X194" s="197">
        <f t="shared" si="91"/>
        <v>1</v>
      </c>
      <c r="Y194" s="197">
        <f t="shared" si="89"/>
        <v>9.7799999999999998E-2</v>
      </c>
      <c r="Z194" s="197">
        <f t="shared" si="90"/>
        <v>5.8960999999999997</v>
      </c>
      <c r="AA194" s="197">
        <f t="shared" si="67"/>
        <v>5.7982999999999993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8"/>
        <v>835</v>
      </c>
      <c r="AE194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94" s="74" t="str">
        <f t="shared" si="70"/>
        <v>"C:\Program Files (x86)\AstroGrep\AstroGrep.exe" /e /r /s /spath="%USERPROFILE%\AppData\Local\Temp\OnboardLogs" /stypes="app*4026*20170706*" /stext=" 00:.+((SYSTEM_STATE.+slice.+state.+changed )|(ment ac)|(multiple cpu faults)|(system.+state.+changed )|(\[timeout)|(PRM\|1\|D)|(kpr)|(kdp)|(train st.+moving)|(\|lc)|(penalty))"</v>
      </c>
      <c r="AG194" s="209" t="str">
        <f t="shared" si="71"/>
        <v>NW</v>
      </c>
      <c r="AH194" s="78" t="str">
        <f t="shared" si="56"/>
        <v>"%USERPROFILE%\Documents\GitHub\eaglep3\Utilities\RefineRTDCRunTimes.py" --tripid 835-05 --locoid 4026 --swversion DE.1.0.9.0 --startMP 204:978 --initTime 2017-07-05T17:49:04 --startdatetime 2017-07-05T17:51:31 --delay 0 --endMP 300:58961 --enddatetime 2017-07-05T18:04:38 --enforcementcount 0 &gt;&gt;C:\Users\stu\Documents\GitHub\eaglep3-reporting\EC\2017-07-05-refined-times.txt</v>
      </c>
      <c r="AI194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{"issue":{"subject":"","project_id":79,"tracker_id":40,"status_id":1,"priority_id":2,"assigned_to_id":23,"start_date":"2017-07-05","description":"","custom_fields":[{"id":1,"name":"Subdivision","value":"NW"},{"id":4,"name":"Milepost","value":"5.8961"},{"id":17,"name":"Train ID","value":"835-05"},{"id":16,"name":"Locomotive ID","value":"4026"},{"id":130,"name":"Impact","value":""},{"id":150,"name":"Time of Event (Mountain Time)","value":"18:04:38"},{"id":151,"name":"Denver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8"/>
        <v>start /low /b %USERPROFILE%\Documents\GitHub\eaglep3\Utilities\DownloadLogsFromS3.py --loco 4026 --day 2017-07-05</v>
      </c>
      <c r="AN194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621</v>
      </c>
      <c r="B195" s="7">
        <v>4025</v>
      </c>
      <c r="C195" s="21" t="s">
        <v>202</v>
      </c>
      <c r="D195" s="21" t="s">
        <v>492</v>
      </c>
      <c r="E195" s="13">
        <v>42921.754259259258</v>
      </c>
      <c r="F195" s="13">
        <v>42921.757592592592</v>
      </c>
      <c r="G195" s="7">
        <v>1</v>
      </c>
      <c r="H195" s="21" t="s">
        <v>999</v>
      </c>
      <c r="I195" s="13">
        <v>42921.767569444448</v>
      </c>
      <c r="J195" s="7">
        <v>0</v>
      </c>
      <c r="K195" s="89" t="str">
        <f t="shared" si="60"/>
        <v>4025/4026</v>
      </c>
      <c r="L195" s="21" t="str">
        <f>VLOOKUP(A195,'Trips&amp;Operators'!$C$1:$G$99999,5,FALSE)</f>
        <v>STAMBAUGH JAMES</v>
      </c>
      <c r="M195" s="6">
        <f t="shared" si="61"/>
        <v>9.976851855753921E-3</v>
      </c>
      <c r="N195" s="7">
        <f t="shared" si="88"/>
        <v>14.366666672285646</v>
      </c>
      <c r="O195" s="7"/>
      <c r="P195" s="7"/>
      <c r="Q195" s="22"/>
      <c r="R195" s="170"/>
      <c r="S195" s="213">
        <f t="shared" si="82"/>
        <v>1</v>
      </c>
      <c r="T195" s="195" t="str">
        <f t="shared" si="63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4"/>
        <v>https://d0f6bd738d7f1b3e5a7ca70fe4ff75f0.us-east-1.aws.found.io/app/kibana#/discover/Steve-Slow-Train-Analysis-(2080s-and-2083s)?_g=(refreshInterval:(display:Off,pause:!f,section:0,value:0),time:(from:'2017-07-05T17:06:08-0600',mode:absolute,to:'2017-07-05T19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97" t="str">
        <f>IF(AA195&lt;VLOOKUP(AG195,Variables!$AC$3:$AD$8,2,FALSE),"Y","N")</f>
        <v>N</v>
      </c>
      <c r="X195" s="197">
        <f t="shared" si="91"/>
        <v>1</v>
      </c>
      <c r="Y195" s="197">
        <f t="shared" si="89"/>
        <v>5.8628</v>
      </c>
      <c r="Z195" s="197">
        <f t="shared" si="90"/>
        <v>6.6100000000000006E-2</v>
      </c>
      <c r="AA195" s="197">
        <f t="shared" si="67"/>
        <v>5.7967000000000004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8"/>
        <v>836</v>
      </c>
      <c r="AE195" s="77" t="str">
        <f t="shared" si="69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195" s="74" t="str">
        <f t="shared" si="70"/>
        <v>"C:\Program Files (x86)\AstroGrep\AstroGrep.exe" /e /r /s /spath="%USERPROFILE%\AppData\Local\Temp\OnboardLogs" /stypes="app*4025*20170706*" /stext=" 00:.+((SYSTEM_STATE.+slice.+state.+changed )|(ment ac)|(multiple cpu faults)|(system.+state.+changed )|(\[timeout)|(PRM\|1\|D)|(kpr)|(kdp)|(train st.+moving)|(\|lc)|(penalty))"</v>
      </c>
      <c r="AG195" s="209" t="str">
        <f t="shared" si="71"/>
        <v>NW</v>
      </c>
      <c r="AH195" s="78" t="str">
        <f t="shared" si="56"/>
        <v>"%USERPROFILE%\Documents\GitHub\eaglep3\Utilities\RefineRTDCRunTimes.py" --tripid 836-05 --locoid 4025 --swversion DE.1.0.9.0 --startMP 300:58628 --initTime 2017-07-05T18:06:08 --startdatetime 2017-07-05T18:10:56 --delay 1 --endMP 204:661 --enddatetime 2017-07-05T18:25:18 --enforcementcount 0 &gt;&gt;C:\Users\stu\Documents\GitHub\eaglep3-reporting\EC\2017-07-05-refined-times.txt</v>
      </c>
      <c r="AI195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{"issue":{"subject":"","project_id":79,"tracker_id":40,"status_id":1,"priority_id":2,"assigned_to_id":23,"start_date":"2017-07-05","description":"","custom_fields":[{"id":1,"name":"Subdivision","value":"NW"},{"id":4,"name":"Milepost","value":"0.0661"},{"id":17,"name":"Train ID","value":"836-05"},{"id":16,"name":"Locomotive ID","value":"4025"},{"id":130,"name":"Impact","value":""},{"id":150,"name":"Time of Event (Mountain Time)","value":"18:25:18"},{"id":151,"name":"Denver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58"/>
        <v>start /low /b %USERPROFILE%\Documents\GitHub\eaglep3\Utilities\DownloadLogsFromS3.py --loco 4025 --day 2017-07-05</v>
      </c>
      <c r="AN195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782</v>
      </c>
      <c r="B196" s="7">
        <v>4002</v>
      </c>
      <c r="C196" s="21" t="s">
        <v>202</v>
      </c>
      <c r="D196" s="21" t="s">
        <v>993</v>
      </c>
      <c r="E196" s="13">
        <v>42921.758506944447</v>
      </c>
      <c r="F196" s="13">
        <v>42921.764780092592</v>
      </c>
      <c r="G196" s="7">
        <v>1</v>
      </c>
      <c r="H196" s="21" t="s">
        <v>476</v>
      </c>
      <c r="I196" s="13">
        <v>42921.774756944447</v>
      </c>
      <c r="J196" s="7">
        <v>0</v>
      </c>
      <c r="K196" s="89" t="str">
        <f t="shared" si="60"/>
        <v>4001/4002</v>
      </c>
      <c r="L196" s="21" t="str">
        <f>VLOOKUP(A196,'Trips&amp;Operators'!$C$1:$G$99999,5,FALSE)</f>
        <v>LEVERE CRAIG</v>
      </c>
      <c r="M196" s="6">
        <f t="shared" si="61"/>
        <v>9.976851855753921E-3</v>
      </c>
      <c r="N196" s="7">
        <f t="shared" si="88"/>
        <v>14.366666672285646</v>
      </c>
      <c r="O196" s="7"/>
      <c r="P196" s="7"/>
      <c r="Q196" s="22"/>
      <c r="R196" s="170"/>
      <c r="S196" s="213">
        <f t="shared" si="82"/>
        <v>1</v>
      </c>
      <c r="T196" s="195" t="str">
        <f t="shared" si="63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4"/>
        <v>https://d0f6bd738d7f1b3e5a7ca70fe4ff75f0.us-east-1.aws.found.io/app/kibana#/discover/Steve-Slow-Train-Analysis-(2080s-and-2083s)?_g=(refreshInterval:(display:Off,pause:!f,section:0,value:0),time:(from:'2017-07-05T17:12:15-0600',mode:absolute,to:'2017-07-05T19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6" s="197" t="str">
        <f>IF(AA196&lt;VLOOKUP(AG196,Variables!$AC$3:$AD$8,2,FALSE),"Y","N")</f>
        <v>N</v>
      </c>
      <c r="X196" s="197">
        <f t="shared" si="91"/>
        <v>1</v>
      </c>
      <c r="Y196" s="197">
        <f t="shared" si="89"/>
        <v>9.6000000000000002E-2</v>
      </c>
      <c r="Z196" s="197">
        <f t="shared" si="90"/>
        <v>5.8954000000000004</v>
      </c>
      <c r="AA196" s="197">
        <f t="shared" si="67"/>
        <v>5.7994000000000003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8"/>
        <v>837</v>
      </c>
      <c r="AE196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196" s="74" t="str">
        <f t="shared" si="70"/>
        <v>"C:\Program Files (x86)\AstroGrep\AstroGrep.exe" /e /r /s /spath="%USERPROFILE%\AppData\Local\Temp\OnboardLogs" /stypes="app*4002*20170706*" /stext=" 00:.+((SYSTEM_STATE.+slice.+state.+changed )|(ment ac)|(multiple cpu faults)|(system.+state.+changed )|(\[timeout)|(PRM\|1\|D)|(kpr)|(kdp)|(train st.+moving)|(\|lc)|(penalty))"</v>
      </c>
      <c r="AG196" s="209" t="str">
        <f t="shared" si="71"/>
        <v>NW</v>
      </c>
      <c r="AH196" s="78" t="str">
        <f t="shared" si="56"/>
        <v>"%USERPROFILE%\Documents\GitHub\eaglep3\Utilities\RefineRTDCRunTimes.py" --tripid 837-05 --locoid 4002 --swversion DE.1.0.9.0 --startMP 204:960 --initTime 2017-07-05T18:12:15 --startdatetime 2017-07-05T18:21:17 --delay 1 --endMP 300:58954 --enddatetime 2017-07-05T18:35:39 --enforcementcount 0 &gt;&gt;C:\Users\stu\Documents\GitHub\eaglep3-reporting\EC\2017-07-05-refined-times.txt</v>
      </c>
      <c r="AI196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{"issue":{"subject":"","project_id":79,"tracker_id":40,"status_id":1,"priority_id":2,"assigned_to_id":23,"start_date":"2017-07-05","description":"","custom_fields":[{"id":1,"name":"Subdivision","value":"NW"},{"id":4,"name":"Milepost","value":"5.8954"},{"id":17,"name":"Train ID","value":"837-05"},{"id":16,"name":"Locomotive ID","value":"4002"},{"id":130,"name":"Impact","value":""},{"id":150,"name":"Time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8"/>
        <v>start /low /b %USERPROFILE%\Documents\GitHub\eaglep3\Utilities\DownloadLogsFromS3.py --loco 4002 --day 2017-07-05</v>
      </c>
      <c r="AN196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785</v>
      </c>
      <c r="B197" s="7">
        <v>4001</v>
      </c>
      <c r="C197" s="21" t="s">
        <v>202</v>
      </c>
      <c r="D197" s="21" t="s">
        <v>562</v>
      </c>
      <c r="E197" s="13">
        <v>42921.775775462964</v>
      </c>
      <c r="F197" s="13">
        <v>42921.777812499997</v>
      </c>
      <c r="G197" s="7">
        <v>1</v>
      </c>
      <c r="H197" s="21" t="s">
        <v>988</v>
      </c>
      <c r="I197" s="13">
        <v>42921.789837962962</v>
      </c>
      <c r="J197" s="7">
        <v>0</v>
      </c>
      <c r="K197" s="89" t="str">
        <f t="shared" si="60"/>
        <v>4001/4002</v>
      </c>
      <c r="L197" s="21" t="str">
        <f>VLOOKUP(A197,'Trips&amp;Operators'!$C$1:$G$99999,5,FALSE)</f>
        <v>LEVERE CRAIG</v>
      </c>
      <c r="M197" s="6">
        <f t="shared" si="61"/>
        <v>1.2025462965539191E-2</v>
      </c>
      <c r="N197" s="7">
        <f t="shared" si="88"/>
        <v>17.316666670376435</v>
      </c>
      <c r="O197" s="7"/>
      <c r="P197" s="7"/>
      <c r="Q197" s="22"/>
      <c r="R197" s="170"/>
      <c r="S197" s="213">
        <f t="shared" si="82"/>
        <v>1</v>
      </c>
      <c r="T197" s="195" t="str">
        <f t="shared" si="63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4"/>
        <v>https://d0f6bd738d7f1b3e5a7ca70fe4ff75f0.us-east-1.aws.found.io/app/kibana#/discover/Steve-Slow-Train-Analysis-(2080s-and-2083s)?_g=(refreshInterval:(display:Off,pause:!f,section:0,value:0),time:(from:'2017-07-05T17:37:07-0600',mode:absolute,to:'2017-07-05T19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197" t="str">
        <f>IF(AA197&lt;VLOOKUP(AG197,Variables!$AC$3:$AD$8,2,FALSE),"Y","N")</f>
        <v>N</v>
      </c>
      <c r="X197" s="197">
        <f t="shared" si="91"/>
        <v>1</v>
      </c>
      <c r="Y197" s="197">
        <f t="shared" si="89"/>
        <v>5.8635999999999999</v>
      </c>
      <c r="Z197" s="197">
        <f t="shared" si="90"/>
        <v>6.9900000000000004E-2</v>
      </c>
      <c r="AA197" s="197">
        <f t="shared" si="67"/>
        <v>5.7937000000000003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8"/>
        <v>838</v>
      </c>
      <c r="AE197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97" s="74" t="str">
        <f t="shared" si="70"/>
        <v>"C:\Program Files (x86)\AstroGrep\AstroGrep.exe" /e /r /s /spath="%USERPROFILE%\AppData\Local\Temp\OnboardLogs" /stypes="app*4001*20170706*" /stext=" 00:.+((SYSTEM_STATE.+slice.+state.+changed )|(ment ac)|(multiple cpu faults)|(system.+state.+changed )|(\[timeout)|(PRM\|1\|D)|(kpr)|(kdp)|(train st.+moving)|(\|lc)|(penalty))"</v>
      </c>
      <c r="AG197" s="209" t="str">
        <f t="shared" si="71"/>
        <v>NW</v>
      </c>
      <c r="AH197" s="78" t="str">
        <f t="shared" si="56"/>
        <v>"%USERPROFILE%\Documents\GitHub\eaglep3\Utilities\RefineRTDCRunTimes.py" --tripid 838-05 --locoid 4001 --swversion DE.1.0.9.0 --startMP 300:58636 --initTime 2017-07-05T18:37:07 --startdatetime 2017-07-05T18:40:03 --delay 1 --endMP 204:699 --enddatetime 2017-07-05T18:57:22 --enforcementcount 0 &gt;&gt;C:\Users\stu\Documents\GitHub\eaglep3-reporting\EC\2017-07-05-refined-times.txt</v>
      </c>
      <c r="AI197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{"issue":{"subject":"","project_id":79,"tracker_id":40,"status_id":1,"priority_id":2,"assigned_to_id":23,"start_date":"2017-07-05","description":"","custom_fields":[{"id":1,"name":"Subdivision","value":"NW"},{"id":4,"name":"Milepost","value":"0.0699"},{"id":17,"name":"Train ID","value":"838-05"},{"id":16,"name":"Locomotive ID","value":"4001"},{"id":130,"name":"Impact","value":""},{"id":150,"name":"Time of Event (Mountain Time)","value":"18:57:22"},{"id":151,"name":"Denver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8"/>
        <v>start /low /b %USERPROFILE%\Documents\GitHub\eaglep3\Utilities\DownloadLogsFromS3.py --loco 4001 --day 2017-07-05</v>
      </c>
      <c r="AN197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00:57:22"},{"id":29,"name":"Sharepoint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786</v>
      </c>
      <c r="B198" s="7">
        <v>4026</v>
      </c>
      <c r="C198" s="21" t="s">
        <v>202</v>
      </c>
      <c r="D198" s="21" t="s">
        <v>1000</v>
      </c>
      <c r="E198" s="13">
        <v>42921.776516203703</v>
      </c>
      <c r="F198" s="13">
        <v>42921.785879629628</v>
      </c>
      <c r="G198" s="7">
        <v>1</v>
      </c>
      <c r="H198" s="21" t="s">
        <v>976</v>
      </c>
      <c r="I198" s="13">
        <v>42921.79488425926</v>
      </c>
      <c r="J198" s="7">
        <v>0</v>
      </c>
      <c r="K198" s="89" t="str">
        <f t="shared" si="60"/>
        <v>4025/4026</v>
      </c>
      <c r="L198" s="21" t="str">
        <f>VLOOKUP(A198,'Trips&amp;Operators'!$C$1:$G$99999,5,FALSE)</f>
        <v>STAMBAUGH JAMES</v>
      </c>
      <c r="M198" s="6">
        <f t="shared" si="61"/>
        <v>9.0046296318178065E-3</v>
      </c>
      <c r="N198" s="7">
        <f t="shared" si="88"/>
        <v>12.966666669817641</v>
      </c>
      <c r="O198" s="7"/>
      <c r="P198" s="7"/>
      <c r="Q198" s="22"/>
      <c r="R198" s="170"/>
      <c r="S198" s="213">
        <f t="shared" ref="S198:S229" si="92">SUM(U198:U198)/IF(AG198="EC",12,1)</f>
        <v>1</v>
      </c>
      <c r="T198" s="195" t="str">
        <f t="shared" si="63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4"/>
        <v>https://d0f6bd738d7f1b3e5a7ca70fe4ff75f0.us-east-1.aws.found.io/app/kibana#/discover/Steve-Slow-Train-Analysis-(2080s-and-2083s)?_g=(refreshInterval:(display:Off,pause:!f,section:0,value:0),time:(from:'2017-07-05T17:38:11-0600',mode:absolute,to:'2017-07-05T20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8" s="197" t="str">
        <f>IF(AA198&lt;VLOOKUP(AG198,Variables!$AC$3:$AD$8,2,FALSE),"Y","N")</f>
        <v>N</v>
      </c>
      <c r="X198" s="197">
        <f t="shared" si="91"/>
        <v>1</v>
      </c>
      <c r="Y198" s="197">
        <f t="shared" si="89"/>
        <v>9.5299999999999996E-2</v>
      </c>
      <c r="Z198" s="197">
        <f t="shared" si="90"/>
        <v>5.8979999999999997</v>
      </c>
      <c r="AA198" s="197">
        <f t="shared" si="67"/>
        <v>5.8026999999999997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8"/>
        <v>839</v>
      </c>
      <c r="AE198" s="77" t="str">
        <f t="shared" si="69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198" s="74" t="str">
        <f t="shared" si="70"/>
        <v>"C:\Program Files (x86)\AstroGrep\AstroGrep.exe" /e /r /s /spath="%USERPROFILE%\AppData\Local\Temp\OnboardLogs" /stypes="app*4026*20170706*" /stext=" 01:.+((SYSTEM_STATE.+slice.+state.+changed )|(ment ac)|(multiple cpu faults)|(system.+state.+changed )|(\[timeout)|(PRM\|1\|D)|(kpr)|(kdp)|(train st.+moving)|(\|lc)|(penalty))"</v>
      </c>
      <c r="AG198" s="209" t="str">
        <f t="shared" si="71"/>
        <v>NW</v>
      </c>
      <c r="AH198" s="78" t="str">
        <f t="shared" si="56"/>
        <v>"%USERPROFILE%\Documents\GitHub\eaglep3\Utilities\RefineRTDCRunTimes.py" --tripid 839-05 --locoid 4026 --swversion DE.1.0.9.0 --startMP 204:953 --initTime 2017-07-05T18:38:11 --startdatetime 2017-07-05T18:51:40 --delay 1 --endMP 300:58980 --enddatetime 2017-07-05T19:04:38 --enforcementcount 0 &gt;&gt;C:\Users\stu\Documents\GitHub\eaglep3-reporting\EC\2017-07-05-refined-times.txt</v>
      </c>
      <c r="AI198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{"issue":{"subject":"","project_id":79,"tracker_id":40,"status_id":1,"priority_id":2,"assigned_to_id":23,"start_date":"2017-07-05","description":"","custom_fields":[{"id":1,"name":"Subdivision","value":"NW"},{"id":4,"name":"Milepost","value":"5.898"},{"id":17,"name":"Train ID","value":"839-05"},{"id":16,"name":"Locomotive ID","value":"4026"},{"id":130,"name":"Impact","value":""},{"id":150,"name":"Time of Event (Mountain Time)","value":"19:04:38"},{"id":151,"name":"Denver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8"/>
        <v>start /low /b %USERPROFILE%\Documents\GitHub\eaglep3\Utilities\DownloadLogsFromS3.py --loco 4026 --day 2017-07-05</v>
      </c>
      <c r="AN198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793</v>
      </c>
      <c r="B199" s="7">
        <v>4001</v>
      </c>
      <c r="C199" s="21" t="s">
        <v>202</v>
      </c>
      <c r="D199" s="21" t="s">
        <v>465</v>
      </c>
      <c r="E199" s="13">
        <v>42921.81753472222</v>
      </c>
      <c r="F199" s="13">
        <v>42921.819224537037</v>
      </c>
      <c r="G199" s="7">
        <v>2</v>
      </c>
      <c r="H199" s="21" t="s">
        <v>994</v>
      </c>
      <c r="I199" s="13">
        <v>42921.830138888887</v>
      </c>
      <c r="J199" s="7">
        <v>0</v>
      </c>
      <c r="K199" s="89" t="str">
        <f t="shared" si="60"/>
        <v>4001/4002</v>
      </c>
      <c r="L199" s="21" t="str">
        <f>VLOOKUP(A199,'Trips&amp;Operators'!$C$1:$G$99999,5,FALSE)</f>
        <v>LEVERE CRAIG</v>
      </c>
      <c r="M199" s="6">
        <f t="shared" si="61"/>
        <v>1.0914351849351078E-2</v>
      </c>
      <c r="N199" s="7">
        <f t="shared" si="88"/>
        <v>15.716666663065553</v>
      </c>
      <c r="O199" s="7"/>
      <c r="P199" s="7"/>
      <c r="Q199" s="22"/>
      <c r="R199" s="170"/>
      <c r="S199" s="213">
        <f t="shared" si="92"/>
        <v>1</v>
      </c>
      <c r="T199" s="195" t="str">
        <f t="shared" si="63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4"/>
        <v>https://d0f6bd738d7f1b3e5a7ca70fe4ff75f0.us-east-1.aws.found.io/app/kibana#/discover/Steve-Slow-Train-Analysis-(2080s-and-2083s)?_g=(refreshInterval:(display:Off,pause:!f,section:0,value:0),time:(from:'2017-07-05T18:37:15-0600',mode:absolute,to:'2017-07-05T20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197" t="str">
        <f>IF(AA199&lt;VLOOKUP(AG199,Variables!$AC$3:$AD$8,2,FALSE),"Y","N")</f>
        <v>N</v>
      </c>
      <c r="X199" s="197">
        <f t="shared" si="91"/>
        <v>1</v>
      </c>
      <c r="Y199" s="197">
        <f t="shared" si="89"/>
        <v>5.8643000000000001</v>
      </c>
      <c r="Z199" s="197">
        <f t="shared" si="90"/>
        <v>6.8500000000000005E-2</v>
      </c>
      <c r="AA199" s="197">
        <f t="shared" si="67"/>
        <v>5.7957999999999998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8"/>
        <v>840</v>
      </c>
      <c r="AE199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199" s="74" t="str">
        <f t="shared" si="70"/>
        <v>"C:\Program Files (x86)\AstroGrep\AstroGrep.exe" /e /r /s /spath="%USERPROFILE%\AppData\Local\Temp\OnboardLogs" /stypes="app*4001*20170706*" /stext=" 01:.+((SYSTEM_STATE.+slice.+state.+changed )|(ment ac)|(multiple cpu faults)|(system.+state.+changed )|(\[timeout)|(PRM\|1\|D)|(kpr)|(kdp)|(train st.+moving)|(\|lc)|(penalty))"</v>
      </c>
      <c r="AG199" s="209" t="str">
        <f t="shared" si="71"/>
        <v>NW</v>
      </c>
      <c r="AH199" s="78" t="str">
        <f t="shared" si="56"/>
        <v>"%USERPROFILE%\Documents\GitHub\eaglep3\Utilities\RefineRTDCRunTimes.py" --tripid 840-05 --locoid 4001 --swversion DE.1.0.9.0 --startMP 300:58643 --initTime 2017-07-05T19:37:15 --startdatetime 2017-07-05T19:39:41 --delay 2 --endMP 204:685 --enddatetime 2017-07-05T19:55:24 --enforcementcount 0 &gt;&gt;C:\Users\stu\Documents\GitHub\eaglep3-reporting\EC\2017-07-05-refined-times.txt</v>
      </c>
      <c r="AI199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{"issue":{"subject":"","project_id":79,"tracker_id":40,"status_id":1,"priority_id":2,"assigned_to_id":23,"start_date":"2017-07-05","description":"","custom_fields":[{"id":1,"name":"Subdivision","value":"NW"},{"id":4,"name":"Milepost","value":"0.0685"},{"id":17,"name":"Train ID","value":"840-05"},{"id":16,"name":"Locomotive ID","value":"4001"},{"id":130,"name":"Impact","value":""},{"id":150,"name":"Time of Event (Mountain Time)","value":"19:55:24"},{"id":151,"name":"Denver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8"/>
        <v>start /low /b %USERPROFILE%\Documents\GitHub\eaglep3\Utilities\DownloadLogsFromS3.py --loco 4001 --day 2017-07-05</v>
      </c>
      <c r="AN199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791</v>
      </c>
      <c r="B200" s="7">
        <v>4002</v>
      </c>
      <c r="C200" s="21" t="s">
        <v>202</v>
      </c>
      <c r="D200" s="21" t="s">
        <v>561</v>
      </c>
      <c r="E200" s="13">
        <v>42921.801898148151</v>
      </c>
      <c r="F200" s="13">
        <v>42921.806435185186</v>
      </c>
      <c r="G200" s="7">
        <v>1</v>
      </c>
      <c r="H200" s="21" t="s">
        <v>986</v>
      </c>
      <c r="I200" s="13">
        <v>42921.81653935185</v>
      </c>
      <c r="J200" s="7">
        <v>0</v>
      </c>
      <c r="K200" s="89" t="str">
        <f t="shared" si="60"/>
        <v>4001/4002</v>
      </c>
      <c r="L200" s="21" t="str">
        <f>VLOOKUP(A200,'Trips&amp;Operators'!$C$1:$G$99999,5,FALSE)</f>
        <v>LEVERE CRAIG</v>
      </c>
      <c r="M200" s="6">
        <f t="shared" si="61"/>
        <v>1.0104166663950309E-2</v>
      </c>
      <c r="N200" s="7">
        <f t="shared" si="88"/>
        <v>14.549999996088445</v>
      </c>
      <c r="O200" s="7"/>
      <c r="P200" s="7"/>
      <c r="Q200" s="22"/>
      <c r="R200" s="170"/>
      <c r="S200" s="213">
        <f t="shared" si="92"/>
        <v>1</v>
      </c>
      <c r="T200" s="195" t="str">
        <f t="shared" si="63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4"/>
        <v>https://d0f6bd738d7f1b3e5a7ca70fe4ff75f0.us-east-1.aws.found.io/app/kibana#/discover/Steve-Slow-Train-Analysis-(2080s-and-2083s)?_g=(refreshInterval:(display:Off,pause:!f,section:0,value:0),time:(from:'2017-07-05T18:14:44-0600',mode:absolute,to:'2017-07-05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197" t="str">
        <f>IF(AA200&lt;VLOOKUP(AG200,Variables!$AC$3:$AD$8,2,FALSE),"Y","N")</f>
        <v>N</v>
      </c>
      <c r="X200" s="197">
        <f t="shared" si="91"/>
        <v>1</v>
      </c>
      <c r="Y200" s="197">
        <f t="shared" si="89"/>
        <v>9.7600000000000006E-2</v>
      </c>
      <c r="Z200" s="197">
        <f t="shared" si="90"/>
        <v>5.8967000000000001</v>
      </c>
      <c r="AA200" s="197">
        <f t="shared" si="67"/>
        <v>5.7991000000000001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8"/>
        <v>841</v>
      </c>
      <c r="AE200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200" s="74" t="str">
        <f t="shared" si="70"/>
        <v>"C:\Program Files (x86)\AstroGrep\AstroGrep.exe" /e /r /s /spath="%USERPROFILE%\AppData\Local\Temp\OnboardLogs" /stypes="app*4002*20170706*" /stext=" 01:.+((SYSTEM_STATE.+slice.+state.+changed )|(ment ac)|(multiple cpu faults)|(system.+state.+changed )|(\[timeout)|(PRM\|1\|D)|(kpr)|(kdp)|(train st.+moving)|(\|lc)|(penalty))"</v>
      </c>
      <c r="AG200" s="209" t="str">
        <f t="shared" si="71"/>
        <v>NW</v>
      </c>
      <c r="AH200" s="78" t="str">
        <f t="shared" si="56"/>
        <v>"%USERPROFILE%\Documents\GitHub\eaglep3\Utilities\RefineRTDCRunTimes.py" --tripid 841-05 --locoid 4002 --swversion DE.1.0.9.0 --startMP 204:976 --initTime 2017-07-05T19:14:44 --startdatetime 2017-07-05T19:21:16 --delay 1 --endMP 300:58967 --enddatetime 2017-07-05T19:35:49 --enforcementcount 0 &gt;&gt;C:\Users\stu\Documents\GitHub\eaglep3-reporting\EC\2017-07-05-refined-times.txt</v>
      </c>
      <c r="AI200" s="96" t="str">
        <f t="shared" si="57"/>
        <v>echo {"issue":{"subject":"","project_id":79,"tracker_id":40,"status_id":1,"priority_id":2,"assigned_to_id":23,"start_date":"2017-07-05","description":"","custom_fields":[{"id":1,"name":"Subdivision","value":"NW"},{"id":4,"name":"Milepost","value":"5.8967"},{"id":17,"name":"Train ID","value":"841-05"},{"id":16,"name":"Locomotive ID","value":"4002"},{"id":130,"name":"Impact","value":""},{"id":150,"name":"Time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8"/>
        <v>start /low /b %USERPROFILE%\Documents\GitHub\eaglep3\Utilities\DownloadLogsFromS3.py --loco 4002 --day 2017-07-05</v>
      </c>
      <c r="AN200" s="151" t="str">
        <f t="shared" si="59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799</v>
      </c>
      <c r="B201" s="7">
        <v>4001</v>
      </c>
      <c r="C201" s="21" t="s">
        <v>202</v>
      </c>
      <c r="D201" s="21" t="s">
        <v>1001</v>
      </c>
      <c r="E201" s="13">
        <v>42921.859861111108</v>
      </c>
      <c r="F201" s="13">
        <v>42921.861307870371</v>
      </c>
      <c r="G201" s="7">
        <v>1</v>
      </c>
      <c r="H201" s="21" t="s">
        <v>1002</v>
      </c>
      <c r="I201" s="13">
        <v>42921.872233796297</v>
      </c>
      <c r="J201" s="7">
        <v>0</v>
      </c>
      <c r="K201" s="89" t="str">
        <f t="shared" si="60"/>
        <v>4001/4002</v>
      </c>
      <c r="L201" s="21" t="str">
        <f>VLOOKUP(A201,'Trips&amp;Operators'!$C$1:$G$99999,5,FALSE)</f>
        <v>LEVERE CRAIG</v>
      </c>
      <c r="M201" s="6">
        <f t="shared" si="61"/>
        <v>1.0925925926130731E-2</v>
      </c>
      <c r="N201" s="7">
        <f t="shared" si="88"/>
        <v>15.733333333628252</v>
      </c>
      <c r="O201" s="7"/>
      <c r="P201" s="7"/>
      <c r="Q201" s="22"/>
      <c r="R201" s="170"/>
      <c r="S201" s="213">
        <f t="shared" si="92"/>
        <v>1</v>
      </c>
      <c r="T201" s="195" t="str">
        <f t="shared" si="63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4"/>
        <v>https://d0f6bd738d7f1b3e5a7ca70fe4ff75f0.us-east-1.aws.found.io/app/kibana#/discover/Steve-Slow-Train-Analysis-(2080s-and-2083s)?_g=(refreshInterval:(display:Off,pause:!f,section:0,value:0),time:(from:'2017-07-05T19:38:12-0600',mode:absolute,to:'2017-07-05T21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197" t="str">
        <f>IF(AA201&lt;VLOOKUP(AG201,Variables!$AC$3:$AD$8,2,FALSE),"Y","N")</f>
        <v>N</v>
      </c>
      <c r="X201" s="197">
        <f t="shared" si="91"/>
        <v>1</v>
      </c>
      <c r="Y201" s="197">
        <f t="shared" si="89"/>
        <v>5.8638000000000003</v>
      </c>
      <c r="Z201" s="197">
        <f t="shared" si="90"/>
        <v>6.7699999999999996E-2</v>
      </c>
      <c r="AA201" s="197">
        <f t="shared" si="67"/>
        <v>5.7961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8"/>
        <v>842</v>
      </c>
      <c r="AE201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201" s="74" t="str">
        <f t="shared" si="70"/>
        <v>"C:\Program Files (x86)\AstroGrep\AstroGrep.exe" /e /r /s /spath="%USERPROFILE%\AppData\Local\Temp\OnboardLogs" /stypes="app*4001*20170706*" /stext=" 02:.+((SYSTEM_STATE.+slice.+state.+changed )|(ment ac)|(multiple cpu faults)|(system.+state.+changed )|(\[timeout)|(PRM\|1\|D)|(kpr)|(kdp)|(train st.+moving)|(\|lc)|(penalty))"</v>
      </c>
      <c r="AG201" s="209" t="str">
        <f t="shared" si="71"/>
        <v>NW</v>
      </c>
      <c r="AH201" s="78" t="str">
        <f t="shared" ref="AH201:AH264" si="9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842-05 --locoid 4001 --swversion DE.1.0.9.0 --startMP 300:58638 --initTime 2017-07-05T20:38:12 --startdatetime 2017-07-05T20:40:17 --delay 1 --endMP 204:677 --enddatetime 2017-07-05T20:56:01 --enforcementcount 0 &gt;&gt;C:\Users\stu\Documents\GitHub\eaglep3-reporting\EC\2017-07-05-refined-times.txt</v>
      </c>
      <c r="AI201" s="96" t="str">
        <f t="shared" ref="AI201:AI264" si="9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{"issue":{"subject":"","project_id":79,"tracker_id":40,"status_id":1,"priority_id":2,"assigned_to_id":23,"start_date":"2017-07-05","description":"","custom_fields":[{"id":1,"name":"Subdivision","value":"NW"},{"id":4,"name":"Milepost","value":"0.0677"},{"id":17,"name":"Train ID","value":"842-05"},{"id":16,"name":"Locomotive ID","value":"4001"},{"id":130,"name":"Impact","value":""},{"id":150,"name":"Time of Event (Mountain Time)","value":"20:56:01"},{"id":151,"name":"Denver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ref="AM201:AM264" si="95">"start /low /b "&amp;dls3logs&amp;" --loco "&amp;B201&amp;" --day "&amp;TEXT(F201,"YYYY-MM-DD")</f>
        <v>start /low /b %USERPROFILE%\Documents\GitHub\eaglep3\Utilities\DownloadLogsFromS3.py --loco 4001 --day 2017-07-05</v>
      </c>
      <c r="AN201" s="151" t="str">
        <f t="shared" ref="AN201:AN264" si="96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02:56:01"},{"id":29,"name":"Sharepoint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797</v>
      </c>
      <c r="B202" s="7">
        <v>4002</v>
      </c>
      <c r="C202" s="21" t="s">
        <v>202</v>
      </c>
      <c r="D202" s="21" t="s">
        <v>1003</v>
      </c>
      <c r="E202" s="13">
        <v>42921.839120370372</v>
      </c>
      <c r="F202" s="13">
        <v>42921.848101851851</v>
      </c>
      <c r="G202" s="7">
        <v>1</v>
      </c>
      <c r="H202" s="21" t="s">
        <v>1004</v>
      </c>
      <c r="I202" s="13">
        <v>42921.858495370368</v>
      </c>
      <c r="J202" s="7">
        <v>0</v>
      </c>
      <c r="K202" s="89" t="str">
        <f t="shared" si="60"/>
        <v>4001/4002</v>
      </c>
      <c r="L202" s="21" t="str">
        <f>VLOOKUP(A202,'Trips&amp;Operators'!$C$1:$G$99999,5,FALSE)</f>
        <v>LEVERE CRAIG</v>
      </c>
      <c r="M202" s="6">
        <f t="shared" si="61"/>
        <v>1.0393518517958E-2</v>
      </c>
      <c r="N202" s="7">
        <f t="shared" si="88"/>
        <v>14.96666666585952</v>
      </c>
      <c r="O202" s="7"/>
      <c r="P202" s="7"/>
      <c r="Q202" s="22"/>
      <c r="R202" s="170"/>
      <c r="S202" s="213">
        <f t="shared" si="92"/>
        <v>1</v>
      </c>
      <c r="T202" s="195" t="str">
        <f t="shared" si="63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4"/>
        <v>https://d0f6bd738d7f1b3e5a7ca70fe4ff75f0.us-east-1.aws.found.io/app/kibana#/discover/Steve-Slow-Train-Analysis-(2080s-and-2083s)?_g=(refreshInterval:(display:Off,pause:!f,section:0,value:0),time:(from:'2017-07-05T19:08:20-0600',mode:absolute,to:'2017-07-05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197" t="str">
        <f>IF(AA202&lt;VLOOKUP(AG202,Variables!$AC$3:$AD$8,2,FALSE),"Y","N")</f>
        <v>N</v>
      </c>
      <c r="X202" s="197">
        <f t="shared" si="91"/>
        <v>1</v>
      </c>
      <c r="Y202" s="197">
        <f t="shared" si="89"/>
        <v>9.74E-2</v>
      </c>
      <c r="Z202" s="197">
        <f t="shared" si="90"/>
        <v>5.8958000000000004</v>
      </c>
      <c r="AA202" s="197">
        <f t="shared" si="67"/>
        <v>5.7984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8"/>
        <v>843</v>
      </c>
      <c r="AE202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202" s="74" t="str">
        <f t="shared" si="70"/>
        <v>"C:\Program Files (x86)\AstroGrep\AstroGrep.exe" /e /r /s /spath="%USERPROFILE%\AppData\Local\Temp\OnboardLogs" /stypes="app*4002*20170706*" /stext=" 02:.+((SYSTEM_STATE.+slice.+state.+changed )|(ment ac)|(multiple cpu faults)|(system.+state.+changed )|(\[timeout)|(PRM\|1\|D)|(kpr)|(kdp)|(train st.+moving)|(\|lc)|(penalty))"</v>
      </c>
      <c r="AG202" s="209" t="str">
        <f t="shared" si="71"/>
        <v>NW</v>
      </c>
      <c r="AH202" s="78" t="str">
        <f t="shared" si="93"/>
        <v>"%USERPROFILE%\Documents\GitHub\eaglep3\Utilities\RefineRTDCRunTimes.py" --tripid 843-05 --locoid 4002 --swversion DE.1.0.9.0 --startMP 204:974 --initTime 2017-07-05T20:08:20 --startdatetime 2017-07-05T20:21:16 --delay 1 --endMP 300:58958 --enddatetime 2017-07-05T20:36:14 --enforcementcount 0 &gt;&gt;C:\Users\stu\Documents\GitHub\eaglep3-reporting\EC\2017-07-05-refined-times.txt</v>
      </c>
      <c r="AI202" s="96" t="str">
        <f t="shared" si="94"/>
        <v>echo {"issue":{"subject":"","project_id":79,"tracker_id":40,"status_id":1,"priority_id":2,"assigned_to_id":23,"start_date":"2017-07-05","description":"","custom_fields":[{"id":1,"name":"Subdivision","value":"NW"},{"id":4,"name":"Milepost","value":"5.8958"},{"id":17,"name":"Train ID","value":"843-05"},{"id":16,"name":"Locomotive ID","value":"4002"},{"id":130,"name":"Impact","value":""},{"id":150,"name":"Time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95"/>
        <v>start /low /b %USERPROFILE%\Documents\GitHub\eaglep3\Utilities\DownloadLogsFromS3.py --loco 4002 --day 2017-07-05</v>
      </c>
      <c r="AN202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806</v>
      </c>
      <c r="B203" s="7">
        <v>4001</v>
      </c>
      <c r="C203" s="21" t="s">
        <v>202</v>
      </c>
      <c r="D203" s="21" t="s">
        <v>463</v>
      </c>
      <c r="E203" s="13">
        <v>42921.900416666664</v>
      </c>
      <c r="F203" s="13">
        <v>42921.902141203704</v>
      </c>
      <c r="G203" s="7">
        <v>1</v>
      </c>
      <c r="H203" s="21" t="s">
        <v>1005</v>
      </c>
      <c r="I203" s="13">
        <v>42921.912534722222</v>
      </c>
      <c r="J203" s="7">
        <v>0</v>
      </c>
      <c r="K203" s="89" t="str">
        <f t="shared" si="60"/>
        <v>4001/4002</v>
      </c>
      <c r="L203" s="21" t="str">
        <f>VLOOKUP(A203,'Trips&amp;Operators'!$C$1:$G$99999,5,FALSE)</f>
        <v>STAMBAUGH JAMES</v>
      </c>
      <c r="M203" s="6">
        <f t="shared" si="61"/>
        <v>1.0393518517958E-2</v>
      </c>
      <c r="N203" s="7">
        <f t="shared" si="88"/>
        <v>14.96666666585952</v>
      </c>
      <c r="O203" s="7"/>
      <c r="P203" s="7"/>
      <c r="Q203" s="22"/>
      <c r="R203" s="170"/>
      <c r="S203" s="213">
        <f t="shared" si="92"/>
        <v>1</v>
      </c>
      <c r="T203" s="195" t="str">
        <f t="shared" si="63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4"/>
        <v>https://d0f6bd738d7f1b3e5a7ca70fe4ff75f0.us-east-1.aws.found.io/app/kibana#/discover/Steve-Slow-Train-Analysis-(2080s-and-2083s)?_g=(refreshInterval:(display:Off,pause:!f,section:0,value:0),time:(from:'2017-07-05T20:36:36-0600',mode:absolute,to:'2017-07-05T22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3" s="197" t="str">
        <f>IF(AA203&lt;VLOOKUP(AG203,Variables!$AC$3:$AD$8,2,FALSE),"Y","N")</f>
        <v>N</v>
      </c>
      <c r="X203" s="197">
        <f t="shared" si="91"/>
        <v>1</v>
      </c>
      <c r="Y203" s="197">
        <f t="shared" si="89"/>
        <v>5.8620999999999999</v>
      </c>
      <c r="Z203" s="197">
        <f t="shared" si="90"/>
        <v>6.7799999999999999E-2</v>
      </c>
      <c r="AA203" s="197">
        <f t="shared" si="67"/>
        <v>5.7942999999999998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8"/>
        <v>844</v>
      </c>
      <c r="AE203" s="77" t="str">
        <f t="shared" si="69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203" s="74" t="str">
        <f t="shared" si="70"/>
        <v>"C:\Program Files (x86)\AstroGrep\AstroGrep.exe" /e /r /s /spath="%USERPROFILE%\AppData\Local\Temp\OnboardLogs" /stypes="app*4001*20170706*" /stext=" 03:.+((SYSTEM_STATE.+slice.+state.+changed )|(ment ac)|(multiple cpu faults)|(system.+state.+changed )|(\[timeout)|(PRM\|1\|D)|(kpr)|(kdp)|(train st.+moving)|(\|lc)|(penalty))"</v>
      </c>
      <c r="AG203" s="209" t="str">
        <f t="shared" si="71"/>
        <v>NW</v>
      </c>
      <c r="AH203" s="78" t="str">
        <f t="shared" si="93"/>
        <v>"%USERPROFILE%\Documents\GitHub\eaglep3\Utilities\RefineRTDCRunTimes.py" --tripid 844-05 --locoid 4001 --swversion DE.1.0.9.0 --startMP 300:58621 --initTime 2017-07-05T21:36:36 --startdatetime 2017-07-05T21:39:05 --delay 1 --endMP 204:678 --enddatetime 2017-07-05T21:54:03 --enforcementcount 0 &gt;&gt;C:\Users\stu\Documents\GitHub\eaglep3-reporting\EC\2017-07-05-refined-times.txt</v>
      </c>
      <c r="AI203" s="96" t="str">
        <f t="shared" si="94"/>
        <v>echo {"issue":{"subject":"","project_id":79,"tracker_id":40,"status_id":1,"priority_id":2,"assigned_to_id":23,"start_date":"2017-07-05","description":"","custom_fields":[{"id":1,"name":"Subdivision","value":"NW"},{"id":4,"name":"Milepost","value":"0.0678"},{"id":17,"name":"Train ID","value":"844-05"},{"id":16,"name":"Locomotive ID","value":"4001"},{"id":130,"name":"Impact","value":""},{"id":150,"name":"Time of Event (Mountain Time)","value":"21:54:03"},{"id":151,"name":"Denver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95"/>
        <v>start /low /b %USERPROFILE%\Documents\GitHub\eaglep3\Utilities\DownloadLogsFromS3.py --loco 4001 --day 2017-07-05</v>
      </c>
      <c r="AN203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803</v>
      </c>
      <c r="B204" s="7">
        <v>4002</v>
      </c>
      <c r="C204" s="21" t="s">
        <v>202</v>
      </c>
      <c r="D204" s="21" t="s">
        <v>985</v>
      </c>
      <c r="E204" s="13">
        <v>42921.886122685188</v>
      </c>
      <c r="F204" s="13">
        <v>42921.890150462961</v>
      </c>
      <c r="G204" s="7">
        <v>2</v>
      </c>
      <c r="H204" s="21" t="s">
        <v>508</v>
      </c>
      <c r="I204" s="13">
        <v>42921.899421296293</v>
      </c>
      <c r="J204" s="7">
        <v>0</v>
      </c>
      <c r="K204" s="89" t="str">
        <f t="shared" si="60"/>
        <v>4001/4002</v>
      </c>
      <c r="L204" s="21" t="str">
        <f>VLOOKUP(A204,'Trips&amp;Operators'!$C$1:$G$99999,5,FALSE)</f>
        <v>STAMBAUGH JAMES</v>
      </c>
      <c r="M204" s="6">
        <f t="shared" si="61"/>
        <v>9.2708333322661929E-3</v>
      </c>
      <c r="N204" s="7">
        <f t="shared" si="88"/>
        <v>13.349999998463318</v>
      </c>
      <c r="O204" s="7"/>
      <c r="P204" s="7"/>
      <c r="Q204" s="22"/>
      <c r="R204" s="170"/>
      <c r="S204" s="213">
        <f t="shared" si="92"/>
        <v>1</v>
      </c>
      <c r="T204" s="195" t="str">
        <f t="shared" si="63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4"/>
        <v>https://d0f6bd738d7f1b3e5a7ca70fe4ff75f0.us-east-1.aws.found.io/app/kibana#/discover/Steve-Slow-Train-Analysis-(2080s-and-2083s)?_g=(refreshInterval:(display:Off,pause:!f,section:0,value:0),time:(from:'2017-07-05T20:16:01-0600',mode:absolute,to:'2017-07-05T22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197" t="str">
        <f>IF(AA204&lt;VLOOKUP(AG204,Variables!$AC$3:$AD$8,2,FALSE),"Y","N")</f>
        <v>N</v>
      </c>
      <c r="X204" s="197">
        <f t="shared" si="91"/>
        <v>1</v>
      </c>
      <c r="Y204" s="197">
        <f t="shared" si="89"/>
        <v>9.8799999999999999E-2</v>
      </c>
      <c r="Z204" s="197">
        <f t="shared" si="90"/>
        <v>5.8936999999999999</v>
      </c>
      <c r="AA204" s="197">
        <f t="shared" si="67"/>
        <v>5.7949000000000002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8"/>
        <v>845</v>
      </c>
      <c r="AE204" s="77" t="str">
        <f t="shared" si="69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204" s="74" t="str">
        <f t="shared" si="70"/>
        <v>"C:\Program Files (x86)\AstroGrep\AstroGrep.exe" /e /r /s /spath="%USERPROFILE%\AppData\Local\Temp\OnboardLogs" /stypes="app*4002*20170706*" /stext=" 03:.+((SYSTEM_STATE.+slice.+state.+changed )|(ment ac)|(multiple cpu faults)|(system.+state.+changed )|(\[timeout)|(PRM\|1\|D)|(kpr)|(kdp)|(train st.+moving)|(\|lc)|(penalty))"</v>
      </c>
      <c r="AG204" s="209" t="str">
        <f t="shared" si="71"/>
        <v>NW</v>
      </c>
      <c r="AH204" s="78" t="str">
        <f t="shared" si="93"/>
        <v>"%USERPROFILE%\Documents\GitHub\eaglep3\Utilities\RefineRTDCRunTimes.py" --tripid 845-05 --locoid 4002 --swversion DE.1.0.9.0 --startMP 204:988 --initTime 2017-07-05T21:16:01 --startdatetime 2017-07-05T21:21:49 --delay 2 --endMP 300:58937 --enddatetime 2017-07-05T21:35:10 --enforcementcount 0 &gt;&gt;C:\Users\stu\Documents\GitHub\eaglep3-reporting\EC\2017-07-05-refined-times.txt</v>
      </c>
      <c r="AI204" s="96" t="str">
        <f t="shared" si="94"/>
        <v>echo {"issue":{"subject":"","project_id":79,"tracker_id":40,"status_id":1,"priority_id":2,"assigned_to_id":23,"start_date":"2017-07-05","description":"","custom_fields":[{"id":1,"name":"Subdivision","value":"NW"},{"id":4,"name":"Milepost","value":"5.8937"},{"id":17,"name":"Train ID","value":"845-05"},{"id":16,"name":"Locomotive ID","value":"4002"},{"id":130,"name":"Impact","value":""},{"id":150,"name":"Time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95"/>
        <v>start /low /b %USERPROFILE%\Documents\GitHub\eaglep3\Utilities\DownloadLogsFromS3.py --loco 4002 --day 2017-07-05</v>
      </c>
      <c r="AN204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809</v>
      </c>
      <c r="B205" s="7">
        <v>4002</v>
      </c>
      <c r="C205" s="21" t="s">
        <v>202</v>
      </c>
      <c r="D205" s="21" t="s">
        <v>993</v>
      </c>
      <c r="E205" s="13">
        <v>42921.924340277779</v>
      </c>
      <c r="F205" s="13">
        <v>42921.932013888887</v>
      </c>
      <c r="G205" s="7">
        <v>2</v>
      </c>
      <c r="H205" s="21" t="s">
        <v>960</v>
      </c>
      <c r="I205" s="13">
        <v>42921.941516203704</v>
      </c>
      <c r="J205" s="7">
        <v>0</v>
      </c>
      <c r="K205" s="89" t="str">
        <f t="shared" ref="K205:K267" si="97">IF(ISEVEN(B205),(B205-1)&amp;"/"&amp;B205,B205&amp;"/"&amp;(B205+1))</f>
        <v>4001/4002</v>
      </c>
      <c r="L205" s="21" t="str">
        <f>VLOOKUP(A205,'Trips&amp;Operators'!$C$1:$G$99999,5,FALSE)</f>
        <v>STAMBAUGH JAMES</v>
      </c>
      <c r="M205" s="6">
        <f t="shared" ref="M205:M267" si="98">I205-F205</f>
        <v>9.5023148169275373E-3</v>
      </c>
      <c r="N205" s="7">
        <f t="shared" si="88"/>
        <v>13.683333336375654</v>
      </c>
      <c r="O205" s="7"/>
      <c r="P205" s="7"/>
      <c r="Q205" s="22"/>
      <c r="R205" s="170"/>
      <c r="S205" s="213">
        <f t="shared" si="92"/>
        <v>1</v>
      </c>
      <c r="T205" s="195" t="str">
        <f t="shared" ref="T205:T267" si="99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67" si="10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-05T21:11:03-0600',mode:absolute,to:'2017-07-05T23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197" t="str">
        <f>IF(AA205&lt;VLOOKUP(AG205,Variables!$AC$3:$AD$8,2,FALSE),"Y","N")</f>
        <v>N</v>
      </c>
      <c r="X205" s="197">
        <f t="shared" si="91"/>
        <v>2</v>
      </c>
      <c r="Y205" s="197">
        <f t="shared" si="89"/>
        <v>9.6000000000000002E-2</v>
      </c>
      <c r="Z205" s="197">
        <f t="shared" si="90"/>
        <v>5.8975</v>
      </c>
      <c r="AA205" s="197">
        <f t="shared" ref="AA205:AA268" si="101">ABS(Z205-Y205)</f>
        <v>5.8014999999999999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67" si="102">VALUE(LEFT(A205,LEN(A205)-3))</f>
        <v>847</v>
      </c>
      <c r="AE205" s="77" t="str">
        <f t="shared" ref="AE205:AE267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205" s="74" t="str">
        <f t="shared" ref="AF205:AF267" si="10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/stypes="app*4002*20170706*" /stext=" 04:.+((SYSTEM_STATE.+slice.+state.+changed )|(ment ac)|(multiple cpu faults)|(system.+state.+changed )|(\[timeout)|(PRM\|1\|D)|(kpr)|(kdp)|(train st.+moving)|(\|lc)|(penalty))"</v>
      </c>
      <c r="AG205" s="209" t="str">
        <f t="shared" ref="AG205:AG267" si="105">DetSubdiv(A205)</f>
        <v>NW</v>
      </c>
      <c r="AH205" s="78" t="str">
        <f t="shared" si="93"/>
        <v>"%USERPROFILE%\Documents\GitHub\eaglep3\Utilities\RefineRTDCRunTimes.py" --tripid 847-05 --locoid 4002 --swversion DE.1.0.9.0 --startMP 204:960 --initTime 2017-07-05T22:11:03 --startdatetime 2017-07-05T22:22:06 --delay 2 --endMP 300:58975 --enddatetime 2017-07-05T22:35:47 --enforcementcount 0 &gt;&gt;C:\Users\stu\Documents\GitHub\eaglep3-reporting\EC\2017-07-05-refined-times.txt</v>
      </c>
      <c r="AI205" s="96" t="str">
        <f t="shared" si="94"/>
        <v>echo {"issue":{"subject":"","project_id":79,"tracker_id":40,"status_id":1,"priority_id":2,"assigned_to_id":23,"start_date":"2017-07-05","description":"","custom_fields":[{"id":1,"name":"Subdivision","value":"NW"},{"id":4,"name":"Milepost","value":"5.8975"},{"id":17,"name":"Train ID","value":"847-05"},{"id":16,"name":"Locomotive ID","value":"4002"},{"id":130,"name":"Impact","value":""},{"id":150,"name":"Time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95"/>
        <v>start /low /b %USERPROFILE%\Documents\GitHub\eaglep3\Utilities\DownloadLogsFromS3.py --loco 4002 --day 2017-07-05</v>
      </c>
      <c r="AN205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631</v>
      </c>
      <c r="B206" s="7">
        <v>4061</v>
      </c>
      <c r="C206" s="21" t="s">
        <v>202</v>
      </c>
      <c r="D206" s="21" t="s">
        <v>895</v>
      </c>
      <c r="E206" s="13">
        <v>42921.115624999999</v>
      </c>
      <c r="F206" s="13">
        <v>42921.119039351855</v>
      </c>
      <c r="G206" s="7">
        <v>4</v>
      </c>
      <c r="H206" s="21" t="s">
        <v>487</v>
      </c>
      <c r="I206" s="13">
        <v>42921.124803240738</v>
      </c>
      <c r="J206" s="7">
        <v>0</v>
      </c>
      <c r="K206" s="89" t="str">
        <f t="shared" si="97"/>
        <v>4061/4062</v>
      </c>
      <c r="L206" s="21" t="str">
        <f>VLOOKUP(A206,'Trips&amp;Operators'!$C$1:$G$99999,5,FALSE)</f>
        <v>BONDS REYNALDO</v>
      </c>
      <c r="M206" s="6">
        <f t="shared" si="98"/>
        <v>5.7638888829387724E-3</v>
      </c>
      <c r="N206" s="7">
        <f t="shared" si="88"/>
        <v>8.2999999914318323</v>
      </c>
      <c r="O206" s="7"/>
      <c r="P206" s="7"/>
      <c r="Q206" s="22"/>
      <c r="R206" s="170"/>
      <c r="S206" s="213">
        <f t="shared" si="92"/>
        <v>1</v>
      </c>
      <c r="T206" s="195" t="str">
        <f t="shared" si="99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00"/>
        <v>https://d0f6bd738d7f1b3e5a7ca70fe4ff75f0.us-east-1.aws.found.io/app/kibana#/discover/Steve-Slow-Train-Analysis-(2080s-and-2083s)?_g=(refreshInterval:(display:Off,pause:!f,section:0,value:0),time:(from:'2017-07-05T01:46:30-0600',mode:absolute,to:'2017-07-05T03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6" s="197" t="str">
        <f>IF(AA206&lt;VLOOKUP(AG206,Variables!$AC$3:$AD$8,2,FALSE),"Y","N")</f>
        <v>Y</v>
      </c>
      <c r="X206" s="197">
        <f t="shared" si="91"/>
        <v>-547</v>
      </c>
      <c r="Y206" s="197">
        <f t="shared" si="89"/>
        <v>2.3603000000000001</v>
      </c>
      <c r="Z206" s="197">
        <f t="shared" si="90"/>
        <v>1.6E-2</v>
      </c>
      <c r="AA206" s="197">
        <f t="shared" si="101"/>
        <v>2.3443000000000001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102"/>
        <v>300</v>
      </c>
      <c r="AE206" s="77" t="str">
        <f t="shared" si="103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206" s="74" t="str">
        <f t="shared" si="104"/>
        <v>"C:\Program Files (x86)\AstroGrep\AstroGrep.exe" /e /r /s /spath="%USERPROFILE%\AppData\Local\Temp\OnboardLogs" /stypes="app*4061*20170705*" /stext=" 08:.+((SYSTEM_STATE.+slice.+state.+changed )|(ment ac)|(multiple cpu faults)|(system.+state.+changed )|(\[timeout)|(PRM\|1\|D)|(kpr)|(kdp)|(train st.+moving)|(\|lc)|(penalty))"</v>
      </c>
      <c r="AG206" s="209" t="str">
        <f t="shared" si="105"/>
        <v>Other</v>
      </c>
      <c r="AH206" s="78" t="str">
        <f t="shared" si="93"/>
        <v>"%USERPROFILE%\Documents\GitHub\eaglep3\Utilities\RefineRTDCRunTimes.py" --tripid 300-05 --locoid 4061 --swversion DE.1.0.9.0 --startMP 300:23603 --initTime 2017-07-05T02:46:30 --startdatetime 2017-07-05T02:51:25 --delay 4 --endMP 204:160 --enddatetime 2017-07-05T02:59:43 --enforcementcount 0 &gt;&gt;C:\Users\stu\Documents\GitHub\eaglep3-reporting\EC\2017-07-05-refined-times.txt</v>
      </c>
      <c r="AI206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{"issue":{"subject":"","project_id":79,"tracker_id":40,"status_id":1,"priority_id":2,"assigned_to_id":23,"start_date":"2017-07-05","description":"","custom_fields":[{"id":1,"name":"Subdivision","value":"Other"},{"id":4,"name":"Milepost","value":"0.016"},{"id":17,"name":"Train ID","value":"300-05"},{"id":16,"name":"Locomotive ID","value":"4061"},{"id":130,"name":"Impact","value":""},{"id":150,"name":"Time of Event (Mountain Time)","value":"02:59:43"},{"id":151,"name":"Denver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95"/>
        <v>start /low /b %USERPROFILE%\Documents\GitHub\eaglep3\Utilities\DownloadLogsFromS3.py --loco 4061 --day 2017-07-05</v>
      </c>
      <c r="AN206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08:59:43"},{"id":29,"name":"Sharepoint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787</v>
      </c>
      <c r="B207" s="7">
        <v>4054</v>
      </c>
      <c r="C207" s="21" t="s">
        <v>202</v>
      </c>
      <c r="D207" s="21" t="s">
        <v>432</v>
      </c>
      <c r="E207" s="13">
        <v>42921.777511574073</v>
      </c>
      <c r="F207" s="13">
        <v>42921.779120370367</v>
      </c>
      <c r="G207" s="7">
        <v>1</v>
      </c>
      <c r="H207" s="21" t="s">
        <v>896</v>
      </c>
      <c r="I207" s="13">
        <v>42921.78601851852</v>
      </c>
      <c r="J207" s="7">
        <v>0</v>
      </c>
      <c r="K207" s="89" t="str">
        <f t="shared" si="97"/>
        <v>4053/4054</v>
      </c>
      <c r="L207" s="21" t="str">
        <f>VLOOKUP(A207,'Trips&amp;Operators'!$C$1:$G$99999,5,FALSE)</f>
        <v>BRUDER RICHARD</v>
      </c>
      <c r="M207" s="6">
        <f t="shared" si="98"/>
        <v>6.8981481526861899E-3</v>
      </c>
      <c r="N207" s="7">
        <f t="shared" si="88"/>
        <v>9.9333333398681134</v>
      </c>
      <c r="O207" s="7"/>
      <c r="P207" s="7"/>
      <c r="Q207" s="22"/>
      <c r="R207" s="170"/>
      <c r="S207" s="213">
        <f t="shared" si="92"/>
        <v>1</v>
      </c>
      <c r="T207" s="195" t="str">
        <f t="shared" si="99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00"/>
        <v>https://d0f6bd738d7f1b3e5a7ca70fe4ff75f0.us-east-1.aws.found.io/app/kibana#/discover/Steve-Slow-Train-Analysis-(2080s-and-2083s)?_g=(refreshInterval:(display:Off,pause:!f,section:0,value:0),time:(from:'2017-07-05T17:39:37-0600',mode:absolute,to:'2017-07-05T19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97" t="str">
        <f>IF(AA207&lt;VLOOKUP(AG207,Variables!$AC$3:$AD$8,2,FALSE),"Y","N")</f>
        <v>Y</v>
      </c>
      <c r="X207" s="197">
        <f t="shared" si="91"/>
        <v>1</v>
      </c>
      <c r="Y207" s="197">
        <f t="shared" si="89"/>
        <v>4.58E-2</v>
      </c>
      <c r="Z207" s="197">
        <f t="shared" si="90"/>
        <v>2.3308</v>
      </c>
      <c r="AA207" s="197">
        <f t="shared" si="101"/>
        <v>2.2850000000000001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102"/>
        <v>301</v>
      </c>
      <c r="AE207" s="77" t="str">
        <f t="shared" si="103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207" s="74" t="str">
        <f t="shared" si="104"/>
        <v>"C:\Program Files (x86)\AstroGrep\AstroGrep.exe" /e /r /s /spath="%USERPROFILE%\AppData\Local\Temp\OnboardLogs" /stypes="app*4054*20170706*" /stext=" 00:.+((SYSTEM_STATE.+slice.+state.+changed )|(ment ac)|(multiple cpu faults)|(system.+state.+changed )|(\[timeout)|(PRM\|1\|D)|(kpr)|(kdp)|(train st.+moving)|(\|lc)|(penalty))"</v>
      </c>
      <c r="AG207" s="209" t="str">
        <f t="shared" si="105"/>
        <v>Other</v>
      </c>
      <c r="AH207" s="78" t="str">
        <f t="shared" si="93"/>
        <v>"%USERPROFILE%\Documents\GitHub\eaglep3\Utilities\RefineRTDCRunTimes.py" --tripid 301-05 --locoid 4054 --swversion DE.1.0.9.0 --startMP 204:458 --initTime 2017-07-05T18:39:37 --startdatetime 2017-07-05T18:41:56 --delay 1 --endMP 300:23308 --enddatetime 2017-07-05T18:51:52 --enforcementcount 0 &gt;&gt;C:\Users\stu\Documents\GitHub\eaglep3-reporting\EC\2017-07-05-refined-times.txt</v>
      </c>
      <c r="AI207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{"issue":{"subject":"","project_id":79,"tracker_id":40,"status_id":1,"priority_id":2,"assigned_to_id":23,"start_date":"2017-07-05","description":"","custom_fields":[{"id":1,"name":"Subdivision","value":"Other"},{"id":4,"name":"Milepost","value":"2.3308"},{"id":17,"name":"Train ID","value":"301-05"},{"id":16,"name":"Locomotive ID","value":"4054"},{"id":130,"name":"Impact","value":""},{"id":150,"name":"Time of Event (Mountain Time)","value":"18:51:52"},{"id":151,"name":"Denver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5"/>
        <v>start /low /b %USERPROFILE%\Documents\GitHub\eaglep3\Utilities\DownloadLogsFromS3.py --loco 4054 --day 2017-07-05</v>
      </c>
      <c r="AN207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787</v>
      </c>
      <c r="B208" s="7">
        <v>4054</v>
      </c>
      <c r="C208" s="21" t="s">
        <v>202</v>
      </c>
      <c r="D208" s="21" t="s">
        <v>897</v>
      </c>
      <c r="E208" s="13">
        <v>42921.777511574073</v>
      </c>
      <c r="F208" s="13">
        <v>42921.779120370367</v>
      </c>
      <c r="G208" s="7">
        <v>9</v>
      </c>
      <c r="H208" s="21" t="s">
        <v>896</v>
      </c>
      <c r="I208" s="13">
        <v>42921.78601851852</v>
      </c>
      <c r="J208" s="7">
        <v>0</v>
      </c>
      <c r="K208" s="89" t="str">
        <f t="shared" si="97"/>
        <v>4053/4054</v>
      </c>
      <c r="L208" s="21" t="str">
        <f>VLOOKUP(A208,'Trips&amp;Operators'!$C$1:$G$99999,5,FALSE)</f>
        <v>BRUDER RICHARD</v>
      </c>
      <c r="M208" s="6">
        <f t="shared" si="98"/>
        <v>6.8981481526861899E-3</v>
      </c>
      <c r="N208" s="7">
        <f t="shared" si="88"/>
        <v>9.9333333398681134</v>
      </c>
      <c r="O208" s="7"/>
      <c r="P208" s="7"/>
      <c r="Q208" s="22"/>
      <c r="R208" s="170"/>
      <c r="S208" s="213">
        <f t="shared" si="92"/>
        <v>0</v>
      </c>
      <c r="T208" s="195" t="str">
        <f t="shared" si="9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100"/>
        <v>https://d0f6bd738d7f1b3e5a7ca70fe4ff75f0.us-east-1.aws.found.io/app/kibana#/discover/Steve-Slow-Train-Analysis-(2080s-and-2083s)?_g=(refreshInterval:(display:Off,pause:!f,section:0,value:0),time:(from:'2017-07-05T17:39:37-0600',mode:absolute,to:'2017-07-05T19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97" t="str">
        <f>IF(AA208&lt;VLOOKUP(AG208,Variables!$AC$3:$AD$8,2,FALSE),"Y","N")</f>
        <v>Y</v>
      </c>
      <c r="X208" s="197">
        <f t="shared" si="91"/>
        <v>0</v>
      </c>
      <c r="Y208" s="197">
        <f t="shared" si="89"/>
        <v>2.3246000000000002</v>
      </c>
      <c r="Z208" s="197">
        <f t="shared" si="90"/>
        <v>2.3308</v>
      </c>
      <c r="AA208" s="197">
        <f t="shared" si="101"/>
        <v>6.1999999999997613E-3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102"/>
        <v>301</v>
      </c>
      <c r="AE208" s="77" t="str">
        <f t="shared" si="103"/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AF208" s="74" t="str">
        <f t="shared" si="104"/>
        <v>"C:\Program Files (x86)\AstroGrep\AstroGrep.exe" /e /r /s /spath="%USERPROFILE%\AppData\Local\Temp\OnboardLogs" /stypes="app*4054*20170706*" /stext=" 00:.+((SYSTEM_STATE.+slice.+state.+changed )|(ment ac)|(multiple cpu faults)|(system.+state.+changed )|(\[timeout)|(PRM\|1\|D)|(kpr)|(kdp)|(train st.+moving)|(\|lc)|(penalty))"</v>
      </c>
      <c r="AG208" s="209" t="str">
        <f t="shared" si="105"/>
        <v>Other</v>
      </c>
      <c r="AH208" s="78" t="str">
        <f t="shared" si="93"/>
        <v>"%USERPROFILE%\Documents\GitHub\eaglep3\Utilities\RefineRTDCRunTimes.py" --tripid 301-05 --locoid 4054 --swversion DE.1.0.9.0 --startMP 300:23246 --initTime 2017-07-05T18:39:37 --startdatetime 2017-07-05T18:41:56 --delay 9 --endMP 300:23308 --enddatetime 2017-07-05T18:51:52 --enforcementcount 0 &gt;&gt;C:\Users\stu\Documents\GitHub\eaglep3-reporting\EC\2017-07-05-refined-times.txt</v>
      </c>
      <c r="AI208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{"issue":{"subject":"","project_id":79,"tracker_id":40,"status_id":1,"priority_id":2,"assigned_to_id":23,"start_date":"2017-07-05","description":"","custom_fields":[{"id":1,"name":"Subdivision","value":"Other"},{"id":4,"name":"Milepost","value":"2.3308"},{"id":17,"name":"Train ID","value":"301-05"},{"id":16,"name":"Locomotive ID","value":"4054"},{"id":130,"name":"Impact","value":""},{"id":150,"name":"Time of Event (Mountain Time)","value":"18:51:52"},{"id":151,"name":"Denver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5"/>
        <v>start /low /b %USERPROFILE%\Documents\GitHub\eaglep3\Utilities\DownloadLogsFromS3.py --loco 4054 --day 2017-07-05</v>
      </c>
      <c r="AN208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634</v>
      </c>
      <c r="B209" s="7">
        <v>4017</v>
      </c>
      <c r="C209" s="21" t="s">
        <v>202</v>
      </c>
      <c r="D209" s="21" t="s">
        <v>898</v>
      </c>
      <c r="E209" s="13">
        <v>42921.13521990741</v>
      </c>
      <c r="F209" s="13">
        <v>42921.140057870369</v>
      </c>
      <c r="G209" s="7">
        <v>6</v>
      </c>
      <c r="H209" s="21" t="s">
        <v>193</v>
      </c>
      <c r="I209" s="13">
        <v>42921.145104166666</v>
      </c>
      <c r="J209" s="7">
        <v>0</v>
      </c>
      <c r="K209" s="89" t="str">
        <f t="shared" si="97"/>
        <v>4017/4018</v>
      </c>
      <c r="L209" s="21" t="str">
        <f>VLOOKUP(A209,'Trips&amp;Operators'!$C$1:$G$99999,5,FALSE)</f>
        <v>MAELZER KURT</v>
      </c>
      <c r="M209" s="6">
        <f t="shared" si="98"/>
        <v>5.0462962972233072E-3</v>
      </c>
      <c r="N209" s="7">
        <f t="shared" si="88"/>
        <v>7.2666666680015624</v>
      </c>
      <c r="O209" s="7"/>
      <c r="P209" s="7"/>
      <c r="Q209" s="22"/>
      <c r="R209" s="170"/>
      <c r="S209" s="213">
        <f t="shared" si="92"/>
        <v>1</v>
      </c>
      <c r="T209" s="195" t="str">
        <f t="shared" si="99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00"/>
        <v>https://d0f6bd738d7f1b3e5a7ca70fe4ff75f0.us-east-1.aws.found.io/app/kibana#/discover/Steve-Slow-Train-Analysis-(2080s-and-2083s)?_g=(refreshInterval:(display:Off,pause:!f,section:0,value:0),time:(from:'2017-07-05T02:14:43-0600',mode:absolute,to:'2017-07-05T04:28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97" t="str">
        <f>IF(AA209&lt;VLOOKUP(AG209,Variables!$AC$3:$AD$8,2,FALSE),"Y","N")</f>
        <v>Y</v>
      </c>
      <c r="X209" s="197">
        <f t="shared" si="91"/>
        <v>1</v>
      </c>
      <c r="Y209" s="197">
        <f t="shared" si="89"/>
        <v>2.0613999999999999</v>
      </c>
      <c r="Z209" s="197">
        <f t="shared" si="90"/>
        <v>1.52E-2</v>
      </c>
      <c r="AA209" s="197">
        <f t="shared" si="101"/>
        <v>2.0461999999999998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102"/>
        <v>302</v>
      </c>
      <c r="AE209" s="77" t="str">
        <f t="shared" si="103"/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AF209" s="74" t="str">
        <f t="shared" si="104"/>
        <v>"C:\Program Files (x86)\AstroGrep\AstroGrep.exe" /e /r /s /spath="%USERPROFILE%\AppData\Local\Temp\OnboardLogs" /stypes="app*4017*20170705*" /stext=" 09:.+((SYSTEM_STATE.+slice.+state.+changed )|(ment ac)|(multiple cpu faults)|(system.+state.+changed )|(\[timeout)|(PRM\|1\|D)|(kpr)|(kdp)|(train st.+moving)|(\|lc)|(penalty))"</v>
      </c>
      <c r="AG209" s="209" t="str">
        <f t="shared" si="105"/>
        <v>Other</v>
      </c>
      <c r="AH209" s="78" t="str">
        <f t="shared" si="93"/>
        <v>"%USERPROFILE%\Documents\GitHub\eaglep3\Utilities\RefineRTDCRunTimes.py" --tripid 302-05 --locoid 4017 --swversion DE.1.0.9.0 --startMP 300:20614 --initTime 2017-07-05T03:14:43 --startdatetime 2017-07-05T03:21:41 --delay 6 --endMP 204:152 --enddatetime 2017-07-05T03:28:57 --enforcementcount 0 &gt;&gt;C:\Users\stu\Documents\GitHub\eaglep3-reporting\EC\2017-07-05-refined-times.txt</v>
      </c>
      <c r="AI209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{"issue":{"subject":"","project_id":79,"tracker_id":40,"status_id":1,"priority_id":2,"assigned_to_id":23,"start_date":"2017-07-05","description":"","custom_fields":[{"id":1,"name":"Subdivision","value":"Other"},{"id":4,"name":"Milepost","value":"0.0152"},{"id":17,"name":"Train ID","value":"302-05"},{"id":16,"name":"Locomotive ID","value":"4017"},{"id":130,"name":"Impact","value":""},{"id":150,"name":"Time of Event (Mountain Time)","value":"03:28:57"},{"id":151,"name":"Denver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5"/>
        <v>start /low /b %USERPROFILE%\Documents\GitHub\eaglep3\Utilities\DownloadLogsFromS3.py --loco 4017 --day 2017-07-05</v>
      </c>
      <c r="AN209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09:28:57"},{"id":29,"name":"Sharepoint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790</v>
      </c>
      <c r="B210" s="7">
        <v>4056</v>
      </c>
      <c r="C210" s="21" t="s">
        <v>202</v>
      </c>
      <c r="D210" s="21" t="s">
        <v>899</v>
      </c>
      <c r="E210" s="13">
        <v>42921.798657407409</v>
      </c>
      <c r="F210" s="13">
        <v>42921.800219907411</v>
      </c>
      <c r="G210" s="7">
        <v>1</v>
      </c>
      <c r="H210" s="21" t="s">
        <v>900</v>
      </c>
      <c r="I210" s="13">
        <v>42921.807384259257</v>
      </c>
      <c r="J210" s="7">
        <v>0</v>
      </c>
      <c r="K210" s="89" t="str">
        <f t="shared" si="97"/>
        <v>4055/4056</v>
      </c>
      <c r="L210" s="21" t="str">
        <f>VLOOKUP(A210,'Trips&amp;Operators'!$C$1:$G$99999,5,FALSE)</f>
        <v>RESPASS AARON</v>
      </c>
      <c r="M210" s="6">
        <f t="shared" si="98"/>
        <v>7.1643518458586186E-3</v>
      </c>
      <c r="N210" s="7">
        <f t="shared" si="88"/>
        <v>10.316666658036411</v>
      </c>
      <c r="O210" s="7"/>
      <c r="P210" s="7"/>
      <c r="Q210" s="22"/>
      <c r="R210" s="170"/>
      <c r="S210" s="213">
        <f t="shared" si="92"/>
        <v>1</v>
      </c>
      <c r="T210" s="195" t="str">
        <f t="shared" si="99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00"/>
        <v>https://d0f6bd738d7f1b3e5a7ca70fe4ff75f0.us-east-1.aws.found.io/app/kibana#/discover/Steve-Slow-Train-Analysis-(2080s-and-2083s)?_g=(refreshInterval:(display:Off,pause:!f,section:0,value:0),time:(from:'2017-07-05T18:10:04-0600',mode:absolute,to:'2017-07-05T20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197" t="str">
        <f>IF(AA210&lt;VLOOKUP(AG210,Variables!$AC$3:$AD$8,2,FALSE),"Y","N")</f>
        <v>Y</v>
      </c>
      <c r="X210" s="197">
        <f t="shared" si="91"/>
        <v>1</v>
      </c>
      <c r="Y210" s="197">
        <f t="shared" si="89"/>
        <v>5.3900000000000003E-2</v>
      </c>
      <c r="Z210" s="197">
        <f t="shared" si="90"/>
        <v>2.3296999999999999</v>
      </c>
      <c r="AA210" s="197">
        <f t="shared" si="101"/>
        <v>2.2757999999999998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102"/>
        <v>303</v>
      </c>
      <c r="AE210" s="77" t="str">
        <f t="shared" si="103"/>
        <v>aws s3 cp s3://rtdc.mdm.uploadarchive.raw/RTDC4056/ "%USERPROFILE%\AppData\Local\Temp\OnboardLogs"\RTDC4056\2017-07-05 --exclude "*" --recursive --include "*20170705*" &amp; "%USERPROFILE%\Documents\GitHub\mrs-test-scripts\Headless Mode &amp; Sideloading\WalkAndUnGZ.bat" "%USERPROFILE%\AppData\Local\Temp\OnboardLogs"\RTDC4056\2017-07-05 &amp; aws s3 cp s3://rtdc.mdm.uploadarchive.raw/RTDC4056/ "%USERPROFILE%\AppData\Local\Temp\OnboardLogs"\RTDC4056\2017-07-06 --exclude "*" --recursive --include "*20170706*" &amp; "%USERPROFILE%\Documents\GitHub\mrs-test-scripts\Headless Mode &amp; Sideloading\WalkAndUnGZ.bat" "%USERPROFILE%\AppData\Local\Temp\OnboardLogs"\RTDC4056\2017-07-06</v>
      </c>
      <c r="AF210" s="74" t="str">
        <f t="shared" si="104"/>
        <v>"C:\Program Files (x86)\AstroGrep\AstroGrep.exe" /e /r /s /spath="%USERPROFILE%\AppData\Local\Temp\OnboardLogs" /stypes="app*4056*20170706*" /stext=" 01:.+((SYSTEM_STATE.+slice.+state.+changed )|(ment ac)|(multiple cpu faults)|(system.+state.+changed )|(\[timeout)|(PRM\|1\|D)|(kpr)|(kdp)|(train st.+moving)|(\|lc)|(penalty))"</v>
      </c>
      <c r="AG210" s="209" t="str">
        <f t="shared" si="105"/>
        <v>Other</v>
      </c>
      <c r="AH210" s="78" t="str">
        <f t="shared" si="93"/>
        <v>"%USERPROFILE%\Documents\GitHub\eaglep3\Utilities\RefineRTDCRunTimes.py" --tripid 303-05 --locoid 4056 --swversion DE.1.0.9.0 --startMP 204:539 --initTime 2017-07-05T19:10:04 --startdatetime 2017-07-05T19:12:19 --delay 1 --endMP 300:23297 --enddatetime 2017-07-05T19:22:38 --enforcementcount 0 &gt;&gt;C:\Users\stu\Documents\GitHub\eaglep3-reporting\EC\2017-07-05-refined-times.txt</v>
      </c>
      <c r="AI210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{"issue":{"subject":"","project_id":79,"tracker_id":40,"status_id":1,"priority_id":2,"assigned_to_id":23,"start_date":"2017-07-05","description":"","custom_fields":[{"id":1,"name":"Subdivision","value":"Other"},{"id":4,"name":"Milepost","value":"2.3297"},{"id":17,"name":"Train ID","value":"303-05"},{"id":16,"name":"Locomotive ID","value":"4056"},{"id":130,"name":"Impact","value":""},{"id":150,"name":"Time of Event (Mountain Time)","value":"19:22:38"},{"id":151,"name":"Denver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5"/>
        <v>start /low /b %USERPROFILE%\Documents\GitHub\eaglep3\Utilities\DownloadLogsFromS3.py --loco 4056 --day 2017-07-05</v>
      </c>
      <c r="AN210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637</v>
      </c>
      <c r="B211" s="7">
        <v>4041</v>
      </c>
      <c r="C211" s="21" t="s">
        <v>202</v>
      </c>
      <c r="D211" s="21" t="s">
        <v>901</v>
      </c>
      <c r="E211" s="13">
        <v>42921.160844907405</v>
      </c>
      <c r="F211" s="13">
        <v>42921.167500000003</v>
      </c>
      <c r="G211" s="7">
        <v>9</v>
      </c>
      <c r="H211" s="21" t="s">
        <v>413</v>
      </c>
      <c r="I211" s="13">
        <v>42921.172789351855</v>
      </c>
      <c r="J211" s="7">
        <v>0</v>
      </c>
      <c r="K211" s="89" t="str">
        <f t="shared" si="97"/>
        <v>4041/4042</v>
      </c>
      <c r="L211" s="21" t="str">
        <f>VLOOKUP(A211,'Trips&amp;Operators'!$C$1:$G$99999,5,FALSE)</f>
        <v>STARKS ANGELINA</v>
      </c>
      <c r="M211" s="6">
        <f t="shared" si="98"/>
        <v>5.2893518513883464E-3</v>
      </c>
      <c r="N211" s="7">
        <f t="shared" si="88"/>
        <v>7.6166666659992188</v>
      </c>
      <c r="O211" s="7"/>
      <c r="P211" s="7"/>
      <c r="Q211" s="22"/>
      <c r="R211" s="170"/>
      <c r="S211" s="213">
        <f t="shared" si="92"/>
        <v>1</v>
      </c>
      <c r="T211" s="195" t="str">
        <f t="shared" si="99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00"/>
        <v>https://d0f6bd738d7f1b3e5a7ca70fe4ff75f0.us-east-1.aws.found.io/app/kibana#/discover/Steve-Slow-Train-Analysis-(2080s-and-2083s)?_g=(refreshInterval:(display:Off,pause:!f,section:0,value:0),time:(from:'2017-07-05T02:51:37-0600',mode:absolute,to:'2017-07-05T05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7" t="str">
        <f>IF(AA211&lt;VLOOKUP(AG211,Variables!$AC$3:$AD$8,2,FALSE),"Y","N")</f>
        <v>Y</v>
      </c>
      <c r="X211" s="197">
        <f t="shared" si="91"/>
        <v>1</v>
      </c>
      <c r="Y211" s="197">
        <f t="shared" si="89"/>
        <v>2.0188999999999999</v>
      </c>
      <c r="Z211" s="197">
        <f t="shared" si="90"/>
        <v>1.38E-2</v>
      </c>
      <c r="AA211" s="197">
        <f t="shared" si="101"/>
        <v>2.0051000000000001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102"/>
        <v>304</v>
      </c>
      <c r="AE211" s="77" t="str">
        <f t="shared" si="103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211" s="74" t="str">
        <f t="shared" si="104"/>
        <v>"C:\Program Files (x86)\AstroGrep\AstroGrep.exe" /e /r /s /spath="%USERPROFILE%\AppData\Local\Temp\OnboardLogs" /stypes="app*4041*20170705*" /stext=" 10:.+((SYSTEM_STATE.+slice.+state.+changed )|(ment ac)|(multiple cpu faults)|(system.+state.+changed )|(\[timeout)|(PRM\|1\|D)|(kpr)|(kdp)|(train st.+moving)|(\|lc)|(penalty))"</v>
      </c>
      <c r="AG211" s="209" t="str">
        <f t="shared" si="105"/>
        <v>Other</v>
      </c>
      <c r="AH211" s="78" t="str">
        <f t="shared" si="93"/>
        <v>"%USERPROFILE%\Documents\GitHub\eaglep3\Utilities\RefineRTDCRunTimes.py" --tripid 304-05 --locoid 4041 --swversion DE.1.0.9.0 --startMP 300:20189 --initTime 2017-07-05T03:51:37 --startdatetime 2017-07-05T04:01:12 --delay 9 --endMP 204:138 --enddatetime 2017-07-05T04:08:49 --enforcementcount 0 &gt;&gt;C:\Users\stu\Documents\GitHub\eaglep3-reporting\EC\2017-07-05-refined-times.txt</v>
      </c>
      <c r="AI211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{"issue":{"subject":"","project_id":79,"tracker_id":40,"status_id":1,"priority_id":2,"assigned_to_id":23,"start_date":"2017-07-05","description":"","custom_fields":[{"id":1,"name":"Subdivision","value":"Other"},{"id":4,"name":"Milepost","value":"0.0138"},{"id":17,"name":"Train ID","value":"304-05"},{"id":16,"name":"Locomotive ID","value":"4041"},{"id":130,"name":"Impact","value":""},{"id":150,"name":"Time of Event (Mountain Time)","value":"04:08:49"},{"id":151,"name":"Denver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5"/>
        <v>start /low /b %USERPROFILE%\Documents\GitHub\eaglep3\Utilities\DownloadLogsFromS3.py --loco 4041 --day 2017-07-05</v>
      </c>
      <c r="AN211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10:08:49"},{"id":29,"name":"Sharepoint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794</v>
      </c>
      <c r="B212" s="7">
        <v>4014</v>
      </c>
      <c r="C212" s="21" t="s">
        <v>202</v>
      </c>
      <c r="D212" s="21" t="s">
        <v>902</v>
      </c>
      <c r="E212" s="13">
        <v>42921.818425925929</v>
      </c>
      <c r="F212" s="13">
        <v>42921.819432870368</v>
      </c>
      <c r="G212" s="7">
        <v>1</v>
      </c>
      <c r="H212" s="21" t="s">
        <v>903</v>
      </c>
      <c r="I212" s="13">
        <v>42921.828414351854</v>
      </c>
      <c r="J212" s="7">
        <v>0</v>
      </c>
      <c r="K212" s="89" t="str">
        <f t="shared" si="97"/>
        <v>4013/4014</v>
      </c>
      <c r="L212" s="21" t="str">
        <f>VLOOKUP(A212,'Trips&amp;Operators'!$C$1:$G$99999,5,FALSE)</f>
        <v>HOLCOMB KAMDEN</v>
      </c>
      <c r="M212" s="6">
        <f t="shared" si="98"/>
        <v>8.9814814855344594E-3</v>
      </c>
      <c r="N212" s="7">
        <f t="shared" si="88"/>
        <v>12.933333339169621</v>
      </c>
      <c r="O212" s="7"/>
      <c r="P212" s="7"/>
      <c r="Q212" s="22"/>
      <c r="R212" s="170"/>
      <c r="S212" s="213">
        <f t="shared" si="92"/>
        <v>1</v>
      </c>
      <c r="T212" s="195" t="str">
        <f t="shared" si="9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00"/>
        <v>https://d0f6bd738d7f1b3e5a7ca70fe4ff75f0.us-east-1.aws.found.io/app/kibana#/discover/Steve-Slow-Train-Analysis-(2080s-and-2083s)?_g=(refreshInterval:(display:Off,pause:!f,section:0,value:0),time:(from:'2017-07-05T18:38:32-0600',mode:absolute,to:'2017-07-05T20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197" t="str">
        <f>IF(AA212&lt;VLOOKUP(AG212,Variables!$AC$3:$AD$8,2,FALSE),"Y","N")</f>
        <v>Y</v>
      </c>
      <c r="X212" s="197">
        <f t="shared" si="91"/>
        <v>1</v>
      </c>
      <c r="Y212" s="197">
        <f t="shared" si="89"/>
        <v>5.57E-2</v>
      </c>
      <c r="Z212" s="197">
        <f t="shared" si="90"/>
        <v>2.3302</v>
      </c>
      <c r="AA212" s="197">
        <f t="shared" si="101"/>
        <v>2.2745000000000002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102"/>
        <v>305</v>
      </c>
      <c r="AE212" s="77" t="str">
        <f t="shared" si="103"/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AF212" s="74" t="str">
        <f t="shared" si="104"/>
        <v>"C:\Program Files (x86)\AstroGrep\AstroGrep.exe" /e /r /s /spath="%USERPROFILE%\AppData\Local\Temp\OnboardLogs" /stypes="app*4014*20170706*" /stext=" 01:.+((SYSTEM_STATE.+slice.+state.+changed )|(ment ac)|(multiple cpu faults)|(system.+state.+changed )|(\[timeout)|(PRM\|1\|D)|(kpr)|(kdp)|(train st.+moving)|(\|lc)|(penalty))"</v>
      </c>
      <c r="AG212" s="209" t="str">
        <f t="shared" si="105"/>
        <v>Other</v>
      </c>
      <c r="AH212" s="78" t="str">
        <f t="shared" si="93"/>
        <v>"%USERPROFILE%\Documents\GitHub\eaglep3\Utilities\RefineRTDCRunTimes.py" --tripid 305-05 --locoid 4014 --swversion DE.1.0.9.0 --startMP 204:557 --initTime 2017-07-05T19:38:32 --startdatetime 2017-07-05T19:39:59 --delay 1 --endMP 300:23302 --enddatetime 2017-07-05T19:52:55 --enforcementcount 0 &gt;&gt;C:\Users\stu\Documents\GitHub\eaglep3-reporting\EC\2017-07-05-refined-times.txt</v>
      </c>
      <c r="AI212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{"issue":{"subject":"","project_id":79,"tracker_id":40,"status_id":1,"priority_id":2,"assigned_to_id":23,"start_date":"2017-07-05","description":"","custom_fields":[{"id":1,"name":"Subdivision","value":"Other"},{"id":4,"name":"Milepost","value":"2.3302"},{"id":17,"name":"Train ID","value":"305-05"},{"id":16,"name":"Locomotive ID","value":"4014"},{"id":130,"name":"Impact","value":""},{"id":150,"name":"Time of Event (Mountain Time)","value":"19:52:55"},{"id":151,"name":"Denver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5"/>
        <v>start /low /b %USERPROFILE%\Documents\GitHub\eaglep3\Utilities\DownloadLogsFromS3.py --loco 4014 --day 2017-07-05</v>
      </c>
      <c r="AN212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638</v>
      </c>
      <c r="B213" s="7">
        <v>4007</v>
      </c>
      <c r="C213" s="21" t="s">
        <v>202</v>
      </c>
      <c r="D213" s="21" t="s">
        <v>904</v>
      </c>
      <c r="E213" s="13">
        <v>42921.168807870374</v>
      </c>
      <c r="F213" s="13">
        <v>42921.172708333332</v>
      </c>
      <c r="G213" s="7">
        <v>5</v>
      </c>
      <c r="H213" s="21" t="s">
        <v>348</v>
      </c>
      <c r="I213" s="13">
        <v>42921.181018518517</v>
      </c>
      <c r="J213" s="7">
        <v>0</v>
      </c>
      <c r="K213" s="89" t="str">
        <f t="shared" si="97"/>
        <v>4007/4008</v>
      </c>
      <c r="L213" s="21" t="str">
        <f>VLOOKUP(A213,'Trips&amp;Operators'!$C$1:$G$99999,5,FALSE)</f>
        <v>MILLER KEVIN</v>
      </c>
      <c r="M213" s="6">
        <f t="shared" si="98"/>
        <v>8.3101851851097308E-3</v>
      </c>
      <c r="N213" s="7">
        <f t="shared" si="88"/>
        <v>11.966666666558012</v>
      </c>
      <c r="O213" s="7"/>
      <c r="P213" s="7"/>
      <c r="Q213" s="22"/>
      <c r="R213" s="170"/>
      <c r="S213" s="213">
        <f t="shared" si="92"/>
        <v>1</v>
      </c>
      <c r="T213" s="195" t="str">
        <f t="shared" si="9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100"/>
        <v>https://d0f6bd738d7f1b3e5a7ca70fe4ff75f0.us-east-1.aws.found.io/app/kibana#/discover/Steve-Slow-Train-Analysis-(2080s-and-2083s)?_g=(refreshInterval:(display:Off,pause:!f,section:0,value:0),time:(from:'2017-07-05T03:03:05-0600',mode:absolute,to:'2017-07-05T05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97" t="str">
        <f>IF(AA213&lt;VLOOKUP(AG213,Variables!$AC$3:$AD$8,2,FALSE),"Y","N")</f>
        <v>Y</v>
      </c>
      <c r="X213" s="197">
        <f t="shared" si="91"/>
        <v>1</v>
      </c>
      <c r="Y213" s="197">
        <f t="shared" si="89"/>
        <v>2.3096999999999999</v>
      </c>
      <c r="Z213" s="197">
        <f t="shared" si="90"/>
        <v>1.49E-2</v>
      </c>
      <c r="AA213" s="197">
        <f t="shared" si="101"/>
        <v>2.2948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102"/>
        <v>306</v>
      </c>
      <c r="AE213" s="77" t="str">
        <f t="shared" si="103"/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AF213" s="74" t="str">
        <f t="shared" si="104"/>
        <v>"C:\Program Files (x86)\AstroGrep\AstroGrep.exe" /e /r /s /spath="%USERPROFILE%\AppData\Local\Temp\OnboardLogs" /stypes="app*4007*20170705*" /stext=" 10:.+((SYSTEM_STATE.+slice.+state.+changed )|(ment ac)|(multiple cpu faults)|(system.+state.+changed )|(\[timeout)|(PRM\|1\|D)|(kpr)|(kdp)|(train st.+moving)|(\|lc)|(penalty))"</v>
      </c>
      <c r="AG213" s="209" t="str">
        <f t="shared" si="105"/>
        <v>Other</v>
      </c>
      <c r="AH213" s="78" t="str">
        <f t="shared" si="93"/>
        <v>"%USERPROFILE%\Documents\GitHub\eaglep3\Utilities\RefineRTDCRunTimes.py" --tripid 306-05 --locoid 4007 --swversion DE.1.0.9.0 --startMP 300:23097 --initTime 2017-07-05T04:03:05 --startdatetime 2017-07-05T04:08:42 --delay 5 --endMP 204:149 --enddatetime 2017-07-05T04:20:40 --enforcementcount 0 &gt;&gt;C:\Users\stu\Documents\GitHub\eaglep3-reporting\EC\2017-07-05-refined-times.txt</v>
      </c>
      <c r="AI213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{"issue":{"subject":"","project_id":79,"tracker_id":40,"status_id":1,"priority_id":2,"assigned_to_id":23,"start_date":"2017-07-05","description":"","custom_fields":[{"id":1,"name":"Subdivision","value":"Other"},{"id":4,"name":"Milepost","value":"0.0149"},{"id":17,"name":"Train ID","value":"306-05"},{"id":16,"name":"Locomotive ID","value":"4007"},{"id":130,"name":"Impact","value":""},{"id":150,"name":"Time of Event (Mountain Time)","value":"04:20:40"},{"id":151,"name":"Denver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5"/>
        <v>start /low /b %USERPROFILE%\Documents\GitHub\eaglep3\Utilities\DownloadLogsFromS3.py --loco 4007 --day 2017-07-05</v>
      </c>
      <c r="AN213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822</v>
      </c>
      <c r="B214" s="7">
        <v>4062</v>
      </c>
      <c r="C214" s="21" t="s">
        <v>202</v>
      </c>
      <c r="D214" s="21" t="s">
        <v>400</v>
      </c>
      <c r="E214" s="13">
        <v>42922.029907407406</v>
      </c>
      <c r="F214" s="13">
        <v>42922.031666666669</v>
      </c>
      <c r="G214" s="7">
        <v>1</v>
      </c>
      <c r="H214" s="21" t="s">
        <v>352</v>
      </c>
      <c r="I214" s="13">
        <v>42922.039976851855</v>
      </c>
      <c r="J214" s="7">
        <v>0</v>
      </c>
      <c r="K214" s="89" t="str">
        <f t="shared" si="97"/>
        <v>4061/4062</v>
      </c>
      <c r="L214" s="21" t="str">
        <f>VLOOKUP(A214,'Trips&amp;Operators'!$C$1:$G$99999,5,FALSE)</f>
        <v>FORTUNATO FRANK</v>
      </c>
      <c r="M214" s="6">
        <f t="shared" si="98"/>
        <v>8.3101851851097308E-3</v>
      </c>
      <c r="N214" s="7">
        <f t="shared" si="88"/>
        <v>11.966666666558012</v>
      </c>
      <c r="O214" s="7"/>
      <c r="P214" s="7"/>
      <c r="Q214" s="22"/>
      <c r="R214" s="170"/>
      <c r="S214" s="213">
        <f t="shared" si="92"/>
        <v>1</v>
      </c>
      <c r="T214" s="195" t="str">
        <f t="shared" si="9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00"/>
        <v>https://d0f6bd738d7f1b3e5a7ca70fe4ff75f0.us-east-1.aws.found.io/app/kibana#/discover/Steve-Slow-Train-Analysis-(2080s-and-2083s)?_g=(refreshInterval:(display:Off,pause:!f,section:0,value:0),time:(from:'2017-07-05T23:43:04-0600',mode:absolute,to:'2017-07-06T01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4" s="197" t="str">
        <f>IF(AA214&lt;VLOOKUP(AG214,Variables!$AC$3:$AD$8,2,FALSE),"Y","N")</f>
        <v>Y</v>
      </c>
      <c r="X214" s="197">
        <f t="shared" si="91"/>
        <v>1</v>
      </c>
      <c r="Y214" s="197">
        <f t="shared" si="89"/>
        <v>4.6699999999999998E-2</v>
      </c>
      <c r="Z214" s="197">
        <f t="shared" si="90"/>
        <v>2.3346</v>
      </c>
      <c r="AA214" s="197">
        <f t="shared" si="101"/>
        <v>2.2879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102"/>
        <v>307</v>
      </c>
      <c r="AE214" s="77" t="str">
        <f t="shared" si="103"/>
        <v>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 &amp; 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</v>
      </c>
      <c r="AF214" s="74" t="str">
        <f t="shared" si="104"/>
        <v>"C:\Program Files (x86)\AstroGrep\AstroGrep.exe" /e /r /s /spath="%USERPROFILE%\AppData\Local\Temp\OnboardLogs" /stypes="app*4062*20170706*" /stext=" 06:.+((SYSTEM_STATE.+slice.+state.+changed )|(ment ac)|(multiple cpu faults)|(system.+state.+changed )|(\[timeout)|(PRM\|1\|D)|(kpr)|(kdp)|(train st.+moving)|(\|lc)|(penalty))"</v>
      </c>
      <c r="AG214" s="209" t="str">
        <f t="shared" si="105"/>
        <v>Other</v>
      </c>
      <c r="AH214" s="78" t="str">
        <f t="shared" si="93"/>
        <v>"%USERPROFILE%\Documents\GitHub\eaglep3\Utilities\RefineRTDCRunTimes.py" --tripid 307-05 --locoid 4062 --swversion DE.1.0.9.0 --startMP 204:467 --initTime 2017-07-06T00:43:04 --startdatetime 2017-07-06T00:45:36 --delay 1 --endMP 300:23346 --enddatetime 2017-07-06T00:57:34 --enforcementcount 0 &gt;&gt;C:\Users\stu\Documents\GitHub\eaglep3-reporting\EC\2017-07-05-refined-times.txt</v>
      </c>
      <c r="AI214" s="96" t="str">
        <f t="shared" si="94"/>
        <v>echo {"issue":{"subject":"","project_id":79,"tracker_id":40,"status_id":1,"priority_id":2,"assigned_to_id":23,"start_date":"2017-07-06","description":"","custom_fields":[{"id":1,"name":"Subdivision","value":"Other"},{"id":4,"name":"Milepost","value":"2.3346"},{"id":17,"name":"Train ID","value":"307-05"},{"id":16,"name":"Locomotive ID","value":"4062"},{"id":130,"name":"Impact","value":""},{"id":150,"name":"Time of Event (Mountain Time)","value":"00:57:34"},{"id":151,"name":"Denver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5"/>
        <v>start /low /b %USERPROFILE%\Documents\GitHub\eaglep3\Utilities\DownloadLogsFromS3.py --loco 4062 --day 2017-07-06</v>
      </c>
      <c r="AN214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06:57:34"},{"id":29,"name":"Sharepoint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641</v>
      </c>
      <c r="B215" s="7">
        <v>4053</v>
      </c>
      <c r="C215" s="21" t="s">
        <v>202</v>
      </c>
      <c r="D215" s="21" t="s">
        <v>905</v>
      </c>
      <c r="E215" s="13">
        <v>42921.17832175926</v>
      </c>
      <c r="F215" s="13">
        <v>42921.181886574072</v>
      </c>
      <c r="G215" s="7">
        <v>5</v>
      </c>
      <c r="H215" s="21" t="s">
        <v>385</v>
      </c>
      <c r="I215" s="13">
        <v>42921.191076388888</v>
      </c>
      <c r="J215" s="7">
        <v>0</v>
      </c>
      <c r="K215" s="89" t="str">
        <f t="shared" si="97"/>
        <v>4053/4054</v>
      </c>
      <c r="L215" s="21" t="str">
        <f>VLOOKUP(A215,'Trips&amp;Operators'!$C$1:$G$99999,5,FALSE)</f>
        <v>DAVIS WENDY</v>
      </c>
      <c r="M215" s="6">
        <f t="shared" si="98"/>
        <v>9.189814816636499E-3</v>
      </c>
      <c r="N215" s="7">
        <f t="shared" si="88"/>
        <v>13.233333335956559</v>
      </c>
      <c r="O215" s="7"/>
      <c r="P215" s="7"/>
      <c r="Q215" s="22"/>
      <c r="R215" s="170"/>
      <c r="S215" s="213">
        <f t="shared" si="92"/>
        <v>1</v>
      </c>
      <c r="T215" s="195" t="str">
        <f t="shared" si="99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00"/>
        <v>https://d0f6bd738d7f1b3e5a7ca70fe4ff75f0.us-east-1.aws.found.io/app/kibana#/discover/Steve-Slow-Train-Analysis-(2080s-and-2083s)?_g=(refreshInterval:(display:Off,pause:!f,section:0,value:0),time:(from:'2017-07-05T03:16:47-0600',mode:absolute,to:'2017-07-05T05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5" s="197" t="str">
        <f>IF(AA215&lt;VLOOKUP(AG215,Variables!$AC$3:$AD$8,2,FALSE),"Y","N")</f>
        <v>Y</v>
      </c>
      <c r="X215" s="197">
        <f t="shared" si="91"/>
        <v>1</v>
      </c>
      <c r="Y215" s="197">
        <f t="shared" si="89"/>
        <v>2.2921</v>
      </c>
      <c r="Z215" s="197">
        <f t="shared" si="90"/>
        <v>1.54E-2</v>
      </c>
      <c r="AA215" s="197">
        <f t="shared" si="101"/>
        <v>2.2766999999999999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102"/>
        <v>308</v>
      </c>
      <c r="AE215" s="77" t="str">
        <f t="shared" si="103"/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AF215" s="74" t="str">
        <f t="shared" si="104"/>
        <v>"C:\Program Files (x86)\AstroGrep\AstroGrep.exe" /e /r /s /spath="%USERPROFILE%\AppData\Local\Temp\OnboardLogs" /stypes="app*4053*20170705*" /stext=" 10:.+((SYSTEM_STATE.+slice.+state.+changed )|(ment ac)|(multiple cpu faults)|(system.+state.+changed )|(\[timeout)|(PRM\|1\|D)|(kpr)|(kdp)|(train st.+moving)|(\|lc)|(penalty))"</v>
      </c>
      <c r="AG215" s="209" t="str">
        <f t="shared" si="105"/>
        <v>Other</v>
      </c>
      <c r="AH215" s="78" t="str">
        <f t="shared" si="93"/>
        <v>"%USERPROFILE%\Documents\GitHub\eaglep3\Utilities\RefineRTDCRunTimes.py" --tripid 308-05 --locoid 4053 --swversion DE.1.0.9.0 --startMP 300:22921 --initTime 2017-07-05T04:16:47 --startdatetime 2017-07-05T04:21:55 --delay 5 --endMP 204:154 --enddatetime 2017-07-05T04:35:09 --enforcementcount 0 &gt;&gt;C:\Users\stu\Documents\GitHub\eaglep3-reporting\EC\2017-07-05-refined-times.txt</v>
      </c>
      <c r="AI215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{"issue":{"subject":"","project_id":79,"tracker_id":40,"status_id":1,"priority_id":2,"assigned_to_id":23,"start_date":"2017-07-05","description":"","custom_fields":[{"id":1,"name":"Subdivision","value":"Other"},{"id":4,"name":"Milepost","value":"0.0154"},{"id":17,"name":"Train ID","value":"308-05"},{"id":16,"name":"Locomotive ID","value":"4053"},{"id":130,"name":"Impact","value":""},{"id":150,"name":"Time of Event (Mountain Time)","value":"04:35:09"},{"id":151,"name":"Denver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5"/>
        <v>start /low /b %USERPROFILE%\Documents\GitHub\eaglep3\Utilities\DownloadLogsFromS3.py --loco 4053 --day 2017-07-05</v>
      </c>
      <c r="AN215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823</v>
      </c>
      <c r="B216" s="7">
        <v>4018</v>
      </c>
      <c r="C216" s="21" t="s">
        <v>202</v>
      </c>
      <c r="D216" s="21" t="s">
        <v>198</v>
      </c>
      <c r="E216" s="13">
        <v>42922.048703703702</v>
      </c>
      <c r="F216" s="13">
        <v>42922.050497685188</v>
      </c>
      <c r="G216" s="7">
        <v>1</v>
      </c>
      <c r="H216" s="21" t="s">
        <v>352</v>
      </c>
      <c r="I216" s="13">
        <v>42922.057754629626</v>
      </c>
      <c r="J216" s="7">
        <v>0</v>
      </c>
      <c r="K216" s="89" t="str">
        <f t="shared" si="97"/>
        <v>4017/4018</v>
      </c>
      <c r="L216" s="21" t="str">
        <f>VLOOKUP(A216,'Trips&amp;Operators'!$C$1:$G$99999,5,FALSE)</f>
        <v>HAITHCOX MICHAEL</v>
      </c>
      <c r="M216" s="6">
        <f t="shared" si="98"/>
        <v>7.2569444382679649E-3</v>
      </c>
      <c r="N216" s="7">
        <f t="shared" si="88"/>
        <v>10.449999991105869</v>
      </c>
      <c r="O216" s="7"/>
      <c r="P216" s="7"/>
      <c r="Q216" s="22"/>
      <c r="R216" s="170"/>
      <c r="S216" s="213">
        <f t="shared" si="92"/>
        <v>1</v>
      </c>
      <c r="T216" s="195" t="str">
        <f t="shared" si="99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00"/>
        <v>https://d0f6bd738d7f1b3e5a7ca70fe4ff75f0.us-east-1.aws.found.io/app/kibana#/discover/Steve-Slow-Train-Analysis-(2080s-and-2083s)?_g=(refreshInterval:(display:Off,pause:!f,section:0,value:0),time:(from:'2017-07-06T00:10:08-0600',mode:absolute,to:'2017-07-06T02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97" t="str">
        <f>IF(AA216&lt;VLOOKUP(AG216,Variables!$AC$3:$AD$8,2,FALSE),"Y","N")</f>
        <v>Y</v>
      </c>
      <c r="X216" s="197">
        <f t="shared" si="91"/>
        <v>1</v>
      </c>
      <c r="Y216" s="197">
        <f t="shared" si="89"/>
        <v>4.5699999999999998E-2</v>
      </c>
      <c r="Z216" s="197">
        <f t="shared" si="90"/>
        <v>2.3346</v>
      </c>
      <c r="AA216" s="197">
        <f t="shared" si="101"/>
        <v>2.2888999999999999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102"/>
        <v>309</v>
      </c>
      <c r="AE216" s="77" t="str">
        <f t="shared" si="103"/>
        <v>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 &amp; 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</v>
      </c>
      <c r="AF216" s="74" t="str">
        <f t="shared" si="104"/>
        <v>"C:\Program Files (x86)\AstroGrep\AstroGrep.exe" /e /r /s /spath="%USERPROFILE%\AppData\Local\Temp\OnboardLogs" /stypes="app*4018*20170706*" /stext=" 07:.+((SYSTEM_STATE.+slice.+state.+changed )|(ment ac)|(multiple cpu faults)|(system.+state.+changed )|(\[timeout)|(PRM\|1\|D)|(kpr)|(kdp)|(train st.+moving)|(\|lc)|(penalty))"</v>
      </c>
      <c r="AG216" s="209" t="str">
        <f t="shared" si="105"/>
        <v>Other</v>
      </c>
      <c r="AH216" s="78" t="str">
        <f t="shared" si="93"/>
        <v>"%USERPROFILE%\Documents\GitHub\eaglep3\Utilities\RefineRTDCRunTimes.py" --tripid 309-05 --locoid 4018 --swversion DE.1.0.9.0 --startMP 204:457 --initTime 2017-07-06T01:10:08 --startdatetime 2017-07-06T01:12:43 --delay 1 --endMP 300:23346 --enddatetime 2017-07-06T01:23:10 --enforcementcount 0 &gt;&gt;C:\Users\stu\Documents\GitHub\eaglep3-reporting\EC\2017-07-05-refined-times.txt</v>
      </c>
      <c r="AI216" s="96" t="str">
        <f t="shared" si="94"/>
        <v>echo {"issue":{"subject":"","project_id":79,"tracker_id":40,"status_id":1,"priority_id":2,"assigned_to_id":23,"start_date":"2017-07-06","description":"","custom_fields":[{"id":1,"name":"Subdivision","value":"Other"},{"id":4,"name":"Milepost","value":"2.3346"},{"id":17,"name":"Train ID","value":"309-05"},{"id":16,"name":"Locomotive ID","value":"4018"},{"id":130,"name":"Impact","value":""},{"id":150,"name":"Time of Event (Mountain Time)","value":"01:23:10"},{"id":151,"name":"Denver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5"/>
        <v>start /low /b %USERPROFILE%\Documents\GitHub\eaglep3\Utilities\DownloadLogsFromS3.py --loco 4018 --day 2017-07-06</v>
      </c>
      <c r="AN216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07:23:10"},{"id":29,"name":"Sharepoint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647</v>
      </c>
      <c r="B217" s="7">
        <v>4055</v>
      </c>
      <c r="C217" s="21" t="s">
        <v>202</v>
      </c>
      <c r="D217" s="21" t="s">
        <v>906</v>
      </c>
      <c r="E217" s="13">
        <v>42921.206423611111</v>
      </c>
      <c r="F217" s="13">
        <v>42921.209050925929</v>
      </c>
      <c r="G217" s="7">
        <v>3</v>
      </c>
      <c r="H217" s="21" t="s">
        <v>460</v>
      </c>
      <c r="I217" s="13">
        <v>42921.214050925926</v>
      </c>
      <c r="J217" s="7">
        <v>0</v>
      </c>
      <c r="K217" s="89" t="str">
        <f t="shared" si="97"/>
        <v>4055/4056</v>
      </c>
      <c r="L217" s="21" t="str">
        <f>VLOOKUP(A217,'Trips&amp;Operators'!$C$1:$G$99999,5,FALSE)</f>
        <v>LOZA FIDEL</v>
      </c>
      <c r="M217" s="6">
        <f t="shared" si="98"/>
        <v>4.9999999973806553E-3</v>
      </c>
      <c r="N217" s="7">
        <f t="shared" si="88"/>
        <v>7.1999999962281436</v>
      </c>
      <c r="O217" s="7"/>
      <c r="P217" s="7"/>
      <c r="Q217" s="22"/>
      <c r="R217" s="170"/>
      <c r="S217" s="213">
        <f t="shared" si="92"/>
        <v>1</v>
      </c>
      <c r="T217" s="195" t="str">
        <f t="shared" si="99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100"/>
        <v>https://d0f6bd738d7f1b3e5a7ca70fe4ff75f0.us-east-1.aws.found.io/app/kibana#/discover/Steve-Slow-Train-Analysis-(2080s-and-2083s)?_g=(refreshInterval:(display:Off,pause:!f,section:0,value:0),time:(from:'2017-07-05T03:57:15-0600',mode:absolute,to:'2017-07-05T06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7" s="197" t="str">
        <f>IF(AA217&lt;VLOOKUP(AG217,Variables!$AC$3:$AD$8,2,FALSE),"Y","N")</f>
        <v>Y</v>
      </c>
      <c r="X217" s="197">
        <f t="shared" si="91"/>
        <v>1</v>
      </c>
      <c r="Y217" s="197">
        <f t="shared" si="89"/>
        <v>2.3472</v>
      </c>
      <c r="Z217" s="197">
        <f t="shared" si="90"/>
        <v>1.3599999999999999E-2</v>
      </c>
      <c r="AA217" s="197">
        <f t="shared" si="101"/>
        <v>2.3336000000000001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102"/>
        <v>310</v>
      </c>
      <c r="AE217" s="77" t="str">
        <f t="shared" si="103"/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AF217" s="74" t="str">
        <f t="shared" si="104"/>
        <v>"C:\Program Files (x86)\AstroGrep\AstroGrep.exe" /e /r /s /spath="%USERPROFILE%\AppData\Local\Temp\OnboardLogs" /stypes="app*4055*20170705*" /stext=" 11:.+((SYSTEM_STATE.+slice.+state.+changed )|(ment ac)|(multiple cpu faults)|(system.+state.+changed )|(\[timeout)|(PRM\|1\|D)|(kpr)|(kdp)|(train st.+moving)|(\|lc)|(penalty))"</v>
      </c>
      <c r="AG217" s="209" t="str">
        <f t="shared" si="105"/>
        <v>Other</v>
      </c>
      <c r="AH217" s="78" t="str">
        <f t="shared" si="93"/>
        <v>"%USERPROFILE%\Documents\GitHub\eaglep3\Utilities\RefineRTDCRunTimes.py" --tripid 310-05 --locoid 4055 --swversion DE.1.0.9.0 --startMP 300:23472 --initTime 2017-07-05T04:57:15 --startdatetime 2017-07-05T05:01:02 --delay 3 --endMP 204:136 --enddatetime 2017-07-05T05:08:14 --enforcementcount 0 &gt;&gt;C:\Users\stu\Documents\GitHub\eaglep3-reporting\EC\2017-07-05-refined-times.txt</v>
      </c>
      <c r="AI217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{"issue":{"subject":"","project_id":79,"tracker_id":40,"status_id":1,"priority_id":2,"assigned_to_id":23,"start_date":"2017-07-05","description":"","custom_fields":[{"id":1,"name":"Subdivision","value":"Other"},{"id":4,"name":"Milepost","value":"0.0136"},{"id":17,"name":"Train ID","value":"310-05"},{"id":16,"name":"Locomotive ID","value":"4055"},{"id":130,"name":"Impact","value":""},{"id":150,"name":"Time of Event (Mountain Time)","value":"05:08:14"},{"id":151,"name":"Denver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5"/>
        <v>start /low /b %USERPROFILE%\Documents\GitHub\eaglep3\Utilities\DownloadLogsFromS3.py --loco 4055 --day 2017-07-05</v>
      </c>
      <c r="AN217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825</v>
      </c>
      <c r="B218" s="7">
        <v>4042</v>
      </c>
      <c r="C218" s="21" t="s">
        <v>202</v>
      </c>
      <c r="D218" s="21" t="s">
        <v>350</v>
      </c>
      <c r="E218" s="13">
        <v>42922.069201388891</v>
      </c>
      <c r="F218" s="13">
        <v>42922.070972222224</v>
      </c>
      <c r="G218" s="7">
        <v>2</v>
      </c>
      <c r="H218" s="21" t="s">
        <v>896</v>
      </c>
      <c r="I218" s="13">
        <v>42922.078865740739</v>
      </c>
      <c r="J218" s="7">
        <v>0</v>
      </c>
      <c r="K218" s="89" t="str">
        <f t="shared" si="97"/>
        <v>4041/4042</v>
      </c>
      <c r="L218" s="21" t="str">
        <f>VLOOKUP(A218,'Trips&amp;Operators'!$C$1:$G$99999,5,FALSE)</f>
        <v>SMITH MICHAEL</v>
      </c>
      <c r="M218" s="6">
        <f t="shared" si="98"/>
        <v>7.8935185156296939E-3</v>
      </c>
      <c r="N218" s="7">
        <f t="shared" ref="N218:N249" si="106">24*60*SUM($M218:$M218)</f>
        <v>11.366666662506759</v>
      </c>
      <c r="O218" s="7"/>
      <c r="P218" s="7"/>
      <c r="Q218" s="22"/>
      <c r="R218" s="170"/>
      <c r="S218" s="213">
        <f t="shared" si="92"/>
        <v>1</v>
      </c>
      <c r="T218" s="195" t="str">
        <f t="shared" si="99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00"/>
        <v>https://d0f6bd738d7f1b3e5a7ca70fe4ff75f0.us-east-1.aws.found.io/app/kibana#/discover/Steve-Slow-Train-Analysis-(2080s-and-2083s)?_g=(refreshInterval:(display:Off,pause:!f,section:0,value:0),time:(from:'2017-07-06T00:39:39-0600',mode:absolute,to:'2017-07-06T02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97" t="str">
        <f>IF(AA218&lt;VLOOKUP(AG218,Variables!$AC$3:$AD$8,2,FALSE),"Y","N")</f>
        <v>Y</v>
      </c>
      <c r="X218" s="197">
        <f t="shared" si="91"/>
        <v>1</v>
      </c>
      <c r="Y218" s="197">
        <f t="shared" si="89"/>
        <v>4.6600000000000003E-2</v>
      </c>
      <c r="Z218" s="197">
        <f t="shared" si="90"/>
        <v>2.3308</v>
      </c>
      <c r="AA218" s="197">
        <f t="shared" si="101"/>
        <v>2.2841999999999998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102"/>
        <v>311</v>
      </c>
      <c r="AE218" s="77" t="str">
        <f t="shared" si="103"/>
        <v>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 &amp; aws s3 cp s3://rtdc.mdm.uploadarchive.raw/RTDC4042/ "%USERPROFILE%\AppData\Local\Temp\OnboardLogs"\RTDC4042\2017-07-07 --exclude "*" --recursive --include "*20170707*" &amp; "%USERPROFILE%\Documents\GitHub\mrs-test-scripts\Headless Mode &amp; Sideloading\WalkAndUnGZ.bat" "%USERPROFILE%\AppData\Local\Temp\OnboardLogs"\RTDC4042\2017-07-07</v>
      </c>
      <c r="AF218" s="74" t="str">
        <f t="shared" si="104"/>
        <v>"C:\Program Files (x86)\AstroGrep\AstroGrep.exe" /e /r /s /spath="%USERPROFILE%\AppData\Local\Temp\OnboardLogs" /stypes="app*4042*20170706*" /stext=" 07:.+((SYSTEM_STATE.+slice.+state.+changed )|(ment ac)|(multiple cpu faults)|(system.+state.+changed )|(\[timeout)|(PRM\|1\|D)|(kpr)|(kdp)|(train st.+moving)|(\|lc)|(penalty))"</v>
      </c>
      <c r="AG218" s="209" t="str">
        <f t="shared" si="105"/>
        <v>Other</v>
      </c>
      <c r="AH218" s="78" t="str">
        <f t="shared" si="93"/>
        <v>"%USERPROFILE%\Documents\GitHub\eaglep3\Utilities\RefineRTDCRunTimes.py" --tripid 311-05 --locoid 4042 --swversion DE.1.0.9.0 --startMP 204:466 --initTime 2017-07-06T01:39:39 --startdatetime 2017-07-06T01:42:12 --delay 2 --endMP 300:23308 --enddatetime 2017-07-06T01:53:34 --enforcementcount 0 &gt;&gt;C:\Users\stu\Documents\GitHub\eaglep3-reporting\EC\2017-07-05-refined-times.txt</v>
      </c>
      <c r="AI218" s="96" t="str">
        <f t="shared" si="94"/>
        <v>echo {"issue":{"subject":"","project_id":79,"tracker_id":40,"status_id":1,"priority_id":2,"assigned_to_id":23,"start_date":"2017-07-06","description":"","custom_fields":[{"id":1,"name":"Subdivision","value":"Other"},{"id":4,"name":"Milepost","value":"2.3308"},{"id":17,"name":"Train ID","value":"311-05"},{"id":16,"name":"Locomotive ID","value":"4042"},{"id":130,"name":"Impact","value":""},{"id":150,"name":"Time of Event (Mountain Time)","value":"01:53:34"},{"id":151,"name":"Denver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5"/>
        <v>start /low /b %USERPROFILE%\Documents\GitHub\eaglep3\Utilities\DownloadLogsFromS3.py --loco 4042 --day 2017-07-06</v>
      </c>
      <c r="AN218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07:53:34"},{"id":29,"name":"Sharepoint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653</v>
      </c>
      <c r="B219" s="7">
        <v>4013</v>
      </c>
      <c r="C219" s="21" t="s">
        <v>202</v>
      </c>
      <c r="D219" s="21" t="s">
        <v>907</v>
      </c>
      <c r="E219" s="13">
        <v>42921.224004629628</v>
      </c>
      <c r="F219" s="13">
        <v>42921.229861111111</v>
      </c>
      <c r="G219" s="7">
        <v>8</v>
      </c>
      <c r="H219" s="21" t="s">
        <v>349</v>
      </c>
      <c r="I219" s="13">
        <v>42921.235567129632</v>
      </c>
      <c r="J219" s="7">
        <v>0</v>
      </c>
      <c r="K219" s="89" t="str">
        <f t="shared" si="97"/>
        <v>4013/4014</v>
      </c>
      <c r="L219" s="21" t="str">
        <f>VLOOKUP(A219,'Trips&amp;Operators'!$C$1:$G$99999,5,FALSE)</f>
        <v>YANG JAN</v>
      </c>
      <c r="M219" s="6">
        <f t="shared" si="98"/>
        <v>5.7060185208683833E-3</v>
      </c>
      <c r="N219" s="7">
        <f t="shared" si="106"/>
        <v>8.216666670050472</v>
      </c>
      <c r="O219" s="7"/>
      <c r="P219" s="7"/>
      <c r="Q219" s="22"/>
      <c r="R219" s="170"/>
      <c r="S219" s="213">
        <f t="shared" si="92"/>
        <v>1</v>
      </c>
      <c r="T219" s="195" t="str">
        <f t="shared" si="99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00"/>
        <v>https://d0f6bd738d7f1b3e5a7ca70fe4ff75f0.us-east-1.aws.found.io/app/kibana#/discover/Steve-Slow-Train-Analysis-(2080s-and-2083s)?_g=(refreshInterval:(display:Off,pause:!f,section:0,value:0),time:(from:'2017-07-05T04:22:34-0600',mode:absolute,to:'2017-07-05T06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197" t="str">
        <f>IF(AA219&lt;VLOOKUP(AG219,Variables!$AC$3:$AD$8,2,FALSE),"Y","N")</f>
        <v>Y</v>
      </c>
      <c r="X219" s="197">
        <f t="shared" si="91"/>
        <v>1</v>
      </c>
      <c r="Y219" s="197">
        <f t="shared" si="89"/>
        <v>2.3652000000000002</v>
      </c>
      <c r="Z219" s="197">
        <f t="shared" si="90"/>
        <v>1.43E-2</v>
      </c>
      <c r="AA219" s="197">
        <f t="shared" si="101"/>
        <v>2.3509000000000002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102"/>
        <v>312</v>
      </c>
      <c r="AE219" s="77" t="str">
        <f t="shared" si="103"/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AF219" s="74" t="str">
        <f t="shared" si="104"/>
        <v>"C:\Program Files (x86)\AstroGrep\AstroGrep.exe" /e /r /s /spath="%USERPROFILE%\AppData\Local\Temp\OnboardLogs" /stypes="app*4013*20170705*" /stext=" 11:.+((SYSTEM_STATE.+slice.+state.+changed )|(ment ac)|(multiple cpu faults)|(system.+state.+changed )|(\[timeout)|(PRM\|1\|D)|(kpr)|(kdp)|(train st.+moving)|(\|lc)|(penalty))"</v>
      </c>
      <c r="AG219" s="209" t="str">
        <f t="shared" si="105"/>
        <v>Other</v>
      </c>
      <c r="AH219" s="78" t="str">
        <f t="shared" si="93"/>
        <v>"%USERPROFILE%\Documents\GitHub\eaglep3\Utilities\RefineRTDCRunTimes.py" --tripid 312-05 --locoid 4013 --swversion DE.1.0.9.0 --startMP 300:23652 --initTime 2017-07-05T05:22:34 --startdatetime 2017-07-05T05:31:00 --delay 8 --endMP 204:143 --enddatetime 2017-07-05T05:39:13 --enforcementcount 0 &gt;&gt;C:\Users\stu\Documents\GitHub\eaglep3-reporting\EC\2017-07-05-refined-times.txt</v>
      </c>
      <c r="AI219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{"issue":{"subject":"","project_id":79,"tracker_id":40,"status_id":1,"priority_id":2,"assigned_to_id":23,"start_date":"2017-07-05","description":"","custom_fields":[{"id":1,"name":"Subdivision","value":"Other"},{"id":4,"name":"Milepost","value":"0.0143"},{"id":17,"name":"Train ID","value":"312-05"},{"id":16,"name":"Locomotive ID","value":"4013"},{"id":130,"name":"Impact","value":""},{"id":150,"name":"Time of Event (Mountain Time)","value":"05:39:13"},{"id":151,"name":"Denver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95"/>
        <v>start /low /b %USERPROFILE%\Documents\GitHub\eaglep3\Utilities\DownloadLogsFromS3.py --loco 4013 --day 2017-07-05</v>
      </c>
      <c r="AN219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536</v>
      </c>
      <c r="B220" s="7">
        <v>4050</v>
      </c>
      <c r="C220" s="21" t="s">
        <v>202</v>
      </c>
      <c r="D220" s="21" t="s">
        <v>559</v>
      </c>
      <c r="E220" s="13">
        <v>42921.096967592595</v>
      </c>
      <c r="F220" s="13">
        <v>25568.708333333332</v>
      </c>
      <c r="G220" s="7">
        <v>2</v>
      </c>
      <c r="H220" s="21" t="s">
        <v>433</v>
      </c>
      <c r="I220" s="13">
        <v>25568.708333333332</v>
      </c>
      <c r="J220" s="7">
        <v>0</v>
      </c>
      <c r="K220" s="89" t="str">
        <f t="shared" si="97"/>
        <v>4049/4050</v>
      </c>
      <c r="L220" s="21" t="str">
        <f>VLOOKUP(A220,'Trips&amp;Operators'!$C$1:$G$99999,5,FALSE)</f>
        <v>NELSON ARIANE</v>
      </c>
      <c r="M220" s="6">
        <f t="shared" si="98"/>
        <v>0</v>
      </c>
      <c r="N220" s="7">
        <f t="shared" si="106"/>
        <v>0</v>
      </c>
      <c r="O220" s="7"/>
      <c r="P220" s="7"/>
      <c r="Q220" s="22"/>
      <c r="R220" s="170"/>
      <c r="S220" s="213">
        <f t="shared" si="92"/>
        <v>0</v>
      </c>
      <c r="T220" s="195" t="str">
        <f t="shared" si="99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100"/>
        <v>https://d0f6bd738d7f1b3e5a7ca70fe4ff75f0.us-east-1.aws.found.io/app/kibana#/discover/Steve-Slow-Train-Analysis-(2080s-and-2083s)?_g=(refreshInterval:(display:Off,pause:!f,section:0,value:0),time:(from:'2017-07-05T01:19:38-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0" s="197" t="str">
        <f>IF(AA220&lt;VLOOKUP(AG220,Variables!$AC$3:$AD$8,2,FALSE),"Y","N")</f>
        <v>Y</v>
      </c>
      <c r="X220" s="197">
        <f t="shared" si="91"/>
        <v>1</v>
      </c>
      <c r="Y220" s="197">
        <f t="shared" si="89"/>
        <v>7.2300000000000003E-2</v>
      </c>
      <c r="Z220" s="197">
        <f t="shared" si="90"/>
        <v>4.7300000000000002E-2</v>
      </c>
      <c r="AA220" s="197">
        <f t="shared" si="101"/>
        <v>2.5000000000000001E-2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102"/>
        <v>313</v>
      </c>
      <c r="AE220" s="77" t="str">
        <f t="shared" si="103"/>
        <v>aws s3 cp s3://rtdc.mdm.uploadarchive.raw/RTDC4050/ "%USERPROFILE%\AppData\Local\Temp\OnboardLogs"\RTDC4050\1969-12-31 --exclude "*" --recursive --include "*19691231*" &amp; "%USERPROFILE%\Documents\GitHub\mrs-test-scripts\Headless Mode &amp; Sideloading\WalkAndUnGZ.bat" "%USERPROFILE%\AppData\Local\Temp\OnboardLogs"\RTDC4050\1969-12-31 &amp; aws s3 cp s3://rtdc.mdm.uploadarchive.raw/RTDC4050/ "%USERPROFILE%\AppData\Local\Temp\OnboardLogs"\RTDC4050\1970-01-01 --exclude "*" --recursive --include "*19700101*" &amp; "%USERPROFILE%\Documents\GitHub\mrs-test-scripts\Headless Mode &amp; Sideloading\WalkAndUnGZ.bat" "%USERPROFILE%\AppData\Local\Temp\OnboardLogs"\RTDC4050\1970-01-01</v>
      </c>
      <c r="AF220" s="74" t="str">
        <f t="shared" si="104"/>
        <v>"C:\Program Files (x86)\AstroGrep\AstroGrep.exe" /e /r /s /spath="%USERPROFILE%\AppData\Local\Temp\OnboardLogs" /stypes="app*4050*19691231*" /stext=" 23:.+((SYSTEM_STATE.+slice.+state.+changed )|(ment ac)|(multiple cpu faults)|(system.+state.+changed )|(\[timeout)|(PRM\|1\|D)|(kpr)|(kdp)|(train st.+moving)|(\|lc)|(penalty))"</v>
      </c>
      <c r="AG220" s="209" t="str">
        <f t="shared" si="105"/>
        <v>Other</v>
      </c>
      <c r="AH220" s="78" t="str">
        <f t="shared" si="93"/>
        <v>"%USERPROFILE%\Documents\GitHub\eaglep3\Utilities\RefineRTDCRunTimes.py" --tripid 313-04 --locoid 4050 --swversion DE.1.0.9.0 --startMP 204:723 --initTime 2017-07-05T02:19:38 --startdatetime 1969-12-31T17:00:00 --delay 2 --endMP 204:473 --enddatetime 1969-12-31T17:00:00 --enforcementcount 0 &gt;&gt;C:\Users\stu\Documents\GitHub\eaglep3-reporting\EC\2017-07-05-refined-times.txt</v>
      </c>
      <c r="AI220" s="96" t="str">
        <f t="shared" si="94"/>
        <v>echo {"issue":{"subject":"","project_id":79,"tracker_id":40,"status_id":1,"priority_id":2,"assigned_to_id":23,"start_date":"1969-12-31","description":"","custom_fields":[{"id":1,"name":"Subdivision","value":"Other"},{"id":4,"name":"Milepost","value":"0.0473"},{"id":17,"name":"Train ID","value":"313-04"},{"id":16,"name":"Locomotive ID","value":"4050"},{"id":130,"name":"Impact","value":""},{"id":150,"name":"Time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5"/>
        <v>start /low /b %USERPROFILE%\Documents\GitHub\eaglep3\Utilities\DownloadLogsFromS3.py --loco 4050 --day 1969-12-31</v>
      </c>
      <c r="AN220" s="151" t="str">
        <f t="shared" si="9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826</v>
      </c>
      <c r="B221" s="7">
        <v>4008</v>
      </c>
      <c r="C221" s="21" t="s">
        <v>202</v>
      </c>
      <c r="D221" s="21" t="s">
        <v>350</v>
      </c>
      <c r="E221" s="13">
        <v>42922.093321759261</v>
      </c>
      <c r="F221" s="13">
        <v>42922.094456018516</v>
      </c>
      <c r="G221" s="7">
        <v>1</v>
      </c>
      <c r="H221" s="21" t="s">
        <v>352</v>
      </c>
      <c r="I221" s="13">
        <v>42922.101678240739</v>
      </c>
      <c r="J221" s="7">
        <v>0</v>
      </c>
      <c r="K221" s="89" t="str">
        <f t="shared" si="97"/>
        <v>4007/4008</v>
      </c>
      <c r="L221" s="21" t="str">
        <f>VLOOKUP(A221,'Trips&amp;Operators'!$C$1:$G$99999,5,FALSE)</f>
        <v>LAMAR NEKESHA</v>
      </c>
      <c r="M221" s="6">
        <f t="shared" si="98"/>
        <v>7.2222222224809229E-3</v>
      </c>
      <c r="N221" s="7">
        <f t="shared" si="106"/>
        <v>10.400000000372529</v>
      </c>
      <c r="O221" s="7"/>
      <c r="P221" s="7"/>
      <c r="Q221" s="22"/>
      <c r="R221" s="170"/>
      <c r="S221" s="213">
        <f t="shared" si="92"/>
        <v>1</v>
      </c>
      <c r="T221" s="195" t="str">
        <f t="shared" si="99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100"/>
        <v>https://d0f6bd738d7f1b3e5a7ca70fe4ff75f0.us-east-1.aws.found.io/app/kibana#/discover/Steve-Slow-Train-Analysis-(2080s-and-2083s)?_g=(refreshInterval:(display:Off,pause:!f,section:0,value:0),time:(from:'2017-07-06T01:14:23-0600',mode:absolute,to:'2017-07-06T03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97" t="str">
        <f>IF(AA221&lt;VLOOKUP(AG221,Variables!$AC$3:$AD$8,2,FALSE),"Y","N")</f>
        <v>Y</v>
      </c>
      <c r="X221" s="197">
        <f t="shared" si="91"/>
        <v>0</v>
      </c>
      <c r="Y221" s="197">
        <f t="shared" ref="Y221:Y252" si="107">RIGHT(D221,LEN(D221)-4)/10000</f>
        <v>4.6600000000000003E-2</v>
      </c>
      <c r="Z221" s="197">
        <f t="shared" ref="Z221:Z252" si="108">RIGHT(H221,LEN(H221)-4)/10000</f>
        <v>2.3346</v>
      </c>
      <c r="AA221" s="197">
        <f t="shared" si="101"/>
        <v>2.2879999999999998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102"/>
        <v>313</v>
      </c>
      <c r="AE221" s="77" t="str">
        <f t="shared" si="103"/>
        <v>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 &amp; aws s3 cp s3://rtdc.mdm.uploadarchive.raw/RTDC4008/ "%USERPROFILE%\AppData\Local\Temp\OnboardLogs"\RTDC4008\2017-07-07 --exclude "*" --recursive --include "*20170707*" &amp; "%USERPROFILE%\Documents\GitHub\mrs-test-scripts\Headless Mode &amp; Sideloading\WalkAndUnGZ.bat" "%USERPROFILE%\AppData\Local\Temp\OnboardLogs"\RTDC4008\2017-07-07</v>
      </c>
      <c r="AF221" s="74" t="str">
        <f t="shared" si="104"/>
        <v>"C:\Program Files (x86)\AstroGrep\AstroGrep.exe" /e /r /s /spath="%USERPROFILE%\AppData\Local\Temp\OnboardLogs" /stypes="app*4008*20170706*" /stext=" 08:.+((SYSTEM_STATE.+slice.+state.+changed )|(ment ac)|(multiple cpu faults)|(system.+state.+changed )|(\[timeout)|(PRM\|1\|D)|(kpr)|(kdp)|(train st.+moving)|(\|lc)|(penalty))"</v>
      </c>
      <c r="AG221" s="209" t="str">
        <f t="shared" si="105"/>
        <v>Other</v>
      </c>
      <c r="AH221" s="78" t="str">
        <f t="shared" si="93"/>
        <v>"%USERPROFILE%\Documents\GitHub\eaglep3\Utilities\RefineRTDCRunTimes.py" --tripid 313-05 --locoid 4008 --swversion DE.1.0.9.0 --startMP 204:466 --initTime 2017-07-06T02:14:23 --startdatetime 2017-07-06T02:16:01 --delay 1 --endMP 300:23346 --enddatetime 2017-07-06T02:26:25 --enforcementcount 0 &gt;&gt;C:\Users\stu\Documents\GitHub\eaglep3-reporting\EC\2017-07-05-refined-times.txt</v>
      </c>
      <c r="AI221" s="96" t="str">
        <f t="shared" si="94"/>
        <v>echo {"issue":{"subject":"","project_id":79,"tracker_id":40,"status_id":1,"priority_id":2,"assigned_to_id":23,"start_date":"2017-07-06","description":"","custom_fields":[{"id":1,"name":"Subdivision","value":"Other"},{"id":4,"name":"Milepost","value":"2.3346"},{"id":17,"name":"Train ID","value":"313-05"},{"id":16,"name":"Locomotive ID","value":"4008"},{"id":130,"name":"Impact","value":""},{"id":150,"name":"Time of Event (Mountain Time)","value":"02:26:25"},{"id":151,"name":"Denver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5"/>
        <v>start /low /b %USERPROFILE%\Documents\GitHub\eaglep3\Utilities\DownloadLogsFromS3.py --loco 4008 --day 2017-07-06</v>
      </c>
      <c r="AN221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08:26:25"},{"id":29,"name":"Sharepoint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648</v>
      </c>
      <c r="B222" s="7">
        <v>4026</v>
      </c>
      <c r="C222" s="21" t="s">
        <v>202</v>
      </c>
      <c r="D222" s="21" t="s">
        <v>1015</v>
      </c>
      <c r="E222" s="13">
        <v>42921.206817129627</v>
      </c>
      <c r="F222" s="13">
        <v>42921.213182870371</v>
      </c>
      <c r="G222" s="7">
        <v>9</v>
      </c>
      <c r="H222" s="21" t="s">
        <v>464</v>
      </c>
      <c r="I222" s="13">
        <v>42921.2190625</v>
      </c>
      <c r="J222" s="7">
        <v>0</v>
      </c>
      <c r="K222" s="89" t="str">
        <f t="shared" si="97"/>
        <v>4025/4026</v>
      </c>
      <c r="L222" s="21" t="str">
        <f>VLOOKUP(A222,'Trips&amp;Operators'!$C$1:$G$99999,5,FALSE)</f>
        <v>MACDONALD THOMAS</v>
      </c>
      <c r="M222" s="6">
        <f t="shared" si="98"/>
        <v>5.8796296289074235E-3</v>
      </c>
      <c r="N222" s="7">
        <f t="shared" si="106"/>
        <v>8.4666666656266898</v>
      </c>
      <c r="O222" s="7"/>
      <c r="P222" s="7"/>
      <c r="Q222" s="22"/>
      <c r="R222" s="170"/>
      <c r="S222" s="213">
        <f t="shared" si="92"/>
        <v>0</v>
      </c>
      <c r="T222" s="195" t="str">
        <f t="shared" si="99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100"/>
        <v>https://d0f6bd738d7f1b3e5a7ca70fe4ff75f0.us-east-1.aws.found.io/app/kibana#/discover/Steve-Slow-Train-Analysis-(2080s-and-2083s)?_g=(refreshInterval:(display:Off,pause:!f,section:0,value:0),time:(from:'2017-07-05T03:57:49-0600',mode:absolute,to:'2017-07-05T06:15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97" t="str">
        <f>IF(AA222&lt;VLOOKUP(AG222,Variables!$AC$3:$AD$8,2,FALSE),"Y","N")</f>
        <v>Y</v>
      </c>
      <c r="X222" s="197">
        <f t="shared" ref="X222:X253" si="109">VALUE(LEFT(AD222,4))-VALUE(LEFT(AD221,4))</f>
        <v>588</v>
      </c>
      <c r="Y222" s="197">
        <f t="shared" si="107"/>
        <v>3.008</v>
      </c>
      <c r="Z222" s="197">
        <f t="shared" si="108"/>
        <v>5.8945999999999996</v>
      </c>
      <c r="AA222" s="197">
        <f t="shared" si="101"/>
        <v>2.8865999999999996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102"/>
        <v>901</v>
      </c>
      <c r="AE222" s="77" t="str">
        <f t="shared" si="103"/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AF222" s="74" t="str">
        <f t="shared" si="104"/>
        <v>"C:\Program Files (x86)\AstroGrep\AstroGrep.exe" /e /r /s /spath="%USERPROFILE%\AppData\Local\Temp\OnboardLogs" /stypes="app*4026*20170705*" /stext=" 11:.+((SYSTEM_STATE.+slice.+state.+changed )|(ment ac)|(multiple cpu faults)|(system.+state.+changed )|(\[timeout)|(PRM\|1\|D)|(kpr)|(kdp)|(train st.+moving)|(\|lc)|(penalty))"</v>
      </c>
      <c r="AG222" s="209" t="str">
        <f t="shared" si="105"/>
        <v>Other</v>
      </c>
      <c r="AH222" s="78" t="str">
        <f t="shared" si="93"/>
        <v>"%USERPROFILE%\Documents\GitHub\eaglep3\Utilities\RefineRTDCRunTimes.py" --tripid 901-05 --locoid 4026 --swversion DE.1.0.9.0 --startMP 300:30080 --initTime 2017-07-05T04:57:49 --startdatetime 2017-07-05T05:06:59 --delay 9 --endMP 300:58946 --enddatetime 2017-07-05T05:15:27 --enforcementcount 0 &gt;&gt;C:\Users\stu\Documents\GitHub\eaglep3-reporting\EC\2017-07-05-refined-times.txt</v>
      </c>
      <c r="AI222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{"issue":{"subject":"","project_id":79,"tracker_id":40,"status_id":1,"priority_id":2,"assigned_to_id":23,"start_date":"2017-07-05","description":"","custom_fields":[{"id":1,"name":"Subdivision","value":"Other"},{"id":4,"name":"Milepost","value":"5.8946"},{"id":17,"name":"Train ID","value":"901-05"},{"id":16,"name":"Locomotive ID","value":"4026"},{"id":130,"name":"Impact","value":""},{"id":150,"name":"Time of Event (Mountain Time)","value":"05:15:27"},{"id":151,"name":"Denver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95"/>
        <v>start /low /b %USERPROFILE%\Documents\GitHub\eaglep3\Utilities\DownloadLogsFromS3.py --loco 4026 --day 2017-07-05</v>
      </c>
      <c r="AN222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11:15:27"},{"id":29,"name":"Sharepoint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656</v>
      </c>
      <c r="B223" s="7">
        <v>4001</v>
      </c>
      <c r="C223" s="21" t="s">
        <v>202</v>
      </c>
      <c r="D223" s="21" t="s">
        <v>1016</v>
      </c>
      <c r="E223" s="13">
        <v>42921.236932870372</v>
      </c>
      <c r="F223" s="13">
        <v>42921.243796296294</v>
      </c>
      <c r="G223" s="7">
        <v>9</v>
      </c>
      <c r="H223" s="21" t="s">
        <v>567</v>
      </c>
      <c r="I223" s="13">
        <v>42921.248807870368</v>
      </c>
      <c r="J223" s="7">
        <v>0</v>
      </c>
      <c r="K223" s="89" t="str">
        <f t="shared" si="97"/>
        <v>4001/4002</v>
      </c>
      <c r="L223" s="21" t="str">
        <f>VLOOKUP(A223,'Trips&amp;Operators'!$C$1:$G$99999,5,FALSE)</f>
        <v>GEBRETEKLE DAGNEW</v>
      </c>
      <c r="M223" s="6">
        <f t="shared" si="98"/>
        <v>5.0115740741603076E-3</v>
      </c>
      <c r="N223" s="7">
        <f t="shared" si="106"/>
        <v>7.216666666790843</v>
      </c>
      <c r="O223" s="7"/>
      <c r="P223" s="7"/>
      <c r="Q223" s="22"/>
      <c r="R223" s="170"/>
      <c r="S223" s="213">
        <f t="shared" si="92"/>
        <v>1</v>
      </c>
      <c r="T223" s="195" t="str">
        <f t="shared" si="99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100"/>
        <v>https://d0f6bd738d7f1b3e5a7ca70fe4ff75f0.us-east-1.aws.found.io/app/kibana#/discover/Steve-Slow-Train-Analysis-(2080s-and-2083s)?_g=(refreshInterval:(display:Off,pause:!f,section:0,value:0),time:(from:'2017-07-05T04:41:11-0600',mode:absolute,to:'2017-07-05T06:58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197" t="str">
        <f>IF(AA223&lt;VLOOKUP(AG223,Variables!$AC$3:$AD$8,2,FALSE),"Y","N")</f>
        <v>Y</v>
      </c>
      <c r="X223" s="197">
        <f t="shared" si="109"/>
        <v>1</v>
      </c>
      <c r="Y223" s="197">
        <f t="shared" si="107"/>
        <v>2.351</v>
      </c>
      <c r="Z223" s="197">
        <f t="shared" si="108"/>
        <v>7.1199999999999999E-2</v>
      </c>
      <c r="AA223" s="197">
        <f t="shared" si="101"/>
        <v>2.2797999999999998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102"/>
        <v>902</v>
      </c>
      <c r="AE223" s="77" t="str">
        <f t="shared" si="103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223" s="74" t="str">
        <f t="shared" si="104"/>
        <v>"C:\Program Files (x86)\AstroGrep\AstroGrep.exe" /e /r /s /spath="%USERPROFILE%\AppData\Local\Temp\OnboardLogs" /stypes="app*4001*20170705*" /stext=" 11:.+((SYSTEM_STATE.+slice.+state.+changed )|(ment ac)|(multiple cpu faults)|(system.+state.+changed )|(\[timeout)|(PRM\|1\|D)|(kpr)|(kdp)|(train st.+moving)|(\|lc)|(penalty))"</v>
      </c>
      <c r="AG223" s="209" t="str">
        <f t="shared" si="105"/>
        <v>Other</v>
      </c>
      <c r="AH223" s="78" t="str">
        <f t="shared" si="93"/>
        <v>"%USERPROFILE%\Documents\GitHub\eaglep3\Utilities\RefineRTDCRunTimes.py" --tripid 902-05 --locoid 4001 --swversion DE.1.0.9.0 --startMP 300:23510 --initTime 2017-07-05T05:41:11 --startdatetime 2017-07-05T05:51:04 --delay 9 --endMP 204:712 --enddatetime 2017-07-05T05:58:17 --enforcementcount 0 &gt;&gt;C:\Users\stu\Documents\GitHub\eaglep3-reporting\EC\2017-07-05-refined-times.txt</v>
      </c>
      <c r="AI223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{"issue":{"subject":"","project_id":79,"tracker_id":40,"status_id":1,"priority_id":2,"assigned_to_id":23,"start_date":"2017-07-05","description":"","custom_fields":[{"id":1,"name":"Subdivision","value":"Other"},{"id":4,"name":"Milepost","value":"0.0712"},{"id":17,"name":"Train ID","value":"902-05"},{"id":16,"name":"Locomotive ID","value":"4001"},{"id":130,"name":"Impact","value":""},{"id":150,"name":"Time of Event (Mountain Time)","value":"05:58:17"},{"id":151,"name":"Denver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5"/>
        <v>start /low /b %USERPROFILE%\Documents\GitHub\eaglep3\Utilities\DownloadLogsFromS3.py --loco 4001 --day 2017-07-05</v>
      </c>
      <c r="AN223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11:58:17"},{"id":29,"name":"Sharepoint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753</v>
      </c>
      <c r="B224" s="7">
        <v>4025</v>
      </c>
      <c r="C224" s="21" t="s">
        <v>202</v>
      </c>
      <c r="D224" s="21" t="s">
        <v>895</v>
      </c>
      <c r="E224" s="13">
        <v>42921.636550925927</v>
      </c>
      <c r="F224" s="13">
        <v>42921.651979166665</v>
      </c>
      <c r="G224" s="7">
        <v>22</v>
      </c>
      <c r="H224" s="21" t="s">
        <v>560</v>
      </c>
      <c r="I224" s="13">
        <v>42921.656342592592</v>
      </c>
      <c r="J224" s="7">
        <v>0</v>
      </c>
      <c r="K224" s="89" t="str">
        <f t="shared" si="97"/>
        <v>4025/4026</v>
      </c>
      <c r="L224" s="21" t="str">
        <f>VLOOKUP(A224,'Trips&amp;Operators'!$C$1:$G$99999,5,FALSE)</f>
        <v>STAMBAUGH JAMES</v>
      </c>
      <c r="M224" s="6">
        <f t="shared" si="98"/>
        <v>4.3634259272948839E-3</v>
      </c>
      <c r="N224" s="7">
        <f t="shared" si="106"/>
        <v>6.2833333353046328</v>
      </c>
      <c r="O224" s="7"/>
      <c r="P224" s="7"/>
      <c r="Q224" s="22"/>
      <c r="R224" s="170"/>
      <c r="S224" s="213">
        <f t="shared" si="92"/>
        <v>1</v>
      </c>
      <c r="T224" s="195" t="str">
        <f t="shared" si="99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100"/>
        <v>https://d0f6bd738d7f1b3e5a7ca70fe4ff75f0.us-east-1.aws.found.io/app/kibana#/discover/Steve-Slow-Train-Analysis-(2080s-and-2083s)?_g=(refreshInterval:(display:Off,pause:!f,section:0,value:0),time:(from:'2017-07-05T14:16:38-0600',mode:absolute,to:'2017-07-05T16:45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197" t="str">
        <f>IF(AA224&lt;VLOOKUP(AG224,Variables!$AC$3:$AD$8,2,FALSE),"Y","N")</f>
        <v>Y</v>
      </c>
      <c r="X224" s="197">
        <f t="shared" si="109"/>
        <v>2</v>
      </c>
      <c r="Y224" s="197">
        <f t="shared" si="107"/>
        <v>2.3603000000000001</v>
      </c>
      <c r="Z224" s="197">
        <f t="shared" si="108"/>
        <v>6.9400000000000003E-2</v>
      </c>
      <c r="AA224" s="197">
        <f t="shared" si="101"/>
        <v>2.2909000000000002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102"/>
        <v>904</v>
      </c>
      <c r="AE224" s="77" t="str">
        <f t="shared" si="103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224" s="74" t="str">
        <f t="shared" si="104"/>
        <v>"C:\Program Files (x86)\AstroGrep\AstroGrep.exe" /e /r /s /spath="%USERPROFILE%\AppData\Local\Temp\OnboardLogs" /stypes="app*4025*20170705*" /stext=" 21:.+((SYSTEM_STATE.+slice.+state.+changed )|(ment ac)|(multiple cpu faults)|(system.+state.+changed )|(\[timeout)|(PRM\|1\|D)|(kpr)|(kdp)|(train st.+moving)|(\|lc)|(penalty))"</v>
      </c>
      <c r="AG224" s="209" t="str">
        <f t="shared" si="105"/>
        <v>Other</v>
      </c>
      <c r="AH224" s="78" t="str">
        <f t="shared" si="93"/>
        <v>"%USERPROFILE%\Documents\GitHub\eaglep3\Utilities\RefineRTDCRunTimes.py" --tripid 904-05 --locoid 4025 --swversion DE.1.0.9.0 --startMP 300:23603 --initTime 2017-07-05T15:16:38 --startdatetime 2017-07-05T15:38:51 --delay 22 --endMP 204:694 --enddatetime 2017-07-05T15:45:08 --enforcementcount 0 &gt;&gt;C:\Users\stu\Documents\GitHub\eaglep3-reporting\EC\2017-07-05-refined-times.txt</v>
      </c>
      <c r="AI224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{"issue":{"subject":"","project_id":79,"tracker_id":40,"status_id":1,"priority_id":2,"assigned_to_id":23,"start_date":"2017-07-05","description":"","custom_fields":[{"id":1,"name":"Subdivision","value":"Other"},{"id":4,"name":"Milepost","value":"0.0694"},{"id":17,"name":"Train ID","value":"904-05"},{"id":16,"name":"Locomotive ID","value":"4025"},{"id":130,"name":"Impact","value":""},{"id":150,"name":"Time of Event (Mountain Time)","value":"15:45:08"},{"id":151,"name":"Denver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5"/>
        <v>start /low /b %USERPROFILE%\Documents\GitHub\eaglep3\Utilities\DownloadLogsFromS3.py --loco 4025 --day 2017-07-05</v>
      </c>
      <c r="AN224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21:45:08"},{"id":29,"name":"Sharepoint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624</v>
      </c>
      <c r="B225" s="7">
        <v>4025</v>
      </c>
      <c r="C225" s="21" t="s">
        <v>202</v>
      </c>
      <c r="D225" s="21" t="s">
        <v>1017</v>
      </c>
      <c r="E225" s="13">
        <v>42921.795717592591</v>
      </c>
      <c r="F225" s="13">
        <v>42921.797199074077</v>
      </c>
      <c r="G225" s="7">
        <v>1</v>
      </c>
      <c r="H225" s="21" t="s">
        <v>1018</v>
      </c>
      <c r="I225" s="13">
        <v>42921.804016203707</v>
      </c>
      <c r="J225" s="7">
        <v>0</v>
      </c>
      <c r="K225" s="89" t="str">
        <f t="shared" si="97"/>
        <v>4025/4026</v>
      </c>
      <c r="L225" s="21" t="str">
        <f>VLOOKUP(A225,'Trips&amp;Operators'!$C$1:$G$99999,5,FALSE)</f>
        <v>STAMBAUGH JAMES</v>
      </c>
      <c r="M225" s="6">
        <f t="shared" si="98"/>
        <v>6.8171296297805384E-3</v>
      </c>
      <c r="N225" s="7">
        <f t="shared" si="106"/>
        <v>9.8166666668839753</v>
      </c>
      <c r="O225" s="7"/>
      <c r="P225" s="7"/>
      <c r="Q225" s="22"/>
      <c r="R225" s="170"/>
      <c r="S225" s="213">
        <f t="shared" si="92"/>
        <v>0</v>
      </c>
      <c r="T225" s="195" t="str">
        <f t="shared" si="99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100"/>
        <v>https://d0f6bd738d7f1b3e5a7ca70fe4ff75f0.us-east-1.aws.found.io/app/kibana#/discover/Steve-Slow-Train-Analysis-(2080s-and-2083s)?_g=(refreshInterval:(display:Off,pause:!f,section:0,value:0),time:(from:'2017-07-05T18:05:50-0600',mode:absolute,to:'2017-07-05T20:17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197" t="str">
        <f>IF(AA225&lt;VLOOKUP(AG225,Variables!$AC$3:$AD$8,2,FALSE),"Y","N")</f>
        <v>Y</v>
      </c>
      <c r="X225" s="197">
        <f t="shared" si="109"/>
        <v>2</v>
      </c>
      <c r="Y225" s="197">
        <f t="shared" si="107"/>
        <v>5.8662000000000001</v>
      </c>
      <c r="Z225" s="197">
        <f t="shared" si="108"/>
        <v>2.8713000000000002</v>
      </c>
      <c r="AA225" s="197">
        <f t="shared" si="101"/>
        <v>2.9948999999999999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102"/>
        <v>906</v>
      </c>
      <c r="AE225" s="77" t="str">
        <f t="shared" si="103"/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AF225" s="74" t="str">
        <f t="shared" si="104"/>
        <v>"C:\Program Files (x86)\AstroGrep\AstroGrep.exe" /e /r /s /spath="%USERPROFILE%\AppData\Local\Temp\OnboardLogs" /stypes="app*4025*20170706*" /stext=" 01:.+((SYSTEM_STATE.+slice.+state.+changed )|(ment ac)|(multiple cpu faults)|(system.+state.+changed )|(\[timeout)|(PRM\|1\|D)|(kpr)|(kdp)|(train st.+moving)|(\|lc)|(penalty))"</v>
      </c>
      <c r="AG225" s="209" t="str">
        <f t="shared" si="105"/>
        <v>Other</v>
      </c>
      <c r="AH225" s="78" t="str">
        <f t="shared" si="93"/>
        <v>"%USERPROFILE%\Documents\GitHub\eaglep3\Utilities\RefineRTDCRunTimes.py" --tripid 906-05 --locoid 4025 --swversion DE.1.0.9.0 --startMP 300:58662 --initTime 2017-07-05T19:05:50 --startdatetime 2017-07-05T19:07:58 --delay 1 --endMP 300:28713 --enddatetime 2017-07-05T19:17:47 --enforcementcount 0 &gt;&gt;C:\Users\stu\Documents\GitHub\eaglep3-reporting\EC\2017-07-05-refined-times.txt</v>
      </c>
      <c r="AI225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{"issue":{"subject":"","project_id":79,"tracker_id":40,"status_id":1,"priority_id":2,"assigned_to_id":23,"start_date":"2017-07-05","description":"","custom_fields":[{"id":1,"name":"Subdivision","value":"Other"},{"id":4,"name":"Milepost","value":"2.8713"},{"id":17,"name":"Train ID","value":"906-05"},{"id":16,"name":"Locomotive ID","value":"4025"},{"id":130,"name":"Impact","value":""},{"id":150,"name":"Time of Event (Mountain Time)","value":"19:17:47"},{"id":151,"name":"Denver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5"/>
        <v>start /low /b %USERPROFILE%\Documents\GitHub\eaglep3\Utilities\DownloadLogsFromS3.py --loco 4025 --day 2017-07-05</v>
      </c>
      <c r="AN225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01:17:47"},{"id":29,"name":"Sharepoint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812</v>
      </c>
      <c r="B226" s="7">
        <v>4001</v>
      </c>
      <c r="C226" s="21" t="s">
        <v>202</v>
      </c>
      <c r="D226" s="21" t="s">
        <v>1019</v>
      </c>
      <c r="E226" s="13">
        <v>42921.942465277774</v>
      </c>
      <c r="F226" s="13">
        <v>42921.950370370374</v>
      </c>
      <c r="G226" s="7">
        <v>1</v>
      </c>
      <c r="H226" s="21" t="s">
        <v>1020</v>
      </c>
      <c r="I226" s="13">
        <v>42921.952303240738</v>
      </c>
      <c r="J226" s="7">
        <v>0</v>
      </c>
      <c r="K226" s="89" t="str">
        <f t="shared" si="97"/>
        <v>4001/4002</v>
      </c>
      <c r="L226" s="21" t="str">
        <f>VLOOKUP(A226,'Trips&amp;Operators'!$C$1:$G$99999,5,FALSE)</f>
        <v>STAMBAUGH JAMES</v>
      </c>
      <c r="M226" s="6">
        <f t="shared" si="98"/>
        <v>1.9328703638166189E-3</v>
      </c>
      <c r="N226" s="7">
        <f t="shared" si="106"/>
        <v>2.7833333238959312</v>
      </c>
      <c r="O226" s="7"/>
      <c r="P226" s="7"/>
      <c r="Q226" s="22"/>
      <c r="R226" s="170"/>
      <c r="S226" s="213">
        <f t="shared" si="92"/>
        <v>0</v>
      </c>
      <c r="T226" s="195" t="str">
        <f t="shared" si="99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100"/>
        <v>https://d0f6bd738d7f1b3e5a7ca70fe4ff75f0.us-east-1.aws.found.io/app/kibana#/discover/Steve-Slow-Train-Analysis-(2080s-and-2083s)?_g=(refreshInterval:(display:Off,pause:!f,section:0,value:0),time:(from:'2017-07-05T21:37:09-0600',mode:absolute,to:'2017-07-05T23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6" s="197" t="str">
        <f>IF(AA226&lt;VLOOKUP(AG226,Variables!$AC$3:$AD$8,2,FALSE),"Y","N")</f>
        <v>Y</v>
      </c>
      <c r="X226" s="197">
        <f t="shared" si="109"/>
        <v>2</v>
      </c>
      <c r="Y226" s="197">
        <f t="shared" si="107"/>
        <v>5.8654999999999999</v>
      </c>
      <c r="Z226" s="197">
        <f t="shared" si="108"/>
        <v>2.1692999999999998</v>
      </c>
      <c r="AA226" s="197">
        <f t="shared" si="101"/>
        <v>3.6962000000000002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102"/>
        <v>908</v>
      </c>
      <c r="AE226" s="77" t="str">
        <f t="shared" si="103"/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AF226" s="74" t="str">
        <f t="shared" si="104"/>
        <v>"C:\Program Files (x86)\AstroGrep\AstroGrep.exe" /e /r /s /spath="%USERPROFILE%\AppData\Local\Temp\OnboardLogs" /stypes="app*4001*20170706*" /stext=" 04:.+((SYSTEM_STATE.+slice.+state.+changed )|(ment ac)|(multiple cpu faults)|(system.+state.+changed )|(\[timeout)|(PRM\|1\|D)|(kpr)|(kdp)|(train st.+moving)|(\|lc)|(penalty))"</v>
      </c>
      <c r="AG226" s="209" t="str">
        <f t="shared" si="105"/>
        <v>Other</v>
      </c>
      <c r="AH226" s="78" t="str">
        <f t="shared" si="93"/>
        <v>"%USERPROFILE%\Documents\GitHub\eaglep3\Utilities\RefineRTDCRunTimes.py" --tripid 908-05 --locoid 4001 --swversion DE.1.0.9.0 --startMP 300:58655 --initTime 2017-07-05T22:37:09 --startdatetime 2017-07-05T22:48:32 --delay 1 --endMP 300:21693 --enddatetime 2017-07-05T22:51:19 --enforcementcount 0 &gt;&gt;C:\Users\stu\Documents\GitHub\eaglep3-reporting\EC\2017-07-05-refined-times.txt</v>
      </c>
      <c r="AI226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{"issue":{"subject":"","project_id":79,"tracker_id":40,"status_id":1,"priority_id":2,"assigned_to_id":23,"start_date":"2017-07-05","description":"","custom_fields":[{"id":1,"name":"Subdivision","value":"Other"},{"id":4,"name":"Milepost","value":"2.1693"},{"id":17,"name":"Train ID","value":"908-05"},{"id":16,"name":"Locomotive ID","value":"4001"},{"id":130,"name":"Impact","value":""},{"id":150,"name":"Time of Event (Mountain Time)","value":"22:51:19"},{"id":151,"name":"Denver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5"/>
        <v>start /low /b %USERPROFILE%\Documents\GitHub\eaglep3\Utilities\DownloadLogsFromS3.py --loco 4001 --day 2017-07-05</v>
      </c>
      <c r="AN226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812</v>
      </c>
      <c r="B227" s="7">
        <v>4002</v>
      </c>
      <c r="C227" s="21" t="s">
        <v>202</v>
      </c>
      <c r="D227" s="21" t="s">
        <v>1021</v>
      </c>
      <c r="E227" s="13">
        <v>42921.948831018519</v>
      </c>
      <c r="F227" s="13">
        <v>42921.950370370374</v>
      </c>
      <c r="G227" s="7">
        <v>1</v>
      </c>
      <c r="H227" s="21" t="s">
        <v>1007</v>
      </c>
      <c r="I227" s="13">
        <v>42921.952303240738</v>
      </c>
      <c r="J227" s="7">
        <v>0</v>
      </c>
      <c r="K227" s="89" t="str">
        <f t="shared" si="97"/>
        <v>4001/4002</v>
      </c>
      <c r="L227" s="21" t="str">
        <f>VLOOKUP(A227,'Trips&amp;Operators'!$C$1:$G$99999,5,FALSE)</f>
        <v>STAMBAUGH JAMES</v>
      </c>
      <c r="M227" s="6">
        <f t="shared" si="98"/>
        <v>1.9328703638166189E-3</v>
      </c>
      <c r="N227" s="7">
        <f t="shared" si="106"/>
        <v>2.7833333238959312</v>
      </c>
      <c r="O227" s="7"/>
      <c r="P227" s="7"/>
      <c r="Q227" s="22"/>
      <c r="R227" s="170"/>
      <c r="S227" s="213">
        <f t="shared" si="92"/>
        <v>0</v>
      </c>
      <c r="T227" s="195" t="str">
        <f t="shared" si="99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100"/>
        <v>https://d0f6bd738d7f1b3e5a7ca70fe4ff75f0.us-east-1.aws.found.io/app/kibana#/discover/Steve-Slow-Train-Analysis-(2080s-and-2083s)?_g=(refreshInterval:(display:Off,pause:!f,section:0,value:0),time:(from:'2017-07-05T21:46:19-0600',mode:absolute,to:'2017-07-05T23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7" s="197" t="str">
        <f>IF(AA227&lt;VLOOKUP(AG227,Variables!$AC$3:$AD$8,2,FALSE),"Y","N")</f>
        <v>Y</v>
      </c>
      <c r="X227" s="197">
        <f t="shared" si="109"/>
        <v>0</v>
      </c>
      <c r="Y227" s="197">
        <f t="shared" si="107"/>
        <v>2.2019000000000002</v>
      </c>
      <c r="Z227" s="197">
        <f t="shared" si="108"/>
        <v>2.331</v>
      </c>
      <c r="AA227" s="197">
        <f t="shared" si="101"/>
        <v>0.12909999999999977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102"/>
        <v>908</v>
      </c>
      <c r="AE227" s="77" t="str">
        <f t="shared" si="103"/>
        <v>aws s3 cp s3://rtdc.mdm.uploadarchive.raw/RTDC4002/ "%USERPROFILE%\AppData\Local\Temp\OnboardLogs"\RTDC4002\2017-07-05 --exclude "*" --recursive --include "*20170705*" &amp; "%USERPROFILE%\Documents\GitHub\mrs-test-scripts\Headless Mode &amp; Sideloading\WalkAndUnGZ.bat" "%USERPROFILE%\AppData\Local\Temp\OnboardLogs"\RTDC4002\2017-07-05 &amp; aws s3 cp s3://rtdc.mdm.uploadarchive.raw/RTDC4002/ "%USERPROFILE%\AppData\Local\Temp\OnboardLogs"\RTDC4002\2017-07-06 --exclude "*" --recursive --include "*20170706*" &amp; "%USERPROFILE%\Documents\GitHub\mrs-test-scripts\Headless Mode &amp; Sideloading\WalkAndUnGZ.bat" "%USERPROFILE%\AppData\Local\Temp\OnboardLogs"\RTDC4002\2017-07-06</v>
      </c>
      <c r="AF227" s="74" t="str">
        <f t="shared" si="104"/>
        <v>"C:\Program Files (x86)\AstroGrep\AstroGrep.exe" /e /r /s /spath="%USERPROFILE%\AppData\Local\Temp\OnboardLogs" /stypes="app*4002*20170706*" /stext=" 04:.+((SYSTEM_STATE.+slice.+state.+changed )|(ment ac)|(multiple cpu faults)|(system.+state.+changed )|(\[timeout)|(PRM\|1\|D)|(kpr)|(kdp)|(train st.+moving)|(\|lc)|(penalty))"</v>
      </c>
      <c r="AG227" s="209" t="str">
        <f t="shared" si="105"/>
        <v>Other</v>
      </c>
      <c r="AH227" s="78" t="str">
        <f t="shared" si="93"/>
        <v>"%USERPROFILE%\Documents\GitHub\eaglep3\Utilities\RefineRTDCRunTimes.py" --tripid 908-05 --locoid 4002 --swversion DE.1.0.9.0 --startMP 300:22019 --initTime 2017-07-05T22:46:19 --startdatetime 2017-07-05T22:48:32 --delay 1 --endMP 300:23310 --enddatetime 2017-07-05T22:51:19 --enforcementcount 0 &gt;&gt;C:\Users\stu\Documents\GitHub\eaglep3-reporting\EC\2017-07-05-refined-times.txt</v>
      </c>
      <c r="AI227" s="96" t="str">
        <f t="shared" si="94"/>
        <v>echo {"issue":{"subject":"","project_id":79,"tracker_id":40,"status_id":1,"priority_id":2,"assigned_to_id":23,"start_date":"2017-07-05","description":"","custom_fields":[{"id":1,"name":"Subdivision","value":"Other"},{"id":4,"name":"Milepost","value":"2.331"},{"id":17,"name":"Train ID","value":"908-05"},{"id":16,"name":"Locomotive ID","value":"4002"},{"id":130,"name":"Impact","value":""},{"id":150,"name":"Time of Event (Mountain Time)","value":"22:51:19"},{"id":151,"name":"Denver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5"/>
        <v>start /low /b %USERPROFILE%\Documents\GitHub\eaglep3\Utilities\DownloadLogsFromS3.py --loco 4002 --day 2017-07-05</v>
      </c>
      <c r="AN227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633</v>
      </c>
      <c r="B228" s="7">
        <v>4062</v>
      </c>
      <c r="C228" s="21" t="s">
        <v>202</v>
      </c>
      <c r="D228" s="21" t="s">
        <v>908</v>
      </c>
      <c r="E228" s="13">
        <v>42921.128206018519</v>
      </c>
      <c r="F228" s="13">
        <v>42921.137256944443</v>
      </c>
      <c r="G228" s="7">
        <v>1</v>
      </c>
      <c r="H228" s="21" t="s">
        <v>909</v>
      </c>
      <c r="I228" s="13">
        <v>42921.138229166667</v>
      </c>
      <c r="J228" s="7">
        <v>0</v>
      </c>
      <c r="K228" s="89" t="str">
        <f t="shared" si="97"/>
        <v>4061/4062</v>
      </c>
      <c r="L228" s="21" t="str">
        <f>VLOOKUP(A228,'Trips&amp;Operators'!$C$1:$G$99999,5,FALSE)</f>
        <v>SPECTOR MICHAEL</v>
      </c>
      <c r="M228" s="6">
        <f t="shared" si="98"/>
        <v>9.7222222393611446E-4</v>
      </c>
      <c r="N228" s="7">
        <f t="shared" si="106"/>
        <v>1.4000000024680048</v>
      </c>
      <c r="O228" s="7"/>
      <c r="P228" s="7"/>
      <c r="Q228" s="22"/>
      <c r="R228" s="170"/>
      <c r="S228" s="213">
        <f t="shared" si="92"/>
        <v>0</v>
      </c>
      <c r="T228" s="195" t="str">
        <f t="shared" si="99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100"/>
        <v>https://d0f6bd738d7f1b3e5a7ca70fe4ff75f0.us-east-1.aws.found.io/app/kibana#/discover/Steve-Slow-Train-Analysis-(2080s-and-2083s)?_g=(refreshInterval:(display:Off,pause:!f,section:0,value:0),time:(from:'2017-07-05T02:04:37-0600',mode:absolute,to:'2017-07-05T04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8" s="197" t="str">
        <f>IF(AA228&lt;VLOOKUP(AG228,Variables!$AC$3:$AD$8,2,FALSE),"Y","N")</f>
        <v>Y</v>
      </c>
      <c r="X228" s="197">
        <f t="shared" si="109"/>
        <v>-857</v>
      </c>
      <c r="Y228" s="197">
        <f t="shared" si="107"/>
        <v>4.2599999999999999E-2</v>
      </c>
      <c r="Z228" s="197">
        <f t="shared" si="108"/>
        <v>0.35420000000000001</v>
      </c>
      <c r="AA228" s="197">
        <f t="shared" si="101"/>
        <v>0.31159999999999999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102"/>
        <v>51</v>
      </c>
      <c r="AE228" s="77" t="str">
        <f t="shared" si="103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228" s="74" t="str">
        <f t="shared" si="104"/>
        <v>"C:\Program Files (x86)\AstroGrep\AstroGrep.exe" /e /r /s /spath="%USERPROFILE%\AppData\Local\Temp\OnboardLogs" /stypes="app*4062*20170705*" /stext=" 09:.+((SYSTEM_STATE.+slice.+state.+changed )|(ment ac)|(multiple cpu faults)|(system.+state.+changed )|(\[timeout)|(PRM\|1\|D)|(kpr)|(kdp)|(train st.+moving)|(\|lc)|(penalty))"</v>
      </c>
      <c r="AG228" s="209" t="str">
        <f t="shared" si="105"/>
        <v>Shuttle/Test</v>
      </c>
      <c r="AH228" s="78" t="str">
        <f t="shared" si="93"/>
        <v>"%USERPROFILE%\Documents\GitHub\eaglep3\Utilities\RefineRTDCRunTimes.py" --tripid 51-05 --locoid 4062 --swversion DE.1.0.9.0 --startMP 204:426 --initTime 2017-07-05T03:04:37 --startdatetime 2017-07-05T03:17:39 --delay 1 --endMP 204:3542 --enddatetime 2017-07-05T03:19:03 --enforcementcount 0 &gt;&gt;C:\Users\stu\Documents\GitHub\eaglep3-reporting\EC\2017-07-05-refined-times.txt</v>
      </c>
      <c r="AI228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0.3542"},{"id":17,"name":"Train ID","value":"51-05"},{"id":16,"name":"Locomotive ID","value":"4062"},{"id":130,"name":"Impact","value":""},{"id":150,"name":"Time of Event (Mountain Time)","value":"03:19:03"},{"id":151,"name":"Denver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5"/>
        <v>start /low /b %USERPROFILE%\Documents\GitHub\eaglep3\Utilities\DownloadLogsFromS3.py --loco 4062 --day 2017-07-05</v>
      </c>
      <c r="AN228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09:19:03"},{"id":29,"name":"Sharepoint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635</v>
      </c>
      <c r="B229" s="7">
        <v>4061</v>
      </c>
      <c r="C229" s="21" t="s">
        <v>202</v>
      </c>
      <c r="D229" s="21" t="s">
        <v>910</v>
      </c>
      <c r="E229" s="13">
        <v>42921.13925925926</v>
      </c>
      <c r="F229" s="13">
        <v>42921.1405787037</v>
      </c>
      <c r="G229" s="7">
        <v>1</v>
      </c>
      <c r="H229" s="21" t="s">
        <v>570</v>
      </c>
      <c r="I229" s="13">
        <v>42921.141469907408</v>
      </c>
      <c r="J229" s="7">
        <v>0</v>
      </c>
      <c r="K229" s="89" t="str">
        <f t="shared" si="97"/>
        <v>4061/4062</v>
      </c>
      <c r="L229" s="21" t="str">
        <f>VLOOKUP(A229,'Trips&amp;Operators'!$C$1:$G$99999,5,FALSE)</f>
        <v>SPECTOR MICHAEL</v>
      </c>
      <c r="M229" s="6">
        <f t="shared" si="98"/>
        <v>8.9120370830642059E-4</v>
      </c>
      <c r="N229" s="7">
        <f t="shared" si="106"/>
        <v>1.2833333399612457</v>
      </c>
      <c r="O229" s="7"/>
      <c r="P229" s="7"/>
      <c r="Q229" s="22"/>
      <c r="R229" s="170"/>
      <c r="S229" s="213">
        <f t="shared" si="92"/>
        <v>0</v>
      </c>
      <c r="T229" s="195" t="str">
        <f t="shared" si="99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100"/>
        <v>https://d0f6bd738d7f1b3e5a7ca70fe4ff75f0.us-east-1.aws.found.io/app/kibana#/discover/Steve-Slow-Train-Analysis-(2080s-and-2083s)?_g=(refreshInterval:(display:Off,pause:!f,section:0,value:0),time:(from:'2017-07-05T02:20:32-0600',mode:absolute,to:'2017-07-05T04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197" t="str">
        <f>IF(AA229&lt;VLOOKUP(AG229,Variables!$AC$3:$AD$8,2,FALSE),"Y","N")</f>
        <v>Y</v>
      </c>
      <c r="X229" s="197">
        <f t="shared" si="109"/>
        <v>1</v>
      </c>
      <c r="Y229" s="197">
        <f t="shared" si="107"/>
        <v>0.32150000000000001</v>
      </c>
      <c r="Z229" s="197">
        <f t="shared" si="108"/>
        <v>0.1177</v>
      </c>
      <c r="AA229" s="197">
        <f t="shared" si="101"/>
        <v>0.20380000000000001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102"/>
        <v>52</v>
      </c>
      <c r="AE229" s="77" t="str">
        <f t="shared" si="103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229" s="74" t="str">
        <f t="shared" si="104"/>
        <v>"C:\Program Files (x86)\AstroGrep\AstroGrep.exe" /e /r /s /spath="%USERPROFILE%\AppData\Local\Temp\OnboardLogs" /stypes="app*4061*20170705*" /stext=" 09:.+((SYSTEM_STATE.+slice.+state.+changed )|(ment ac)|(multiple cpu faults)|(system.+state.+changed )|(\[timeout)|(PRM\|1\|D)|(kpr)|(kdp)|(train st.+moving)|(\|lc)|(penalty))"</v>
      </c>
      <c r="AG229" s="209" t="str">
        <f t="shared" si="105"/>
        <v>Shuttle/Test</v>
      </c>
      <c r="AH229" s="78" t="str">
        <f t="shared" si="93"/>
        <v>"%USERPROFILE%\Documents\GitHub\eaglep3\Utilities\RefineRTDCRunTimes.py" --tripid 52-05 --locoid 4061 --swversion DE.1.0.9.0 --startMP 204:3215 --initTime 2017-07-05T03:20:32 --startdatetime 2017-07-05T03:22:26 --delay 1 --endMP 204:1177 --enddatetime 2017-07-05T03:23:43 --enforcementcount 0 &gt;&gt;C:\Users\stu\Documents\GitHub\eaglep3-reporting\EC\2017-07-05-refined-times.txt</v>
      </c>
      <c r="AI229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0.1177"},{"id":17,"name":"Train ID","value":"52-05"},{"id":16,"name":"Locomotive ID","value":"4061"},{"id":130,"name":"Impact","value":""},{"id":150,"name":"Time of Event (Mountain Time)","value":"03:23:43"},{"id":151,"name":"Denver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5"/>
        <v>start /low /b %USERPROFILE%\Documents\GitHub\eaglep3\Utilities\DownloadLogsFromS3.py --loco 4061 --day 2017-07-05</v>
      </c>
      <c r="AN229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09:23:43"},{"id":29,"name":"Sharepoint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777</v>
      </c>
      <c r="B230" s="7">
        <v>4045</v>
      </c>
      <c r="C230" s="21" t="s">
        <v>202</v>
      </c>
      <c r="D230" s="21" t="s">
        <v>911</v>
      </c>
      <c r="E230" s="13">
        <v>42921.734351851854</v>
      </c>
      <c r="F230" s="13">
        <v>42921.749594907407</v>
      </c>
      <c r="G230" s="7">
        <v>21</v>
      </c>
      <c r="H230" s="21" t="s">
        <v>912</v>
      </c>
      <c r="I230" s="13">
        <v>42921.757094907407</v>
      </c>
      <c r="J230" s="7">
        <v>0</v>
      </c>
      <c r="K230" s="89" t="str">
        <f t="shared" si="97"/>
        <v>4045/4046</v>
      </c>
      <c r="L230" s="21" t="str">
        <f>VLOOKUP(A230,'Trips&amp;Operators'!$C$1:$G$99999,5,FALSE)</f>
        <v>MAGEE KENYA</v>
      </c>
      <c r="M230" s="6">
        <f t="shared" si="98"/>
        <v>7.4999999997089617E-3</v>
      </c>
      <c r="N230" s="7">
        <f t="shared" si="106"/>
        <v>10.799999999580905</v>
      </c>
      <c r="O230" s="7"/>
      <c r="P230" s="7"/>
      <c r="Q230" s="22"/>
      <c r="R230" s="170"/>
      <c r="S230" s="213">
        <f t="shared" ref="S230:S261" si="110">SUM(U230:U230)/IF(AG230="EC",12,1)</f>
        <v>0</v>
      </c>
      <c r="T230" s="195" t="str">
        <f t="shared" si="99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100"/>
        <v>https://d0f6bd738d7f1b3e5a7ca70fe4ff75f0.us-east-1.aws.found.io/app/kibana#/discover/Steve-Slow-Train-Analysis-(2080s-and-2083s)?_g=(refreshInterval:(display:Off,pause:!f,section:0,value:0),time:(from:'2017-07-05T16:37:28-0600',mode:absolute,to:'2017-07-05T19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97" t="str">
        <f>IF(AA230&lt;VLOOKUP(AG230,Variables!$AC$3:$AD$8,2,FALSE),"Y","N")</f>
        <v>Y</v>
      </c>
      <c r="X230" s="197">
        <f t="shared" si="109"/>
        <v>1</v>
      </c>
      <c r="Y230" s="197">
        <f t="shared" si="107"/>
        <v>1.8996</v>
      </c>
      <c r="Z230" s="197">
        <f t="shared" si="108"/>
        <v>0.2009</v>
      </c>
      <c r="AA230" s="197">
        <f t="shared" si="101"/>
        <v>1.6986999999999999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102"/>
        <v>53</v>
      </c>
      <c r="AE230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30" s="74" t="str">
        <f t="shared" si="104"/>
        <v>"C:\Program Files (x86)\AstroGrep\AstroGrep.exe" /e /r /s /spath="%USERPROFILE%\AppData\Local\Temp\OnboardLogs" /stypes="app*4045*20170706*" /stext=" 00:.+((SYSTEM_STATE.+slice.+state.+changed )|(ment ac)|(multiple cpu faults)|(system.+state.+changed )|(\[timeout)|(PRM\|1\|D)|(kpr)|(kdp)|(train st.+moving)|(\|lc)|(penalty))"</v>
      </c>
      <c r="AG230" s="209" t="str">
        <f t="shared" si="105"/>
        <v>Shuttle/Test</v>
      </c>
      <c r="AH230" s="78" t="str">
        <f t="shared" si="93"/>
        <v>"%USERPROFILE%\Documents\GitHub\eaglep3\Utilities\RefineRTDCRunTimes.py" --tripid 53-05 --locoid 4045 --swversion DE.1.0.9.0 --startMP 300:18996 --initTime 2017-07-05T17:37:28 --startdatetime 2017-07-05T17:59:25 --delay 21 --endMP 204:2009 --enddatetime 2017-07-05T18:10:13 --enforcementcount 0 &gt;&gt;C:\Users\stu\Documents\GitHub\eaglep3-reporting\EC\2017-07-05-refined-times.txt</v>
      </c>
      <c r="AI230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0.2009"},{"id":17,"name":"Train ID","value":"53-05"},{"id":16,"name":"Locomotive ID","value":"4045"},{"id":130,"name":"Impact","value":""},{"id":150,"name":"Time of Event (Mountain Time)","value":"18:10:13"},{"id":151,"name":"Denver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5"/>
        <v>start /low /b %USERPROFILE%\Documents\GitHub\eaglep3\Utilities\DownloadLogsFromS3.py --loco 4045 --day 2017-07-05</v>
      </c>
      <c r="AN230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00:10:13"},{"id":29,"name":"Sharepoint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586</v>
      </c>
      <c r="B231" s="7">
        <v>4011</v>
      </c>
      <c r="C231" s="21" t="s">
        <v>202</v>
      </c>
      <c r="D231" s="21" t="s">
        <v>913</v>
      </c>
      <c r="E231" s="13">
        <v>42921.40792824074</v>
      </c>
      <c r="F231" s="13">
        <v>42921.431145833332</v>
      </c>
      <c r="G231" s="7">
        <v>1</v>
      </c>
      <c r="H231" s="21" t="s">
        <v>914</v>
      </c>
      <c r="I231" s="13">
        <v>42921.447048611109</v>
      </c>
      <c r="J231" s="7">
        <v>0</v>
      </c>
      <c r="K231" s="89" t="str">
        <f t="shared" si="97"/>
        <v>4011/4012</v>
      </c>
      <c r="L231" s="21" t="str">
        <f>VLOOKUP(A231,'Trips&amp;Operators'!$C$1:$G$99999,5,FALSE)</f>
        <v>SANTIZO D. EDY</v>
      </c>
      <c r="M231" s="6">
        <f t="shared" si="98"/>
        <v>1.5902777777228039E-2</v>
      </c>
      <c r="N231" s="7">
        <f t="shared" si="106"/>
        <v>22.899999999208376</v>
      </c>
      <c r="O231" s="7"/>
      <c r="P231" s="7"/>
      <c r="Q231" s="22"/>
      <c r="R231" s="170"/>
      <c r="S231" s="213">
        <f t="shared" si="110"/>
        <v>0</v>
      </c>
      <c r="T231" s="195" t="str">
        <f t="shared" si="99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100"/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1" s="197" t="str">
        <f>IF(AA231&lt;VLOOKUP(AG231,Variables!$AC$3:$AD$8,2,FALSE),"Y","N")</f>
        <v>Y</v>
      </c>
      <c r="X231" s="197">
        <f t="shared" si="109"/>
        <v>8</v>
      </c>
      <c r="Y231" s="197">
        <f t="shared" si="107"/>
        <v>11.0061</v>
      </c>
      <c r="Z231" s="197">
        <f t="shared" si="108"/>
        <v>4.6527000000000003</v>
      </c>
      <c r="AA231" s="197">
        <f t="shared" si="101"/>
        <v>6.3533999999999997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102"/>
        <v>61</v>
      </c>
      <c r="AE231" s="77" t="str">
        <f t="shared" si="103"/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AF231" s="74" t="str">
        <f t="shared" si="104"/>
        <v>"C:\Program Files (x86)\AstroGrep\AstroGrep.exe" /e /r /s /spath="%USERPROFILE%\AppData\Local\Temp\OnboardLogs" /stypes="app*4011*20170705*" /stext=" 16:.+((SYSTEM_STATE.+slice.+state.+changed )|(ment ac)|(multiple cpu faults)|(system.+state.+changed )|(\[timeout)|(PRM\|1\|D)|(kpr)|(kdp)|(train st.+moving)|(\|lc)|(penalty))"</v>
      </c>
      <c r="AG231" s="209" t="str">
        <f t="shared" si="105"/>
        <v>Shuttle/Test</v>
      </c>
      <c r="AH231" s="78" t="str">
        <f t="shared" si="93"/>
        <v>"%USERPROFILE%\Documents\GitHub\eaglep3\Utilities\RefineRTDCRunTimes.py" --tripid 61-05 --locoid 4011 --swversion DE.1.0.9.0 --startMP 300:110061 --initTime 2017-07-05T09:47:25 --startdatetime 2017-07-05T10:20:51 --delay 1 --endMP 300:46527 --enddatetime 2017-07-05T10:43:45 --enforcementcount 0 &gt;&gt;C:\Users\stu\Documents\GitHub\eaglep3-reporting\EC\2017-07-05-refined-times.txt</v>
      </c>
      <c r="AI231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4.6527"},{"id":17,"name":"Train ID","value":"61-05"},{"id":16,"name":"Locomotive ID","value":"4011"},{"id":130,"name":"Impact","value":""},{"id":150,"name":"Time of Event (Mountain Time)","value":"10:43:45"},{"id":151,"name":"Denver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95"/>
        <v>start /low /b %USERPROFILE%\Documents\GitHub\eaglep3\Utilities\DownloadLogsFromS3.py --loco 4011 --day 2017-07-05</v>
      </c>
      <c r="AN231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16:43:45"},{"id":29,"name":"Sharepoint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586</v>
      </c>
      <c r="B232" s="7">
        <v>4011</v>
      </c>
      <c r="C232" s="21" t="s">
        <v>202</v>
      </c>
      <c r="D232" s="21" t="s">
        <v>915</v>
      </c>
      <c r="E232" s="13">
        <v>42921.398935185185</v>
      </c>
      <c r="F232" s="13">
        <v>42921.431145833332</v>
      </c>
      <c r="G232" s="7">
        <v>1</v>
      </c>
      <c r="H232" s="21" t="s">
        <v>916</v>
      </c>
      <c r="I232" s="13">
        <v>42921.447048611109</v>
      </c>
      <c r="J232" s="7">
        <v>0</v>
      </c>
      <c r="K232" s="89" t="str">
        <f t="shared" si="97"/>
        <v>4011/4012</v>
      </c>
      <c r="L232" s="21" t="str">
        <f>VLOOKUP(A232,'Trips&amp;Operators'!$C$1:$G$99999,5,FALSE)</f>
        <v>SANTIZO D. EDY</v>
      </c>
      <c r="M232" s="6">
        <f t="shared" si="98"/>
        <v>1.5902777777228039E-2</v>
      </c>
      <c r="N232" s="7">
        <f t="shared" si="106"/>
        <v>22.899999999208376</v>
      </c>
      <c r="O232" s="7"/>
      <c r="P232" s="7"/>
      <c r="Q232" s="22"/>
      <c r="R232" s="170"/>
      <c r="S232" s="213">
        <f t="shared" si="110"/>
        <v>0</v>
      </c>
      <c r="T232" s="195" t="str">
        <f t="shared" si="99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100"/>
        <v>https://d0f6bd738d7f1b3e5a7ca70fe4ff75f0.us-east-1.aws.found.io/app/kibana#/discover/Steve-Slow-Train-Analysis-(2080s-and-2083s)?_g=(refreshInterval:(display:Off,pause:!f,section:0,value:0),time:(from:'2017-07-05T08:34:28-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197" t="str">
        <f>IF(AA232&lt;VLOOKUP(AG232,Variables!$AC$3:$AD$8,2,FALSE),"Y","N")</f>
        <v>Y</v>
      </c>
      <c r="X232" s="197">
        <f t="shared" si="109"/>
        <v>0</v>
      </c>
      <c r="Y232" s="197">
        <f t="shared" si="107"/>
        <v>11.2193</v>
      </c>
      <c r="Z232" s="197">
        <f t="shared" si="108"/>
        <v>11.0047</v>
      </c>
      <c r="AA232" s="197">
        <f t="shared" si="101"/>
        <v>0.21460000000000079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102"/>
        <v>61</v>
      </c>
      <c r="AE232" s="77" t="str">
        <f t="shared" si="103"/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AF232" s="74" t="str">
        <f t="shared" si="104"/>
        <v>"C:\Program Files (x86)\AstroGrep\AstroGrep.exe" /e /r /s /spath="%USERPROFILE%\AppData\Local\Temp\OnboardLogs" /stypes="app*4011*20170705*" /stext=" 16:.+((SYSTEM_STATE.+slice.+state.+changed )|(ment ac)|(multiple cpu faults)|(system.+state.+changed )|(\[timeout)|(PRM\|1\|D)|(kpr)|(kdp)|(train st.+moving)|(\|lc)|(penalty))"</v>
      </c>
      <c r="AG232" s="209" t="str">
        <f t="shared" si="105"/>
        <v>Shuttle/Test</v>
      </c>
      <c r="AH232" s="78" t="str">
        <f t="shared" si="93"/>
        <v>"%USERPROFILE%\Documents\GitHub\eaglep3\Utilities\RefineRTDCRunTimes.py" --tripid 61-05 --locoid 4011 --swversion DE.1.0.9.0 --startMP 300:112193 --initTime 2017-07-05T09:34:28 --startdatetime 2017-07-05T10:20:51 --delay 1 --endMP 300:110047 --enddatetime 2017-07-05T10:43:45 --enforcementcount 0 &gt;&gt;C:\Users\stu\Documents\GitHub\eaglep3-reporting\EC\2017-07-05-refined-times.txt</v>
      </c>
      <c r="AI232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11.0047"},{"id":17,"name":"Train ID","value":"61-05"},{"id":16,"name":"Locomotive ID","value":"4011"},{"id":130,"name":"Impact","value":""},{"id":150,"name":"Time of Event (Mountain Time)","value":"10:43:45"},{"id":151,"name":"Denver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5"/>
        <v>start /low /b %USERPROFILE%\Documents\GitHub\eaglep3\Utilities\DownloadLogsFromS3.py --loco 4011 --day 2017-07-05</v>
      </c>
      <c r="AN232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16:43:45"},{"id":29,"name":"Sharepoint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586</v>
      </c>
      <c r="B233" s="7">
        <v>4011</v>
      </c>
      <c r="C233" s="21" t="s">
        <v>202</v>
      </c>
      <c r="D233" s="21" t="s">
        <v>917</v>
      </c>
      <c r="E233" s="13">
        <v>42921.453125</v>
      </c>
      <c r="F233" s="13">
        <v>42921.454733796294</v>
      </c>
      <c r="G233" s="7">
        <v>1</v>
      </c>
      <c r="H233" s="21" t="s">
        <v>918</v>
      </c>
      <c r="I233" s="13">
        <v>42921.479108796295</v>
      </c>
      <c r="J233" s="7">
        <v>0</v>
      </c>
      <c r="K233" s="89" t="str">
        <f t="shared" si="97"/>
        <v>4011/4012</v>
      </c>
      <c r="L233" s="21" t="str">
        <f>VLOOKUP(A233,'Trips&amp;Operators'!$C$1:$G$99999,5,FALSE)</f>
        <v>SANTIZO D. EDY</v>
      </c>
      <c r="M233" s="6">
        <f t="shared" si="98"/>
        <v>2.4375000000873115E-2</v>
      </c>
      <c r="N233" s="7">
        <f t="shared" si="106"/>
        <v>35.100000001257285</v>
      </c>
      <c r="O233" s="7"/>
      <c r="P233" s="7"/>
      <c r="Q233" s="22"/>
      <c r="R233" s="170"/>
      <c r="S233" s="213">
        <f t="shared" si="110"/>
        <v>0</v>
      </c>
      <c r="T233" s="195" t="str">
        <f t="shared" si="99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100"/>
        <v>https://d0f6bd738d7f1b3e5a7ca70fe4ff75f0.us-east-1.aws.found.io/app/kibana#/discover/Steve-Slow-Train-Analysis-(2080s-and-2083s)?_g=(refreshInterval:(display:Off,pause:!f,section:0,value:0),time:(from:'2017-07-05T09:52:30-0600',mode:absolute,to:'2017-07-05T12:29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197" t="str">
        <f>IF(AA233&lt;VLOOKUP(AG233,Variables!$AC$3:$AD$8,2,FALSE),"Y","N")</f>
        <v>Y</v>
      </c>
      <c r="X233" s="197">
        <f t="shared" si="109"/>
        <v>0</v>
      </c>
      <c r="Y233" s="197">
        <f t="shared" si="107"/>
        <v>11.2202</v>
      </c>
      <c r="Z233" s="197">
        <f t="shared" si="108"/>
        <v>2.8788</v>
      </c>
      <c r="AA233" s="197">
        <f t="shared" si="101"/>
        <v>8.3414000000000001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102"/>
        <v>61</v>
      </c>
      <c r="AE233" s="77" t="str">
        <f t="shared" si="103"/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AF233" s="74" t="str">
        <f t="shared" si="104"/>
        <v>"C:\Program Files (x86)\AstroGrep\AstroGrep.exe" /e /r /s /spath="%USERPROFILE%\AppData\Local\Temp\OnboardLogs" /stypes="app*4011*20170705*" /stext=" 17:.+((SYSTEM_STATE.+slice.+state.+changed )|(ment ac)|(multiple cpu faults)|(system.+state.+changed )|(\[timeout)|(PRM\|1\|D)|(kpr)|(kdp)|(train st.+moving)|(\|lc)|(penalty))"</v>
      </c>
      <c r="AG233" s="209" t="str">
        <f t="shared" si="105"/>
        <v>Shuttle/Test</v>
      </c>
      <c r="AH233" s="78" t="str">
        <f t="shared" si="93"/>
        <v>"%USERPROFILE%\Documents\GitHub\eaglep3\Utilities\RefineRTDCRunTimes.py" --tripid 61-05 --locoid 4011 --swversion DE.1.0.9.0 --startMP 300:112202 --initTime 2017-07-05T10:52:30 --startdatetime 2017-07-05T10:54:49 --delay 1 --endMP 300:28788 --enddatetime 2017-07-05T11:29:55 --enforcementcount 0 &gt;&gt;C:\Users\stu\Documents\GitHub\eaglep3-reporting\EC\2017-07-05-refined-times.txt</v>
      </c>
      <c r="AI233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2.8788"},{"id":17,"name":"Train ID","value":"61-05"},{"id":16,"name":"Locomotive ID","value":"4011"},{"id":130,"name":"Impact","value":""},{"id":150,"name":"Time of Event (Mountain Time)","value":"11:29:55"},{"id":151,"name":"Denver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95"/>
        <v>start /low /b %USERPROFILE%\Documents\GitHub\eaglep3\Utilities\DownloadLogsFromS3.py --loco 4011 --day 2017-07-05</v>
      </c>
      <c r="AN233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17:29:55"},{"id":29,"name":"Sharepoint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586</v>
      </c>
      <c r="B234" s="7">
        <v>4012</v>
      </c>
      <c r="C234" s="21" t="s">
        <v>202</v>
      </c>
      <c r="D234" s="21" t="s">
        <v>919</v>
      </c>
      <c r="E234" s="13">
        <v>42921.370370370372</v>
      </c>
      <c r="F234" s="13">
        <v>42921.409120370372</v>
      </c>
      <c r="G234" s="7">
        <v>6</v>
      </c>
      <c r="H234" s="21" t="s">
        <v>920</v>
      </c>
      <c r="I234" s="13">
        <v>42921.420277777775</v>
      </c>
      <c r="J234" s="7">
        <v>0</v>
      </c>
      <c r="K234" s="89" t="str">
        <f t="shared" si="97"/>
        <v>4011/4012</v>
      </c>
      <c r="L234" s="21" t="str">
        <f>VLOOKUP(A234,'Trips&amp;Operators'!$C$1:$G$99999,5,FALSE)</f>
        <v>SANTIZO D. EDY</v>
      </c>
      <c r="M234" s="6">
        <f t="shared" si="98"/>
        <v>1.1157407403516117E-2</v>
      </c>
      <c r="N234" s="7">
        <f t="shared" si="106"/>
        <v>16.066666661063209</v>
      </c>
      <c r="O234" s="7"/>
      <c r="P234" s="7"/>
      <c r="Q234" s="22"/>
      <c r="R234" s="170"/>
      <c r="S234" s="213">
        <f t="shared" si="110"/>
        <v>0</v>
      </c>
      <c r="T234" s="195" t="str">
        <f t="shared" si="99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100"/>
        <v>https://d0f6bd738d7f1b3e5a7ca70fe4ff75f0.us-east-1.aws.found.io/app/kibana#/discover/Steve-Slow-Train-Analysis-(2080s-and-2083s)?_g=(refreshInterval:(display:Off,pause:!f,section:0,value:0),time:(from:'2017-07-05T07:53:20-0600',mode:absolute,to:'2017-07-05T11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4" s="197" t="str">
        <f>IF(AA234&lt;VLOOKUP(AG234,Variables!$AC$3:$AD$8,2,FALSE),"Y","N")</f>
        <v>Y</v>
      </c>
      <c r="X234" s="197">
        <f t="shared" si="109"/>
        <v>0</v>
      </c>
      <c r="Y234" s="197">
        <f t="shared" si="107"/>
        <v>3.0219999999999998</v>
      </c>
      <c r="Z234" s="197">
        <f t="shared" si="108"/>
        <v>11.2515</v>
      </c>
      <c r="AA234" s="197">
        <f t="shared" si="101"/>
        <v>8.2294999999999998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102"/>
        <v>61</v>
      </c>
      <c r="AE234" s="77" t="str">
        <f t="shared" si="103"/>
        <v>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 &amp; 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</v>
      </c>
      <c r="AF234" s="74" t="str">
        <f t="shared" si="104"/>
        <v>"C:\Program Files (x86)\AstroGrep\AstroGrep.exe" /e /r /s /spath="%USERPROFILE%\AppData\Local\Temp\OnboardLogs" /stypes="app*4012*20170705*" /stext=" 16:.+((SYSTEM_STATE.+slice.+state.+changed )|(ment ac)|(multiple cpu faults)|(system.+state.+changed )|(\[timeout)|(PRM\|1\|D)|(kpr)|(kdp)|(train st.+moving)|(\|lc)|(penalty))"</v>
      </c>
      <c r="AG234" s="209" t="str">
        <f t="shared" si="105"/>
        <v>Shuttle/Test</v>
      </c>
      <c r="AH234" s="78" t="str">
        <f t="shared" si="93"/>
        <v>"%USERPROFILE%\Documents\GitHub\eaglep3\Utilities\RefineRTDCRunTimes.py" --tripid 61-05 --locoid 4012 --swversion DE.1.0.9.0 --startMP 300:30220 --initTime 2017-07-05T08:53:20 --startdatetime 2017-07-05T09:49:08 --delay 6 --endMP 300:112515 --enddatetime 2017-07-05T10:05:12 --enforcementcount 0 &gt;&gt;C:\Users\stu\Documents\GitHub\eaglep3-reporting\EC\2017-07-05-refined-times.txt</v>
      </c>
      <c r="AI234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11.2515"},{"id":17,"name":"Train ID","value":"61-05"},{"id":16,"name":"Locomotive ID","value":"4012"},{"id":130,"name":"Impact","value":""},{"id":150,"name":"Time of Event (Mountain Time)","value":"10:05:12"},{"id":151,"name":"Denver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5"/>
        <v>start /low /b %USERPROFILE%\Documents\GitHub\eaglep3\Utilities\DownloadLogsFromS3.py --loco 4012 --day 2017-07-05</v>
      </c>
      <c r="AN234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586</v>
      </c>
      <c r="B235" s="7">
        <v>4012</v>
      </c>
      <c r="C235" s="21" t="s">
        <v>202</v>
      </c>
      <c r="D235" s="21" t="s">
        <v>921</v>
      </c>
      <c r="E235" s="13">
        <v>42921.425810185188</v>
      </c>
      <c r="F235" s="13">
        <v>42921.454733796294</v>
      </c>
      <c r="G235" s="7">
        <v>1</v>
      </c>
      <c r="H235" s="21" t="s">
        <v>922</v>
      </c>
      <c r="I235" s="13">
        <v>42921.479108796295</v>
      </c>
      <c r="J235" s="7">
        <v>0</v>
      </c>
      <c r="K235" s="89" t="str">
        <f t="shared" si="97"/>
        <v>4011/4012</v>
      </c>
      <c r="L235" s="21" t="str">
        <f>VLOOKUP(A235,'Trips&amp;Operators'!$C$1:$G$99999,5,FALSE)</f>
        <v>SANTIZO D. EDY</v>
      </c>
      <c r="M235" s="6">
        <f t="shared" si="98"/>
        <v>2.4375000000873115E-2</v>
      </c>
      <c r="N235" s="7">
        <f t="shared" si="106"/>
        <v>35.100000001257285</v>
      </c>
      <c r="O235" s="7"/>
      <c r="P235" s="7"/>
      <c r="Q235" s="22"/>
      <c r="R235" s="170"/>
      <c r="S235" s="213">
        <f t="shared" si="110"/>
        <v>0</v>
      </c>
      <c r="T235" s="195" t="str">
        <f t="shared" si="99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100"/>
        <v>https://d0f6bd738d7f1b3e5a7ca70fe4ff75f0.us-east-1.aws.found.io/app/kibana#/discover/Steve-Slow-Train-Analysis-(2080s-and-2083s)?_g=(refreshInterval:(display:Off,pause:!f,section:0,value:0),time:(from:'2017-07-05T09:13:10-0600',mode:absolute,to:'2017-07-05T12:29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5" s="197" t="str">
        <f>IF(AA235&lt;VLOOKUP(AG235,Variables!$AC$3:$AD$8,2,FALSE),"Y","N")</f>
        <v>Y</v>
      </c>
      <c r="X235" s="197">
        <f t="shared" si="109"/>
        <v>0</v>
      </c>
      <c r="Y235" s="197">
        <f t="shared" si="107"/>
        <v>3.9544999999999999</v>
      </c>
      <c r="Z235" s="197">
        <f t="shared" si="108"/>
        <v>11.251300000000001</v>
      </c>
      <c r="AA235" s="197">
        <f t="shared" si="101"/>
        <v>7.2968000000000011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102"/>
        <v>61</v>
      </c>
      <c r="AE235" s="77" t="str">
        <f t="shared" si="103"/>
        <v>aws s3 cp s3://rtdc.mdm.uploadarchive.raw/RTDC4012/ "%USERPROFILE%\AppData\Local\Temp\OnboardLogs"\RTDC4012\2017-07-05 --exclude "*" --recursive --include "*20170705*" &amp; "%USERPROFILE%\Documents\GitHub\mrs-test-scripts\Headless Mode &amp; Sideloading\WalkAndUnGZ.bat" "%USERPROFILE%\AppData\Local\Temp\OnboardLogs"\RTDC4012\2017-07-05 &amp; aws s3 cp s3://rtdc.mdm.uploadarchive.raw/RTDC4012/ "%USERPROFILE%\AppData\Local\Temp\OnboardLogs"\RTDC4012\2017-07-06 --exclude "*" --recursive --include "*20170706*" &amp; "%USERPROFILE%\Documents\GitHub\mrs-test-scripts\Headless Mode &amp; Sideloading\WalkAndUnGZ.bat" "%USERPROFILE%\AppData\Local\Temp\OnboardLogs"\RTDC4012\2017-07-06</v>
      </c>
      <c r="AF235" s="74" t="str">
        <f t="shared" si="104"/>
        <v>"C:\Program Files (x86)\AstroGrep\AstroGrep.exe" /e /r /s /spath="%USERPROFILE%\AppData\Local\Temp\OnboardLogs" /stypes="app*4012*20170705*" /stext=" 17:.+((SYSTEM_STATE.+slice.+state.+changed )|(ment ac)|(multiple cpu faults)|(system.+state.+changed )|(\[timeout)|(PRM\|1\|D)|(kpr)|(kdp)|(train st.+moving)|(\|lc)|(penalty))"</v>
      </c>
      <c r="AG235" s="209" t="str">
        <f t="shared" si="105"/>
        <v>Shuttle/Test</v>
      </c>
      <c r="AH235" s="78" t="str">
        <f t="shared" si="93"/>
        <v>"%USERPROFILE%\Documents\GitHub\eaglep3\Utilities\RefineRTDCRunTimes.py" --tripid 61-05 --locoid 4012 --swversion DE.1.0.9.0 --startMP 300:39545 --initTime 2017-07-05T10:13:10 --startdatetime 2017-07-05T10:54:49 --delay 1 --endMP 300:112513 --enddatetime 2017-07-05T11:29:55 --enforcementcount 0 &gt;&gt;C:\Users\stu\Documents\GitHub\eaglep3-reporting\EC\2017-07-05-refined-times.txt</v>
      </c>
      <c r="AI235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11.2513"},{"id":17,"name":"Train ID","value":"61-05"},{"id":16,"name":"Locomotive ID","value":"4012"},{"id":130,"name":"Impact","value":""},{"id":150,"name":"Time of Event (Mountain Time)","value":"11:29:55"},{"id":151,"name":"Denver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5"/>
        <v>start /low /b %USERPROFILE%\Documents\GitHub\eaglep3\Utilities\DownloadLogsFromS3.py --loco 4012 --day 2017-07-05</v>
      </c>
      <c r="AN235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17:29:55"},{"id":29,"name":"Sharepoint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603</v>
      </c>
      <c r="B236" s="7">
        <v>4063</v>
      </c>
      <c r="C236" s="21" t="s">
        <v>202</v>
      </c>
      <c r="D236" s="21" t="s">
        <v>923</v>
      </c>
      <c r="E236" s="13">
        <v>42921.565370370372</v>
      </c>
      <c r="F236" s="13">
        <v>42921.598506944443</v>
      </c>
      <c r="G236" s="7">
        <v>1</v>
      </c>
      <c r="H236" s="21" t="s">
        <v>924</v>
      </c>
      <c r="I236" s="13">
        <v>42921.628530092596</v>
      </c>
      <c r="J236" s="7">
        <v>0</v>
      </c>
      <c r="K236" s="89" t="str">
        <f t="shared" si="97"/>
        <v>4063/4064</v>
      </c>
      <c r="L236" s="21" t="str">
        <f>VLOOKUP(A236,'Trips&amp;Operators'!$C$1:$G$99999,5,FALSE)</f>
        <v>SANTIZO D. EDY</v>
      </c>
      <c r="M236" s="6">
        <f t="shared" si="98"/>
        <v>3.0023148152395152E-2</v>
      </c>
      <c r="N236" s="7">
        <f t="shared" si="106"/>
        <v>43.233333339449018</v>
      </c>
      <c r="O236" s="7"/>
      <c r="P236" s="7"/>
      <c r="Q236" s="22"/>
      <c r="R236" s="170"/>
      <c r="S236" s="213">
        <f t="shared" si="110"/>
        <v>1</v>
      </c>
      <c r="T236" s="195" t="str">
        <f t="shared" si="99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100"/>
        <v>https://d0f6bd738d7f1b3e5a7ca70fe4ff75f0.us-east-1.aws.found.io/app/kibana#/discover/Steve-Slow-Train-Analysis-(2080s-and-2083s)?_g=(refreshInterval:(display:Off,pause:!f,section:0,value:0),time:(from:'2017-07-05T12:34:08-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6" s="197" t="str">
        <f>IF(AA236&lt;VLOOKUP(AG236,Variables!$AC$3:$AD$8,2,FALSE),"Y","N")</f>
        <v>Y</v>
      </c>
      <c r="X236" s="197">
        <f t="shared" si="109"/>
        <v>1</v>
      </c>
      <c r="Y236" s="197">
        <f t="shared" si="107"/>
        <v>11.2204</v>
      </c>
      <c r="Z236" s="197">
        <f t="shared" si="108"/>
        <v>0.10580000000000001</v>
      </c>
      <c r="AA236" s="197">
        <f t="shared" si="101"/>
        <v>11.114599999999999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102"/>
        <v>62</v>
      </c>
      <c r="AE236" s="77" t="str">
        <f t="shared" si="103"/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AF236" s="74" t="str">
        <f t="shared" si="104"/>
        <v>"C:\Program Files (x86)\AstroGrep\AstroGrep.exe" /e /r /s /spath="%USERPROFILE%\AppData\Local\Temp\OnboardLogs" /stypes="app*4063*20170705*" /stext=" 21:.+((SYSTEM_STATE.+slice.+state.+changed )|(ment ac)|(multiple cpu faults)|(system.+state.+changed )|(\[timeout)|(PRM\|1\|D)|(kpr)|(kdp)|(train st.+moving)|(\|lc)|(penalty))"</v>
      </c>
      <c r="AG236" s="209" t="str">
        <f t="shared" si="105"/>
        <v>Shuttle/Test</v>
      </c>
      <c r="AH236" s="78" t="str">
        <f t="shared" si="93"/>
        <v>"%USERPROFILE%\Documents\GitHub\eaglep3\Utilities\RefineRTDCRunTimes.py" --tripid 62-05 --locoid 4063 --swversion DE.1.0.9.0 --startMP 300:112204 --initTime 2017-07-05T13:34:08 --startdatetime 2017-07-05T14:21:51 --delay 1 --endMP 204:1058 --enddatetime 2017-07-05T15:05:05 --enforcementcount 0 &gt;&gt;C:\Users\stu\Documents\GitHub\eaglep3-reporting\EC\2017-07-05-refined-times.txt</v>
      </c>
      <c r="AI236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0.1058"},{"id":17,"name":"Train ID","value":"62-05"},{"id":16,"name":"Locomotive ID","value":"4063"},{"id":130,"name":"Impact","value":""},{"id":150,"name":"Time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5"/>
        <v>start /low /b %USERPROFILE%\Documents\GitHub\eaglep3\Utilities\DownloadLogsFromS3.py --loco 4063 --day 2017-07-05</v>
      </c>
      <c r="AN236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603</v>
      </c>
      <c r="B237" s="7">
        <v>4063</v>
      </c>
      <c r="C237" s="21" t="s">
        <v>202</v>
      </c>
      <c r="D237" s="21" t="s">
        <v>925</v>
      </c>
      <c r="E237" s="13">
        <v>42921.529490740744</v>
      </c>
      <c r="F237" s="13">
        <v>42921.546273148146</v>
      </c>
      <c r="G237" s="7">
        <v>8</v>
      </c>
      <c r="H237" s="21" t="s">
        <v>926</v>
      </c>
      <c r="I237" s="13">
        <v>42921.564317129632</v>
      </c>
      <c r="J237" s="7">
        <v>0</v>
      </c>
      <c r="K237" s="89" t="str">
        <f t="shared" si="97"/>
        <v>4063/4064</v>
      </c>
      <c r="L237" s="21" t="str">
        <f>VLOOKUP(A237,'Trips&amp;Operators'!$C$1:$G$99999,5,FALSE)</f>
        <v>SANTIZO D. EDY</v>
      </c>
      <c r="M237" s="6">
        <f t="shared" si="98"/>
        <v>1.8043981486698613E-2</v>
      </c>
      <c r="N237" s="7">
        <f t="shared" si="106"/>
        <v>25.983333340846002</v>
      </c>
      <c r="O237" s="7"/>
      <c r="P237" s="7"/>
      <c r="Q237" s="22"/>
      <c r="R237" s="170"/>
      <c r="S237" s="213">
        <f t="shared" si="110"/>
        <v>1</v>
      </c>
      <c r="T237" s="195" t="str">
        <f t="shared" si="99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100"/>
        <v>https://d0f6bd738d7f1b3e5a7ca70fe4ff75f0.us-east-1.aws.found.io/app/kibana#/discover/Steve-Slow-Train-Analysis-(2080s-and-2083s)?_g=(refreshInterval:(display:Off,pause:!f,section:0,value:0),time:(from:'2017-07-05T11:42:28-0600',mode:absolute,to:'2017-07-05T14:32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7" s="197" t="str">
        <f>IF(AA237&lt;VLOOKUP(AG237,Variables!$AC$3:$AD$8,2,FALSE),"Y","N")</f>
        <v>Y</v>
      </c>
      <c r="X237" s="197">
        <f t="shared" si="109"/>
        <v>0</v>
      </c>
      <c r="Y237" s="197">
        <f t="shared" si="107"/>
        <v>2.1718000000000002</v>
      </c>
      <c r="Z237" s="197">
        <f t="shared" si="108"/>
        <v>4.4999999999999998E-2</v>
      </c>
      <c r="AA237" s="197">
        <f t="shared" si="101"/>
        <v>2.1268000000000002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102"/>
        <v>62</v>
      </c>
      <c r="AE237" s="77" t="str">
        <f t="shared" si="103"/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AF237" s="74" t="str">
        <f t="shared" si="104"/>
        <v>"C:\Program Files (x86)\AstroGrep\AstroGrep.exe" /e /r /s /spath="%USERPROFILE%\AppData\Local\Temp\OnboardLogs" /stypes="app*4063*20170705*" /stext=" 19:.+((SYSTEM_STATE.+slice.+state.+changed )|(ment ac)|(multiple cpu faults)|(system.+state.+changed )|(\[timeout)|(PRM\|1\|D)|(kpr)|(kdp)|(train st.+moving)|(\|lc)|(penalty))"</v>
      </c>
      <c r="AG237" s="209" t="str">
        <f t="shared" si="105"/>
        <v>Shuttle/Test</v>
      </c>
      <c r="AH237" s="78" t="str">
        <f t="shared" si="93"/>
        <v>"%USERPROFILE%\Documents\GitHub\eaglep3\Utilities\RefineRTDCRunTimes.py" --tripid 62-05 --locoid 4063 --swversion DE.1.0.9.0 --startMP 300:21718 --initTime 2017-07-05T12:42:28 --startdatetime 2017-07-05T13:06:38 --delay 8 --endMP 204:450 --enddatetime 2017-07-05T13:32:37 --enforcementcount 0 &gt;&gt;C:\Users\stu\Documents\GitHub\eaglep3-reporting\EC\2017-07-05-refined-times.txt</v>
      </c>
      <c r="AI237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0.045"},{"id":17,"name":"Train ID","value":"62-05"},{"id":16,"name":"Locomotive ID","value":"4063"},{"id":130,"name":"Impact","value":""},{"id":150,"name":"Time of Event (Mountain Time)","value":"13:32:37"},{"id":151,"name":"Denver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95"/>
        <v>start /low /b %USERPROFILE%\Documents\GitHub\eaglep3\Utilities\DownloadLogsFromS3.py --loco 4063 --day 2017-07-05</v>
      </c>
      <c r="AN237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603</v>
      </c>
      <c r="B238" s="7">
        <v>4064</v>
      </c>
      <c r="C238" s="21" t="s">
        <v>202</v>
      </c>
      <c r="D238" s="21" t="s">
        <v>927</v>
      </c>
      <c r="E238" s="13">
        <v>42921.593298611115</v>
      </c>
      <c r="F238" s="13">
        <v>42921.598506944443</v>
      </c>
      <c r="G238" s="7">
        <v>1</v>
      </c>
      <c r="H238" s="21" t="s">
        <v>928</v>
      </c>
      <c r="I238" s="13">
        <v>42921.628530092596</v>
      </c>
      <c r="J238" s="7">
        <v>0</v>
      </c>
      <c r="K238" s="89" t="str">
        <f t="shared" si="97"/>
        <v>4063/4064</v>
      </c>
      <c r="L238" s="21" t="str">
        <f>VLOOKUP(A238,'Trips&amp;Operators'!$C$1:$G$99999,5,FALSE)</f>
        <v>SANTIZO D. EDY</v>
      </c>
      <c r="M238" s="6">
        <f t="shared" si="98"/>
        <v>3.0023148152395152E-2</v>
      </c>
      <c r="N238" s="7">
        <f t="shared" si="106"/>
        <v>43.233333339449018</v>
      </c>
      <c r="O238" s="7"/>
      <c r="P238" s="7"/>
      <c r="Q238" s="22"/>
      <c r="R238" s="170"/>
      <c r="S238" s="213">
        <f t="shared" si="110"/>
        <v>0</v>
      </c>
      <c r="T238" s="195" t="str">
        <f t="shared" si="99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100"/>
        <v>https://d0f6bd738d7f1b3e5a7ca70fe4ff75f0.us-east-1.aws.found.io/app/kibana#/discover/Steve-Slow-Train-Analysis-(2080s-and-2083s)?_g=(refreshInterval:(display:Off,pause:!f,section:0,value:0),time:(from:'2017-07-05T13:14:21-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8" s="197" t="str">
        <f>IF(AA238&lt;VLOOKUP(AG238,Variables!$AC$3:$AD$8,2,FALSE),"Y","N")</f>
        <v>Y</v>
      </c>
      <c r="X238" s="197">
        <f t="shared" si="109"/>
        <v>0</v>
      </c>
      <c r="Y238" s="197">
        <f t="shared" si="107"/>
        <v>0.13780000000000001</v>
      </c>
      <c r="Z238" s="197">
        <f t="shared" si="108"/>
        <v>1.7153</v>
      </c>
      <c r="AA238" s="197">
        <f t="shared" si="101"/>
        <v>1.5775000000000001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102"/>
        <v>62</v>
      </c>
      <c r="AE238" s="77" t="str">
        <f t="shared" si="103"/>
        <v>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 &amp; 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</v>
      </c>
      <c r="AF238" s="74" t="str">
        <f t="shared" si="104"/>
        <v>"C:\Program Files (x86)\AstroGrep\AstroGrep.exe" /e /r /s /spath="%USERPROFILE%\AppData\Local\Temp\OnboardLogs" /stypes="app*4064*20170705*" /stext=" 21:.+((SYSTEM_STATE.+slice.+state.+changed )|(ment ac)|(multiple cpu faults)|(system.+state.+changed )|(\[timeout)|(PRM\|1\|D)|(kpr)|(kdp)|(train st.+moving)|(\|lc)|(penalty))"</v>
      </c>
      <c r="AG238" s="209" t="str">
        <f t="shared" si="105"/>
        <v>Shuttle/Test</v>
      </c>
      <c r="AH238" s="78" t="str">
        <f t="shared" si="93"/>
        <v>"%USERPROFILE%\Documents\GitHub\eaglep3\Utilities\RefineRTDCRunTimes.py" --tripid 62-05 --locoid 4064 --swversion DE.1.0.9.0 --startMP 204:1378 --initTime 2017-07-05T14:14:21 --startdatetime 2017-07-05T14:21:51 --delay 1 --endMP 300:17153 --enddatetime 2017-07-05T15:05:05 --enforcementcount 0 &gt;&gt;C:\Users\stu\Documents\GitHub\eaglep3-reporting\EC\2017-07-05-refined-times.txt</v>
      </c>
      <c r="AI238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1.7153"},{"id":17,"name":"Train ID","value":"62-05"},{"id":16,"name":"Locomotive ID","value":"4064"},{"id":130,"name":"Impact","value":""},{"id":150,"name":"Time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5"/>
        <v>start /low /b %USERPROFILE%\Documents\GitHub\eaglep3\Utilities\DownloadLogsFromS3.py --loco 4064 --day 2017-07-05</v>
      </c>
      <c r="AN238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603</v>
      </c>
      <c r="B239" s="7">
        <v>4064</v>
      </c>
      <c r="C239" s="21" t="s">
        <v>202</v>
      </c>
      <c r="D239" s="21" t="s">
        <v>929</v>
      </c>
      <c r="E239" s="13">
        <v>42921.544999999998</v>
      </c>
      <c r="F239" s="13">
        <v>42921.569247685184</v>
      </c>
      <c r="G239" s="7">
        <v>1</v>
      </c>
      <c r="H239" s="21" t="s">
        <v>930</v>
      </c>
      <c r="I239" s="13">
        <v>42921.58929398148</v>
      </c>
      <c r="J239" s="7">
        <v>0</v>
      </c>
      <c r="K239" s="89" t="str">
        <f t="shared" si="97"/>
        <v>4063/4064</v>
      </c>
      <c r="L239" s="21" t="str">
        <f>VLOOKUP(A239,'Trips&amp;Operators'!$C$1:$G$99999,5,FALSE)</f>
        <v>SANTIZO D. EDY</v>
      </c>
      <c r="M239" s="6">
        <f t="shared" si="98"/>
        <v>2.0046296296641231E-2</v>
      </c>
      <c r="N239" s="7">
        <f t="shared" si="106"/>
        <v>28.866666667163372</v>
      </c>
      <c r="O239" s="7"/>
      <c r="P239" s="7"/>
      <c r="Q239" s="22"/>
      <c r="R239" s="170"/>
      <c r="S239" s="213">
        <f t="shared" si="110"/>
        <v>0</v>
      </c>
      <c r="T239" s="195" t="str">
        <f t="shared" si="99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100"/>
        <v>https://d0f6bd738d7f1b3e5a7ca70fe4ff75f0.us-east-1.aws.found.io/app/kibana#/discover/Steve-Slow-Train-Analysis-(2080s-and-2083s)?_g=(refreshInterval:(display:Off,pause:!f,section:0,value:0),time:(from:'2017-07-05T12:04:48-0600',mode:absolute,to:'2017-07-05T15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9" s="197" t="str">
        <f>IF(AA239&lt;VLOOKUP(AG239,Variables!$AC$3:$AD$8,2,FALSE),"Y","N")</f>
        <v>Y</v>
      </c>
      <c r="X239" s="197">
        <f t="shared" si="109"/>
        <v>0</v>
      </c>
      <c r="Y239" s="197">
        <f t="shared" si="107"/>
        <v>7.2099999999999997E-2</v>
      </c>
      <c r="Z239" s="197">
        <f t="shared" si="108"/>
        <v>11.250400000000001</v>
      </c>
      <c r="AA239" s="197">
        <f t="shared" si="101"/>
        <v>11.1783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102"/>
        <v>62</v>
      </c>
      <c r="AE239" s="77" t="str">
        <f t="shared" si="103"/>
        <v>aws s3 cp s3://rtdc.mdm.uploadarchive.raw/RTDC4064/ "%USERPROFILE%\AppData\Local\Temp\OnboardLogs"\RTDC4064\2017-07-05 --exclude "*" --recursive --include "*20170705*" &amp; "%USERPROFILE%\Documents\GitHub\mrs-test-scripts\Headless Mode &amp; Sideloading\WalkAndUnGZ.bat" "%USERPROFILE%\AppData\Local\Temp\OnboardLogs"\RTDC4064\2017-07-05 &amp; aws s3 cp s3://rtdc.mdm.uploadarchive.raw/RTDC4064/ "%USERPROFILE%\AppData\Local\Temp\OnboardLogs"\RTDC4064\2017-07-06 --exclude "*" --recursive --include "*20170706*" &amp; "%USERPROFILE%\Documents\GitHub\mrs-test-scripts\Headless Mode &amp; Sideloading\WalkAndUnGZ.bat" "%USERPROFILE%\AppData\Local\Temp\OnboardLogs"\RTDC4064\2017-07-06</v>
      </c>
      <c r="AF239" s="74" t="str">
        <f t="shared" si="104"/>
        <v>"C:\Program Files (x86)\AstroGrep\AstroGrep.exe" /e /r /s /spath="%USERPROFILE%\AppData\Local\Temp\OnboardLogs" /stypes="app*4064*20170705*" /stext=" 20:.+((SYSTEM_STATE.+slice.+state.+changed )|(ment ac)|(multiple cpu faults)|(system.+state.+changed )|(\[timeout)|(PRM\|1\|D)|(kpr)|(kdp)|(train st.+moving)|(\|lc)|(penalty))"</v>
      </c>
      <c r="AG239" s="209" t="str">
        <f t="shared" si="105"/>
        <v>Shuttle/Test</v>
      </c>
      <c r="AH239" s="78" t="str">
        <f t="shared" si="93"/>
        <v>"%USERPROFILE%\Documents\GitHub\eaglep3\Utilities\RefineRTDCRunTimes.py" --tripid 62-05 --locoid 4064 --swversion DE.1.0.9.0 --startMP 204:721 --initTime 2017-07-05T13:04:48 --startdatetime 2017-07-05T13:39:43 --delay 1 --endMP 300:112504 --enddatetime 2017-07-05T14:08:35 --enforcementcount 0 &gt;&gt;C:\Users\stu\Documents\GitHub\eaglep3-reporting\EC\2017-07-05-refined-times.txt</v>
      </c>
      <c r="AI239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11.2504"},{"id":17,"name":"Train ID","value":"62-05"},{"id":16,"name":"Locomotive ID","value":"4064"},{"id":130,"name":"Impact","value":""},{"id":150,"name":"Time of Event (Mountain Time)","value":"14:08:35"},{"id":151,"name":"Denver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95"/>
        <v>start /low /b %USERPROFILE%\Documents\GitHub\eaglep3\Utilities\DownloadLogsFromS3.py --loco 4064 --day 2017-07-05</v>
      </c>
      <c r="AN239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596</v>
      </c>
      <c r="B240" s="7">
        <v>4023</v>
      </c>
      <c r="C240" s="21" t="s">
        <v>202</v>
      </c>
      <c r="D240" s="21" t="s">
        <v>931</v>
      </c>
      <c r="E240" s="13">
        <v>42921.417060185187</v>
      </c>
      <c r="F240" s="13">
        <v>42921.442048611112</v>
      </c>
      <c r="G240" s="7">
        <v>16</v>
      </c>
      <c r="H240" s="21" t="s">
        <v>932</v>
      </c>
      <c r="I240" s="13">
        <v>42921.462129629632</v>
      </c>
      <c r="J240" s="7">
        <v>0</v>
      </c>
      <c r="K240" s="89" t="str">
        <f t="shared" si="97"/>
        <v>4023/4024</v>
      </c>
      <c r="L240" s="21" t="str">
        <f>VLOOKUP(A240,'Trips&amp;Operators'!$C$1:$G$99999,5,FALSE)</f>
        <v>BARTELL KIM</v>
      </c>
      <c r="M240" s="6">
        <f t="shared" si="98"/>
        <v>2.008101851970423E-2</v>
      </c>
      <c r="N240" s="7">
        <f t="shared" si="106"/>
        <v>28.916666668374091</v>
      </c>
      <c r="O240" s="7"/>
      <c r="P240" s="7"/>
      <c r="Q240" s="22"/>
      <c r="R240" s="170"/>
      <c r="S240" s="213">
        <f t="shared" si="110"/>
        <v>0</v>
      </c>
      <c r="T240" s="195" t="str">
        <f t="shared" si="99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100"/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0" s="197" t="str">
        <f>IF(AA240&lt;VLOOKUP(AG240,Variables!$AC$3:$AD$8,2,FALSE),"Y","N")</f>
        <v>Y</v>
      </c>
      <c r="X240" s="197">
        <f t="shared" si="109"/>
        <v>1</v>
      </c>
      <c r="Y240" s="197">
        <f t="shared" si="107"/>
        <v>2.3180000000000001</v>
      </c>
      <c r="Z240" s="197">
        <f t="shared" si="108"/>
        <v>8.9800000000000005E-2</v>
      </c>
      <c r="AA240" s="197">
        <f t="shared" si="101"/>
        <v>2.2282000000000002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102"/>
        <v>63</v>
      </c>
      <c r="AE240" s="77" t="str">
        <f t="shared" si="103"/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AF240" s="74" t="str">
        <f t="shared" si="104"/>
        <v>"C:\Program Files (x86)\AstroGrep\AstroGrep.exe" /e /r /s /spath="%USERPROFILE%\AppData\Local\Temp\OnboardLogs" /stypes="app*4023*20170705*" /stext=" 17:.+((SYSTEM_STATE.+slice.+state.+changed )|(ment ac)|(multiple cpu faults)|(system.+state.+changed )|(\[timeout)|(PRM\|1\|D)|(kpr)|(kdp)|(train st.+moving)|(\|lc)|(penalty))"</v>
      </c>
      <c r="AG240" s="209" t="str">
        <f t="shared" si="105"/>
        <v>Shuttle/Test</v>
      </c>
      <c r="AH240" s="78" t="str">
        <f t="shared" si="93"/>
        <v>"%USERPROFILE%\Documents\GitHub\eaglep3\Utilities\RefineRTDCRunTimes.py" --tripid 63-05 --locoid 4023 --swversion DE.1.0.9.0 --startMP 300:23180 --initTime 2017-07-05T10:00:34 --startdatetime 2017-07-05T10:36:33 --delay 16 --endMP 204:898 --enddatetime 2017-07-05T11:05:28 --enforcementcount 0 &gt;&gt;C:\Users\stu\Documents\GitHub\eaglep3-reporting\EC\2017-07-05-refined-times.txt</v>
      </c>
      <c r="AI240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0.0898"},{"id":17,"name":"Train ID","value":"63-05"},{"id":16,"name":"Locomotive ID","value":"4023"},{"id":130,"name":"Impact","value":""},{"id":150,"name":"Time of Event (Mountain Time)","value":"11:05:28"},{"id":151,"name":"Denver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5"/>
        <v>start /low /b %USERPROFILE%\Documents\GitHub\eaglep3\Utilities\DownloadLogsFromS3.py --loco 4023 --day 2017-07-05</v>
      </c>
      <c r="AN240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596</v>
      </c>
      <c r="B241" s="7">
        <v>4023</v>
      </c>
      <c r="C241" s="21" t="s">
        <v>202</v>
      </c>
      <c r="D241" s="21" t="s">
        <v>463</v>
      </c>
      <c r="E241" s="13">
        <v>42921.465300925927</v>
      </c>
      <c r="F241" s="13">
        <v>42921.491979166669</v>
      </c>
      <c r="G241" s="7">
        <v>1</v>
      </c>
      <c r="H241" s="21" t="s">
        <v>933</v>
      </c>
      <c r="I241" s="13">
        <v>42921.513136574074</v>
      </c>
      <c r="J241" s="7">
        <v>0</v>
      </c>
      <c r="K241" s="89" t="str">
        <f t="shared" si="97"/>
        <v>4023/4024</v>
      </c>
      <c r="L241" s="21" t="str">
        <f>VLOOKUP(A241,'Trips&amp;Operators'!$C$1:$G$99999,5,FALSE)</f>
        <v>BARTELL KIM</v>
      </c>
      <c r="M241" s="6">
        <f t="shared" si="98"/>
        <v>2.1157407405553386E-2</v>
      </c>
      <c r="N241" s="7">
        <f t="shared" si="106"/>
        <v>30.466666663996875</v>
      </c>
      <c r="O241" s="7"/>
      <c r="P241" s="7"/>
      <c r="Q241" s="22"/>
      <c r="R241" s="170"/>
      <c r="S241" s="213">
        <f t="shared" si="110"/>
        <v>0</v>
      </c>
      <c r="T241" s="195" t="str">
        <f t="shared" si="99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100"/>
        <v>https://d0f6bd738d7f1b3e5a7ca70fe4ff75f0.us-east-1.aws.found.io/app/kibana#/discover/Steve-Slow-Train-Analysis-(2080s-and-2083s)?_g=(refreshInterval:(display:Off,pause:!f,section:0,value:0),time:(from:'2017-07-05T10:10:02-0600',mode:absolute,to:'2017-07-05T13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1" s="197" t="str">
        <f>IF(AA241&lt;VLOOKUP(AG241,Variables!$AC$3:$AD$8,2,FALSE),"Y","N")</f>
        <v>Y</v>
      </c>
      <c r="X241" s="197">
        <f t="shared" si="109"/>
        <v>0</v>
      </c>
      <c r="Y241" s="197">
        <f t="shared" si="107"/>
        <v>5.8620999999999999</v>
      </c>
      <c r="Z241" s="197">
        <f t="shared" si="108"/>
        <v>8.72E-2</v>
      </c>
      <c r="AA241" s="197">
        <f t="shared" si="101"/>
        <v>5.7748999999999997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102"/>
        <v>63</v>
      </c>
      <c r="AE241" s="77" t="str">
        <f t="shared" si="103"/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AF241" s="74" t="str">
        <f t="shared" si="104"/>
        <v>"C:\Program Files (x86)\AstroGrep\AstroGrep.exe" /e /r /s /spath="%USERPROFILE%\AppData\Local\Temp\OnboardLogs" /stypes="app*4023*20170705*" /stext=" 18:.+((SYSTEM_STATE.+slice.+state.+changed )|(ment ac)|(multiple cpu faults)|(system.+state.+changed )|(\[timeout)|(PRM\|1\|D)|(kpr)|(kdp)|(train st.+moving)|(\|lc)|(penalty))"</v>
      </c>
      <c r="AG241" s="209" t="str">
        <f t="shared" si="105"/>
        <v>Shuttle/Test</v>
      </c>
      <c r="AH241" s="78" t="str">
        <f t="shared" si="93"/>
        <v>"%USERPROFILE%\Documents\GitHub\eaglep3\Utilities\RefineRTDCRunTimes.py" --tripid 63-05 --locoid 4023 --swversion DE.1.0.9.0 --startMP 300:58621 --initTime 2017-07-05T11:10:02 --startdatetime 2017-07-05T11:48:27 --delay 1 --endMP 204:872 --enddatetime 2017-07-05T12:18:55 --enforcementcount 0 &gt;&gt;C:\Users\stu\Documents\GitHub\eaglep3-reporting\EC\2017-07-05-refined-times.txt</v>
      </c>
      <c r="AI241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0.0872"},{"id":17,"name":"Train ID","value":"63-05"},{"id":16,"name":"Locomotive ID","value":"4023"},{"id":130,"name":"Impact","value":""},{"id":150,"name":"Time of Event (Mountain Time)","value":"12:18:55"},{"id":151,"name":"Denver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5"/>
        <v>start /low /b %USERPROFILE%\Documents\GitHub\eaglep3\Utilities\DownloadLogsFromS3.py --loco 4023 --day 2017-07-05</v>
      </c>
      <c r="AN241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596</v>
      </c>
      <c r="B242" s="7">
        <v>4023</v>
      </c>
      <c r="C242" s="21" t="s">
        <v>202</v>
      </c>
      <c r="D242" s="21" t="s">
        <v>439</v>
      </c>
      <c r="E242" s="13">
        <v>42921.583784722221</v>
      </c>
      <c r="F242" s="13">
        <v>42921.612766203703</v>
      </c>
      <c r="G242" s="7">
        <v>1</v>
      </c>
      <c r="H242" s="21" t="s">
        <v>934</v>
      </c>
      <c r="I242" s="13">
        <v>42921.617129629631</v>
      </c>
      <c r="J242" s="7">
        <v>0</v>
      </c>
      <c r="K242" s="89" t="str">
        <f t="shared" si="97"/>
        <v>4023/4024</v>
      </c>
      <c r="L242" s="21" t="str">
        <f>VLOOKUP(A242,'Trips&amp;Operators'!$C$1:$G$99999,5,FALSE)</f>
        <v>BARTELL KIM</v>
      </c>
      <c r="M242" s="6">
        <f t="shared" si="98"/>
        <v>4.3634259272948839E-3</v>
      </c>
      <c r="N242" s="7">
        <f t="shared" si="106"/>
        <v>6.2833333353046328</v>
      </c>
      <c r="O242" s="7"/>
      <c r="P242" s="7"/>
      <c r="Q242" s="22"/>
      <c r="R242" s="170"/>
      <c r="S242" s="213">
        <f t="shared" si="110"/>
        <v>0</v>
      </c>
      <c r="T242" s="195" t="str">
        <f t="shared" si="99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100"/>
        <v>https://d0f6bd738d7f1b3e5a7ca70fe4ff75f0.us-east-1.aws.found.io/app/kibana#/discover/Steve-Slow-Train-Analysis-(2080s-and-2083s)?_g=(refreshInterval:(display:Off,pause:!f,section:0,value:0),time:(from:'2017-07-05T13:00:39-0600',mode:absolute,to:'2017-07-05T15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2" s="197" t="str">
        <f>IF(AA242&lt;VLOOKUP(AG242,Variables!$AC$3:$AD$8,2,FALSE),"Y","N")</f>
        <v>Y</v>
      </c>
      <c r="X242" s="197">
        <f t="shared" si="109"/>
        <v>0</v>
      </c>
      <c r="Y242" s="197">
        <f t="shared" si="107"/>
        <v>5.8634000000000004</v>
      </c>
      <c r="Z242" s="197">
        <f t="shared" si="108"/>
        <v>0.86650000000000005</v>
      </c>
      <c r="AA242" s="197">
        <f t="shared" si="101"/>
        <v>4.9969000000000001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102"/>
        <v>63</v>
      </c>
      <c r="AE242" s="77" t="str">
        <f t="shared" si="103"/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AF242" s="74" t="str">
        <f t="shared" si="104"/>
        <v>"C:\Program Files (x86)\AstroGrep\AstroGrep.exe" /e /r /s /spath="%USERPROFILE%\AppData\Local\Temp\OnboardLogs" /stypes="app*4023*20170705*" /stext=" 20:.+((SYSTEM_STATE.+slice.+state.+changed )|(ment ac)|(multiple cpu faults)|(system.+state.+changed )|(\[timeout)|(PRM\|1\|D)|(kpr)|(kdp)|(train st.+moving)|(\|lc)|(penalty))"</v>
      </c>
      <c r="AG242" s="209" t="str">
        <f t="shared" si="105"/>
        <v>Shuttle/Test</v>
      </c>
      <c r="AH242" s="78" t="str">
        <f t="shared" si="93"/>
        <v>"%USERPROFILE%\Documents\GitHub\eaglep3\Utilities\RefineRTDCRunTimes.py" --tripid 63-05 --locoid 4023 --swversion DE.1.0.9.0 --startMP 300:58634 --initTime 2017-07-05T14:00:39 --startdatetime 2017-07-05T14:42:23 --delay 1 --endMP 300:8665 --enddatetime 2017-07-05T14:48:40 --enforcementcount 0 &gt;&gt;C:\Users\stu\Documents\GitHub\eaglep3-reporting\EC\2017-07-05-refined-times.txt</v>
      </c>
      <c r="AI242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0.8665"},{"id":17,"name":"Train ID","value":"63-05"},{"id":16,"name":"Locomotive ID","value":"4023"},{"id":130,"name":"Impact","value":""},{"id":150,"name":"Time of Event (Mountain Time)","value":"14:48:40"},{"id":151,"name":"Denver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95"/>
        <v>start /low /b %USERPROFILE%\Documents\GitHub\eaglep3\Utilities\DownloadLogsFromS3.py --loco 4023 --day 2017-07-05</v>
      </c>
      <c r="AN242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596</v>
      </c>
      <c r="B243" s="7">
        <v>4024</v>
      </c>
      <c r="C243" s="21" t="s">
        <v>202</v>
      </c>
      <c r="D243" s="21" t="s">
        <v>935</v>
      </c>
      <c r="E243" s="13">
        <v>42921.440000000002</v>
      </c>
      <c r="F243" s="13">
        <v>42921.491979166669</v>
      </c>
      <c r="G243" s="7">
        <v>1</v>
      </c>
      <c r="H243" s="21" t="s">
        <v>454</v>
      </c>
      <c r="I243" s="13">
        <v>42921.513136574074</v>
      </c>
      <c r="J243" s="7">
        <v>0</v>
      </c>
      <c r="K243" s="89" t="str">
        <f t="shared" si="97"/>
        <v>4023/4024</v>
      </c>
      <c r="L243" s="21" t="str">
        <f>VLOOKUP(A243,'Trips&amp;Operators'!$C$1:$G$99999,5,FALSE)</f>
        <v>BARTELL KIM</v>
      </c>
      <c r="M243" s="6">
        <f t="shared" si="98"/>
        <v>2.1157407405553386E-2</v>
      </c>
      <c r="N243" s="7">
        <f t="shared" si="106"/>
        <v>30.466666663996875</v>
      </c>
      <c r="O243" s="7"/>
      <c r="P243" s="7"/>
      <c r="Q243" s="22"/>
      <c r="R243" s="170"/>
      <c r="S243" s="213">
        <f t="shared" si="110"/>
        <v>1</v>
      </c>
      <c r="T243" s="195" t="str">
        <f t="shared" si="99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100"/>
        <v>https://d0f6bd738d7f1b3e5a7ca70fe4ff75f0.us-east-1.aws.found.io/app/kibana#/discover/Steve-Slow-Train-Analysis-(2080s-and-2083s)?_g=(refreshInterval:(display:Off,pause:!f,section:0,value:0),time:(from:'2017-07-05T09:33:36-0600',mode:absolute,to:'2017-07-05T13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3" s="197" t="str">
        <f>IF(AA243&lt;VLOOKUP(AG243,Variables!$AC$3:$AD$8,2,FALSE),"Y","N")</f>
        <v>Y</v>
      </c>
      <c r="X243" s="197">
        <f t="shared" si="109"/>
        <v>0</v>
      </c>
      <c r="Y243" s="197">
        <f t="shared" si="107"/>
        <v>0.11749999999999999</v>
      </c>
      <c r="Z243" s="197">
        <f t="shared" si="108"/>
        <v>5.8944000000000001</v>
      </c>
      <c r="AA243" s="197">
        <f t="shared" si="101"/>
        <v>5.7769000000000004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102"/>
        <v>63</v>
      </c>
      <c r="AE243" s="77" t="str">
        <f t="shared" si="103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243" s="74" t="str">
        <f t="shared" si="104"/>
        <v>"C:\Program Files (x86)\AstroGrep\AstroGrep.exe" /e /r /s /spath="%USERPROFILE%\AppData\Local\Temp\OnboardLogs" /stypes="app*4024*20170705*" /stext=" 18:.+((SYSTEM_STATE.+slice.+state.+changed )|(ment ac)|(multiple cpu faults)|(system.+state.+changed )|(\[timeout)|(PRM\|1\|D)|(kpr)|(kdp)|(train st.+moving)|(\|lc)|(penalty))"</v>
      </c>
      <c r="AG243" s="209" t="str">
        <f t="shared" si="105"/>
        <v>Shuttle/Test</v>
      </c>
      <c r="AH243" s="78" t="str">
        <f t="shared" si="93"/>
        <v>"%USERPROFILE%\Documents\GitHub\eaglep3\Utilities\RefineRTDCRunTimes.py" --tripid 63-05 --locoid 4024 --swversion DE.1.0.9.0 --startMP 204:1175 --initTime 2017-07-05T10:33:36 --startdatetime 2017-07-05T11:48:27 --delay 1 --endMP 300:58944 --enddatetime 2017-07-05T12:18:55 --enforcementcount 0 &gt;&gt;C:\Users\stu\Documents\GitHub\eaglep3-reporting\EC\2017-07-05-refined-times.txt</v>
      </c>
      <c r="AI243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5.8944"},{"id":17,"name":"Train ID","value":"63-05"},{"id":16,"name":"Locomotive ID","value":"4024"},{"id":130,"name":"Impact","value":""},{"id":150,"name":"Time of Event (Mountain Time)","value":"12:18:55"},{"id":151,"name":"Denver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95"/>
        <v>start /low /b %USERPROFILE%\Documents\GitHub\eaglep3\Utilities\DownloadLogsFromS3.py --loco 4024 --day 2017-07-05</v>
      </c>
      <c r="AN243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596</v>
      </c>
      <c r="B244" s="7">
        <v>4024</v>
      </c>
      <c r="C244" s="21" t="s">
        <v>202</v>
      </c>
      <c r="D244" s="21" t="s">
        <v>936</v>
      </c>
      <c r="E244" s="13">
        <v>42921.484780092593</v>
      </c>
      <c r="F244" s="13">
        <v>42921.524791666663</v>
      </c>
      <c r="G244" s="7">
        <v>1</v>
      </c>
      <c r="H244" s="21" t="s">
        <v>937</v>
      </c>
      <c r="I244" s="13">
        <v>42921.536134259259</v>
      </c>
      <c r="J244" s="7">
        <v>0</v>
      </c>
      <c r="K244" s="89" t="str">
        <f t="shared" si="97"/>
        <v>4023/4024</v>
      </c>
      <c r="L244" s="21" t="str">
        <f>VLOOKUP(A244,'Trips&amp;Operators'!$C$1:$G$99999,5,FALSE)</f>
        <v>BARTELL KIM</v>
      </c>
      <c r="M244" s="6">
        <f t="shared" si="98"/>
        <v>1.1342592595610768E-2</v>
      </c>
      <c r="N244" s="7">
        <f t="shared" si="106"/>
        <v>16.333333337679505</v>
      </c>
      <c r="O244" s="7"/>
      <c r="P244" s="7"/>
      <c r="Q244" s="22"/>
      <c r="R244" s="170"/>
      <c r="S244" s="213">
        <f t="shared" si="110"/>
        <v>1</v>
      </c>
      <c r="T244" s="195" t="str">
        <f t="shared" si="99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100"/>
        <v>https://d0f6bd738d7f1b3e5a7ca70fe4ff75f0.us-east-1.aws.found.io/app/kibana#/discover/Steve-Slow-Train-Analysis-(2080s-and-2083s)?_g=(refreshInterval:(display:Off,pause:!f,section:0,value:0),time:(from:'2017-07-05T10:38:05-0600',mode:absolute,to:'2017-07-05T13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4" s="197" t="str">
        <f>IF(AA244&lt;VLOOKUP(AG244,Variables!$AC$3:$AD$8,2,FALSE),"Y","N")</f>
        <v>Y</v>
      </c>
      <c r="X244" s="197">
        <f t="shared" si="109"/>
        <v>0</v>
      </c>
      <c r="Y244" s="197">
        <f t="shared" si="107"/>
        <v>0.11940000000000001</v>
      </c>
      <c r="Z244" s="197">
        <f t="shared" si="108"/>
        <v>5.8939000000000004</v>
      </c>
      <c r="AA244" s="197">
        <f t="shared" si="101"/>
        <v>5.7745000000000006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102"/>
        <v>63</v>
      </c>
      <c r="AE244" s="77" t="str">
        <f t="shared" si="103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244" s="74" t="str">
        <f t="shared" si="104"/>
        <v>"C:\Program Files (x86)\AstroGrep\AstroGrep.exe" /e /r /s /spath="%USERPROFILE%\AppData\Local\Temp\OnboardLogs" /stypes="app*4024*20170705*" /stext=" 18:.+((SYSTEM_STATE.+slice.+state.+changed )|(ment ac)|(multiple cpu faults)|(system.+state.+changed )|(\[timeout)|(PRM\|1\|D)|(kpr)|(kdp)|(train st.+moving)|(\|lc)|(penalty))"</v>
      </c>
      <c r="AG244" s="209" t="str">
        <f t="shared" si="105"/>
        <v>Shuttle/Test</v>
      </c>
      <c r="AH244" s="78" t="str">
        <f t="shared" si="93"/>
        <v>"%USERPROFILE%\Documents\GitHub\eaglep3\Utilities\RefineRTDCRunTimes.py" --tripid 63-05 --locoid 4024 --swversion DE.1.0.9.0 --startMP 204:1194 --initTime 2017-07-05T11:38:05 --startdatetime 2017-07-05T12:35:42 --delay 1 --endMP 300:58939 --enddatetime 2017-07-05T12:52:02 --enforcementcount 0 &gt;&gt;C:\Users\stu\Documents\GitHub\eaglep3-reporting\EC\2017-07-05-refined-times.txt</v>
      </c>
      <c r="AI244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5.8939"},{"id":17,"name":"Train ID","value":"63-05"},{"id":16,"name":"Locomotive ID","value":"4024"},{"id":130,"name":"Impact","value":""},{"id":150,"name":"Time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95"/>
        <v>start /low /b %USERPROFILE%\Documents\GitHub\eaglep3\Utilities\DownloadLogsFromS3.py --loco 4024 --day 2017-07-05</v>
      </c>
      <c r="AN244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596</v>
      </c>
      <c r="B245" s="7">
        <v>4024</v>
      </c>
      <c r="C245" s="21" t="s">
        <v>202</v>
      </c>
      <c r="D245" s="21" t="s">
        <v>938</v>
      </c>
      <c r="E245" s="13">
        <v>42921.556863425925</v>
      </c>
      <c r="F245" s="13">
        <v>42921.585277777776</v>
      </c>
      <c r="G245" s="7">
        <v>1</v>
      </c>
      <c r="H245" s="21" t="s">
        <v>939</v>
      </c>
      <c r="I245" s="13">
        <v>42921.609016203707</v>
      </c>
      <c r="J245" s="7">
        <v>0</v>
      </c>
      <c r="K245" s="89" t="str">
        <f t="shared" si="97"/>
        <v>4023/4024</v>
      </c>
      <c r="L245" s="21" t="str">
        <f>VLOOKUP(A245,'Trips&amp;Operators'!$C$1:$G$99999,5,FALSE)</f>
        <v>BARTELL KIM</v>
      </c>
      <c r="M245" s="6">
        <f t="shared" si="98"/>
        <v>2.3738425930787344E-2</v>
      </c>
      <c r="N245" s="7">
        <f t="shared" si="106"/>
        <v>34.183333340333775</v>
      </c>
      <c r="O245" s="7"/>
      <c r="P245" s="7"/>
      <c r="Q245" s="22"/>
      <c r="R245" s="170"/>
      <c r="S245" s="213">
        <f t="shared" si="110"/>
        <v>1</v>
      </c>
      <c r="T245" s="195" t="str">
        <f t="shared" si="99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100"/>
        <v>https://d0f6bd738d7f1b3e5a7ca70fe4ff75f0.us-east-1.aws.found.io/app/kibana#/discover/Steve-Slow-Train-Analysis-(2080s-and-2083s)?_g=(refreshInterval:(display:Off,pause:!f,section:0,value:0),time:(from:'2017-07-05T12:21:53-0600',mode:absolute,to:'2017-07-05T15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5" s="197" t="str">
        <f>IF(AA245&lt;VLOOKUP(AG245,Variables!$AC$3:$AD$8,2,FALSE),"Y","N")</f>
        <v>Y</v>
      </c>
      <c r="X245" s="197">
        <f t="shared" si="109"/>
        <v>0</v>
      </c>
      <c r="Y245" s="197">
        <f t="shared" si="107"/>
        <v>3.7199999999999997E-2</v>
      </c>
      <c r="Z245" s="197">
        <f t="shared" si="108"/>
        <v>5.8960999999999997</v>
      </c>
      <c r="AA245" s="197">
        <f t="shared" si="101"/>
        <v>5.8588999999999993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102"/>
        <v>63</v>
      </c>
      <c r="AE245" s="77" t="str">
        <f t="shared" si="103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245" s="74" t="str">
        <f t="shared" si="104"/>
        <v>"C:\Program Files (x86)\AstroGrep\AstroGrep.exe" /e /r /s /spath="%USERPROFILE%\AppData\Local\Temp\OnboardLogs" /stypes="app*4024*20170705*" /stext=" 20:.+((SYSTEM_STATE.+slice.+state.+changed )|(ment ac)|(multiple cpu faults)|(system.+state.+changed )|(\[timeout)|(PRM\|1\|D)|(kpr)|(kdp)|(train st.+moving)|(\|lc)|(penalty))"</v>
      </c>
      <c r="AG245" s="209" t="str">
        <f t="shared" si="105"/>
        <v>Shuttle/Test</v>
      </c>
      <c r="AH245" s="78" t="str">
        <f t="shared" si="93"/>
        <v>"%USERPROFILE%\Documents\GitHub\eaglep3\Utilities\RefineRTDCRunTimes.py" --tripid 63-05 --locoid 4024 --swversion DE.1.0.9.0 --startMP 204:372 --initTime 2017-07-05T13:21:53 --startdatetime 2017-07-05T14:02:48 --delay 1 --endMP 300:58961 --enddatetime 2017-07-05T14:36:59 --enforcementcount 0 &gt;&gt;C:\Users\stu\Documents\GitHub\eaglep3-reporting\EC\2017-07-05-refined-times.txt</v>
      </c>
      <c r="AI245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5.8961"},{"id":17,"name":"Train ID","value":"63-05"},{"id":16,"name":"Locomotive ID","value":"4024"},{"id":130,"name":"Impact","value":""},{"id":150,"name":"Time of Event (Mountain Time)","value":"14:36:59"},{"id":151,"name":"Denver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95"/>
        <v>start /low /b %USERPROFILE%\Documents\GitHub\eaglep3\Utilities\DownloadLogsFromS3.py --loco 4024 --day 2017-07-05</v>
      </c>
      <c r="AN245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596</v>
      </c>
      <c r="B246" s="7">
        <v>4024</v>
      </c>
      <c r="C246" s="21" t="s">
        <v>202</v>
      </c>
      <c r="D246" s="21" t="s">
        <v>940</v>
      </c>
      <c r="E246" s="13">
        <v>42921.61146990741</v>
      </c>
      <c r="F246" s="13">
        <v>42921.612766203703</v>
      </c>
      <c r="G246" s="7">
        <v>1</v>
      </c>
      <c r="H246" s="21" t="s">
        <v>941</v>
      </c>
      <c r="I246" s="13">
        <v>42921.617129629631</v>
      </c>
      <c r="J246" s="7">
        <v>0</v>
      </c>
      <c r="K246" s="89" t="str">
        <f t="shared" si="97"/>
        <v>4023/4024</v>
      </c>
      <c r="L246" s="21" t="str">
        <f>VLOOKUP(A246,'Trips&amp;Operators'!$C$1:$G$99999,5,FALSE)</f>
        <v>BARTELL KIM</v>
      </c>
      <c r="M246" s="6">
        <f t="shared" si="98"/>
        <v>4.3634259272948839E-3</v>
      </c>
      <c r="N246" s="7">
        <f t="shared" si="106"/>
        <v>6.2833333353046328</v>
      </c>
      <c r="O246" s="7"/>
      <c r="P246" s="7"/>
      <c r="Q246" s="22"/>
      <c r="R246" s="170"/>
      <c r="S246" s="213">
        <f t="shared" si="110"/>
        <v>1</v>
      </c>
      <c r="T246" s="195" t="str">
        <f t="shared" si="99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100"/>
        <v>https://d0f6bd738d7f1b3e5a7ca70fe4ff75f0.us-east-1.aws.found.io/app/kibana#/discover/Steve-Slow-Train-Analysis-(2080s-and-2083s)?_g=(refreshInterval:(display:Off,pause:!f,section:0,value:0),time:(from:'2017-07-05T13:40:31-0600',mode:absolute,to:'2017-07-05T15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6" s="197" t="str">
        <f>IF(AA246&lt;VLOOKUP(AG246,Variables!$AC$3:$AD$8,2,FALSE),"Y","N")</f>
        <v>Y</v>
      </c>
      <c r="X246" s="197">
        <f t="shared" si="109"/>
        <v>0</v>
      </c>
      <c r="Y246" s="197">
        <f t="shared" si="107"/>
        <v>0.8992</v>
      </c>
      <c r="Z246" s="197">
        <f t="shared" si="108"/>
        <v>1.7459</v>
      </c>
      <c r="AA246" s="197">
        <f t="shared" si="101"/>
        <v>0.84670000000000001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102"/>
        <v>63</v>
      </c>
      <c r="AE246" s="77" t="str">
        <f t="shared" si="103"/>
        <v>aws s3 cp s3://rtdc.mdm.uploadarchive.raw/RTDC4024/ "%USERPROFILE%\AppData\Local\Temp\OnboardLogs"\RTDC4024\2017-07-05 --exclude "*" --recursive --include "*20170705*" &amp; "%USERPROFILE%\Documents\GitHub\mrs-test-scripts\Headless Mode &amp; Sideloading\WalkAndUnGZ.bat" "%USERPROFILE%\AppData\Local\Temp\OnboardLogs"\RTDC4024\2017-07-05 &amp; aws s3 cp s3://rtdc.mdm.uploadarchive.raw/RTDC4024/ "%USERPROFILE%\AppData\Local\Temp\OnboardLogs"\RTDC4024\2017-07-06 --exclude "*" --recursive --include "*20170706*" &amp; "%USERPROFILE%\Documents\GitHub\mrs-test-scripts\Headless Mode &amp; Sideloading\WalkAndUnGZ.bat" "%USERPROFILE%\AppData\Local\Temp\OnboardLogs"\RTDC4024\2017-07-06</v>
      </c>
      <c r="AF246" s="74" t="str">
        <f t="shared" si="104"/>
        <v>"C:\Program Files (x86)\AstroGrep\AstroGrep.exe" /e /r /s /spath="%USERPROFILE%\AppData\Local\Temp\OnboardLogs" /stypes="app*4024*20170705*" /stext=" 20:.+((SYSTEM_STATE.+slice.+state.+changed )|(ment ac)|(multiple cpu faults)|(system.+state.+changed )|(\[timeout)|(PRM\|1\|D)|(kpr)|(kdp)|(train st.+moving)|(\|lc)|(penalty))"</v>
      </c>
      <c r="AG246" s="209" t="str">
        <f t="shared" si="105"/>
        <v>Shuttle/Test</v>
      </c>
      <c r="AH246" s="78" t="str">
        <f t="shared" si="93"/>
        <v>"%USERPROFILE%\Documents\GitHub\eaglep3\Utilities\RefineRTDCRunTimes.py" --tripid 63-05 --locoid 4024 --swversion DE.1.0.9.0 --startMP 300:8992 --initTime 2017-07-05T14:40:31 --startdatetime 2017-07-05T14:42:23 --delay 1 --endMP 300:17459 --enddatetime 2017-07-05T14:48:40 --enforcementcount 0 &gt;&gt;C:\Users\stu\Documents\GitHub\eaglep3-reporting\EC\2017-07-05-refined-times.txt</v>
      </c>
      <c r="AI246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1.7459"},{"id":17,"name":"Train ID","value":"63-05"},{"id":16,"name":"Locomotive ID","value":"4024"},{"id":130,"name":"Impact","value":""},{"id":150,"name":"Time of Event (Mountain Time)","value":"14:48:40"},{"id":151,"name":"Denver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95"/>
        <v>start /low /b %USERPROFILE%\Documents\GitHub\eaglep3\Utilities\DownloadLogsFromS3.py --loco 4024 --day 2017-07-05</v>
      </c>
      <c r="AN246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714</v>
      </c>
      <c r="B247" s="7">
        <v>4061</v>
      </c>
      <c r="C247" s="21" t="s">
        <v>202</v>
      </c>
      <c r="D247" s="21" t="s">
        <v>942</v>
      </c>
      <c r="E247" s="13">
        <v>42921.475393518522</v>
      </c>
      <c r="F247" s="13">
        <v>42921.476550925923</v>
      </c>
      <c r="G247" s="7">
        <v>0</v>
      </c>
      <c r="H247" s="21" t="s">
        <v>487</v>
      </c>
      <c r="I247" s="13">
        <v>42921.477812500001</v>
      </c>
      <c r="J247" s="7">
        <v>0</v>
      </c>
      <c r="K247" s="89" t="str">
        <f t="shared" si="97"/>
        <v>4061/4062</v>
      </c>
      <c r="L247" s="21" t="str">
        <f>VLOOKUP(A247,'Trips&amp;Operators'!$C$1:$G$99999,5,FALSE)</f>
        <v>YORK EDGAR</v>
      </c>
      <c r="M247" s="6">
        <f t="shared" si="98"/>
        <v>1.2615740779438056E-3</v>
      </c>
      <c r="N247" s="7">
        <f t="shared" si="106"/>
        <v>1.8166666722390801</v>
      </c>
      <c r="O247" s="7"/>
      <c r="P247" s="7"/>
      <c r="Q247" s="22"/>
      <c r="R247" s="170"/>
      <c r="S247" s="213">
        <f t="shared" si="110"/>
        <v>0</v>
      </c>
      <c r="T247" s="195" t="str">
        <f t="shared" si="99"/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100"/>
        <v>https://d0f6bd738d7f1b3e5a7ca70fe4ff75f0.us-east-1.aws.found.io/app/kibana#/discover/Steve-Slow-Train-Analysis-(2080s-and-2083s)?_g=(refreshInterval:(display:Off,pause:!f,section:0,value:0),time:(from:'2017-07-05T10:24:34-0600',mode:absolute,to:'2017-07-05T12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7" s="197" t="str">
        <f>IF(AA247&lt;VLOOKUP(AG247,Variables!$AC$3:$AD$8,2,FALSE),"Y","N")</f>
        <v>Y</v>
      </c>
      <c r="X247" s="197">
        <f t="shared" si="109"/>
        <v>1</v>
      </c>
      <c r="Y247" s="197">
        <f t="shared" si="107"/>
        <v>0.34239999999999998</v>
      </c>
      <c r="Z247" s="197">
        <f t="shared" si="108"/>
        <v>1.6E-2</v>
      </c>
      <c r="AA247" s="197">
        <f t="shared" si="101"/>
        <v>0.32639999999999997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102"/>
        <v>64</v>
      </c>
      <c r="AE247" s="77" t="str">
        <f t="shared" si="103"/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AF247" s="74" t="str">
        <f t="shared" si="104"/>
        <v>"C:\Program Files (x86)\AstroGrep\AstroGrep.exe" /e /r /s /spath="%USERPROFILE%\AppData\Local\Temp\OnboardLogs" /stypes="app*4061*20170705*" /stext=" 17:.+((SYSTEM_STATE.+slice.+state.+changed )|(ment ac)|(multiple cpu faults)|(system.+state.+changed )|(\[timeout)|(PRM\|1\|D)|(kpr)|(kdp)|(train st.+moving)|(\|lc)|(penalty))"</v>
      </c>
      <c r="AG247" s="209" t="str">
        <f t="shared" si="105"/>
        <v>Shuttle/Test</v>
      </c>
      <c r="AH247" s="78" t="str">
        <f t="shared" si="93"/>
        <v>"%USERPROFILE%\Documents\GitHub\eaglep3\Utilities\RefineRTDCRunTimes.py" --tripid 64-05 --locoid 4061 --swversion DE.1.0.9.0 --startMP 204:3424 --initTime 2017-07-05T11:24:34 --startdatetime 2017-07-05T11:26:14 --delay 0 --endMP 204:160 --enddatetime 2017-07-05T11:28:03 --enforcementcount 0 &gt;&gt;C:\Users\stu\Documents\GitHub\eaglep3-reporting\EC\2017-07-05-refined-times.txt</v>
      </c>
      <c r="AI247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0.016"},{"id":17,"name":"Train ID","value":"64-05"},{"id":16,"name":"Locomotive ID","value":"4061"},{"id":130,"name":"Impact","value":""},{"id":150,"name":"Time of Event (Mountain Time)","value":"11:28:03"},{"id":151,"name":"Denver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95"/>
        <v>start /low /b %USERPROFILE%\Documents\GitHub\eaglep3\Utilities\DownloadLogsFromS3.py --loco 4061 --day 2017-07-05</v>
      </c>
      <c r="AN247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714</v>
      </c>
      <c r="B248" s="7">
        <v>4062</v>
      </c>
      <c r="C248" s="21" t="s">
        <v>202</v>
      </c>
      <c r="D248" s="21" t="s">
        <v>943</v>
      </c>
      <c r="E248" s="13">
        <v>42921.46365740741</v>
      </c>
      <c r="F248" s="13">
        <v>42921.476550925923</v>
      </c>
      <c r="G248" s="7">
        <v>1</v>
      </c>
      <c r="H248" s="21" t="s">
        <v>944</v>
      </c>
      <c r="I248" s="13">
        <v>42921.477812500001</v>
      </c>
      <c r="J248" s="7">
        <v>0</v>
      </c>
      <c r="K248" s="89" t="str">
        <f t="shared" si="97"/>
        <v>4061/4062</v>
      </c>
      <c r="L248" s="21" t="str">
        <f>VLOOKUP(A248,'Trips&amp;Operators'!$C$1:$G$99999,5,FALSE)</f>
        <v>YORK EDGAR</v>
      </c>
      <c r="M248" s="6">
        <f t="shared" si="98"/>
        <v>1.2615740779438056E-3</v>
      </c>
      <c r="N248" s="7">
        <f t="shared" si="106"/>
        <v>1.8166666722390801</v>
      </c>
      <c r="O248" s="7"/>
      <c r="P248" s="7"/>
      <c r="Q248" s="22"/>
      <c r="R248" s="170"/>
      <c r="S248" s="213">
        <f t="shared" si="110"/>
        <v>0</v>
      </c>
      <c r="T248" s="195" t="str">
        <f t="shared" si="99"/>
        <v>Southbound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100"/>
        <v>https://d0f6bd738d7f1b3e5a7ca70fe4ff75f0.us-east-1.aws.found.io/app/kibana#/discover/Steve-Slow-Train-Analysis-(2080s-and-2083s)?_g=(refreshInterval:(display:Off,pause:!f,section:0,value:0),time:(from:'2017-07-05T10:07:40-0600',mode:absolute,to:'2017-07-05T12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8" s="197" t="str">
        <f>IF(AA248&lt;VLOOKUP(AG248,Variables!$AC$3:$AD$8,2,FALSE),"Y","N")</f>
        <v>Y</v>
      </c>
      <c r="X248" s="197">
        <f t="shared" si="109"/>
        <v>0</v>
      </c>
      <c r="Y248" s="197">
        <f t="shared" si="107"/>
        <v>0.14960000000000001</v>
      </c>
      <c r="Z248" s="197">
        <f t="shared" si="108"/>
        <v>0.3735</v>
      </c>
      <c r="AA248" s="197">
        <f t="shared" si="101"/>
        <v>0.22389999999999999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102"/>
        <v>64</v>
      </c>
      <c r="AE248" s="77" t="str">
        <f t="shared" si="103"/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AF248" s="74" t="str">
        <f t="shared" si="104"/>
        <v>"C:\Program Files (x86)\AstroGrep\AstroGrep.exe" /e /r /s /spath="%USERPROFILE%\AppData\Local\Temp\OnboardLogs" /stypes="app*4062*20170705*" /stext=" 17:.+((SYSTEM_STATE.+slice.+state.+changed )|(ment ac)|(multiple cpu faults)|(system.+state.+changed )|(\[timeout)|(PRM\|1\|D)|(kpr)|(kdp)|(train st.+moving)|(\|lc)|(penalty))"</v>
      </c>
      <c r="AG248" s="209" t="str">
        <f t="shared" si="105"/>
        <v>Shuttle/Test</v>
      </c>
      <c r="AH248" s="78" t="str">
        <f t="shared" si="93"/>
        <v>"%USERPROFILE%\Documents\GitHub\eaglep3\Utilities\RefineRTDCRunTimes.py" --tripid 64-05 --locoid 4062 --swversion DE.1.0.9.0 --startMP 204:1496 --initTime 2017-07-05T11:07:40 --startdatetime 2017-07-05T11:26:14 --delay 1 --endMP 204:3735 --enddatetime 2017-07-05T11:28:03 --enforcementcount 0 &gt;&gt;C:\Users\stu\Documents\GitHub\eaglep3-reporting\EC\2017-07-05-refined-times.txt</v>
      </c>
      <c r="AI248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0.3735"},{"id":17,"name":"Train ID","value":"64-05"},{"id":16,"name":"Locomotive ID","value":"4062"},{"id":130,"name":"Impact","value":""},{"id":150,"name":"Time of Event (Mountain Time)","value":"11:28:03"},{"id":151,"name":"Denver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95"/>
        <v>start /low /b %USERPROFILE%\Documents\GitHub\eaglep3\Utilities\DownloadLogsFromS3.py --loco 4062 --day 2017-07-05</v>
      </c>
      <c r="AN248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816</v>
      </c>
      <c r="B249" s="7">
        <v>4042</v>
      </c>
      <c r="C249" s="21" t="s">
        <v>202</v>
      </c>
      <c r="D249" s="21" t="s">
        <v>945</v>
      </c>
      <c r="E249" s="13">
        <v>42921.967245370368</v>
      </c>
      <c r="F249" s="13">
        <v>42921.968634259261</v>
      </c>
      <c r="G249" s="7">
        <v>1</v>
      </c>
      <c r="H249" s="21" t="s">
        <v>946</v>
      </c>
      <c r="I249" s="13">
        <v>42921.969583333332</v>
      </c>
      <c r="J249" s="7">
        <v>0</v>
      </c>
      <c r="K249" s="89" t="str">
        <f t="shared" si="97"/>
        <v>4041/4042</v>
      </c>
      <c r="L249" s="21" t="str">
        <f>VLOOKUP(A249,'Trips&amp;Operators'!$C$1:$G$99999,5,FALSE)</f>
        <v>MAGEE KENYA</v>
      </c>
      <c r="M249" s="6">
        <f t="shared" si="98"/>
        <v>9.4907407037680969E-4</v>
      </c>
      <c r="N249" s="7">
        <f t="shared" si="106"/>
        <v>1.3666666613426059</v>
      </c>
      <c r="O249" s="7"/>
      <c r="P249" s="7"/>
      <c r="Q249" s="22"/>
      <c r="R249" s="170"/>
      <c r="S249" s="213">
        <f t="shared" si="110"/>
        <v>0</v>
      </c>
      <c r="T249" s="195" t="str">
        <f t="shared" si="99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100"/>
        <v>https://d0f6bd738d7f1b3e5a7ca70fe4ff75f0.us-east-1.aws.found.io/app/kibana#/discover/Steve-Slow-Train-Analysis-(2080s-and-2083s)?_g=(refreshInterval:(display:Off,pause:!f,section:0,value:0),time:(from:'2017-07-05T22:12:50-0600',mode:absolute,to:'2017-07-06T00:16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9" s="197" t="str">
        <f>IF(AA249&lt;VLOOKUP(AG249,Variables!$AC$3:$AD$8,2,FALSE),"Y","N")</f>
        <v>Y</v>
      </c>
      <c r="X249" s="197">
        <f t="shared" si="109"/>
        <v>1</v>
      </c>
      <c r="Y249" s="197">
        <f t="shared" si="107"/>
        <v>0.1171</v>
      </c>
      <c r="Z249" s="197">
        <f t="shared" si="108"/>
        <v>0.35980000000000001</v>
      </c>
      <c r="AA249" s="197">
        <f t="shared" si="101"/>
        <v>0.24270000000000003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102"/>
        <v>65</v>
      </c>
      <c r="AE249" s="77" t="str">
        <f t="shared" si="103"/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AF249" s="74" t="str">
        <f t="shared" si="104"/>
        <v>"C:\Program Files (x86)\AstroGrep\AstroGrep.exe" /e /r /s /spath="%USERPROFILE%\AppData\Local\Temp\OnboardLogs" /stypes="app*4042*20170706*" /stext=" 05:.+((SYSTEM_STATE.+slice.+state.+changed )|(ment ac)|(multiple cpu faults)|(system.+state.+changed )|(\[timeout)|(PRM\|1\|D)|(kpr)|(kdp)|(train st.+moving)|(\|lc)|(penalty))"</v>
      </c>
      <c r="AG249" s="209" t="str">
        <f t="shared" si="105"/>
        <v>Shuttle/Test</v>
      </c>
      <c r="AH249" s="78" t="str">
        <f t="shared" si="93"/>
        <v>"%USERPROFILE%\Documents\GitHub\eaglep3\Utilities\RefineRTDCRunTimes.py" --tripid 65-05 --locoid 4042 --swversion DE.1.0.9.0 --startMP 204:1171 --initTime 2017-07-05T23:12:50 --startdatetime 2017-07-05T23:14:50 --delay 1 --endMP 204:3598 --enddatetime 2017-07-05T23:16:12 --enforcementcount 0 &gt;&gt;C:\Users\stu\Documents\GitHub\eaglep3-reporting\EC\2017-07-05-refined-times.txt</v>
      </c>
      <c r="AI249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0.3598"},{"id":17,"name":"Train ID","value":"65-05"},{"id":16,"name":"Locomotive ID","value":"4042"},{"id":130,"name":"Impact","value":""},{"id":150,"name":"Time of Event (Mountain Time)","value":"23:16:12"},{"id":151,"name":"Denver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95"/>
        <v>start /low /b %USERPROFILE%\Documents\GitHub\eaglep3\Utilities\DownloadLogsFromS3.py --loco 4042 --day 2017-07-05</v>
      </c>
      <c r="AN249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05:16:12"},{"id":29,"name":"Sharepoint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585</v>
      </c>
      <c r="B250" s="7">
        <v>4045</v>
      </c>
      <c r="C250" s="21" t="s">
        <v>202</v>
      </c>
      <c r="D250" s="21" t="s">
        <v>947</v>
      </c>
      <c r="E250" s="13">
        <v>42921.373935185184</v>
      </c>
      <c r="F250" s="13">
        <v>42921.392916666664</v>
      </c>
      <c r="G250" s="7">
        <v>8</v>
      </c>
      <c r="H250" s="21" t="s">
        <v>894</v>
      </c>
      <c r="I250" s="13">
        <v>42921.409236111111</v>
      </c>
      <c r="J250" s="7">
        <v>0</v>
      </c>
      <c r="K250" s="89" t="str">
        <f t="shared" si="97"/>
        <v>4045/4046</v>
      </c>
      <c r="L250" s="21" t="str">
        <f>VLOOKUP(A250,'Trips&amp;Operators'!$C$1:$G$99999,5,FALSE)</f>
        <v>PELLITIER GEORGE</v>
      </c>
      <c r="M250" s="6">
        <f t="shared" si="98"/>
        <v>1.6319444446708076E-2</v>
      </c>
      <c r="N250" s="7">
        <f t="shared" ref="N250:N267" si="111">24*60*SUM($M250:$M250)</f>
        <v>23.500000003259629</v>
      </c>
      <c r="O250" s="7"/>
      <c r="P250" s="7"/>
      <c r="Q250" s="22"/>
      <c r="R250" s="170"/>
      <c r="S250" s="213">
        <f t="shared" si="110"/>
        <v>1</v>
      </c>
      <c r="T250" s="195" t="str">
        <f t="shared" si="99"/>
        <v>Southbound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 t="shared" si="100"/>
        <v>https://d0f6bd738d7f1b3e5a7ca70fe4ff75f0.us-east-1.aws.found.io/app/kibana#/discover/Steve-Slow-Train-Analysis-(2080s-and-2083s)?_g=(refreshInterval:(display:Off,pause:!f,section:0,value:0),time:(from:'2017-07-05T07:58:28-0600',mode:absolute,to:'2017-07-05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0" s="197" t="str">
        <f>IF(AA250&lt;VLOOKUP(AG250,Variables!$AC$3:$AD$8,2,FALSE),"Y","N")</f>
        <v>Y</v>
      </c>
      <c r="X250" s="197">
        <f t="shared" si="109"/>
        <v>1</v>
      </c>
      <c r="Y250" s="197">
        <f t="shared" si="107"/>
        <v>2.3431999999999999</v>
      </c>
      <c r="Z250" s="197">
        <f t="shared" si="108"/>
        <v>1.5100000000000001E-2</v>
      </c>
      <c r="AA250" s="197">
        <f t="shared" si="101"/>
        <v>2.3281000000000001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102"/>
        <v>66</v>
      </c>
      <c r="AE250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50" s="74" t="str">
        <f t="shared" si="104"/>
        <v>"C:\Program Files (x86)\AstroGrep\AstroGrep.exe" /e /r /s /spath="%USERPROFILE%\AppData\Local\Temp\OnboardLogs" /stypes="app*4045*20170705*" /stext=" 15:.+((SYSTEM_STATE.+slice.+state.+changed )|(ment ac)|(multiple cpu faults)|(system.+state.+changed )|(\[timeout)|(PRM\|1\|D)|(kpr)|(kdp)|(train st.+moving)|(\|lc)|(penalty))"</v>
      </c>
      <c r="AG250" s="209" t="str">
        <f t="shared" si="105"/>
        <v>Shuttle/Test</v>
      </c>
      <c r="AH250" s="78" t="str">
        <f t="shared" si="93"/>
        <v>"%USERPROFILE%\Documents\GitHub\eaglep3\Utilities\RefineRTDCRunTimes.py" --tripid 66-05 --locoid 4045 --swversion DE.1.0.9.0 --startMP 300:23432 --initTime 2017-07-05T08:58:28 --startdatetime 2017-07-05T09:25:48 --delay 8 --endMP 204:151 --enddatetime 2017-07-05T09:49:18 --enforcementcount 0 &gt;&gt;C:\Users\stu\Documents\GitHub\eaglep3-reporting\EC\2017-07-05-refined-times.txt</v>
      </c>
      <c r="AI250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0.0151"},{"id":17,"name":"Train ID","value":"66-05"},{"id":16,"name":"Locomotive ID","value":"4045"},{"id":130,"name":"Impact","value":""},{"id":150,"name":"Time of Event (Mountain Time)","value":"09:49:18"},{"id":151,"name":"Denver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95"/>
        <v>start /low /b %USERPROFILE%\Documents\GitHub\eaglep3\Utilities\DownloadLogsFromS3.py --loco 4045 --day 2017-07-05</v>
      </c>
      <c r="AN250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15:49:18"},{"id":29,"name":"Sharepoint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585</v>
      </c>
      <c r="B251" s="7">
        <v>4045</v>
      </c>
      <c r="C251" s="21" t="s">
        <v>202</v>
      </c>
      <c r="D251" s="21" t="s">
        <v>948</v>
      </c>
      <c r="E251" s="13">
        <v>42921.411273148151</v>
      </c>
      <c r="F251" s="13">
        <v>42921.435428240744</v>
      </c>
      <c r="G251" s="7">
        <v>1</v>
      </c>
      <c r="H251" s="21" t="s">
        <v>413</v>
      </c>
      <c r="I251" s="13">
        <v>42921.450590277775</v>
      </c>
      <c r="J251" s="7">
        <v>0</v>
      </c>
      <c r="K251" s="89" t="str">
        <f t="shared" si="97"/>
        <v>4045/4046</v>
      </c>
      <c r="L251" s="21" t="str">
        <f>VLOOKUP(A251,'Trips&amp;Operators'!$C$1:$G$99999,5,FALSE)</f>
        <v>PELLITIER GEORGE</v>
      </c>
      <c r="M251" s="6">
        <f t="shared" si="98"/>
        <v>1.5162037030677311E-2</v>
      </c>
      <c r="N251" s="7">
        <f t="shared" si="111"/>
        <v>21.833333324175328</v>
      </c>
      <c r="O251" s="7"/>
      <c r="P251" s="7"/>
      <c r="Q251" s="22"/>
      <c r="R251" s="170"/>
      <c r="S251" s="213">
        <f t="shared" si="110"/>
        <v>1</v>
      </c>
      <c r="T251" s="195" t="str">
        <f t="shared" si="99"/>
        <v>Southbound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196" t="str">
        <f t="shared" si="100"/>
        <v>https://d0f6bd738d7f1b3e5a7ca70fe4ff75f0.us-east-1.aws.found.io/app/kibana#/discover/Steve-Slow-Train-Analysis-(2080s-and-2083s)?_g=(refreshInterval:(display:Off,pause:!f,section:0,value:0),time:(from:'2017-07-05T08:52:14-0600',mode:absolute,to:'2017-07-05T11:48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1" s="197" t="str">
        <f>IF(AA251&lt;VLOOKUP(AG251,Variables!$AC$3:$AD$8,2,FALSE),"Y","N")</f>
        <v>Y</v>
      </c>
      <c r="X251" s="197">
        <f t="shared" si="109"/>
        <v>0</v>
      </c>
      <c r="Y251" s="197">
        <f t="shared" si="107"/>
        <v>4.1986999999999997</v>
      </c>
      <c r="Z251" s="197">
        <f t="shared" si="108"/>
        <v>1.38E-2</v>
      </c>
      <c r="AA251" s="197">
        <f t="shared" si="101"/>
        <v>4.1848999999999998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102"/>
        <v>66</v>
      </c>
      <c r="AE251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51" s="74" t="str">
        <f t="shared" si="104"/>
        <v>"C:\Program Files (x86)\AstroGrep\AstroGrep.exe" /e /r /s /spath="%USERPROFILE%\AppData\Local\Temp\OnboardLogs" /stypes="app*4045*20170705*" /stext=" 16:.+((SYSTEM_STATE.+slice.+state.+changed )|(ment ac)|(multiple cpu faults)|(system.+state.+changed )|(\[timeout)|(PRM\|1\|D)|(kpr)|(kdp)|(train st.+moving)|(\|lc)|(penalty))"</v>
      </c>
      <c r="AG251" s="209" t="str">
        <f t="shared" si="105"/>
        <v>Shuttle/Test</v>
      </c>
      <c r="AH251" s="78" t="str">
        <f t="shared" si="93"/>
        <v>"%USERPROFILE%\Documents\GitHub\eaglep3\Utilities\RefineRTDCRunTimes.py" --tripid 66-05 --locoid 4045 --swversion DE.1.0.9.0 --startMP 300:41987 --initTime 2017-07-05T09:52:14 --startdatetime 2017-07-05T10:27:01 --delay 1 --endMP 204:138 --enddatetime 2017-07-05T10:48:51 --enforcementcount 0 &gt;&gt;C:\Users\stu\Documents\GitHub\eaglep3-reporting\EC\2017-07-05-refined-times.txt</v>
      </c>
      <c r="AI251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0.0138"},{"id":17,"name":"Train ID","value":"66-05"},{"id":16,"name":"Locomotive ID","value":"4045"},{"id":130,"name":"Impact","value":""},{"id":150,"name":"Time of Event (Mountain Time)","value":"10:48:51"},{"id":151,"name":"Denver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95"/>
        <v>start /low /b %USERPROFILE%\Documents\GitHub\eaglep3\Utilities\DownloadLogsFromS3.py --loco 4045 --day 2017-07-05</v>
      </c>
      <c r="AN251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585</v>
      </c>
      <c r="B252" s="7">
        <v>4045</v>
      </c>
      <c r="C252" s="21" t="s">
        <v>202</v>
      </c>
      <c r="D252" s="21" t="s">
        <v>949</v>
      </c>
      <c r="E252" s="13">
        <v>42921.45212962963</v>
      </c>
      <c r="F252" s="13">
        <v>42921.490057870367</v>
      </c>
      <c r="G252" s="7">
        <v>1</v>
      </c>
      <c r="H252" s="21" t="s">
        <v>950</v>
      </c>
      <c r="I252" s="13">
        <v>42921.500740740739</v>
      </c>
      <c r="J252" s="7">
        <v>0</v>
      </c>
      <c r="K252" s="89" t="str">
        <f t="shared" si="97"/>
        <v>4045/4046</v>
      </c>
      <c r="L252" s="21" t="str">
        <f>VLOOKUP(A252,'Trips&amp;Operators'!$C$1:$G$99999,5,FALSE)</f>
        <v>PELLITIER GEORGE</v>
      </c>
      <c r="M252" s="6">
        <f t="shared" si="98"/>
        <v>1.0682870371965691E-2</v>
      </c>
      <c r="N252" s="7">
        <f t="shared" si="111"/>
        <v>15.383333335630596</v>
      </c>
      <c r="O252" s="7"/>
      <c r="P252" s="7"/>
      <c r="Q252" s="22"/>
      <c r="R252" s="170"/>
      <c r="S252" s="213">
        <f t="shared" si="110"/>
        <v>1</v>
      </c>
      <c r="T252" s="195" t="str">
        <f t="shared" si="99"/>
        <v>Southbound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196" t="str">
        <f t="shared" si="100"/>
        <v>https://d0f6bd738d7f1b3e5a7ca70fe4ff75f0.us-east-1.aws.found.io/app/kibana#/discover/Steve-Slow-Train-Analysis-(2080s-and-2083s)?_g=(refreshInterval:(display:Off,pause:!f,section:0,value:0),time:(from:'2017-07-05T09:51:04-0600',mode:absolute,to:'2017-07-05T13:01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2" s="197" t="str">
        <f>IF(AA252&lt;VLOOKUP(AG252,Variables!$AC$3:$AD$8,2,FALSE),"Y","N")</f>
        <v>Y</v>
      </c>
      <c r="X252" s="197">
        <f t="shared" si="109"/>
        <v>0</v>
      </c>
      <c r="Y252" s="197">
        <f t="shared" si="107"/>
        <v>4.2020999999999997</v>
      </c>
      <c r="Z252" s="197">
        <f t="shared" si="108"/>
        <v>1.4E-2</v>
      </c>
      <c r="AA252" s="197">
        <f t="shared" si="101"/>
        <v>4.1880999999999995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102"/>
        <v>66</v>
      </c>
      <c r="AE252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52" s="74" t="str">
        <f t="shared" si="104"/>
        <v>"C:\Program Files (x86)\AstroGrep\AstroGrep.exe" /e /r /s /spath="%USERPROFILE%\AppData\Local\Temp\OnboardLogs" /stypes="app*4045*20170705*" /stext=" 18:.+((SYSTEM_STATE.+slice.+state.+changed )|(ment ac)|(multiple cpu faults)|(system.+state.+changed )|(\[timeout)|(PRM\|1\|D)|(kpr)|(kdp)|(train st.+moving)|(\|lc)|(penalty))"</v>
      </c>
      <c r="AG252" s="209" t="str">
        <f t="shared" si="105"/>
        <v>Shuttle/Test</v>
      </c>
      <c r="AH252" s="78" t="str">
        <f t="shared" si="93"/>
        <v>"%USERPROFILE%\Documents\GitHub\eaglep3\Utilities\RefineRTDCRunTimes.py" --tripid 66-05 --locoid 4045 --swversion DE.1.0.9.0 --startMP 300:42021 --initTime 2017-07-05T10:51:04 --startdatetime 2017-07-05T11:45:41 --delay 1 --endMP 204:140 --enddatetime 2017-07-05T12:01:04 --enforcementcount 0 &gt;&gt;C:\Users\stu\Documents\GitHub\eaglep3-reporting\EC\2017-07-05-refined-times.txt</v>
      </c>
      <c r="AI252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0.014"},{"id":17,"name":"Train ID","value":"66-05"},{"id":16,"name":"Locomotive ID","value":"4045"},{"id":130,"name":"Impact","value":""},{"id":150,"name":"Time of Event (Mountain Time)","value":"12:01:04"},{"id":151,"name":"Denver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95"/>
        <v>start /low /b %USERPROFILE%\Documents\GitHub\eaglep3\Utilities\DownloadLogsFromS3.py --loco 4045 --day 2017-07-05</v>
      </c>
      <c r="AN252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18:01:04"},{"id":29,"name":"Sharepoint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585</v>
      </c>
      <c r="B253" s="7">
        <v>4045</v>
      </c>
      <c r="C253" s="21" t="s">
        <v>202</v>
      </c>
      <c r="D253" s="21" t="s">
        <v>951</v>
      </c>
      <c r="E253" s="13">
        <v>42921.603703703702</v>
      </c>
      <c r="F253" s="13">
        <v>42921.609097222223</v>
      </c>
      <c r="G253" s="7">
        <v>3</v>
      </c>
      <c r="H253" s="21" t="s">
        <v>952</v>
      </c>
      <c r="I253" s="13">
        <v>42921.627974537034</v>
      </c>
      <c r="J253" s="7">
        <v>0</v>
      </c>
      <c r="K253" s="89" t="str">
        <f t="shared" si="97"/>
        <v>4045/4046</v>
      </c>
      <c r="L253" s="21" t="str">
        <f>VLOOKUP(A253,'Trips&amp;Operators'!$C$1:$G$99999,5,FALSE)</f>
        <v>PELLITIER GEORGE</v>
      </c>
      <c r="M253" s="6">
        <f t="shared" si="98"/>
        <v>1.8877314811106771E-2</v>
      </c>
      <c r="N253" s="7">
        <f t="shared" si="111"/>
        <v>27.183333327993751</v>
      </c>
      <c r="O253" s="7"/>
      <c r="P253" s="7"/>
      <c r="Q253" s="22"/>
      <c r="R253" s="170"/>
      <c r="S253" s="213">
        <f t="shared" si="110"/>
        <v>0</v>
      </c>
      <c r="T253" s="195" t="str">
        <f t="shared" si="99"/>
        <v>Southbound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100"/>
        <v>https://d0f6bd738d7f1b3e5a7ca70fe4ff75f0.us-east-1.aws.found.io/app/kibana#/discover/Steve-Slow-Train-Analysis-(2080s-and-2083s)?_g=(refreshInterval:(display:Off,pause:!f,section:0,value:0),time:(from:'2017-07-05T13:29:20-0600',mode:absolute,to:'2017-07-05T16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3" s="197" t="str">
        <f>IF(AA253&lt;VLOOKUP(AG253,Variables!$AC$3:$AD$8,2,FALSE),"Y","N")</f>
        <v>Y</v>
      </c>
      <c r="X253" s="197">
        <f t="shared" si="109"/>
        <v>0</v>
      </c>
      <c r="Y253" s="197">
        <f t="shared" ref="Y253:Y267" si="112">RIGHT(D253,LEN(D253)-4)/10000</f>
        <v>5.8639999999999999</v>
      </c>
      <c r="Z253" s="197">
        <f t="shared" ref="Z253:Z267" si="113">RIGHT(H253,LEN(H253)-4)/10000</f>
        <v>2.8784000000000001</v>
      </c>
      <c r="AA253" s="197">
        <f t="shared" si="101"/>
        <v>2.9855999999999998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102"/>
        <v>66</v>
      </c>
      <c r="AE253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53" s="74" t="str">
        <f t="shared" si="104"/>
        <v>"C:\Program Files (x86)\AstroGrep\AstroGrep.exe" /e /r /s /spath="%USERPROFILE%\AppData\Local\Temp\OnboardLogs" /stypes="app*4045*20170705*" /stext=" 21:.+((SYSTEM_STATE.+slice.+state.+changed )|(ment ac)|(multiple cpu faults)|(system.+state.+changed )|(\[timeout)|(PRM\|1\|D)|(kpr)|(kdp)|(train st.+moving)|(\|lc)|(penalty))"</v>
      </c>
      <c r="AG253" s="209" t="str">
        <f t="shared" si="105"/>
        <v>Shuttle/Test</v>
      </c>
      <c r="AH253" s="78" t="str">
        <f t="shared" si="93"/>
        <v>"%USERPROFILE%\Documents\GitHub\eaglep3\Utilities\RefineRTDCRunTimes.py" --tripid 66-05 --locoid 4045 --swversion DE.1.0.9.0 --startMP 300:58640 --initTime 2017-07-05T14:29:20 --startdatetime 2017-07-05T14:37:06 --delay 3 --endMP 300:28784 --enddatetime 2017-07-05T15:04:17 --enforcementcount 0 &gt;&gt;C:\Users\stu\Documents\GitHub\eaglep3-reporting\EC\2017-07-05-refined-times.txt</v>
      </c>
      <c r="AI253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2.8784"},{"id":17,"name":"Train ID","value":"66-05"},{"id":16,"name":"Locomotive ID","value":"4045"},{"id":130,"name":"Impact","value":""},{"id":150,"name":"Time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95"/>
        <v>start /low /b %USERPROFILE%\Documents\GitHub\eaglep3\Utilities\DownloadLogsFromS3.py --loco 4045 --day 2017-07-05</v>
      </c>
      <c r="AN253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585</v>
      </c>
      <c r="B254" s="7">
        <v>4045</v>
      </c>
      <c r="C254" s="21" t="s">
        <v>202</v>
      </c>
      <c r="D254" s="21" t="s">
        <v>953</v>
      </c>
      <c r="E254" s="13">
        <v>42921.560057870367</v>
      </c>
      <c r="F254" s="13">
        <v>42921.590196759258</v>
      </c>
      <c r="G254" s="7">
        <v>1</v>
      </c>
      <c r="H254" s="21" t="s">
        <v>487</v>
      </c>
      <c r="I254" s="13">
        <v>42921.600578703707</v>
      </c>
      <c r="J254" s="7">
        <v>0</v>
      </c>
      <c r="K254" s="89" t="str">
        <f t="shared" si="97"/>
        <v>4045/4046</v>
      </c>
      <c r="L254" s="21" t="str">
        <f>VLOOKUP(A254,'Trips&amp;Operators'!$C$1:$G$99999,5,FALSE)</f>
        <v>PELLITIER GEORGE</v>
      </c>
      <c r="M254" s="6">
        <f t="shared" si="98"/>
        <v>1.0381944448454306E-2</v>
      </c>
      <c r="N254" s="7">
        <f t="shared" si="111"/>
        <v>14.9500000057742</v>
      </c>
      <c r="O254" s="7"/>
      <c r="P254" s="7"/>
      <c r="Q254" s="22"/>
      <c r="R254" s="170"/>
      <c r="S254" s="213">
        <f t="shared" si="110"/>
        <v>1</v>
      </c>
      <c r="T254" s="195" t="str">
        <f t="shared" si="99"/>
        <v>Southbound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196" t="str">
        <f t="shared" si="100"/>
        <v>https://d0f6bd738d7f1b3e5a7ca70fe4ff75f0.us-east-1.aws.found.io/app/kibana#/discover/Steve-Slow-Train-Analysis-(2080s-and-2083s)?_g=(refreshInterval:(display:Off,pause:!f,section:0,value:0),time:(from:'2017-07-05T12:26:29-0600',mode:absolute,to:'2017-07-05T15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4" s="197" t="str">
        <f>IF(AA254&lt;VLOOKUP(AG254,Variables!$AC$3:$AD$8,2,FALSE),"Y","N")</f>
        <v>Y</v>
      </c>
      <c r="X254" s="197">
        <f t="shared" ref="X254:X267" si="114">VALUE(LEFT(AD254,4))-VALUE(LEFT(AD253,4))</f>
        <v>0</v>
      </c>
      <c r="Y254" s="197">
        <f t="shared" si="112"/>
        <v>5.8644999999999996</v>
      </c>
      <c r="Z254" s="197">
        <f t="shared" si="113"/>
        <v>1.6E-2</v>
      </c>
      <c r="AA254" s="197">
        <f t="shared" si="101"/>
        <v>5.8484999999999996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102"/>
        <v>66</v>
      </c>
      <c r="AE254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54" s="74" t="str">
        <f t="shared" si="104"/>
        <v>"C:\Program Files (x86)\AstroGrep\AstroGrep.exe" /e /r /s /spath="%USERPROFILE%\AppData\Local\Temp\OnboardLogs" /stypes="app*4045*20170705*" /stext=" 20:.+((SYSTEM_STATE.+slice.+state.+changed )|(ment ac)|(multiple cpu faults)|(system.+state.+changed )|(\[timeout)|(PRM\|1\|D)|(kpr)|(kdp)|(train st.+moving)|(\|lc)|(penalty))"</v>
      </c>
      <c r="AG254" s="209" t="str">
        <f t="shared" si="105"/>
        <v>Shuttle/Test</v>
      </c>
      <c r="AH254" s="78" t="str">
        <f t="shared" si="93"/>
        <v>"%USERPROFILE%\Documents\GitHub\eaglep3\Utilities\RefineRTDCRunTimes.py" --tripid 66-05 --locoid 4045 --swversion DE.1.0.9.0 --startMP 300:58645 --initTime 2017-07-05T13:26:29 --startdatetime 2017-07-05T14:09:53 --delay 1 --endMP 204:160 --enddatetime 2017-07-05T14:24:50 --enforcementcount 0 &gt;&gt;C:\Users\stu\Documents\GitHub\eaglep3-reporting\EC\2017-07-05-refined-times.txt</v>
      </c>
      <c r="AI254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0.016"},{"id":17,"name":"Train ID","value":"66-05"},{"id":16,"name":"Locomotive ID","value":"4045"},{"id":130,"name":"Impact","value":""},{"id":150,"name":"Time of Event (Mountain Time)","value":"14:24:50"},{"id":151,"name":"Denver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95"/>
        <v>start /low /b %USERPROFILE%\Documents\GitHub\eaglep3\Utilities\DownloadLogsFromS3.py --loco 4045 --day 2017-07-05</v>
      </c>
      <c r="AN254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585</v>
      </c>
      <c r="B255" s="7">
        <v>4045</v>
      </c>
      <c r="C255" s="21" t="s">
        <v>202</v>
      </c>
      <c r="D255" s="21" t="s">
        <v>954</v>
      </c>
      <c r="E255" s="13">
        <v>42921.502546296295</v>
      </c>
      <c r="F255" s="13">
        <v>42921.548530092594</v>
      </c>
      <c r="G255" s="7">
        <v>1</v>
      </c>
      <c r="H255" s="21" t="s">
        <v>955</v>
      </c>
      <c r="I255" s="13">
        <v>42921.558472222219</v>
      </c>
      <c r="J255" s="7">
        <v>0</v>
      </c>
      <c r="K255" s="89" t="str">
        <f t="shared" si="97"/>
        <v>4045/4046</v>
      </c>
      <c r="L255" s="21" t="str">
        <f>VLOOKUP(A255,'Trips&amp;Operators'!$C$1:$G$99999,5,FALSE)</f>
        <v>PELLITIER GEORGE</v>
      </c>
      <c r="M255" s="6">
        <f t="shared" si="98"/>
        <v>9.9421296254149638E-3</v>
      </c>
      <c r="N255" s="7">
        <f t="shared" si="111"/>
        <v>14.316666660597548</v>
      </c>
      <c r="O255" s="7"/>
      <c r="P255" s="7"/>
      <c r="Q255" s="22"/>
      <c r="R255" s="170"/>
      <c r="S255" s="213">
        <f t="shared" si="110"/>
        <v>1</v>
      </c>
      <c r="T255" s="195" t="str">
        <f t="shared" si="99"/>
        <v>Southbound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196" t="str">
        <f t="shared" si="100"/>
        <v>https://d0f6bd738d7f1b3e5a7ca70fe4ff75f0.us-east-1.aws.found.io/app/kibana#/discover/Steve-Slow-Train-Analysis-(2080s-and-2083s)?_g=(refreshInterval:(display:Off,pause:!f,section:0,value:0),time:(from:'2017-07-05T11:03:40-0600',mode:absolute,to:'2017-07-05T14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55" s="197" t="str">
        <f>IF(AA255&lt;VLOOKUP(AG255,Variables!$AC$3:$AD$8,2,FALSE),"Y","N")</f>
        <v>Y</v>
      </c>
      <c r="X255" s="197">
        <f t="shared" si="114"/>
        <v>0</v>
      </c>
      <c r="Y255" s="197">
        <f t="shared" si="112"/>
        <v>5.8653000000000004</v>
      </c>
      <c r="Z255" s="197">
        <f t="shared" si="113"/>
        <v>9.2299999999999993E-2</v>
      </c>
      <c r="AA255" s="197">
        <f t="shared" si="101"/>
        <v>5.7730000000000006</v>
      </c>
      <c r="AB255" s="54" t="e">
        <f>VLOOKUP(A255,Enforcements!$C$7:$K$13,8,0)</f>
        <v>#N/A</v>
      </c>
      <c r="AC255" s="51" t="e">
        <f>VLOOKUP(A255,Enforcements!$C$7:$E$13,3,0)</f>
        <v>#N/A</v>
      </c>
      <c r="AD255" s="206">
        <f t="shared" si="102"/>
        <v>66</v>
      </c>
      <c r="AE255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55" s="74" t="str">
        <f t="shared" si="104"/>
        <v>"C:\Program Files (x86)\AstroGrep\AstroGrep.exe" /e /r /s /spath="%USERPROFILE%\AppData\Local\Temp\OnboardLogs" /stypes="app*4045*20170705*" /stext=" 19:.+((SYSTEM_STATE.+slice.+state.+changed )|(ment ac)|(multiple cpu faults)|(system.+state.+changed )|(\[timeout)|(PRM\|1\|D)|(kpr)|(kdp)|(train st.+moving)|(\|lc)|(penalty))"</v>
      </c>
      <c r="AG255" s="209" t="str">
        <f t="shared" si="105"/>
        <v>Shuttle/Test</v>
      </c>
      <c r="AH255" s="78" t="str">
        <f t="shared" si="93"/>
        <v>"%USERPROFILE%\Documents\GitHub\eaglep3\Utilities\RefineRTDCRunTimes.py" --tripid 66-05 --locoid 4045 --swversion DE.1.0.9.0 --startMP 300:58653 --initTime 2017-07-05T12:03:40 --startdatetime 2017-07-05T13:09:53 --delay 1 --endMP 204:923 --enddatetime 2017-07-05T13:24:12 --enforcementcount 0 &gt;&gt;C:\Users\stu\Documents\GitHub\eaglep3-reporting\EC\2017-07-05-refined-times.txt</v>
      </c>
      <c r="AI255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0.0923"},{"id":17,"name":"Train ID","value":"66-05"},{"id":16,"name":"Locomotive ID","value":"4045"},{"id":130,"name":"Impact","value":""},{"id":150,"name":"Time of Event (Mountain Time)","value":"13:24:12"},{"id":151,"name":"Denver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95"/>
        <v>start /low /b %USERPROFILE%\Documents\GitHub\eaglep3\Utilities\DownloadLogsFromS3.py --loco 4045 --day 2017-07-05</v>
      </c>
      <c r="AN255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19:24:12"},{"id":29,"name":"Sharepoint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585</v>
      </c>
      <c r="B256" s="7">
        <v>4046</v>
      </c>
      <c r="C256" s="21" t="s">
        <v>202</v>
      </c>
      <c r="D256" s="21" t="s">
        <v>956</v>
      </c>
      <c r="E256" s="13">
        <v>42921.53502314815</v>
      </c>
      <c r="F256" s="13">
        <v>42921.590196759258</v>
      </c>
      <c r="G256" s="7">
        <v>1</v>
      </c>
      <c r="H256" s="21" t="s">
        <v>476</v>
      </c>
      <c r="I256" s="13">
        <v>42921.600578703707</v>
      </c>
      <c r="J256" s="7">
        <v>0</v>
      </c>
      <c r="K256" s="89" t="str">
        <f t="shared" si="97"/>
        <v>4045/4046</v>
      </c>
      <c r="L256" s="21" t="str">
        <f>VLOOKUP(A256,'Trips&amp;Operators'!$C$1:$G$99999,5,FALSE)</f>
        <v>PELLITIER GEORGE</v>
      </c>
      <c r="M256" s="6">
        <f t="shared" si="98"/>
        <v>1.0381944448454306E-2</v>
      </c>
      <c r="N256" s="7">
        <f t="shared" si="111"/>
        <v>14.9500000057742</v>
      </c>
      <c r="O256" s="7"/>
      <c r="P256" s="7"/>
      <c r="Q256" s="22"/>
      <c r="R256" s="170"/>
      <c r="S256" s="213">
        <f t="shared" si="110"/>
        <v>0</v>
      </c>
      <c r="T256" s="195" t="str">
        <f t="shared" si="99"/>
        <v>Southbound</v>
      </c>
      <c r="U256" s="19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6" t="str">
        <f t="shared" si="100"/>
        <v>https://d0f6bd738d7f1b3e5a7ca70fe4ff75f0.us-east-1.aws.found.io/app/kibana#/discover/Steve-Slow-Train-Analysis-(2080s-and-2083s)?_g=(refreshInterval:(display:Off,pause:!f,section:0,value:0),time:(from:'2017-07-05T11:50:26-0600',mode:absolute,to:'2017-07-05T15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6" s="197" t="str">
        <f>IF(AA256&lt;VLOOKUP(AG256,Variables!$AC$3:$AD$8,2,FALSE),"Y","N")</f>
        <v>Y</v>
      </c>
      <c r="X256" s="197">
        <f t="shared" si="114"/>
        <v>0</v>
      </c>
      <c r="Y256" s="197">
        <f t="shared" si="112"/>
        <v>0.12379999999999999</v>
      </c>
      <c r="Z256" s="197">
        <f t="shared" si="113"/>
        <v>5.8954000000000004</v>
      </c>
      <c r="AA256" s="197">
        <f t="shared" si="101"/>
        <v>5.7716000000000003</v>
      </c>
      <c r="AB256" s="54" t="e">
        <f>VLOOKUP(A256,Enforcements!$C$7:$K$13,8,0)</f>
        <v>#N/A</v>
      </c>
      <c r="AC256" s="51" t="e">
        <f>VLOOKUP(A256,Enforcements!$C$7:$E$13,3,0)</f>
        <v>#N/A</v>
      </c>
      <c r="AD256" s="206">
        <f t="shared" si="102"/>
        <v>66</v>
      </c>
      <c r="AE256" s="77" t="str">
        <f t="shared" si="103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56" s="74" t="str">
        <f t="shared" si="104"/>
        <v>"C:\Program Files (x86)\AstroGrep\AstroGrep.exe" /e /r /s /spath="%USERPROFILE%\AppData\Local\Temp\OnboardLogs" /stypes="app*4046*20170705*" /stext=" 20:.+((SYSTEM_STATE.+slice.+state.+changed )|(ment ac)|(multiple cpu faults)|(system.+state.+changed )|(\[timeout)|(PRM\|1\|D)|(kpr)|(kdp)|(train st.+moving)|(\|lc)|(penalty))"</v>
      </c>
      <c r="AG256" s="209" t="str">
        <f t="shared" si="105"/>
        <v>Shuttle/Test</v>
      </c>
      <c r="AH256" s="78" t="str">
        <f t="shared" si="93"/>
        <v>"%USERPROFILE%\Documents\GitHub\eaglep3\Utilities\RefineRTDCRunTimes.py" --tripid 66-05 --locoid 4046 --swversion DE.1.0.9.0 --startMP 204:1238 --initTime 2017-07-05T12:50:26 --startdatetime 2017-07-05T14:09:53 --delay 1 --endMP 300:58954 --enddatetime 2017-07-05T14:24:50 --enforcementcount 0 &gt;&gt;C:\Users\stu\Documents\GitHub\eaglep3-reporting\EC\2017-07-05-refined-times.txt</v>
      </c>
      <c r="AI256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5.8954"},{"id":17,"name":"Train ID","value":"66-05"},{"id":16,"name":"Locomotive ID","value":"4046"},{"id":130,"name":"Impact","value":""},{"id":150,"name":"Time of Event (Mountain Time)","value":"14:24:50"},{"id":151,"name":"Denver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95"/>
        <v>start /low /b %USERPROFILE%\Documents\GitHub\eaglep3\Utilities\DownloadLogsFromS3.py --loco 4046 --day 2017-07-05</v>
      </c>
      <c r="AN256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  <row r="257" spans="1:41" x14ac:dyDescent="0.25">
      <c r="A257" s="32" t="s">
        <v>585</v>
      </c>
      <c r="B257" s="7">
        <v>4046</v>
      </c>
      <c r="C257" s="21" t="s">
        <v>202</v>
      </c>
      <c r="D257" s="21" t="s">
        <v>957</v>
      </c>
      <c r="E257" s="13">
        <v>42921.579791666663</v>
      </c>
      <c r="F257" s="13">
        <v>42921.609097222223</v>
      </c>
      <c r="G257" s="7">
        <v>1</v>
      </c>
      <c r="H257" s="21" t="s">
        <v>564</v>
      </c>
      <c r="I257" s="13">
        <v>42921.627974537034</v>
      </c>
      <c r="J257" s="7">
        <v>0</v>
      </c>
      <c r="K257" s="89" t="str">
        <f t="shared" si="97"/>
        <v>4045/4046</v>
      </c>
      <c r="L257" s="21" t="str">
        <f>VLOOKUP(A257,'Trips&amp;Operators'!$C$1:$G$99999,5,FALSE)</f>
        <v>PELLITIER GEORGE</v>
      </c>
      <c r="M257" s="6">
        <f t="shared" si="98"/>
        <v>1.8877314811106771E-2</v>
      </c>
      <c r="N257" s="7">
        <f t="shared" si="111"/>
        <v>27.183333327993751</v>
      </c>
      <c r="O257" s="7"/>
      <c r="P257" s="7"/>
      <c r="Q257" s="22"/>
      <c r="R257" s="170"/>
      <c r="S257" s="213">
        <f t="shared" si="110"/>
        <v>0</v>
      </c>
      <c r="T257" s="195" t="str">
        <f t="shared" si="99"/>
        <v>Southbound</v>
      </c>
      <c r="U257" s="19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6" t="str">
        <f t="shared" si="100"/>
        <v>https://d0f6bd738d7f1b3e5a7ca70fe4ff75f0.us-east-1.aws.found.io/app/kibana#/discover/Steve-Slow-Train-Analysis-(2080s-and-2083s)?_g=(refreshInterval:(display:Off,pause:!f,section:0,value:0),time:(from:'2017-07-05T12:54:54-0600',mode:absolute,to:'2017-07-05T16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7" s="197" t="str">
        <f>IF(AA257&lt;VLOOKUP(AG257,Variables!$AC$3:$AD$8,2,FALSE),"Y","N")</f>
        <v>Y</v>
      </c>
      <c r="X257" s="197">
        <f t="shared" si="114"/>
        <v>0</v>
      </c>
      <c r="Y257" s="197">
        <f t="shared" si="112"/>
        <v>4.48E-2</v>
      </c>
      <c r="Z257" s="197">
        <f t="shared" si="113"/>
        <v>5.8952</v>
      </c>
      <c r="AA257" s="197">
        <f t="shared" si="101"/>
        <v>5.8503999999999996</v>
      </c>
      <c r="AB257" s="54" t="e">
        <f>VLOOKUP(A257,Enforcements!$C$7:$K$13,8,0)</f>
        <v>#N/A</v>
      </c>
      <c r="AC257" s="51" t="e">
        <f>VLOOKUP(A257,Enforcements!$C$7:$E$13,3,0)</f>
        <v>#N/A</v>
      </c>
      <c r="AD257" s="206">
        <f t="shared" si="102"/>
        <v>66</v>
      </c>
      <c r="AE257" s="77" t="str">
        <f t="shared" si="103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57" s="74" t="str">
        <f t="shared" si="104"/>
        <v>"C:\Program Files (x86)\AstroGrep\AstroGrep.exe" /e /r /s /spath="%USERPROFILE%\AppData\Local\Temp\OnboardLogs" /stypes="app*4046*20170705*" /stext=" 21:.+((SYSTEM_STATE.+slice.+state.+changed )|(ment ac)|(multiple cpu faults)|(system.+state.+changed )|(\[timeout)|(PRM\|1\|D)|(kpr)|(kdp)|(train st.+moving)|(\|lc)|(penalty))"</v>
      </c>
      <c r="AG257" s="209" t="str">
        <f t="shared" si="105"/>
        <v>Shuttle/Test</v>
      </c>
      <c r="AH257" s="78" t="str">
        <f t="shared" si="93"/>
        <v>"%USERPROFILE%\Documents\GitHub\eaglep3\Utilities\RefineRTDCRunTimes.py" --tripid 66-05 --locoid 4046 --swversion DE.1.0.9.0 --startMP 204:448 --initTime 2017-07-05T13:54:54 --startdatetime 2017-07-05T14:37:06 --delay 1 --endMP 300:58952 --enddatetime 2017-07-05T15:04:17 --enforcementcount 0 &gt;&gt;C:\Users\stu\Documents\GitHub\eaglep3-reporting\EC\2017-07-05-refined-times.txt</v>
      </c>
      <c r="AI257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5.8952"},{"id":17,"name":"Train ID","value":"66-05"},{"id":16,"name":"Locomotive ID","value":"4046"},{"id":130,"name":"Impact","value":""},{"id":150,"name":"Time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95"/>
        <v>start /low /b %USERPROFILE%\Documents\GitHub\eaglep3\Utilities\DownloadLogsFromS3.py --loco 4046 --day 2017-07-05</v>
      </c>
      <c r="AN257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21:04:17"},{"id":29,"name":"Sharepoint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/>
    </row>
    <row r="258" spans="1:41" x14ac:dyDescent="0.25">
      <c r="A258" s="32" t="s">
        <v>585</v>
      </c>
      <c r="B258" s="7">
        <v>4046</v>
      </c>
      <c r="C258" s="21" t="s">
        <v>202</v>
      </c>
      <c r="D258" s="21" t="s">
        <v>926</v>
      </c>
      <c r="E258" s="13">
        <v>42921.389537037037</v>
      </c>
      <c r="F258" s="13">
        <v>42921.435428240744</v>
      </c>
      <c r="G258" s="7">
        <v>1</v>
      </c>
      <c r="H258" s="21" t="s">
        <v>958</v>
      </c>
      <c r="I258" s="13">
        <v>42921.450590277775</v>
      </c>
      <c r="J258" s="7">
        <v>0</v>
      </c>
      <c r="K258" s="89" t="str">
        <f t="shared" si="97"/>
        <v>4045/4046</v>
      </c>
      <c r="L258" s="21" t="str">
        <f>VLOOKUP(A258,'Trips&amp;Operators'!$C$1:$G$99999,5,FALSE)</f>
        <v>PELLITIER GEORGE</v>
      </c>
      <c r="M258" s="6">
        <f t="shared" si="98"/>
        <v>1.5162037030677311E-2</v>
      </c>
      <c r="N258" s="7">
        <f t="shared" si="111"/>
        <v>21.833333324175328</v>
      </c>
      <c r="O258" s="7"/>
      <c r="P258" s="7"/>
      <c r="Q258" s="22"/>
      <c r="R258" s="170"/>
      <c r="S258" s="213">
        <f t="shared" si="110"/>
        <v>0</v>
      </c>
      <c r="T258" s="195" t="str">
        <f t="shared" si="99"/>
        <v>Southbound</v>
      </c>
      <c r="U258" s="19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6" t="str">
        <f t="shared" si="100"/>
        <v>https://d0f6bd738d7f1b3e5a7ca70fe4ff75f0.us-east-1.aws.found.io/app/kibana#/discover/Steve-Slow-Train-Analysis-(2080s-and-2083s)?_g=(refreshInterval:(display:Off,pause:!f,section:0,value:0),time:(from:'2017-07-05T08:20:56-0600',mode:absolute,to:'2017-07-05T11:48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8" s="197" t="str">
        <f>IF(AA258&lt;VLOOKUP(AG258,Variables!$AC$3:$AD$8,2,FALSE),"Y","N")</f>
        <v>Y</v>
      </c>
      <c r="X258" s="197">
        <f t="shared" si="114"/>
        <v>0</v>
      </c>
      <c r="Y258" s="197">
        <f t="shared" si="112"/>
        <v>4.4999999999999998E-2</v>
      </c>
      <c r="Z258" s="197">
        <f t="shared" si="113"/>
        <v>4.2301000000000002</v>
      </c>
      <c r="AA258" s="197">
        <f t="shared" si="101"/>
        <v>4.1851000000000003</v>
      </c>
      <c r="AB258" s="54" t="e">
        <f>VLOOKUP(A258,Enforcements!$C$7:$K$13,8,0)</f>
        <v>#N/A</v>
      </c>
      <c r="AC258" s="51" t="e">
        <f>VLOOKUP(A258,Enforcements!$C$7:$E$13,3,0)</f>
        <v>#N/A</v>
      </c>
      <c r="AD258" s="206">
        <f t="shared" si="102"/>
        <v>66</v>
      </c>
      <c r="AE258" s="77" t="str">
        <f t="shared" si="103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58" s="74" t="str">
        <f t="shared" si="104"/>
        <v>"C:\Program Files (x86)\AstroGrep\AstroGrep.exe" /e /r /s /spath="%USERPROFILE%\AppData\Local\Temp\OnboardLogs" /stypes="app*4046*20170705*" /stext=" 16:.+((SYSTEM_STATE.+slice.+state.+changed )|(ment ac)|(multiple cpu faults)|(system.+state.+changed )|(\[timeout)|(PRM\|1\|D)|(kpr)|(kdp)|(train st.+moving)|(\|lc)|(penalty))"</v>
      </c>
      <c r="AG258" s="209" t="str">
        <f t="shared" si="105"/>
        <v>Shuttle/Test</v>
      </c>
      <c r="AH258" s="78" t="str">
        <f t="shared" si="93"/>
        <v>"%USERPROFILE%\Documents\GitHub\eaglep3\Utilities\RefineRTDCRunTimes.py" --tripid 66-05 --locoid 4046 --swversion DE.1.0.9.0 --startMP 204:450 --initTime 2017-07-05T09:20:56 --startdatetime 2017-07-05T10:27:01 --delay 1 --endMP 300:42301 --enddatetime 2017-07-05T10:48:51 --enforcementcount 0 &gt;&gt;C:\Users\stu\Documents\GitHub\eaglep3-reporting\EC\2017-07-05-refined-times.txt</v>
      </c>
      <c r="AI258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4.2301"},{"id":17,"name":"Train ID","value":"66-05"},{"id":16,"name":"Locomotive ID","value":"4046"},{"id":130,"name":"Impact","value":""},{"id":150,"name":"Time of Event (Mountain Time)","value":"10:48:51"},{"id":151,"name":"Denver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2" t="str">
        <f t="shared" si="95"/>
        <v>start /low /b %USERPROFILE%\Documents\GitHub\eaglep3\Utilities\DownloadLogsFromS3.py --loco 4046 --day 2017-07-05</v>
      </c>
      <c r="AN258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16:48:51"},{"id":29,"name":"Sharepoint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/>
    </row>
    <row r="259" spans="1:41" x14ac:dyDescent="0.25">
      <c r="A259" s="32" t="s">
        <v>585</v>
      </c>
      <c r="B259" s="7">
        <v>4046</v>
      </c>
      <c r="C259" s="21" t="s">
        <v>202</v>
      </c>
      <c r="D259" s="21" t="s">
        <v>926</v>
      </c>
      <c r="E259" s="13">
        <v>42921.426574074074</v>
      </c>
      <c r="F259" s="13">
        <v>42921.455150462964</v>
      </c>
      <c r="G259" s="7">
        <v>1</v>
      </c>
      <c r="H259" s="21" t="s">
        <v>959</v>
      </c>
      <c r="I259" s="13">
        <v>42921.462106481478</v>
      </c>
      <c r="J259" s="7">
        <v>0</v>
      </c>
      <c r="K259" s="89" t="str">
        <f t="shared" si="97"/>
        <v>4045/4046</v>
      </c>
      <c r="L259" s="21" t="str">
        <f>VLOOKUP(A259,'Trips&amp;Operators'!$C$1:$G$99999,5,FALSE)</f>
        <v>PELLITIER GEORGE</v>
      </c>
      <c r="M259" s="6">
        <f t="shared" si="98"/>
        <v>6.956018514756579E-3</v>
      </c>
      <c r="N259" s="7">
        <f t="shared" si="111"/>
        <v>10.016666661249474</v>
      </c>
      <c r="O259" s="7"/>
      <c r="P259" s="7"/>
      <c r="Q259" s="22"/>
      <c r="R259" s="170"/>
      <c r="S259" s="213">
        <f t="shared" si="110"/>
        <v>0</v>
      </c>
      <c r="T259" s="195" t="str">
        <f t="shared" si="99"/>
        <v>Southbound</v>
      </c>
      <c r="U259" s="19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6" t="str">
        <f t="shared" si="100"/>
        <v>https://d0f6bd738d7f1b3e5a7ca70fe4ff75f0.us-east-1.aws.found.io/app/kibana#/discover/Steve-Slow-Train-Analysis-(2080s-and-2083s)?_g=(refreshInterval:(display:Off,pause:!f,section:0,value:0),time:(from:'2017-07-05T09:14:16-0600',mode:absolute,to:'2017-07-05T12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9" s="197" t="str">
        <f>IF(AA259&lt;VLOOKUP(AG259,Variables!$AC$3:$AD$8,2,FALSE),"Y","N")</f>
        <v>Y</v>
      </c>
      <c r="X259" s="197">
        <f t="shared" si="114"/>
        <v>0</v>
      </c>
      <c r="Y259" s="197">
        <f t="shared" si="112"/>
        <v>4.4999999999999998E-2</v>
      </c>
      <c r="Z259" s="197">
        <f t="shared" si="113"/>
        <v>4.2339000000000002</v>
      </c>
      <c r="AA259" s="197">
        <f t="shared" si="101"/>
        <v>4.1889000000000003</v>
      </c>
      <c r="AB259" s="54" t="e">
        <f>VLOOKUP(A259,Enforcements!$C$7:$K$13,8,0)</f>
        <v>#N/A</v>
      </c>
      <c r="AC259" s="51" t="e">
        <f>VLOOKUP(A259,Enforcements!$C$7:$E$13,3,0)</f>
        <v>#N/A</v>
      </c>
      <c r="AD259" s="206">
        <f t="shared" si="102"/>
        <v>66</v>
      </c>
      <c r="AE259" s="77" t="str">
        <f t="shared" si="103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59" s="74" t="str">
        <f t="shared" si="104"/>
        <v>"C:\Program Files (x86)\AstroGrep\AstroGrep.exe" /e /r /s /spath="%USERPROFILE%\AppData\Local\Temp\OnboardLogs" /stypes="app*4046*20170705*" /stext=" 17:.+((SYSTEM_STATE.+slice.+state.+changed )|(ment ac)|(multiple cpu faults)|(system.+state.+changed )|(\[timeout)|(PRM\|1\|D)|(kpr)|(kdp)|(train st.+moving)|(\|lc)|(penalty))"</v>
      </c>
      <c r="AG259" s="209" t="str">
        <f t="shared" si="105"/>
        <v>Shuttle/Test</v>
      </c>
      <c r="AH259" s="78" t="str">
        <f t="shared" si="93"/>
        <v>"%USERPROFILE%\Documents\GitHub\eaglep3\Utilities\RefineRTDCRunTimes.py" --tripid 66-05 --locoid 4046 --swversion DE.1.0.9.0 --startMP 204:450 --initTime 2017-07-05T10:14:16 --startdatetime 2017-07-05T10:55:25 --delay 1 --endMP 300:42339 --enddatetime 2017-07-05T11:05:26 --enforcementcount 0 &gt;&gt;C:\Users\stu\Documents\GitHub\eaglep3-reporting\EC\2017-07-05-refined-times.txt</v>
      </c>
      <c r="AI259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4.2339"},{"id":17,"name":"Train ID","value":"66-05"},{"id":16,"name":"Locomotive ID","value":"4046"},{"id":130,"name":"Impact","value":""},{"id":150,"name":"Time of Event (Mountain Time)","value":"11:05:26"},{"id":151,"name":"Denver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2" t="str">
        <f t="shared" si="95"/>
        <v>start /low /b %USERPROFILE%\Documents\GitHub\eaglep3\Utilities\DownloadLogsFromS3.py --loco 4046 --day 2017-07-05</v>
      </c>
      <c r="AN259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/>
    </row>
    <row r="260" spans="1:41" x14ac:dyDescent="0.25">
      <c r="A260" s="32" t="s">
        <v>585</v>
      </c>
      <c r="B260" s="7">
        <v>4046</v>
      </c>
      <c r="C260" s="21" t="s">
        <v>202</v>
      </c>
      <c r="D260" s="21" t="s">
        <v>353</v>
      </c>
      <c r="E260" s="13">
        <v>42921.471863425926</v>
      </c>
      <c r="F260" s="13">
        <v>42921.504606481481</v>
      </c>
      <c r="G260" s="7">
        <v>1</v>
      </c>
      <c r="H260" s="21" t="s">
        <v>960</v>
      </c>
      <c r="I260" s="13">
        <v>42921.514004629629</v>
      </c>
      <c r="J260" s="7">
        <v>0</v>
      </c>
      <c r="K260" s="89" t="str">
        <f t="shared" si="97"/>
        <v>4045/4046</v>
      </c>
      <c r="L260" s="21" t="str">
        <f>VLOOKUP(A260,'Trips&amp;Operators'!$C$1:$G$99999,5,FALSE)</f>
        <v>PELLITIER GEORGE</v>
      </c>
      <c r="M260" s="6">
        <f t="shared" si="98"/>
        <v>9.3981481477385387E-3</v>
      </c>
      <c r="N260" s="7">
        <f t="shared" si="111"/>
        <v>13.533333332743496</v>
      </c>
      <c r="O260" s="7"/>
      <c r="P260" s="7"/>
      <c r="Q260" s="22"/>
      <c r="R260" s="170"/>
      <c r="S260" s="213">
        <f t="shared" si="110"/>
        <v>0</v>
      </c>
      <c r="T260" s="195" t="str">
        <f t="shared" si="99"/>
        <v>Southbound</v>
      </c>
      <c r="U260" s="19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6" t="str">
        <f t="shared" si="100"/>
        <v>https://d0f6bd738d7f1b3e5a7ca70fe4ff75f0.us-east-1.aws.found.io/app/kibana#/discover/Steve-Slow-Train-Analysis-(2080s-and-2083s)?_g=(refreshInterval:(display:Off,pause:!f,section:0,value:0),time:(from:'2017-07-05T10:19:29-0600',mode:absolute,to:'2017-07-05T13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0" s="197" t="str">
        <f>IF(AA260&lt;VLOOKUP(AG260,Variables!$AC$3:$AD$8,2,FALSE),"Y","N")</f>
        <v>Y</v>
      </c>
      <c r="X260" s="197">
        <f t="shared" si="114"/>
        <v>0</v>
      </c>
      <c r="Y260" s="197">
        <f t="shared" si="112"/>
        <v>4.53E-2</v>
      </c>
      <c r="Z260" s="197">
        <f t="shared" si="113"/>
        <v>5.8975</v>
      </c>
      <c r="AA260" s="197">
        <f t="shared" si="101"/>
        <v>5.8521999999999998</v>
      </c>
      <c r="AB260" s="54" t="e">
        <f>VLOOKUP(A260,Enforcements!$C$7:$K$13,8,0)</f>
        <v>#N/A</v>
      </c>
      <c r="AC260" s="51" t="e">
        <f>VLOOKUP(A260,Enforcements!$C$7:$E$13,3,0)</f>
        <v>#N/A</v>
      </c>
      <c r="AD260" s="206">
        <f t="shared" si="102"/>
        <v>66</v>
      </c>
      <c r="AE260" s="77" t="str">
        <f t="shared" si="103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60" s="74" t="str">
        <f t="shared" si="104"/>
        <v>"C:\Program Files (x86)\AstroGrep\AstroGrep.exe" /e /r /s /spath="%USERPROFILE%\AppData\Local\Temp\OnboardLogs" /stypes="app*4046*20170705*" /stext=" 18:.+((SYSTEM_STATE.+slice.+state.+changed )|(ment ac)|(multiple cpu faults)|(system.+state.+changed )|(\[timeout)|(PRM\|1\|D)|(kpr)|(kdp)|(train st.+moving)|(\|lc)|(penalty))"</v>
      </c>
      <c r="AG260" s="209" t="str">
        <f t="shared" si="105"/>
        <v>Shuttle/Test</v>
      </c>
      <c r="AH260" s="78" t="str">
        <f t="shared" si="93"/>
        <v>"%USERPROFILE%\Documents\GitHub\eaglep3\Utilities\RefineRTDCRunTimes.py" --tripid 66-05 --locoid 4046 --swversion DE.1.0.9.0 --startMP 204:453 --initTime 2017-07-05T11:19:29 --startdatetime 2017-07-05T12:06:38 --delay 1 --endMP 300:58975 --enddatetime 2017-07-05T12:20:10 --enforcementcount 0 &gt;&gt;C:\Users\stu\Documents\GitHub\eaglep3-reporting\EC\2017-07-05-refined-times.txt</v>
      </c>
      <c r="AI260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5.8975"},{"id":17,"name":"Train ID","value":"66-05"},{"id":16,"name":"Locomotive ID","value":"4046"},{"id":130,"name":"Impact","value":""},{"id":150,"name":"Time of Event (Mountain Time)","value":"12:20:10"},{"id":151,"name":"Denver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2" t="str">
        <f t="shared" si="95"/>
        <v>start /low /b %USERPROFILE%\Documents\GitHub\eaglep3\Utilities\DownloadLogsFromS3.py --loco 4046 --day 2017-07-05</v>
      </c>
      <c r="AN260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0"/>
    </row>
    <row r="261" spans="1:41" x14ac:dyDescent="0.25">
      <c r="A261" s="32" t="s">
        <v>817</v>
      </c>
      <c r="B261" s="7">
        <v>4041</v>
      </c>
      <c r="C261" s="21" t="s">
        <v>202</v>
      </c>
      <c r="D261" s="21" t="s">
        <v>961</v>
      </c>
      <c r="E261" s="13">
        <v>42921.970289351855</v>
      </c>
      <c r="F261" s="13">
        <v>42921.972233796296</v>
      </c>
      <c r="G261" s="7">
        <v>1</v>
      </c>
      <c r="H261" s="21" t="s">
        <v>395</v>
      </c>
      <c r="I261" s="13">
        <v>42921.973506944443</v>
      </c>
      <c r="J261" s="7">
        <v>0</v>
      </c>
      <c r="K261" s="89" t="str">
        <f t="shared" si="97"/>
        <v>4041/4042</v>
      </c>
      <c r="L261" s="21" t="str">
        <f>VLOOKUP(A261,'Trips&amp;Operators'!$C$1:$G$99999,5,FALSE)</f>
        <v>MAGEE KENYA</v>
      </c>
      <c r="M261" s="6">
        <f t="shared" si="98"/>
        <v>1.2731481474475004E-3</v>
      </c>
      <c r="N261" s="7">
        <f t="shared" si="111"/>
        <v>1.8333333323244005</v>
      </c>
      <c r="O261" s="7"/>
      <c r="P261" s="7"/>
      <c r="Q261" s="22"/>
      <c r="R261" s="170"/>
      <c r="S261" s="213">
        <f t="shared" si="110"/>
        <v>0</v>
      </c>
      <c r="T261" s="195" t="str">
        <f t="shared" si="99"/>
        <v>NorthBound</v>
      </c>
      <c r="U261" s="19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6" t="str">
        <f t="shared" si="100"/>
        <v>https://d0f6bd738d7f1b3e5a7ca70fe4ff75f0.us-east-1.aws.found.io/app/kibana#/discover/Steve-Slow-Train-Analysis-(2080s-and-2083s)?_g=(refreshInterval:(display:Off,pause:!f,section:0,value:0),time:(from:'2017-07-05T22:17:13-0600',mode:absolute,to:'2017-07-06T00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1" s="197" t="str">
        <f>IF(AA261&lt;VLOOKUP(AG261,Variables!$AC$3:$AD$8,2,FALSE),"Y","N")</f>
        <v>Y</v>
      </c>
      <c r="X261" s="197">
        <f t="shared" si="114"/>
        <v>1</v>
      </c>
      <c r="Y261" s="197">
        <f t="shared" si="112"/>
        <v>0.32979999999999998</v>
      </c>
      <c r="Z261" s="197">
        <f t="shared" si="113"/>
        <v>1.4500000000000001E-2</v>
      </c>
      <c r="AA261" s="197">
        <f t="shared" si="101"/>
        <v>0.31529999999999997</v>
      </c>
      <c r="AB261" s="54" t="e">
        <f>VLOOKUP(A261,Enforcements!$C$7:$K$13,8,0)</f>
        <v>#N/A</v>
      </c>
      <c r="AC261" s="51" t="e">
        <f>VLOOKUP(A261,Enforcements!$C$7:$E$13,3,0)</f>
        <v>#N/A</v>
      </c>
      <c r="AD261" s="206">
        <f t="shared" si="102"/>
        <v>67</v>
      </c>
      <c r="AE261" s="77" t="str">
        <f t="shared" si="103"/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AF261" s="74" t="str">
        <f t="shared" si="104"/>
        <v>"C:\Program Files (x86)\AstroGrep\AstroGrep.exe" /e /r /s /spath="%USERPROFILE%\AppData\Local\Temp\OnboardLogs" /stypes="app*4041*20170706*" /stext=" 05:.+((SYSTEM_STATE.+slice.+state.+changed )|(ment ac)|(multiple cpu faults)|(system.+state.+changed )|(\[timeout)|(PRM\|1\|D)|(kpr)|(kdp)|(train st.+moving)|(\|lc)|(penalty))"</v>
      </c>
      <c r="AG261" s="209" t="str">
        <f t="shared" si="105"/>
        <v>Shuttle/Test</v>
      </c>
      <c r="AH261" s="78" t="str">
        <f t="shared" si="93"/>
        <v>"%USERPROFILE%\Documents\GitHub\eaglep3\Utilities\RefineRTDCRunTimes.py" --tripid 67-05 --locoid 4041 --swversion DE.1.0.9.0 --startMP 204:3298 --initTime 2017-07-05T23:17:13 --startdatetime 2017-07-05T23:20:01 --delay 1 --endMP 204:145 --enddatetime 2017-07-05T23:21:51 --enforcementcount 0 &gt;&gt;C:\Users\stu\Documents\GitHub\eaglep3-reporting\EC\2017-07-05-refined-times.txt</v>
      </c>
      <c r="AI261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0.0145"},{"id":17,"name":"Train ID","value":"67-05"},{"id":16,"name":"Locomotive ID","value":"4041"},{"id":130,"name":"Impact","value":""},{"id":150,"name":"Time of Event (Mountain Time)","value":"23:21:51"},{"id":151,"name":"Denver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2" t="str">
        <f t="shared" si="95"/>
        <v>start /low /b %USERPROFILE%\Documents\GitHub\eaglep3\Utilities\DownloadLogsFromS3.py --loco 4041 --day 2017-07-05</v>
      </c>
      <c r="AN261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05:21:51"},{"id":29,"name":"Sharepoint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1"/>
    </row>
    <row r="262" spans="1:41" x14ac:dyDescent="0.25">
      <c r="A262" s="32" t="s">
        <v>767</v>
      </c>
      <c r="B262" s="7">
        <v>4006</v>
      </c>
      <c r="C262" s="21" t="s">
        <v>202</v>
      </c>
      <c r="D262" s="21" t="s">
        <v>1006</v>
      </c>
      <c r="E262" s="13">
        <v>42921.705069444448</v>
      </c>
      <c r="F262" s="13">
        <v>42921.706689814811</v>
      </c>
      <c r="G262" s="7">
        <v>1</v>
      </c>
      <c r="H262" s="21" t="s">
        <v>1007</v>
      </c>
      <c r="I262" s="13">
        <v>42921.713854166665</v>
      </c>
      <c r="J262" s="7">
        <v>0</v>
      </c>
      <c r="K262" s="89" t="str">
        <f t="shared" si="97"/>
        <v>4005/4006</v>
      </c>
      <c r="L262" s="21" t="str">
        <f>VLOOKUP(A262,'Trips&amp;Operators'!$C$1:$G$99999,5,FALSE)</f>
        <v>DE LA ROSA ALEX</v>
      </c>
      <c r="M262" s="6">
        <f t="shared" si="98"/>
        <v>7.1643518531345762E-3</v>
      </c>
      <c r="N262" s="7">
        <f t="shared" si="111"/>
        <v>10.31666666851379</v>
      </c>
      <c r="O262" s="7"/>
      <c r="P262" s="7"/>
      <c r="Q262" s="22"/>
      <c r="R262" s="170"/>
      <c r="S262" s="213">
        <f t="shared" ref="S262:S267" si="115">SUM(U262:U262)/IF(AG262="EC",12,1)</f>
        <v>1</v>
      </c>
      <c r="T262" s="195" t="str">
        <f t="shared" si="99"/>
        <v>NorthBound</v>
      </c>
      <c r="U262" s="19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1</v>
      </c>
      <c r="V262" s="196" t="str">
        <f t="shared" si="100"/>
        <v>https://d0f6bd738d7f1b3e5a7ca70fe4ff75f0.us-east-1.aws.found.io/app/kibana#/discover/Steve-Slow-Train-Analysis-(2080s-and-2083s)?_g=(refreshInterval:(display:Off,pause:!f,section:0,value:0),time:(from:'2017-07-05T15:55:18-0600',mode:absolute,to:'2017-07-05T18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62" s="197" t="str">
        <f>IF(AA262&lt;VLOOKUP(AG262,Variables!$AC$3:$AD$8,2,FALSE),"Y","N")</f>
        <v>Y</v>
      </c>
      <c r="X262" s="197">
        <f t="shared" si="114"/>
        <v>18</v>
      </c>
      <c r="Y262" s="197">
        <f t="shared" si="112"/>
        <v>0.1484</v>
      </c>
      <c r="Z262" s="197">
        <f t="shared" si="113"/>
        <v>2.331</v>
      </c>
      <c r="AA262" s="197">
        <f t="shared" si="101"/>
        <v>2.1825999999999999</v>
      </c>
      <c r="AB262" s="54" t="e">
        <f>VLOOKUP(A262,Enforcements!$C$7:$K$13,8,0)</f>
        <v>#N/A</v>
      </c>
      <c r="AC262" s="51" t="e">
        <f>VLOOKUP(A262,Enforcements!$C$7:$E$13,3,0)</f>
        <v>#N/A</v>
      </c>
      <c r="AD262" s="206">
        <f t="shared" si="102"/>
        <v>85</v>
      </c>
      <c r="AE262" s="77" t="str">
        <f t="shared" si="103"/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262" s="74" t="str">
        <f t="shared" si="104"/>
        <v>"C:\Program Files (x86)\AstroGrep\AstroGrep.exe" /e /r /s /spath="%USERPROFILE%\AppData\Local\Temp\OnboardLogs" /stypes="app*4006*20170705*" /stext=" 23:.+((SYSTEM_STATE.+slice.+state.+changed )|(ment ac)|(multiple cpu faults)|(system.+state.+changed )|(\[timeout)|(PRM\|1\|D)|(kpr)|(kdp)|(train st.+moving)|(\|lc)|(penalty))"</v>
      </c>
      <c r="AG262" s="209" t="str">
        <f t="shared" si="105"/>
        <v>Shuttle/Test</v>
      </c>
      <c r="AH262" s="78" t="str">
        <f t="shared" si="93"/>
        <v>"%USERPROFILE%\Documents\GitHub\eaglep3\Utilities\RefineRTDCRunTimes.py" --tripid 85-05 --locoid 4006 --swversion DE.1.0.9.0 --startMP 204:1484 --initTime 2017-07-05T16:55:18 --startdatetime 2017-07-05T16:57:38 --delay 1 --endMP 300:23310 --enddatetime 2017-07-05T17:07:57 --enforcementcount 0 &gt;&gt;C:\Users\stu\Documents\GitHub\eaglep3-reporting\EC\2017-07-05-refined-times.txt</v>
      </c>
      <c r="AI262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2.331"},{"id":17,"name":"Train ID","value":"85-05"},{"id":16,"name":"Locomotive ID","value":"4006"},{"id":130,"name":"Impact","value":""},{"id":150,"name":"Time of Event (Mountain Time)","value":"17:07:57"},{"id":151,"name":"Denver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2" t="str">
        <f t="shared" si="95"/>
        <v>start /low /b %USERPROFILE%\Documents\GitHub\eaglep3\Utilities\DownloadLogsFromS3.py --loco 4006 --day 2017-07-05</v>
      </c>
      <c r="AN262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2"/>
    </row>
    <row r="263" spans="1:41" x14ac:dyDescent="0.25">
      <c r="A263" s="32" t="s">
        <v>775</v>
      </c>
      <c r="B263" s="7">
        <v>4028</v>
      </c>
      <c r="C263" s="21" t="s">
        <v>202</v>
      </c>
      <c r="D263" s="21" t="s">
        <v>1008</v>
      </c>
      <c r="E263" s="13">
        <v>42921.72483796296</v>
      </c>
      <c r="F263" s="13">
        <v>42921.732546296298</v>
      </c>
      <c r="G263" s="7">
        <v>2</v>
      </c>
      <c r="H263" s="21" t="s">
        <v>352</v>
      </c>
      <c r="I263" s="13">
        <v>42921.740231481483</v>
      </c>
      <c r="J263" s="7">
        <v>0</v>
      </c>
      <c r="K263" s="89" t="str">
        <f t="shared" si="97"/>
        <v>4027/4028</v>
      </c>
      <c r="L263" s="21" t="str">
        <f>VLOOKUP(A263,'Trips&amp;Operators'!$C$1:$G$99999,5,FALSE)</f>
        <v>ROBINSON KADDIBA</v>
      </c>
      <c r="M263" s="6">
        <f t="shared" si="98"/>
        <v>7.6851851845276542E-3</v>
      </c>
      <c r="N263" s="7">
        <f t="shared" si="111"/>
        <v>11.066666665719822</v>
      </c>
      <c r="O263" s="7"/>
      <c r="P263" s="7"/>
      <c r="Q263" s="22"/>
      <c r="R263" s="170"/>
      <c r="S263" s="213">
        <f t="shared" si="115"/>
        <v>0</v>
      </c>
      <c r="T263" s="195" t="str">
        <f t="shared" si="99"/>
        <v>Southbound</v>
      </c>
      <c r="U263" s="19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6" t="str">
        <f t="shared" si="100"/>
        <v>https://d0f6bd738d7f1b3e5a7ca70fe4ff75f0.us-east-1.aws.found.io/app/kibana#/discover/Steve-Slow-Train-Analysis-(2080s-and-2083s)?_g=(refreshInterval:(display:Off,pause:!f,section:0,value:0),time:(from:'2017-07-05T16:23:46-0600',mode:absolute,to:'2017-07-05T18:45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63" s="197" t="str">
        <f>IF(AA263&lt;VLOOKUP(AG263,Variables!$AC$3:$AD$8,2,FALSE),"Y","N")</f>
        <v>Y</v>
      </c>
      <c r="X263" s="197">
        <f t="shared" si="114"/>
        <v>1</v>
      </c>
      <c r="Y263" s="197">
        <f t="shared" si="112"/>
        <v>0.1162</v>
      </c>
      <c r="Z263" s="197">
        <f t="shared" si="113"/>
        <v>2.3346</v>
      </c>
      <c r="AA263" s="197">
        <f t="shared" si="101"/>
        <v>2.2183999999999999</v>
      </c>
      <c r="AB263" s="54" t="e">
        <f>VLOOKUP(A263,Enforcements!$C$7:$K$13,8,0)</f>
        <v>#N/A</v>
      </c>
      <c r="AC263" s="51" t="e">
        <f>VLOOKUP(A263,Enforcements!$C$7:$E$13,3,0)</f>
        <v>#N/A</v>
      </c>
      <c r="AD263" s="206">
        <f t="shared" si="102"/>
        <v>86</v>
      </c>
      <c r="AE263" s="77" t="str">
        <f t="shared" si="103"/>
        <v>aws s3 cp s3://rtdc.mdm.uploadarchive.raw/RTDC4028/ "%USERPROFILE%\AppData\Local\Temp\OnboardLogs"\RTDC4028\2017-07-05 --exclude "*" --recursive --include "*20170705*" &amp; "%USERPROFILE%\Documents\GitHub\mrs-test-scripts\Headless Mode &amp; Sideloading\WalkAndUnGZ.bat" "%USERPROFILE%\AppData\Local\Temp\OnboardLogs"\RTDC4028\2017-07-05 &amp; aws s3 cp s3://rtdc.mdm.uploadarchive.raw/RTDC4028/ "%USERPROFILE%\AppData\Local\Temp\OnboardLogs"\RTDC4028\2017-07-06 --exclude "*" --recursive --include "*20170706*" &amp; "%USERPROFILE%\Documents\GitHub\mrs-test-scripts\Headless Mode &amp; Sideloading\WalkAndUnGZ.bat" "%USERPROFILE%\AppData\Local\Temp\OnboardLogs"\RTDC4028\2017-07-06</v>
      </c>
      <c r="AF263" s="74" t="str">
        <f t="shared" si="104"/>
        <v>"C:\Program Files (x86)\AstroGrep\AstroGrep.exe" /e /r /s /spath="%USERPROFILE%\AppData\Local\Temp\OnboardLogs" /stypes="app*4028*20170705*" /stext=" 23:.+((SYSTEM_STATE.+slice.+state.+changed )|(ment ac)|(multiple cpu faults)|(system.+state.+changed )|(\[timeout)|(PRM\|1\|D)|(kpr)|(kdp)|(train st.+moving)|(\|lc)|(penalty))"</v>
      </c>
      <c r="AG263" s="209" t="str">
        <f t="shared" si="105"/>
        <v>Shuttle/Test</v>
      </c>
      <c r="AH263" s="78" t="str">
        <f t="shared" si="93"/>
        <v>"%USERPROFILE%\Documents\GitHub\eaglep3\Utilities\RefineRTDCRunTimes.py" --tripid 86-05 --locoid 4028 --swversion DE.1.0.9.0 --startMP 204:1162 --initTime 2017-07-05T17:23:46 --startdatetime 2017-07-05T17:34:52 --delay 2 --endMP 300:23346 --enddatetime 2017-07-05T17:45:56 --enforcementcount 0 &gt;&gt;C:\Users\stu\Documents\GitHub\eaglep3-reporting\EC\2017-07-05-refined-times.txt</v>
      </c>
      <c r="AI263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2.3346"},{"id":17,"name":"Train ID","value":"86-05"},{"id":16,"name":"Locomotive ID","value":"4028"},{"id":130,"name":"Impact","value":""},{"id":150,"name":"Time of Event (Mountain Time)","value":"17:45:56"},{"id":151,"name":"Denver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2" t="str">
        <f t="shared" si="95"/>
        <v>start /low /b %USERPROFILE%\Documents\GitHub\eaglep3\Utilities\DownloadLogsFromS3.py --loco 4028 --day 2017-07-05</v>
      </c>
      <c r="AN263" s="151" t="str">
        <f t="shared" si="96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23:45:56"},{"id":29,"name":"Sharepoint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3"/>
    </row>
    <row r="264" spans="1:41" x14ac:dyDescent="0.25">
      <c r="A264" s="32" t="s">
        <v>805</v>
      </c>
      <c r="B264" s="7">
        <v>4045</v>
      </c>
      <c r="C264" s="21" t="s">
        <v>202</v>
      </c>
      <c r="D264" s="21" t="s">
        <v>1009</v>
      </c>
      <c r="E264" s="13">
        <v>42921.901516203703</v>
      </c>
      <c r="F264" s="13">
        <v>42921.903113425928</v>
      </c>
      <c r="G264" s="7">
        <v>1</v>
      </c>
      <c r="H264" s="21" t="s">
        <v>851</v>
      </c>
      <c r="I264" s="13">
        <v>42921.90425925926</v>
      </c>
      <c r="J264" s="7">
        <v>0</v>
      </c>
      <c r="K264" s="89" t="str">
        <f t="shared" si="97"/>
        <v>4045/4046</v>
      </c>
      <c r="L264" s="21" t="str">
        <f>VLOOKUP(A264,'Trips&amp;Operators'!$C$1:$G$99999,5,FALSE)</f>
        <v>MAGEE KENYA</v>
      </c>
      <c r="M264" s="6">
        <f t="shared" si="98"/>
        <v>1.1458333319751546E-3</v>
      </c>
      <c r="N264" s="7">
        <f t="shared" si="111"/>
        <v>1.6499999980442226</v>
      </c>
      <c r="O264" s="7"/>
      <c r="P264" s="7"/>
      <c r="Q264" s="22"/>
      <c r="R264" s="170"/>
      <c r="S264" s="213">
        <f t="shared" si="115"/>
        <v>0</v>
      </c>
      <c r="T264" s="195" t="str">
        <f t="shared" si="99"/>
        <v>NorthBound</v>
      </c>
      <c r="U264" s="19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6" t="str">
        <f t="shared" si="100"/>
        <v>https://d0f6bd738d7f1b3e5a7ca70fe4ff75f0.us-east-1.aws.found.io/app/kibana#/discover/Steve-Slow-Train-Analysis-(2080s-and-2083s)?_g=(refreshInterval:(display:Off,pause:!f,section:0,value:0),time:(from:'2017-07-05T20:38:11-0600',mode:absolute,to:'2017-07-05T22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4" s="197" t="str">
        <f>IF(AA264&lt;VLOOKUP(AG264,Variables!$AC$3:$AD$8,2,FALSE),"Y","N")</f>
        <v>Y</v>
      </c>
      <c r="X264" s="197">
        <f t="shared" si="114"/>
        <v>1</v>
      </c>
      <c r="Y264" s="197">
        <f t="shared" si="112"/>
        <v>0.31730000000000003</v>
      </c>
      <c r="Z264" s="197">
        <f t="shared" si="113"/>
        <v>1.61E-2</v>
      </c>
      <c r="AA264" s="197">
        <f t="shared" si="101"/>
        <v>0.30120000000000002</v>
      </c>
      <c r="AB264" s="54" t="e">
        <f>VLOOKUP(A264,Enforcements!$C$7:$K$13,8,0)</f>
        <v>#N/A</v>
      </c>
      <c r="AC264" s="51" t="e">
        <f>VLOOKUP(A264,Enforcements!$C$7:$E$13,3,0)</f>
        <v>#N/A</v>
      </c>
      <c r="AD264" s="206">
        <f t="shared" si="102"/>
        <v>87</v>
      </c>
      <c r="AE264" s="77" t="str">
        <f t="shared" si="103"/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AF264" s="74" t="str">
        <f t="shared" si="104"/>
        <v>"C:\Program Files (x86)\AstroGrep\AstroGrep.exe" /e /r /s /spath="%USERPROFILE%\AppData\Local\Temp\OnboardLogs" /stypes="app*4045*20170706*" /stext=" 03:.+((SYSTEM_STATE.+slice.+state.+changed )|(ment ac)|(multiple cpu faults)|(system.+state.+changed )|(\[timeout)|(PRM\|1\|D)|(kpr)|(kdp)|(train st.+moving)|(\|lc)|(penalty))"</v>
      </c>
      <c r="AG264" s="209" t="str">
        <f t="shared" si="105"/>
        <v>Shuttle/Test</v>
      </c>
      <c r="AH264" s="78" t="str">
        <f t="shared" si="93"/>
        <v>"%USERPROFILE%\Documents\GitHub\eaglep3\Utilities\RefineRTDCRunTimes.py" --tripid 87-05 --locoid 4045 --swversion DE.1.0.9.0 --startMP 204:3173 --initTime 2017-07-05T21:38:11 --startdatetime 2017-07-05T21:40:29 --delay 1 --endMP 204:161 --enddatetime 2017-07-05T21:42:08 --enforcementcount 0 &gt;&gt;C:\Users\stu\Documents\GitHub\eaglep3-reporting\EC\2017-07-05-refined-times.txt</v>
      </c>
      <c r="AI264" s="96" t="str">
        <f t="shared" si="94"/>
        <v>echo {"issue":{"subject":"","project_id":79,"tracker_id":40,"status_id":1,"priority_id":2,"assigned_to_id":23,"start_date":"2017-07-05","description":"","custom_fields":[{"id":1,"name":"Subdivision","value":"Shuttle/Test"},{"id":4,"name":"Milepost","value":"0.0161"},{"id":17,"name":"Train ID","value":"87-05"},{"id":16,"name":"Locomotive ID","value":"4045"},{"id":130,"name":"Impact","value":""},{"id":150,"name":"Time of Event (Mountain Time)","value":"21:42:08"},{"id":151,"name":"Denver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2" t="str">
        <f t="shared" si="95"/>
        <v>start /low /b %USERPROFILE%\Documents\GitHub\eaglep3\Utilities\DownloadLogsFromS3.py --loco 4045 --day 2017-07-05</v>
      </c>
      <c r="AN264" s="151" t="str">
        <f t="shared" si="96"/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4"/>
    </row>
    <row r="265" spans="1:41" x14ac:dyDescent="0.25">
      <c r="A265" s="32" t="s">
        <v>805</v>
      </c>
      <c r="B265" s="7">
        <v>4046</v>
      </c>
      <c r="C265" s="21" t="s">
        <v>202</v>
      </c>
      <c r="D265" s="21" t="s">
        <v>1008</v>
      </c>
      <c r="E265" s="13">
        <v>42921.89130787037</v>
      </c>
      <c r="F265" s="13">
        <v>42921.903113425928</v>
      </c>
      <c r="G265" s="7">
        <v>1</v>
      </c>
      <c r="H265" s="21" t="s">
        <v>1010</v>
      </c>
      <c r="I265" s="13">
        <v>42921.90425925926</v>
      </c>
      <c r="J265" s="7">
        <v>0</v>
      </c>
      <c r="K265" s="89" t="str">
        <f t="shared" si="97"/>
        <v>4045/4046</v>
      </c>
      <c r="L265" s="21" t="str">
        <f>VLOOKUP(A265,'Trips&amp;Operators'!$C$1:$G$99999,5,FALSE)</f>
        <v>MAGEE KENYA</v>
      </c>
      <c r="M265" s="6">
        <f t="shared" si="98"/>
        <v>1.1458333319751546E-3</v>
      </c>
      <c r="N265" s="7">
        <f t="shared" si="111"/>
        <v>1.6499999980442226</v>
      </c>
      <c r="O265" s="7"/>
      <c r="P265" s="7"/>
      <c r="Q265" s="22"/>
      <c r="R265" s="170"/>
      <c r="S265" s="213">
        <f t="shared" si="115"/>
        <v>0</v>
      </c>
      <c r="T265" s="195" t="str">
        <f t="shared" si="99"/>
        <v>NorthBound</v>
      </c>
      <c r="U265" s="19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6" t="str">
        <f t="shared" si="100"/>
        <v>https://d0f6bd738d7f1b3e5a7ca70fe4ff75f0.us-east-1.aws.found.io/app/kibana#/discover/Steve-Slow-Train-Analysis-(2080s-and-2083s)?_g=(refreshInterval:(display:Off,pause:!f,section:0,value:0),time:(from:'2017-07-05T20:23:29-0600',mode:absolute,to:'2017-07-05T22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5" s="197" t="str">
        <f>IF(AA265&lt;VLOOKUP(AG265,Variables!$AC$3:$AD$8,2,FALSE),"Y","N")</f>
        <v>Y</v>
      </c>
      <c r="X265" s="197">
        <f t="shared" si="114"/>
        <v>0</v>
      </c>
      <c r="Y265" s="197">
        <f t="shared" si="112"/>
        <v>0.1162</v>
      </c>
      <c r="Z265" s="197">
        <f t="shared" si="113"/>
        <v>0.35149999999999998</v>
      </c>
      <c r="AA265" s="197">
        <f t="shared" si="101"/>
        <v>0.23529999999999998</v>
      </c>
      <c r="AB265" s="54" t="e">
        <f>VLOOKUP(A265,Enforcements!$C$7:$K$13,8,0)</f>
        <v>#N/A</v>
      </c>
      <c r="AC265" s="51" t="e">
        <f>VLOOKUP(A265,Enforcements!$C$7:$E$13,3,0)</f>
        <v>#N/A</v>
      </c>
      <c r="AD265" s="206">
        <f t="shared" si="102"/>
        <v>87</v>
      </c>
      <c r="AE265" s="77" t="str">
        <f t="shared" si="103"/>
        <v>aws s3 cp s3://rtdc.mdm.uploadarchive.raw/RTDC4046/ "%USERPROFILE%\AppData\Local\Temp\OnboardLogs"\RTDC4046\2017-07-05 --exclude "*" --recursive --include "*20170705*" &amp; "%USERPROFILE%\Documents\GitHub\mrs-test-scripts\Headless Mode &amp; Sideloading\WalkAndUnGZ.bat" "%USERPROFILE%\AppData\Local\Temp\OnboardLogs"\RTDC4046\2017-07-05 &amp; aws s3 cp s3://rtdc.mdm.uploadarchive.raw/RTDC4046/ "%USERPROFILE%\AppData\Local\Temp\OnboardLogs"\RTDC4046\2017-07-06 --exclude "*" --recursive --include "*20170706*" &amp; "%USERPROFILE%\Documents\GitHub\mrs-test-scripts\Headless Mode &amp; Sideloading\WalkAndUnGZ.bat" "%USERPROFILE%\AppData\Local\Temp\OnboardLogs"\RTDC4046\2017-07-06</v>
      </c>
      <c r="AF265" s="74" t="str">
        <f t="shared" si="104"/>
        <v>"C:\Program Files (x86)\AstroGrep\AstroGrep.exe" /e /r /s /spath="%USERPROFILE%\AppData\Local\Temp\OnboardLogs" /stypes="app*4046*20170706*" /stext=" 03:.+((SYSTEM_STATE.+slice.+state.+changed )|(ment ac)|(multiple cpu faults)|(system.+state.+changed )|(\[timeout)|(PRM\|1\|D)|(kpr)|(kdp)|(train st.+moving)|(\|lc)|(penalty))"</v>
      </c>
      <c r="AG265" s="209" t="str">
        <f t="shared" si="105"/>
        <v>Shuttle/Test</v>
      </c>
      <c r="AH265" s="78" t="str">
        <f t="shared" ref="AH265:AH267" si="116">refinertdcruntimes&amp;" --tripid "&amp;A265&amp;" --locoid "&amp;B265&amp;" --swversion "&amp;C265&amp;" --startMP "&amp;D265&amp;" --initTime "&amp;TEXT(E265,"yyyy-mm-ddTHH:MM:SS")&amp;" --startdatetime "&amp;TEXT(F265,"yyyy-mm-ddTHH:MM:SS")&amp;" --delay "&amp;G265&amp;" --endMP "&amp;H265&amp;" --enddatetime "&amp;TEXT(I265,"yyyy-mm-ddTHH:MM:SS")&amp;" --enforcementcount "&amp;J265&amp;IF(outputrefinedruntimes," &gt;&gt;"&amp;RefinedRTDCRunTimesOutputFile,"")</f>
        <v>"%USERPROFILE%\Documents\GitHub\eaglep3\Utilities\RefineRTDCRunTimes.py" --tripid 87-05 --locoid 4046 --swversion DE.1.0.9.0 --startMP 204:1162 --initTime 2017-07-05T21:23:29 --startdatetime 2017-07-05T21:40:29 --delay 1 --endMP 204:3515 --enddatetime 2017-07-05T21:42:08 --enforcementcount 0 &gt;&gt;C:\Users\stu\Documents\GitHub\eaglep3-reporting\EC\2017-07-05-refined-times.txt</v>
      </c>
      <c r="AI265" s="96" t="str">
        <f t="shared" ref="AI265:AI267" si="117">"echo {""issue"":{""subject"":"""&amp;R265&amp;""",""project_id"":79,""tracker_id"":40,""status_id"":"&amp;redmine_status&amp;",""priority_id"":"&amp;redmine_priority&amp;",""assigned_to_id"":"&amp;redmine_assignee&amp;",""start_date"":"""&amp;TEXT(I265,"YYYY-mm-dd")&amp;""",""description"":"""&amp;AJ265&amp;""",""custom_fields"":[{""id"":1,""name"":""Subdivision"",""value"":"""&amp;AG265&amp;"""},{""id"":4,""name"":""Milepost"",""value"":"""&amp;Z265&amp;"""},{""id"":17,""name"":""Train ID"",""value"":"""&amp;A265&amp;"""},{""id"":16,""name"":""Locomotive ID"",""value"":"""&amp;B265&amp;"""},{""id"":130,""name"":""Impact"",""value"":"""&amp;AK265&amp;"""},{""id"":150,""name"":""Time of Event (Mountain Time)"",""value"":"""&amp;TEXT(I265,"hh:mm:ss")&amp;"""},{""id"":151,""name"":""Denver Issue ID"",""value"":"""&amp;"""},{""id"":178,""name"":""Operational Impact"",""value"":"""&amp;redmine_op_impact&amp;"""},{""id"":179,""name"":""Denver Segment Assigned"",""value"":"""&amp;AL265&amp;"""}]}}"&amp;"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Shuttle/Test"},{"id":4,"name":"Milepost","value":"0.3515"},{"id":17,"name":"Train ID","value":"87-05"},{"id":16,"name":"Locomotive ID","value":"4046"},{"id":130,"name":"Impact","value":""},{"id":150,"name":"Time of Event (Mountain Time)","value":"21:42:08"},{"id":151,"name":"Denver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2" t="str">
        <f t="shared" ref="AM265:AM267" si="118">"start /low /b "&amp;dls3logs&amp;" --loco "&amp;B265&amp;" --day "&amp;TEXT(F265,"YYYY-MM-DD")</f>
        <v>start /low /b %USERPROFILE%\Documents\GitHub\eaglep3\Utilities\DownloadLogsFromS3.py --loco 4046 --day 2017-07-05</v>
      </c>
      <c r="AN265" s="151" t="str">
        <f t="shared" ref="AN265:AN267" si="119">"echo {""issue"":{""subject"":"""&amp;R265&amp;""",""project_id"":30,""tracker_id"":4,""status_id"":"&amp;redmine_status_wcr&amp;",""priority_id"":"&amp;redmine_priority_wcr&amp;",""assigned_to_id"":"&amp;redmine_assignee_wcr&amp;",""start_date"":"""&amp;TEXT(I265-utc_offset/24,"YYYY-mm-dd")&amp;""",""description"":"""&amp;AJ265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UTC","value":"2017-07-06 03:42:08"},{"id":29,"name":"Sharepoint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5"/>
    </row>
    <row r="266" spans="1:41" x14ac:dyDescent="0.25">
      <c r="A266" s="32" t="s">
        <v>727</v>
      </c>
      <c r="B266" s="7">
        <v>4005</v>
      </c>
      <c r="C266" s="21" t="s">
        <v>202</v>
      </c>
      <c r="D266" s="21" t="s">
        <v>1011</v>
      </c>
      <c r="E266" s="13">
        <v>42921.519016203703</v>
      </c>
      <c r="F266" s="13">
        <v>42921.522905092592</v>
      </c>
      <c r="G266" s="7">
        <v>1</v>
      </c>
      <c r="H266" s="21" t="s">
        <v>1012</v>
      </c>
      <c r="I266" s="13">
        <v>42921.523761574077</v>
      </c>
      <c r="J266" s="7">
        <v>0</v>
      </c>
      <c r="K266" s="89" t="str">
        <f t="shared" si="97"/>
        <v>4005/4006</v>
      </c>
      <c r="L266" s="21" t="str">
        <f>VLOOKUP(A266,'Trips&amp;Operators'!$C$1:$G$99999,5,FALSE)</f>
        <v>BROWN JACOB</v>
      </c>
      <c r="M266" s="6">
        <f t="shared" si="98"/>
        <v>8.5648148524342105E-4</v>
      </c>
      <c r="N266" s="7">
        <f t="shared" si="111"/>
        <v>1.2333333387505263</v>
      </c>
      <c r="O266" s="7"/>
      <c r="P266" s="7"/>
      <c r="Q266" s="22"/>
      <c r="R266" s="170"/>
      <c r="S266" s="213">
        <f t="shared" si="115"/>
        <v>0</v>
      </c>
      <c r="T266" s="195" t="str">
        <f t="shared" si="99"/>
        <v>NorthBound</v>
      </c>
      <c r="U266" s="195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6" t="str">
        <f t="shared" si="100"/>
        <v>https://d0f6bd738d7f1b3e5a7ca70fe4ff75f0.us-east-1.aws.found.io/app/kibana#/discover/Steve-Slow-Train-Analysis-(2080s-and-2083s)?_g=(refreshInterval:(display:Off,pause:!f,section:0,value:0),time:(from:'2017-07-05T11:27:23-0600',mode:absolute,to:'2017-07-05T13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6" s="197" t="str">
        <f>IF(AA266&lt;VLOOKUP(AG266,Variables!$AC$3:$AD$8,2,FALSE),"Y","N")</f>
        <v>Y</v>
      </c>
      <c r="X266" s="197">
        <f t="shared" si="114"/>
        <v>2</v>
      </c>
      <c r="Y266" s="197">
        <f t="shared" si="112"/>
        <v>0.29770000000000002</v>
      </c>
      <c r="Z266" s="197">
        <f t="shared" si="113"/>
        <v>0.1164</v>
      </c>
      <c r="AA266" s="197">
        <f t="shared" si="101"/>
        <v>0.18130000000000002</v>
      </c>
      <c r="AB266" s="54" t="e">
        <f>VLOOKUP(A266,Enforcements!$C$7:$K$13,8,0)</f>
        <v>#N/A</v>
      </c>
      <c r="AC266" s="51" t="e">
        <f>VLOOKUP(A266,Enforcements!$C$7:$E$13,3,0)</f>
        <v>#N/A</v>
      </c>
      <c r="AD266" s="206">
        <f t="shared" si="102"/>
        <v>89</v>
      </c>
      <c r="AE266" s="77" t="str">
        <f t="shared" si="103"/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AF266" s="74" t="str">
        <f t="shared" si="104"/>
        <v>"C:\Program Files (x86)\AstroGrep\AstroGrep.exe" /e /r /s /spath="%USERPROFILE%\AppData\Local\Temp\OnboardLogs" /stypes="app*4005*20170705*" /stext=" 18:.+((SYSTEM_STATE.+slice.+state.+changed )|(ment ac)|(multiple cpu faults)|(system.+state.+changed )|(\[timeout)|(PRM\|1\|D)|(kpr)|(kdp)|(train st.+moving)|(\|lc)|(penalty))"</v>
      </c>
      <c r="AG266" s="209" t="str">
        <f t="shared" si="105"/>
        <v>Shuttle/Test</v>
      </c>
      <c r="AH266" s="78" t="str">
        <f t="shared" si="116"/>
        <v>"%USERPROFILE%\Documents\GitHub\eaglep3\Utilities\RefineRTDCRunTimes.py" --tripid 89-05 --locoid 4005 --swversion DE.1.0.9.0 --startMP 204:2977 --initTime 2017-07-05T12:27:23 --startdatetime 2017-07-05T12:32:59 --delay 1 --endMP 204:1164 --enddatetime 2017-07-05T12:34:13 --enforcementcount 0 &gt;&gt;C:\Users\stu\Documents\GitHub\eaglep3-reporting\EC\2017-07-05-refined-times.txt</v>
      </c>
      <c r="AI266" s="96" t="str">
        <f t="shared" si="117"/>
        <v>echo {"issue":{"subject":"","project_id":79,"tracker_id":40,"status_id":1,"priority_id":2,"assigned_to_id":23,"start_date":"2017-07-05","description":"","custom_fields":[{"id":1,"name":"Subdivision","value":"Shuttle/Test"},{"id":4,"name":"Milepost","value":"0.1164"},{"id":17,"name":"Train ID","value":"89-05"},{"id":16,"name":"Locomotive ID","value":"4005"},{"id":130,"name":"Impact","value":""},{"id":150,"name":"Time of Event (Mountain Time)","value":"12:34:13"},{"id":151,"name":"Denver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2" t="str">
        <f t="shared" si="118"/>
        <v>start /low /b %USERPROFILE%\Documents\GitHub\eaglep3\Utilities\DownloadLogsFromS3.py --loco 4005 --day 2017-07-05</v>
      </c>
      <c r="AN266" s="151" t="str">
        <f t="shared" si="11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6"/>
    </row>
    <row r="267" spans="1:41" x14ac:dyDescent="0.25">
      <c r="A267" s="32" t="s">
        <v>727</v>
      </c>
      <c r="B267" s="7">
        <v>4006</v>
      </c>
      <c r="C267" s="21" t="s">
        <v>202</v>
      </c>
      <c r="D267" s="21" t="s">
        <v>1013</v>
      </c>
      <c r="E267" s="13">
        <v>42921.515243055554</v>
      </c>
      <c r="F267" s="13">
        <v>42921.522905092592</v>
      </c>
      <c r="G267" s="7">
        <v>2</v>
      </c>
      <c r="H267" s="21" t="s">
        <v>1014</v>
      </c>
      <c r="I267" s="13">
        <v>42921.523761574077</v>
      </c>
      <c r="J267" s="7">
        <v>0</v>
      </c>
      <c r="K267" s="89" t="str">
        <f t="shared" si="97"/>
        <v>4005/4006</v>
      </c>
      <c r="L267" s="21" t="str">
        <f>VLOOKUP(A267,'Trips&amp;Operators'!$C$1:$G$99999,5,FALSE)</f>
        <v>BROWN JACOB</v>
      </c>
      <c r="M267" s="6">
        <f t="shared" si="98"/>
        <v>8.5648148524342105E-4</v>
      </c>
      <c r="N267" s="7">
        <f t="shared" si="111"/>
        <v>1.2333333387505263</v>
      </c>
      <c r="O267" s="7"/>
      <c r="P267" s="7"/>
      <c r="Q267" s="22"/>
      <c r="R267" s="170"/>
      <c r="S267" s="213">
        <f t="shared" si="115"/>
        <v>0</v>
      </c>
      <c r="T267" s="195" t="str">
        <f t="shared" si="99"/>
        <v>NorthBound</v>
      </c>
      <c r="U267" s="195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6" t="str">
        <f t="shared" si="100"/>
        <v>https://d0f6bd738d7f1b3e5a7ca70fe4ff75f0.us-east-1.aws.found.io/app/kibana#/discover/Steve-Slow-Train-Analysis-(2080s-and-2083s)?_g=(refreshInterval:(display:Off,pause:!f,section:0,value:0),time:(from:'2017-07-05T11:21:57-0600',mode:absolute,to:'2017-07-05T13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67" s="197" t="str">
        <f>IF(AA267&lt;VLOOKUP(AG267,Variables!$AC$3:$AD$8,2,FALSE),"Y","N")</f>
        <v>Y</v>
      </c>
      <c r="X267" s="197">
        <f t="shared" si="114"/>
        <v>0</v>
      </c>
      <c r="Y267" s="197">
        <f t="shared" si="112"/>
        <v>3.2199999999999999E-2</v>
      </c>
      <c r="Z267" s="197">
        <f t="shared" si="113"/>
        <v>0.3306</v>
      </c>
      <c r="AA267" s="197">
        <f t="shared" si="101"/>
        <v>0.2984</v>
      </c>
      <c r="AB267" s="54" t="e">
        <f>VLOOKUP(A267,Enforcements!$C$7:$K$13,8,0)</f>
        <v>#N/A</v>
      </c>
      <c r="AC267" s="51" t="e">
        <f>VLOOKUP(A267,Enforcements!$C$7:$E$13,3,0)</f>
        <v>#N/A</v>
      </c>
      <c r="AD267" s="206">
        <f t="shared" si="102"/>
        <v>89</v>
      </c>
      <c r="AE267" s="77" t="str">
        <f t="shared" si="103"/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AF267" s="74" t="str">
        <f t="shared" si="104"/>
        <v>"C:\Program Files (x86)\AstroGrep\AstroGrep.exe" /e /r /s /spath="%USERPROFILE%\AppData\Local\Temp\OnboardLogs" /stypes="app*4006*20170705*" /stext=" 18:.+((SYSTEM_STATE.+slice.+state.+changed )|(ment ac)|(multiple cpu faults)|(system.+state.+changed )|(\[timeout)|(PRM\|1\|D)|(kpr)|(kdp)|(train st.+moving)|(\|lc)|(penalty))"</v>
      </c>
      <c r="AG267" s="209" t="str">
        <f t="shared" si="105"/>
        <v>Shuttle/Test</v>
      </c>
      <c r="AH267" s="78" t="str">
        <f t="shared" si="116"/>
        <v>"%USERPROFILE%\Documents\GitHub\eaglep3\Utilities\RefineRTDCRunTimes.py" --tripid 89-05 --locoid 4006 --swversion DE.1.0.9.0 --startMP 204:322 --initTime 2017-07-05T12:21:57 --startdatetime 2017-07-05T12:32:59 --delay 2 --endMP 204:3306 --enddatetime 2017-07-05T12:34:13 --enforcementcount 0 &gt;&gt;C:\Users\stu\Documents\GitHub\eaglep3-reporting\EC\2017-07-05-refined-times.txt</v>
      </c>
      <c r="AI267" s="96" t="str">
        <f t="shared" si="117"/>
        <v>echo {"issue":{"subject":"","project_id":79,"tracker_id":40,"status_id":1,"priority_id":2,"assigned_to_id":23,"start_date":"2017-07-05","description":"","custom_fields":[{"id":1,"name":"Subdivision","value":"Shuttle/Test"},{"id":4,"name":"Milepost","value":"0.3306"},{"id":17,"name":"Train ID","value":"89-05"},{"id":16,"name":"Locomotive ID","value":"4006"},{"id":130,"name":"Impact","value":""},{"id":150,"name":"Time of Event (Mountain Time)","value":"12:34:13"},{"id":151,"name":"Denver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2" t="str">
        <f t="shared" si="118"/>
        <v>start /low /b %USERPROFILE%\Documents\GitHub\eaglep3\Utilities\DownloadLogsFromS3.py --loco 4006 --day 2017-07-05</v>
      </c>
      <c r="AN267" s="151" t="str">
        <f t="shared" si="119"/>
        <v>echo {"issue":{"subject":"","project_id":30,"tracker_id":4,"status_id":1,"priority_id":1,"assigned_to_id":10,"start_date":"2017-07-05","description":"","custom_fields":[{"id":30,"name":"Category","value":"Issue"},{"id":3,"name":"Functional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UTC","value":"2017-07-05 18:34:13"},{"id":29,"name":"Sharepoint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</sheetData>
  <autoFilter ref="A12:AG274">
    <sortState ref="A13:AG279">
      <sortCondition ref="AG13:AG272"/>
      <sortCondition ref="AD13:AD272"/>
    </sortState>
  </autoFilter>
  <sortState ref="A13:AN233">
    <sortCondition ref="AG13:AG233"/>
    <sortCondition ref="AD13:AD233"/>
  </sortState>
  <mergeCells count="1">
    <mergeCell ref="A11:P11"/>
  </mergeCells>
  <conditionalFormatting sqref="W11:W12 W279:X1048576 W13:X267">
    <cfRule type="cellIs" dxfId="10" priority="415" operator="equal">
      <formula>"Y"</formula>
    </cfRule>
  </conditionalFormatting>
  <conditionalFormatting sqref="X279:X1048576 X13:X267">
    <cfRule type="cellIs" dxfId="9" priority="398" operator="greaterThan">
      <formula>1</formula>
    </cfRule>
  </conditionalFormatting>
  <conditionalFormatting sqref="X279:X1048576 X12:X267">
    <cfRule type="cellIs" dxfId="8" priority="395" operator="equal">
      <formula>0</formula>
    </cfRule>
  </conditionalFormatting>
  <conditionalFormatting sqref="A13:S26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AK13:AK267</xm:sqref>
        </x14:dataValidation>
        <x14:dataValidation type="list" allowBlank="1" showInputMessage="1" showErrorMessage="1">
          <x14:formula1>
            <xm:f>'Redmine List Values'!$C$2:$C$15</xm:f>
          </x14:formula1>
          <xm:sqref>AL13:AL267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67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425</v>
      </c>
      <c r="X6" s="208" t="s">
        <v>418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42921.411273148151</v>
      </c>
      <c r="B7" s="30" t="s">
        <v>388</v>
      </c>
      <c r="C7" s="30" t="s">
        <v>592</v>
      </c>
      <c r="D7" s="30" t="s">
        <v>49</v>
      </c>
      <c r="E7" s="30" t="s">
        <v>187</v>
      </c>
      <c r="F7" s="42">
        <v>0</v>
      </c>
      <c r="G7" s="42">
        <v>226</v>
      </c>
      <c r="H7" s="42">
        <v>26788</v>
      </c>
      <c r="I7" s="42">
        <v>27087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-17.952000000000002</v>
      </c>
      <c r="N7" s="133" t="str">
        <f>VLOOKUP(C7,'Trips&amp;Operators'!$C$1:$G$99999,5,FALSE)</f>
        <v>MILLER KEVIN</v>
      </c>
      <c r="O7" s="203" t="s">
        <v>180</v>
      </c>
      <c r="P7" s="134" t="s">
        <v>441</v>
      </c>
      <c r="Q7" s="30"/>
      <c r="R7" s="81" t="str">
        <f>VLOOKUP(C7,'Train Runs'!$A$13:$AE$9933,31,0)</f>
        <v>aws s3 cp s3://rtdc.mdm.uploadarchive.raw/RTDC4008/ "%USERPROFILE%\AppData\Local\Temp\OnboardLogs"\RTDC4008\2017-07-05 --exclude "*" --recursive --include "*20170705*" &amp; "%USERPROFILE%\Documents\GitHub\mrs-test-scripts\Headless Mode &amp; Sideloading\WalkAndUnGZ.bat" "%USERPROFILE%\AppData\Local\Temp\OnboardLogs"\RTDC4008\2017-07-05 &amp; aws s3 cp s3://rtdc.mdm.uploadarchive.raw/RTDC4008/ "%USERPROFILE%\AppData\Local\Temp\OnboardLogs"\RTDC4008\2017-07-06 --exclude "*" --recursive --include "*20170706*" &amp; "%USERPROFILE%\Documents\GitHub\mrs-test-scripts\Headless Mode &amp; Sideloading\WalkAndUnGZ.bat" "%USERPROFILE%\AppData\Local\Temp\OnboardLogs"\RTDC4008\2017-07-06</v>
      </c>
      <c r="S7" s="84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-07-05T08:40:43-0600',mode:absolute,to:'2017-07-05T11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/stypes="*4008*201707051*" /stext=" 15:.+((SYSTEM_STATE.+slice.+state.+changed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4008</v>
      </c>
      <c r="V7" s="31">
        <f t="shared" ref="V7:V38" si="3">A7-utc_offset/24</f>
        <v>42921.661273148151</v>
      </c>
      <c r="W7" s="45" t="str">
        <f t="shared" ref="W7:W38" si="4">DetSubdiv(C7)</f>
        <v>EC</v>
      </c>
      <c r="X7" s="22">
        <f t="shared" ref="X7:X38" si="5">VALUE(LEFT(C7,LEN(C7)-3))</f>
        <v>149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arrival","project_id":79,"tracker_id":40,"status_id":1,"priority_id":2,"assigned_to_id":23,"start_date":"2017-07-05","description":"","custom_fields":[{"id":1,"name":"Subdivision","value":"EC"},{"id":4,"name":"Milepost","value":"2.7053"},{"id":17,"name":"Train ID","value":"149-05"},{"id":16,"name":"Locomotive ID","value":"4008"},{"id":130,"name":"Impact","value":""},{"id":150,"name":"Time of Event (Mountain Time)","value":"09:52:14"},{"id":151,"name":"Denver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/c/Users/stu/AppData/Local/Temp/OnboardLogs/RTDC4008 --include="*4008*201707051*"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"%USERPROFILE%\AppData\Local\Temp\OnboardLogs"\RTDC4008\*4008*201707051* &gt;&gt; 2017-07-05-SliceDisagreementCheck.txt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4008 --day 2017-07-05</v>
      </c>
    </row>
    <row r="8" spans="1:32" s="1" customFormat="1" x14ac:dyDescent="0.25">
      <c r="A8" s="31">
        <v>42921.45890046296</v>
      </c>
      <c r="B8" s="30" t="s">
        <v>575</v>
      </c>
      <c r="C8" s="30" t="s">
        <v>597</v>
      </c>
      <c r="D8" s="30" t="s">
        <v>49</v>
      </c>
      <c r="E8" s="30" t="s">
        <v>187</v>
      </c>
      <c r="F8" s="42">
        <v>0</v>
      </c>
      <c r="G8" s="42">
        <v>39</v>
      </c>
      <c r="H8" s="42">
        <v>27366</v>
      </c>
      <c r="I8" s="42">
        <v>27293</v>
      </c>
      <c r="J8" s="30" t="s">
        <v>188</v>
      </c>
      <c r="K8" s="42">
        <v>27350</v>
      </c>
      <c r="L8" s="131" t="s">
        <v>51</v>
      </c>
      <c r="M8" s="132">
        <f t="shared" si="0"/>
        <v>-30.096</v>
      </c>
      <c r="N8" s="133" t="str">
        <f>VLOOKUP(C8,'Trips&amp;Operators'!$C$1:$G$99999,5,FALSE)</f>
        <v>STARKS ANGELINA</v>
      </c>
      <c r="O8" s="203" t="s">
        <v>180</v>
      </c>
      <c r="P8" s="134" t="s">
        <v>441</v>
      </c>
      <c r="Q8" s="30"/>
      <c r="R8" s="81" t="str">
        <f>VLOOKUP(C8,'Train Runs'!$A$13:$AE$9933,31,0)</f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S8" s="84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-07-05T09:22:15-0600',mode:absolute,to:'2017-07-05T12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 t="shared" si="1"/>
        <v>"C:\Program Files (x86)\AstroGrep\AstroGrep.exe" /e /r /s /spath="%USERPROFILE%\AppData\Local\Temp\OnboardLogs" /stypes="*4041*201707051*"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42921.70890046296</v>
      </c>
      <c r="W8" s="45" t="str">
        <f t="shared" si="4"/>
        <v>EC</v>
      </c>
      <c r="X8" s="22">
        <f t="shared" si="5"/>
        <v>148</v>
      </c>
      <c r="Y8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arrival","project_id":79,"tracker_id":40,"status_id":1,"priority_id":2,"assigned_to_id":23,"start_date":"2017-07-05","description":"","custom_fields":[{"id":1,"name":"Subdivision","value":"EC"},{"id":4,"name":"Milepost","value":"2.735"},{"id":17,"name":"Train ID","value":"148-05"},{"id":16,"name":"Locomotive ID","value":"4041"},{"id":130,"name":"Impact","value":""},{"id":150,"name":"Time of Event (Mountain Time)","value":"11:00:49"},{"id":151,"name":"Denver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/c/Users/stu/AppData/Local/Temp/OnboardLogs/RTDC4041 --include="*4041*201707051*"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"%USERPROFILE%\AppData\Local\Temp\OnboardLogs"\RTDC4041\*4041*201707051* &gt;&gt; 2017-07-05-SliceDisagreementCheck.txt</v>
      </c>
      <c r="AE8" s="145" t="str">
        <f t="shared" ref="AE8:AE71" si="9">"start /low /b "&amp;dls3logs&amp;" --loco "&amp;U8&amp;" --day "&amp;TEXT(V8,"YYYY-MM-DD")</f>
        <v>start /low /b %USERPROFILE%\Documents\GitHub\eaglep3\Utilities\DownloadLogsFromS3.py --loco 4041 --day 2017-07-05</v>
      </c>
    </row>
    <row r="9" spans="1:32" s="1" customFormat="1" x14ac:dyDescent="0.25">
      <c r="A9" s="31">
        <v>42921.802430555559</v>
      </c>
      <c r="B9" s="30" t="s">
        <v>435</v>
      </c>
      <c r="C9" s="30" t="s">
        <v>625</v>
      </c>
      <c r="D9" s="30" t="s">
        <v>49</v>
      </c>
      <c r="E9" s="30" t="s">
        <v>187</v>
      </c>
      <c r="F9" s="42">
        <v>0</v>
      </c>
      <c r="G9" s="42">
        <v>146</v>
      </c>
      <c r="H9" s="42">
        <v>27361</v>
      </c>
      <c r="I9" s="42">
        <v>27189</v>
      </c>
      <c r="J9" s="30" t="s">
        <v>188</v>
      </c>
      <c r="K9" s="42">
        <v>27350</v>
      </c>
      <c r="L9" s="131" t="s">
        <v>51</v>
      </c>
      <c r="M9" s="132">
        <f t="shared" si="0"/>
        <v>-85.007999999999996</v>
      </c>
      <c r="N9" s="133" t="str">
        <f>VLOOKUP(C9,'Trips&amp;Operators'!$C$1:$G$99999,5,FALSE)</f>
        <v>HAITHCOX MICHAEL</v>
      </c>
      <c r="O9" s="203" t="s">
        <v>180</v>
      </c>
      <c r="P9" s="134" t="s">
        <v>441</v>
      </c>
      <c r="Q9" s="30"/>
      <c r="R9" s="81" t="str">
        <f>VLOOKUP(C9,'Train Runs'!$A$13:$AE$9933,31,0)</f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S9" s="84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-07-05T17:36:10-0600',mode:absolute,to:'2017-07-05T20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 t="shared" si="1"/>
        <v>"C:\Program Files (x86)\AstroGrep\AstroGrep.exe" /e /r /s /spath="%USERPROFILE%\AppData\Local\Temp\OnboardLogs" /stypes="*4017*201707060*"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4017</v>
      </c>
      <c r="V9" s="31">
        <f t="shared" si="3"/>
        <v>42922.052430555559</v>
      </c>
      <c r="W9" s="45" t="str">
        <f t="shared" si="4"/>
        <v>EC</v>
      </c>
      <c r="X9" s="22">
        <f t="shared" si="5"/>
        <v>214</v>
      </c>
      <c r="Y9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arrival","project_id":79,"tracker_id":40,"status_id":1,"priority_id":2,"assigned_to_id":23,"start_date":"2017-07-05","description":"","custom_fields":[{"id":1,"name":"Subdivision","value":"EC"},{"id":4,"name":"Milepost","value":"2.735"},{"id":17,"name":"Train ID","value":"214-05"},{"id":16,"name":"Locomotive ID","value":"4017"},{"id":130,"name":"Impact","value":""},{"id":150,"name":"Time of Event (Mountain Time)","value":"19:15:30"},{"id":151,"name":"Denver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/c/Users/stu/AppData/Local/Temp/OnboardLogs/RTDC4017 --include="*4017*201707060*"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"%USERPROFILE%\AppData\Local\Temp\OnboardLogs"\RTDC4017\*4017*201707060* &gt;&gt; 2017-07-05-SliceDisagreementCheck.txt</v>
      </c>
      <c r="AE9" s="145" t="str">
        <f t="shared" si="9"/>
        <v>start /low /b %USERPROFILE%\Documents\GitHub\eaglep3\Utilities\DownloadLogsFromS3.py --loco 4017 --day 2017-07-06</v>
      </c>
    </row>
    <row r="10" spans="1:32" s="1" customFormat="1" x14ac:dyDescent="0.25">
      <c r="A10" s="31">
        <v>42921.458437499998</v>
      </c>
      <c r="B10" s="30" t="s">
        <v>575</v>
      </c>
      <c r="C10" s="30" t="s">
        <v>597</v>
      </c>
      <c r="D10" s="30" t="s">
        <v>49</v>
      </c>
      <c r="E10" s="30" t="s">
        <v>187</v>
      </c>
      <c r="F10" s="42">
        <v>90</v>
      </c>
      <c r="G10" s="42">
        <v>145</v>
      </c>
      <c r="H10" s="42">
        <v>27478</v>
      </c>
      <c r="I10" s="42">
        <v>27384</v>
      </c>
      <c r="J10" s="30" t="s">
        <v>188</v>
      </c>
      <c r="K10" s="42">
        <v>27350</v>
      </c>
      <c r="L10" s="131" t="s">
        <v>51</v>
      </c>
      <c r="M10" s="132">
        <f t="shared" si="0"/>
        <v>17.952000000000002</v>
      </c>
      <c r="N10" s="133" t="str">
        <f>VLOOKUP(C10,'Trips&amp;Operators'!$C$1:$G$99999,5,FALSE)</f>
        <v>STARKS ANGELINA</v>
      </c>
      <c r="O10" s="203" t="s">
        <v>180</v>
      </c>
      <c r="P10" s="134" t="s">
        <v>441</v>
      </c>
      <c r="Q10" s="30"/>
      <c r="R10" s="81" t="str">
        <f>VLOOKUP(C10,'Train Runs'!$A$13:$AE$9933,31,0)</f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S10" s="84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-07-05T09:22:15-0600',mode:absolute,to:'2017-07-05T12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 t="shared" si="1"/>
        <v>"C:\Program Files (x86)\AstroGrep\AstroGrep.exe" /e /r /s /spath="%USERPROFILE%\AppData\Local\Temp\OnboardLogs" /stypes="*4041*201707051*"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42921.708437499998</v>
      </c>
      <c r="W10" s="45" t="str">
        <f t="shared" si="4"/>
        <v>EC</v>
      </c>
      <c r="X10" s="22">
        <f t="shared" si="5"/>
        <v>148</v>
      </c>
      <c r="Y10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arrival","project_id":79,"tracker_id":40,"status_id":1,"priority_id":2,"assigned_to_id":23,"start_date":"2017-07-05","description":"","custom_fields":[{"id":1,"name":"Subdivision","value":"EC"},{"id":4,"name":"Milepost","value":"2.735"},{"id":17,"name":"Train ID","value":"148-05"},{"id":16,"name":"Locomotive ID","value":"4041"},{"id":130,"name":"Impact","value":""},{"id":150,"name":"Time of Event (Mountain Time)","value":"11:00:09"},{"id":151,"name":"Denver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/c/Users/stu/AppData/Local/Temp/OnboardLogs/RTDC4041 --include="*4041*201707051*"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"%USERPROFILE%\AppData\Local\Temp\OnboardLogs"\RTDC4041\*4041*201707051* &gt;&gt; 2017-07-05-SliceDisagreementCheck.txt</v>
      </c>
      <c r="AE10" s="145" t="str">
        <f t="shared" si="9"/>
        <v>start /low /b %USERPROFILE%\Documents\GitHub\eaglep3\Utilities\DownloadLogsFromS3.py --loco 4041 --day 2017-07-05</v>
      </c>
    </row>
    <row r="11" spans="1:32" s="1" customFormat="1" x14ac:dyDescent="0.25">
      <c r="A11" s="31">
        <v>42921.57849537037</v>
      </c>
      <c r="B11" s="30" t="s">
        <v>600</v>
      </c>
      <c r="C11" s="30" t="s">
        <v>607</v>
      </c>
      <c r="D11" s="30" t="s">
        <v>49</v>
      </c>
      <c r="E11" s="30" t="s">
        <v>187</v>
      </c>
      <c r="F11" s="42">
        <v>0</v>
      </c>
      <c r="G11" s="42">
        <v>170</v>
      </c>
      <c r="H11" s="42">
        <v>30750</v>
      </c>
      <c r="I11" s="42">
        <v>30938</v>
      </c>
      <c r="J11" s="30" t="s">
        <v>188</v>
      </c>
      <c r="K11" s="42">
        <v>30830</v>
      </c>
      <c r="L11" s="131" t="s">
        <v>50</v>
      </c>
      <c r="M11" s="132">
        <f t="shared" si="0"/>
        <v>-57.024000000000001</v>
      </c>
      <c r="N11" s="133" t="str">
        <f>VLOOKUP(C11,'Trips&amp;Operators'!$C$1:$G$99999,5,FALSE)</f>
        <v>LEVIN SCOTT</v>
      </c>
      <c r="O11" s="203" t="s">
        <v>180</v>
      </c>
      <c r="P11" s="134" t="s">
        <v>441</v>
      </c>
      <c r="Q11" s="30"/>
      <c r="R11" s="81" t="str">
        <f>VLOOKUP(C11,'Train Runs'!$A$13:$AE$9933,31,0)</f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S11" s="84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-07-05T12:43:12-0600',mode:absolute,to:'2017-07-05T15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1" s="86" t="str">
        <f t="shared" si="1"/>
        <v>"C:\Program Files (x86)\AstroGrep\AstroGrep.exe" /e /r /s /spath="%USERPROFILE%\AppData\Local\Temp\OnboardLogs" /stypes="*4062*201707051*"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4062</v>
      </c>
      <c r="V11" s="31">
        <f t="shared" si="3"/>
        <v>42921.82849537037</v>
      </c>
      <c r="W11" s="45" t="str">
        <f t="shared" si="4"/>
        <v>EC</v>
      </c>
      <c r="X11" s="22">
        <f t="shared" si="5"/>
        <v>181</v>
      </c>
      <c r="Y11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arrival","project_id":79,"tracker_id":40,"status_id":1,"priority_id":2,"assigned_to_id":23,"start_date":"2017-07-05","description":"","custom_fields":[{"id":1,"name":"Subdivision","value":"EC"},{"id":4,"name":"Milepost","value":"3.083"},{"id":17,"name":"Train ID","value":"181-05"},{"id":16,"name":"Locomotive ID","value":"4062"},{"id":130,"name":"Impact","value":""},{"id":150,"name":"Time of Event (Mountain Time)","value":"13:53:02"},{"id":151,"name":"Denver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/c/Users/stu/AppData/Local/Temp/OnboardLogs/RTDC4062 --include="*4062*201707051*"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"%USERPROFILE%\AppData\Local\Temp\OnboardLogs"\RTDC4062\*4062*201707051* &gt;&gt; 2017-07-05-SliceDisagreementCheck.txt</v>
      </c>
      <c r="AE11" s="145" t="str">
        <f t="shared" si="9"/>
        <v>start /low /b %USERPROFILE%\Documents\GitHub\eaglep3\Utilities\DownloadLogsFromS3.py --loco 4062 --day 2017-07-05</v>
      </c>
    </row>
    <row r="12" spans="1:32" s="1" customFormat="1" x14ac:dyDescent="0.25">
      <c r="A12" s="31">
        <v>42921.530381944445</v>
      </c>
      <c r="B12" s="30" t="s">
        <v>575</v>
      </c>
      <c r="C12" s="30" t="s">
        <v>602</v>
      </c>
      <c r="D12" s="30" t="s">
        <v>49</v>
      </c>
      <c r="E12" s="30" t="s">
        <v>187</v>
      </c>
      <c r="F12" s="42">
        <v>0</v>
      </c>
      <c r="G12" s="42">
        <v>214</v>
      </c>
      <c r="H12" s="42">
        <v>31023</v>
      </c>
      <c r="I12" s="42">
        <v>30682</v>
      </c>
      <c r="J12" s="30" t="s">
        <v>188</v>
      </c>
      <c r="K12" s="42">
        <v>30970</v>
      </c>
      <c r="L12" s="131" t="s">
        <v>51</v>
      </c>
      <c r="M12" s="132">
        <f t="shared" si="0"/>
        <v>-152.06399999999999</v>
      </c>
      <c r="N12" s="133" t="str">
        <f>VLOOKUP(C12,'Trips&amp;Operators'!$C$1:$G$99999,5,FALSE)</f>
        <v>STEWART MICHAEL</v>
      </c>
      <c r="O12" s="203" t="s">
        <v>180</v>
      </c>
      <c r="P12" s="134" t="s">
        <v>441</v>
      </c>
      <c r="Q12" s="30"/>
      <c r="R12" s="81" t="str">
        <f>VLOOKUP(C12,'Train Runs'!$A$13:$AE$9933,31,0)</f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S12" s="84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-07-05T11:06:02-0600',mode:absolute,to:'2017-07-05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/stypes="*4041*201707051*"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42921.780381944445</v>
      </c>
      <c r="W12" s="45" t="str">
        <f t="shared" si="4"/>
        <v>EC</v>
      </c>
      <c r="X12" s="22">
        <f t="shared" si="5"/>
        <v>162</v>
      </c>
      <c r="Y12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arrival","project_id":79,"tracker_id":40,"status_id":1,"priority_id":2,"assigned_to_id":23,"start_date":"2017-07-05","description":"","custom_fields":[{"id":1,"name":"Subdivision","value":"EC"},{"id":4,"name":"Milepost","value":"3.097"},{"id":17,"name":"Train ID","value":"162-05"},{"id":16,"name":"Locomotive ID","value":"4041"},{"id":130,"name":"Impact","value":""},{"id":150,"name":"Time of Event (Mountain Time)","value":"12:43:45"},{"id":151,"name":"Denver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/c/Users/stu/AppData/Local/Temp/OnboardLogs/RTDC4041 --include="*4041*201707051*"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"%USERPROFILE%\AppData\Local\Temp\OnboardLogs"\RTDC4041\*4041*201707051* &gt;&gt; 2017-07-05-SliceDisagreementCheck.txt</v>
      </c>
      <c r="AE12" s="145" t="str">
        <f t="shared" si="9"/>
        <v>start /low /b %USERPROFILE%\Documents\GitHub\eaglep3\Utilities\DownloadLogsFromS3.py --loco 4041 --day 2017-07-05</v>
      </c>
    </row>
    <row r="13" spans="1:32" s="1" customFormat="1" x14ac:dyDescent="0.25">
      <c r="A13" s="31">
        <v>42921.717604166668</v>
      </c>
      <c r="B13" s="30" t="s">
        <v>605</v>
      </c>
      <c r="C13" s="30" t="s">
        <v>618</v>
      </c>
      <c r="D13" s="30" t="s">
        <v>49</v>
      </c>
      <c r="E13" s="30" t="s">
        <v>187</v>
      </c>
      <c r="F13" s="42">
        <v>0</v>
      </c>
      <c r="G13" s="42">
        <v>213</v>
      </c>
      <c r="H13" s="42">
        <v>33491</v>
      </c>
      <c r="I13" s="42">
        <v>33166</v>
      </c>
      <c r="J13" s="30" t="s">
        <v>188</v>
      </c>
      <c r="K13" s="42">
        <v>33257</v>
      </c>
      <c r="L13" s="131" t="s">
        <v>51</v>
      </c>
      <c r="M13" s="132">
        <f t="shared" si="0"/>
        <v>-48.048000000000002</v>
      </c>
      <c r="N13" s="133" t="str">
        <f>VLOOKUP(C13,'Trips&amp;Operators'!$C$1:$G$99999,5,FALSE)</f>
        <v>RESPASS AARON</v>
      </c>
      <c r="O13" s="203" t="s">
        <v>180</v>
      </c>
      <c r="P13" s="134" t="s">
        <v>441</v>
      </c>
      <c r="Q13" s="30"/>
      <c r="R13" s="81" t="str">
        <f>VLOOKUP(C13,'Train Runs'!$A$13:$AE$9933,31,0)</f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S13" s="84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-07-05T15:33:58-0600',mode:absolute,to:'2017-07-05T18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3" s="86" t="str">
        <f t="shared" si="1"/>
        <v>"C:\Program Files (x86)\AstroGrep\AstroGrep.exe" /e /r /s /spath="%USERPROFILE%\AppData\Local\Temp\OnboardLogs" /stypes="*4055*201707052*"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4055</v>
      </c>
      <c r="V13" s="31">
        <f t="shared" si="3"/>
        <v>42921.967604166668</v>
      </c>
      <c r="W13" s="45" t="str">
        <f t="shared" si="4"/>
        <v>EC</v>
      </c>
      <c r="X13" s="22">
        <f t="shared" si="5"/>
        <v>198</v>
      </c>
      <c r="Y13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arrival","project_id":79,"tracker_id":40,"status_id":1,"priority_id":2,"assigned_to_id":23,"start_date":"2017-07-05","description":"","custom_fields":[{"id":1,"name":"Subdivision","value":"EC"},{"id":4,"name":"Milepost","value":"3.3257"},{"id":17,"name":"Train ID","value":"198-05"},{"id":16,"name":"Locomotive ID","value":"4055"},{"id":130,"name":"Impact","value":""},{"id":150,"name":"Time of Event (Mountain Time)","value":"17:13:21"},{"id":151,"name":"Denver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/c/Users/stu/AppData/Local/Temp/OnboardLogs/RTDC4055 --include="*4055*201707052*"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"%USERPROFILE%\AppData\Local\Temp\OnboardLogs"\RTDC4055\*4055*201707052* &gt;&gt; 2017-07-05-SliceDisagreementCheck.txt</v>
      </c>
      <c r="AE13" s="145" t="str">
        <f t="shared" si="9"/>
        <v>start /low /b %USERPROFILE%\Documents\GitHub\eaglep3\Utilities\DownloadLogsFromS3.py --loco 4055 --day 2017-07-05</v>
      </c>
    </row>
    <row r="14" spans="1:32" x14ac:dyDescent="0.25">
      <c r="A14" s="31">
        <v>42921.592523148145</v>
      </c>
      <c r="B14" s="30" t="s">
        <v>365</v>
      </c>
      <c r="C14" s="30" t="s">
        <v>608</v>
      </c>
      <c r="D14" s="30" t="s">
        <v>49</v>
      </c>
      <c r="E14" s="30" t="s">
        <v>187</v>
      </c>
      <c r="F14" s="42">
        <v>250</v>
      </c>
      <c r="G14" s="42">
        <v>353</v>
      </c>
      <c r="H14" s="42">
        <v>35821</v>
      </c>
      <c r="I14" s="42">
        <v>34959</v>
      </c>
      <c r="J14" s="30" t="s">
        <v>188</v>
      </c>
      <c r="K14" s="42">
        <v>33257</v>
      </c>
      <c r="L14" s="131" t="s">
        <v>51</v>
      </c>
      <c r="M14" s="132">
        <f t="shared" si="0"/>
        <v>898.65599999999995</v>
      </c>
      <c r="N14" s="133" t="str">
        <f>VLOOKUP(C14,'Trips&amp;Operators'!$C$1:$G$99999,5,FALSE)</f>
        <v>HOLCOMB KAMDEN</v>
      </c>
      <c r="O14" s="203" t="s">
        <v>180</v>
      </c>
      <c r="P14" s="134" t="s">
        <v>441</v>
      </c>
      <c r="Q14" s="30"/>
      <c r="R14" s="81" t="str">
        <f>VLOOKUP(C14,'Train Runs'!$A$13:$AE$9933,31,0)</f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S14" s="84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-07-05T12:36:07-0600',mode:absolute,to:'2017-07-05T15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86" t="str">
        <f t="shared" si="1"/>
        <v>"C:\Program Files (x86)\AstroGrep\AstroGrep.exe" /e /r /s /spath="%USERPROFILE%\AppData\Local\Temp\OnboardLogs" /stypes="*4013*201707052*"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4013</v>
      </c>
      <c r="V14" s="31">
        <f t="shared" si="3"/>
        <v>42921.842523148145</v>
      </c>
      <c r="W14" s="45" t="str">
        <f t="shared" si="4"/>
        <v>EC</v>
      </c>
      <c r="X14" s="22">
        <f t="shared" si="5"/>
        <v>174</v>
      </c>
      <c r="Y14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arrival","project_id":79,"tracker_id":40,"status_id":1,"priority_id":2,"assigned_to_id":23,"start_date":"2017-07-05","description":"","custom_fields":[{"id":1,"name":"Subdivision","value":"EC"},{"id":4,"name":"Milepost","value":"3.3257"},{"id":17,"name":"Train ID","value":"174-05"},{"id":16,"name":"Locomotive ID","value":"4013"},{"id":130,"name":"Impact","value":""},{"id":150,"name":"Time of Event (Mountain Time)","value":"14:13:14"},{"id":151,"name":"Denver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/c/Users/stu/AppData/Local/Temp/OnboardLogs/RTDC4013 --include="*4013*201707052*"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"%USERPROFILE%\AppData\Local\Temp\OnboardLogs"\RTDC4013\*4013*201707052* &gt;&gt; 2017-07-05-SliceDisagreementCheck.txt</v>
      </c>
      <c r="AE14" s="145" t="str">
        <f t="shared" si="9"/>
        <v>start /low /b %USERPROFILE%\Documents\GitHub\eaglep3\Utilities\DownloadLogsFromS3.py --loco 4013 --day 2017-07-05</v>
      </c>
      <c r="AF14" s="1"/>
    </row>
    <row r="15" spans="1:32" x14ac:dyDescent="0.25">
      <c r="A15" s="31">
        <v>42921.872210648151</v>
      </c>
      <c r="B15" s="30" t="s">
        <v>435</v>
      </c>
      <c r="C15" s="30" t="s">
        <v>628</v>
      </c>
      <c r="D15" s="30" t="s">
        <v>49</v>
      </c>
      <c r="E15" s="30" t="s">
        <v>187</v>
      </c>
      <c r="F15" s="42">
        <v>440</v>
      </c>
      <c r="G15" s="42">
        <v>507</v>
      </c>
      <c r="H15" s="42">
        <v>44209</v>
      </c>
      <c r="I15" s="42">
        <v>42590</v>
      </c>
      <c r="J15" s="30" t="s">
        <v>188</v>
      </c>
      <c r="K15" s="42">
        <v>42961</v>
      </c>
      <c r="L15" s="131" t="s">
        <v>51</v>
      </c>
      <c r="M15" s="132">
        <f t="shared" si="0"/>
        <v>-195.88800000000001</v>
      </c>
      <c r="N15" s="133" t="str">
        <f>VLOOKUP(C15,'Trips&amp;Operators'!$C$1:$G$99999,5,FALSE)</f>
        <v>HAITHCOX MICHAEL</v>
      </c>
      <c r="O15" s="203" t="s">
        <v>180</v>
      </c>
      <c r="P15" s="134" t="s">
        <v>441</v>
      </c>
      <c r="Q15" s="30"/>
      <c r="R15" s="81" t="str">
        <f>VLOOKUP(C15,'Train Runs'!$A$13:$AE$9933,31,0)</f>
        <v>aws s3 cp s3://rtdc.mdm.uploadarchive.raw/RTDC4017/ "%USERPROFILE%\AppData\Local\Temp\OnboardLogs"\RTDC4017\2017-07-05 --exclude "*" --recursive --include "*20170705*" &amp; "%USERPROFILE%\Documents\GitHub\mrs-test-scripts\Headless Mode &amp; Sideloading\WalkAndUnGZ.bat" "%USERPROFILE%\AppData\Local\Temp\OnboardLogs"\RTDC4017\2017-07-05 &amp; 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</v>
      </c>
      <c r="S15" s="84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-07-05T19:12:54-0600',mode:absolute,to:'2017-07-05T22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 t="shared" si="1"/>
        <v>"C:\Program Files (x86)\AstroGrep\AstroGrep.exe" /e /r /s /spath="%USERPROFILE%\AppData\Local\Temp\OnboardLogs" /stypes="*4017*201707060*"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42922.122210648151</v>
      </c>
      <c r="W15" s="45" t="str">
        <f t="shared" si="4"/>
        <v>EC</v>
      </c>
      <c r="X15" s="22">
        <f t="shared" si="5"/>
        <v>224</v>
      </c>
      <c r="Y15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arrival","project_id":79,"tracker_id":40,"status_id":1,"priority_id":2,"assigned_to_id":23,"start_date":"2017-07-05","description":"","custom_fields":[{"id":1,"name":"Subdivision","value":"EC"},{"id":4,"name":"Milepost","value":"4.2961"},{"id":17,"name":"Train ID","value":"224-05"},{"id":16,"name":"Locomotive ID","value":"4017"},{"id":130,"name":"Impact","value":""},{"id":150,"name":"Time of Event (Mountain Time)","value":"20:55:59"},{"id":151,"name":"Denver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/c/Users/stu/AppData/Local/Temp/OnboardLogs/RTDC4017 --include="*4017*201707060*"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"%USERPROFILE%\AppData\Local\Temp\OnboardLogs"\RTDC4017\*4017*201707060* &gt;&gt; 2017-07-05-SliceDisagreementCheck.txt</v>
      </c>
      <c r="AE15" s="145" t="str">
        <f t="shared" si="9"/>
        <v>start /low /b %USERPROFILE%\Documents\GitHub\eaglep3\Utilities\DownloadLogsFromS3.py --loco 4017 --day 2017-07-06</v>
      </c>
      <c r="AF15" s="1"/>
    </row>
    <row r="16" spans="1:32" x14ac:dyDescent="0.25">
      <c r="A16" s="31">
        <v>42921.237314814818</v>
      </c>
      <c r="B16" s="30" t="s">
        <v>431</v>
      </c>
      <c r="C16" s="30" t="s">
        <v>574</v>
      </c>
      <c r="D16" s="30" t="s">
        <v>49</v>
      </c>
      <c r="E16" s="30" t="s">
        <v>187</v>
      </c>
      <c r="F16" s="42">
        <v>0</v>
      </c>
      <c r="G16" s="42">
        <v>231</v>
      </c>
      <c r="H16" s="42">
        <v>47616</v>
      </c>
      <c r="I16" s="42">
        <v>47922</v>
      </c>
      <c r="J16" s="30" t="s">
        <v>188</v>
      </c>
      <c r="K16" s="42">
        <v>47866</v>
      </c>
      <c r="L16" s="131" t="s">
        <v>50</v>
      </c>
      <c r="M16" s="132">
        <f t="shared" si="0"/>
        <v>-29.568000000000001</v>
      </c>
      <c r="N16" s="133" t="str">
        <f>VLOOKUP(C16,'Trips&amp;Operators'!$C$1:$G$99999,5,FALSE)</f>
        <v>MAELZER KURT</v>
      </c>
      <c r="O16" s="203" t="s">
        <v>180</v>
      </c>
      <c r="P16" s="134" t="s">
        <v>441</v>
      </c>
      <c r="Q16" s="30"/>
      <c r="R16" s="81" t="str">
        <f>VLOOKUP(C16,'Train Runs'!$A$13:$AE$9933,31,0)</f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S16" s="84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-07-05T04:25:39-0600',mode:absolute,to:'2017-07-05T07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86" t="str">
        <f t="shared" si="1"/>
        <v>"C:\Program Files (x86)\AstroGrep\AstroGrep.exe" /e /r /s /spath="%USERPROFILE%\AppData\Local\Temp\OnboardLogs" /stypes="*4018*201707051*"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4018</v>
      </c>
      <c r="V16" s="31">
        <f t="shared" si="3"/>
        <v>42921.487314814818</v>
      </c>
      <c r="W16" s="45" t="str">
        <f t="shared" si="4"/>
        <v>EC</v>
      </c>
      <c r="X16" s="22">
        <f t="shared" si="5"/>
        <v>115</v>
      </c>
      <c r="Y16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arrival","project_id":79,"tracker_id":40,"status_id":1,"priority_id":2,"assigned_to_id":23,"start_date":"2017-07-05","description":"","custom_fields":[{"id":1,"name":"Subdivision","value":"EC"},{"id":4,"name":"Milepost","value":"4.7866"},{"id":17,"name":"Train ID","value":"115-05"},{"id":16,"name":"Locomotive ID","value":"4018"},{"id":130,"name":"Impact","value":""},{"id":150,"name":"Time of Event (Mountain Time)","value":"05:41:44"},{"id":151,"name":"Denver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/c/Users/stu/AppData/Local/Temp/OnboardLogs/RTDC4018 --include="*4018*201707051*"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"%USERPROFILE%\AppData\Local\Temp\OnboardLogs"\RTDC4018\*4018*201707051* &gt;&gt; 2017-07-05-SliceDisagreementCheck.txt</v>
      </c>
      <c r="AE16" s="145" t="str">
        <f t="shared" si="9"/>
        <v>start /low /b %USERPROFILE%\Documents\GitHub\eaglep3\Utilities\DownloadLogsFromS3.py --loco 4018 --day 2017-07-05</v>
      </c>
      <c r="AF16" s="1"/>
    </row>
    <row r="17" spans="1:32" x14ac:dyDescent="0.25">
      <c r="A17" s="31">
        <v>42921.613402777781</v>
      </c>
      <c r="B17" s="30" t="s">
        <v>371</v>
      </c>
      <c r="C17" s="30" t="s">
        <v>610</v>
      </c>
      <c r="D17" s="30" t="s">
        <v>49</v>
      </c>
      <c r="E17" s="30" t="s">
        <v>187</v>
      </c>
      <c r="F17" s="42">
        <v>40</v>
      </c>
      <c r="G17" s="42">
        <v>243</v>
      </c>
      <c r="H17" s="42">
        <v>57200</v>
      </c>
      <c r="I17" s="42">
        <v>57656</v>
      </c>
      <c r="J17" s="30" t="s">
        <v>188</v>
      </c>
      <c r="K17" s="42">
        <v>58118</v>
      </c>
      <c r="L17" s="131" t="s">
        <v>50</v>
      </c>
      <c r="M17" s="132">
        <f t="shared" si="0"/>
        <v>243.93600000000001</v>
      </c>
      <c r="N17" s="133" t="str">
        <f>VLOOKUP(C17,'Trips&amp;Operators'!$C$1:$G$99999,5,FALSE)</f>
        <v>MOSES BRADLEY</v>
      </c>
      <c r="O17" s="203" t="s">
        <v>180</v>
      </c>
      <c r="P17" s="134" t="s">
        <v>441</v>
      </c>
      <c r="Q17" s="30"/>
      <c r="R17" s="81" t="str">
        <f>VLOOKUP(C17,'Train Runs'!$A$13:$AE$9933,31,0)</f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S17" s="84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-07-05T13:26:34-0600',mode:absolute,to:'2017-07-05T16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7" s="86" t="str">
        <f t="shared" si="1"/>
        <v>"C:\Program Files (x86)\AstroGrep\AstroGrep.exe" /e /r /s /spath="%USERPROFILE%\AppData\Local\Temp\OnboardLogs" /stypes="*4014*201707052*"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4014</v>
      </c>
      <c r="V17" s="31">
        <f t="shared" si="3"/>
        <v>42921.863402777781</v>
      </c>
      <c r="W17" s="45" t="str">
        <f t="shared" si="4"/>
        <v>EC</v>
      </c>
      <c r="X17" s="22">
        <f t="shared" si="5"/>
        <v>187</v>
      </c>
      <c r="Y17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arrival","project_id":79,"tracker_id":40,"status_id":1,"priority_id":2,"assigned_to_id":23,"start_date":"2017-07-05","description":"","custom_fields":[{"id":1,"name":"Subdivision","value":"EC"},{"id":4,"name":"Milepost","value":"5.8118"},{"id":17,"name":"Train ID","value":"187-05"},{"id":16,"name":"Locomotive ID","value":"4014"},{"id":130,"name":"Impact","value":""},{"id":150,"name":"Time of Event (Mountain Time)","value":"14:43:18"},{"id":151,"name":"Denver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/c/Users/stu/AppData/Local/Temp/OnboardLogs/RTDC4014 --include="*4014*201707052*"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"%USERPROFILE%\AppData\Local\Temp\OnboardLogs"\RTDC4014\*4014*201707052* &gt;&gt; 2017-07-05-SliceDisagreementCheck.txt</v>
      </c>
      <c r="AE17" s="145" t="str">
        <f t="shared" si="9"/>
        <v>start /low /b %USERPROFILE%\Documents\GitHub\eaglep3\Utilities\DownloadLogsFromS3.py --loco 4014 --day 2017-07-05</v>
      </c>
      <c r="AF17" s="1"/>
    </row>
    <row r="18" spans="1:32" x14ac:dyDescent="0.25">
      <c r="A18" s="31">
        <v>42921.644502314812</v>
      </c>
      <c r="B18" s="30" t="s">
        <v>389</v>
      </c>
      <c r="C18" s="30" t="s">
        <v>611</v>
      </c>
      <c r="D18" s="30" t="s">
        <v>49</v>
      </c>
      <c r="E18" s="30" t="s">
        <v>187</v>
      </c>
      <c r="F18" s="42">
        <v>0</v>
      </c>
      <c r="G18" s="42">
        <v>250</v>
      </c>
      <c r="H18" s="42">
        <v>57694</v>
      </c>
      <c r="I18" s="42">
        <v>58172</v>
      </c>
      <c r="J18" s="30" t="s">
        <v>188</v>
      </c>
      <c r="K18" s="42">
        <v>58783</v>
      </c>
      <c r="L18" s="131" t="s">
        <v>50</v>
      </c>
      <c r="M18" s="132">
        <f t="shared" si="0"/>
        <v>322.608</v>
      </c>
      <c r="N18" s="133" t="str">
        <f>VLOOKUP(C18,'Trips&amp;Operators'!$C$1:$G$99999,5,FALSE)</f>
        <v>BRUDER RICHARD</v>
      </c>
      <c r="O18" s="203" t="s">
        <v>180</v>
      </c>
      <c r="P18" s="134" t="s">
        <v>477</v>
      </c>
      <c r="Q18" s="30"/>
      <c r="R18" s="81" t="str">
        <f>VLOOKUP(C18,'Train Runs'!$A$13:$AE$9933,31,0)</f>
        <v>aws s3 cp s3://rtdc.mdm.uploadarchive.raw/RTDC4054/ "%USERPROFILE%\AppData\Local\Temp\OnboardLogs"\RTDC4054\2017-07-05 --exclude "*" --recursive --include "*20170705*" &amp; "%USERPROFILE%\Documents\GitHub\mrs-test-scripts\Headless Mode &amp; Sideloading\WalkAndUnGZ.bat" "%USERPROFILE%\AppData\Local\Temp\OnboardLogs"\RTDC4054\2017-07-05 &amp; aws s3 cp s3://rtdc.mdm.uploadarchive.raw/RTDC4054/ "%USERPROFILE%\AppData\Local\Temp\OnboardLogs"\RTDC4054\2017-07-06 --exclude "*" --recursive --include "*20170706*" &amp; "%USERPROFILE%\Documents\GitHub\mrs-test-scripts\Headless Mode &amp; Sideloading\WalkAndUnGZ.bat" "%USERPROFILE%\AppData\Local\Temp\OnboardLogs"\RTDC4054\2017-07-06</v>
      </c>
      <c r="S18" s="84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-07-05T14:10:46-0600',mode:absolute,to:'2017-07-05T16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86" t="str">
        <f t="shared" si="1"/>
        <v>"C:\Program Files (x86)\AstroGrep\AstroGrep.exe" /e /r /s /spath="%USERPROFILE%\AppData\Local\Temp\OnboardLogs" /stypes="*4054*201707052*"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4054</v>
      </c>
      <c r="V18" s="31">
        <f t="shared" si="3"/>
        <v>42921.894502314812</v>
      </c>
      <c r="W18" s="45" t="str">
        <f t="shared" si="4"/>
        <v>EC</v>
      </c>
      <c r="X18" s="22">
        <f t="shared" si="5"/>
        <v>193</v>
      </c>
      <c r="Y18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C","project_id":79,"tracker_id":40,"status_id":1,"priority_id":2,"assigned_to_id":23,"start_date":"2017-07-05","description":"","custom_fields":[{"id":1,"name":"Subdivision","value":"EC"},{"id":4,"name":"Milepost","value":"5.8783"},{"id":17,"name":"Train ID","value":"193-05"},{"id":16,"name":"Locomotive ID","value":"4054"},{"id":130,"name":"Impact","value":""},{"id":150,"name":"Time of Event (Mountain Time)","value":"15:28:05"},{"id":151,"name":"Denver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/c/Users/stu/AppData/Local/Temp/OnboardLogs/RTDC4054 --include="*4054*201707052*"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"%USERPROFILE%\AppData\Local\Temp\OnboardLogs"\RTDC4054\*4054*201707052* &gt;&gt; 2017-07-05-SliceDisagreementCheck.txt</v>
      </c>
      <c r="AE18" s="145" t="str">
        <f t="shared" si="9"/>
        <v>start /low /b %USERPROFILE%\Documents\GitHub\eaglep3\Utilities\DownloadLogsFromS3.py --loco 4054 --day 2017-07-05</v>
      </c>
      <c r="AF18" s="1"/>
    </row>
    <row r="19" spans="1:32" x14ac:dyDescent="0.25">
      <c r="A19" s="31">
        <v>42921.339687500003</v>
      </c>
      <c r="B19" s="30" t="s">
        <v>582</v>
      </c>
      <c r="C19" s="30" t="s">
        <v>583</v>
      </c>
      <c r="D19" s="30" t="s">
        <v>49</v>
      </c>
      <c r="E19" s="30" t="s">
        <v>187</v>
      </c>
      <c r="F19" s="42">
        <v>0</v>
      </c>
      <c r="G19" s="42">
        <v>124</v>
      </c>
      <c r="H19" s="42">
        <v>59422</v>
      </c>
      <c r="I19" s="42">
        <v>59258</v>
      </c>
      <c r="J19" s="30" t="s">
        <v>188</v>
      </c>
      <c r="K19" s="42">
        <v>58904</v>
      </c>
      <c r="L19" s="131" t="s">
        <v>51</v>
      </c>
      <c r="M19" s="132">
        <f t="shared" si="0"/>
        <v>186.91200000000001</v>
      </c>
      <c r="N19" s="133" t="str">
        <f>VLOOKUP(C19,'Trips&amp;Operators'!$C$1:$G$99999,5,FALSE)</f>
        <v>BONDS REYNALDO</v>
      </c>
      <c r="O19" s="203" t="s">
        <v>180</v>
      </c>
      <c r="P19" s="134" t="s">
        <v>477</v>
      </c>
      <c r="Q19" s="30"/>
      <c r="R19" s="81" t="str">
        <f>VLOOKUP(C19,'Train Runs'!$A$13:$AE$9933,31,0)</f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S19" s="84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-07-05T06:39:18-0600',mode:absolute,to:'2017-07-05T09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86" t="str">
        <f t="shared" si="1"/>
        <v>"C:\Program Files (x86)\AstroGrep\AstroGrep.exe" /e /r /s /spath="%USERPROFILE%\AppData\Local\Temp\OnboardLogs" /stypes="*4005*201707051*"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42921.589687500003</v>
      </c>
      <c r="W19" s="45" t="str">
        <f t="shared" si="4"/>
        <v>EC</v>
      </c>
      <c r="X19" s="22">
        <f t="shared" si="5"/>
        <v>126</v>
      </c>
      <c r="Y19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ID","value":"126-05"},{"id":16,"name":"Locomotive ID","value":"4005"},{"id":130,"name":"Impact","value":""},{"id":150,"name":"Time of Event (Mountain Time)","value":"08:09:09"},{"id":151,"name":"Denver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/c/Users/stu/AppData/Local/Temp/OnboardLogs/RTDC4005 --include="*4005*201707051*"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"%USERPROFILE%\AppData\Local\Temp\OnboardLogs"\RTDC4005\*4005*201707051* &gt;&gt; 2017-07-05-SliceDisagreementCheck.txt</v>
      </c>
      <c r="AE19" s="145" t="str">
        <f t="shared" si="9"/>
        <v>start /low /b %USERPROFILE%\Documents\GitHub\eaglep3\Utilities\DownloadLogsFromS3.py --loco 4005 --day 2017-07-05</v>
      </c>
      <c r="AF19" s="1"/>
    </row>
    <row r="20" spans="1:32" x14ac:dyDescent="0.25">
      <c r="A20" s="31">
        <v>42921.370046296295</v>
      </c>
      <c r="B20" s="30" t="s">
        <v>365</v>
      </c>
      <c r="C20" s="30" t="s">
        <v>584</v>
      </c>
      <c r="D20" s="30" t="s">
        <v>49</v>
      </c>
      <c r="E20" s="30" t="s">
        <v>187</v>
      </c>
      <c r="F20" s="42">
        <v>0</v>
      </c>
      <c r="G20" s="42">
        <v>151</v>
      </c>
      <c r="H20" s="42">
        <v>59477</v>
      </c>
      <c r="I20" s="42">
        <v>59315</v>
      </c>
      <c r="J20" s="30" t="s">
        <v>188</v>
      </c>
      <c r="K20" s="42">
        <v>58904</v>
      </c>
      <c r="L20" s="131" t="s">
        <v>51</v>
      </c>
      <c r="M20" s="132">
        <f t="shared" si="0"/>
        <v>217.00800000000001</v>
      </c>
      <c r="N20" s="133" t="str">
        <f>VLOOKUP(C20,'Trips&amp;Operators'!$C$1:$G$99999,5,FALSE)</f>
        <v>YANG JAN</v>
      </c>
      <c r="O20" s="203" t="s">
        <v>180</v>
      </c>
      <c r="P20" s="134" t="s">
        <v>477</v>
      </c>
      <c r="Q20" s="30"/>
      <c r="R20" s="81" t="str">
        <f>VLOOKUP(C20,'Train Runs'!$A$13:$AE$9933,31,0)</f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S20" s="84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-07-05T07:22:14-0600',mode:absolute,to:'2017-07-05T10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/stypes="*4013*201707051*"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42921.620046296295</v>
      </c>
      <c r="W20" s="45" t="str">
        <f t="shared" si="4"/>
        <v>EC</v>
      </c>
      <c r="X20" s="22">
        <f t="shared" si="5"/>
        <v>132</v>
      </c>
      <c r="Y20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ID","value":"132-05"},{"id":16,"name":"Locomotive ID","value":"4013"},{"id":130,"name":"Impact","value":""},{"id":150,"name":"Time of Event (Mountain Time)","value":"08:52:52"},{"id":151,"name":"Denver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/c/Users/stu/AppData/Local/Temp/OnboardLogs/RTDC4013 --include="*4013*201707051*"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"%USERPROFILE%\AppData\Local\Temp\OnboardLogs"\RTDC4013\*4013*201707051* &gt;&gt; 2017-07-05-SliceDisagreementCheck.txt</v>
      </c>
      <c r="AE20" s="145" t="str">
        <f t="shared" si="9"/>
        <v>start /low /b %USERPROFILE%\Documents\GitHub\eaglep3\Utilities\DownloadLogsFromS3.py --loco 4013 --day 2017-07-05</v>
      </c>
      <c r="AF20" s="1"/>
    </row>
    <row r="21" spans="1:32" x14ac:dyDescent="0.25">
      <c r="A21" s="31">
        <v>42921.402048611111</v>
      </c>
      <c r="B21" s="30" t="s">
        <v>587</v>
      </c>
      <c r="C21" s="30" t="s">
        <v>588</v>
      </c>
      <c r="D21" s="30" t="s">
        <v>49</v>
      </c>
      <c r="E21" s="30" t="s">
        <v>187</v>
      </c>
      <c r="F21" s="42">
        <v>0</v>
      </c>
      <c r="G21" s="42">
        <v>94</v>
      </c>
      <c r="H21" s="42">
        <v>59238</v>
      </c>
      <c r="I21" s="42">
        <v>59157</v>
      </c>
      <c r="J21" s="30" t="s">
        <v>188</v>
      </c>
      <c r="K21" s="42">
        <v>58904</v>
      </c>
      <c r="L21" s="131" t="s">
        <v>51</v>
      </c>
      <c r="M21" s="132">
        <f t="shared" si="0"/>
        <v>133.584</v>
      </c>
      <c r="N21" s="133" t="str">
        <f>VLOOKUP(C21,'Trips&amp;Operators'!$C$1:$G$99999,5,FALSE)</f>
        <v>DAVIS WENDY</v>
      </c>
      <c r="O21" s="203" t="s">
        <v>180</v>
      </c>
      <c r="P21" s="134" t="s">
        <v>477</v>
      </c>
      <c r="Q21" s="30"/>
      <c r="R21" s="81" t="str">
        <f>VLOOKUP(C21,'Train Runs'!$A$13:$AE$9933,31,0)</f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S21" s="84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-07-05T08:06:00-0600',mode:absolute,to:'2017-07-05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86" t="str">
        <f t="shared" si="1"/>
        <v>"C:\Program Files (x86)\AstroGrep\AstroGrep.exe" /e /r /s /spath="%USERPROFILE%\AppData\Local\Temp\OnboardLogs" /stypes="*4053*201707051*"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4053</v>
      </c>
      <c r="V21" s="31">
        <f t="shared" si="3"/>
        <v>42921.652048611111</v>
      </c>
      <c r="W21" s="45" t="str">
        <f t="shared" si="4"/>
        <v>EC</v>
      </c>
      <c r="X21" s="22">
        <f t="shared" si="5"/>
        <v>138</v>
      </c>
      <c r="Y21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ID","value":"138-05"},{"id":16,"name":"Locomotive ID","value":"4053"},{"id":130,"name":"Impact","value":""},{"id":150,"name":"Time of Event (Mountain Time)","value":"09:38:57"},{"id":151,"name":"Denver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/c/Users/stu/AppData/Local/Temp/OnboardLogs/RTDC4053 --include="*4053*201707051*"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"%USERPROFILE%\AppData\Local\Temp\OnboardLogs"\RTDC4053\*4053*201707051* &gt;&gt; 2017-07-05-SliceDisagreementCheck.txt</v>
      </c>
      <c r="AE21" s="145" t="str">
        <f t="shared" si="9"/>
        <v>start /low /b %USERPROFILE%\Documents\GitHub\eaglep3\Utilities\DownloadLogsFromS3.py --loco 4053 --day 2017-07-05</v>
      </c>
      <c r="AF21" s="1"/>
    </row>
    <row r="22" spans="1:32" x14ac:dyDescent="0.25">
      <c r="A22" s="31">
        <v>42921.569814814815</v>
      </c>
      <c r="B22" s="30" t="s">
        <v>605</v>
      </c>
      <c r="C22" s="30" t="s">
        <v>606</v>
      </c>
      <c r="D22" s="30" t="s">
        <v>49</v>
      </c>
      <c r="E22" s="30" t="s">
        <v>187</v>
      </c>
      <c r="F22" s="42">
        <v>0</v>
      </c>
      <c r="G22" s="42">
        <v>122</v>
      </c>
      <c r="H22" s="42">
        <v>59376</v>
      </c>
      <c r="I22" s="42">
        <v>59256</v>
      </c>
      <c r="J22" s="30" t="s">
        <v>188</v>
      </c>
      <c r="K22" s="42">
        <v>58904</v>
      </c>
      <c r="L22" s="131" t="s">
        <v>51</v>
      </c>
      <c r="M22" s="132">
        <f t="shared" si="0"/>
        <v>185.85599999999999</v>
      </c>
      <c r="N22" s="133" t="str">
        <f>VLOOKUP(C22,'Trips&amp;Operators'!$C$1:$G$99999,5,FALSE)</f>
        <v>RESPASS AARON</v>
      </c>
      <c r="O22" s="203" t="s">
        <v>180</v>
      </c>
      <c r="P22" s="134" t="s">
        <v>477</v>
      </c>
      <c r="Q22" s="30"/>
      <c r="R22" s="81" t="str">
        <f>VLOOKUP(C22,'Train Runs'!$A$13:$AE$9933,31,0)</f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S22" s="84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-07-05T12:03:00-0600',mode:absolute,to:'2017-07-05T14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 t="shared" si="1"/>
        <v>"C:\Program Files (x86)\AstroGrep\AstroGrep.exe" /e /r /s /spath="%USERPROFILE%\AppData\Local\Temp\OnboardLogs" /stypes="*4055*201707051*"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4055</v>
      </c>
      <c r="V22" s="31">
        <f t="shared" si="3"/>
        <v>42921.819814814815</v>
      </c>
      <c r="W22" s="45" t="str">
        <f t="shared" si="4"/>
        <v>EC</v>
      </c>
      <c r="X22" s="22">
        <f t="shared" si="5"/>
        <v>170</v>
      </c>
      <c r="Y22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ID","value":"170-05"},{"id":16,"name":"Locomotive ID","value":"4055"},{"id":130,"name":"Impact","value":""},{"id":150,"name":"Time of Event (Mountain Time)","value":"13:40:32"},{"id":151,"name":"Denver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/c/Users/stu/AppData/Local/Temp/OnboardLogs/RTDC4055 --include="*4055*201707051*"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"%USERPROFILE%\AppData\Local\Temp\OnboardLogs"\RTDC4055\*4055*201707051* &gt;&gt; 2017-07-05-SliceDisagreementCheck.txt</v>
      </c>
      <c r="AE22" s="145" t="str">
        <f t="shared" si="9"/>
        <v>start /low /b %USERPROFILE%\Documents\GitHub\eaglep3\Utilities\DownloadLogsFromS3.py --loco 4055 --day 2017-07-05</v>
      </c>
      <c r="AF22" s="1"/>
    </row>
    <row r="23" spans="1:32" x14ac:dyDescent="0.25">
      <c r="A23" s="31">
        <v>42921.588726851849</v>
      </c>
      <c r="B23" s="30" t="s">
        <v>365</v>
      </c>
      <c r="C23" s="30" t="s">
        <v>608</v>
      </c>
      <c r="D23" s="30" t="s">
        <v>49</v>
      </c>
      <c r="E23" s="30" t="s">
        <v>187</v>
      </c>
      <c r="F23" s="42">
        <v>0</v>
      </c>
      <c r="G23" s="42">
        <v>154</v>
      </c>
      <c r="H23" s="42">
        <v>59559</v>
      </c>
      <c r="I23" s="42">
        <v>59302</v>
      </c>
      <c r="J23" s="30" t="s">
        <v>188</v>
      </c>
      <c r="K23" s="42">
        <v>58904</v>
      </c>
      <c r="L23" s="131" t="s">
        <v>51</v>
      </c>
      <c r="M23" s="132">
        <f t="shared" si="0"/>
        <v>210.14400000000001</v>
      </c>
      <c r="N23" s="133" t="str">
        <f>VLOOKUP(C23,'Trips&amp;Operators'!$C$1:$G$99999,5,FALSE)</f>
        <v>HOLCOMB KAMDEN</v>
      </c>
      <c r="O23" s="203" t="s">
        <v>180</v>
      </c>
      <c r="P23" s="134" t="s">
        <v>477</v>
      </c>
      <c r="Q23" s="30"/>
      <c r="R23" s="81" t="str">
        <f>VLOOKUP(C23,'Train Runs'!$A$13:$AE$9933,31,0)</f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S23" s="84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-07-05T12:36:07-0600',mode:absolute,to:'2017-07-05T15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 t="shared" si="1"/>
        <v>"C:\Program Files (x86)\AstroGrep\AstroGrep.exe" /e /r /s /spath="%USERPROFILE%\AppData\Local\Temp\OnboardLogs" /stypes="*4013*201707052*"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4013</v>
      </c>
      <c r="V23" s="31">
        <f t="shared" si="3"/>
        <v>42921.838726851849</v>
      </c>
      <c r="W23" s="45" t="str">
        <f t="shared" si="4"/>
        <v>EC</v>
      </c>
      <c r="X23" s="22">
        <f t="shared" si="5"/>
        <v>174</v>
      </c>
      <c r="Y23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ID","value":"174-05"},{"id":16,"name":"Locomotive ID","value":"4013"},{"id":130,"name":"Impact","value":""},{"id":150,"name":"Time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/c/Users/stu/AppData/Local/Temp/OnboardLogs/RTDC4013 --include="*4013*201707052*"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"%USERPROFILE%\AppData\Local\Temp\OnboardLogs"\RTDC4013\*4013*201707052* &gt;&gt; 2017-07-05-SliceDisagreementCheck.txt</v>
      </c>
      <c r="AE23" s="145" t="str">
        <f t="shared" si="9"/>
        <v>start /low /b %USERPROFILE%\Documents\GitHub\eaglep3\Utilities\DownloadLogsFromS3.py --loco 4013 --day 2017-07-05</v>
      </c>
      <c r="AF23" s="1"/>
    </row>
    <row r="24" spans="1:32" x14ac:dyDescent="0.25">
      <c r="A24" s="31">
        <v>42921.599606481483</v>
      </c>
      <c r="B24" s="30" t="s">
        <v>575</v>
      </c>
      <c r="C24" s="30" t="s">
        <v>609</v>
      </c>
      <c r="D24" s="30" t="s">
        <v>49</v>
      </c>
      <c r="E24" s="30" t="s">
        <v>187</v>
      </c>
      <c r="F24" s="42">
        <v>0</v>
      </c>
      <c r="G24" s="42">
        <v>96</v>
      </c>
      <c r="H24" s="42">
        <v>59244</v>
      </c>
      <c r="I24" s="42">
        <v>59106</v>
      </c>
      <c r="J24" s="30" t="s">
        <v>188</v>
      </c>
      <c r="K24" s="42">
        <v>58904</v>
      </c>
      <c r="L24" s="131" t="s">
        <v>51</v>
      </c>
      <c r="M24" s="132">
        <f t="shared" si="0"/>
        <v>106.65600000000001</v>
      </c>
      <c r="N24" s="133" t="str">
        <f>VLOOKUP(C24,'Trips&amp;Operators'!$C$1:$G$99999,5,FALSE)</f>
        <v>STEWART MICHAEL</v>
      </c>
      <c r="O24" s="203" t="s">
        <v>180</v>
      </c>
      <c r="P24" s="134" t="s">
        <v>477</v>
      </c>
      <c r="Q24" s="30"/>
      <c r="R24" s="81" t="str">
        <f>VLOOKUP(C24,'Train Runs'!$A$13:$AE$9933,31,0)</f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S24" s="84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-07-05T12:56:43-0600',mode:absolute,to:'2017-07-05T15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86" t="str">
        <f t="shared" si="1"/>
        <v>"C:\Program Files (x86)\AstroGrep\AstroGrep.exe" /e /r /s /spath="%USERPROFILE%\AppData\Local\Temp\OnboardLogs" /stypes="*4041*201707052*"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4041</v>
      </c>
      <c r="V24" s="31">
        <f t="shared" si="3"/>
        <v>42921.849606481483</v>
      </c>
      <c r="W24" s="45" t="str">
        <f t="shared" si="4"/>
        <v>EC</v>
      </c>
      <c r="X24" s="22">
        <f t="shared" si="5"/>
        <v>176</v>
      </c>
      <c r="Y24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ID","value":"176-05"},{"id":16,"name":"Locomotive ID","value":"4041"},{"id":130,"name":"Impact","value":""},{"id":150,"name":"Time of Event (Mountain Time)","value":"14:23:26"},{"id":151,"name":"Denver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/c/Users/stu/AppData/Local/Temp/OnboardLogs/RTDC4041 --include="*4041*201707052*"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"%USERPROFILE%\AppData\Local\Temp\OnboardLogs"\RTDC4041\*4041*201707052* &gt;&gt; 2017-07-05-SliceDisagreementCheck.txt</v>
      </c>
      <c r="AE24" s="145" t="str">
        <f t="shared" si="9"/>
        <v>start /low /b %USERPROFILE%\Documents\GitHub\eaglep3\Utilities\DownloadLogsFromS3.py --loco 4041 --day 2017-07-05</v>
      </c>
      <c r="AF24" s="1"/>
    </row>
    <row r="25" spans="1:32" x14ac:dyDescent="0.25">
      <c r="A25" s="31">
        <v>42921.807141203702</v>
      </c>
      <c r="B25" s="30" t="s">
        <v>365</v>
      </c>
      <c r="C25" s="30" t="s">
        <v>626</v>
      </c>
      <c r="D25" s="30" t="s">
        <v>49</v>
      </c>
      <c r="E25" s="30" t="s">
        <v>187</v>
      </c>
      <c r="F25" s="42">
        <v>0</v>
      </c>
      <c r="G25" s="42">
        <v>118</v>
      </c>
      <c r="H25" s="42">
        <v>59354</v>
      </c>
      <c r="I25" s="42">
        <v>59258</v>
      </c>
      <c r="J25" s="30" t="s">
        <v>188</v>
      </c>
      <c r="K25" s="42">
        <v>58904</v>
      </c>
      <c r="L25" s="131" t="s">
        <v>51</v>
      </c>
      <c r="M25" s="132">
        <f t="shared" si="0"/>
        <v>186.91200000000001</v>
      </c>
      <c r="N25" s="133" t="str">
        <f>VLOOKUP(C25,'Trips&amp;Operators'!$C$1:$G$99999,5,FALSE)</f>
        <v>HOLCOMB KAMDEN</v>
      </c>
      <c r="O25" s="203" t="s">
        <v>180</v>
      </c>
      <c r="P25" s="134" t="s">
        <v>477</v>
      </c>
      <c r="Q25" s="30"/>
      <c r="R25" s="81" t="str">
        <f>VLOOKUP(C25,'Train Runs'!$A$13:$AE$9933,31,0)</f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S25" s="84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-07-05T17:52:51-0600',mode:absolute,to:'2017-07-05T20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6" t="str">
        <f t="shared" si="1"/>
        <v>"C:\Program Files (x86)\AstroGrep\AstroGrep.exe" /e /r /s /spath="%USERPROFILE%\AppData\Local\Temp\OnboardLogs" /stypes="*4013*201707060*"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42922.057141203702</v>
      </c>
      <c r="W25" s="45" t="str">
        <f t="shared" si="4"/>
        <v>EC</v>
      </c>
      <c r="X25" s="22">
        <f t="shared" si="5"/>
        <v>216</v>
      </c>
      <c r="Y25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ID","value":"216-05"},{"id":16,"name":"Locomotive ID","value":"4013"},{"id":130,"name":"Impact","value":""},{"id":150,"name":"Time of Event (Mountain Time)","value":"19:22:17"},{"id":151,"name":"Denver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/c/Users/stu/AppData/Local/Temp/OnboardLogs/RTDC4013 --include="*4013*201707060*"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"%USERPROFILE%\AppData\Local\Temp\OnboardLogs"\RTDC4013\*4013*201707060* &gt;&gt; 2017-07-05-SliceDisagreementCheck.txt</v>
      </c>
      <c r="AE25" s="145" t="str">
        <f t="shared" si="9"/>
        <v>start /low /b %USERPROFILE%\Documents\GitHub\eaglep3\Utilities\DownloadLogsFromS3.py --loco 4013 --day 2017-07-06</v>
      </c>
      <c r="AF25" s="1"/>
    </row>
    <row r="26" spans="1:32" x14ac:dyDescent="0.25">
      <c r="A26" s="31">
        <v>42921.829386574071</v>
      </c>
      <c r="B26" s="30" t="s">
        <v>442</v>
      </c>
      <c r="C26" s="30" t="s">
        <v>627</v>
      </c>
      <c r="D26" s="30" t="s">
        <v>49</v>
      </c>
      <c r="E26" s="30" t="s">
        <v>187</v>
      </c>
      <c r="F26" s="42">
        <v>0</v>
      </c>
      <c r="G26" s="42">
        <v>154</v>
      </c>
      <c r="H26" s="42">
        <v>59521</v>
      </c>
      <c r="I26" s="42">
        <v>59273</v>
      </c>
      <c r="J26" s="30" t="s">
        <v>188</v>
      </c>
      <c r="K26" s="42">
        <v>58904</v>
      </c>
      <c r="L26" s="131" t="s">
        <v>51</v>
      </c>
      <c r="M26" s="132">
        <f t="shared" si="0"/>
        <v>194.83199999999999</v>
      </c>
      <c r="N26" s="133" t="str">
        <f>VLOOKUP(C26,'Trips&amp;Operators'!$C$1:$G$99999,5,FALSE)</f>
        <v>LAMAR NEKESHA</v>
      </c>
      <c r="O26" s="203" t="s">
        <v>180</v>
      </c>
      <c r="P26" s="134" t="s">
        <v>477</v>
      </c>
      <c r="Q26" s="30"/>
      <c r="R26" s="81" t="str">
        <f>VLOOKUP(C26,'Train Runs'!$A$13:$AE$9933,31,0)</f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S26" s="84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-07-05T18:23:39-0600',mode:absolute,to:'2017-07-05T21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86" t="str">
        <f t="shared" si="1"/>
        <v>"C:\Program Files (x86)\AstroGrep\AstroGrep.exe" /e /r /s /spath="%USERPROFILE%\AppData\Local\Temp\OnboardLogs" /stypes="*4007*201707060*" /stext=" 01:.+((SYSTEM_STATE.+slice.+state.+changed )|(ment ac)|(multiple cpu faults)|(system.+state.+changed )|(\[timeout)|(PRM\|1\|D)|(kpr)|(kdp)|(train st.+moving)|(\|lc)|(penalty))"</v>
      </c>
      <c r="U26" s="9" t="str">
        <f t="shared" si="2"/>
        <v>4007</v>
      </c>
      <c r="V26" s="31">
        <f t="shared" si="3"/>
        <v>42922.079386574071</v>
      </c>
      <c r="W26" s="45" t="str">
        <f t="shared" si="4"/>
        <v>EC</v>
      </c>
      <c r="X26" s="22">
        <f t="shared" si="5"/>
        <v>220</v>
      </c>
      <c r="Y26" s="96" t="str">
        <f t="shared" si="6"/>
        <v>echo {"issue":{"subject":"Form C","project_id":79,"tracker_id":40,"status_id":1,"priority_id":2,"assigned_to_id":23,"start_date":"2017-07-05","description":"","custom_fields":[{"id":1,"name":"Subdivision","value":"EC"},{"id":4,"name":"Milepost","value":"5.8904"},{"id":17,"name":"Train ID","value":"220-05"},{"id":16,"name":"Locomotive ID","value":"4007"},{"id":130,"name":"Impact","value":""},{"id":150,"name":"Time of Event (Mountain Time)","value":"19:54:19"},{"id":151,"name":"Denver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/c/Users/stu/AppData/Local/Temp/OnboardLogs/RTDC4007 --include="*4007*201707060*"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"%USERPROFILE%\AppData\Local\Temp\OnboardLogs"\RTDC4007\*4007*201707060* &gt;&gt; 2017-07-05-SliceDisagreementCheck.txt</v>
      </c>
      <c r="AE26" s="145" t="str">
        <f t="shared" si="9"/>
        <v>start /low /b %USERPROFILE%\Documents\GitHub\eaglep3\Utilities\DownloadLogsFromS3.py --loco 4007 --day 2017-07-06</v>
      </c>
      <c r="AF26" s="1"/>
    </row>
    <row r="27" spans="1:32" x14ac:dyDescent="0.25">
      <c r="A27" s="31">
        <v>42921.313206018516</v>
      </c>
      <c r="B27" s="30" t="s">
        <v>442</v>
      </c>
      <c r="C27" s="30" t="s">
        <v>580</v>
      </c>
      <c r="D27" s="30" t="s">
        <v>49</v>
      </c>
      <c r="E27" s="30" t="s">
        <v>187</v>
      </c>
      <c r="F27" s="42">
        <v>0</v>
      </c>
      <c r="G27" s="42">
        <v>391</v>
      </c>
      <c r="H27" s="42">
        <v>109442</v>
      </c>
      <c r="I27" s="42">
        <v>108439</v>
      </c>
      <c r="J27" s="30" t="s">
        <v>188</v>
      </c>
      <c r="K27" s="42">
        <v>109135</v>
      </c>
      <c r="L27" s="131" t="s">
        <v>51</v>
      </c>
      <c r="M27" s="132">
        <f t="shared" si="0"/>
        <v>-367.488</v>
      </c>
      <c r="N27" s="133" t="str">
        <f>VLOOKUP(C27,'Trips&amp;Operators'!$C$1:$G$99999,5,FALSE)</f>
        <v>MILLER KEVIN</v>
      </c>
      <c r="O27" s="203" t="s">
        <v>180</v>
      </c>
      <c r="P27" s="134" t="s">
        <v>441</v>
      </c>
      <c r="Q27" s="30"/>
      <c r="R27" s="81" t="str">
        <f>VLOOKUP(C27,'Train Runs'!$A$13:$AE$9933,31,0)</f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S27" s="84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-07-05T05:55:31-0600',mode:absolute,to:'2017-07-05T08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7" s="86" t="str">
        <f t="shared" si="1"/>
        <v>"C:\Program Files (x86)\AstroGrep\AstroGrep.exe" /e /r /s /spath="%USERPROFILE%\AppData\Local\Temp\OnboardLogs" /stypes="*4007*201707051*"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4007</v>
      </c>
      <c r="V27" s="31">
        <f t="shared" si="3"/>
        <v>42921.563206018516</v>
      </c>
      <c r="W27" s="45" t="str">
        <f t="shared" si="4"/>
        <v>EC</v>
      </c>
      <c r="X27" s="22">
        <f t="shared" si="5"/>
        <v>122</v>
      </c>
      <c r="Y27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arrival","project_id":79,"tracker_id":40,"status_id":1,"priority_id":2,"assigned_to_id":23,"start_date":"2017-07-05","description":"","custom_fields":[{"id":1,"name":"Subdivision","value":"EC"},{"id":4,"name":"Milepost","value":"10.9135"},{"id":17,"name":"Train ID","value":"122-05"},{"id":16,"name":"Locomotive ID","value":"4007"},{"id":130,"name":"Impact","value":""},{"id":150,"name":"Time of Event (Mountain Time)","value":"07:31:01"},{"id":151,"name":"Denver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/c/Users/stu/AppData/Local/Temp/OnboardLogs/RTDC4007 --include="*4007*201707051*"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"%USERPROFILE%\AppData\Local\Temp\OnboardLogs"\RTDC4007\*4007*201707051* &gt;&gt; 2017-07-05-SliceDisagreementCheck.txt</v>
      </c>
      <c r="AE27" s="145" t="str">
        <f t="shared" si="9"/>
        <v>start /low /b %USERPROFILE%\Documents\GitHub\eaglep3\Utilities\DownloadLogsFromS3.py --loco 4007 --day 2017-07-05</v>
      </c>
      <c r="AF27" s="1"/>
    </row>
    <row r="28" spans="1:32" x14ac:dyDescent="0.25">
      <c r="A28" s="31">
        <v>42921.333298611113</v>
      </c>
      <c r="B28" s="30" t="s">
        <v>582</v>
      </c>
      <c r="C28" s="30" t="s">
        <v>583</v>
      </c>
      <c r="D28" s="30" t="s">
        <v>49</v>
      </c>
      <c r="E28" s="30" t="s">
        <v>187</v>
      </c>
      <c r="F28" s="42">
        <v>370</v>
      </c>
      <c r="G28" s="42">
        <v>434</v>
      </c>
      <c r="H28" s="42">
        <v>110149</v>
      </c>
      <c r="I28" s="42">
        <v>108786</v>
      </c>
      <c r="J28" s="30" t="s">
        <v>188</v>
      </c>
      <c r="K28" s="42">
        <v>109135</v>
      </c>
      <c r="L28" s="131" t="s">
        <v>51</v>
      </c>
      <c r="M28" s="132">
        <f t="shared" si="0"/>
        <v>-184.27199999999999</v>
      </c>
      <c r="N28" s="133" t="str">
        <f>VLOOKUP(C28,'Trips&amp;Operators'!$C$1:$G$99999,5,FALSE)</f>
        <v>BONDS REYNALDO</v>
      </c>
      <c r="O28" s="203" t="s">
        <v>180</v>
      </c>
      <c r="P28" s="134" t="s">
        <v>441</v>
      </c>
      <c r="Q28" s="30"/>
      <c r="R28" s="81" t="str">
        <f>VLOOKUP(C28,'Train Runs'!$A$13:$AE$9933,31,0)</f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S28" s="84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-07-05T06:39:18-0600',mode:absolute,to:'2017-07-05T09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86" t="str">
        <f t="shared" si="1"/>
        <v>"C:\Program Files (x86)\AstroGrep\AstroGrep.exe" /e /r /s /spath="%USERPROFILE%\AppData\Local\Temp\OnboardLogs" /stypes="*4005*201707051*"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4005</v>
      </c>
      <c r="V28" s="31">
        <f t="shared" si="3"/>
        <v>42921.583298611113</v>
      </c>
      <c r="W28" s="45" t="str">
        <f t="shared" si="4"/>
        <v>EC</v>
      </c>
      <c r="X28" s="22">
        <f t="shared" si="5"/>
        <v>126</v>
      </c>
      <c r="Y28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arrival","project_id":79,"tracker_id":40,"status_id":1,"priority_id":2,"assigned_to_id":23,"start_date":"2017-07-05","description":"","custom_fields":[{"id":1,"name":"Subdivision","value":"EC"},{"id":4,"name":"Milepost","value":"10.9135"},{"id":17,"name":"Train ID","value":"126-05"},{"id":16,"name":"Locomotive ID","value":"4005"},{"id":130,"name":"Impact","value":""},{"id":150,"name":"Time of Event (Mountain Time)","value":"07:59:57"},{"id":151,"name":"Denver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/c/Users/stu/AppData/Local/Temp/OnboardLogs/RTDC4005 --include="*4005*201707051*"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"%USERPROFILE%\AppData\Local\Temp\OnboardLogs"\RTDC4005\*4005*201707051* &gt;&gt; 2017-07-05-SliceDisagreementCheck.txt</v>
      </c>
      <c r="AE28" s="145" t="str">
        <f t="shared" si="9"/>
        <v>start /low /b %USERPROFILE%\Documents\GitHub\eaglep3\Utilities\DownloadLogsFromS3.py --loco 4005 --day 2017-07-05</v>
      </c>
      <c r="AF28" s="1"/>
    </row>
    <row r="29" spans="1:32" x14ac:dyDescent="0.25">
      <c r="A29" s="31">
        <v>42921.823078703703</v>
      </c>
      <c r="B29" s="30" t="s">
        <v>442</v>
      </c>
      <c r="C29" s="30" t="s">
        <v>627</v>
      </c>
      <c r="D29" s="30" t="s">
        <v>49</v>
      </c>
      <c r="E29" s="30" t="s">
        <v>187</v>
      </c>
      <c r="F29" s="42">
        <v>370</v>
      </c>
      <c r="G29" s="42">
        <v>421</v>
      </c>
      <c r="H29" s="42">
        <v>110086</v>
      </c>
      <c r="I29" s="42">
        <v>108958</v>
      </c>
      <c r="J29" s="30" t="s">
        <v>188</v>
      </c>
      <c r="K29" s="42">
        <v>109135</v>
      </c>
      <c r="L29" s="131" t="s">
        <v>51</v>
      </c>
      <c r="M29" s="132">
        <f t="shared" si="0"/>
        <v>-93.456000000000003</v>
      </c>
      <c r="N29" s="133" t="str">
        <f>VLOOKUP(C29,'Trips&amp;Operators'!$C$1:$G$99999,5,FALSE)</f>
        <v>LAMAR NEKESHA</v>
      </c>
      <c r="O29" s="203" t="s">
        <v>180</v>
      </c>
      <c r="P29" s="134" t="s">
        <v>441</v>
      </c>
      <c r="Q29" s="30"/>
      <c r="R29" s="81" t="str">
        <f>VLOOKUP(C29,'Train Runs'!$A$13:$AE$9933,31,0)</f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S29" s="84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-07-05T18:23:39-0600',mode:absolute,to:'2017-07-05T21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86" t="str">
        <f t="shared" si="1"/>
        <v>"C:\Program Files (x86)\AstroGrep\AstroGrep.exe" /e /r /s /spath="%USERPROFILE%\AppData\Local\Temp\OnboardLogs" /stypes="*4007*201707060*"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4007</v>
      </c>
      <c r="V29" s="31">
        <f t="shared" si="3"/>
        <v>42922.073078703703</v>
      </c>
      <c r="W29" s="45" t="str">
        <f t="shared" si="4"/>
        <v>EC</v>
      </c>
      <c r="X29" s="22">
        <f t="shared" si="5"/>
        <v>220</v>
      </c>
      <c r="Y29" s="96" t="str">
        <f t="shared" si="6"/>
        <v>echo {"issue":{"subject":"Early arrival","project_id":79,"tracker_id":40,"status_id":1,"priority_id":2,"assigned_to_id":23,"start_date":"2017-07-05","description":"","custom_fields":[{"id":1,"name":"Subdivision","value":"EC"},{"id":4,"name":"Milepost","value":"10.9135"},{"id":17,"name":"Train ID","value":"220-05"},{"id":16,"name":"Locomotive ID","value":"4007"},{"id":130,"name":"Impact","value":""},{"id":150,"name":"Time of Event (Mountain Time)","value":"19:45:14"},{"id":151,"name":"Denver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/c/Users/stu/AppData/Local/Temp/OnboardLogs/RTDC4007 --include="*4007*201707060*"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"%USERPROFILE%\AppData\Local\Temp\OnboardLogs"\RTDC4007\*4007*201707060* &gt;&gt; 2017-07-05-SliceDisagreementCheck.txt</v>
      </c>
      <c r="AE29" s="145" t="str">
        <f t="shared" si="9"/>
        <v>start /low /b %USERPROFILE%\Documents\GitHub\eaglep3\Utilities\DownloadLogsFromS3.py --loco 4007 --day 2017-07-06</v>
      </c>
      <c r="AF29" s="1"/>
    </row>
    <row r="30" spans="1:32" x14ac:dyDescent="0.25">
      <c r="A30" s="31">
        <v>42921.758229166669</v>
      </c>
      <c r="B30" s="30" t="s">
        <v>442</v>
      </c>
      <c r="C30" s="30" t="s">
        <v>619</v>
      </c>
      <c r="D30" s="30" t="s">
        <v>49</v>
      </c>
      <c r="E30" s="30" t="s">
        <v>200</v>
      </c>
      <c r="F30" s="42">
        <v>200</v>
      </c>
      <c r="G30" s="42">
        <v>251</v>
      </c>
      <c r="H30" s="42">
        <v>30928</v>
      </c>
      <c r="I30" s="42">
        <v>30447</v>
      </c>
      <c r="J30" s="30" t="s">
        <v>201</v>
      </c>
      <c r="K30" s="42">
        <v>30562</v>
      </c>
      <c r="L30" s="131" t="s">
        <v>51</v>
      </c>
      <c r="M30" s="132">
        <f t="shared" si="0"/>
        <v>-60.72</v>
      </c>
      <c r="N30" s="133" t="str">
        <f>VLOOKUP(C30,'Trips&amp;Operators'!$C$1:$G$99999,5,FALSE)</f>
        <v>ROMERO CHAD</v>
      </c>
      <c r="O30" s="203" t="s">
        <v>180</v>
      </c>
      <c r="P30" s="134"/>
      <c r="Q30" s="30"/>
      <c r="R30" s="81" t="str">
        <f>VLOOKUP(C30,'Train Runs'!$A$13:$AE$9933,31,0)</f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S30" s="84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-07-05T16:27:01-0600',mode:absolute,to:'2017-07-05T19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0" s="86" t="str">
        <f t="shared" si="1"/>
        <v>"C:\Program Files (x86)\AstroGrep\AstroGrep.exe" /e /r /s /spath="%USERPROFILE%\AppData\Local\Temp\OnboardLogs" /stypes="*4007*201707060*"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4007</v>
      </c>
      <c r="V30" s="31">
        <f t="shared" si="3"/>
        <v>42922.008229166669</v>
      </c>
      <c r="W30" s="45" t="str">
        <f t="shared" si="4"/>
        <v>EC</v>
      </c>
      <c r="X30" s="22">
        <f t="shared" si="5"/>
        <v>206</v>
      </c>
      <c r="Y30" s="96" t="str">
        <f t="shared" si="6"/>
        <v>echo {"issue":{"subject":"","project_id":79,"tracker_id":40,"status_id":1,"priority_id":2,"assigned_to_id":23,"start_date":"2017-07-05","description":"","custom_fields":[{"id":1,"name":"Subdivision","value":"EC"},{"id":4,"name":"Milepost","value":"3.0562"},{"id":17,"name":"Train ID","value":"206-05"},{"id":16,"name":"Locomotive ID","value":"4007"},{"id":130,"name":"Impact","value":""},{"id":150,"name":"Time of Event (Mountain Time)","value":"18:11:51"},{"id":151,"name":"Denver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/c/Users/stu/AppData/Local/Temp/OnboardLogs/RTDC4007 --include="*4007*201707060*"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"%USERPROFILE%\AppData\Local\Temp\OnboardLogs"\RTDC4007\*4007*201707060* &gt;&gt; 2017-07-05-SliceDisagreementCheck.txt</v>
      </c>
      <c r="AE30" s="145" t="str">
        <f t="shared" si="9"/>
        <v>start /low /b %USERPROFILE%\Documents\GitHub\eaglep3\Utilities\DownloadLogsFromS3.py --loco 4007 --day 2017-07-06</v>
      </c>
      <c r="AF30" s="1"/>
    </row>
    <row r="31" spans="1:32" s="20" customFormat="1" x14ac:dyDescent="0.25">
      <c r="A31" s="31">
        <v>42921.524212962962</v>
      </c>
      <c r="B31" s="30" t="s">
        <v>442</v>
      </c>
      <c r="C31" s="30" t="s">
        <v>599</v>
      </c>
      <c r="D31" s="30" t="s">
        <v>96</v>
      </c>
      <c r="E31" s="30" t="s">
        <v>200</v>
      </c>
      <c r="F31" s="42">
        <v>700</v>
      </c>
      <c r="G31" s="42">
        <v>752</v>
      </c>
      <c r="H31" s="42">
        <v>176682</v>
      </c>
      <c r="I31" s="42">
        <v>173545</v>
      </c>
      <c r="J31" s="30" t="s">
        <v>201</v>
      </c>
      <c r="K31" s="42">
        <v>183829</v>
      </c>
      <c r="L31" s="131" t="s">
        <v>51</v>
      </c>
      <c r="M31" s="132">
        <f t="shared" si="0"/>
        <v>-5429.9520000000002</v>
      </c>
      <c r="N31" s="133" t="str">
        <f>VLOOKUP(C31,'Trips&amp;Operators'!$C$1:$G$99999,5,FALSE)</f>
        <v>ROMERO CHAD</v>
      </c>
      <c r="O31" s="203" t="s">
        <v>180</v>
      </c>
      <c r="P31" s="134"/>
      <c r="Q31" s="30"/>
      <c r="R31" s="81" t="str">
        <f>VLOOKUP(C31,'Train Runs'!$A$13:$AE$9933,31,0)</f>
        <v>aws s3 cp s3://rtdc.mdm.uploadarchive.raw/RTDC4007/ "%USERPROFILE%\AppData\Local\Temp\OnboardLogs"\RTDC4007\2017-07-05 --exclude "*" --recursive --include "*20170705*" &amp; "%USERPROFILE%\Documents\GitHub\mrs-test-scripts\Headless Mode &amp; Sideloading\WalkAndUnGZ.bat" "%USERPROFILE%\AppData\Local\Temp\OnboardLogs"\RTDC4007\2017-07-05 &amp; aws s3 cp s3://rtdc.mdm.uploadarchive.raw/RTDC4007/ "%USERPROFILE%\AppData\Local\Temp\OnboardLogs"\RTDC4007\2017-07-06 --exclude "*" --recursive --include "*20170706*" &amp; "%USERPROFILE%\Documents\GitHub\mrs-test-scripts\Headless Mode &amp; Sideloading\WalkAndUnGZ.bat" "%USERPROFILE%\AppData\Local\Temp\OnboardLogs"\RTDC4007\2017-07-06</v>
      </c>
      <c r="S31" s="84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-07-05T11:12:24-0600',mode:absolute,to:'2017-07-05T14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1" s="86" t="str">
        <f t="shared" si="1"/>
        <v>"C:\Program Files (x86)\AstroGrep\AstroGrep.exe" /e /r /s /spath="%USERPROFILE%\AppData\Local\Temp\OnboardLogs" /stypes="*4007*201707051*"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4007</v>
      </c>
      <c r="V31" s="31">
        <f t="shared" si="3"/>
        <v>42921.774212962962</v>
      </c>
      <c r="W31" s="45" t="str">
        <f t="shared" si="4"/>
        <v>EC</v>
      </c>
      <c r="X31" s="22">
        <f t="shared" si="5"/>
        <v>164</v>
      </c>
      <c r="Y31" s="96" t="str">
        <f t="shared" si="6"/>
        <v>echo {"issue":{"subject":"","project_id":79,"tracker_id":40,"status_id":1,"priority_id":2,"assigned_to_id":23,"start_date":"2017-07-05","description":"","custom_fields":[{"id":1,"name":"Subdivision","value":"EC"},{"id":4,"name":"Milepost","value":"18.3829"},{"id":17,"name":"Train ID","value":"164-05"},{"id":16,"name":"Locomotive ID","value":"4007"},{"id":130,"name":"Impact","value":""},{"id":150,"name":"Time of Event (Mountain Time)","value":"12:34:52"},{"id":151,"name":"Denver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/c/Users/stu/AppData/Local/Temp/OnboardLogs/RTDC4007 --include="*4007*201707051*"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"%USERPROFILE%\AppData\Local\Temp\OnboardLogs"\RTDC4007\*4007*201707051* &gt;&gt; 2017-07-05-SliceDisagreementCheck.txt</v>
      </c>
      <c r="AE31" s="145" t="str">
        <f t="shared" si="9"/>
        <v>start /low /b %USERPROFILE%\Documents\GitHub\eaglep3\Utilities\DownloadLogsFromS3.py --loco 4007 --day 2017-07-05</v>
      </c>
      <c r="AF31" s="1"/>
    </row>
    <row r="32" spans="1:32" x14ac:dyDescent="0.25">
      <c r="A32" s="31">
        <v>42921.676203703704</v>
      </c>
      <c r="B32" s="30" t="s">
        <v>587</v>
      </c>
      <c r="C32" s="30" t="s">
        <v>612</v>
      </c>
      <c r="D32" s="30" t="s">
        <v>96</v>
      </c>
      <c r="E32" s="30" t="s">
        <v>200</v>
      </c>
      <c r="F32" s="42">
        <v>350</v>
      </c>
      <c r="G32" s="42">
        <v>408</v>
      </c>
      <c r="H32" s="42">
        <v>229187</v>
      </c>
      <c r="I32" s="42">
        <v>228255</v>
      </c>
      <c r="J32" s="30" t="s">
        <v>201</v>
      </c>
      <c r="K32" s="42">
        <v>232107</v>
      </c>
      <c r="L32" s="131" t="s">
        <v>51</v>
      </c>
      <c r="M32" s="132">
        <f t="shared" si="0"/>
        <v>-2033.856</v>
      </c>
      <c r="N32" s="133" t="str">
        <f>VLOOKUP(C32,'Trips&amp;Operators'!$C$1:$G$99999,5,FALSE)</f>
        <v>BRUDER RICHARD</v>
      </c>
      <c r="O32" s="203" t="s">
        <v>180</v>
      </c>
      <c r="P32" s="134"/>
      <c r="Q32" s="30"/>
      <c r="R32" s="81" t="str">
        <f>VLOOKUP(C32,'Train Runs'!$A$13:$AE$9933,31,0)</f>
        <v>aws s3 cp s3://rtdc.mdm.uploadarchive.raw/RTDC4053/ "%USERPROFILE%\AppData\Local\Temp\OnboardLogs"\RTDC4053\2017-07-05 --exclude "*" --recursive --include "*20170705*" &amp; "%USERPROFILE%\Documents\GitHub\mrs-test-scripts\Headless Mode &amp; Sideloading\WalkAndUnGZ.bat" "%USERPROFILE%\AppData\Local\Temp\OnboardLogs"\RTDC4053\2017-07-05 &amp; aws s3 cp s3://rtdc.mdm.uploadarchive.raw/RTDC4053/ "%USERPROFILE%\AppData\Local\Temp\OnboardLogs"\RTDC4053\2017-07-06 --exclude "*" --recursive --include "*20170706*" &amp; "%USERPROFILE%\Documents\GitHub\mrs-test-scripts\Headless Mode &amp; Sideloading\WalkAndUnGZ.bat" "%USERPROFILE%\AppData\Local\Temp\OnboardLogs"\RTDC4053\2017-07-06</v>
      </c>
      <c r="S32" s="84" t="str">
        <f>VLOOKUP(C32,'Train Runs'!$A$13:$AE$9933,22,0)</f>
        <v>https://d0f6bd738d7f1b3e5a7ca70fe4ff75f0.us-east-1.aws.found.io/app/kibana#/discover/Steve-Slow-Train-Analysis-(2080s-and-2083s)?_g=(refreshInterval:(display:Off,pause:!f,section:0,value:0),time:(from:'2017-07-05T15:08:01-0600',mode:absolute,to:'2017-07-05T17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2" s="86" t="str">
        <f t="shared" si="1"/>
        <v>"C:\Program Files (x86)\AstroGrep\AstroGrep.exe" /e /r /s /spath="%USERPROFILE%\AppData\Local\Temp\OnboardLogs" /stypes="*4053*201707052*"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4053</v>
      </c>
      <c r="V32" s="31">
        <f t="shared" si="3"/>
        <v>42921.926203703704</v>
      </c>
      <c r="W32" s="45" t="str">
        <f t="shared" si="4"/>
        <v>EC</v>
      </c>
      <c r="X32" s="22">
        <f t="shared" si="5"/>
        <v>194</v>
      </c>
      <c r="Y32" s="96" t="str">
        <f t="shared" si="6"/>
        <v>echo {"issue":{"subject":"","project_id":79,"tracker_id":40,"status_id":1,"priority_id":2,"assigned_to_id":23,"start_date":"2017-07-05","description":"","custom_fields":[{"id":1,"name":"Subdivision","value":"EC"},{"id":4,"name":"Milepost","value":"23.2107"},{"id":17,"name":"Train ID","value":"194-05"},{"id":16,"name":"Locomotive ID","value":"4053"},{"id":130,"name":"Impact","value":""},{"id":150,"name":"Time of Event (Mountain Time)","value":"16:13:44"},{"id":151,"name":"Denver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/c/Users/stu/AppData/Local/Temp/OnboardLogs/RTDC4053 --include="*4053*201707052*"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"%USERPROFILE%\AppData\Local\Temp\OnboardLogs"\RTDC4053\*4053*201707052* &gt;&gt; 2017-07-05-SliceDisagreementCheck.txt</v>
      </c>
      <c r="AE32" s="145" t="str">
        <f t="shared" si="9"/>
        <v>start /low /b %USERPROFILE%\Documents\GitHub\eaglep3\Utilities\DownloadLogsFromS3.py --loco 4053 --day 2017-07-05</v>
      </c>
      <c r="AF32" s="1"/>
    </row>
    <row r="33" spans="1:32" x14ac:dyDescent="0.25">
      <c r="A33" s="31">
        <v>42921.690717592595</v>
      </c>
      <c r="B33" s="30" t="s">
        <v>614</v>
      </c>
      <c r="C33" s="30" t="s">
        <v>615</v>
      </c>
      <c r="D33" s="30" t="s">
        <v>49</v>
      </c>
      <c r="E33" s="30" t="s">
        <v>360</v>
      </c>
      <c r="F33" s="42">
        <v>0</v>
      </c>
      <c r="G33" s="42">
        <v>151</v>
      </c>
      <c r="H33" s="42">
        <v>192694</v>
      </c>
      <c r="I33" s="42">
        <v>192158</v>
      </c>
      <c r="J33" s="30" t="s">
        <v>361</v>
      </c>
      <c r="K33" s="42">
        <v>191723</v>
      </c>
      <c r="L33" s="131" t="s">
        <v>51</v>
      </c>
      <c r="M33" s="132">
        <f t="shared" si="0"/>
        <v>229.68</v>
      </c>
      <c r="N33" s="133" t="str">
        <f>VLOOKUP(C33,'Trips&amp;Operators'!$C$1:$G$99999,5,FALSE)</f>
        <v>LEVIN SCOTT</v>
      </c>
      <c r="O33" s="203" t="s">
        <v>180</v>
      </c>
      <c r="P33" s="134" t="s">
        <v>1052</v>
      </c>
      <c r="Q33" s="30"/>
      <c r="R33" s="81" t="str">
        <f>VLOOKUP(C33,'Train Runs'!$A$13:$AE$9933,31,0)</f>
        <v>aws s3 cp s3://rtdc.mdm.uploadarchive.raw/RTDC4061/ "%USERPROFILE%\AppData\Local\Temp\OnboardLogs"\RTDC4061\2017-07-05 --exclude "*" --recursive --include "*20170705*" &amp; "%USERPROFILE%\Documents\GitHub\mrs-test-scripts\Headless Mode &amp; Sideloading\WalkAndUnGZ.bat" "%USERPROFILE%\AppData\Local\Temp\OnboardLogs"\RTDC4061\2017-07-05 &amp; aws s3 cp s3://rtdc.mdm.uploadarchive.raw/RTDC4061/ "%USERPROFILE%\AppData\Local\Temp\OnboardLogs"\RTDC4061\2017-07-06 --exclude "*" --recursive --include "*20170706*" &amp; "%USERPROFILE%\Documents\GitHub\mrs-test-scripts\Headless Mode &amp; Sideloading\WalkAndUnGZ.bat" "%USERPROFILE%\AppData\Local\Temp\OnboardLogs"\RTDC4061\2017-07-06</v>
      </c>
      <c r="S33" s="84" t="str">
        <f>VLOOKUP(C33,'Train Runs'!$A$13:$AE$9933,22,0)</f>
        <v>https://d0f6bd738d7f1b3e5a7ca70fe4ff75f0.us-east-1.aws.found.io/app/kibana#/discover/Steve-Slow-Train-Analysis-(2080s-and-2083s)?_g=(refreshInterval:(display:Off,pause:!f,section:0,value:0),time:(from:'2017-07-05T15:22:22-0600',mode:absolute,to:'2017-07-05T18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3" s="86" t="str">
        <f t="shared" si="1"/>
        <v>"C:\Program Files (x86)\AstroGrep\AstroGrep.exe" /e /r /s /spath="%USERPROFILE%\AppData\Local\Temp\OnboardLogs" /stypes="*4061*201707052*"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4061</v>
      </c>
      <c r="V33" s="31">
        <f t="shared" si="3"/>
        <v>42921.940717592595</v>
      </c>
      <c r="W33" s="45" t="str">
        <f t="shared" si="4"/>
        <v>EC</v>
      </c>
      <c r="X33" s="22">
        <f t="shared" si="5"/>
        <v>196</v>
      </c>
      <c r="Y33" s="96" t="str">
        <f t="shared" si="6"/>
        <v>echo {"issue":{"subject":"Pena 2S STOP","project_id":79,"tracker_id":40,"status_id":1,"priority_id":2,"assigned_to_id":23,"start_date":"2017-07-05","description":"","custom_fields":[{"id":1,"name":"Subdivision","value":"EC"},{"id":4,"name":"Milepost","value":"19.1723"},{"id":17,"name":"Train ID","value":"196-05"},{"id":16,"name":"Locomotive ID","value":"4061"},{"id":130,"name":"Impact","value":""},{"id":150,"name":"Time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/c/Users/stu/AppData/Local/Temp/OnboardLogs/RTDC4061 --include="*4061*201707052*"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"%USERPROFILE%\AppData\Local\Temp\OnboardLogs"\RTDC4061\*4061*201707052* &gt;&gt; 2017-07-05-SliceDisagreementCheck.txt</v>
      </c>
      <c r="AE33" s="145" t="str">
        <f t="shared" si="9"/>
        <v>start /low /b %USERPROFILE%\Documents\GitHub\eaglep3\Utilities\DownloadLogsFromS3.py --loco 4061 --day 2017-07-05</v>
      </c>
      <c r="AF33" s="1"/>
    </row>
    <row r="34" spans="1:32" x14ac:dyDescent="0.25">
      <c r="A34" s="31">
        <v>42921.76635416667</v>
      </c>
      <c r="B34" s="30" t="s">
        <v>431</v>
      </c>
      <c r="C34" s="30" t="s">
        <v>620</v>
      </c>
      <c r="D34" s="30" t="s">
        <v>49</v>
      </c>
      <c r="E34" s="30" t="s">
        <v>360</v>
      </c>
      <c r="F34" s="42">
        <v>0</v>
      </c>
      <c r="G34" s="42">
        <v>33</v>
      </c>
      <c r="H34" s="42">
        <v>228053</v>
      </c>
      <c r="I34" s="42">
        <v>228097</v>
      </c>
      <c r="J34" s="30" t="s">
        <v>361</v>
      </c>
      <c r="K34" s="42">
        <v>228572</v>
      </c>
      <c r="L34" s="131" t="s">
        <v>50</v>
      </c>
      <c r="M34" s="132">
        <f t="shared" si="0"/>
        <v>250.8</v>
      </c>
      <c r="N34" s="133" t="str">
        <f>VLOOKUP(C34,'Trips&amp;Operators'!$C$1:$G$99999,5,FALSE)</f>
        <v>HAITHCOX MICHAEL</v>
      </c>
      <c r="O34" s="203" t="s">
        <v>180</v>
      </c>
      <c r="P34" s="134" t="s">
        <v>1047</v>
      </c>
      <c r="Q34" s="30"/>
      <c r="R34" s="81" t="str">
        <f>VLOOKUP(C34,'Train Runs'!$A$13:$AE$9933,31,0)</f>
        <v>aws s3 cp s3://rtdc.mdm.uploadarchive.raw/RTDC4018/ "%USERPROFILE%\AppData\Local\Temp\OnboardLogs"\RTDC4018\2017-07-05 --exclude "*" --recursive --include "*20170705*" &amp; "%USERPROFILE%\Documents\GitHub\mrs-test-scripts\Headless Mode &amp; Sideloading\WalkAndUnGZ.bat" "%USERPROFILE%\AppData\Local\Temp\OnboardLogs"\RTDC4018\2017-07-05 &amp; aws s3 cp s3://rtdc.mdm.uploadarchive.raw/RTDC4018/ "%USERPROFILE%\AppData\Local\Temp\OnboardLogs"\RTDC4018\2017-07-06 --exclude "*" --recursive --include "*20170706*" &amp; "%USERPROFILE%\Documents\GitHub\mrs-test-scripts\Headless Mode &amp; Sideloading\WalkAndUnGZ.bat" "%USERPROFILE%\AppData\Local\Temp\OnboardLogs"\RTDC4018\2017-07-06</v>
      </c>
      <c r="S34" s="84" t="str">
        <f>VLOOKUP(C34,'Train Runs'!$A$13:$AE$9933,22,0)</f>
        <v>https://d0f6bd738d7f1b3e5a7ca70fe4ff75f0.us-east-1.aws.found.io/app/kibana#/discover/Steve-Slow-Train-Analysis-(2080s-and-2083s)?_g=(refreshInterval:(display:Off,pause:!f,section:0,value:0),time:(from:'2017-07-05T16:43:12-0600',mode:absolute,to:'2017-07-05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4" s="86" t="str">
        <f t="shared" si="1"/>
        <v>"C:\Program Files (x86)\AstroGrep\AstroGrep.exe" /e /r /s /spath="%USERPROFILE%\AppData\Local\Temp\OnboardLogs" /stypes="*4018*201707060*"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4018</v>
      </c>
      <c r="V34" s="31">
        <f t="shared" si="3"/>
        <v>42922.01635416667</v>
      </c>
      <c r="W34" s="45" t="str">
        <f t="shared" si="4"/>
        <v>EC</v>
      </c>
      <c r="X34" s="22">
        <f t="shared" si="5"/>
        <v>213</v>
      </c>
      <c r="Y34" s="96" t="str">
        <f t="shared" si="6"/>
        <v>echo {"issue":{"subject":"DTO Barricade Test","project_id":79,"tracker_id":40,"status_id":1,"priority_id":2,"assigned_to_id":23,"start_date":"2017-07-05","description":"","custom_fields":[{"id":1,"name":"Subdivision","value":"EC"},{"id":4,"name":"Milepost","value":"22.8572"},{"id":17,"name":"Train ID","value":"213-05"},{"id":16,"name":"Locomotive ID","value":"4018"},{"id":130,"name":"Impact","value":""},{"id":150,"name":"Time of Event (Mountain Time)","value":"18:23:33"},{"id":151,"name":"Denver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/c/Users/stu/AppData/Local/Temp/OnboardLogs/RTDC4018 --include="*4018*201707060*"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"%USERPROFILE%\AppData\Local\Temp\OnboardLogs"\RTDC4018\*4018*201707060* &gt;&gt; 2017-07-05-SliceDisagreementCheck.txt</v>
      </c>
      <c r="AE34" s="145" t="str">
        <f t="shared" si="9"/>
        <v>start /low /b %USERPROFILE%\Documents\GitHub\eaglep3\Utilities\DownloadLogsFromS3.py --loco 4018 --day 2017-07-06</v>
      </c>
      <c r="AF34" s="1"/>
    </row>
    <row r="35" spans="1:32" x14ac:dyDescent="0.25">
      <c r="A35" s="31">
        <v>42921.409872685188</v>
      </c>
      <c r="B35" s="30" t="s">
        <v>582</v>
      </c>
      <c r="C35" s="30" t="s">
        <v>589</v>
      </c>
      <c r="D35" s="30" t="s">
        <v>49</v>
      </c>
      <c r="E35" s="30" t="s">
        <v>590</v>
      </c>
      <c r="F35" s="42">
        <v>0</v>
      </c>
      <c r="G35" s="42">
        <v>677</v>
      </c>
      <c r="H35" s="42">
        <v>70188</v>
      </c>
      <c r="I35" s="42">
        <v>67522</v>
      </c>
      <c r="J35" s="30" t="s">
        <v>591</v>
      </c>
      <c r="K35" s="42">
        <v>69363</v>
      </c>
      <c r="L35" s="131" t="s">
        <v>51</v>
      </c>
      <c r="M35" s="132">
        <f t="shared" si="0"/>
        <v>-972.048</v>
      </c>
      <c r="N35" s="133" t="str">
        <f>VLOOKUP(C35,'Trips&amp;Operators'!$C$1:$G$99999,5,FALSE)</f>
        <v>BONDS REYNALDO</v>
      </c>
      <c r="O35" s="203" t="s">
        <v>630</v>
      </c>
      <c r="P35" s="134" t="s">
        <v>1046</v>
      </c>
      <c r="Q35" s="30"/>
      <c r="R35" s="81" t="str">
        <f>VLOOKUP(C35,'Train Runs'!$A$13:$AE$9933,31,0)</f>
        <v>aws s3 cp s3://rtdc.mdm.uploadarchive.raw/RTDC4005/ "%USERPROFILE%\AppData\Local\Temp\OnboardLogs"\RTDC4005\2017-07-05 --exclude "*" --recursive --include "*20170705*" &amp; "%USERPROFILE%\Documents\GitHub\mrs-test-scripts\Headless Mode &amp; Sideloading\WalkAndUnGZ.bat" "%USERPROFILE%\AppData\Local\Temp\OnboardLogs"\RTDC4005\2017-07-05 &amp; aws s3 cp s3://rtdc.mdm.uploadarchive.raw/RTDC4005/ "%USERPROFILE%\AppData\Local\Temp\OnboardLogs"\RTDC4005\2017-07-06 --exclude "*" --recursive --include "*20170706*" &amp; "%USERPROFILE%\Documents\GitHub\mrs-test-scripts\Headless Mode &amp; Sideloading\WalkAndUnGZ.bat" "%USERPROFILE%\AppData\Local\Temp\OnboardLogs"\RTDC4005\2017-07-06</v>
      </c>
      <c r="S35" s="84" t="str">
        <f>VLOOKUP(C35,'Train Runs'!$A$13:$AE$9933,22,0)</f>
        <v>https://d0f6bd738d7f1b3e5a7ca70fe4ff75f0.us-east-1.aws.found.io/app/kibana#/discover/Steve-Slow-Train-Analysis-(2080s-and-2083s)?_g=(refreshInterval:(display:Off,pause:!f,section:0,value:0),time:(from:'2017-07-05T08:23:38-0600',mode:absolute,to:'2017-07-05T11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5" s="86" t="str">
        <f t="shared" si="1"/>
        <v>"C:\Program Files (x86)\AstroGrep\AstroGrep.exe" /e /r /s /spath="%USERPROFILE%\AppData\Local\Temp\OnboardLogs" /stypes="*4005*201707051*" /stext=" 15:.+((SYSTEM_STATE.+slice.+state.+changed )|(ment ac)|(multiple cpu faults)|(system.+state.+changed )|(\[timeout)|(PRM\|1\|D)|(kpr)|(kdp)|(train st.+moving)|(\|lc)|(penalty))"</v>
      </c>
      <c r="U35" s="9" t="str">
        <f t="shared" si="2"/>
        <v>4005</v>
      </c>
      <c r="V35" s="31">
        <f t="shared" si="3"/>
        <v>42921.659872685188</v>
      </c>
      <c r="W35" s="45" t="str">
        <f t="shared" si="4"/>
        <v>EC</v>
      </c>
      <c r="X35" s="22">
        <f t="shared" si="5"/>
        <v>140</v>
      </c>
      <c r="Y35" s="96" t="str">
        <f t="shared" si="6"/>
        <v>echo {"issue":{"subject":"Wi-MAX data drop","project_id":79,"tracker_id":40,"status_id":1,"priority_id":2,"assigned_to_id":23,"start_date":"2017-07-05","description":"","custom_fields":[{"id":1,"name":"Subdivision","value":"EC"},{"id":4,"name":"Milepost","value":"6.9363"},{"id":17,"name":"Train ID","value":"140-05"},{"id":16,"name":"Locomotive ID","value":"4005"},{"id":130,"name":"Impact","value":""},{"id":150,"name":"Time of Event (Mountain Time)","value":"09:50:13"},{"id":151,"name":"Denver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/c/Users/stu/AppData/Local/Temp/OnboardLogs/RTDC4005 --include="*4005*201707051*"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"%USERPROFILE%\AppData\Local\Temp\OnboardLogs"\RTDC4005\*4005*201707051* &gt;&gt; 2017-07-05-SliceDisagreementCheck.txt</v>
      </c>
      <c r="AE35" s="145" t="str">
        <f t="shared" si="9"/>
        <v>start /low /b %USERPROFILE%\Documents\GitHub\eaglep3\Utilities\DownloadLogsFromS3.py --loco 4005 --day 2017-07-05</v>
      </c>
      <c r="AF35" s="1"/>
    </row>
    <row r="36" spans="1:32" x14ac:dyDescent="0.25">
      <c r="A36" s="31">
        <v>42921.245856481481</v>
      </c>
      <c r="B36" s="30" t="s">
        <v>575</v>
      </c>
      <c r="C36" s="30" t="s">
        <v>576</v>
      </c>
      <c r="D36" s="30" t="s">
        <v>49</v>
      </c>
      <c r="E36" s="30" t="s">
        <v>181</v>
      </c>
      <c r="F36" s="42">
        <v>0</v>
      </c>
      <c r="G36" s="42">
        <v>33</v>
      </c>
      <c r="H36" s="42">
        <v>160</v>
      </c>
      <c r="I36" s="42">
        <v>107</v>
      </c>
      <c r="J36" s="30" t="s">
        <v>182</v>
      </c>
      <c r="K36" s="42">
        <v>1</v>
      </c>
      <c r="L36" s="131" t="s">
        <v>51</v>
      </c>
      <c r="M36" s="132">
        <f t="shared" si="0"/>
        <v>55.968000000000004</v>
      </c>
      <c r="N36" s="133" t="str">
        <f>VLOOKUP(C36,'Trips&amp;Operators'!$C$1:$G$99999,5,FALSE)</f>
        <v>STARKS ANGELINA</v>
      </c>
      <c r="O36" s="203" t="s">
        <v>180</v>
      </c>
      <c r="P36" s="134"/>
      <c r="Q36" s="30"/>
      <c r="R36" s="81" t="str">
        <f>VLOOKUP(C36,'Train Runs'!$A$13:$AE$9933,31,0)</f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S36" s="84" t="str">
        <f>VLOOKUP(C36,'Train Runs'!$A$13:$AE$9933,22,0)</f>
        <v>https://d0f6bd738d7f1b3e5a7ca70fe4ff75f0.us-east-1.aws.found.io/app/kibana#/discover/Steve-Slow-Train-Analysis-(2080s-and-2083s)?_g=(refreshInterval:(display:Off,pause:!f,section:0,value:0),time:(from:'2017-07-05T04:10:09-0600',mode:absolute,to:'2017-07-05T06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6" s="86" t="str">
        <f t="shared" si="1"/>
        <v>"C:\Program Files (x86)\AstroGrep\AstroGrep.exe" /e /r /s /spath="%USERPROFILE%\AppData\Local\Temp\OnboardLogs" /stypes="*4041*201707051*"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4041</v>
      </c>
      <c r="V36" s="31">
        <f t="shared" si="3"/>
        <v>42921.495856481481</v>
      </c>
      <c r="W36" s="45" t="str">
        <f t="shared" si="4"/>
        <v>EC</v>
      </c>
      <c r="X36" s="22">
        <f t="shared" si="5"/>
        <v>106</v>
      </c>
      <c r="Y36" s="96" t="str">
        <f t="shared" si="6"/>
        <v>echo {"issue":{"subject":"","project_id":79,"tracker_id":40,"status_id":1,"priority_id":2,"assigned_to_id":23,"start_date":"2017-07-05","description":"","custom_fields":[{"id":1,"name":"Subdivision","value":"EC"},{"id":4,"name":"Milepost","value":"0.0001"},{"id":17,"name":"Train ID","value":"106-05"},{"id":16,"name":"Locomotive ID","value":"4041"},{"id":130,"name":"Impact","value":""},{"id":150,"name":"Time of Event (Mountain Time)","value":"05:54:02"},{"id":151,"name":"Denver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/c/Users/stu/AppData/Local/Temp/OnboardLogs/RTDC4041 --include="*4041*201707051*"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"%USERPROFILE%\AppData\Local\Temp\OnboardLogs"\RTDC4041\*4041*201707051* &gt;&gt; 2017-07-05-SliceDisagreementCheck.txt</v>
      </c>
      <c r="AE36" s="145" t="str">
        <f t="shared" si="9"/>
        <v>start /low /b %USERPROFILE%\Documents\GitHub\eaglep3\Utilities\DownloadLogsFromS3.py --loco 4041 --day 2017-07-05</v>
      </c>
      <c r="AF36" s="1"/>
    </row>
    <row r="37" spans="1:32" x14ac:dyDescent="0.25">
      <c r="A37" s="31">
        <v>42921.31931712963</v>
      </c>
      <c r="B37" s="30" t="s">
        <v>575</v>
      </c>
      <c r="C37" s="30" t="s">
        <v>581</v>
      </c>
      <c r="D37" s="30" t="s">
        <v>49</v>
      </c>
      <c r="E37" s="30" t="s">
        <v>181</v>
      </c>
      <c r="F37" s="42">
        <v>0</v>
      </c>
      <c r="G37" s="42">
        <v>25</v>
      </c>
      <c r="H37" s="42">
        <v>125</v>
      </c>
      <c r="I37" s="42">
        <v>119</v>
      </c>
      <c r="J37" s="30" t="s">
        <v>182</v>
      </c>
      <c r="K37" s="42">
        <v>1</v>
      </c>
      <c r="L37" s="131" t="s">
        <v>51</v>
      </c>
      <c r="M37" s="132">
        <f t="shared" si="0"/>
        <v>62.304000000000002</v>
      </c>
      <c r="N37" s="133" t="str">
        <f>VLOOKUP(C37,'Trips&amp;Operators'!$C$1:$G$99999,5,FALSE)</f>
        <v>STARKS ANGELINA</v>
      </c>
      <c r="O37" s="203" t="s">
        <v>180</v>
      </c>
      <c r="P37" s="134"/>
      <c r="Q37" s="30"/>
      <c r="R37" s="81" t="str">
        <f>VLOOKUP(C37,'Train Runs'!$A$13:$AE$9933,31,0)</f>
        <v>aws s3 cp s3://rtdc.mdm.uploadarchive.raw/RTDC4041/ "%USERPROFILE%\AppData\Local\Temp\OnboardLogs"\RTDC4041\2017-07-05 --exclude "*" --recursive --include "*20170705*" &amp; "%USERPROFILE%\Documents\GitHub\mrs-test-scripts\Headless Mode &amp; Sideloading\WalkAndUnGZ.bat" "%USERPROFILE%\AppData\Local\Temp\OnboardLogs"\RTDC4041\2017-07-05 &amp; aws s3 cp s3://rtdc.mdm.uploadarchive.raw/RTDC4041/ "%USERPROFILE%\AppData\Local\Temp\OnboardLogs"\RTDC4041\2017-07-06 --exclude "*" --recursive --include "*20170706*" &amp; "%USERPROFILE%\Documents\GitHub\mrs-test-scripts\Headless Mode &amp; Sideloading\WalkAndUnGZ.bat" "%USERPROFILE%\AppData\Local\Temp\OnboardLogs"\RTDC4041\2017-07-06</v>
      </c>
      <c r="S37" s="84" t="str">
        <f>VLOOKUP(C37,'Train Runs'!$A$13:$AE$9933,22,0)</f>
        <v>https://d0f6bd738d7f1b3e5a7ca70fe4ff75f0.us-east-1.aws.found.io/app/kibana#/discover/Steve-Slow-Train-Analysis-(2080s-and-2083s)?_g=(refreshInterval:(display:Off,pause:!f,section:0,value:0),time:(from:'2017-07-05T05:57:08-0600',mode:absolute,to:'2017-07-05T08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6" t="str">
        <f t="shared" si="1"/>
        <v>"C:\Program Files (x86)\AstroGrep\AstroGrep.exe" /e /r /s /spath="%USERPROFILE%\AppData\Local\Temp\OnboardLogs" /stypes="*4041*201707051*"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4041</v>
      </c>
      <c r="V37" s="31">
        <f t="shared" si="3"/>
        <v>42921.56931712963</v>
      </c>
      <c r="W37" s="45" t="str">
        <f t="shared" si="4"/>
        <v>EC</v>
      </c>
      <c r="X37" s="22">
        <f t="shared" si="5"/>
        <v>120</v>
      </c>
      <c r="Y37" s="96" t="str">
        <f t="shared" si="6"/>
        <v>echo {"issue":{"subject":"","project_id":79,"tracker_id":40,"status_id":1,"priority_id":2,"assigned_to_id":23,"start_date":"2017-07-05","description":"","custom_fields":[{"id":1,"name":"Subdivision","value":"EC"},{"id":4,"name":"Milepost","value":"0.0001"},{"id":17,"name":"Train ID","value":"120-05"},{"id":16,"name":"Locomotive ID","value":"4041"},{"id":130,"name":"Impact","value":""},{"id":150,"name":"Time of Event (Mountain Time)","value":"07:39:49"},{"id":151,"name":"Denver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/c/Users/stu/AppData/Local/Temp/OnboardLogs/RTDC4041 --include="*4041*201707051*"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"%USERPROFILE%\AppData\Local\Temp\OnboardLogs"\RTDC4041\*4041*201707051* &gt;&gt; 2017-07-05-SliceDisagreementCheck.txt</v>
      </c>
      <c r="AE37" s="145" t="str">
        <f t="shared" si="9"/>
        <v>start /low /b %USERPROFILE%\Documents\GitHub\eaglep3\Utilities\DownloadLogsFromS3.py --loco 4041 --day 2017-07-05</v>
      </c>
      <c r="AF37" s="1"/>
    </row>
    <row r="38" spans="1:32" x14ac:dyDescent="0.25">
      <c r="A38" s="31">
        <v>42921.796527777777</v>
      </c>
      <c r="B38" s="30" t="s">
        <v>605</v>
      </c>
      <c r="C38" s="30" t="s">
        <v>623</v>
      </c>
      <c r="D38" s="30" t="s">
        <v>49</v>
      </c>
      <c r="E38" s="30" t="s">
        <v>181</v>
      </c>
      <c r="F38" s="42">
        <v>0</v>
      </c>
      <c r="G38" s="42">
        <v>83</v>
      </c>
      <c r="H38" s="42">
        <v>302</v>
      </c>
      <c r="I38" s="42">
        <v>205</v>
      </c>
      <c r="J38" s="30" t="s">
        <v>182</v>
      </c>
      <c r="K38" s="42">
        <v>1</v>
      </c>
      <c r="L38" s="131" t="s">
        <v>51</v>
      </c>
      <c r="M38" s="132">
        <f t="shared" si="0"/>
        <v>107.712</v>
      </c>
      <c r="N38" s="133" t="str">
        <f>VLOOKUP(C38,'Trips&amp;Operators'!$C$1:$G$99999,5,FALSE)</f>
        <v>RESPASS AARON</v>
      </c>
      <c r="O38" s="203" t="s">
        <v>180</v>
      </c>
      <c r="P38" s="134"/>
      <c r="Q38" s="30"/>
      <c r="R38" s="81" t="str">
        <f>VLOOKUP(C38,'Train Runs'!$A$13:$AE$9933,31,0)</f>
        <v>aws s3 cp s3://rtdc.mdm.uploadarchive.raw/RTDC4055/ "%USERPROFILE%\AppData\Local\Temp\OnboardLogs"\RTDC4055\2017-07-05 --exclude "*" --recursive --include "*20170705*" &amp; "%USERPROFILE%\Documents\GitHub\mrs-test-scripts\Headless Mode &amp; Sideloading\WalkAndUnGZ.bat" "%USERPROFILE%\AppData\Local\Temp\OnboardLogs"\RTDC4055\2017-07-05 &amp; aws s3 cp s3://rtdc.mdm.uploadarchive.raw/RTDC4055/ "%USERPROFILE%\AppData\Local\Temp\OnboardLogs"\RTDC4055\2017-07-06 --exclude "*" --recursive --include "*20170706*" &amp; "%USERPROFILE%\Documents\GitHub\mrs-test-scripts\Headless Mode &amp; Sideloading\WalkAndUnGZ.bat" "%USERPROFILE%\AppData\Local\Temp\OnboardLogs"\RTDC4055\2017-07-06</v>
      </c>
      <c r="S38" s="84" t="str">
        <f>VLOOKUP(C38,'Train Runs'!$A$13:$AE$9933,22,0)</f>
        <v>https://d0f6bd738d7f1b3e5a7ca70fe4ff75f0.us-east-1.aws.found.io/app/kibana#/discover/Steve-Slow-Train-Analysis-(2080s-and-2083s)?_g=(refreshInterval:(display:Off,pause:!f,section:0,value:0),time:(from:'2017-07-05T17:10:17-0600',mode:absolute,to:'2017-07-05T20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8" s="86" t="str">
        <f t="shared" si="1"/>
        <v>"C:\Program Files (x86)\AstroGrep\AstroGrep.exe" /e /r /s /spath="%USERPROFILE%\AppData\Local\Temp\OnboardLogs" /stypes="*4055*201707060*" /stext=" 01:.+((SYSTEM_STATE.+slice.+state.+changed )|(ment ac)|(multiple cpu faults)|(system.+state.+changed )|(\[timeout)|(PRM\|1\|D)|(kpr)|(kdp)|(train st.+moving)|(\|lc)|(penalty))"</v>
      </c>
      <c r="U38" s="9" t="str">
        <f t="shared" si="2"/>
        <v>4055</v>
      </c>
      <c r="V38" s="31">
        <f t="shared" si="3"/>
        <v>42922.046527777777</v>
      </c>
      <c r="W38" s="45" t="str">
        <f t="shared" si="4"/>
        <v>EC</v>
      </c>
      <c r="X38" s="22">
        <f t="shared" si="5"/>
        <v>212</v>
      </c>
      <c r="Y38" s="96" t="str">
        <f t="shared" si="6"/>
        <v>echo {"issue":{"subject":"","project_id":79,"tracker_id":40,"status_id":1,"priority_id":2,"assigned_to_id":23,"start_date":"2017-07-05","description":"","custom_fields":[{"id":1,"name":"Subdivision","value":"EC"},{"id":4,"name":"Milepost","value":"0.0001"},{"id":17,"name":"Train ID","value":"212-05"},{"id":16,"name":"Locomotive ID","value":"4055"},{"id":130,"name":"Impact","value":""},{"id":150,"name":"Time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/c/Users/stu/AppData/Local/Temp/OnboardLogs/RTDC4055 --include="*4055*201707060*"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"%USERPROFILE%\AppData\Local\Temp\OnboardLogs"\RTDC4055\*4055*201707060* &gt;&gt; 2017-07-05-SliceDisagreementCheck.txt</v>
      </c>
      <c r="AE38" s="145" t="str">
        <f t="shared" si="9"/>
        <v>start /low /b %USERPROFILE%\Documents\GitHub\eaglep3\Utilities\DownloadLogsFromS3.py --loco 4055 --day 2017-07-06</v>
      </c>
      <c r="AF38" s="1"/>
    </row>
    <row r="39" spans="1:32" x14ac:dyDescent="0.25">
      <c r="A39" s="31">
        <v>42921.816620370373</v>
      </c>
      <c r="B39" s="30" t="s">
        <v>365</v>
      </c>
      <c r="C39" s="30" t="s">
        <v>626</v>
      </c>
      <c r="D39" s="30" t="s">
        <v>49</v>
      </c>
      <c r="E39" s="30" t="s">
        <v>181</v>
      </c>
      <c r="F39" s="42">
        <v>0</v>
      </c>
      <c r="G39" s="42">
        <v>66</v>
      </c>
      <c r="H39" s="42">
        <v>249</v>
      </c>
      <c r="I39" s="42">
        <v>205</v>
      </c>
      <c r="J39" s="30" t="s">
        <v>182</v>
      </c>
      <c r="K39" s="42">
        <v>1</v>
      </c>
      <c r="L39" s="131" t="s">
        <v>51</v>
      </c>
      <c r="M39" s="132">
        <f t="shared" ref="M39:M70" si="10">CONVERT((I39-K39)/10000,"mi","ft")*IF(L39="Increasing Mileposts (1)",-1,1)</f>
        <v>107.712</v>
      </c>
      <c r="N39" s="133" t="str">
        <f>VLOOKUP(C39,'Trips&amp;Operators'!$C$1:$G$99999,5,FALSE)</f>
        <v>HOLCOMB KAMDEN</v>
      </c>
      <c r="O39" s="203" t="s">
        <v>180</v>
      </c>
      <c r="P39" s="134"/>
      <c r="Q39" s="30"/>
      <c r="R39" s="81" t="str">
        <f>VLOOKUP(C39,'Train Runs'!$A$13:$AE$9933,31,0)</f>
        <v>aws s3 cp s3://rtdc.mdm.uploadarchive.raw/RTDC4013/ "%USERPROFILE%\AppData\Local\Temp\OnboardLogs"\RTDC4013\2017-07-05 --exclude "*" --recursive --include "*20170705*" &amp; "%USERPROFILE%\Documents\GitHub\mrs-test-scripts\Headless Mode &amp; Sideloading\WalkAndUnGZ.bat" "%USERPROFILE%\AppData\Local\Temp\OnboardLogs"\RTDC4013\2017-07-05 &amp; aws s3 cp s3://rtdc.mdm.uploadarchive.raw/RTDC4013/ "%USERPROFILE%\AppData\Local\Temp\OnboardLogs"\RTDC4013\2017-07-06 --exclude "*" --recursive --include "*20170706*" &amp; "%USERPROFILE%\Documents\GitHub\mrs-test-scripts\Headless Mode &amp; Sideloading\WalkAndUnGZ.bat" "%USERPROFILE%\AppData\Local\Temp\OnboardLogs"\RTDC4013\2017-07-06</v>
      </c>
      <c r="S39" s="84" t="str">
        <f>VLOOKUP(C39,'Train Runs'!$A$13:$AE$9933,22,0)</f>
        <v>https://d0f6bd738d7f1b3e5a7ca70fe4ff75f0.us-east-1.aws.found.io/app/kibana#/discover/Steve-Slow-Train-Analysis-(2080s-and-2083s)?_g=(refreshInterval:(display:Off,pause:!f,section:0,value:0),time:(from:'2017-07-05T17:52:51-0600',mode:absolute,to:'2017-07-05T20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/stypes="*4013*201707060*" /stext=" 01:.+((SYSTEM_STATE.+slice.+state.+changed )|(ment ac)|(multiple cpu faults)|(system.+state.+changed )|(\[timeout)|(PRM\|1\|D)|(kpr)|(kdp)|(train st.+moving)|(\|lc)|(penalty))"</v>
      </c>
      <c r="U39" s="9" t="str">
        <f t="shared" ref="U39:U75" si="12">MID(B39,13,4)</f>
        <v>4013</v>
      </c>
      <c r="V39" s="31">
        <f t="shared" ref="V39:V75" si="13">A39-utc_offset/24</f>
        <v>42922.066620370373</v>
      </c>
      <c r="W39" s="45" t="str">
        <f t="shared" ref="W39:W75" si="14">DetSubdiv(C39)</f>
        <v>EC</v>
      </c>
      <c r="X39" s="22">
        <f t="shared" ref="X39:X75" si="15">VALUE(LEFT(C39,LEN(C39)-3))</f>
        <v>216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{"issue":{"subject":"","project_id":79,"tracker_id":40,"status_id":1,"priority_id":2,"assigned_to_id":23,"start_date":"2017-07-05","description":"","custom_fields":[{"id":1,"name":"Subdivision","value":"EC"},{"id":4,"name":"Milepost","value":"0.0001"},{"id":17,"name":"Train ID","value":"216-05"},{"id":16,"name":"Locomotive ID","value":"4013"},{"id":130,"name":"Impact","value":""},{"id":150,"name":"Time of Event (Mountain Time)","value":"19:35:56"},{"id":151,"name":"Denver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75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/c/Users/stu/AppData/Local/Temp/OnboardLogs/RTDC4013 --include="*4013*201707060*"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"%USERPROFILE%\AppData\Local\Temp\OnboardLogs"\RTDC4013\*4013*201707060* &gt;&gt; 2017-07-05-SliceDisagreementCheck.txt</v>
      </c>
      <c r="AE39" s="145" t="str">
        <f t="shared" si="9"/>
        <v>start /low /b %USERPROFILE%\Documents\GitHub\eaglep3\Utilities\DownloadLogsFromS3.py --loco 4013 --day 2017-07-06</v>
      </c>
      <c r="AF39" s="1"/>
    </row>
    <row r="40" spans="1:32" x14ac:dyDescent="0.25">
      <c r="A40" s="31">
        <v>42922.046956018516</v>
      </c>
      <c r="B40" s="30" t="s">
        <v>435</v>
      </c>
      <c r="C40" s="30" t="s">
        <v>629</v>
      </c>
      <c r="D40" s="30" t="s">
        <v>49</v>
      </c>
      <c r="E40" s="30" t="s">
        <v>181</v>
      </c>
      <c r="F40" s="42">
        <v>0</v>
      </c>
      <c r="G40" s="42">
        <v>110</v>
      </c>
      <c r="H40" s="42">
        <v>416</v>
      </c>
      <c r="I40" s="42">
        <v>331</v>
      </c>
      <c r="J40" s="30" t="s">
        <v>182</v>
      </c>
      <c r="K40" s="42">
        <v>1</v>
      </c>
      <c r="L40" s="131" t="s">
        <v>51</v>
      </c>
      <c r="M40" s="132">
        <f t="shared" si="10"/>
        <v>174.24</v>
      </c>
      <c r="N40" s="133" t="str">
        <f>VLOOKUP(C40,'Trips&amp;Operators'!$C$1:$G$99999,5,FALSE)</f>
        <v>HAITHCOX MICHAEL</v>
      </c>
      <c r="O40" s="203" t="s">
        <v>180</v>
      </c>
      <c r="P40" s="134"/>
      <c r="Q40" s="30"/>
      <c r="R40" s="81" t="str">
        <f>VLOOKUP(C40,'Train Runs'!$A$13:$AE$9933,31,0)</f>
        <v>aws s3 cp s3://rtdc.mdm.uploadarchive.raw/RTDC4017/ "%USERPROFILE%\AppData\Local\Temp\OnboardLogs"\RTDC4017\2017-07-06 --exclude "*" --recursive --include "*20170706*" &amp; "%USERPROFILE%\Documents\GitHub\mrs-test-scripts\Headless Mode &amp; Sideloading\WalkAndUnGZ.bat" "%USERPROFILE%\AppData\Local\Temp\OnboardLogs"\RTDC4017\2017-07-06 &amp; 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</v>
      </c>
      <c r="S40" s="84" t="str">
        <f>VLOOKUP(C40,'Train Runs'!$A$13:$AE$9933,22,0)</f>
        <v>https://d0f6bd738d7f1b3e5a7ca70fe4ff75f0.us-east-1.aws.found.io/app/kibana#/discover/Steve-Slow-Train-Analysis-(2080s-and-2083s)?_g=(refreshInterval:(display:Off,pause:!f,section:0,value:0),time:(from:'2017-07-05T23:11:01-0600',mode:absolute,to:'2017-07-06T02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0" s="86" t="str">
        <f t="shared" si="11"/>
        <v>"C:\Program Files (x86)\AstroGrep\AstroGrep.exe" /e /r /s /spath="%USERPROFILE%\AppData\Local\Temp\OnboardLogs" /stypes="*4017*201707060*" /stext=" 07:.+((SYSTEM_STATE.+slice.+state.+changed )|(ment ac)|(multiple cpu faults)|(system.+state.+changed )|(\[timeout)|(PRM\|1\|D)|(kpr)|(kdp)|(train st.+moving)|(\|lc)|(penalty))"</v>
      </c>
      <c r="U40" s="9" t="str">
        <f t="shared" si="12"/>
        <v>4017</v>
      </c>
      <c r="V40" s="31">
        <f t="shared" si="13"/>
        <v>42922.296956018516</v>
      </c>
      <c r="W40" s="45" t="str">
        <f t="shared" si="14"/>
        <v>EC</v>
      </c>
      <c r="X40" s="22">
        <f t="shared" si="15"/>
        <v>240</v>
      </c>
      <c r="Y40" s="96" t="str">
        <f t="shared" si="16"/>
        <v>echo {"issue":{"subject":"","project_id":79,"tracker_id":40,"status_id":1,"priority_id":2,"assigned_to_id":23,"start_date":"2017-07-06","description":"","custom_fields":[{"id":1,"name":"Subdivision","value":"EC"},{"id":4,"name":"Milepost","value":"0.0001"},{"id":17,"name":"Train ID","value":"240-05"},{"id":16,"name":"Locomotive ID","value":"4017"},{"id":130,"name":"Impact","value":""},{"id":150,"name":"Time of Event (Mountain Time)","value":"01:07:37"},{"id":151,"name":"Denver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/c/Users/stu/AppData/Local/Temp/OnboardLogs/RTDC4017 --include="*4017*201707060*"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"%USERPROFILE%\AppData\Local\Temp\OnboardLogs"\RTDC4017\*4017*201707060* &gt;&gt; 2017-07-05-SliceDisagreementCheck.txt</v>
      </c>
      <c r="AE40" s="145" t="str">
        <f t="shared" si="9"/>
        <v>start /low /b %USERPROFILE%\Documents\GitHub\eaglep3\Utilities\DownloadLogsFromS3.py --loco 4017 --day 2017-07-06</v>
      </c>
      <c r="AF40" s="1"/>
    </row>
    <row r="41" spans="1:32" x14ac:dyDescent="0.25">
      <c r="A41" s="31">
        <v>42921.46025462963</v>
      </c>
      <c r="B41" s="30" t="s">
        <v>512</v>
      </c>
      <c r="C41" s="30" t="s">
        <v>598</v>
      </c>
      <c r="D41" s="30" t="s">
        <v>49</v>
      </c>
      <c r="E41" s="30" t="s">
        <v>181</v>
      </c>
      <c r="F41" s="42">
        <v>0</v>
      </c>
      <c r="G41" s="42">
        <v>161</v>
      </c>
      <c r="H41" s="42">
        <v>232724</v>
      </c>
      <c r="I41" s="42">
        <v>232938</v>
      </c>
      <c r="J41" s="30" t="s">
        <v>182</v>
      </c>
      <c r="K41" s="42">
        <v>233491</v>
      </c>
      <c r="L41" s="131" t="s">
        <v>50</v>
      </c>
      <c r="M41" s="132">
        <f t="shared" si="10"/>
        <v>291.98399999999998</v>
      </c>
      <c r="N41" s="133" t="str">
        <f>VLOOKUP(C41,'Trips&amp;Operators'!$C$1:$G$99999,5,FALSE)</f>
        <v>MACDONALD THOMAS</v>
      </c>
      <c r="O41" s="203" t="s">
        <v>180</v>
      </c>
      <c r="P41" s="134"/>
      <c r="Q41" s="30"/>
      <c r="R41" s="81" t="str">
        <f>VLOOKUP(C41,'Train Runs'!$A$13:$AE$9933,31,0)</f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S41" s="84" t="str">
        <f>VLOOKUP(C41,'Train Runs'!$A$13:$AE$9933,22,0)</f>
        <v>https://d0f6bd738d7f1b3e5a7ca70fe4ff75f0.us-east-1.aws.found.io/app/kibana#/discover/Steve-Slow-Train-Analysis-(2080s-and-2083s)?_g=(refreshInterval:(display:Off,pause:!f,section:0,value:0),time:(from:'2017-07-05T09:16:42-0600',mode:absolute,to:'2017-07-05T12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1" s="86" t="str">
        <f t="shared" si="11"/>
        <v>"C:\Program Files (x86)\AstroGrep\AstroGrep.exe" /e /r /s /spath="%USERPROFILE%\AppData\Local\Temp\OnboardLogs" /stypes="*4006*201707051*" /stext=" 17:.+((SYSTEM_STATE.+slice.+state.+changed )|(ment ac)|(multiple cpu faults)|(system.+state.+changed )|(\[timeout)|(PRM\|1\|D)|(kpr)|(kdp)|(train st.+moving)|(\|lc)|(penalty))"</v>
      </c>
      <c r="U41" s="9" t="str">
        <f t="shared" si="12"/>
        <v>4006</v>
      </c>
      <c r="V41" s="31">
        <f t="shared" si="13"/>
        <v>42921.71025462963</v>
      </c>
      <c r="W41" s="45" t="str">
        <f t="shared" si="14"/>
        <v>EC</v>
      </c>
      <c r="X41" s="22">
        <f t="shared" si="15"/>
        <v>153</v>
      </c>
      <c r="Y41" s="96" t="str">
        <f t="shared" si="16"/>
        <v>echo {"issue":{"subject":"","project_id":79,"tracker_id":40,"status_id":1,"priority_id":2,"assigned_to_id":23,"start_date":"2017-07-05","description":"","custom_fields":[{"id":1,"name":"Subdivision","value":"EC"},{"id":4,"name":"Milepost","value":"23.3491"},{"id":17,"name":"Train ID","value":"153-05"},{"id":16,"name":"Locomotive ID","value":"4006"},{"id":130,"name":"Impact","value":""},{"id":150,"name":"Time of Event (Mountain Time)","value":"11:02:46"},{"id":151,"name":"Denver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/c/Users/stu/AppData/Local/Temp/OnboardLogs/RTDC4006 --include="*4006*201707051*"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"%USERPROFILE%\AppData\Local\Temp\OnboardLogs"\RTDC4006\*4006*201707051* &gt;&gt; 2017-07-05-SliceDisagreementCheck.txt</v>
      </c>
      <c r="AE41" s="145" t="str">
        <f t="shared" si="9"/>
        <v>start /low /b %USERPROFILE%\Documents\GitHub\eaglep3\Utilities\DownloadLogsFromS3.py --loco 4006 --day 2017-07-05</v>
      </c>
      <c r="AF41" s="1"/>
    </row>
    <row r="42" spans="1:32" x14ac:dyDescent="0.25">
      <c r="A42" s="31">
        <v>42921.460810185185</v>
      </c>
      <c r="B42" s="30" t="s">
        <v>512</v>
      </c>
      <c r="C42" s="30" t="s">
        <v>598</v>
      </c>
      <c r="D42" s="30" t="s">
        <v>49</v>
      </c>
      <c r="E42" s="30" t="s">
        <v>181</v>
      </c>
      <c r="F42" s="42">
        <v>0</v>
      </c>
      <c r="G42" s="42">
        <v>69</v>
      </c>
      <c r="H42" s="42">
        <v>233132</v>
      </c>
      <c r="I42" s="42">
        <v>233223</v>
      </c>
      <c r="J42" s="30" t="s">
        <v>182</v>
      </c>
      <c r="K42" s="42">
        <v>233491</v>
      </c>
      <c r="L42" s="131" t="s">
        <v>50</v>
      </c>
      <c r="M42" s="132">
        <f t="shared" si="10"/>
        <v>141.50399999999999</v>
      </c>
      <c r="N42" s="133" t="str">
        <f>VLOOKUP(C42,'Trips&amp;Operators'!$C$1:$G$99999,5,FALSE)</f>
        <v>MACDONALD THOMAS</v>
      </c>
      <c r="O42" s="203" t="s">
        <v>180</v>
      </c>
      <c r="P42" s="134"/>
      <c r="Q42" s="30"/>
      <c r="R42" s="81" t="str">
        <f>VLOOKUP(C42,'Train Runs'!$A$13:$AE$9933,31,0)</f>
        <v>aws s3 cp s3://rtdc.mdm.uploadarchive.raw/RTDC4006/ "%USERPROFILE%\AppData\Local\Temp\OnboardLogs"\RTDC4006\2017-07-05 --exclude "*" --recursive --include "*20170705*" &amp; "%USERPROFILE%\Documents\GitHub\mrs-test-scripts\Headless Mode &amp; Sideloading\WalkAndUnGZ.bat" "%USERPROFILE%\AppData\Local\Temp\OnboardLogs"\RTDC4006\2017-07-05 &amp; aws s3 cp s3://rtdc.mdm.uploadarchive.raw/RTDC4006/ "%USERPROFILE%\AppData\Local\Temp\OnboardLogs"\RTDC4006\2017-07-06 --exclude "*" --recursive --include "*20170706*" &amp; "%USERPROFILE%\Documents\GitHub\mrs-test-scripts\Headless Mode &amp; Sideloading\WalkAndUnGZ.bat" "%USERPROFILE%\AppData\Local\Temp\OnboardLogs"\RTDC4006\2017-07-06</v>
      </c>
      <c r="S42" s="84" t="str">
        <f>VLOOKUP(C42,'Train Runs'!$A$13:$AE$9933,22,0)</f>
        <v>https://d0f6bd738d7f1b3e5a7ca70fe4ff75f0.us-east-1.aws.found.io/app/kibana#/discover/Steve-Slow-Train-Analysis-(2080s-and-2083s)?_g=(refreshInterval:(display:Off,pause:!f,section:0,value:0),time:(from:'2017-07-05T09:16:42-0600',mode:absolute,to:'2017-07-05T12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2" s="86" t="str">
        <f t="shared" si="11"/>
        <v>"C:\Program Files (x86)\AstroGrep\AstroGrep.exe" /e /r /s /spath="%USERPROFILE%\AppData\Local\Temp\OnboardLogs" /stypes="*4006*201707051*" /stext=" 17:.+((SYSTEM_STATE.+slice.+state.+changed )|(ment ac)|(multiple cpu faults)|(system.+state.+changed )|(\[timeout)|(PRM\|1\|D)|(kpr)|(kdp)|(train st.+moving)|(\|lc)|(penalty))"</v>
      </c>
      <c r="U42" s="9" t="str">
        <f t="shared" si="12"/>
        <v>4006</v>
      </c>
      <c r="V42" s="31">
        <f t="shared" si="13"/>
        <v>42921.710810185185</v>
      </c>
      <c r="W42" s="45" t="str">
        <f t="shared" si="14"/>
        <v>EC</v>
      </c>
      <c r="X42" s="22">
        <f t="shared" si="15"/>
        <v>153</v>
      </c>
      <c r="Y42" s="96" t="str">
        <f t="shared" si="16"/>
        <v>echo {"issue":{"subject":"","project_id":79,"tracker_id":40,"status_id":1,"priority_id":2,"assigned_to_id":23,"start_date":"2017-07-05","description":"","custom_fields":[{"id":1,"name":"Subdivision","value":"EC"},{"id":4,"name":"Milepost","value":"23.3491"},{"id":17,"name":"Train ID","value":"153-05"},{"id":16,"name":"Locomotive ID","value":"4006"},{"id":130,"name":"Impact","value":""},{"id":150,"name":"Time of Event (Mountain Time)","value":"11:03:34"},{"id":151,"name":"Denver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/c/Users/stu/AppData/Local/Temp/OnboardLogs/RTDC4006 --include="*4006*201707051*"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"%USERPROFILE%\AppData\Local\Temp\OnboardLogs"\RTDC4006\*4006*201707051* &gt;&gt; 2017-07-05-SliceDisagreementCheck.txt</v>
      </c>
      <c r="AE42" s="145" t="str">
        <f t="shared" si="9"/>
        <v>start /low /b %USERPROFILE%\Documents\GitHub\eaglep3\Utilities\DownloadLogsFromS3.py --loco 4006 --day 2017-07-05</v>
      </c>
      <c r="AF42" s="1"/>
    </row>
    <row r="43" spans="1:32" x14ac:dyDescent="0.25">
      <c r="A43" s="31">
        <v>42921.527824074074</v>
      </c>
      <c r="B43" s="30" t="s">
        <v>600</v>
      </c>
      <c r="C43" s="30" t="s">
        <v>601</v>
      </c>
      <c r="D43" s="30" t="s">
        <v>49</v>
      </c>
      <c r="E43" s="30" t="s">
        <v>181</v>
      </c>
      <c r="F43" s="42">
        <v>0</v>
      </c>
      <c r="G43" s="42">
        <v>41</v>
      </c>
      <c r="H43" s="42">
        <v>233360</v>
      </c>
      <c r="I43" s="42">
        <v>233391</v>
      </c>
      <c r="J43" s="30" t="s">
        <v>182</v>
      </c>
      <c r="K43" s="42">
        <v>233491</v>
      </c>
      <c r="L43" s="131" t="s">
        <v>50</v>
      </c>
      <c r="M43" s="132">
        <f t="shared" si="10"/>
        <v>52.8</v>
      </c>
      <c r="N43" s="133" t="str">
        <f>VLOOKUP(C43,'Trips&amp;Operators'!$C$1:$G$99999,5,FALSE)</f>
        <v>LEVIN SCOTT</v>
      </c>
      <c r="O43" s="203" t="s">
        <v>180</v>
      </c>
      <c r="P43" s="134"/>
      <c r="Q43" s="30"/>
      <c r="R43" s="81" t="str">
        <f>VLOOKUP(C43,'Train Runs'!$A$13:$AE$9933,31,0)</f>
        <v>aws s3 cp s3://rtdc.mdm.uploadarchive.raw/RTDC4062/ "%USERPROFILE%\AppData\Local\Temp\OnboardLogs"\RTDC4062\2017-07-05 --exclude "*" --recursive --include "*20170705*" &amp; "%USERPROFILE%\Documents\GitHub\mrs-test-scripts\Headless Mode &amp; Sideloading\WalkAndUnGZ.bat" "%USERPROFILE%\AppData\Local\Temp\OnboardLogs"\RTDC4062\2017-07-05 &amp; aws s3 cp s3://rtdc.mdm.uploadarchive.raw/RTDC4062/ "%USERPROFILE%\AppData\Local\Temp\OnboardLogs"\RTDC4062\2017-07-06 --exclude "*" --recursive --include "*20170706*" &amp; "%USERPROFILE%\Documents\GitHub\mrs-test-scripts\Headless Mode &amp; Sideloading\WalkAndUnGZ.bat" "%USERPROFILE%\AppData\Local\Temp\OnboardLogs"\RTDC4062\2017-07-06</v>
      </c>
      <c r="S43" s="84" t="str">
        <f>VLOOKUP(C43,'Train Runs'!$A$13:$AE$9933,22,0)</f>
        <v>https://d0f6bd738d7f1b3e5a7ca70fe4ff75f0.us-east-1.aws.found.io/app/kibana#/discover/Steve-Slow-Train-Analysis-(2080s-and-2083s)?_g=(refreshInterval:(display:Off,pause:!f,section:0,value:0),time:(from:'2017-07-05T10:48:46-0600',mode:absolute,to:'2017-07-05T13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3" s="86" t="str">
        <f t="shared" si="11"/>
        <v>"C:\Program Files (x86)\AstroGrep\AstroGrep.exe" /e /r /s /spath="%USERPROFILE%\AppData\Local\Temp\OnboardLogs" /stypes="*4062*201707051*" /stext=" 18:.+((SYSTEM_STATE.+slice.+state.+changed )|(ment ac)|(multiple cpu faults)|(system.+state.+changed )|(\[timeout)|(PRM\|1\|D)|(kpr)|(kdp)|(train st.+moving)|(\|lc)|(penalty))"</v>
      </c>
      <c r="U43" s="9" t="str">
        <f t="shared" si="12"/>
        <v>4062</v>
      </c>
      <c r="V43" s="31">
        <f t="shared" si="13"/>
        <v>42921.777824074074</v>
      </c>
      <c r="W43" s="45" t="str">
        <f t="shared" si="14"/>
        <v>EC</v>
      </c>
      <c r="X43" s="22">
        <f t="shared" si="15"/>
        <v>167</v>
      </c>
      <c r="Y43" s="96" t="str">
        <f t="shared" si="16"/>
        <v>echo {"issue":{"subject":"","project_id":79,"tracker_id":40,"status_id":1,"priority_id":2,"assigned_to_id":23,"start_date":"2017-07-05","description":"","custom_fields":[{"id":1,"name":"Subdivision","value":"EC"},{"id":4,"name":"Milepost","value":"23.3491"},{"id":17,"name":"Train ID","value":"167-05"},{"id":16,"name":"Locomotive ID","value":"4062"},{"id":130,"name":"Impact","value":""},{"id":150,"name":"Time of Event (Mountain Time)","value":"12:40:04"},{"id":151,"name":"Denver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/c/Users/stu/AppData/Local/Temp/OnboardLogs/RTDC4062 --include="*4062*201707051*"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"%USERPROFILE%\AppData\Local\Temp\OnboardLogs"\RTDC4062\*4062*201707051* &gt;&gt; 2017-07-05-SliceDisagreementCheck.txt</v>
      </c>
      <c r="AE43" s="145" t="str">
        <f t="shared" si="9"/>
        <v>start /low /b %USERPROFILE%\Documents\GitHub\eaglep3\Utilities\DownloadLogsFromS3.py --loco 4062 --day 2017-07-05</v>
      </c>
      <c r="AF43" s="1"/>
    </row>
    <row r="44" spans="1:32" x14ac:dyDescent="0.25">
      <c r="A44" s="31">
        <v>42921.56931712963</v>
      </c>
      <c r="B44" s="30" t="s">
        <v>356</v>
      </c>
      <c r="C44" s="30" t="s">
        <v>604</v>
      </c>
      <c r="D44" s="30" t="s">
        <v>49</v>
      </c>
      <c r="E44" s="30" t="s">
        <v>181</v>
      </c>
      <c r="F44" s="42">
        <v>0</v>
      </c>
      <c r="G44" s="42">
        <v>83</v>
      </c>
      <c r="H44" s="42">
        <v>233236</v>
      </c>
      <c r="I44" s="42">
        <v>233314</v>
      </c>
      <c r="J44" s="30" t="s">
        <v>182</v>
      </c>
      <c r="K44" s="42">
        <v>233491</v>
      </c>
      <c r="L44" s="131" t="s">
        <v>50</v>
      </c>
      <c r="M44" s="132">
        <f t="shared" si="10"/>
        <v>93.456000000000003</v>
      </c>
      <c r="N44" s="133" t="str">
        <f>VLOOKUP(C44,'Trips&amp;Operators'!$C$1:$G$99999,5,FALSE)</f>
        <v>STEWART MICHAEL</v>
      </c>
      <c r="O44" s="203" t="s">
        <v>180</v>
      </c>
      <c r="P44" s="134"/>
      <c r="Q44" s="30"/>
      <c r="R44" s="81" t="str">
        <f>VLOOKUP(C44,'Train Runs'!$A$13:$AE$9933,31,0)</f>
        <v>aws s3 cp s3://rtdc.mdm.uploadarchive.raw/RTDC4042/ "%USERPROFILE%\AppData\Local\Temp\OnboardLogs"\RTDC4042\2017-07-05 --exclude "*" --recursive --include "*20170705*" &amp; "%USERPROFILE%\Documents\GitHub\mrs-test-scripts\Headless Mode &amp; Sideloading\WalkAndUnGZ.bat" "%USERPROFILE%\AppData\Local\Temp\OnboardLogs"\RTDC4042\2017-07-05 &amp; aws s3 cp s3://rtdc.mdm.uploadarchive.raw/RTDC4042/ "%USERPROFILE%\AppData\Local\Temp\OnboardLogs"\RTDC4042\2017-07-06 --exclude "*" --recursive --include "*20170706*" &amp; "%USERPROFILE%\Documents\GitHub\mrs-test-scripts\Headless Mode &amp; Sideloading\WalkAndUnGZ.bat" "%USERPROFILE%\AppData\Local\Temp\OnboardLogs"\RTDC4042\2017-07-06</v>
      </c>
      <c r="S44" s="84" t="str">
        <f>VLOOKUP(C44,'Train Runs'!$A$13:$AE$9933,22,0)</f>
        <v>https://d0f6bd738d7f1b3e5a7ca70fe4ff75f0.us-east-1.aws.found.io/app/kibana#/discover/Steve-Slow-Train-Analysis-(2080s-and-2083s)?_g=(refreshInterval:(display:Off,pause:!f,section:0,value:0),time:(from:'2017-07-05T11:56:00-0600',mode:absolute,to:'2017-07-05T14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4" s="86" t="str">
        <f t="shared" si="11"/>
        <v>"C:\Program Files (x86)\AstroGrep\AstroGrep.exe" /e /r /s /spath="%USERPROFILE%\AppData\Local\Temp\OnboardLogs" /stypes="*4042*201707051*" /stext=" 19:.+((SYSTEM_STATE.+slice.+state.+changed )|(ment ac)|(multiple cpu faults)|(system.+state.+changed )|(\[timeout)|(PRM\|1\|D)|(kpr)|(kdp)|(train st.+moving)|(\|lc)|(penalty))"</v>
      </c>
      <c r="U44" s="9" t="str">
        <f t="shared" si="12"/>
        <v>4042</v>
      </c>
      <c r="V44" s="31">
        <f t="shared" si="13"/>
        <v>42921.81931712963</v>
      </c>
      <c r="W44" s="45" t="str">
        <f t="shared" si="14"/>
        <v>EC</v>
      </c>
      <c r="X44" s="22">
        <f t="shared" si="15"/>
        <v>175</v>
      </c>
      <c r="Y44" s="96" t="str">
        <f t="shared" si="16"/>
        <v>echo {"issue":{"subject":"","project_id":79,"tracker_id":40,"status_id":1,"priority_id":2,"assigned_to_id":23,"start_date":"2017-07-05","description":"","custom_fields":[{"id":1,"name":"Subdivision","value":"EC"},{"id":4,"name":"Milepost","value":"23.3491"},{"id":17,"name":"Train ID","value":"175-05"},{"id":16,"name":"Locomotive ID","value":"4042"},{"id":130,"name":"Impact","value":""},{"id":150,"name":"Time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/c/Users/stu/AppData/Local/Temp/OnboardLogs/RTDC4042 --include="*4042*201707051*"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"%USERPROFILE%\AppData\Local\Temp\OnboardLogs"\RTDC4042\*4042*201707051* &gt;&gt; 2017-07-05-SliceDisagreementCheck.txt</v>
      </c>
      <c r="AE44" s="145" t="str">
        <f t="shared" si="9"/>
        <v>start /low /b %USERPROFILE%\Documents\GitHub\eaglep3\Utilities\DownloadLogsFromS3.py --loco 4042 --day 2017-07-05</v>
      </c>
      <c r="AF44" s="1"/>
    </row>
    <row r="45" spans="1:32" x14ac:dyDescent="0.25">
      <c r="A45" s="31">
        <v>42921.703240740739</v>
      </c>
      <c r="B45" s="30" t="s">
        <v>371</v>
      </c>
      <c r="C45" s="30" t="s">
        <v>616</v>
      </c>
      <c r="D45" s="30" t="s">
        <v>49</v>
      </c>
      <c r="E45" s="30" t="s">
        <v>181</v>
      </c>
      <c r="F45" s="42">
        <v>0</v>
      </c>
      <c r="G45" s="42">
        <v>59</v>
      </c>
      <c r="H45" s="42">
        <v>233259</v>
      </c>
      <c r="I45" s="42">
        <v>233306</v>
      </c>
      <c r="J45" s="30" t="s">
        <v>182</v>
      </c>
      <c r="K45" s="42">
        <v>233491</v>
      </c>
      <c r="L45" s="131" t="s">
        <v>50</v>
      </c>
      <c r="M45" s="132">
        <f t="shared" si="10"/>
        <v>97.68</v>
      </c>
      <c r="N45" s="133" t="str">
        <f>VLOOKUP(C45,'Trips&amp;Operators'!$C$1:$G$99999,5,FALSE)</f>
        <v>HOLCOMB KAMDEN</v>
      </c>
      <c r="O45" s="203" t="s">
        <v>180</v>
      </c>
      <c r="P45" s="134"/>
      <c r="Q45" s="30"/>
      <c r="R45" s="81" t="str">
        <f>VLOOKUP(C45,'Train Runs'!$A$13:$AE$9933,31,0)</f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S45" s="84" t="str">
        <f>VLOOKUP(C45,'Train Runs'!$A$13:$AE$9933,22,0)</f>
        <v>https://d0f6bd738d7f1b3e5a7ca70fe4ff75f0.us-east-1.aws.found.io/app/kibana#/discover/Steve-Slow-Train-Analysis-(2080s-and-2083s)?_g=(refreshInterval:(display:Off,pause:!f,section:0,value:0),time:(from:'2017-07-05T15:08:49-0600',mode:absolute,to:'2017-07-05T17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5" s="86" t="str">
        <f t="shared" si="11"/>
        <v>"C:\Program Files (x86)\AstroGrep\AstroGrep.exe" /e /r /s /spath="%USERPROFILE%\AppData\Local\Temp\OnboardLogs" /stypes="*4014*201707052*" /stext=" 22:.+((SYSTEM_STATE.+slice.+state.+changed )|(ment ac)|(multiple cpu faults)|(system.+state.+changed )|(\[timeout)|(PRM\|1\|D)|(kpr)|(kdp)|(train st.+moving)|(\|lc)|(penalty))"</v>
      </c>
      <c r="U45" s="9" t="str">
        <f t="shared" si="12"/>
        <v>4014</v>
      </c>
      <c r="V45" s="31">
        <f t="shared" si="13"/>
        <v>42921.953240740739</v>
      </c>
      <c r="W45" s="45" t="str">
        <f t="shared" si="14"/>
        <v>EC</v>
      </c>
      <c r="X45" s="22">
        <f t="shared" si="15"/>
        <v>201</v>
      </c>
      <c r="Y45" s="96" t="str">
        <f t="shared" si="16"/>
        <v>echo {"issue":{"subject":"","project_id":79,"tracker_id":40,"status_id":1,"priority_id":2,"assigned_to_id":23,"start_date":"2017-07-05","description":"","custom_fields":[{"id":1,"name":"Subdivision","value":"EC"},{"id":4,"name":"Milepost","value":"23.3491"},{"id":17,"name":"Train ID","value":"201-05"},{"id":16,"name":"Locomotive ID","value":"4014"},{"id":130,"name":"Impact","value":""},{"id":150,"name":"Time of Event (Mountain Time)","value":"16:52:40"},{"id":151,"name":"Denver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/c/Users/stu/AppData/Local/Temp/OnboardLogs/RTDC4014 --include="*4014*201707052*"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"%USERPROFILE%\AppData\Local\Temp\OnboardLogs"\RTDC4014\*4014*201707052* &gt;&gt; 2017-07-05-SliceDisagreementCheck.txt</v>
      </c>
      <c r="AE45" s="145" t="str">
        <f t="shared" si="9"/>
        <v>start /low /b %USERPROFILE%\Documents\GitHub\eaglep3\Utilities\DownloadLogsFromS3.py --loco 4014 --day 2017-07-05</v>
      </c>
      <c r="AF45" s="1"/>
    </row>
    <row r="46" spans="1:32" x14ac:dyDescent="0.25">
      <c r="A46" s="31">
        <v>42921.776655092595</v>
      </c>
      <c r="B46" s="30" t="s">
        <v>371</v>
      </c>
      <c r="C46" s="30" t="s">
        <v>622</v>
      </c>
      <c r="D46" s="30" t="s">
        <v>49</v>
      </c>
      <c r="E46" s="30" t="s">
        <v>181</v>
      </c>
      <c r="F46" s="42">
        <v>0</v>
      </c>
      <c r="G46" s="42">
        <v>63</v>
      </c>
      <c r="H46" s="42">
        <v>233268</v>
      </c>
      <c r="I46" s="42">
        <v>233347</v>
      </c>
      <c r="J46" s="30" t="s">
        <v>182</v>
      </c>
      <c r="K46" s="42">
        <v>233491</v>
      </c>
      <c r="L46" s="131" t="s">
        <v>50</v>
      </c>
      <c r="M46" s="132">
        <f t="shared" si="10"/>
        <v>76.031999999999996</v>
      </c>
      <c r="N46" s="133" t="str">
        <f>VLOOKUP(C46,'Trips&amp;Operators'!$C$1:$G$99999,5,FALSE)</f>
        <v>HOLCOMB KAMDEN</v>
      </c>
      <c r="O46" s="203" t="s">
        <v>180</v>
      </c>
      <c r="P46" s="134"/>
      <c r="Q46" s="30"/>
      <c r="R46" s="81" t="str">
        <f>VLOOKUP(C46,'Train Runs'!$A$13:$AE$9933,31,0)</f>
        <v>aws s3 cp s3://rtdc.mdm.uploadarchive.raw/RTDC4014/ "%USERPROFILE%\AppData\Local\Temp\OnboardLogs"\RTDC4014\2017-07-05 --exclude "*" --recursive --include "*20170705*" &amp; "%USERPROFILE%\Documents\GitHub\mrs-test-scripts\Headless Mode &amp; Sideloading\WalkAndUnGZ.bat" "%USERPROFILE%\AppData\Local\Temp\OnboardLogs"\RTDC4014\2017-07-05 &amp; aws s3 cp s3://rtdc.mdm.uploadarchive.raw/RTDC4014/ "%USERPROFILE%\AppData\Local\Temp\OnboardLogs"\RTDC4014\2017-07-06 --exclude "*" --recursive --include "*20170706*" &amp; "%USERPROFILE%\Documents\GitHub\mrs-test-scripts\Headless Mode &amp; Sideloading\WalkAndUnGZ.bat" "%USERPROFILE%\AppData\Local\Temp\OnboardLogs"\RTDC4014\2017-07-06</v>
      </c>
      <c r="S46" s="84" t="str">
        <f>VLOOKUP(C46,'Train Runs'!$A$13:$AE$9933,22,0)</f>
        <v>https://d0f6bd738d7f1b3e5a7ca70fe4ff75f0.us-east-1.aws.found.io/app/kibana#/discover/Steve-Slow-Train-Analysis-(2080s-and-2083s)?_g=(refreshInterval:(display:Off,pause:!f,section:0,value:0),time:(from:'2017-07-05T16:54:12-0600',mode:absolute,to:'2017-07-05T19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6" s="86" t="str">
        <f t="shared" si="11"/>
        <v>"C:\Program Files (x86)\AstroGrep\AstroGrep.exe" /e /r /s /spath="%USERPROFILE%\AppData\Local\Temp\OnboardLogs" /stypes="*4014*201707060*" /stext=" 00:.+((SYSTEM_STATE.+slice.+state.+changed )|(ment ac)|(multiple cpu faults)|(system.+state.+changed )|(\[timeout)|(PRM\|1\|D)|(kpr)|(kdp)|(train st.+moving)|(\|lc)|(penalty))"</v>
      </c>
      <c r="U46" s="9" t="str">
        <f t="shared" si="12"/>
        <v>4014</v>
      </c>
      <c r="V46" s="31">
        <f t="shared" si="13"/>
        <v>42922.026655092595</v>
      </c>
      <c r="W46" s="45" t="str">
        <f t="shared" si="14"/>
        <v>EC</v>
      </c>
      <c r="X46" s="22">
        <f t="shared" si="15"/>
        <v>215</v>
      </c>
      <c r="Y46" s="96" t="str">
        <f t="shared" si="16"/>
        <v>echo {"issue":{"subject":"","project_id":79,"tracker_id":40,"status_id":1,"priority_id":2,"assigned_to_id":23,"start_date":"2017-07-05","description":"","custom_fields":[{"id":1,"name":"Subdivision","value":"EC"},{"id":4,"name":"Milepost","value":"23.3491"},{"id":17,"name":"Train ID","value":"215-05"},{"id":16,"name":"Locomotive ID","value":"4014"},{"id":130,"name":"Impact","value":""},{"id":150,"name":"Time of Event (Mountain Time)","value":"18:38:23"},{"id":151,"name":"Denver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/c/Users/stu/AppData/Local/Temp/OnboardLogs/RTDC4014 --include="*4014*201707060*"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"%USERPROFILE%\AppData\Local\Temp\OnboardLogs"\RTDC4014\*4014*201707060* &gt;&gt; 2017-07-05-SliceDisagreementCheck.txt</v>
      </c>
      <c r="AE46" s="145" t="str">
        <f t="shared" si="9"/>
        <v>start /low /b %USERPROFILE%\Documents\GitHub\eaglep3\Utilities\DownloadLogsFromS3.py --loco 4014 --day 2017-07-06</v>
      </c>
      <c r="AF46" s="1"/>
    </row>
    <row r="47" spans="1:32" x14ac:dyDescent="0.25">
      <c r="A47" s="31">
        <v>42921.304618055554</v>
      </c>
      <c r="B47" s="30" t="s">
        <v>493</v>
      </c>
      <c r="C47" s="30" t="s">
        <v>579</v>
      </c>
      <c r="D47" s="30" t="s">
        <v>49</v>
      </c>
      <c r="E47" s="30" t="s">
        <v>200</v>
      </c>
      <c r="F47" s="42">
        <v>300</v>
      </c>
      <c r="G47" s="42">
        <v>502</v>
      </c>
      <c r="H47" s="42">
        <v>25164</v>
      </c>
      <c r="I47" s="42">
        <v>23688</v>
      </c>
      <c r="J47" s="30" t="s">
        <v>201</v>
      </c>
      <c r="K47" s="42">
        <v>23561</v>
      </c>
      <c r="L47" s="131" t="s">
        <v>51</v>
      </c>
      <c r="M47" s="132">
        <f t="shared" si="10"/>
        <v>67.055999999999997</v>
      </c>
      <c r="N47" s="133" t="str">
        <f>VLOOKUP(C47,'Trips&amp;Operators'!$C$1:$G$99999,5,FALSE)</f>
        <v>MACDONALD THOMAS</v>
      </c>
      <c r="O47" s="203" t="s">
        <v>180</v>
      </c>
      <c r="P47" s="134"/>
      <c r="Q47" s="30"/>
      <c r="R47" s="81" t="str">
        <f>VLOOKUP(C47,'Train Runs'!$A$13:$AE$9933,31,0)</f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S47" s="84" t="str">
        <f>VLOOKUP(C47,'Train Runs'!$A$13:$AE$9933,22,0)</f>
        <v>https://d0f6bd738d7f1b3e5a7ca70fe4ff75f0.us-east-1.aws.found.io/app/kibana#/discover/Steve-Slow-Train-Analysis-(2080s-and-2083s)?_g=(refreshInterval:(display:Off,pause:!f,section:0,value:0),time:(from:'2017-07-05T06:05:49-0600',mode:absolute,to:'2017-07-05T08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7" s="86" t="str">
        <f t="shared" si="11"/>
        <v>"C:\Program Files (x86)\AstroGrep\AstroGrep.exe" /e /r /s /spath="%USERPROFILE%\AppData\Local\Temp\OnboardLogs" /stypes="*4025*201707051*" /stext=" 13:.+((SYSTEM_STATE.+slice.+state.+changed )|(ment ac)|(multiple cpu faults)|(system.+state.+changed )|(\[timeout)|(PRM\|1\|D)|(kpr)|(kdp)|(train st.+moving)|(\|lc)|(penalty))"</v>
      </c>
      <c r="U47" s="9" t="str">
        <f t="shared" si="12"/>
        <v>4025</v>
      </c>
      <c r="V47" s="31">
        <f t="shared" si="13"/>
        <v>42921.554618055554</v>
      </c>
      <c r="W47" s="45" t="str">
        <f t="shared" si="14"/>
        <v>NW</v>
      </c>
      <c r="X47" s="22">
        <f t="shared" si="15"/>
        <v>806</v>
      </c>
      <c r="Y47" s="96" t="str">
        <f t="shared" si="16"/>
        <v>echo {"issue":{"subject":"","project_id":79,"tracker_id":40,"status_id":1,"priority_id":2,"assigned_to_id":23,"start_date":"2017-07-05","description":"","custom_fields":[{"id":1,"name":"Subdivision","value":"NW"},{"id":4,"name":"Milepost","value":"2.3561"},{"id":17,"name":"Train ID","value":"806-05"},{"id":16,"name":"Locomotive ID","value":"4025"},{"id":130,"name":"Impact","value":""},{"id":150,"name":"Time of Event (Mountain Time)","value":"07:18:39"},{"id":151,"name":"Denver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/c/Users/stu/AppData/Local/Temp/OnboardLogs/RTDC4025 --include="*4025*201707051*"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"%USERPROFILE%\AppData\Local\Temp\OnboardLogs"\RTDC4025\*4025*201707051* &gt;&gt; 2017-07-05-SliceDisagreementCheck.txt</v>
      </c>
      <c r="AE47" s="145" t="str">
        <f t="shared" si="9"/>
        <v>start /low /b %USERPROFILE%\Documents\GitHub\eaglep3\Utilities\DownloadLogsFromS3.py --loco 4025 --day 2017-07-05</v>
      </c>
      <c r="AF47" s="1"/>
    </row>
    <row r="48" spans="1:32" x14ac:dyDescent="0.25">
      <c r="A48" s="31">
        <v>42921.262141203704</v>
      </c>
      <c r="B48" s="30" t="s">
        <v>493</v>
      </c>
      <c r="C48" s="30" t="s">
        <v>577</v>
      </c>
      <c r="D48" s="30" t="s">
        <v>96</v>
      </c>
      <c r="E48" s="30" t="s">
        <v>200</v>
      </c>
      <c r="F48" s="42">
        <v>400</v>
      </c>
      <c r="G48" s="42">
        <v>460</v>
      </c>
      <c r="H48" s="42">
        <v>39040</v>
      </c>
      <c r="I48" s="42">
        <v>37660</v>
      </c>
      <c r="J48" s="30" t="s">
        <v>201</v>
      </c>
      <c r="K48" s="42">
        <v>40977</v>
      </c>
      <c r="L48" s="131" t="s">
        <v>51</v>
      </c>
      <c r="M48" s="132">
        <f t="shared" si="10"/>
        <v>-1751.376</v>
      </c>
      <c r="N48" s="133" t="str">
        <f>VLOOKUP(C48,'Trips&amp;Operators'!$C$1:$G$99999,5,FALSE)</f>
        <v>MACDONALD THOMAS</v>
      </c>
      <c r="O48" s="203" t="s">
        <v>180</v>
      </c>
      <c r="P48" s="134"/>
      <c r="Q48" s="30"/>
      <c r="R48" s="81" t="str">
        <f>VLOOKUP(C48,'Train Runs'!$A$13:$AE$9933,31,0)</f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S48" s="84" t="str">
        <f>VLOOKUP(C48,'Train Runs'!$A$13:$AE$9933,22,0)</f>
        <v>https://d0f6bd738d7f1b3e5a7ca70fe4ff75f0.us-east-1.aws.found.io/app/kibana#/discover/Steve-Slow-Train-Analysis-(2080s-and-2083s)?_g=(refreshInterval:(display:Off,pause:!f,section:0,value:0),time:(from:'2017-07-05T05:06:25-0600',mode:absolute,to:'2017-07-05T07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8" s="86" t="str">
        <f t="shared" si="11"/>
        <v>"C:\Program Files (x86)\AstroGrep\AstroGrep.exe" /e /r /s /spath="%USERPROFILE%\AppData\Local\Temp\OnboardLogs" /stypes="*4025*201707051*" /stext=" 12:.+((SYSTEM_STATE.+slice.+state.+changed )|(ment ac)|(multiple cpu faults)|(system.+state.+changed )|(\[timeout)|(PRM\|1\|D)|(kpr)|(kdp)|(train st.+moving)|(\|lc)|(penalty))"</v>
      </c>
      <c r="U48" s="9" t="str">
        <f t="shared" si="12"/>
        <v>4025</v>
      </c>
      <c r="V48" s="31">
        <f t="shared" si="13"/>
        <v>42921.512141203704</v>
      </c>
      <c r="W48" s="45" t="str">
        <f t="shared" si="14"/>
        <v>NW</v>
      </c>
      <c r="X48" s="22">
        <f t="shared" si="15"/>
        <v>802</v>
      </c>
      <c r="Y48" s="96" t="str">
        <f t="shared" si="16"/>
        <v>echo {"issue":{"subject":"","project_id":79,"tracker_id":40,"status_id":1,"priority_id":2,"assigned_to_id":23,"start_date":"2017-07-05","description":"","custom_fields":[{"id":1,"name":"Subdivision","value":"NW"},{"id":4,"name":"Milepost","value":"4.0977"},{"id":17,"name":"Train ID","value":"802-05"},{"id":16,"name":"Locomotive ID","value":"4025"},{"id":130,"name":"Impact","value":""},{"id":150,"name":"Time of Event (Mountain Time)","value":"06:17:29"},{"id":151,"name":"Denver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/c/Users/stu/AppData/Local/Temp/OnboardLogs/RTDC4025 --include="*4025*201707051*"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"%USERPROFILE%\AppData\Local\Temp\OnboardLogs"\RTDC4025\*4025*201707051* &gt;&gt; 2017-07-05-SliceDisagreementCheck.txt</v>
      </c>
      <c r="AE48" s="145" t="str">
        <f t="shared" si="9"/>
        <v>start /low /b %USERPROFILE%\Documents\GitHub\eaglep3\Utilities\DownloadLogsFromS3.py --loco 4025 --day 2017-07-05</v>
      </c>
      <c r="AF48" s="1"/>
    </row>
    <row r="49" spans="1:32" x14ac:dyDescent="0.25">
      <c r="A49" s="31">
        <v>42921.676342592589</v>
      </c>
      <c r="B49" s="30" t="s">
        <v>493</v>
      </c>
      <c r="C49" s="30" t="s">
        <v>613</v>
      </c>
      <c r="D49" s="30" t="s">
        <v>96</v>
      </c>
      <c r="E49" s="30" t="s">
        <v>200</v>
      </c>
      <c r="F49" s="42">
        <v>150</v>
      </c>
      <c r="G49" s="42">
        <v>217</v>
      </c>
      <c r="H49" s="42">
        <v>56925</v>
      </c>
      <c r="I49" s="42">
        <v>56462</v>
      </c>
      <c r="J49" s="30" t="s">
        <v>201</v>
      </c>
      <c r="K49" s="42">
        <v>59050</v>
      </c>
      <c r="L49" s="131" t="s">
        <v>51</v>
      </c>
      <c r="M49" s="132">
        <f t="shared" si="10"/>
        <v>-1366.4639999999999</v>
      </c>
      <c r="N49" s="133" t="str">
        <f>VLOOKUP(C49,'Trips&amp;Operators'!$C$1:$G$99999,5,FALSE)</f>
        <v>STAMBAUGH JAMES</v>
      </c>
      <c r="O49" s="203" t="s">
        <v>180</v>
      </c>
      <c r="P49" s="134"/>
      <c r="Q49" s="30"/>
      <c r="R49" s="81" t="str">
        <f>VLOOKUP(C49,'Train Runs'!$A$13:$AE$9933,31,0)</f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S49" s="84" t="str">
        <f>VLOOKUP(C49,'Train Runs'!$A$13:$AE$9933,22,0)</f>
        <v>https://d0f6bd738d7f1b3e5a7ca70fe4ff75f0.us-east-1.aws.found.io/app/kibana#/discover/Steve-Slow-Train-Analysis-(2080s-and-2083s)?_g=(refreshInterval:(display:Off,pause:!f,section:0,value:0),time:(from:'2017-07-05T15:10:15-0600',mode:absolute,to:'2017-07-05T17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9" s="86" t="str">
        <f t="shared" si="11"/>
        <v>"C:\Program Files (x86)\AstroGrep\AstroGrep.exe" /e /r /s /spath="%USERPROFILE%\AppData\Local\Temp\OnboardLogs" /stypes="*4025*201707052*" /stext=" 22:.+((SYSTEM_STATE.+slice.+state.+changed )|(ment ac)|(multiple cpu faults)|(system.+state.+changed )|(\[timeout)|(PRM\|1\|D)|(kpr)|(kdp)|(train st.+moving)|(\|lc)|(penalty))"</v>
      </c>
      <c r="U49" s="9" t="str">
        <f t="shared" si="12"/>
        <v>4025</v>
      </c>
      <c r="V49" s="31">
        <f t="shared" si="13"/>
        <v>42921.926342592589</v>
      </c>
      <c r="W49" s="45" t="str">
        <f t="shared" si="14"/>
        <v>NW</v>
      </c>
      <c r="X49" s="22">
        <f t="shared" si="15"/>
        <v>828</v>
      </c>
      <c r="Y49" s="96" t="str">
        <f t="shared" si="16"/>
        <v>echo {"issue":{"subject":"","project_id":79,"tracker_id":40,"status_id":1,"priority_id":2,"assigned_to_id":23,"start_date":"2017-07-05","description":"","custom_fields":[{"id":1,"name":"Subdivision","value":"NW"},{"id":4,"name":"Milepost","value":"5.905"},{"id":17,"name":"Train ID","value":"828-05"},{"id":16,"name":"Locomotive ID","value":"4025"},{"id":130,"name":"Impact","value":""},{"id":150,"name":"Time of Event (Mountain Time)","value":"16:13:56"},{"id":151,"name":"Denver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/c/Users/stu/AppData/Local/Temp/OnboardLogs/RTDC4025 --include="*4025*201707052*"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"%USERPROFILE%\AppData\Local\Temp\OnboardLogs"\RTDC4025\*4025*201707052* &gt;&gt; 2017-07-05-SliceDisagreementCheck.txt</v>
      </c>
      <c r="AE49" s="145" t="str">
        <f t="shared" si="9"/>
        <v>start /low /b %USERPROFILE%\Documents\GitHub\eaglep3\Utilities\DownloadLogsFromS3.py --loco 4025 --day 2017-07-05</v>
      </c>
      <c r="AF49" s="1"/>
    </row>
    <row r="50" spans="1:32" x14ac:dyDescent="0.25">
      <c r="A50" s="31">
        <v>42921.676736111112</v>
      </c>
      <c r="B50" s="30" t="s">
        <v>493</v>
      </c>
      <c r="C50" s="30" t="s">
        <v>613</v>
      </c>
      <c r="D50" s="30" t="s">
        <v>49</v>
      </c>
      <c r="E50" s="30" t="s">
        <v>360</v>
      </c>
      <c r="F50" s="42">
        <v>0</v>
      </c>
      <c r="G50" s="42">
        <v>59</v>
      </c>
      <c r="H50" s="42">
        <v>56431</v>
      </c>
      <c r="I50" s="42">
        <v>56202</v>
      </c>
      <c r="J50" s="30" t="s">
        <v>361</v>
      </c>
      <c r="K50" s="42">
        <v>6799</v>
      </c>
      <c r="L50" s="131" t="s">
        <v>51</v>
      </c>
      <c r="M50" s="132">
        <f t="shared" si="10"/>
        <v>26084.784</v>
      </c>
      <c r="N50" s="133" t="str">
        <f>VLOOKUP(C50,'Trips&amp;Operators'!$C$1:$G$99999,5,FALSE)</f>
        <v>STAMBAUGH JAMES</v>
      </c>
      <c r="O50" s="203" t="s">
        <v>630</v>
      </c>
      <c r="P50" s="134" t="s">
        <v>1053</v>
      </c>
      <c r="Q50" s="30"/>
      <c r="R50" s="81" t="str">
        <f>VLOOKUP(C50,'Train Runs'!$A$13:$AE$9933,31,0)</f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S50" s="84" t="str">
        <f>VLOOKUP(C50,'Train Runs'!$A$13:$AE$9933,22,0)</f>
        <v>https://d0f6bd738d7f1b3e5a7ca70fe4ff75f0.us-east-1.aws.found.io/app/kibana#/discover/Steve-Slow-Train-Analysis-(2080s-and-2083s)?_g=(refreshInterval:(display:Off,pause:!f,section:0,value:0),time:(from:'2017-07-05T15:10:15-0600',mode:absolute,to:'2017-07-05T17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0" s="86" t="str">
        <f t="shared" si="11"/>
        <v>"C:\Program Files (x86)\AstroGrep\AstroGrep.exe" /e /r /s /spath="%USERPROFILE%\AppData\Local\Temp\OnboardLogs" /stypes="*4025*201707052*" /stext=" 22:.+((SYSTEM_STATE.+slice.+state.+changed )|(ment ac)|(multiple cpu faults)|(system.+state.+changed )|(\[timeout)|(PRM\|1\|D)|(kpr)|(kdp)|(train st.+moving)|(\|lc)|(penalty))"</v>
      </c>
      <c r="U50" s="9" t="str">
        <f t="shared" si="12"/>
        <v>4025</v>
      </c>
      <c r="V50" s="31">
        <f t="shared" si="13"/>
        <v>42921.926736111112</v>
      </c>
      <c r="W50" s="45" t="str">
        <f t="shared" si="14"/>
        <v>NW</v>
      </c>
      <c r="X50" s="22">
        <f t="shared" si="15"/>
        <v>828</v>
      </c>
      <c r="Y50" s="96" t="str">
        <f t="shared" si="16"/>
        <v>echo {"issue":{"subject":"Onboard braking algorithm enforced for target 2.6 miles away","project_id":79,"tracker_id":40,"status_id":1,"priority_id":2,"assigned_to_id":23,"start_date":"2017-07-05","description":"","custom_fields":[{"id":1,"name":"Subdivision","value":"NW"},{"id":4,"name":"Milepost","value":"0.6799"},{"id":17,"name":"Train ID","value":"828-05"},{"id":16,"name":"Locomotive ID","value":"4025"},{"id":130,"name":"Impact","value":""},{"id":150,"name":"Time of Event (Mountain Time)","value":"16:14:30"},{"id":151,"name":"Denver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/c/Users/stu/AppData/Local/Temp/OnboardLogs/RTDC4025 --include="*4025*201707052*"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"%USERPROFILE%\AppData\Local\Temp\OnboardLogs"\RTDC4025\*4025*201707052* &gt;&gt; 2017-07-05-SliceDisagreementCheck.txt</v>
      </c>
      <c r="AE50" s="145" t="str">
        <f t="shared" si="9"/>
        <v>start /low /b %USERPROFILE%\Documents\GitHub\eaglep3\Utilities\DownloadLogsFromS3.py --loco 4025 --day 2017-07-05</v>
      </c>
      <c r="AF50" s="1"/>
    </row>
    <row r="51" spans="1:32" x14ac:dyDescent="0.25">
      <c r="A51" s="31">
        <v>42921.288217592592</v>
      </c>
      <c r="B51" s="30" t="s">
        <v>402</v>
      </c>
      <c r="C51" s="30" t="s">
        <v>578</v>
      </c>
      <c r="D51" s="30" t="s">
        <v>49</v>
      </c>
      <c r="E51" s="30" t="s">
        <v>181</v>
      </c>
      <c r="F51" s="42">
        <v>0</v>
      </c>
      <c r="G51" s="42">
        <v>63</v>
      </c>
      <c r="H51" s="42">
        <v>804</v>
      </c>
      <c r="I51" s="42">
        <v>745</v>
      </c>
      <c r="J51" s="30" t="s">
        <v>182</v>
      </c>
      <c r="K51" s="42">
        <v>575</v>
      </c>
      <c r="L51" s="131" t="s">
        <v>51</v>
      </c>
      <c r="M51" s="132">
        <f t="shared" si="10"/>
        <v>89.76</v>
      </c>
      <c r="N51" s="133" t="str">
        <f>VLOOKUP(C51,'Trips&amp;Operators'!$C$1:$G$99999,5,FALSE)</f>
        <v>GEBRETEKLE DAGNEW</v>
      </c>
      <c r="O51" s="203" t="s">
        <v>180</v>
      </c>
      <c r="P51" s="134"/>
      <c r="Q51" s="30"/>
      <c r="R51" s="81" t="str">
        <f>VLOOKUP(C51,'Train Runs'!$A$13:$AE$9933,31,0)</f>
        <v>aws s3 cp s3://rtdc.mdm.uploadarchive.raw/RTDC4001/ "%USERPROFILE%\AppData\Local\Temp\OnboardLogs"\RTDC4001\2017-07-05 --exclude "*" --recursive --include "*20170705*" &amp; "%USERPROFILE%\Documents\GitHub\mrs-test-scripts\Headless Mode &amp; Sideloading\WalkAndUnGZ.bat" "%USERPROFILE%\AppData\Local\Temp\OnboardLogs"\RTDC4001\2017-07-05 &amp; aws s3 cp s3://rtdc.mdm.uploadarchive.raw/RTDC4001/ "%USERPROFILE%\AppData\Local\Temp\OnboardLogs"\RTDC4001\2017-07-06 --exclude "*" --recursive --include "*20170706*" &amp; "%USERPROFILE%\Documents\GitHub\mrs-test-scripts\Headless Mode &amp; Sideloading\WalkAndUnGZ.bat" "%USERPROFILE%\AppData\Local\Temp\OnboardLogs"\RTDC4001\2017-07-06</v>
      </c>
      <c r="S51" s="84" t="str">
        <f>VLOOKUP(C51,'Train Runs'!$A$13:$AE$9933,22,0)</f>
        <v>https://d0f6bd738d7f1b3e5a7ca70fe4ff75f0.us-east-1.aws.found.io/app/kibana#/discover/Steve-Slow-Train-Analysis-(2080s-and-2083s)?_g=(refreshInterval:(display:Off,pause:!f,section:0,value:0),time:(from:'2017-07-05T05:36:40-0600',mode:absolute,to:'2017-07-05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1" s="86" t="str">
        <f t="shared" si="11"/>
        <v>"C:\Program Files (x86)\AstroGrep\AstroGrep.exe" /e /r /s /spath="%USERPROFILE%\AppData\Local\Temp\OnboardLogs" /stypes="*4001*201707051*" /stext=" 12:.+((SYSTEM_STATE.+slice.+state.+changed )|(ment ac)|(multiple cpu faults)|(system.+state.+changed )|(\[timeout)|(PRM\|1\|D)|(kpr)|(kdp)|(train st.+moving)|(\|lc)|(penalty))"</v>
      </c>
      <c r="U51" s="9" t="str">
        <f t="shared" si="12"/>
        <v>4001</v>
      </c>
      <c r="V51" s="31">
        <f t="shared" si="13"/>
        <v>42921.538217592592</v>
      </c>
      <c r="W51" s="45" t="str">
        <f t="shared" si="14"/>
        <v>NW</v>
      </c>
      <c r="X51" s="22">
        <f t="shared" si="15"/>
        <v>804</v>
      </c>
      <c r="Y51" s="96" t="str">
        <f t="shared" si="16"/>
        <v>echo {"issue":{"subject":"","project_id":79,"tracker_id":40,"status_id":1,"priority_id":2,"assigned_to_id":23,"start_date":"2017-07-05","description":"","custom_fields":[{"id":1,"name":"Subdivision","value":"NW"},{"id":4,"name":"Milepost","value":"0.0575"},{"id":17,"name":"Train ID","value":"804-05"},{"id":16,"name":"Locomotive ID","value":"4001"},{"id":130,"name":"Impact","value":""},{"id":150,"name":"Time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/c/Users/stu/AppData/Local/Temp/OnboardLogs/RTDC4001 --include="*4001*201707051*"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"%USERPROFILE%\AppData\Local\Temp\OnboardLogs"\RTDC4001\*4001*201707051* &gt;&gt; 2017-07-05-SliceDisagreementCheck.txt</v>
      </c>
      <c r="AE51" s="145" t="str">
        <f t="shared" si="9"/>
        <v>start /low /b %USERPROFILE%\Documents\GitHub\eaglep3\Utilities\DownloadLogsFromS3.py --loco 4001 --day 2017-07-05</v>
      </c>
      <c r="AF51" s="1"/>
    </row>
    <row r="52" spans="1:32" x14ac:dyDescent="0.25">
      <c r="A52" s="31">
        <v>42921.767569444448</v>
      </c>
      <c r="B52" s="30" t="s">
        <v>493</v>
      </c>
      <c r="C52" s="30" t="s">
        <v>621</v>
      </c>
      <c r="D52" s="30" t="s">
        <v>49</v>
      </c>
      <c r="E52" s="30" t="s">
        <v>181</v>
      </c>
      <c r="F52" s="42">
        <v>0</v>
      </c>
      <c r="G52" s="42">
        <v>47</v>
      </c>
      <c r="H52" s="42">
        <v>687</v>
      </c>
      <c r="I52" s="42">
        <v>622</v>
      </c>
      <c r="J52" s="30" t="s">
        <v>182</v>
      </c>
      <c r="K52" s="42">
        <v>575</v>
      </c>
      <c r="L52" s="131" t="s">
        <v>51</v>
      </c>
      <c r="M52" s="132">
        <f t="shared" si="10"/>
        <v>24.815999999999999</v>
      </c>
      <c r="N52" s="133" t="str">
        <f>VLOOKUP(C52,'Trips&amp;Operators'!$C$1:$G$99999,5,FALSE)</f>
        <v>STAMBAUGH JAMES</v>
      </c>
      <c r="O52" s="203" t="s">
        <v>180</v>
      </c>
      <c r="P52" s="134"/>
      <c r="Q52" s="30"/>
      <c r="R52" s="81" t="str">
        <f>VLOOKUP(C52,'Train Runs'!$A$13:$AE$9933,31,0)</f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S52" s="84" t="str">
        <f>VLOOKUP(C52,'Train Runs'!$A$13:$AE$9933,22,0)</f>
        <v>https://d0f6bd738d7f1b3e5a7ca70fe4ff75f0.us-east-1.aws.found.io/app/kibana#/discover/Steve-Slow-Train-Analysis-(2080s-and-2083s)?_g=(refreshInterval:(display:Off,pause:!f,section:0,value:0),time:(from:'2017-07-05T17:06:08-0600',mode:absolute,to:'2017-07-05T19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2" s="86" t="str">
        <f t="shared" si="11"/>
        <v>"C:\Program Files (x86)\AstroGrep\AstroGrep.exe" /e /r /s /spath="%USERPROFILE%\AppData\Local\Temp\OnboardLogs" /stypes="*4025*201707060*" /stext=" 00:.+((SYSTEM_STATE.+slice.+state.+changed )|(ment ac)|(multiple cpu faults)|(system.+state.+changed )|(\[timeout)|(PRM\|1\|D)|(kpr)|(kdp)|(train st.+moving)|(\|lc)|(penalty))"</v>
      </c>
      <c r="U52" s="9" t="str">
        <f t="shared" si="12"/>
        <v>4025</v>
      </c>
      <c r="V52" s="31">
        <f t="shared" si="13"/>
        <v>42922.017569444448</v>
      </c>
      <c r="W52" s="45" t="str">
        <f t="shared" si="14"/>
        <v>NW</v>
      </c>
      <c r="X52" s="22">
        <f t="shared" si="15"/>
        <v>836</v>
      </c>
      <c r="Y52" s="96" t="str">
        <f t="shared" si="16"/>
        <v>echo {"issue":{"subject":"","project_id":79,"tracker_id":40,"status_id":1,"priority_id":2,"assigned_to_id":23,"start_date":"2017-07-05","description":"","custom_fields":[{"id":1,"name":"Subdivision","value":"NW"},{"id":4,"name":"Milepost","value":"0.0575"},{"id":17,"name":"Train ID","value":"836-05"},{"id":16,"name":"Locomotive ID","value":"4025"},{"id":130,"name":"Impact","value":""},{"id":150,"name":"Time of Event (Mountain Time)","value":"18:25:18"},{"id":151,"name":"Denver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/c/Users/stu/AppData/Local/Temp/OnboardLogs/RTDC4025 --include="*4025*201707060*"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"%USERPROFILE%\AppData\Local\Temp\OnboardLogs"\RTDC4025\*4025*201707060* &gt;&gt; 2017-07-05-SliceDisagreementCheck.txt</v>
      </c>
      <c r="AE52" s="145" t="str">
        <f t="shared" si="9"/>
        <v>start /low /b %USERPROFILE%\Documents\GitHub\eaglep3\Utilities\DownloadLogsFromS3.py --loco 4025 --day 2017-07-06</v>
      </c>
      <c r="AF52" s="1"/>
    </row>
    <row r="53" spans="1:32" x14ac:dyDescent="0.25">
      <c r="A53" s="31">
        <v>42921.711562500001</v>
      </c>
      <c r="B53" s="30" t="s">
        <v>494</v>
      </c>
      <c r="C53" s="30" t="s">
        <v>617</v>
      </c>
      <c r="D53" s="30" t="s">
        <v>49</v>
      </c>
      <c r="E53" s="30" t="s">
        <v>181</v>
      </c>
      <c r="F53" s="42">
        <v>0</v>
      </c>
      <c r="G53" s="42">
        <v>36</v>
      </c>
      <c r="H53" s="42">
        <v>58965</v>
      </c>
      <c r="I53" s="42">
        <v>58986</v>
      </c>
      <c r="J53" s="30" t="s">
        <v>182</v>
      </c>
      <c r="K53" s="42">
        <v>59048</v>
      </c>
      <c r="L53" s="131" t="s">
        <v>50</v>
      </c>
      <c r="M53" s="132">
        <f t="shared" si="10"/>
        <v>32.735999999999997</v>
      </c>
      <c r="N53" s="133" t="str">
        <f>VLOOKUP(C53,'Trips&amp;Operators'!$C$1:$G$99999,5,FALSE)</f>
        <v>STAMBAUGH JAMES</v>
      </c>
      <c r="O53" s="203" t="s">
        <v>180</v>
      </c>
      <c r="P53" s="134"/>
      <c r="Q53" s="30"/>
      <c r="R53" s="81" t="str">
        <f>VLOOKUP(C53,'Train Runs'!$A$13:$AE$9933,31,0)</f>
        <v>aws s3 cp s3://rtdc.mdm.uploadarchive.raw/RTDC4026/ "%USERPROFILE%\AppData\Local\Temp\OnboardLogs"\RTDC4026\2017-07-05 --exclude "*" --recursive --include "*20170705*" &amp; "%USERPROFILE%\Documents\GitHub\mrs-test-scripts\Headless Mode &amp; Sideloading\WalkAndUnGZ.bat" "%USERPROFILE%\AppData\Local\Temp\OnboardLogs"\RTDC4026\2017-07-05 &amp; aws s3 cp s3://rtdc.mdm.uploadarchive.raw/RTDC4026/ "%USERPROFILE%\AppData\Local\Temp\OnboardLogs"\RTDC4026\2017-07-06 --exclude "*" --recursive --include "*20170706*" &amp; "%USERPROFILE%\Documents\GitHub\mrs-test-scripts\Headless Mode &amp; Sideloading\WalkAndUnGZ.bat" "%USERPROFILE%\AppData\Local\Temp\OnboardLogs"\RTDC4026\2017-07-06</v>
      </c>
      <c r="S53" s="84" t="str">
        <f>VLOOKUP(C53,'Train Runs'!$A$13:$AE$9933,22,0)</f>
        <v>https://d0f6bd738d7f1b3e5a7ca70fe4ff75f0.us-east-1.aws.found.io/app/kibana#/discover/Steve-Slow-Train-Analysis-(2080s-and-2083s)?_g=(refreshInterval:(display:Off,pause:!f,section:0,value:0),time:(from:'2017-07-05T15:44:27-0600',mode:absolute,to:'2017-07-05T18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3" s="86" t="str">
        <f t="shared" si="11"/>
        <v>"C:\Program Files (x86)\AstroGrep\AstroGrep.exe" /e /r /s /spath="%USERPROFILE%\AppData\Local\Temp\OnboardLogs" /stypes="*4026*201707052*"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4026</v>
      </c>
      <c r="V53" s="31">
        <f t="shared" si="13"/>
        <v>42921.961562500001</v>
      </c>
      <c r="W53" s="45" t="str">
        <f t="shared" si="14"/>
        <v>NW</v>
      </c>
      <c r="X53" s="22">
        <f t="shared" si="15"/>
        <v>831</v>
      </c>
      <c r="Y53" s="96" t="str">
        <f t="shared" si="16"/>
        <v>echo {"issue":{"subject":"","project_id":79,"tracker_id":40,"status_id":1,"priority_id":2,"assigned_to_id":23,"start_date":"2017-07-05","description":"","custom_fields":[{"id":1,"name":"Subdivision","value":"NW"},{"id":4,"name":"Milepost","value":"5.9048"},{"id":17,"name":"Train ID","value":"831-05"},{"id":16,"name":"Locomotive ID","value":"4026"},{"id":130,"name":"Impact","value":""},{"id":150,"name":"Time of Event (Mountain Time)","value":"17:04:39"},{"id":151,"name":"Denver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/c/Users/stu/AppData/Local/Temp/OnboardLogs/RTDC4026 --include="*4026*201707052*"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"%USERPROFILE%\AppData\Local\Temp\OnboardLogs"\RTDC4026\*4026*201707052* &gt;&gt; 2017-07-05-SliceDisagreementCheck.txt</v>
      </c>
      <c r="AE53" s="145" t="str">
        <f t="shared" si="9"/>
        <v>start /low /b %USERPROFILE%\Documents\GitHub\eaglep3\Utilities\DownloadLogsFromS3.py --loco 4026 --day 2017-07-05</v>
      </c>
      <c r="AF53" s="1"/>
    </row>
    <row r="54" spans="1:32" x14ac:dyDescent="0.25">
      <c r="A54" s="31">
        <v>42921.797939814816</v>
      </c>
      <c r="B54" s="30" t="s">
        <v>493</v>
      </c>
      <c r="C54" s="30" t="s">
        <v>624</v>
      </c>
      <c r="D54" s="30" t="s">
        <v>96</v>
      </c>
      <c r="E54" s="30" t="s">
        <v>200</v>
      </c>
      <c r="F54" s="42">
        <v>150</v>
      </c>
      <c r="G54" s="42">
        <v>216</v>
      </c>
      <c r="H54" s="42">
        <v>56650</v>
      </c>
      <c r="I54" s="42">
        <v>55926</v>
      </c>
      <c r="J54" s="30" t="s">
        <v>201</v>
      </c>
      <c r="K54" s="42">
        <v>59050</v>
      </c>
      <c r="L54" s="131" t="s">
        <v>51</v>
      </c>
      <c r="M54" s="132">
        <f t="shared" si="10"/>
        <v>-1649.472</v>
      </c>
      <c r="N54" s="133" t="str">
        <f>VLOOKUP(C54,'Trips&amp;Operators'!$C$1:$G$99999,5,FALSE)</f>
        <v>STAMBAUGH JAMES</v>
      </c>
      <c r="O54" s="203" t="s">
        <v>180</v>
      </c>
      <c r="P54" s="134"/>
      <c r="Q54" s="30"/>
      <c r="R54" s="81" t="str">
        <f>VLOOKUP(C54,'Train Runs'!$A$13:$AE$9933,31,0)</f>
        <v>aws s3 cp s3://rtdc.mdm.uploadarchive.raw/RTDC4025/ "%USERPROFILE%\AppData\Local\Temp\OnboardLogs"\RTDC4025\2017-07-05 --exclude "*" --recursive --include "*20170705*" &amp; "%USERPROFILE%\Documents\GitHub\mrs-test-scripts\Headless Mode &amp; Sideloading\WalkAndUnGZ.bat" "%USERPROFILE%\AppData\Local\Temp\OnboardLogs"\RTDC4025\2017-07-05 &amp; aws s3 cp s3://rtdc.mdm.uploadarchive.raw/RTDC4025/ "%USERPROFILE%\AppData\Local\Temp\OnboardLogs"\RTDC4025\2017-07-06 --exclude "*" --recursive --include "*20170706*" &amp; "%USERPROFILE%\Documents\GitHub\mrs-test-scripts\Headless Mode &amp; Sideloading\WalkAndUnGZ.bat" "%USERPROFILE%\AppData\Local\Temp\OnboardLogs"\RTDC4025\2017-07-06</v>
      </c>
      <c r="S54" s="84" t="str">
        <f>VLOOKUP(C54,'Train Runs'!$A$13:$AE$9933,22,0)</f>
        <v>https://d0f6bd738d7f1b3e5a7ca70fe4ff75f0.us-east-1.aws.found.io/app/kibana#/discover/Steve-Slow-Train-Analysis-(2080s-and-2083s)?_g=(refreshInterval:(display:Off,pause:!f,section:0,value:0),time:(from:'2017-07-05T18:05:50-0600',mode:absolute,to:'2017-07-05T20:17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4" s="86" t="str">
        <f t="shared" si="11"/>
        <v>"C:\Program Files (x86)\AstroGrep\AstroGrep.exe" /e /r /s /spath="%USERPROFILE%\AppData\Local\Temp\OnboardLogs" /stypes="*4025*201707060*" /stext=" 01:.+((SYSTEM_STATE.+slice.+state.+changed )|(ment ac)|(multiple cpu faults)|(system.+state.+changed )|(\[timeout)|(PRM\|1\|D)|(kpr)|(kdp)|(train st.+moving)|(\|lc)|(penalty))"</v>
      </c>
      <c r="U54" s="9" t="str">
        <f t="shared" si="12"/>
        <v>4025</v>
      </c>
      <c r="V54" s="31">
        <f t="shared" si="13"/>
        <v>42922.047939814816</v>
      </c>
      <c r="W54" s="45" t="str">
        <f t="shared" si="14"/>
        <v>Other</v>
      </c>
      <c r="X54" s="22">
        <f t="shared" si="15"/>
        <v>906</v>
      </c>
      <c r="Y54" s="96" t="str">
        <f t="shared" si="16"/>
        <v>echo {"issue":{"subject":"","project_id":79,"tracker_id":40,"status_id":1,"priority_id":2,"assigned_to_id":23,"start_date":"2017-07-05","description":"","custom_fields":[{"id":1,"name":"Subdivision","value":"Other"},{"id":4,"name":"Milepost","value":"5.905"},{"id":17,"name":"Train ID","value":"906-05"},{"id":16,"name":"Locomotive ID","value":"4025"},{"id":130,"name":"Impact","value":""},{"id":150,"name":"Time of Event (Mountain Time)","value":"19:09:02"},{"id":151,"name":"Denver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/c/Users/stu/AppData/Local/Temp/OnboardLogs/RTDC4025 --include="*4025*201707060*"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"%USERPROFILE%\AppData\Local\Temp\OnboardLogs"\RTDC4025\*4025*201707060* &gt;&gt; 2017-07-05-SliceDisagreementCheck.txt</v>
      </c>
      <c r="AE54" s="145" t="str">
        <f t="shared" si="9"/>
        <v>start /low /b %USERPROFILE%\Documents\GitHub\eaglep3\Utilities\DownloadLogsFromS3.py --loco 4025 --day 2017-07-06</v>
      </c>
      <c r="AF54" s="1"/>
    </row>
    <row r="55" spans="1:32" x14ac:dyDescent="0.25">
      <c r="A55" s="31">
        <v>42921.444548611114</v>
      </c>
      <c r="B55" s="30" t="s">
        <v>515</v>
      </c>
      <c r="C55" s="30" t="s">
        <v>596</v>
      </c>
      <c r="D55" s="30" t="s">
        <v>49</v>
      </c>
      <c r="E55" s="30" t="s">
        <v>187</v>
      </c>
      <c r="F55" s="42">
        <v>0</v>
      </c>
      <c r="G55" s="42">
        <v>296</v>
      </c>
      <c r="H55" s="42">
        <v>10380</v>
      </c>
      <c r="I55" s="42">
        <v>10935</v>
      </c>
      <c r="J55" s="30" t="s">
        <v>188</v>
      </c>
      <c r="K55" s="42">
        <v>10714</v>
      </c>
      <c r="L55" s="131" t="s">
        <v>50</v>
      </c>
      <c r="M55" s="132">
        <f t="shared" si="10"/>
        <v>-116.688</v>
      </c>
      <c r="N55" s="133" t="str">
        <f>VLOOKUP(C55,'Trips&amp;Operators'!$C$1:$G$99999,5,FALSE)</f>
        <v>BARTELL KIM</v>
      </c>
      <c r="O55" s="203" t="s">
        <v>180</v>
      </c>
      <c r="P55" s="134"/>
      <c r="Q55" s="30"/>
      <c r="R55" s="81" t="str">
        <f>VLOOKUP(C55,'Train Runs'!$A$13:$AE$9933,31,0)</f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S55" s="84" t="str">
        <f>VLOOKUP(C55,'Train Runs'!$A$13:$AE$9933,22,0)</f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5" s="86" t="str">
        <f t="shared" si="11"/>
        <v>"C:\Program Files (x86)\AstroGrep\AstroGrep.exe" /e /r /s /spath="%USERPROFILE%\AppData\Local\Temp\OnboardLogs" /stypes="*4024*201707051*" /stext=" 16:.+((SYSTEM_STATE.+slice.+state.+changed )|(ment ac)|(multiple cpu faults)|(system.+state.+changed )|(\[timeout)|(PRM\|1\|D)|(kpr)|(kdp)|(train st.+moving)|(\|lc)|(penalty))"</v>
      </c>
      <c r="U55" s="9" t="str">
        <f t="shared" si="12"/>
        <v>4024</v>
      </c>
      <c r="V55" s="31">
        <f t="shared" si="13"/>
        <v>42921.694548611114</v>
      </c>
      <c r="W55" s="45" t="str">
        <f t="shared" si="14"/>
        <v>Shuttle/Test</v>
      </c>
      <c r="X55" s="22">
        <f t="shared" si="15"/>
        <v>63</v>
      </c>
      <c r="Y55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1.0714"},{"id":17,"name":"Train ID","value":"63-05"},{"id":16,"name":"Locomotive ID","value":"4024"},{"id":130,"name":"Impact","value":""},{"id":150,"name":"Time of Event (Mountain Time)","value":"10:40:09"},{"id":151,"name":"Denver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/c/Users/stu/AppData/Local/Temp/OnboardLogs/RTDC4024 --include="*4024*201707051*"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"%USERPROFILE%\AppData\Local\Temp\OnboardLogs"\RTDC4024\*4024*201707051* &gt;&gt; 2017-07-05-SliceDisagreementCheck.txt</v>
      </c>
      <c r="AE55" s="145" t="str">
        <f t="shared" si="9"/>
        <v>start /low /b %USERPROFILE%\Documents\GitHub\eaglep3\Utilities\DownloadLogsFromS3.py --loco 4024 --day 2017-07-05</v>
      </c>
      <c r="AF55" s="1"/>
    </row>
    <row r="56" spans="1:32" x14ac:dyDescent="0.25">
      <c r="A56" s="31">
        <v>42921.575555555559</v>
      </c>
      <c r="B56" s="30" t="s">
        <v>478</v>
      </c>
      <c r="C56" s="30" t="s">
        <v>603</v>
      </c>
      <c r="D56" s="30" t="s">
        <v>49</v>
      </c>
      <c r="E56" s="30" t="s">
        <v>187</v>
      </c>
      <c r="F56" s="42">
        <v>250</v>
      </c>
      <c r="G56" s="42">
        <v>312</v>
      </c>
      <c r="H56" s="42">
        <v>79957</v>
      </c>
      <c r="I56" s="42">
        <v>79227</v>
      </c>
      <c r="J56" s="30" t="s">
        <v>188</v>
      </c>
      <c r="K56" s="42">
        <v>78603</v>
      </c>
      <c r="L56" s="131" t="s">
        <v>51</v>
      </c>
      <c r="M56" s="132">
        <f t="shared" si="10"/>
        <v>329.47199999999998</v>
      </c>
      <c r="N56" s="133" t="str">
        <f>VLOOKUP(C56,'Trips&amp;Operators'!$C$1:$G$99999,5,FALSE)</f>
        <v>SANTIZO D. EDY</v>
      </c>
      <c r="O56" s="203" t="s">
        <v>180</v>
      </c>
      <c r="P56" s="134"/>
      <c r="Q56" s="30"/>
      <c r="R56" s="81" t="str">
        <f>VLOOKUP(C56,'Train Runs'!$A$13:$AE$9933,31,0)</f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S56" s="84" t="str">
        <f>VLOOKUP(C56,'Train Runs'!$A$13:$AE$9933,22,0)</f>
        <v>https://d0f6bd738d7f1b3e5a7ca70fe4ff75f0.us-east-1.aws.found.io/app/kibana#/discover/Steve-Slow-Train-Analysis-(2080s-and-2083s)?_g=(refreshInterval:(display:Off,pause:!f,section:0,value:0),time:(from:'2017-07-05T12:34:08-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6" s="86" t="str">
        <f t="shared" si="11"/>
        <v>"C:\Program Files (x86)\AstroGrep\AstroGrep.exe" /e /r /s /spath="%USERPROFILE%\AppData\Local\Temp\OnboardLogs" /stypes="*4063*201707051*" /stext=" 19:.+((SYSTEM_STATE.+slice.+state.+changed )|(ment ac)|(multiple cpu faults)|(system.+state.+changed )|(\[timeout)|(PRM\|1\|D)|(kpr)|(kdp)|(train st.+moving)|(\|lc)|(penalty))"</v>
      </c>
      <c r="U56" s="9" t="str">
        <f t="shared" si="12"/>
        <v>4063</v>
      </c>
      <c r="V56" s="31">
        <f t="shared" si="13"/>
        <v>42921.825555555559</v>
      </c>
      <c r="W56" s="45" t="str">
        <f t="shared" si="14"/>
        <v>Shuttle/Test</v>
      </c>
      <c r="X56" s="22">
        <f t="shared" si="15"/>
        <v>62</v>
      </c>
      <c r="Y56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7.8603"},{"id":17,"name":"Train ID","value":"62-05"},{"id":16,"name":"Locomotive ID","value":"4063"},{"id":130,"name":"Impact","value":""},{"id":150,"name":"Time of Event (Mountain Time)","value":"13:48:48"},{"id":151,"name":"Denver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/c/Users/stu/AppData/Local/Temp/OnboardLogs/RTDC4063 --include="*4063*201707051*"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"%USERPROFILE%\AppData\Local\Temp\OnboardLogs"\RTDC4063\*4063*201707051* &gt;&gt; 2017-07-05-SliceDisagreementCheck.txt</v>
      </c>
      <c r="AE56" s="145" t="str">
        <f t="shared" si="9"/>
        <v>start /low /b %USERPROFILE%\Documents\GitHub\eaglep3\Utilities\DownloadLogsFromS3.py --loco 4063 --day 2017-07-05</v>
      </c>
      <c r="AF56" s="1"/>
    </row>
    <row r="57" spans="1:32" x14ac:dyDescent="0.25">
      <c r="A57" s="31">
        <v>42921.57136574074</v>
      </c>
      <c r="B57" s="30" t="s">
        <v>478</v>
      </c>
      <c r="C57" s="30" t="s">
        <v>603</v>
      </c>
      <c r="D57" s="30" t="s">
        <v>49</v>
      </c>
      <c r="E57" s="30" t="s">
        <v>187</v>
      </c>
      <c r="F57" s="42">
        <v>360</v>
      </c>
      <c r="G57" s="42">
        <v>420</v>
      </c>
      <c r="H57" s="42">
        <v>107259</v>
      </c>
      <c r="I57" s="42">
        <v>105992</v>
      </c>
      <c r="J57" s="30" t="s">
        <v>188</v>
      </c>
      <c r="K57" s="42">
        <v>106238</v>
      </c>
      <c r="L57" s="131" t="s">
        <v>51</v>
      </c>
      <c r="M57" s="132">
        <f t="shared" si="10"/>
        <v>-129.88800000000001</v>
      </c>
      <c r="N57" s="133" t="str">
        <f>VLOOKUP(C57,'Trips&amp;Operators'!$C$1:$G$99999,5,FALSE)</f>
        <v>SANTIZO D. EDY</v>
      </c>
      <c r="O57" s="203" t="s">
        <v>180</v>
      </c>
      <c r="P57" s="134"/>
      <c r="Q57" s="30"/>
      <c r="R57" s="81" t="str">
        <f>VLOOKUP(C57,'Train Runs'!$A$13:$AE$9933,31,0)</f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S57" s="84" t="str">
        <f>VLOOKUP(C57,'Train Runs'!$A$13:$AE$9933,22,0)</f>
        <v>https://d0f6bd738d7f1b3e5a7ca70fe4ff75f0.us-east-1.aws.found.io/app/kibana#/discover/Steve-Slow-Train-Analysis-(2080s-and-2083s)?_g=(refreshInterval:(display:Off,pause:!f,section:0,value:0),time:(from:'2017-07-05T12:34:08-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7" s="86" t="str">
        <f t="shared" si="11"/>
        <v>"C:\Program Files (x86)\AstroGrep\AstroGrep.exe" /e /r /s /spath="%USERPROFILE%\AppData\Local\Temp\OnboardLogs" /stypes="*4063*201707051*" /stext=" 19:.+((SYSTEM_STATE.+slice.+state.+changed )|(ment ac)|(multiple cpu faults)|(system.+state.+changed )|(\[timeout)|(PRM\|1\|D)|(kpr)|(kdp)|(train st.+moving)|(\|lc)|(penalty))"</v>
      </c>
      <c r="U57" s="9" t="str">
        <f t="shared" si="12"/>
        <v>4063</v>
      </c>
      <c r="V57" s="31">
        <f t="shared" si="13"/>
        <v>42921.82136574074</v>
      </c>
      <c r="W57" s="45" t="str">
        <f t="shared" si="14"/>
        <v>Shuttle/Test</v>
      </c>
      <c r="X57" s="22">
        <f t="shared" si="15"/>
        <v>62</v>
      </c>
      <c r="Y57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10.6238"},{"id":17,"name":"Train ID","value":"62-05"},{"id":16,"name":"Locomotive ID","value":"4063"},{"id":130,"name":"Impact","value":""},{"id":150,"name":"Time of Event (Mountain Time)","value":"13:42:46"},{"id":151,"name":"Denver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/c/Users/stu/AppData/Local/Temp/OnboardLogs/RTDC4063 --include="*4063*201707051*"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"%USERPROFILE%\AppData\Local\Temp\OnboardLogs"\RTDC4063\*4063*201707051* &gt;&gt; 2017-07-05-SliceDisagreementCheck.txt</v>
      </c>
      <c r="AE57" s="145" t="str">
        <f t="shared" si="9"/>
        <v>start /low /b %USERPROFILE%\Documents\GitHub\eaglep3\Utilities\DownloadLogsFromS3.py --loco 4063 --day 2017-07-05</v>
      </c>
      <c r="AF57" s="1"/>
    </row>
    <row r="58" spans="1:32" x14ac:dyDescent="0.25">
      <c r="A58" s="31">
        <v>42921.420277777775</v>
      </c>
      <c r="B58" s="30" t="s">
        <v>466</v>
      </c>
      <c r="C58" s="30" t="s">
        <v>586</v>
      </c>
      <c r="D58" s="30" t="s">
        <v>593</v>
      </c>
      <c r="E58" s="30" t="s">
        <v>594</v>
      </c>
      <c r="F58" s="42">
        <v>0</v>
      </c>
      <c r="G58" s="42">
        <v>93</v>
      </c>
      <c r="H58" s="42">
        <v>46992</v>
      </c>
      <c r="I58" s="42">
        <v>46929</v>
      </c>
      <c r="J58" s="30" t="s">
        <v>595</v>
      </c>
      <c r="K58" s="42">
        <v>85972</v>
      </c>
      <c r="L58" s="131" t="s">
        <v>51</v>
      </c>
      <c r="M58" s="132">
        <f t="shared" si="10"/>
        <v>-20614.704000000002</v>
      </c>
      <c r="N58" s="133" t="str">
        <f>VLOOKUP(C58,'Trips&amp;Operators'!$C$1:$G$99999,5,FALSE)</f>
        <v>SANTIZO D. EDY</v>
      </c>
      <c r="O58" s="203" t="s">
        <v>180</v>
      </c>
      <c r="P58" s="134"/>
      <c r="Q58" s="30"/>
      <c r="R58" s="81" t="str">
        <f>VLOOKUP(C58,'Train Runs'!$A$13:$AE$9933,31,0)</f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S58" s="84" t="str">
        <f>VLOOKUP(C58,'Train Runs'!$A$13:$AE$9933,22,0)</f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8" s="86" t="str">
        <f t="shared" si="11"/>
        <v>"C:\Program Files (x86)\AstroGrep\AstroGrep.exe" /e /r /s /spath="%USERPROFILE%\AppData\Local\Temp\OnboardLogs" /stypes="*4011*201707051*" /stext=" 16:.+((SYSTEM_STATE.+slice.+state.+changed )|(ment ac)|(multiple cpu faults)|(system.+state.+changed )|(\[timeout)|(PRM\|1\|D)|(kpr)|(kdp)|(train st.+moving)|(\|lc)|(penalty))"</v>
      </c>
      <c r="U58" s="9" t="str">
        <f t="shared" si="12"/>
        <v>4011</v>
      </c>
      <c r="V58" s="31">
        <f t="shared" si="13"/>
        <v>42921.670277777775</v>
      </c>
      <c r="W58" s="45" t="str">
        <f t="shared" si="14"/>
        <v>Shuttle/Test</v>
      </c>
      <c r="X58" s="22">
        <f t="shared" si="15"/>
        <v>61</v>
      </c>
      <c r="Y58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8.5972"},{"id":17,"name":"Train ID","value":"61-05"},{"id":16,"name":"Locomotive ID","value":"4011"},{"id":130,"name":"Impact","value":""},{"id":150,"name":"Time of Event (Mountain Time)","value":"10:05:12"},{"id":151,"name":"Denver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/c/Users/stu/AppData/Local/Temp/OnboardLogs/RTDC4011 --include="*4011*201707051*"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"%USERPROFILE%\AppData\Local\Temp\OnboardLogs"\RTDC4011\*4011*201707051* &gt;&gt; 2017-07-05-SliceDisagreementCheck.txt</v>
      </c>
      <c r="AE58" s="145" t="str">
        <f t="shared" si="9"/>
        <v>start /low /b %USERPROFILE%\Documents\GitHub\eaglep3\Utilities\DownloadLogsFromS3.py --loco 4011 --day 2017-07-05</v>
      </c>
      <c r="AF58" s="1"/>
    </row>
    <row r="59" spans="1:32" x14ac:dyDescent="0.25">
      <c r="A59" s="31">
        <v>42921.612951388888</v>
      </c>
      <c r="B59" s="30" t="s">
        <v>515</v>
      </c>
      <c r="C59" s="30" t="s">
        <v>596</v>
      </c>
      <c r="D59" s="30" t="s">
        <v>49</v>
      </c>
      <c r="E59" s="30" t="s">
        <v>360</v>
      </c>
      <c r="F59" s="42">
        <v>0</v>
      </c>
      <c r="G59" s="42">
        <v>159</v>
      </c>
      <c r="H59" s="42">
        <v>9464</v>
      </c>
      <c r="I59" s="42">
        <v>9720</v>
      </c>
      <c r="J59" s="30" t="s">
        <v>361</v>
      </c>
      <c r="K59" s="42">
        <v>9499</v>
      </c>
      <c r="L59" s="131" t="s">
        <v>50</v>
      </c>
      <c r="M59" s="132">
        <f t="shared" si="10"/>
        <v>-116.688</v>
      </c>
      <c r="N59" s="133" t="str">
        <f>VLOOKUP(C59,'Trips&amp;Operators'!$C$1:$G$99999,5,FALSE)</f>
        <v>BARTELL KIM</v>
      </c>
      <c r="O59" s="203" t="s">
        <v>180</v>
      </c>
      <c r="P59" s="134"/>
      <c r="Q59" s="30"/>
      <c r="R59" s="81" t="str">
        <f>VLOOKUP(C59,'Train Runs'!$A$13:$AE$9933,31,0)</f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S59" s="84" t="str">
        <f>VLOOKUP(C59,'Train Runs'!$A$13:$AE$9933,22,0)</f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9" s="86" t="str">
        <f t="shared" si="11"/>
        <v>"C:\Program Files (x86)\AstroGrep\AstroGrep.exe" /e /r /s /spath="%USERPROFILE%\AppData\Local\Temp\OnboardLogs" /stypes="*4024*201707052*" /stext=" 20:.+((SYSTEM_STATE.+slice.+state.+changed )|(ment ac)|(multiple cpu faults)|(system.+state.+changed )|(\[timeout)|(PRM\|1\|D)|(kpr)|(kdp)|(train st.+moving)|(\|lc)|(penalty))"</v>
      </c>
      <c r="U59" s="9" t="str">
        <f t="shared" si="12"/>
        <v>4024</v>
      </c>
      <c r="V59" s="31">
        <f t="shared" si="13"/>
        <v>42921.862951388888</v>
      </c>
      <c r="W59" s="45" t="str">
        <f t="shared" si="14"/>
        <v>Shuttle/Test</v>
      </c>
      <c r="X59" s="22">
        <f t="shared" si="15"/>
        <v>63</v>
      </c>
      <c r="Y59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0.9499"},{"id":17,"name":"Train ID","value":"63-05"},{"id":16,"name":"Locomotive ID","value":"4024"},{"id":130,"name":"Impact","value":""},{"id":150,"name":"Time of Event (Mountain Time)","value":"14:42:39"},{"id":151,"name":"Denver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/c/Users/stu/AppData/Local/Temp/OnboardLogs/RTDC4024 --include="*4024*201707052*"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"%USERPROFILE%\AppData\Local\Temp\OnboardLogs"\RTDC4024\*4024*201707052* &gt;&gt; 2017-07-05-SliceDisagreementCheck.txt</v>
      </c>
      <c r="AE59" s="145" t="str">
        <f t="shared" si="9"/>
        <v>start /low /b %USERPROFILE%\Documents\GitHub\eaglep3\Utilities\DownloadLogsFromS3.py --loco 4024 --day 2017-07-05</v>
      </c>
      <c r="AF59" s="1"/>
    </row>
    <row r="60" spans="1:32" x14ac:dyDescent="0.25">
      <c r="A60" s="31">
        <v>42921.627418981479</v>
      </c>
      <c r="B60" s="30" t="s">
        <v>479</v>
      </c>
      <c r="C60" s="30" t="s">
        <v>603</v>
      </c>
      <c r="D60" s="30" t="s">
        <v>49</v>
      </c>
      <c r="E60" s="30" t="s">
        <v>360</v>
      </c>
      <c r="F60" s="42">
        <v>0</v>
      </c>
      <c r="G60" s="42">
        <v>78</v>
      </c>
      <c r="H60" s="42">
        <v>16319</v>
      </c>
      <c r="I60" s="42">
        <v>16409</v>
      </c>
      <c r="J60" s="30" t="s">
        <v>361</v>
      </c>
      <c r="K60" s="42">
        <v>16577</v>
      </c>
      <c r="L60" s="131" t="s">
        <v>50</v>
      </c>
      <c r="M60" s="132">
        <f t="shared" si="10"/>
        <v>88.703999999999994</v>
      </c>
      <c r="N60" s="133" t="str">
        <f>VLOOKUP(C60,'Trips&amp;Operators'!$C$1:$G$99999,5,FALSE)</f>
        <v>SANTIZO D. EDY</v>
      </c>
      <c r="O60" s="203" t="s">
        <v>180</v>
      </c>
      <c r="P60" s="134"/>
      <c r="Q60" s="30"/>
      <c r="R60" s="81" t="str">
        <f>VLOOKUP(C60,'Train Runs'!$A$13:$AE$9933,31,0)</f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S60" s="84" t="str">
        <f>VLOOKUP(C60,'Train Runs'!$A$13:$AE$9933,22,0)</f>
        <v>https://d0f6bd738d7f1b3e5a7ca70fe4ff75f0.us-east-1.aws.found.io/app/kibana#/discover/Steve-Slow-Train-Analysis-(2080s-and-2083s)?_g=(refreshInterval:(display:Off,pause:!f,section:0,value:0),time:(from:'2017-07-05T12:34:08-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0" s="86" t="str">
        <f t="shared" si="11"/>
        <v>"C:\Program Files (x86)\AstroGrep\AstroGrep.exe" /e /r /s /spath="%USERPROFILE%\AppData\Local\Temp\OnboardLogs" /stypes="*4064*201707052*" /stext=" 21:.+((SYSTEM_STATE.+slice.+state.+changed )|(ment ac)|(multiple cpu faults)|(system.+state.+changed )|(\[timeout)|(PRM\|1\|D)|(kpr)|(kdp)|(train st.+moving)|(\|lc)|(penalty))"</v>
      </c>
      <c r="U60" s="9" t="str">
        <f t="shared" si="12"/>
        <v>4064</v>
      </c>
      <c r="V60" s="31">
        <f t="shared" si="13"/>
        <v>42921.877418981479</v>
      </c>
      <c r="W60" s="45" t="str">
        <f t="shared" si="14"/>
        <v>Shuttle/Test</v>
      </c>
      <c r="X60" s="22">
        <f t="shared" si="15"/>
        <v>62</v>
      </c>
      <c r="Y60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1.6577"},{"id":17,"name":"Train ID","value":"62-05"},{"id":16,"name":"Locomotive ID","value":"4064"},{"id":130,"name":"Impact","value":""},{"id":150,"name":"Time of Event (Mountain Time)","value":"15:03:29"},{"id":151,"name":"Denver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/c/Users/stu/AppData/Local/Temp/OnboardLogs/RTDC4064 --include="*4064*201707052*"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"%USERPROFILE%\AppData\Local\Temp\OnboardLogs"\RTDC4064\*4064*201707052* &gt;&gt; 2017-07-05-SliceDisagreementCheck.txt</v>
      </c>
      <c r="AE60" s="145" t="str">
        <f t="shared" si="9"/>
        <v>start /low /b %USERPROFILE%\Documents\GitHub\eaglep3\Utilities\DownloadLogsFromS3.py --loco 4064 --day 2017-07-05</v>
      </c>
      <c r="AF60" s="1"/>
    </row>
    <row r="61" spans="1:32" x14ac:dyDescent="0.25">
      <c r="A61" s="31">
        <v>42921.612858796296</v>
      </c>
      <c r="B61" s="30" t="s">
        <v>405</v>
      </c>
      <c r="C61" s="30" t="s">
        <v>585</v>
      </c>
      <c r="D61" s="30" t="s">
        <v>49</v>
      </c>
      <c r="E61" s="30" t="s">
        <v>360</v>
      </c>
      <c r="F61" s="42">
        <v>0</v>
      </c>
      <c r="G61" s="42">
        <v>259</v>
      </c>
      <c r="H61" s="42">
        <v>34599</v>
      </c>
      <c r="I61" s="42">
        <v>34012</v>
      </c>
      <c r="J61" s="30" t="s">
        <v>361</v>
      </c>
      <c r="K61" s="42">
        <v>33251</v>
      </c>
      <c r="L61" s="131" t="s">
        <v>51</v>
      </c>
      <c r="M61" s="132">
        <f t="shared" si="10"/>
        <v>401.80799999999999</v>
      </c>
      <c r="N61" s="133" t="str">
        <f>VLOOKUP(C61,'Trips&amp;Operators'!$C$1:$G$99999,5,FALSE)</f>
        <v>PELLITIER GEORGE</v>
      </c>
      <c r="O61" s="203" t="s">
        <v>180</v>
      </c>
      <c r="P61" s="134"/>
      <c r="Q61" s="30"/>
      <c r="R61" s="81" t="str">
        <f>VLOOKUP(C61,'Train Runs'!$A$13:$AE$9933,31,0)</f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S61" s="84" t="str">
        <f>VLOOKUP(C61,'Train Runs'!$A$13:$AE$9933,22,0)</f>
        <v>https://d0f6bd738d7f1b3e5a7ca70fe4ff75f0.us-east-1.aws.found.io/app/kibana#/discover/Steve-Slow-Train-Analysis-(2080s-and-2083s)?_g=(refreshInterval:(display:Off,pause:!f,section:0,value:0),time:(from:'2017-07-05T07:58:28-0600',mode:absolute,to:'2017-07-05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1" s="86" t="str">
        <f t="shared" si="11"/>
        <v>"C:\Program Files (x86)\AstroGrep\AstroGrep.exe" /e /r /s /spath="%USERPROFILE%\AppData\Local\Temp\OnboardLogs" /stypes="*4045*201707052*" /stext=" 20:.+((SYSTEM_STATE.+slice.+state.+changed )|(ment ac)|(multiple cpu faults)|(system.+state.+changed )|(\[timeout)|(PRM\|1\|D)|(kpr)|(kdp)|(train st.+moving)|(\|lc)|(penalty))"</v>
      </c>
      <c r="U61" s="9" t="str">
        <f t="shared" si="12"/>
        <v>4045</v>
      </c>
      <c r="V61" s="31">
        <f t="shared" si="13"/>
        <v>42921.862858796296</v>
      </c>
      <c r="W61" s="45" t="str">
        <f t="shared" si="14"/>
        <v>Shuttle/Test</v>
      </c>
      <c r="X61" s="22">
        <f t="shared" si="15"/>
        <v>66</v>
      </c>
      <c r="Y61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3.3251"},{"id":17,"name":"Train ID","value":"66-05"},{"id":16,"name":"Locomotive ID","value":"4045"},{"id":130,"name":"Impact","value":""},{"id":150,"name":"Time of Event (Mountain Time)","value":"14:42:31"},{"id":151,"name":"Denver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/c/Users/stu/AppData/Local/Temp/OnboardLogs/RTDC4045 --include="*4045*201707052*"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"%USERPROFILE%\AppData\Local\Temp\OnboardLogs"\RTDC4045\*4045*201707052* &gt;&gt; 2017-07-05-SliceDisagreementCheck.txt</v>
      </c>
      <c r="AE61" s="145" t="str">
        <f t="shared" si="9"/>
        <v>start /low /b %USERPROFILE%\Documents\GitHub\eaglep3\Utilities\DownloadLogsFromS3.py --loco 4045 --day 2017-07-05</v>
      </c>
      <c r="AF61" s="1"/>
    </row>
    <row r="62" spans="1:32" x14ac:dyDescent="0.25">
      <c r="A62" s="31">
        <v>42921.385289351849</v>
      </c>
      <c r="B62" s="30" t="s">
        <v>405</v>
      </c>
      <c r="C62" s="30" t="s">
        <v>585</v>
      </c>
      <c r="D62" s="30" t="s">
        <v>49</v>
      </c>
      <c r="E62" s="30" t="s">
        <v>181</v>
      </c>
      <c r="F62" s="42">
        <v>0</v>
      </c>
      <c r="G62" s="42">
        <v>64</v>
      </c>
      <c r="H62" s="42">
        <v>247</v>
      </c>
      <c r="I62" s="42">
        <v>110</v>
      </c>
      <c r="J62" s="30" t="s">
        <v>182</v>
      </c>
      <c r="K62" s="42">
        <v>1</v>
      </c>
      <c r="L62" s="131" t="s">
        <v>51</v>
      </c>
      <c r="M62" s="132">
        <f t="shared" si="10"/>
        <v>57.552</v>
      </c>
      <c r="N62" s="133" t="str">
        <f>VLOOKUP(C62,'Trips&amp;Operators'!$C$1:$G$99999,5,FALSE)</f>
        <v>PELLITIER GEORGE</v>
      </c>
      <c r="O62" s="203" t="s">
        <v>180</v>
      </c>
      <c r="P62" s="134"/>
      <c r="Q62" s="30"/>
      <c r="R62" s="81" t="str">
        <f>VLOOKUP(C62,'Train Runs'!$A$13:$AE$9933,31,0)</f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S62" s="84" t="str">
        <f>VLOOKUP(C62,'Train Runs'!$A$13:$AE$9933,22,0)</f>
        <v>https://d0f6bd738d7f1b3e5a7ca70fe4ff75f0.us-east-1.aws.found.io/app/kibana#/discover/Steve-Slow-Train-Analysis-(2080s-and-2083s)?_g=(refreshInterval:(display:Off,pause:!f,section:0,value:0),time:(from:'2017-07-05T07:58:28-0600',mode:absolute,to:'2017-07-05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2" s="86" t="str">
        <f t="shared" si="11"/>
        <v>"C:\Program Files (x86)\AstroGrep\AstroGrep.exe" /e /r /s /spath="%USERPROFILE%\AppData\Local\Temp\OnboardLogs" /stypes="*4045*201707051*" /stext=" 15:.+((SYSTEM_STATE.+slice.+state.+changed )|(ment ac)|(multiple cpu faults)|(system.+state.+changed )|(\[timeout)|(PRM\|1\|D)|(kpr)|(kdp)|(train st.+moving)|(\|lc)|(penalty))"</v>
      </c>
      <c r="U62" s="9" t="str">
        <f t="shared" si="12"/>
        <v>4045</v>
      </c>
      <c r="V62" s="31">
        <f t="shared" si="13"/>
        <v>42921.635289351849</v>
      </c>
      <c r="W62" s="45" t="str">
        <f t="shared" si="14"/>
        <v>Shuttle/Test</v>
      </c>
      <c r="X62" s="22">
        <f t="shared" si="15"/>
        <v>66</v>
      </c>
      <c r="Y62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0.0001"},{"id":17,"name":"Train ID","value":"66-05"},{"id":16,"name":"Locomotive ID","value":"4045"},{"id":130,"name":"Impact","value":""},{"id":150,"name":"Time of Event (Mountain Time)","value":"09:14:49"},{"id":151,"name":"Denver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/c/Users/stu/AppData/Local/Temp/OnboardLogs/RTDC4045 --include="*4045*201707051*"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"%USERPROFILE%\AppData\Local\Temp\OnboardLogs"\RTDC4045\*4045*201707051* &gt;&gt; 2017-07-05-SliceDisagreementCheck.txt</v>
      </c>
      <c r="AE62" s="145" t="str">
        <f t="shared" si="9"/>
        <v>start /low /b %USERPROFILE%\Documents\GitHub\eaglep3\Utilities\DownloadLogsFromS3.py --loco 4045 --day 2017-07-05</v>
      </c>
      <c r="AF62" s="1"/>
    </row>
    <row r="63" spans="1:32" x14ac:dyDescent="0.25">
      <c r="A63" s="31">
        <v>42921.536134259259</v>
      </c>
      <c r="B63" s="30" t="s">
        <v>511</v>
      </c>
      <c r="C63" s="30" t="s">
        <v>596</v>
      </c>
      <c r="D63" s="30" t="s">
        <v>49</v>
      </c>
      <c r="E63" s="30" t="s">
        <v>181</v>
      </c>
      <c r="F63" s="42">
        <v>0</v>
      </c>
      <c r="G63" s="42">
        <v>20</v>
      </c>
      <c r="H63" s="42">
        <v>72</v>
      </c>
      <c r="I63" s="42">
        <v>68</v>
      </c>
      <c r="J63" s="30" t="s">
        <v>182</v>
      </c>
      <c r="K63" s="42">
        <v>1</v>
      </c>
      <c r="L63" s="131" t="s">
        <v>51</v>
      </c>
      <c r="M63" s="132">
        <f t="shared" si="10"/>
        <v>35.375999999999998</v>
      </c>
      <c r="N63" s="133" t="str">
        <f>VLOOKUP(C63,'Trips&amp;Operators'!$C$1:$G$99999,5,FALSE)</f>
        <v>BARTELL KIM</v>
      </c>
      <c r="O63" s="203" t="s">
        <v>180</v>
      </c>
      <c r="P63" s="134"/>
      <c r="Q63" s="30"/>
      <c r="R63" s="81" t="str">
        <f>VLOOKUP(C63,'Train Runs'!$A$13:$AE$9933,31,0)</f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S63" s="84" t="str">
        <f>VLOOKUP(C63,'Train Runs'!$A$13:$AE$9933,22,0)</f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63" s="86" t="str">
        <f t="shared" si="11"/>
        <v>"C:\Program Files (x86)\AstroGrep\AstroGrep.exe" /e /r /s /spath="%USERPROFILE%\AppData\Local\Temp\OnboardLogs" /stypes="*4023*201707051*" /stext=" 18:.+((SYSTEM_STATE.+slice.+state.+changed )|(ment ac)|(multiple cpu faults)|(system.+state.+changed )|(\[timeout)|(PRM\|1\|D)|(kpr)|(kdp)|(train st.+moving)|(\|lc)|(penalty))"</v>
      </c>
      <c r="U63" s="9" t="str">
        <f t="shared" si="12"/>
        <v>4023</v>
      </c>
      <c r="V63" s="31">
        <f t="shared" si="13"/>
        <v>42921.786134259259</v>
      </c>
      <c r="W63" s="45" t="str">
        <f t="shared" si="14"/>
        <v>Shuttle/Test</v>
      </c>
      <c r="X63" s="22">
        <f t="shared" si="15"/>
        <v>63</v>
      </c>
      <c r="Y63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0.0001"},{"id":17,"name":"Train ID","value":"63-05"},{"id":16,"name":"Locomotive ID","value":"4023"},{"id":130,"name":"Impact","value":""},{"id":150,"name":"Time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/c/Users/stu/AppData/Local/Temp/OnboardLogs/RTDC4023 --include="*4023*201707051*"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"%USERPROFILE%\AppData\Local\Temp\OnboardLogs"\RTDC4023\*4023*201707051* &gt;&gt; 2017-07-05-SliceDisagreementCheck.txt</v>
      </c>
      <c r="AE63" s="145" t="str">
        <f t="shared" si="9"/>
        <v>start /low /b %USERPROFILE%\Documents\GitHub\eaglep3\Utilities\DownloadLogsFromS3.py --loco 4023 --day 2017-07-05</v>
      </c>
      <c r="AF63" s="1"/>
    </row>
    <row r="64" spans="1:32" x14ac:dyDescent="0.25">
      <c r="A64" s="31">
        <v>42921.536898148152</v>
      </c>
      <c r="B64" s="30" t="s">
        <v>511</v>
      </c>
      <c r="C64" s="30" t="s">
        <v>596</v>
      </c>
      <c r="D64" s="30" t="s">
        <v>49</v>
      </c>
      <c r="E64" s="30" t="s">
        <v>181</v>
      </c>
      <c r="F64" s="42">
        <v>0</v>
      </c>
      <c r="G64" s="42">
        <v>5</v>
      </c>
      <c r="H64" s="42">
        <v>48</v>
      </c>
      <c r="I64" s="42">
        <v>43</v>
      </c>
      <c r="J64" s="30" t="s">
        <v>182</v>
      </c>
      <c r="K64" s="42">
        <v>1</v>
      </c>
      <c r="L64" s="131" t="s">
        <v>51</v>
      </c>
      <c r="M64" s="132">
        <f t="shared" si="10"/>
        <v>22.175999999999998</v>
      </c>
      <c r="N64" s="133" t="str">
        <f>VLOOKUP(C64,'Trips&amp;Operators'!$C$1:$G$99999,5,FALSE)</f>
        <v>BARTELL KIM</v>
      </c>
      <c r="O64" s="203" t="s">
        <v>180</v>
      </c>
      <c r="P64" s="134"/>
      <c r="Q64" s="30"/>
      <c r="R64" s="81" t="str">
        <f>VLOOKUP(C64,'Train Runs'!$A$13:$AE$9933,31,0)</f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S64" s="84" t="str">
        <f>VLOOKUP(C64,'Train Runs'!$A$13:$AE$9933,22,0)</f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64" s="86" t="str">
        <f t="shared" si="11"/>
        <v>"C:\Program Files (x86)\AstroGrep\AstroGrep.exe" /e /r /s /spath="%USERPROFILE%\AppData\Local\Temp\OnboardLogs" /stypes="*4023*201707051*" /stext=" 18:.+((SYSTEM_STATE.+slice.+state.+changed )|(ment ac)|(multiple cpu faults)|(system.+state.+changed )|(\[timeout)|(PRM\|1\|D)|(kpr)|(kdp)|(train st.+moving)|(\|lc)|(penalty))"</v>
      </c>
      <c r="U64" s="9" t="str">
        <f t="shared" si="12"/>
        <v>4023</v>
      </c>
      <c r="V64" s="31">
        <f t="shared" si="13"/>
        <v>42921.786898148152</v>
      </c>
      <c r="W64" s="45" t="str">
        <f t="shared" si="14"/>
        <v>Shuttle/Test</v>
      </c>
      <c r="X64" s="22">
        <f t="shared" si="15"/>
        <v>63</v>
      </c>
      <c r="Y64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0.0001"},{"id":17,"name":"Train ID","value":"63-05"},{"id":16,"name":"Locomotive ID","value":"4023"},{"id":130,"name":"Impact","value":""},{"id":150,"name":"Time of Event (Mountain Time)","value":"12:53:08"},{"id":151,"name":"Denver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/c/Users/stu/AppData/Local/Temp/OnboardLogs/RTDC4023 --include="*4023*201707051*"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"%USERPROFILE%\AppData\Local\Temp\OnboardLogs"\RTDC4023\*4023*201707051* &gt;&gt; 2017-07-05-SliceDisagreementCheck.txt</v>
      </c>
      <c r="AE64" s="145" t="str">
        <f t="shared" si="9"/>
        <v>start /low /b %USERPROFILE%\Documents\GitHub\eaglep3\Utilities\DownloadLogsFromS3.py --loco 4023 --day 2017-07-05</v>
      </c>
      <c r="AF64" s="1"/>
    </row>
    <row r="65" spans="1:32" x14ac:dyDescent="0.25">
      <c r="A65" s="31">
        <v>42921.434918981482</v>
      </c>
      <c r="B65" s="30" t="s">
        <v>511</v>
      </c>
      <c r="C65" s="30" t="s">
        <v>596</v>
      </c>
      <c r="D65" s="30" t="s">
        <v>49</v>
      </c>
      <c r="E65" s="30" t="s">
        <v>181</v>
      </c>
      <c r="F65" s="42">
        <v>0</v>
      </c>
      <c r="G65" s="42">
        <v>24</v>
      </c>
      <c r="H65" s="42">
        <v>910</v>
      </c>
      <c r="I65" s="42">
        <v>878</v>
      </c>
      <c r="J65" s="30" t="s">
        <v>182</v>
      </c>
      <c r="K65" s="42">
        <v>826</v>
      </c>
      <c r="L65" s="131" t="s">
        <v>51</v>
      </c>
      <c r="M65" s="132">
        <f t="shared" si="10"/>
        <v>27.456</v>
      </c>
      <c r="N65" s="133" t="str">
        <f>VLOOKUP(C65,'Trips&amp;Operators'!$C$1:$G$99999,5,FALSE)</f>
        <v>BARTELL KIM</v>
      </c>
      <c r="O65" s="203" t="s">
        <v>180</v>
      </c>
      <c r="P65" s="134"/>
      <c r="Q65" s="30"/>
      <c r="R65" s="81" t="str">
        <f>VLOOKUP(C65,'Train Runs'!$A$13:$AE$9933,31,0)</f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S65" s="84" t="str">
        <f>VLOOKUP(C65,'Train Runs'!$A$13:$AE$9933,22,0)</f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65" s="86" t="str">
        <f t="shared" si="11"/>
        <v>"C:\Program Files (x86)\AstroGrep\AstroGrep.exe" /e /r /s /spath="%USERPROFILE%\AppData\Local\Temp\OnboardLogs" /stypes="*4023*201707051*" /stext=" 16:.+((SYSTEM_STATE.+slice.+state.+changed )|(ment ac)|(multiple cpu faults)|(system.+state.+changed )|(\[timeout)|(PRM\|1\|D)|(kpr)|(kdp)|(train st.+moving)|(\|lc)|(penalty))"</v>
      </c>
      <c r="U65" s="9" t="str">
        <f t="shared" si="12"/>
        <v>4023</v>
      </c>
      <c r="V65" s="31">
        <f t="shared" si="13"/>
        <v>42921.684918981482</v>
      </c>
      <c r="W65" s="45" t="str">
        <f t="shared" si="14"/>
        <v>Shuttle/Test</v>
      </c>
      <c r="X65" s="22">
        <f t="shared" si="15"/>
        <v>63</v>
      </c>
      <c r="Y65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0.0826"},{"id":17,"name":"Train ID","value":"63-05"},{"id":16,"name":"Locomotive ID","value":"4023"},{"id":130,"name":"Impact","value":""},{"id":150,"name":"Time of Event (Mountain Time)","value":"10:26:17"},{"id":151,"name":"Denver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/c/Users/stu/AppData/Local/Temp/OnboardLogs/RTDC4023 --include="*4023*201707051*"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"%USERPROFILE%\AppData\Local\Temp\OnboardLogs"\RTDC4023\*4023*201707051* &gt;&gt; 2017-07-05-SliceDisagreementCheck.txt</v>
      </c>
      <c r="AE65" s="145" t="str">
        <f t="shared" si="9"/>
        <v>start /low /b %USERPROFILE%\Documents\GitHub\eaglep3\Utilities\DownloadLogsFromS3.py --loco 4023 --day 2017-07-05</v>
      </c>
      <c r="AF65" s="1"/>
    </row>
    <row r="66" spans="1:32" x14ac:dyDescent="0.25">
      <c r="A66" s="31">
        <v>42921.43546296296</v>
      </c>
      <c r="B66" s="30" t="s">
        <v>511</v>
      </c>
      <c r="C66" s="30" t="s">
        <v>596</v>
      </c>
      <c r="D66" s="30" t="s">
        <v>96</v>
      </c>
      <c r="E66" s="30" t="s">
        <v>181</v>
      </c>
      <c r="F66" s="42">
        <v>0</v>
      </c>
      <c r="G66" s="42">
        <v>8</v>
      </c>
      <c r="H66" s="42">
        <v>826</v>
      </c>
      <c r="I66" s="42">
        <v>0</v>
      </c>
      <c r="J66" s="30" t="s">
        <v>182</v>
      </c>
      <c r="K66" s="42">
        <v>826</v>
      </c>
      <c r="L66" s="131" t="s">
        <v>51</v>
      </c>
      <c r="M66" s="132">
        <f t="shared" si="10"/>
        <v>-436.12799999999999</v>
      </c>
      <c r="N66" s="133" t="str">
        <f>VLOOKUP(C66,'Trips&amp;Operators'!$C$1:$G$99999,5,FALSE)</f>
        <v>BARTELL KIM</v>
      </c>
      <c r="O66" s="203" t="s">
        <v>180</v>
      </c>
      <c r="P66" s="134"/>
      <c r="Q66" s="30"/>
      <c r="R66" s="81" t="str">
        <f>VLOOKUP(C66,'Train Runs'!$A$13:$AE$9933,31,0)</f>
        <v>aws s3 cp s3://rtdc.mdm.uploadarchive.raw/RTDC4023/ "%USERPROFILE%\AppData\Local\Temp\OnboardLogs"\RTDC4023\2017-07-05 --exclude "*" --recursive --include "*20170705*" &amp; "%USERPROFILE%\Documents\GitHub\mrs-test-scripts\Headless Mode &amp; Sideloading\WalkAndUnGZ.bat" "%USERPROFILE%\AppData\Local\Temp\OnboardLogs"\RTDC4023\2017-07-05 &amp; aws s3 cp s3://rtdc.mdm.uploadarchive.raw/RTDC4023/ "%USERPROFILE%\AppData\Local\Temp\OnboardLogs"\RTDC4023\2017-07-06 --exclude "*" --recursive --include "*20170706*" &amp; "%USERPROFILE%\Documents\GitHub\mrs-test-scripts\Headless Mode &amp; Sideloading\WalkAndUnGZ.bat" "%USERPROFILE%\AppData\Local\Temp\OnboardLogs"\RTDC4023\2017-07-06</v>
      </c>
      <c r="S66" s="84" t="str">
        <f>VLOOKUP(C66,'Train Runs'!$A$13:$AE$9933,22,0)</f>
        <v>https://d0f6bd738d7f1b3e5a7ca70fe4ff75f0.us-east-1.aws.found.io/app/kibana#/discover/Steve-Slow-Train-Analysis-(2080s-and-2083s)?_g=(refreshInterval:(display:Off,pause:!f,section:0,value:0),time:(from:'2017-07-05T09:00:34-0600',mode:absolute,to:'2017-07-05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66" s="86" t="str">
        <f t="shared" si="11"/>
        <v>"C:\Program Files (x86)\AstroGrep\AstroGrep.exe" /e /r /s /spath="%USERPROFILE%\AppData\Local\Temp\OnboardLogs" /stypes="*4023*201707051*" /stext=" 16:.+((SYSTEM_STATE.+slice.+state.+changed )|(ment ac)|(multiple cpu faults)|(system.+state.+changed )|(\[timeout)|(PRM\|1\|D)|(kpr)|(kdp)|(train st.+moving)|(\|lc)|(penalty))"</v>
      </c>
      <c r="U66" s="9" t="str">
        <f t="shared" si="12"/>
        <v>4023</v>
      </c>
      <c r="V66" s="31">
        <f t="shared" si="13"/>
        <v>42921.68546296296</v>
      </c>
      <c r="W66" s="45" t="str">
        <f t="shared" si="14"/>
        <v>Shuttle/Test</v>
      </c>
      <c r="X66" s="22">
        <f t="shared" si="15"/>
        <v>63</v>
      </c>
      <c r="Y66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0.0826"},{"id":17,"name":"Train ID","value":"63-05"},{"id":16,"name":"Locomotive ID","value":"4023"},{"id":130,"name":"Impact","value":""},{"id":150,"name":"Time of Event (Mountain Time)","value":"10:27:04"},{"id":151,"name":"Denver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/c/Users/stu/AppData/Local/Temp/OnboardLogs/RTDC4023 --include="*4023*201707051*"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"%USERPROFILE%\AppData\Local\Temp\OnboardLogs"\RTDC4023\*4023*201707051* &gt;&gt; 2017-07-05-SliceDisagreementCheck.txt</v>
      </c>
      <c r="AE66" s="145" t="str">
        <f t="shared" si="9"/>
        <v>start /low /b %USERPROFILE%\Documents\GitHub\eaglep3\Utilities\DownloadLogsFromS3.py --loco 4023 --day 2017-07-05</v>
      </c>
      <c r="AF66" s="1"/>
    </row>
    <row r="67" spans="1:32" x14ac:dyDescent="0.25">
      <c r="A67" s="31">
        <v>42921.514479166668</v>
      </c>
      <c r="B67" s="30" t="s">
        <v>405</v>
      </c>
      <c r="C67" s="30" t="s">
        <v>585</v>
      </c>
      <c r="D67" s="30" t="s">
        <v>49</v>
      </c>
      <c r="E67" s="30" t="s">
        <v>181</v>
      </c>
      <c r="F67" s="42">
        <v>0</v>
      </c>
      <c r="G67" s="42">
        <v>73</v>
      </c>
      <c r="H67" s="42">
        <v>1101</v>
      </c>
      <c r="I67" s="42">
        <v>1032</v>
      </c>
      <c r="J67" s="30" t="s">
        <v>182</v>
      </c>
      <c r="K67" s="42">
        <v>826</v>
      </c>
      <c r="L67" s="131" t="s">
        <v>51</v>
      </c>
      <c r="M67" s="132">
        <f t="shared" si="10"/>
        <v>108.768</v>
      </c>
      <c r="N67" s="133" t="str">
        <f>VLOOKUP(C67,'Trips&amp;Operators'!$C$1:$G$99999,5,FALSE)</f>
        <v>PELLITIER GEORGE</v>
      </c>
      <c r="O67" s="203" t="s">
        <v>180</v>
      </c>
      <c r="P67" s="134"/>
      <c r="Q67" s="30"/>
      <c r="R67" s="81" t="str">
        <f>VLOOKUP(C67,'Train Runs'!$A$13:$AE$9933,31,0)</f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S67" s="84" t="str">
        <f>VLOOKUP(C67,'Train Runs'!$A$13:$AE$9933,22,0)</f>
        <v>https://d0f6bd738d7f1b3e5a7ca70fe4ff75f0.us-east-1.aws.found.io/app/kibana#/discover/Steve-Slow-Train-Analysis-(2080s-and-2083s)?_g=(refreshInterval:(display:Off,pause:!f,section:0,value:0),time:(from:'2017-07-05T07:58:28-0600',mode:absolute,to:'2017-07-05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7" s="86" t="str">
        <f t="shared" si="11"/>
        <v>"C:\Program Files (x86)\AstroGrep\AstroGrep.exe" /e /r /s /spath="%USERPROFILE%\AppData\Local\Temp\OnboardLogs" /stypes="*4045*201707051*" /stext=" 18:.+((SYSTEM_STATE.+slice.+state.+changed )|(ment ac)|(multiple cpu faults)|(system.+state.+changed )|(\[timeout)|(PRM\|1\|D)|(kpr)|(kdp)|(train st.+moving)|(\|lc)|(penalty))"</v>
      </c>
      <c r="U67" s="9" t="str">
        <f t="shared" si="12"/>
        <v>4045</v>
      </c>
      <c r="V67" s="31">
        <f t="shared" si="13"/>
        <v>42921.764479166668</v>
      </c>
      <c r="W67" s="45" t="str">
        <f t="shared" si="14"/>
        <v>Shuttle/Test</v>
      </c>
      <c r="X67" s="22">
        <f t="shared" si="15"/>
        <v>66</v>
      </c>
      <c r="Y67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0.0826"},{"id":17,"name":"Train ID","value":"66-05"},{"id":16,"name":"Locomotive ID","value":"4045"},{"id":130,"name":"Impact","value":""},{"id":150,"name":"Time of Event (Mountain Time)","value":"12:20:51"},{"id":151,"name":"Denver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/c/Users/stu/AppData/Local/Temp/OnboardLogs/RTDC4045 --include="*4045*201707051*"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"%USERPROFILE%\AppData\Local\Temp\OnboardLogs"\RTDC4045\*4045*201707051* &gt;&gt; 2017-07-05-SliceDisagreementCheck.txt</v>
      </c>
      <c r="AE67" s="145" t="str">
        <f t="shared" si="9"/>
        <v>start /low /b %USERPROFILE%\Documents\GitHub\eaglep3\Utilities\DownloadLogsFromS3.py --loco 4045 --day 2017-07-05</v>
      </c>
      <c r="AF67" s="1"/>
    </row>
    <row r="68" spans="1:32" x14ac:dyDescent="0.25">
      <c r="A68" s="31">
        <v>42921.515069444446</v>
      </c>
      <c r="B68" s="30" t="s">
        <v>405</v>
      </c>
      <c r="C68" s="30" t="s">
        <v>585</v>
      </c>
      <c r="D68" s="30" t="s">
        <v>49</v>
      </c>
      <c r="E68" s="30" t="s">
        <v>181</v>
      </c>
      <c r="F68" s="42">
        <v>0</v>
      </c>
      <c r="G68" s="42">
        <v>36</v>
      </c>
      <c r="H68" s="42">
        <v>924</v>
      </c>
      <c r="I68" s="42">
        <v>889</v>
      </c>
      <c r="J68" s="30" t="s">
        <v>182</v>
      </c>
      <c r="K68" s="42">
        <v>826</v>
      </c>
      <c r="L68" s="131" t="s">
        <v>51</v>
      </c>
      <c r="M68" s="132">
        <f t="shared" si="10"/>
        <v>33.264000000000003</v>
      </c>
      <c r="N68" s="133" t="str">
        <f>VLOOKUP(C68,'Trips&amp;Operators'!$C$1:$G$99999,5,FALSE)</f>
        <v>PELLITIER GEORGE</v>
      </c>
      <c r="O68" s="203" t="s">
        <v>180</v>
      </c>
      <c r="P68" s="134"/>
      <c r="Q68" s="30"/>
      <c r="R68" s="81" t="str">
        <f>VLOOKUP(C68,'Train Runs'!$A$13:$AE$9933,31,0)</f>
        <v>aws s3 cp s3://rtdc.mdm.uploadarchive.raw/RTDC4045/ "%USERPROFILE%\AppData\Local\Temp\OnboardLogs"\RTDC4045\2017-07-05 --exclude "*" --recursive --include "*20170705*" &amp; "%USERPROFILE%\Documents\GitHub\mrs-test-scripts\Headless Mode &amp; Sideloading\WalkAndUnGZ.bat" "%USERPROFILE%\AppData\Local\Temp\OnboardLogs"\RTDC4045\2017-07-05 &amp; aws s3 cp s3://rtdc.mdm.uploadarchive.raw/RTDC4045/ "%USERPROFILE%\AppData\Local\Temp\OnboardLogs"\RTDC4045\2017-07-06 --exclude "*" --recursive --include "*20170706*" &amp; "%USERPROFILE%\Documents\GitHub\mrs-test-scripts\Headless Mode &amp; Sideloading\WalkAndUnGZ.bat" "%USERPROFILE%\AppData\Local\Temp\OnboardLogs"\RTDC4045\2017-07-06</v>
      </c>
      <c r="S68" s="84" t="str">
        <f>VLOOKUP(C68,'Train Runs'!$A$13:$AE$9933,22,0)</f>
        <v>https://d0f6bd738d7f1b3e5a7ca70fe4ff75f0.us-east-1.aws.found.io/app/kibana#/discover/Steve-Slow-Train-Analysis-(2080s-and-2083s)?_g=(refreshInterval:(display:Off,pause:!f,section:0,value:0),time:(from:'2017-07-05T07:58:28-0600',mode:absolute,to:'2017-07-05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8" s="86" t="str">
        <f t="shared" si="11"/>
        <v>"C:\Program Files (x86)\AstroGrep\AstroGrep.exe" /e /r /s /spath="%USERPROFILE%\AppData\Local\Temp\OnboardLogs" /stypes="*4045*201707051*" /stext=" 18:.+((SYSTEM_STATE.+slice.+state.+changed )|(ment ac)|(multiple cpu faults)|(system.+state.+changed )|(\[timeout)|(PRM\|1\|D)|(kpr)|(kdp)|(train st.+moving)|(\|lc)|(penalty))"</v>
      </c>
      <c r="U68" s="9" t="str">
        <f t="shared" si="12"/>
        <v>4045</v>
      </c>
      <c r="V68" s="31">
        <f t="shared" si="13"/>
        <v>42921.765069444446</v>
      </c>
      <c r="W68" s="45" t="str">
        <f t="shared" si="14"/>
        <v>Shuttle/Test</v>
      </c>
      <c r="X68" s="22">
        <f t="shared" si="15"/>
        <v>66</v>
      </c>
      <c r="Y68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0.0826"},{"id":17,"name":"Train ID","value":"66-05"},{"id":16,"name":"Locomotive ID","value":"4045"},{"id":130,"name":"Impact","value":""},{"id":150,"name":"Time of Event (Mountain Time)","value":"12:21:42"},{"id":151,"name":"Denver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/c/Users/stu/AppData/Local/Temp/OnboardLogs/RTDC4045 --include="*4045*201707051*"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"%USERPROFILE%\AppData\Local\Temp\OnboardLogs"\RTDC4045\*4045*201707051* &gt;&gt; 2017-07-05-SliceDisagreementCheck.txt</v>
      </c>
      <c r="AE68" s="145" t="str">
        <f t="shared" si="9"/>
        <v>start /low /b %USERPROFILE%\Documents\GitHub\eaglep3\Utilities\DownloadLogsFromS3.py --loco 4045 --day 2017-07-05</v>
      </c>
      <c r="AF68" s="1"/>
    </row>
    <row r="69" spans="1:32" x14ac:dyDescent="0.25">
      <c r="A69" s="31">
        <v>42921.58929398148</v>
      </c>
      <c r="B69" s="30" t="s">
        <v>478</v>
      </c>
      <c r="C69" s="30" t="s">
        <v>603</v>
      </c>
      <c r="D69" s="30" t="s">
        <v>49</v>
      </c>
      <c r="E69" s="30" t="s">
        <v>181</v>
      </c>
      <c r="F69" s="42">
        <v>0</v>
      </c>
      <c r="G69" s="42">
        <v>109</v>
      </c>
      <c r="H69" s="42">
        <v>1398</v>
      </c>
      <c r="I69" s="42">
        <v>1303</v>
      </c>
      <c r="J69" s="30" t="s">
        <v>182</v>
      </c>
      <c r="K69" s="42">
        <v>826</v>
      </c>
      <c r="L69" s="131" t="s">
        <v>51</v>
      </c>
      <c r="M69" s="132">
        <f t="shared" si="10"/>
        <v>251.85599999999999</v>
      </c>
      <c r="N69" s="133" t="str">
        <f>VLOOKUP(C69,'Trips&amp;Operators'!$C$1:$G$99999,5,FALSE)</f>
        <v>SANTIZO D. EDY</v>
      </c>
      <c r="O69" s="203" t="s">
        <v>180</v>
      </c>
      <c r="P69" s="134"/>
      <c r="Q69" s="30"/>
      <c r="R69" s="81" t="str">
        <f>VLOOKUP(C69,'Train Runs'!$A$13:$AE$9933,31,0)</f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S69" s="84" t="str">
        <f>VLOOKUP(C69,'Train Runs'!$A$13:$AE$9933,22,0)</f>
        <v>https://d0f6bd738d7f1b3e5a7ca70fe4ff75f0.us-east-1.aws.found.io/app/kibana#/discover/Steve-Slow-Train-Analysis-(2080s-and-2083s)?_g=(refreshInterval:(display:Off,pause:!f,section:0,value:0),time:(from:'2017-07-05T12:34:08-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9" s="86" t="str">
        <f t="shared" si="11"/>
        <v>"C:\Program Files (x86)\AstroGrep\AstroGrep.exe" /e /r /s /spath="%USERPROFILE%\AppData\Local\Temp\OnboardLogs" /stypes="*4063*201707052*" /stext=" 20:.+((SYSTEM_STATE.+slice.+state.+changed )|(ment ac)|(multiple cpu faults)|(system.+state.+changed )|(\[timeout)|(PRM\|1\|D)|(kpr)|(kdp)|(train st.+moving)|(\|lc)|(penalty))"</v>
      </c>
      <c r="U69" s="9" t="str">
        <f t="shared" si="12"/>
        <v>4063</v>
      </c>
      <c r="V69" s="31">
        <f t="shared" si="13"/>
        <v>42921.83929398148</v>
      </c>
      <c r="W69" s="45" t="str">
        <f t="shared" si="14"/>
        <v>Shuttle/Test</v>
      </c>
      <c r="X69" s="22">
        <f t="shared" si="15"/>
        <v>62</v>
      </c>
      <c r="Y69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0.0826"},{"id":17,"name":"Train ID","value":"62-05"},{"id":16,"name":"Locomotive ID","value":"4063"},{"id":130,"name":"Impact","value":""},{"id":150,"name":"Time of Event (Mountain Time)","value":"14:08:35"},{"id":151,"name":"Denver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 t="shared" si="17"/>
        <v>grep -hrE -A400 "Enforcement Action" /c/Users/stu/AppData/Local/Temp/OnboardLogs/RTDC4063 --include="*4063*201707052*"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"%USERPROFILE%\AppData\Local\Temp\OnboardLogs"\RTDC4063\*4063*201707052* &gt;&gt; 2017-07-05-SliceDisagreementCheck.txt</v>
      </c>
      <c r="AE69" s="145" t="str">
        <f t="shared" si="9"/>
        <v>start /low /b %USERPROFILE%\Documents\GitHub\eaglep3\Utilities\DownloadLogsFromS3.py --loco 4063 --day 2017-07-05</v>
      </c>
      <c r="AF69" s="1"/>
    </row>
    <row r="70" spans="1:32" x14ac:dyDescent="0.25">
      <c r="A70" s="31">
        <v>42921.394016203703</v>
      </c>
      <c r="B70" s="30" t="s">
        <v>467</v>
      </c>
      <c r="C70" s="30" t="s">
        <v>586</v>
      </c>
      <c r="D70" s="30" t="s">
        <v>49</v>
      </c>
      <c r="E70" s="30" t="s">
        <v>181</v>
      </c>
      <c r="F70" s="42">
        <v>0</v>
      </c>
      <c r="G70" s="42">
        <v>27</v>
      </c>
      <c r="H70" s="42">
        <v>112481</v>
      </c>
      <c r="I70" s="42">
        <v>112511</v>
      </c>
      <c r="J70" s="30" t="s">
        <v>182</v>
      </c>
      <c r="K70" s="42">
        <v>112547</v>
      </c>
      <c r="L70" s="131" t="s">
        <v>50</v>
      </c>
      <c r="M70" s="132">
        <f t="shared" si="10"/>
        <v>19.007999999999999</v>
      </c>
      <c r="N70" s="133" t="str">
        <f>VLOOKUP(C70,'Trips&amp;Operators'!$C$1:$G$99999,5,FALSE)</f>
        <v>SANTIZO D. EDY</v>
      </c>
      <c r="O70" s="203" t="s">
        <v>180</v>
      </c>
      <c r="P70" s="134"/>
      <c r="Q70" s="30"/>
      <c r="R70" s="81" t="str">
        <f>VLOOKUP(C70,'Train Runs'!$A$13:$AE$9933,31,0)</f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S70" s="84" t="str">
        <f>VLOOKUP(C70,'Train Runs'!$A$13:$AE$9933,22,0)</f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0" s="86" t="str">
        <f t="shared" si="11"/>
        <v>"C:\Program Files (x86)\AstroGrep\AstroGrep.exe" /e /r /s /spath="%USERPROFILE%\AppData\Local\Temp\OnboardLogs" /stypes="*4012*201707051*" /stext=" 15:.+((SYSTEM_STATE.+slice.+state.+changed )|(ment ac)|(multiple cpu faults)|(system.+state.+changed )|(\[timeout)|(PRM\|1\|D)|(kpr)|(kdp)|(train st.+moving)|(\|lc)|(penalty))"</v>
      </c>
      <c r="U70" s="9" t="str">
        <f t="shared" si="12"/>
        <v>4012</v>
      </c>
      <c r="V70" s="31">
        <f t="shared" si="13"/>
        <v>42921.644016203703</v>
      </c>
      <c r="W70" s="45" t="str">
        <f t="shared" si="14"/>
        <v>Shuttle/Test</v>
      </c>
      <c r="X70" s="22">
        <f t="shared" si="15"/>
        <v>61</v>
      </c>
      <c r="Y70" s="96" t="str">
        <f t="shared" si="16"/>
        <v>echo {"issue":{"subject":"","project_id":79,"tracker_id":40,"status_id":1,"priority_id":2,"assigned_to_id":23,"start_date":"2017-07-05","description":"","custom_fields":[{"id":1,"name":"Subdivision","value":"Shuttle/Test"},{"id":4,"name":"Milepost","value":"11.2547"},{"id":17,"name":"Train ID","value":"61-05"},{"id":16,"name":"Locomotive ID","value":"4012"},{"id":130,"name":"Impact","value":""},{"id":150,"name":"Time of Event (Mountain Time)","value":"09:27:23"},{"id":151,"name":"Denver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 t="shared" si="17"/>
        <v>grep -hrE -A400 "Enforcement Action" /c/Users/stu/AppData/Local/Temp/OnboardLogs/RTDC4012 --include="*4012*201707051*"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"%USERPROFILE%\AppData\Local\Temp\OnboardLogs"\RTDC4012\*4012*201707051* &gt;&gt; 2017-07-05-SliceDisagreementCheck.txt</v>
      </c>
      <c r="AE70" s="145" t="str">
        <f t="shared" si="9"/>
        <v>start /low /b %USERPROFILE%\Documents\GitHub\eaglep3\Utilities\DownloadLogsFromS3.py --loco 4012 --day 2017-07-05</v>
      </c>
      <c r="AF70" s="1"/>
    </row>
    <row r="71" spans="1:32" x14ac:dyDescent="0.25">
      <c r="A71" s="31">
        <v>42921.394467592596</v>
      </c>
      <c r="B71" s="30" t="s">
        <v>467</v>
      </c>
      <c r="C71" s="30" t="s">
        <v>586</v>
      </c>
      <c r="D71" s="30" t="s">
        <v>96</v>
      </c>
      <c r="E71" s="30" t="s">
        <v>181</v>
      </c>
      <c r="F71" s="42">
        <v>0</v>
      </c>
      <c r="G71" s="42">
        <v>2</v>
      </c>
      <c r="H71" s="42">
        <v>112547</v>
      </c>
      <c r="I71" s="42">
        <v>112547</v>
      </c>
      <c r="J71" s="30" t="s">
        <v>182</v>
      </c>
      <c r="K71" s="42">
        <v>112547</v>
      </c>
      <c r="L71" s="131" t="s">
        <v>50</v>
      </c>
      <c r="M71" s="132">
        <f t="shared" ref="M71:M102" si="18">CONVERT((I71-K71)/10000,"mi","ft")*IF(L71="Increasing Mileposts (1)",-1,1)</f>
        <v>0</v>
      </c>
      <c r="N71" s="133" t="str">
        <f>VLOOKUP(C71,'Trips&amp;Operators'!$C$1:$G$99999,5,FALSE)</f>
        <v>SANTIZO D. EDY</v>
      </c>
      <c r="O71" s="203" t="s">
        <v>180</v>
      </c>
      <c r="P71" s="134"/>
      <c r="Q71" s="30"/>
      <c r="R71" s="81" t="str">
        <f>VLOOKUP(C71,'Train Runs'!$A$13:$AE$9933,31,0)</f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S71" s="84" t="str">
        <f>VLOOKUP(C71,'Train Runs'!$A$13:$AE$9933,22,0)</f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1" s="86" t="str">
        <f t="shared" ref="T71:T102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/stypes="*4012*201707051*" /stext=" 15:.+((SYSTEM_STATE.+slice.+state.+changed )|(ment ac)|(multiple cpu faults)|(system.+state.+changed )|(\[timeout)|(PRM\|1\|D)|(kpr)|(kdp)|(train st.+moving)|(\|lc)|(penalty))"</v>
      </c>
      <c r="U71" s="9" t="str">
        <f t="shared" si="12"/>
        <v>4012</v>
      </c>
      <c r="V71" s="31">
        <f t="shared" si="13"/>
        <v>42921.644467592596</v>
      </c>
      <c r="W71" s="45" t="str">
        <f t="shared" si="14"/>
        <v>Shuttle/Test</v>
      </c>
      <c r="X71" s="22">
        <f t="shared" si="15"/>
        <v>61</v>
      </c>
      <c r="Y71" s="96" t="str">
        <f t="shared" ref="Y71:Y102" si="20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-05","description":"","custom_fields":[{"id":1,"name":"Subdivision","value":"Shuttle/Test"},{"id":4,"name":"Milepost","value":"11.2547"},{"id":17,"name":"Train ID","value":"61-05"},{"id":16,"name":"Locomotive ID","value":"4012"},{"id":130,"name":"Impact","value":""},{"id":150,"name":"Time of Event (Mountain Time)","value":"09:28:02"},{"id":151,"name":"Denver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 t="shared" si="17"/>
        <v>grep -hrE -A400 "Enforcement Action" /c/Users/stu/AppData/Local/Temp/OnboardLogs/RTDC4012 --include="*4012*201707051*"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"%USERPROFILE%\AppData\Local\Temp\OnboardLogs"\RTDC4012\*4012*201707051* &gt;&gt; 2017-07-05-SliceDisagreementCheck.txt</v>
      </c>
      <c r="AE71" s="145" t="str">
        <f t="shared" si="9"/>
        <v>start /low /b %USERPROFILE%\Documents\GitHub\eaglep3\Utilities\DownloadLogsFromS3.py --loco 4012 --day 2017-07-05</v>
      </c>
      <c r="AF71" s="1"/>
    </row>
    <row r="72" spans="1:32" x14ac:dyDescent="0.25">
      <c r="A72" s="31">
        <v>42921.446250000001</v>
      </c>
      <c r="B72" s="30" t="s">
        <v>467</v>
      </c>
      <c r="C72" s="30" t="s">
        <v>586</v>
      </c>
      <c r="D72" s="30" t="s">
        <v>49</v>
      </c>
      <c r="E72" s="30" t="s">
        <v>181</v>
      </c>
      <c r="F72" s="42">
        <v>0</v>
      </c>
      <c r="G72" s="42">
        <v>139</v>
      </c>
      <c r="H72" s="42">
        <v>112042</v>
      </c>
      <c r="I72" s="42">
        <v>112114</v>
      </c>
      <c r="J72" s="30" t="s">
        <v>182</v>
      </c>
      <c r="K72" s="42">
        <v>112547</v>
      </c>
      <c r="L72" s="131" t="s">
        <v>50</v>
      </c>
      <c r="M72" s="132">
        <f t="shared" si="18"/>
        <v>228.624</v>
      </c>
      <c r="N72" s="133" t="str">
        <f>VLOOKUP(C72,'Trips&amp;Operators'!$C$1:$G$99999,5,FALSE)</f>
        <v>SANTIZO D. EDY</v>
      </c>
      <c r="O72" s="203" t="s">
        <v>180</v>
      </c>
      <c r="P72" s="134"/>
      <c r="Q72" s="30"/>
      <c r="R72" s="81" t="str">
        <f>VLOOKUP(C72,'Train Runs'!$A$13:$AE$9933,31,0)</f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S72" s="84" t="str">
        <f>VLOOKUP(C72,'Train Runs'!$A$13:$AE$9933,22,0)</f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2" s="86" t="str">
        <f t="shared" si="19"/>
        <v>"C:\Program Files (x86)\AstroGrep\AstroGrep.exe" /e /r /s /spath="%USERPROFILE%\AppData\Local\Temp\OnboardLogs" /stypes="*4012*201707051*" /stext=" 16:.+((SYSTEM_STATE.+slice.+state.+changed )|(ment ac)|(multiple cpu faults)|(system.+state.+changed )|(\[timeout)|(PRM\|1\|D)|(kpr)|(kdp)|(train st.+moving)|(\|lc)|(penalty))"</v>
      </c>
      <c r="U72" s="9" t="str">
        <f t="shared" si="12"/>
        <v>4012</v>
      </c>
      <c r="V72" s="31">
        <f t="shared" si="13"/>
        <v>42921.696250000001</v>
      </c>
      <c r="W72" s="45" t="str">
        <f t="shared" si="14"/>
        <v>Shuttle/Test</v>
      </c>
      <c r="X72" s="22">
        <f t="shared" si="15"/>
        <v>61</v>
      </c>
      <c r="Y72" s="96" t="str">
        <f t="shared" si="20"/>
        <v>echo {"issue":{"subject":"","project_id":79,"tracker_id":40,"status_id":1,"priority_id":2,"assigned_to_id":23,"start_date":"2017-07-05","description":"","custom_fields":[{"id":1,"name":"Subdivision","value":"Shuttle/Test"},{"id":4,"name":"Milepost","value":"11.2547"},{"id":17,"name":"Train ID","value":"61-05"},{"id":16,"name":"Locomotive ID","value":"4012"},{"id":130,"name":"Impact","value":""},{"id":150,"name":"Time of Event (Mountain Time)","value":"10:42:36"},{"id":151,"name":"Denver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59"/>
      <c r="AA72" s="47"/>
      <c r="AB72" s="47"/>
      <c r="AC72" s="115" t="str">
        <f t="shared" si="17"/>
        <v>grep -hrE -A400 "Enforcement Action" /c/Users/stu/AppData/Local/Temp/OnboardLogs/RTDC4012 --include="*4012*201707051*"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"%USERPROFILE%\AppData\Local\Temp\OnboardLogs"\RTDC4012\*4012*201707051* &gt;&gt; 2017-07-05-SliceDisagreementCheck.txt</v>
      </c>
      <c r="AE72" s="145" t="str">
        <f t="shared" ref="AE72:AE75" si="21">"start /low /b "&amp;dls3logs&amp;" --loco "&amp;U72&amp;" --day "&amp;TEXT(V72,"YYYY-MM-DD")</f>
        <v>start /low /b %USERPROFILE%\Documents\GitHub\eaglep3\Utilities\DownloadLogsFromS3.py --loco 4012 --day 2017-07-05</v>
      </c>
      <c r="AF72" s="1"/>
    </row>
    <row r="73" spans="1:32" x14ac:dyDescent="0.25">
      <c r="A73" s="31">
        <v>42921.447048611109</v>
      </c>
      <c r="B73" s="30" t="s">
        <v>467</v>
      </c>
      <c r="C73" s="30" t="s">
        <v>586</v>
      </c>
      <c r="D73" s="30" t="s">
        <v>49</v>
      </c>
      <c r="E73" s="30" t="s">
        <v>181</v>
      </c>
      <c r="F73" s="42">
        <v>0</v>
      </c>
      <c r="G73" s="42">
        <v>18</v>
      </c>
      <c r="H73" s="42">
        <v>112498</v>
      </c>
      <c r="I73" s="42">
        <v>112502</v>
      </c>
      <c r="J73" s="30" t="s">
        <v>182</v>
      </c>
      <c r="K73" s="42">
        <v>112547</v>
      </c>
      <c r="L73" s="131" t="s">
        <v>50</v>
      </c>
      <c r="M73" s="132">
        <f t="shared" si="18"/>
        <v>23.76</v>
      </c>
      <c r="N73" s="133" t="str">
        <f>VLOOKUP(C73,'Trips&amp;Operators'!$C$1:$G$99999,5,FALSE)</f>
        <v>SANTIZO D. EDY</v>
      </c>
      <c r="O73" s="203" t="s">
        <v>180</v>
      </c>
      <c r="P73" s="134"/>
      <c r="Q73" s="30"/>
      <c r="R73" s="81" t="str">
        <f>VLOOKUP(C73,'Train Runs'!$A$13:$AE$9933,31,0)</f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S73" s="84" t="str">
        <f>VLOOKUP(C73,'Train Runs'!$A$13:$AE$9933,22,0)</f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3" s="86" t="str">
        <f t="shared" si="19"/>
        <v>"C:\Program Files (x86)\AstroGrep\AstroGrep.exe" /e /r /s /spath="%USERPROFILE%\AppData\Local\Temp\OnboardLogs" /stypes="*4012*201707051*" /stext=" 16:.+((SYSTEM_STATE.+slice.+state.+changed )|(ment ac)|(multiple cpu faults)|(system.+state.+changed )|(\[timeout)|(PRM\|1\|D)|(kpr)|(kdp)|(train st.+moving)|(\|lc)|(penalty))"</v>
      </c>
      <c r="U73" s="9" t="str">
        <f t="shared" si="12"/>
        <v>4012</v>
      </c>
      <c r="V73" s="31">
        <f t="shared" si="13"/>
        <v>42921.697048611109</v>
      </c>
      <c r="W73" s="45" t="str">
        <f t="shared" si="14"/>
        <v>Shuttle/Test</v>
      </c>
      <c r="X73" s="22">
        <f t="shared" si="15"/>
        <v>61</v>
      </c>
      <c r="Y73" s="96" t="str">
        <f t="shared" si="20"/>
        <v>echo {"issue":{"subject":"","project_id":79,"tracker_id":40,"status_id":1,"priority_id":2,"assigned_to_id":23,"start_date":"2017-07-05","description":"","custom_fields":[{"id":1,"name":"Subdivision","value":"Shuttle/Test"},{"id":4,"name":"Milepost","value":"11.2547"},{"id":17,"name":"Train ID","value":"61-05"},{"id":16,"name":"Locomotive ID","value":"4012"},{"id":130,"name":"Impact","value":""},{"id":150,"name":"Time of Event (Mountain Time)","value":"10:43:45"},{"id":151,"name":"Denver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59"/>
      <c r="AA73" s="47"/>
      <c r="AB73" s="47"/>
      <c r="AC73" s="115" t="str">
        <f t="shared" si="17"/>
        <v>grep -hrE -A400 "Enforcement Action" /c/Users/stu/AppData/Local/Temp/OnboardLogs/RTDC4012 --include="*4012*201707051*"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"%USERPROFILE%\AppData\Local\Temp\OnboardLogs"\RTDC4012\*4012*201707051* &gt;&gt; 2017-07-05-SliceDisagreementCheck.txt</v>
      </c>
      <c r="AE73" s="145" t="str">
        <f t="shared" si="21"/>
        <v>start /low /b %USERPROFILE%\Documents\GitHub\eaglep3\Utilities\DownloadLogsFromS3.py --loco 4012 --day 2017-07-05</v>
      </c>
      <c r="AF73" s="1"/>
    </row>
    <row r="74" spans="1:32" x14ac:dyDescent="0.25">
      <c r="A74" s="31">
        <v>42921.447615740741</v>
      </c>
      <c r="B74" s="30" t="s">
        <v>467</v>
      </c>
      <c r="C74" s="30" t="s">
        <v>586</v>
      </c>
      <c r="D74" s="30" t="s">
        <v>49</v>
      </c>
      <c r="E74" s="30" t="s">
        <v>181</v>
      </c>
      <c r="F74" s="42">
        <v>0</v>
      </c>
      <c r="G74" s="42">
        <v>4</v>
      </c>
      <c r="H74" s="42">
        <v>112545</v>
      </c>
      <c r="I74" s="42">
        <v>112545</v>
      </c>
      <c r="J74" s="30" t="s">
        <v>182</v>
      </c>
      <c r="K74" s="42">
        <v>112547</v>
      </c>
      <c r="L74" s="131" t="s">
        <v>50</v>
      </c>
      <c r="M74" s="132">
        <f t="shared" si="18"/>
        <v>1.056</v>
      </c>
      <c r="N74" s="133" t="str">
        <f>VLOOKUP(C74,'Trips&amp;Operators'!$C$1:$G$99999,5,FALSE)</f>
        <v>SANTIZO D. EDY</v>
      </c>
      <c r="O74" s="203" t="s">
        <v>180</v>
      </c>
      <c r="P74" s="134"/>
      <c r="Q74" s="30"/>
      <c r="R74" s="81" t="str">
        <f>VLOOKUP(C74,'Train Runs'!$A$13:$AE$9933,31,0)</f>
        <v>aws s3 cp s3://rtdc.mdm.uploadarchive.raw/RTDC4011/ "%USERPROFILE%\AppData\Local\Temp\OnboardLogs"\RTDC4011\2017-07-05 --exclude "*" --recursive --include "*20170705*" &amp; "%USERPROFILE%\Documents\GitHub\mrs-test-scripts\Headless Mode &amp; Sideloading\WalkAndUnGZ.bat" "%USERPROFILE%\AppData\Local\Temp\OnboardLogs"\RTDC4011\2017-07-05 &amp; aws s3 cp s3://rtdc.mdm.uploadarchive.raw/RTDC4011/ "%USERPROFILE%\AppData\Local\Temp\OnboardLogs"\RTDC4011\2017-07-06 --exclude "*" --recursive --include "*20170706*" &amp; "%USERPROFILE%\Documents\GitHub\mrs-test-scripts\Headless Mode &amp; Sideloading\WalkAndUnGZ.bat" "%USERPROFILE%\AppData\Local\Temp\OnboardLogs"\RTDC4011\2017-07-06</v>
      </c>
      <c r="S74" s="84" t="str">
        <f>VLOOKUP(C74,'Train Runs'!$A$13:$AE$9933,22,0)</f>
        <v>https://d0f6bd738d7f1b3e5a7ca70fe4ff75f0.us-east-1.aws.found.io/app/kibana#/discover/Steve-Slow-Train-Analysis-(2080s-and-2083s)?_g=(refreshInterval:(display:Off,pause:!f,section:0,value:0),time:(from:'2017-07-05T08:47:25-0600',mode:absolute,to:'2017-07-05T11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4" s="86" t="str">
        <f t="shared" si="19"/>
        <v>"C:\Program Files (x86)\AstroGrep\AstroGrep.exe" /e /r /s /spath="%USERPROFILE%\AppData\Local\Temp\OnboardLogs" /stypes="*4012*201707051*" /stext=" 16:.+((SYSTEM_STATE.+slice.+state.+changed )|(ment ac)|(multiple cpu faults)|(system.+state.+changed )|(\[timeout)|(PRM\|1\|D)|(kpr)|(kdp)|(train st.+moving)|(\|lc)|(penalty))"</v>
      </c>
      <c r="U74" s="9" t="str">
        <f t="shared" si="12"/>
        <v>4012</v>
      </c>
      <c r="V74" s="31">
        <f t="shared" si="13"/>
        <v>42921.697615740741</v>
      </c>
      <c r="W74" s="45" t="str">
        <f t="shared" si="14"/>
        <v>Shuttle/Test</v>
      </c>
      <c r="X74" s="22">
        <f t="shared" si="15"/>
        <v>61</v>
      </c>
      <c r="Y74" s="96" t="str">
        <f t="shared" si="20"/>
        <v>echo {"issue":{"subject":"","project_id":79,"tracker_id":40,"status_id":1,"priority_id":2,"assigned_to_id":23,"start_date":"2017-07-05","description":"","custom_fields":[{"id":1,"name":"Subdivision","value":"Shuttle/Test"},{"id":4,"name":"Milepost","value":"11.2547"},{"id":17,"name":"Train ID","value":"61-05"},{"id":16,"name":"Locomotive ID","value":"4012"},{"id":130,"name":"Impact","value":""},{"id":150,"name":"Time of Event (Mountain Time)","value":"10:44:34"},{"id":151,"name":"Denver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59"/>
      <c r="AA74" s="47"/>
      <c r="AB74" s="47"/>
      <c r="AC74" s="115" t="str">
        <f t="shared" si="17"/>
        <v>grep -hrE -A400 "Enforcement Action" /c/Users/stu/AppData/Local/Temp/OnboardLogs/RTDC4012 --include="*4012*201707051*"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"%USERPROFILE%\AppData\Local\Temp\OnboardLogs"\RTDC4012\*4012*201707051* &gt;&gt; 2017-07-05-SliceDisagreementCheck.txt</v>
      </c>
      <c r="AE74" s="145" t="str">
        <f t="shared" si="21"/>
        <v>start /low /b %USERPROFILE%\Documents\GitHub\eaglep3\Utilities\DownloadLogsFromS3.py --loco 4012 --day 2017-07-05</v>
      </c>
      <c r="AF74" s="1"/>
    </row>
    <row r="75" spans="1:32" x14ac:dyDescent="0.25">
      <c r="A75" s="31">
        <v>42921.564432870371</v>
      </c>
      <c r="B75" s="30" t="s">
        <v>479</v>
      </c>
      <c r="C75" s="30" t="s">
        <v>603</v>
      </c>
      <c r="D75" s="30" t="s">
        <v>96</v>
      </c>
      <c r="E75" s="30" t="s">
        <v>181</v>
      </c>
      <c r="F75" s="42">
        <v>0</v>
      </c>
      <c r="G75" s="42">
        <v>7</v>
      </c>
      <c r="H75" s="42">
        <v>112549</v>
      </c>
      <c r="I75" s="42">
        <v>0</v>
      </c>
      <c r="J75" s="30" t="s">
        <v>182</v>
      </c>
      <c r="K75" s="42">
        <v>112547</v>
      </c>
      <c r="L75" s="131" t="s">
        <v>50</v>
      </c>
      <c r="M75" s="132">
        <f t="shared" si="18"/>
        <v>59424.815999999999</v>
      </c>
      <c r="N75" s="133" t="str">
        <f>VLOOKUP(C75,'Trips&amp;Operators'!$C$1:$G$99999,5,FALSE)</f>
        <v>SANTIZO D. EDY</v>
      </c>
      <c r="O75" s="203" t="s">
        <v>180</v>
      </c>
      <c r="P75" s="134"/>
      <c r="Q75" s="30"/>
      <c r="R75" s="81" t="str">
        <f>VLOOKUP(C75,'Train Runs'!$A$13:$AE$9933,31,0)</f>
        <v>aws s3 cp s3://rtdc.mdm.uploadarchive.raw/RTDC4063/ "%USERPROFILE%\AppData\Local\Temp\OnboardLogs"\RTDC4063\2017-07-05 --exclude "*" --recursive --include "*20170705*" &amp; "%USERPROFILE%\Documents\GitHub\mrs-test-scripts\Headless Mode &amp; Sideloading\WalkAndUnGZ.bat" "%USERPROFILE%\AppData\Local\Temp\OnboardLogs"\RTDC4063\2017-07-05 &amp; aws s3 cp s3://rtdc.mdm.uploadarchive.raw/RTDC4063/ "%USERPROFILE%\AppData\Local\Temp\OnboardLogs"\RTDC4063\2017-07-06 --exclude "*" --recursive --include "*20170706*" &amp; "%USERPROFILE%\Documents\GitHub\mrs-test-scripts\Headless Mode &amp; Sideloading\WalkAndUnGZ.bat" "%USERPROFILE%\AppData\Local\Temp\OnboardLogs"\RTDC4063\2017-07-06</v>
      </c>
      <c r="S75" s="84" t="str">
        <f>VLOOKUP(C75,'Train Runs'!$A$13:$AE$9933,22,0)</f>
        <v>https://d0f6bd738d7f1b3e5a7ca70fe4ff75f0.us-east-1.aws.found.io/app/kibana#/discover/Steve-Slow-Train-Analysis-(2080s-and-2083s)?_g=(refreshInterval:(display:Off,pause:!f,section:0,value:0),time:(from:'2017-07-05T12:34:08-0600',mode:absolute,to:'2017-07-05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5" s="86" t="str">
        <f t="shared" si="19"/>
        <v>"C:\Program Files (x86)\AstroGrep\AstroGrep.exe" /e /r /s /spath="%USERPROFILE%\AppData\Local\Temp\OnboardLogs" /stypes="*4064*201707051*" /stext=" 19:.+((SYSTEM_STATE.+slice.+state.+changed )|(ment ac)|(multiple cpu faults)|(system.+state.+changed )|(\[timeout)|(PRM\|1\|D)|(kpr)|(kdp)|(train st.+moving)|(\|lc)|(penalty))"</v>
      </c>
      <c r="U75" s="9" t="str">
        <f t="shared" si="12"/>
        <v>4064</v>
      </c>
      <c r="V75" s="31">
        <f t="shared" si="13"/>
        <v>42921.814432870371</v>
      </c>
      <c r="W75" s="45" t="str">
        <f t="shared" si="14"/>
        <v>Shuttle/Test</v>
      </c>
      <c r="X75" s="22">
        <f t="shared" si="15"/>
        <v>62</v>
      </c>
      <c r="Y75" s="96" t="str">
        <f t="shared" si="20"/>
        <v>echo {"issue":{"subject":"","project_id":79,"tracker_id":40,"status_id":1,"priority_id":2,"assigned_to_id":23,"start_date":"2017-07-05","description":"","custom_fields":[{"id":1,"name":"Subdivision","value":"Shuttle/Test"},{"id":4,"name":"Milepost","value":"11.2547"},{"id":17,"name":"Train ID","value":"62-05"},{"id":16,"name":"Locomotive ID","value":"4064"},{"id":130,"name":"Impact","value":""},{"id":150,"name":"Time of Event (Mountain Time)","value":"13:32:47"},{"id":151,"name":"Denver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59"/>
      <c r="AA75" s="47"/>
      <c r="AB75" s="47"/>
      <c r="AC75" s="115" t="str">
        <f t="shared" si="17"/>
        <v>grep -hrE -A400 "Enforcement Action" /c/Users/stu/AppData/Local/Temp/OnboardLogs/RTDC4064 --include="*4064*201707051*"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"%USERPROFILE%\AppData\Local\Temp\OnboardLogs"\RTDC4064\*4064*201707051* &gt;&gt; 2017-07-05-SliceDisagreementCheck.txt</v>
      </c>
      <c r="AE75" s="145" t="str">
        <f t="shared" si="21"/>
        <v>start /low /b %USERPROFILE%\Documents\GitHub\eaglep3\Utilities\DownloadLogsFromS3.py --loco 4064 --day 2017-07-05</v>
      </c>
      <c r="AF75" s="1"/>
    </row>
  </sheetData>
  <autoFilter ref="A6:AC74">
    <sortState ref="A7:AC75">
      <sortCondition ref="W7:W75"/>
      <sortCondition ref="E7:E75"/>
      <sortCondition ref="K7:K75"/>
      <sortCondition ref="F7:F7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  <x14:dataValidation type="list" allowBlank="1" showInputMessage="1" showErrorMessage="1">
          <x14:formula1>
            <xm:f>'Redmine List Values'!$C$2:$C$15</xm:f>
          </x14:formula1>
          <xm:sqref>AB7:AB75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-05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Runs'!$A$13:$A$99930,1,FALSE)</f>
        <v>#N/A</v>
      </c>
    </row>
    <row r="4" spans="1:10" x14ac:dyDescent="0.25">
      <c r="A4" s="195"/>
      <c r="B4" s="42" t="str">
        <f>A4&amp;"-"&amp;IF(DAY(Variables!$A$2)&lt;10,0,"")&amp;DAY(Variables!$A$2)</f>
        <v>-05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Runs'!$A$13:$A$99930,1,FALSE)</f>
        <v>#N/A</v>
      </c>
    </row>
    <row r="5" spans="1:10" x14ac:dyDescent="0.25">
      <c r="A5" s="195"/>
      <c r="B5" s="42" t="str">
        <f>A5&amp;"-"&amp;IF(DAY(Variables!$A$2)&lt;10,0,"")&amp;DAY(Variables!$A$2)</f>
        <v>-05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Runs'!$A$13:$A$99930,1,FALSE)</f>
        <v>#N/A</v>
      </c>
    </row>
    <row r="6" spans="1:10" x14ac:dyDescent="0.25">
      <c r="A6" s="195"/>
      <c r="B6" s="42" t="str">
        <f>A6&amp;"-"&amp;IF(DAY(Variables!$A$2)&lt;10,0,"")&amp;DAY(Variables!$A$2)</f>
        <v>-05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Runs'!$A$13:$A$99930,1,FALSE)</f>
        <v>#N/A</v>
      </c>
    </row>
    <row r="7" spans="1:10" x14ac:dyDescent="0.25">
      <c r="A7" s="195"/>
      <c r="B7" s="42" t="str">
        <f>A7&amp;"-"&amp;IF(DAY(Variables!$A$2)&lt;10,0,"")&amp;DAY(Variables!$A$2)</f>
        <v>-05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Runs'!$A$13:$A$99930,1,FALSE)</f>
        <v>#N/A</v>
      </c>
    </row>
    <row r="8" spans="1:10" x14ac:dyDescent="0.25">
      <c r="A8" s="195"/>
      <c r="B8" s="42" t="str">
        <f>A8&amp;"-"&amp;IF(DAY(Variables!$A$2)&lt;10,0,"")&amp;DAY(Variables!$A$2)</f>
        <v>-05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Runs'!$A$13:$A$99930,1,FALSE)</f>
        <v>#N/A</v>
      </c>
    </row>
    <row r="9" spans="1:10" x14ac:dyDescent="0.25">
      <c r="A9" s="195"/>
      <c r="B9" s="42" t="str">
        <f>A9&amp;"-"&amp;IF(DAY(Variables!$A$2)&lt;10,0,"")&amp;DAY(Variables!$A$2)</f>
        <v>-05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Runs'!$A$13:$A$99930,1,FALSE)</f>
        <v>#N/A</v>
      </c>
    </row>
    <row r="10" spans="1:10" x14ac:dyDescent="0.25">
      <c r="A10" s="195"/>
      <c r="B10" s="42" t="str">
        <f>A10&amp;"-"&amp;IF(DAY(Variables!$A$2)&lt;10,0,"")&amp;DAY(Variables!$A$2)</f>
        <v>-05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Runs'!$A$13:$A$99930,1,FALSE)</f>
        <v>#N/A</v>
      </c>
    </row>
    <row r="11" spans="1:10" x14ac:dyDescent="0.25">
      <c r="A11" s="195"/>
      <c r="B11" s="42" t="str">
        <f>A11&amp;"-"&amp;IF(DAY(Variables!$A$2)&lt;10,0,"")&amp;DAY(Variables!$A$2)</f>
        <v>-05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Runs'!$A$13:$A$99930,1,FALSE)</f>
        <v>#N/A</v>
      </c>
    </row>
    <row r="12" spans="1:10" x14ac:dyDescent="0.25">
      <c r="A12" s="195"/>
      <c r="B12" s="42" t="str">
        <f>A12&amp;"-"&amp;IF(DAY(Variables!$A$2)&lt;10,0,"")&amp;DAY(Variables!$A$2)</f>
        <v>-05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Runs'!$A$13:$A$99930,1,FALSE)</f>
        <v>#N/A</v>
      </c>
    </row>
    <row r="13" spans="1:10" x14ac:dyDescent="0.25">
      <c r="A13" s="195"/>
      <c r="B13" s="42" t="str">
        <f>A13&amp;"-"&amp;IF(DAY(Variables!$A$2)&lt;10,0,"")&amp;DAY(Variables!$A$2)</f>
        <v>-05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Runs'!$A$13:$A$99930,1,FALSE)</f>
        <v>#N/A</v>
      </c>
    </row>
    <row r="14" spans="1:10" x14ac:dyDescent="0.25">
      <c r="A14" s="195"/>
      <c r="B14" s="42" t="str">
        <f>A14&amp;"-"&amp;IF(DAY(Variables!$A$2)&lt;10,0,"")&amp;DAY(Variables!$A$2)</f>
        <v>-05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Runs'!$A$13:$A$99930,1,FALSE)</f>
        <v>#N/A</v>
      </c>
    </row>
    <row r="15" spans="1:10" x14ac:dyDescent="0.25">
      <c r="A15" s="195"/>
      <c r="B15" s="42" t="str">
        <f>A15&amp;"-"&amp;IF(DAY(Variables!$A$2)&lt;10,0,"")&amp;DAY(Variables!$A$2)</f>
        <v>-05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ref="I15:I3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Runs'!$A$13:$A$99930,1,FALSE)</f>
        <v>#N/A</v>
      </c>
    </row>
    <row r="16" spans="1:10" x14ac:dyDescent="0.25">
      <c r="A16" s="195"/>
      <c r="B16" s="42" t="str">
        <f>A16&amp;"-"&amp;IF(DAY(Variables!$A$2)&lt;10,0,"")&amp;DAY(Variables!$A$2)</f>
        <v>-05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Runs'!$A$13:$A$99930,1,FALSE)</f>
        <v>#N/A</v>
      </c>
    </row>
    <row r="17" spans="1:10" x14ac:dyDescent="0.25">
      <c r="A17" s="195"/>
      <c r="B17" s="42" t="str">
        <f>A17&amp;"-"&amp;IF(DAY(Variables!$A$2)&lt;10,0,"")&amp;DAY(Variables!$A$2)</f>
        <v>-05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Runs'!$A$13:$A$99930,1,FALSE)</f>
        <v>#N/A</v>
      </c>
    </row>
    <row r="18" spans="1:10" x14ac:dyDescent="0.25">
      <c r="A18" s="195"/>
      <c r="B18" s="42" t="str">
        <f>A18&amp;"-"&amp;IF(DAY(Variables!$A$2)&lt;10,0,"")&amp;DAY(Variables!$A$2)</f>
        <v>-05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Runs'!$A$13:$A$99930,1,FALSE)</f>
        <v>#N/A</v>
      </c>
    </row>
    <row r="19" spans="1:10" x14ac:dyDescent="0.25">
      <c r="A19" s="195"/>
      <c r="B19" s="42" t="str">
        <f>A19&amp;"-"&amp;IF(DAY(Variables!$A$2)&lt;10,0,"")&amp;DAY(Variables!$A$2)</f>
        <v>-05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9" s="30" t="e">
        <f>VLOOKUP(B19,'Train Runs'!$A$13:$A$99930,1,FALSE)</f>
        <v>#N/A</v>
      </c>
    </row>
    <row r="20" spans="1:10" x14ac:dyDescent="0.25">
      <c r="A20" s="195"/>
      <c r="B20" s="42" t="str">
        <f>A20&amp;"-"&amp;IF(DAY(Variables!$A$2)&lt;10,0,"")&amp;DAY(Variables!$A$2)</f>
        <v>-05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0" s="30" t="e">
        <f>VLOOKUP(B20,'Train Runs'!$A$13:$A$99930,1,FALSE)</f>
        <v>#N/A</v>
      </c>
    </row>
    <row r="21" spans="1:10" x14ac:dyDescent="0.25">
      <c r="A21" s="195"/>
      <c r="B21" s="42" t="str">
        <f>A21&amp;"-"&amp;IF(DAY(Variables!$A$2)&lt;10,0,"")&amp;DAY(Variables!$A$2)</f>
        <v>-05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1" s="30" t="e">
        <f>VLOOKUP(B21,'Train Runs'!$A$13:$A$99930,1,FALSE)</f>
        <v>#N/A</v>
      </c>
    </row>
    <row r="22" spans="1:10" x14ac:dyDescent="0.25">
      <c r="A22" s="195"/>
      <c r="B22" s="42" t="str">
        <f>A22&amp;"-"&amp;IF(DAY(Variables!$A$2)&lt;10,0,"")&amp;DAY(Variables!$A$2)</f>
        <v>-05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2" s="30" t="e">
        <f>VLOOKUP(B22,'Train Runs'!$A$13:$A$99930,1,FALSE)</f>
        <v>#N/A</v>
      </c>
    </row>
    <row r="23" spans="1:10" x14ac:dyDescent="0.25">
      <c r="A23" s="195"/>
      <c r="B23" s="42" t="str">
        <f>A23&amp;"-"&amp;IF(DAY(Variables!$A$2)&lt;10,0,"")&amp;DAY(Variables!$A$2)</f>
        <v>-05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3" s="30" t="e">
        <f>VLOOKUP(B23,'Train Runs'!$A$13:$A$99930,1,FALSE)</f>
        <v>#N/A</v>
      </c>
    </row>
    <row r="24" spans="1:10" x14ac:dyDescent="0.25">
      <c r="A24" s="195"/>
      <c r="B24" s="42" t="str">
        <f>A24&amp;"-"&amp;IF(DAY(Variables!$A$2)&lt;10,0,"")&amp;DAY(Variables!$A$2)</f>
        <v>-05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4" s="30" t="e">
        <f>VLOOKUP(B24,'Train Runs'!$A$13:$A$99930,1,FALSE)</f>
        <v>#N/A</v>
      </c>
    </row>
    <row r="25" spans="1:10" x14ac:dyDescent="0.25">
      <c r="A25" s="195"/>
      <c r="B25" s="42" t="str">
        <f>A25&amp;"-"&amp;IF(DAY(Variables!$A$2)&lt;10,0,"")&amp;DAY(Variables!$A$2)</f>
        <v>-05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5" s="30" t="e">
        <f>VLOOKUP(B25,'Train Runs'!$A$13:$A$99930,1,FALSE)</f>
        <v>#N/A</v>
      </c>
    </row>
    <row r="26" spans="1:10" x14ac:dyDescent="0.25">
      <c r="A26" s="195"/>
      <c r="B26" s="42" t="str">
        <f>A26&amp;"-"&amp;IF(DAY(Variables!$A$2)&lt;10,0,"")&amp;DAY(Variables!$A$2)</f>
        <v>-05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6" s="30" t="e">
        <f>VLOOKUP(B26,'Train Runs'!$A$13:$A$99930,1,FALSE)</f>
        <v>#N/A</v>
      </c>
    </row>
    <row r="27" spans="1:10" x14ac:dyDescent="0.25">
      <c r="A27" s="195"/>
      <c r="B27" s="42" t="str">
        <f>A27&amp;"-"&amp;IF(DAY(Variables!$A$2)&lt;10,0,"")&amp;DAY(Variables!$A$2)</f>
        <v>-05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7" s="30" t="e">
        <f>VLOOKUP(B27,'Train Runs'!$A$13:$A$99930,1,FALSE)</f>
        <v>#N/A</v>
      </c>
    </row>
    <row r="28" spans="1:10" x14ac:dyDescent="0.25">
      <c r="A28" s="195"/>
      <c r="B28" s="42" t="str">
        <f>A28&amp;"-"&amp;IF(DAY(Variables!$A$2)&lt;10,0,"")&amp;DAY(Variables!$A$2)</f>
        <v>-05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8" s="30" t="e">
        <f>VLOOKUP(B28,'Train Runs'!$A$13:$A$99930,1,FALSE)</f>
        <v>#N/A</v>
      </c>
    </row>
    <row r="29" spans="1:10" x14ac:dyDescent="0.25">
      <c r="A29" s="195"/>
      <c r="B29" s="42" t="str">
        <f>A29&amp;"-"&amp;IF(DAY(Variables!$A$2)&lt;10,0,"")&amp;DAY(Variables!$A$2)</f>
        <v>-05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9" s="30" t="e">
        <f>VLOOKUP(B29,'Train Runs'!$A$13:$A$99930,1,FALSE)</f>
        <v>#N/A</v>
      </c>
    </row>
    <row r="30" spans="1:10" x14ac:dyDescent="0.25">
      <c r="A30" s="195"/>
      <c r="B30" s="42" t="str">
        <f>A30&amp;"-"&amp;IF(DAY(Variables!$A$2)&lt;10,0,"")&amp;DAY(Variables!$A$2)</f>
        <v>-05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0" s="30" t="e">
        <f>VLOOKUP(B30,'Train Runs'!$A$13:$A$99930,1,FALSE)</f>
        <v>#N/A</v>
      </c>
    </row>
    <row r="31" spans="1:10" x14ac:dyDescent="0.25">
      <c r="A31" s="195"/>
      <c r="B31" s="42" t="str">
        <f>A31&amp;"-"&amp;IF(DAY(Variables!$A$2)&lt;10,0,"")&amp;DAY(Variables!$A$2)</f>
        <v>-05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1" s="30" t="e">
        <f>VLOOKUP(B31,'Train Runs'!$A$13:$A$99930,1,FALSE)</f>
        <v>#N/A</v>
      </c>
    </row>
    <row r="32" spans="1:10" x14ac:dyDescent="0.25">
      <c r="A32" s="195"/>
      <c r="B32" s="42" t="str">
        <f>A32&amp;"-"&amp;IF(DAY(Variables!$A$2)&lt;10,0,"")&amp;DAY(Variables!$A$2)</f>
        <v>-05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2" s="30" t="e">
        <f>VLOOKUP(B32,'Train Runs'!$A$13:$A$99930,1,FALSE)</f>
        <v>#N/A</v>
      </c>
    </row>
    <row r="33" spans="1:10" x14ac:dyDescent="0.25">
      <c r="A33" s="195"/>
      <c r="B33" s="42" t="str">
        <f>A33&amp;"-"&amp;IF(DAY(Variables!$A$2)&lt;10,0,"")&amp;DAY(Variables!$A$2)</f>
        <v>-05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3" s="30" t="e">
        <f>VLOOKUP(B33,'Train Runs'!$A$13:$A$99930,1,FALSE)</f>
        <v>#N/A</v>
      </c>
    </row>
    <row r="34" spans="1:10" x14ac:dyDescent="0.25">
      <c r="A34" s="195"/>
      <c r="B34" s="42" t="str">
        <f>A34&amp;"-"&amp;IF(DAY(Variables!$A$2)&lt;10,0,"")&amp;DAY(Variables!$A$2)</f>
        <v>-05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4" s="30" t="e">
        <f>VLOOKUP(B34,'Train Runs'!$A$13:$A$99930,1,FALSE)</f>
        <v>#N/A</v>
      </c>
    </row>
    <row r="35" spans="1:10" x14ac:dyDescent="0.25">
      <c r="A35" s="195"/>
      <c r="B35" s="42" t="str">
        <f>A35&amp;"-"&amp;IF(DAY(Variables!$A$2)&lt;10,0,"")&amp;DAY(Variables!$A$2)</f>
        <v>-05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5" s="30" t="e">
        <f>VLOOKUP(B35,'Train Runs'!$A$13:$A$99930,1,FALSE)</f>
        <v>#N/A</v>
      </c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</sheetData>
  <autoFilter ref="A2:J4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42921.031736111108</v>
      </c>
      <c r="B2" s="20" t="s">
        <v>511</v>
      </c>
      <c r="C2" s="20" t="s">
        <v>532</v>
      </c>
      <c r="D2" s="138">
        <v>3000000</v>
      </c>
      <c r="E2" s="20" t="s">
        <v>396</v>
      </c>
      <c r="F2" s="20" t="s">
        <v>397</v>
      </c>
      <c r="G2" s="8" t="str">
        <f>E2&amp;" "&amp;F2</f>
        <v>FORTUNATO FRANK</v>
      </c>
    </row>
    <row r="3" spans="1:7" x14ac:dyDescent="0.25">
      <c r="A3" s="8">
        <v>42921.05127314815</v>
      </c>
      <c r="B3" s="20" t="s">
        <v>404</v>
      </c>
      <c r="C3" s="20" t="s">
        <v>533</v>
      </c>
      <c r="D3" s="138">
        <v>2230000</v>
      </c>
      <c r="E3" s="20" t="s">
        <v>341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42921.065069444441</v>
      </c>
      <c r="B4" s="20" t="s">
        <v>386</v>
      </c>
      <c r="C4" s="20" t="s">
        <v>534</v>
      </c>
      <c r="D4" s="138">
        <v>2450000</v>
      </c>
      <c r="E4" s="20" t="s">
        <v>495</v>
      </c>
      <c r="F4" s="20" t="s">
        <v>496</v>
      </c>
      <c r="G4" s="8" t="str">
        <f t="shared" si="0"/>
        <v>NELSON ARIANE</v>
      </c>
    </row>
    <row r="5" spans="1:7" x14ac:dyDescent="0.25">
      <c r="A5" s="8">
        <v>42921.070787037039</v>
      </c>
      <c r="B5" s="20" t="s">
        <v>515</v>
      </c>
      <c r="C5" s="20" t="s">
        <v>535</v>
      </c>
      <c r="D5" s="138">
        <v>3000000</v>
      </c>
      <c r="E5" s="20" t="s">
        <v>396</v>
      </c>
      <c r="F5" s="20" t="s">
        <v>397</v>
      </c>
      <c r="G5" s="8" t="str">
        <f t="shared" si="0"/>
        <v>FORTUNATO FRANK</v>
      </c>
    </row>
    <row r="6" spans="1:7" x14ac:dyDescent="0.25">
      <c r="A6" s="8">
        <v>42921.097395833334</v>
      </c>
      <c r="B6" s="20" t="s">
        <v>387</v>
      </c>
      <c r="C6" s="20" t="s">
        <v>536</v>
      </c>
      <c r="D6" s="138">
        <v>2450000</v>
      </c>
      <c r="E6" s="20" t="s">
        <v>495</v>
      </c>
      <c r="F6" s="20" t="s">
        <v>496</v>
      </c>
      <c r="G6" s="8" t="str">
        <f t="shared" si="0"/>
        <v>NELSON ARIANE</v>
      </c>
    </row>
    <row r="7" spans="1:7" x14ac:dyDescent="0.25">
      <c r="A7" s="8">
        <v>42921.099386574075</v>
      </c>
      <c r="B7" s="20" t="s">
        <v>387</v>
      </c>
      <c r="C7" s="20" t="s">
        <v>536</v>
      </c>
      <c r="D7" s="138">
        <v>2450000</v>
      </c>
      <c r="E7" s="20" t="s">
        <v>495</v>
      </c>
      <c r="F7" s="20" t="s">
        <v>496</v>
      </c>
      <c r="G7" s="8" t="str">
        <f t="shared" si="0"/>
        <v>NELSON ARIANE</v>
      </c>
    </row>
    <row r="8" spans="1:7" x14ac:dyDescent="0.25">
      <c r="A8" s="8">
        <v>42921.116168981483</v>
      </c>
      <c r="B8" s="20" t="s">
        <v>614</v>
      </c>
      <c r="C8" s="20" t="s">
        <v>631</v>
      </c>
      <c r="D8" s="138">
        <v>940000</v>
      </c>
      <c r="E8" s="20" t="s">
        <v>458</v>
      </c>
      <c r="F8" s="20" t="s">
        <v>459</v>
      </c>
      <c r="G8" s="8" t="str">
        <f t="shared" si="0"/>
        <v>BONDS REYNALDO</v>
      </c>
    </row>
    <row r="9" spans="1:7" ht="15.75" thickBot="1" x14ac:dyDescent="0.3">
      <c r="A9" s="24">
        <v>42921.128252314818</v>
      </c>
      <c r="B9" s="20" t="s">
        <v>512</v>
      </c>
      <c r="C9" s="20" t="s">
        <v>632</v>
      </c>
      <c r="D9" s="138">
        <v>940000</v>
      </c>
      <c r="E9" s="20" t="s">
        <v>458</v>
      </c>
      <c r="F9" s="20" t="s">
        <v>459</v>
      </c>
      <c r="G9" s="8" t="str">
        <f t="shared" si="0"/>
        <v>BONDS REYNALDO</v>
      </c>
    </row>
    <row r="10" spans="1:7" x14ac:dyDescent="0.25">
      <c r="A10" s="8">
        <v>42921.128738425927</v>
      </c>
      <c r="B10" s="20" t="s">
        <v>600</v>
      </c>
      <c r="C10" s="20" t="s">
        <v>633</v>
      </c>
      <c r="D10" s="138">
        <v>1090000</v>
      </c>
      <c r="E10" s="20" t="s">
        <v>516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42921.135787037034</v>
      </c>
      <c r="B11" s="20" t="s">
        <v>435</v>
      </c>
      <c r="C11" s="20" t="s">
        <v>634</v>
      </c>
      <c r="D11" s="138">
        <v>2010000</v>
      </c>
      <c r="E11" s="20" t="s">
        <v>447</v>
      </c>
      <c r="F11" s="20" t="s">
        <v>448</v>
      </c>
      <c r="G11" s="8" t="str">
        <f t="shared" si="0"/>
        <v>MAELZER KURT</v>
      </c>
    </row>
    <row r="12" spans="1:7" x14ac:dyDescent="0.25">
      <c r="A12" s="8">
        <v>42921.139675925922</v>
      </c>
      <c r="B12" s="20" t="s">
        <v>614</v>
      </c>
      <c r="C12" s="20" t="s">
        <v>635</v>
      </c>
      <c r="D12" s="138">
        <v>1090000</v>
      </c>
      <c r="E12" s="20" t="s">
        <v>516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42921.147928240738</v>
      </c>
      <c r="B13" s="20" t="s">
        <v>431</v>
      </c>
      <c r="C13" s="20" t="s">
        <v>636</v>
      </c>
      <c r="D13" s="138">
        <v>2010000</v>
      </c>
      <c r="E13" s="20" t="s">
        <v>447</v>
      </c>
      <c r="F13" s="20" t="s">
        <v>448</v>
      </c>
      <c r="G13" s="8" t="str">
        <f t="shared" si="0"/>
        <v>MAELZER KURT</v>
      </c>
    </row>
    <row r="14" spans="1:7" x14ac:dyDescent="0.25">
      <c r="A14" s="8">
        <v>42921.161527777775</v>
      </c>
      <c r="B14" s="20" t="s">
        <v>575</v>
      </c>
      <c r="C14" s="20" t="s">
        <v>637</v>
      </c>
      <c r="D14" s="138">
        <v>1110000</v>
      </c>
      <c r="E14" s="20" t="s">
        <v>513</v>
      </c>
      <c r="F14" s="20" t="s">
        <v>514</v>
      </c>
      <c r="G14" s="8" t="str">
        <f t="shared" si="0"/>
        <v>STARKS ANGELINA</v>
      </c>
    </row>
    <row r="15" spans="1:7" x14ac:dyDescent="0.25">
      <c r="A15" s="8">
        <v>42921.169641203705</v>
      </c>
      <c r="B15" s="20" t="s">
        <v>442</v>
      </c>
      <c r="C15" s="20" t="s">
        <v>638</v>
      </c>
      <c r="D15" s="138">
        <v>3200000</v>
      </c>
      <c r="E15" s="20" t="s">
        <v>519</v>
      </c>
      <c r="F15" s="20" t="s">
        <v>520</v>
      </c>
      <c r="G15" s="8" t="str">
        <f t="shared" si="0"/>
        <v>MILLER KEVIN</v>
      </c>
    </row>
    <row r="16" spans="1:7" x14ac:dyDescent="0.25">
      <c r="A16" s="8">
        <v>42921.172060185185</v>
      </c>
      <c r="B16" s="20" t="s">
        <v>582</v>
      </c>
      <c r="C16" s="20" t="s">
        <v>639</v>
      </c>
      <c r="D16" s="138">
        <v>940000</v>
      </c>
      <c r="E16" s="20" t="s">
        <v>458</v>
      </c>
      <c r="F16" s="20" t="s">
        <v>459</v>
      </c>
      <c r="G16" s="8" t="str">
        <f t="shared" si="0"/>
        <v>BONDS REYNALDO</v>
      </c>
    </row>
    <row r="17" spans="1:7" x14ac:dyDescent="0.25">
      <c r="A17" s="8">
        <v>42921.176724537036</v>
      </c>
      <c r="B17" s="20" t="s">
        <v>356</v>
      </c>
      <c r="C17" s="20" t="s">
        <v>640</v>
      </c>
      <c r="D17" s="138">
        <v>1110000</v>
      </c>
      <c r="E17" s="20" t="s">
        <v>513</v>
      </c>
      <c r="F17" s="20" t="s">
        <v>514</v>
      </c>
      <c r="G17" s="8" t="str">
        <f t="shared" si="0"/>
        <v>STARKS ANGELINA</v>
      </c>
    </row>
    <row r="18" spans="1:7" x14ac:dyDescent="0.25">
      <c r="A18" s="8">
        <v>42921.17900462963</v>
      </c>
      <c r="B18" s="20" t="s">
        <v>587</v>
      </c>
      <c r="C18" s="20" t="s">
        <v>641</v>
      </c>
      <c r="D18" s="138">
        <v>1990000</v>
      </c>
      <c r="E18" s="20" t="s">
        <v>392</v>
      </c>
      <c r="F18" s="20" t="s">
        <v>642</v>
      </c>
      <c r="G18" s="8" t="str">
        <f t="shared" si="0"/>
        <v>DAVIS WENDY</v>
      </c>
    </row>
    <row r="19" spans="1:7" x14ac:dyDescent="0.25">
      <c r="A19" s="8">
        <v>42921.184606481482</v>
      </c>
      <c r="B19" s="20" t="s">
        <v>388</v>
      </c>
      <c r="C19" s="20" t="s">
        <v>643</v>
      </c>
      <c r="D19" s="138">
        <v>3200000</v>
      </c>
      <c r="E19" s="20" t="s">
        <v>519</v>
      </c>
      <c r="F19" s="20" t="s">
        <v>520</v>
      </c>
      <c r="G19" s="8" t="str">
        <f t="shared" si="0"/>
        <v>MILLER KEVIN</v>
      </c>
    </row>
    <row r="20" spans="1:7" x14ac:dyDescent="0.25">
      <c r="A20" s="8">
        <v>42921.189398148148</v>
      </c>
      <c r="B20" s="20" t="s">
        <v>435</v>
      </c>
      <c r="C20" s="20" t="s">
        <v>644</v>
      </c>
      <c r="D20" s="138">
        <v>2010000</v>
      </c>
      <c r="E20" s="20" t="s">
        <v>447</v>
      </c>
      <c r="F20" s="20" t="s">
        <v>448</v>
      </c>
      <c r="G20" s="8" t="str">
        <f t="shared" si="0"/>
        <v>MAELZER KURT</v>
      </c>
    </row>
    <row r="21" spans="1:7" x14ac:dyDescent="0.25">
      <c r="A21" s="8">
        <v>42921.194120370368</v>
      </c>
      <c r="B21" s="20" t="s">
        <v>389</v>
      </c>
      <c r="C21" s="20" t="s">
        <v>645</v>
      </c>
      <c r="D21" s="138">
        <v>1990000</v>
      </c>
      <c r="E21" s="20" t="s">
        <v>392</v>
      </c>
      <c r="F21" s="20" t="s">
        <v>642</v>
      </c>
      <c r="G21" s="8" t="str">
        <f t="shared" si="0"/>
        <v>DAVIS WENDY</v>
      </c>
    </row>
    <row r="22" spans="1:7" x14ac:dyDescent="0.25">
      <c r="A22" s="26">
        <v>42921.206319444442</v>
      </c>
      <c r="B22" s="20" t="s">
        <v>512</v>
      </c>
      <c r="C22" s="20" t="s">
        <v>646</v>
      </c>
      <c r="D22" s="138">
        <v>940000</v>
      </c>
      <c r="E22" s="20" t="s">
        <v>458</v>
      </c>
      <c r="F22" s="20" t="s">
        <v>459</v>
      </c>
      <c r="G22" s="8" t="str">
        <f t="shared" si="0"/>
        <v>BONDS REYNALDO</v>
      </c>
    </row>
    <row r="23" spans="1:7" x14ac:dyDescent="0.25">
      <c r="A23" s="8">
        <v>42921.206793981481</v>
      </c>
      <c r="B23" s="20" t="s">
        <v>605</v>
      </c>
      <c r="C23" s="20" t="s">
        <v>647</v>
      </c>
      <c r="D23" s="138">
        <v>890000</v>
      </c>
      <c r="E23" s="20" t="s">
        <v>521</v>
      </c>
      <c r="F23" s="20" t="s">
        <v>522</v>
      </c>
      <c r="G23" s="8" t="str">
        <f t="shared" si="0"/>
        <v>LOZA FIDEL</v>
      </c>
    </row>
    <row r="24" spans="1:7" x14ac:dyDescent="0.25">
      <c r="A24" s="8">
        <v>42921.207997685182</v>
      </c>
      <c r="B24" s="20" t="s">
        <v>494</v>
      </c>
      <c r="C24" s="20" t="s">
        <v>648</v>
      </c>
      <c r="D24" s="138">
        <v>2560000</v>
      </c>
      <c r="E24" s="20" t="s">
        <v>449</v>
      </c>
      <c r="F24" s="20" t="s">
        <v>364</v>
      </c>
      <c r="G24" s="8" t="str">
        <f t="shared" si="0"/>
        <v>MACDONALD THOMAS</v>
      </c>
    </row>
    <row r="25" spans="1:7" x14ac:dyDescent="0.25">
      <c r="A25" s="8">
        <v>42921.215821759259</v>
      </c>
      <c r="B25" s="20" t="s">
        <v>575</v>
      </c>
      <c r="C25" s="20" t="s">
        <v>576</v>
      </c>
      <c r="D25" s="138">
        <v>1110000</v>
      </c>
      <c r="E25" s="20" t="s">
        <v>513</v>
      </c>
      <c r="F25" s="20" t="s">
        <v>514</v>
      </c>
      <c r="G25" s="8" t="str">
        <f t="shared" si="0"/>
        <v>STARKS ANGELINA</v>
      </c>
    </row>
    <row r="26" spans="1:7" x14ac:dyDescent="0.25">
      <c r="A26" s="8">
        <v>42921.216493055559</v>
      </c>
      <c r="B26" s="20" t="s">
        <v>649</v>
      </c>
      <c r="C26" s="20" t="s">
        <v>650</v>
      </c>
      <c r="D26" s="138">
        <v>890000</v>
      </c>
      <c r="E26" s="20" t="s">
        <v>521</v>
      </c>
      <c r="F26" s="20" t="s">
        <v>522</v>
      </c>
      <c r="G26" s="8" t="str">
        <f t="shared" si="0"/>
        <v>LOZA FIDEL</v>
      </c>
    </row>
    <row r="27" spans="1:7" x14ac:dyDescent="0.25">
      <c r="A27" s="8">
        <v>42921.217094907406</v>
      </c>
      <c r="B27" s="20" t="s">
        <v>442</v>
      </c>
      <c r="C27" s="20" t="s">
        <v>651</v>
      </c>
      <c r="D27" s="138">
        <v>3200000</v>
      </c>
      <c r="E27" s="20" t="s">
        <v>519</v>
      </c>
      <c r="F27" s="20" t="s">
        <v>520</v>
      </c>
      <c r="G27" s="8" t="str">
        <f t="shared" si="0"/>
        <v>MILLER KEVIN</v>
      </c>
    </row>
    <row r="28" spans="1:7" x14ac:dyDescent="0.25">
      <c r="A28" s="8">
        <v>42921.220671296294</v>
      </c>
      <c r="B28" s="20" t="s">
        <v>493</v>
      </c>
      <c r="C28" s="20" t="s">
        <v>652</v>
      </c>
      <c r="D28" s="138">
        <v>2560000</v>
      </c>
      <c r="E28" s="20" t="s">
        <v>449</v>
      </c>
      <c r="F28" s="20" t="s">
        <v>364</v>
      </c>
      <c r="G28" s="8" t="str">
        <f t="shared" si="0"/>
        <v>MACDONALD THOMAS</v>
      </c>
    </row>
    <row r="29" spans="1:7" x14ac:dyDescent="0.25">
      <c r="A29" s="8">
        <v>42921.225335648145</v>
      </c>
      <c r="B29" s="20" t="s">
        <v>365</v>
      </c>
      <c r="C29" s="20" t="s">
        <v>653</v>
      </c>
      <c r="D29" s="138">
        <v>2730000</v>
      </c>
      <c r="E29" s="20" t="s">
        <v>468</v>
      </c>
      <c r="F29" s="20" t="s">
        <v>469</v>
      </c>
      <c r="G29" s="8" t="str">
        <f t="shared" si="0"/>
        <v>YANG JAN</v>
      </c>
    </row>
    <row r="30" spans="1:7" x14ac:dyDescent="0.25">
      <c r="A30" s="8">
        <v>42921.2265162037</v>
      </c>
      <c r="B30" s="20" t="s">
        <v>431</v>
      </c>
      <c r="C30" s="20" t="s">
        <v>574</v>
      </c>
      <c r="D30" s="138">
        <v>2010000</v>
      </c>
      <c r="E30" s="20" t="s">
        <v>447</v>
      </c>
      <c r="F30" s="20" t="s">
        <v>448</v>
      </c>
      <c r="G30" s="8" t="str">
        <f t="shared" si="0"/>
        <v>MAELZER KURT</v>
      </c>
    </row>
    <row r="31" spans="1:7" x14ac:dyDescent="0.25">
      <c r="A31" s="8">
        <v>42921.234340277777</v>
      </c>
      <c r="B31" s="20" t="s">
        <v>494</v>
      </c>
      <c r="C31" s="20" t="s">
        <v>654</v>
      </c>
      <c r="D31" s="138">
        <v>2560000</v>
      </c>
      <c r="E31" s="20" t="s">
        <v>449</v>
      </c>
      <c r="F31" s="20" t="s">
        <v>364</v>
      </c>
      <c r="G31" s="8" t="str">
        <f t="shared" si="0"/>
        <v>MACDONALD THOMAS</v>
      </c>
    </row>
    <row r="32" spans="1:7" x14ac:dyDescent="0.25">
      <c r="A32" s="8">
        <v>42921.235717592594</v>
      </c>
      <c r="B32" s="20" t="s">
        <v>587</v>
      </c>
      <c r="C32" s="20" t="s">
        <v>655</v>
      </c>
      <c r="D32" s="138">
        <v>1990000</v>
      </c>
      <c r="E32" s="20" t="s">
        <v>392</v>
      </c>
      <c r="F32" s="20" t="s">
        <v>642</v>
      </c>
      <c r="G32" s="8" t="str">
        <f t="shared" si="0"/>
        <v>DAVIS WENDY</v>
      </c>
    </row>
    <row r="33" spans="1:7" x14ac:dyDescent="0.25">
      <c r="A33" s="8">
        <v>42921.237476851849</v>
      </c>
      <c r="B33" s="20" t="s">
        <v>402</v>
      </c>
      <c r="C33" s="20" t="s">
        <v>656</v>
      </c>
      <c r="D33" s="138">
        <v>1100000</v>
      </c>
      <c r="E33" s="20" t="s">
        <v>657</v>
      </c>
      <c r="F33" s="20" t="s">
        <v>658</v>
      </c>
      <c r="G33" s="8" t="str">
        <f t="shared" si="0"/>
        <v>GEBRETEKLE DAGNEW</v>
      </c>
    </row>
    <row r="34" spans="1:7" x14ac:dyDescent="0.25">
      <c r="A34" s="8">
        <v>42921.238553240742</v>
      </c>
      <c r="B34" s="20" t="s">
        <v>371</v>
      </c>
      <c r="C34" s="20" t="s">
        <v>659</v>
      </c>
      <c r="D34" s="138">
        <v>2730000</v>
      </c>
      <c r="E34" s="20" t="s">
        <v>468</v>
      </c>
      <c r="F34" s="20" t="s">
        <v>469</v>
      </c>
      <c r="G34" s="8" t="str">
        <f t="shared" si="0"/>
        <v>YANG JAN</v>
      </c>
    </row>
    <row r="35" spans="1:7" x14ac:dyDescent="0.25">
      <c r="A35" s="8">
        <v>42921.245011574072</v>
      </c>
      <c r="B35" s="20" t="s">
        <v>582</v>
      </c>
      <c r="C35" s="20" t="s">
        <v>660</v>
      </c>
      <c r="D35" s="138">
        <v>940000</v>
      </c>
      <c r="E35" s="20" t="s">
        <v>458</v>
      </c>
      <c r="F35" s="20" t="s">
        <v>459</v>
      </c>
      <c r="G35" s="8" t="str">
        <f t="shared" si="0"/>
        <v>BONDS REYNALDO</v>
      </c>
    </row>
    <row r="36" spans="1:7" x14ac:dyDescent="0.25">
      <c r="A36" s="8">
        <v>42921.248194444444</v>
      </c>
      <c r="B36" s="20" t="s">
        <v>356</v>
      </c>
      <c r="C36" s="20" t="s">
        <v>661</v>
      </c>
      <c r="D36" s="138">
        <v>1110000</v>
      </c>
      <c r="E36" s="20" t="s">
        <v>513</v>
      </c>
      <c r="F36" s="20" t="s">
        <v>514</v>
      </c>
      <c r="G36" s="8" t="str">
        <f t="shared" si="0"/>
        <v>STARKS ANGELINA</v>
      </c>
    </row>
    <row r="37" spans="1:7" x14ac:dyDescent="0.25">
      <c r="A37" s="8">
        <v>42921.252349537041</v>
      </c>
      <c r="B37" s="20" t="s">
        <v>403</v>
      </c>
      <c r="C37" s="20" t="s">
        <v>662</v>
      </c>
      <c r="D37" s="138">
        <v>1100000</v>
      </c>
      <c r="E37" s="20" t="s">
        <v>657</v>
      </c>
      <c r="F37" s="20" t="s">
        <v>658</v>
      </c>
      <c r="G37" s="8" t="str">
        <f t="shared" si="0"/>
        <v>GEBRETEKLE DAGNEW</v>
      </c>
    </row>
    <row r="38" spans="1:7" x14ac:dyDescent="0.25">
      <c r="A38" s="8">
        <v>42921.254918981482</v>
      </c>
      <c r="B38" s="20" t="s">
        <v>493</v>
      </c>
      <c r="C38" s="20" t="s">
        <v>577</v>
      </c>
      <c r="D38" s="138">
        <v>2560000</v>
      </c>
      <c r="E38" s="20" t="s">
        <v>449</v>
      </c>
      <c r="F38" s="20" t="s">
        <v>364</v>
      </c>
      <c r="G38" s="8" t="str">
        <f t="shared" si="0"/>
        <v>MACDONALD THOMAS</v>
      </c>
    </row>
    <row r="39" spans="1:7" x14ac:dyDescent="0.25">
      <c r="A39" s="8">
        <v>42921.256342592591</v>
      </c>
      <c r="B39" s="20" t="s">
        <v>605</v>
      </c>
      <c r="C39" s="20" t="s">
        <v>663</v>
      </c>
      <c r="D39" s="138">
        <v>890000</v>
      </c>
      <c r="E39" s="20" t="s">
        <v>521</v>
      </c>
      <c r="F39" s="20" t="s">
        <v>522</v>
      </c>
      <c r="G39" s="8" t="str">
        <f t="shared" si="0"/>
        <v>LOZA FIDEL</v>
      </c>
    </row>
    <row r="40" spans="1:7" x14ac:dyDescent="0.25">
      <c r="A40" s="8">
        <v>42921.258472222224</v>
      </c>
      <c r="B40" s="25" t="s">
        <v>388</v>
      </c>
      <c r="C40" s="20" t="s">
        <v>664</v>
      </c>
      <c r="D40" s="138">
        <v>3200000</v>
      </c>
      <c r="E40" s="20" t="s">
        <v>519</v>
      </c>
      <c r="F40" s="20" t="s">
        <v>520</v>
      </c>
      <c r="G40" s="8" t="str">
        <f t="shared" si="0"/>
        <v>MILLER KEVIN</v>
      </c>
    </row>
    <row r="41" spans="1:7" x14ac:dyDescent="0.25">
      <c r="A41" s="8">
        <v>42921.262835648151</v>
      </c>
      <c r="B41" s="20" t="s">
        <v>435</v>
      </c>
      <c r="C41" s="20" t="s">
        <v>665</v>
      </c>
      <c r="D41" s="138">
        <v>2010000</v>
      </c>
      <c r="E41" s="20" t="s">
        <v>447</v>
      </c>
      <c r="F41" s="20" t="s">
        <v>448</v>
      </c>
      <c r="G41" s="8" t="str">
        <f t="shared" si="0"/>
        <v>MAELZER KURT</v>
      </c>
    </row>
    <row r="42" spans="1:7" x14ac:dyDescent="0.25">
      <c r="A42" s="8">
        <v>42921.268055555556</v>
      </c>
      <c r="B42" s="20" t="s">
        <v>389</v>
      </c>
      <c r="C42" s="20" t="s">
        <v>666</v>
      </c>
      <c r="D42" s="138">
        <v>1990000</v>
      </c>
      <c r="E42" s="20" t="s">
        <v>392</v>
      </c>
      <c r="F42" s="20" t="s">
        <v>642</v>
      </c>
      <c r="G42" s="8" t="str">
        <f t="shared" si="0"/>
        <v>DAVIS WENDY</v>
      </c>
    </row>
    <row r="43" spans="1:7" x14ac:dyDescent="0.25">
      <c r="A43" s="8">
        <v>42921.270486111112</v>
      </c>
      <c r="B43" s="20" t="s">
        <v>494</v>
      </c>
      <c r="C43" s="20" t="s">
        <v>667</v>
      </c>
      <c r="D43" s="138">
        <v>2560000</v>
      </c>
      <c r="E43" s="20" t="s">
        <v>449</v>
      </c>
      <c r="F43" s="20" t="s">
        <v>364</v>
      </c>
      <c r="G43" s="8" t="str">
        <f t="shared" si="0"/>
        <v>MACDONALD THOMAS</v>
      </c>
    </row>
    <row r="44" spans="1:7" x14ac:dyDescent="0.25">
      <c r="A44" s="8">
        <v>42921.275069444448</v>
      </c>
      <c r="B44" s="20" t="s">
        <v>365</v>
      </c>
      <c r="C44" s="20" t="s">
        <v>668</v>
      </c>
      <c r="D44" s="138">
        <v>2730000</v>
      </c>
      <c r="E44" s="20" t="s">
        <v>468</v>
      </c>
      <c r="F44" s="20" t="s">
        <v>469</v>
      </c>
      <c r="G44" s="8" t="str">
        <f t="shared" si="0"/>
        <v>YANG JAN</v>
      </c>
    </row>
    <row r="45" spans="1:7" x14ac:dyDescent="0.25">
      <c r="A45" s="8">
        <v>42921.275787037041</v>
      </c>
      <c r="B45" s="20" t="s">
        <v>402</v>
      </c>
      <c r="C45" s="20" t="s">
        <v>578</v>
      </c>
      <c r="D45" s="138">
        <v>1100000</v>
      </c>
      <c r="E45" s="20" t="s">
        <v>657</v>
      </c>
      <c r="F45" s="20" t="s">
        <v>658</v>
      </c>
      <c r="G45" s="8" t="str">
        <f t="shared" si="0"/>
        <v>GEBRETEKLE DAGNEW</v>
      </c>
    </row>
    <row r="46" spans="1:7" x14ac:dyDescent="0.25">
      <c r="A46" s="8">
        <v>42921.278946759259</v>
      </c>
      <c r="B46" s="20" t="s">
        <v>512</v>
      </c>
      <c r="C46" s="20" t="s">
        <v>669</v>
      </c>
      <c r="D46" s="138">
        <v>940000</v>
      </c>
      <c r="E46" s="20" t="s">
        <v>458</v>
      </c>
      <c r="F46" s="20" t="s">
        <v>459</v>
      </c>
      <c r="G46" s="8" t="str">
        <f t="shared" si="0"/>
        <v>BONDS REYNALDO</v>
      </c>
    </row>
    <row r="47" spans="1:7" x14ac:dyDescent="0.25">
      <c r="A47" s="8">
        <v>42921.288912037038</v>
      </c>
      <c r="B47" s="20" t="s">
        <v>442</v>
      </c>
      <c r="C47" s="20" t="s">
        <v>580</v>
      </c>
      <c r="D47" s="138">
        <v>3200000</v>
      </c>
      <c r="E47" s="20" t="s">
        <v>519</v>
      </c>
      <c r="F47" s="20" t="s">
        <v>520</v>
      </c>
      <c r="G47" s="8" t="str">
        <f t="shared" si="0"/>
        <v>MILLER KEVIN</v>
      </c>
    </row>
    <row r="48" spans="1:7" x14ac:dyDescent="0.25">
      <c r="A48" s="8">
        <v>42921.290011574078</v>
      </c>
      <c r="B48" s="20" t="s">
        <v>575</v>
      </c>
      <c r="C48" s="20" t="s">
        <v>581</v>
      </c>
      <c r="D48" s="138">
        <v>1110000</v>
      </c>
      <c r="E48" s="20" t="s">
        <v>513</v>
      </c>
      <c r="F48" s="20" t="s">
        <v>514</v>
      </c>
      <c r="G48" s="8" t="str">
        <f t="shared" si="0"/>
        <v>STARKS ANGELINA</v>
      </c>
    </row>
    <row r="49" spans="1:7" x14ac:dyDescent="0.25">
      <c r="A49" s="8">
        <v>42921.290196759262</v>
      </c>
      <c r="B49" s="20" t="s">
        <v>403</v>
      </c>
      <c r="C49" s="20" t="s">
        <v>670</v>
      </c>
      <c r="D49" s="138">
        <v>1100000</v>
      </c>
      <c r="E49" s="20" t="s">
        <v>657</v>
      </c>
      <c r="F49" s="20" t="s">
        <v>658</v>
      </c>
      <c r="G49" s="8" t="str">
        <f t="shared" si="0"/>
        <v>GEBRETEKLE DAGNEW</v>
      </c>
    </row>
    <row r="50" spans="1:7" x14ac:dyDescent="0.25">
      <c r="A50" s="8">
        <v>42921.290300925924</v>
      </c>
      <c r="B50" s="20" t="s">
        <v>649</v>
      </c>
      <c r="C50" s="20" t="s">
        <v>671</v>
      </c>
      <c r="D50" s="138">
        <v>890000</v>
      </c>
      <c r="E50" s="20" t="s">
        <v>521</v>
      </c>
      <c r="F50" s="20" t="s">
        <v>522</v>
      </c>
      <c r="G50" s="8" t="str">
        <f t="shared" si="0"/>
        <v>LOZA FIDEL</v>
      </c>
    </row>
    <row r="51" spans="1:7" x14ac:dyDescent="0.25">
      <c r="A51" s="8">
        <v>42921.296238425923</v>
      </c>
      <c r="B51" s="20" t="s">
        <v>493</v>
      </c>
      <c r="C51" s="20" t="s">
        <v>579</v>
      </c>
      <c r="D51" s="138">
        <v>2560000</v>
      </c>
      <c r="E51" s="20" t="s">
        <v>449</v>
      </c>
      <c r="F51" s="20" t="s">
        <v>364</v>
      </c>
      <c r="G51" s="8" t="str">
        <f t="shared" si="0"/>
        <v>MACDONALD THOMAS</v>
      </c>
    </row>
    <row r="52" spans="1:7" x14ac:dyDescent="0.25">
      <c r="A52" s="8">
        <v>42921.298668981479</v>
      </c>
      <c r="B52" s="20" t="s">
        <v>431</v>
      </c>
      <c r="C52" s="20" t="s">
        <v>672</v>
      </c>
      <c r="D52" s="138">
        <v>2010000</v>
      </c>
      <c r="E52" s="20" t="s">
        <v>447</v>
      </c>
      <c r="F52" s="20" t="s">
        <v>448</v>
      </c>
      <c r="G52" s="8" t="str">
        <f t="shared" si="0"/>
        <v>MAELZER KURT</v>
      </c>
    </row>
    <row r="53" spans="1:7" x14ac:dyDescent="0.25">
      <c r="A53" s="8">
        <v>42921.308738425927</v>
      </c>
      <c r="B53" s="20" t="s">
        <v>587</v>
      </c>
      <c r="C53" s="20" t="s">
        <v>673</v>
      </c>
      <c r="D53" s="138">
        <v>1990000</v>
      </c>
      <c r="E53" s="20" t="s">
        <v>392</v>
      </c>
      <c r="F53" s="20" t="s">
        <v>642</v>
      </c>
      <c r="G53" s="8" t="str">
        <f t="shared" si="0"/>
        <v>DAVIS WENDY</v>
      </c>
    </row>
    <row r="54" spans="1:7" x14ac:dyDescent="0.25">
      <c r="A54" s="8">
        <v>42921.309884259259</v>
      </c>
      <c r="B54" s="20" t="s">
        <v>371</v>
      </c>
      <c r="C54" s="20" t="s">
        <v>674</v>
      </c>
      <c r="D54" s="138">
        <v>2730000</v>
      </c>
      <c r="E54" s="20" t="s">
        <v>468</v>
      </c>
      <c r="F54" s="20" t="s">
        <v>469</v>
      </c>
      <c r="G54" s="8" t="str">
        <f t="shared" si="0"/>
        <v>YANG JAN</v>
      </c>
    </row>
    <row r="55" spans="1:7" x14ac:dyDescent="0.25">
      <c r="A55" s="8">
        <v>42921.311238425929</v>
      </c>
      <c r="B55" s="20" t="s">
        <v>494</v>
      </c>
      <c r="C55" s="20" t="s">
        <v>675</v>
      </c>
      <c r="D55" s="138">
        <v>2560000</v>
      </c>
      <c r="E55" s="20" t="s">
        <v>449</v>
      </c>
      <c r="F55" s="20" t="s">
        <v>364</v>
      </c>
      <c r="G55" s="8" t="str">
        <f t="shared" si="0"/>
        <v>MACDONALD THOMAS</v>
      </c>
    </row>
    <row r="56" spans="1:7" x14ac:dyDescent="0.25">
      <c r="A56" s="8">
        <v>42921.316701388889</v>
      </c>
      <c r="B56" s="20" t="s">
        <v>402</v>
      </c>
      <c r="C56" s="20" t="s">
        <v>676</v>
      </c>
      <c r="D56" s="138">
        <v>1100000</v>
      </c>
      <c r="E56" s="20" t="s">
        <v>657</v>
      </c>
      <c r="F56" s="20" t="s">
        <v>658</v>
      </c>
      <c r="G56" s="8" t="str">
        <f t="shared" si="0"/>
        <v>GEBRETEKLE DAGNEW</v>
      </c>
    </row>
    <row r="57" spans="1:7" x14ac:dyDescent="0.25">
      <c r="A57" s="8">
        <v>42921.319293981483</v>
      </c>
      <c r="B57" s="20" t="s">
        <v>582</v>
      </c>
      <c r="C57" s="20" t="s">
        <v>583</v>
      </c>
      <c r="D57" s="138">
        <v>940000</v>
      </c>
      <c r="E57" s="20" t="s">
        <v>458</v>
      </c>
      <c r="F57" s="20" t="s">
        <v>459</v>
      </c>
      <c r="G57" s="8" t="str">
        <f t="shared" si="0"/>
        <v>BONDS REYNALDO</v>
      </c>
    </row>
    <row r="58" spans="1:7" x14ac:dyDescent="0.25">
      <c r="A58" s="8">
        <v>42921.320972222224</v>
      </c>
      <c r="B58" s="20" t="s">
        <v>356</v>
      </c>
      <c r="C58" s="20" t="s">
        <v>677</v>
      </c>
      <c r="D58" s="138">
        <v>1110000</v>
      </c>
      <c r="E58" s="20" t="s">
        <v>513</v>
      </c>
      <c r="F58" s="20" t="s">
        <v>514</v>
      </c>
      <c r="G58" s="8" t="str">
        <f t="shared" si="0"/>
        <v>STARKS ANGELINA</v>
      </c>
    </row>
    <row r="59" spans="1:7" x14ac:dyDescent="0.25">
      <c r="A59" s="8">
        <v>42921.329375000001</v>
      </c>
      <c r="B59" s="20" t="s">
        <v>605</v>
      </c>
      <c r="C59" s="20" t="s">
        <v>678</v>
      </c>
      <c r="D59" s="138">
        <v>890000</v>
      </c>
      <c r="E59" s="20" t="s">
        <v>521</v>
      </c>
      <c r="F59" s="20" t="s">
        <v>522</v>
      </c>
      <c r="G59" s="8" t="str">
        <f t="shared" si="0"/>
        <v>LOZA FIDEL</v>
      </c>
    </row>
    <row r="60" spans="1:7" x14ac:dyDescent="0.25">
      <c r="A60" s="8">
        <v>42921.332071759258</v>
      </c>
      <c r="B60" s="20" t="s">
        <v>403</v>
      </c>
      <c r="C60" s="20" t="s">
        <v>679</v>
      </c>
      <c r="D60" s="138">
        <v>1100000</v>
      </c>
      <c r="E60" s="20" t="s">
        <v>657</v>
      </c>
      <c r="F60" s="20" t="s">
        <v>658</v>
      </c>
      <c r="G60" s="8" t="str">
        <f t="shared" si="0"/>
        <v>GEBRETEKLE DAGNEW</v>
      </c>
    </row>
    <row r="61" spans="1:7" x14ac:dyDescent="0.25">
      <c r="A61" s="8">
        <v>42921.332152777781</v>
      </c>
      <c r="B61" s="20" t="s">
        <v>388</v>
      </c>
      <c r="C61" s="20" t="s">
        <v>680</v>
      </c>
      <c r="D61" s="138">
        <v>3200000</v>
      </c>
      <c r="E61" s="20" t="s">
        <v>519</v>
      </c>
      <c r="F61" s="20" t="s">
        <v>520</v>
      </c>
      <c r="G61" s="8" t="str">
        <f t="shared" si="0"/>
        <v>MILLER KEVIN</v>
      </c>
    </row>
    <row r="62" spans="1:7" x14ac:dyDescent="0.25">
      <c r="A62" s="8">
        <v>42921.333587962959</v>
      </c>
      <c r="B62" s="20" t="s">
        <v>435</v>
      </c>
      <c r="C62" s="20" t="s">
        <v>681</v>
      </c>
      <c r="D62" s="138">
        <v>2010000</v>
      </c>
      <c r="E62" s="20" t="s">
        <v>447</v>
      </c>
      <c r="F62" s="20" t="s">
        <v>448</v>
      </c>
      <c r="G62" s="8" t="str">
        <f t="shared" si="0"/>
        <v>MAELZER KURT</v>
      </c>
    </row>
    <row r="63" spans="1:7" x14ac:dyDescent="0.25">
      <c r="A63" s="8">
        <v>42921.338356481479</v>
      </c>
      <c r="B63" s="20" t="s">
        <v>493</v>
      </c>
      <c r="C63" s="20" t="s">
        <v>682</v>
      </c>
      <c r="D63" s="138">
        <v>2560000</v>
      </c>
      <c r="E63" s="20" t="s">
        <v>449</v>
      </c>
      <c r="F63" s="20" t="s">
        <v>364</v>
      </c>
      <c r="G63" s="8" t="str">
        <f t="shared" si="0"/>
        <v>MACDONALD THOMAS</v>
      </c>
    </row>
    <row r="64" spans="1:7" x14ac:dyDescent="0.25">
      <c r="A64" s="26">
        <v>42921.341365740744</v>
      </c>
      <c r="B64" s="20" t="s">
        <v>389</v>
      </c>
      <c r="C64" s="20" t="s">
        <v>683</v>
      </c>
      <c r="D64" s="138">
        <v>1990000</v>
      </c>
      <c r="E64" s="20" t="s">
        <v>392</v>
      </c>
      <c r="F64" s="20" t="s">
        <v>642</v>
      </c>
      <c r="G64" s="8" t="str">
        <f t="shared" si="0"/>
        <v>DAVIS WENDY</v>
      </c>
    </row>
    <row r="65" spans="1:7" x14ac:dyDescent="0.25">
      <c r="A65" s="8">
        <v>42921.349097222221</v>
      </c>
      <c r="B65" s="20" t="s">
        <v>365</v>
      </c>
      <c r="C65" s="20" t="s">
        <v>584</v>
      </c>
      <c r="D65" s="138">
        <v>2730000</v>
      </c>
      <c r="E65" s="20" t="s">
        <v>468</v>
      </c>
      <c r="F65" s="20" t="s">
        <v>469</v>
      </c>
      <c r="G65" s="8" t="str">
        <f t="shared" si="0"/>
        <v>YANG JAN</v>
      </c>
    </row>
    <row r="66" spans="1:7" x14ac:dyDescent="0.25">
      <c r="A66" s="8">
        <v>42921.351712962962</v>
      </c>
      <c r="B66" s="20" t="s">
        <v>575</v>
      </c>
      <c r="C66" s="20" t="s">
        <v>684</v>
      </c>
      <c r="D66" s="138">
        <v>1110000</v>
      </c>
      <c r="E66" s="20" t="s">
        <v>513</v>
      </c>
      <c r="F66" s="20" t="s">
        <v>514</v>
      </c>
      <c r="G66" s="8" t="str">
        <f t="shared" si="0"/>
        <v>STARKS ANGELINA</v>
      </c>
    </row>
    <row r="67" spans="1:7" x14ac:dyDescent="0.25">
      <c r="A67" s="8">
        <v>42921.352141203701</v>
      </c>
      <c r="B67" s="20" t="s">
        <v>512</v>
      </c>
      <c r="C67" s="20" t="s">
        <v>685</v>
      </c>
      <c r="D67" s="138">
        <v>940000</v>
      </c>
      <c r="E67" s="20" t="s">
        <v>458</v>
      </c>
      <c r="F67" s="20" t="s">
        <v>459</v>
      </c>
      <c r="G67" s="8" t="str">
        <f t="shared" ref="G67:G130" si="1">E67&amp;" "&amp;F67</f>
        <v>BONDS REYNALDO</v>
      </c>
    </row>
    <row r="68" spans="1:7" x14ac:dyDescent="0.25">
      <c r="A68" s="8">
        <v>42921.353472222225</v>
      </c>
      <c r="B68" s="20" t="s">
        <v>494</v>
      </c>
      <c r="C68" s="20" t="s">
        <v>686</v>
      </c>
      <c r="D68" s="138">
        <v>2560000</v>
      </c>
      <c r="E68" s="20" t="s">
        <v>449</v>
      </c>
      <c r="F68" s="20" t="s">
        <v>364</v>
      </c>
      <c r="G68" s="8" t="str">
        <f t="shared" si="1"/>
        <v>MACDONALD THOMAS</v>
      </c>
    </row>
    <row r="69" spans="1:7" x14ac:dyDescent="0.25">
      <c r="A69" s="8">
        <v>42921.358437499999</v>
      </c>
      <c r="B69" s="20" t="s">
        <v>402</v>
      </c>
      <c r="C69" s="20" t="s">
        <v>687</v>
      </c>
      <c r="D69" s="138">
        <v>1100000</v>
      </c>
      <c r="E69" s="20" t="s">
        <v>657</v>
      </c>
      <c r="F69" s="20" t="s">
        <v>658</v>
      </c>
      <c r="G69" s="8" t="str">
        <f t="shared" si="1"/>
        <v>GEBRETEKLE DAGNEW</v>
      </c>
    </row>
    <row r="70" spans="1:7" x14ac:dyDescent="0.25">
      <c r="A70" s="8">
        <v>42921.361307870371</v>
      </c>
      <c r="B70" s="20" t="s">
        <v>649</v>
      </c>
      <c r="C70" s="20" t="s">
        <v>688</v>
      </c>
      <c r="D70" s="138">
        <v>890000</v>
      </c>
      <c r="E70" s="20" t="s">
        <v>521</v>
      </c>
      <c r="F70" s="20" t="s">
        <v>522</v>
      </c>
      <c r="G70" s="8" t="str">
        <f t="shared" si="1"/>
        <v>LOZA FIDEL</v>
      </c>
    </row>
    <row r="71" spans="1:7" x14ac:dyDescent="0.25">
      <c r="A71" s="8">
        <v>42921.370057870372</v>
      </c>
      <c r="B71" s="20" t="s">
        <v>442</v>
      </c>
      <c r="C71" s="20" t="s">
        <v>689</v>
      </c>
      <c r="D71" s="138">
        <v>3200000</v>
      </c>
      <c r="E71" s="20" t="s">
        <v>519</v>
      </c>
      <c r="F71" s="20" t="s">
        <v>520</v>
      </c>
      <c r="G71" s="8" t="str">
        <f t="shared" si="1"/>
        <v>MILLER KEVIN</v>
      </c>
    </row>
    <row r="72" spans="1:7" x14ac:dyDescent="0.25">
      <c r="A72" s="8">
        <v>42921.370925925927</v>
      </c>
      <c r="B72" s="20" t="s">
        <v>467</v>
      </c>
      <c r="C72" s="20" t="s">
        <v>586</v>
      </c>
      <c r="D72" s="138">
        <v>1360000</v>
      </c>
      <c r="E72" s="20" t="s">
        <v>690</v>
      </c>
      <c r="F72" s="20" t="s">
        <v>691</v>
      </c>
      <c r="G72" s="8" t="str">
        <f t="shared" si="1"/>
        <v>SANTIZO D. EDY</v>
      </c>
    </row>
    <row r="73" spans="1:7" x14ac:dyDescent="0.25">
      <c r="A73" s="8">
        <v>42921.371805555558</v>
      </c>
      <c r="B73" s="20" t="s">
        <v>431</v>
      </c>
      <c r="C73" s="20" t="s">
        <v>692</v>
      </c>
      <c r="D73" s="138">
        <v>2010000</v>
      </c>
      <c r="E73" s="20" t="s">
        <v>447</v>
      </c>
      <c r="F73" s="20" t="s">
        <v>448</v>
      </c>
      <c r="G73" s="8" t="str">
        <f t="shared" si="1"/>
        <v>MAELZER KURT</v>
      </c>
    </row>
    <row r="74" spans="1:7" x14ac:dyDescent="0.25">
      <c r="A74" s="8">
        <v>42921.37263888889</v>
      </c>
      <c r="B74" s="20" t="s">
        <v>403</v>
      </c>
      <c r="C74" s="20" t="s">
        <v>693</v>
      </c>
      <c r="D74" s="138">
        <v>1100000</v>
      </c>
      <c r="E74" s="20" t="s">
        <v>657</v>
      </c>
      <c r="F74" s="20" t="s">
        <v>658</v>
      </c>
      <c r="G74" s="8" t="str">
        <f t="shared" si="1"/>
        <v>GEBRETEKLE DAGNEW</v>
      </c>
    </row>
    <row r="75" spans="1:7" x14ac:dyDescent="0.25">
      <c r="A75" s="8">
        <v>42921.374965277777</v>
      </c>
      <c r="B75" s="20" t="s">
        <v>405</v>
      </c>
      <c r="C75" s="20" t="s">
        <v>585</v>
      </c>
      <c r="D75" s="138">
        <v>330000</v>
      </c>
      <c r="E75" s="20" t="s">
        <v>694</v>
      </c>
      <c r="F75" s="20" t="s">
        <v>695</v>
      </c>
      <c r="G75" s="8" t="str">
        <f t="shared" si="1"/>
        <v>PELLITIER GEORGE</v>
      </c>
    </row>
    <row r="76" spans="1:7" x14ac:dyDescent="0.25">
      <c r="A76" s="8">
        <v>42921.379756944443</v>
      </c>
      <c r="B76" s="20" t="s">
        <v>587</v>
      </c>
      <c r="C76" s="20" t="s">
        <v>588</v>
      </c>
      <c r="D76" s="138">
        <v>1990000</v>
      </c>
      <c r="E76" s="20" t="s">
        <v>392</v>
      </c>
      <c r="F76" s="20" t="s">
        <v>642</v>
      </c>
      <c r="G76" s="8" t="str">
        <f t="shared" si="1"/>
        <v>DAVIS WENDY</v>
      </c>
    </row>
    <row r="77" spans="1:7" x14ac:dyDescent="0.25">
      <c r="A77" s="8">
        <v>42921.3825</v>
      </c>
      <c r="B77" s="20" t="s">
        <v>371</v>
      </c>
      <c r="C77" s="20" t="s">
        <v>696</v>
      </c>
      <c r="D77" s="138">
        <v>2730000</v>
      </c>
      <c r="E77" s="20" t="s">
        <v>468</v>
      </c>
      <c r="F77" s="20" t="s">
        <v>469</v>
      </c>
      <c r="G77" s="8" t="str">
        <f t="shared" si="1"/>
        <v>YANG JAN</v>
      </c>
    </row>
    <row r="78" spans="1:7" x14ac:dyDescent="0.25">
      <c r="A78" s="8">
        <v>42921.389178240737</v>
      </c>
      <c r="B78" s="20" t="s">
        <v>404</v>
      </c>
      <c r="C78" s="20" t="s">
        <v>585</v>
      </c>
      <c r="D78" s="138">
        <v>330000</v>
      </c>
      <c r="E78" s="20" t="s">
        <v>694</v>
      </c>
      <c r="F78" s="20" t="s">
        <v>695</v>
      </c>
      <c r="G78" s="8" t="str">
        <f t="shared" si="1"/>
        <v>PELLITIER GEORGE</v>
      </c>
    </row>
    <row r="79" spans="1:7" x14ac:dyDescent="0.25">
      <c r="A79" s="8">
        <v>42921.389837962961</v>
      </c>
      <c r="B79" s="20" t="s">
        <v>404</v>
      </c>
      <c r="C79" s="20" t="s">
        <v>585</v>
      </c>
      <c r="D79" s="138">
        <v>330000</v>
      </c>
      <c r="E79" s="20" t="s">
        <v>694</v>
      </c>
      <c r="F79" s="20" t="s">
        <v>695</v>
      </c>
      <c r="G79" s="8" t="str">
        <f t="shared" si="1"/>
        <v>PELLITIER GEORGE</v>
      </c>
    </row>
    <row r="80" spans="1:7" x14ac:dyDescent="0.25">
      <c r="A80" s="8">
        <v>42921.391736111109</v>
      </c>
      <c r="B80" s="20" t="s">
        <v>582</v>
      </c>
      <c r="C80" s="20" t="s">
        <v>589</v>
      </c>
      <c r="D80" s="138">
        <v>940000</v>
      </c>
      <c r="E80" s="20" t="s">
        <v>458</v>
      </c>
      <c r="F80" s="20" t="s">
        <v>459</v>
      </c>
      <c r="G80" s="8" t="str">
        <f t="shared" si="1"/>
        <v>BONDS REYNALDO</v>
      </c>
    </row>
    <row r="81" spans="1:7" x14ac:dyDescent="0.25">
      <c r="A81" s="8">
        <v>42921.394259259258</v>
      </c>
      <c r="B81" s="20" t="s">
        <v>356</v>
      </c>
      <c r="C81" s="20" t="s">
        <v>697</v>
      </c>
      <c r="D81" s="138">
        <v>1110000</v>
      </c>
      <c r="E81" s="20" t="s">
        <v>513</v>
      </c>
      <c r="F81" s="20" t="s">
        <v>514</v>
      </c>
      <c r="G81" s="8" t="str">
        <f t="shared" si="1"/>
        <v>STARKS ANGELINA</v>
      </c>
    </row>
    <row r="82" spans="1:7" x14ac:dyDescent="0.25">
      <c r="A82" s="8">
        <v>42921.397060185183</v>
      </c>
      <c r="B82" s="20" t="s">
        <v>466</v>
      </c>
      <c r="C82" s="20" t="s">
        <v>586</v>
      </c>
      <c r="D82" s="138">
        <v>1360000</v>
      </c>
      <c r="E82" s="20" t="s">
        <v>690</v>
      </c>
      <c r="F82" s="20" t="s">
        <v>691</v>
      </c>
      <c r="G82" s="8" t="str">
        <f t="shared" si="1"/>
        <v>SANTIZO D. EDY</v>
      </c>
    </row>
    <row r="83" spans="1:7" x14ac:dyDescent="0.25">
      <c r="A83" s="8">
        <v>42921.399259259262</v>
      </c>
      <c r="B83" s="20" t="s">
        <v>466</v>
      </c>
      <c r="C83" s="20" t="s">
        <v>586</v>
      </c>
      <c r="D83" s="138">
        <v>1360000</v>
      </c>
      <c r="E83" s="20" t="s">
        <v>690</v>
      </c>
      <c r="F83" s="20" t="s">
        <v>691</v>
      </c>
      <c r="G83" s="8" t="str">
        <f t="shared" si="1"/>
        <v>SANTIZO D. EDY</v>
      </c>
    </row>
    <row r="84" spans="1:7" x14ac:dyDescent="0.25">
      <c r="A84" s="8">
        <v>42921.399606481478</v>
      </c>
      <c r="B84" s="20" t="s">
        <v>511</v>
      </c>
      <c r="C84" s="20" t="s">
        <v>596</v>
      </c>
      <c r="D84" s="138">
        <v>400000</v>
      </c>
      <c r="E84" s="20" t="s">
        <v>698</v>
      </c>
      <c r="F84" s="20" t="s">
        <v>699</v>
      </c>
      <c r="G84" s="8" t="str">
        <f t="shared" si="1"/>
        <v>BARTELL KIM</v>
      </c>
    </row>
    <row r="85" spans="1:7" x14ac:dyDescent="0.25">
      <c r="A85" s="8">
        <v>42921.401574074072</v>
      </c>
      <c r="B85" s="20" t="s">
        <v>605</v>
      </c>
      <c r="C85" s="20" t="s">
        <v>700</v>
      </c>
      <c r="D85" s="138">
        <v>890000</v>
      </c>
      <c r="E85" s="20" t="s">
        <v>521</v>
      </c>
      <c r="F85" s="20" t="s">
        <v>522</v>
      </c>
      <c r="G85" s="8" t="str">
        <f t="shared" si="1"/>
        <v>LOZA FIDEL</v>
      </c>
    </row>
    <row r="86" spans="1:7" x14ac:dyDescent="0.25">
      <c r="A86" s="8">
        <v>42921.401631944442</v>
      </c>
      <c r="B86" s="20" t="s">
        <v>511</v>
      </c>
      <c r="C86" s="20" t="s">
        <v>596</v>
      </c>
      <c r="D86" s="138">
        <v>400000</v>
      </c>
      <c r="E86" s="20" t="s">
        <v>698</v>
      </c>
      <c r="F86" s="20" t="s">
        <v>699</v>
      </c>
      <c r="G86" s="8" t="str">
        <f t="shared" si="1"/>
        <v>BARTELL KIM</v>
      </c>
    </row>
    <row r="87" spans="1:7" x14ac:dyDescent="0.25">
      <c r="A87" s="8">
        <v>42921.402499999997</v>
      </c>
      <c r="B87" s="20" t="s">
        <v>402</v>
      </c>
      <c r="C87" s="20" t="s">
        <v>701</v>
      </c>
      <c r="D87" s="138">
        <v>1100000</v>
      </c>
      <c r="E87" s="20" t="s">
        <v>657</v>
      </c>
      <c r="F87" s="20" t="s">
        <v>658</v>
      </c>
      <c r="G87" s="8" t="str">
        <f t="shared" si="1"/>
        <v>GEBRETEKLE DAGNEW</v>
      </c>
    </row>
    <row r="88" spans="1:7" x14ac:dyDescent="0.25">
      <c r="A88" s="8">
        <v>42921.403969907406</v>
      </c>
      <c r="B88" s="20" t="s">
        <v>388</v>
      </c>
      <c r="C88" s="20" t="s">
        <v>592</v>
      </c>
      <c r="D88" s="138">
        <v>3200000</v>
      </c>
      <c r="E88" s="20" t="s">
        <v>519</v>
      </c>
      <c r="F88" s="20" t="s">
        <v>520</v>
      </c>
      <c r="G88" s="8" t="str">
        <f t="shared" si="1"/>
        <v>MILLER KEVIN</v>
      </c>
    </row>
    <row r="89" spans="1:7" x14ac:dyDescent="0.25">
      <c r="A89" s="8">
        <v>42921.404398148145</v>
      </c>
      <c r="B89" s="20" t="s">
        <v>511</v>
      </c>
      <c r="C89" s="20" t="s">
        <v>596</v>
      </c>
      <c r="D89" s="138">
        <v>400000</v>
      </c>
      <c r="E89" s="20" t="s">
        <v>698</v>
      </c>
      <c r="F89" s="20" t="s">
        <v>699</v>
      </c>
      <c r="G89" s="8" t="str">
        <f t="shared" si="1"/>
        <v>BARTELL KIM</v>
      </c>
    </row>
    <row r="90" spans="1:7" x14ac:dyDescent="0.25">
      <c r="A90" s="8">
        <v>42921.407210648147</v>
      </c>
      <c r="B90" s="20" t="s">
        <v>435</v>
      </c>
      <c r="C90" s="20" t="s">
        <v>702</v>
      </c>
      <c r="D90" s="138">
        <v>2010000</v>
      </c>
      <c r="E90" s="20" t="s">
        <v>447</v>
      </c>
      <c r="F90" s="20" t="s">
        <v>448</v>
      </c>
      <c r="G90" s="8" t="str">
        <f t="shared" si="1"/>
        <v>MAELZER KURT</v>
      </c>
    </row>
    <row r="91" spans="1:7" x14ac:dyDescent="0.25">
      <c r="A91" s="8">
        <v>42921.408136574071</v>
      </c>
      <c r="B91" s="20" t="s">
        <v>511</v>
      </c>
      <c r="C91" s="20" t="s">
        <v>596</v>
      </c>
      <c r="D91" s="138">
        <v>400000</v>
      </c>
      <c r="E91" s="20" t="s">
        <v>698</v>
      </c>
      <c r="F91" s="20" t="s">
        <v>699</v>
      </c>
      <c r="G91" s="8" t="str">
        <f t="shared" si="1"/>
        <v>BARTELL KIM</v>
      </c>
    </row>
    <row r="92" spans="1:7" x14ac:dyDescent="0.25">
      <c r="A92" s="8">
        <v>42921.40828703704</v>
      </c>
      <c r="B92" s="20" t="s">
        <v>466</v>
      </c>
      <c r="C92" s="20" t="s">
        <v>586</v>
      </c>
      <c r="D92" s="138">
        <v>1360000</v>
      </c>
      <c r="E92" s="20" t="s">
        <v>690</v>
      </c>
      <c r="F92" s="20" t="s">
        <v>691</v>
      </c>
      <c r="G92" s="8" t="str">
        <f t="shared" si="1"/>
        <v>SANTIZO D. EDY</v>
      </c>
    </row>
    <row r="93" spans="1:7" x14ac:dyDescent="0.25">
      <c r="A93" s="8">
        <v>42921.409803240742</v>
      </c>
      <c r="B93" s="20" t="s">
        <v>511</v>
      </c>
      <c r="C93" s="20" t="s">
        <v>596</v>
      </c>
      <c r="D93" s="138">
        <v>400000</v>
      </c>
      <c r="E93" s="20" t="s">
        <v>698</v>
      </c>
      <c r="F93" s="20" t="s">
        <v>699</v>
      </c>
      <c r="G93" s="8" t="str">
        <f t="shared" si="1"/>
        <v>BARTELL KIM</v>
      </c>
    </row>
    <row r="94" spans="1:7" x14ac:dyDescent="0.25">
      <c r="A94" s="8">
        <v>42921.411608796298</v>
      </c>
      <c r="B94" s="20" t="s">
        <v>405</v>
      </c>
      <c r="C94" s="20" t="s">
        <v>585</v>
      </c>
      <c r="D94" s="138">
        <v>330000</v>
      </c>
      <c r="E94" s="20" t="s">
        <v>694</v>
      </c>
      <c r="F94" s="20" t="s">
        <v>695</v>
      </c>
      <c r="G94" s="8" t="str">
        <f t="shared" si="1"/>
        <v>PELLITIER GEORGE</v>
      </c>
    </row>
    <row r="95" spans="1:7" x14ac:dyDescent="0.25">
      <c r="A95" s="8">
        <v>42921.412314814814</v>
      </c>
      <c r="B95" s="20" t="s">
        <v>511</v>
      </c>
      <c r="C95" s="20" t="s">
        <v>596</v>
      </c>
      <c r="D95" s="138">
        <v>400000</v>
      </c>
      <c r="E95" s="20" t="s">
        <v>698</v>
      </c>
      <c r="F95" s="20" t="s">
        <v>699</v>
      </c>
      <c r="G95" s="8" t="str">
        <f t="shared" si="1"/>
        <v>BARTELL KIM</v>
      </c>
    </row>
    <row r="96" spans="1:7" x14ac:dyDescent="0.25">
      <c r="A96" s="8">
        <v>42921.413275462961</v>
      </c>
      <c r="B96" s="20" t="s">
        <v>582</v>
      </c>
      <c r="C96" s="20" t="s">
        <v>589</v>
      </c>
      <c r="D96" s="138">
        <v>940000</v>
      </c>
      <c r="E96" s="20" t="s">
        <v>458</v>
      </c>
      <c r="F96" s="20" t="s">
        <v>459</v>
      </c>
      <c r="G96" s="8" t="str">
        <f t="shared" si="1"/>
        <v>BONDS REYNALDO</v>
      </c>
    </row>
    <row r="97" spans="1:7" x14ac:dyDescent="0.25">
      <c r="A97" s="8">
        <v>42921.414687500001</v>
      </c>
      <c r="B97" s="20" t="s">
        <v>389</v>
      </c>
      <c r="C97" s="20" t="s">
        <v>703</v>
      </c>
      <c r="D97" s="138">
        <v>1990000</v>
      </c>
      <c r="E97" s="20" t="s">
        <v>392</v>
      </c>
      <c r="F97" s="20" t="s">
        <v>642</v>
      </c>
      <c r="G97" s="8" t="str">
        <f t="shared" si="1"/>
        <v>DAVIS WENDY</v>
      </c>
    </row>
    <row r="98" spans="1:7" x14ac:dyDescent="0.25">
      <c r="A98" s="8">
        <v>42921.414861111109</v>
      </c>
      <c r="B98" s="20" t="s">
        <v>365</v>
      </c>
      <c r="C98" s="20" t="s">
        <v>704</v>
      </c>
      <c r="D98" s="138">
        <v>2730000</v>
      </c>
      <c r="E98" s="20" t="s">
        <v>468</v>
      </c>
      <c r="F98" s="20" t="s">
        <v>469</v>
      </c>
      <c r="G98" s="8" t="str">
        <f t="shared" si="1"/>
        <v>YANG JAN</v>
      </c>
    </row>
    <row r="99" spans="1:7" x14ac:dyDescent="0.25">
      <c r="A99" s="8">
        <v>42921.414930555555</v>
      </c>
      <c r="B99" s="20" t="s">
        <v>403</v>
      </c>
      <c r="C99" s="20" t="s">
        <v>705</v>
      </c>
      <c r="D99" s="138">
        <v>1100000</v>
      </c>
      <c r="E99" s="20" t="s">
        <v>657</v>
      </c>
      <c r="F99" s="20" t="s">
        <v>658</v>
      </c>
      <c r="G99" s="8" t="str">
        <f t="shared" si="1"/>
        <v>GEBRETEKLE DAGNEW</v>
      </c>
    </row>
    <row r="100" spans="1:7" x14ac:dyDescent="0.25">
      <c r="A100" s="8">
        <v>42921.417349537034</v>
      </c>
      <c r="B100" s="20" t="s">
        <v>511</v>
      </c>
      <c r="C100" s="20" t="s">
        <v>596</v>
      </c>
      <c r="D100" s="138">
        <v>400000</v>
      </c>
      <c r="E100" s="20" t="s">
        <v>698</v>
      </c>
      <c r="F100" s="20" t="s">
        <v>699</v>
      </c>
      <c r="G100" s="8" t="str">
        <f t="shared" si="1"/>
        <v>BARTELL KIM</v>
      </c>
    </row>
    <row r="101" spans="1:7" x14ac:dyDescent="0.25">
      <c r="A101" s="8">
        <v>42921.41951388889</v>
      </c>
      <c r="B101" s="20" t="s">
        <v>511</v>
      </c>
      <c r="C101" s="20" t="s">
        <v>596</v>
      </c>
      <c r="D101" s="138">
        <v>400000</v>
      </c>
      <c r="E101" s="20" t="s">
        <v>698</v>
      </c>
      <c r="F101" s="20" t="s">
        <v>699</v>
      </c>
      <c r="G101" s="8" t="str">
        <f t="shared" si="1"/>
        <v>BARTELL KIM</v>
      </c>
    </row>
    <row r="102" spans="1:7" x14ac:dyDescent="0.25">
      <c r="A102" s="8">
        <v>42921.422106481485</v>
      </c>
      <c r="B102" s="20" t="s">
        <v>404</v>
      </c>
      <c r="C102" s="20" t="s">
        <v>585</v>
      </c>
      <c r="D102" s="138">
        <v>330000</v>
      </c>
      <c r="E102" s="20" t="s">
        <v>694</v>
      </c>
      <c r="F102" s="20" t="s">
        <v>695</v>
      </c>
      <c r="G102" s="8" t="str">
        <f t="shared" si="1"/>
        <v>PELLITIER GEORGE</v>
      </c>
    </row>
    <row r="103" spans="1:7" x14ac:dyDescent="0.25">
      <c r="A103" s="8">
        <v>42921.42324074074</v>
      </c>
      <c r="B103" s="20" t="s">
        <v>404</v>
      </c>
      <c r="C103" s="20" t="s">
        <v>585</v>
      </c>
      <c r="D103" s="138">
        <v>330000</v>
      </c>
      <c r="E103" s="20" t="s">
        <v>694</v>
      </c>
      <c r="F103" s="20" t="s">
        <v>695</v>
      </c>
      <c r="G103" s="8" t="str">
        <f t="shared" si="1"/>
        <v>PELLITIER GEORGE</v>
      </c>
    </row>
    <row r="104" spans="1:7" x14ac:dyDescent="0.25">
      <c r="A104" s="8">
        <v>42921.424155092594</v>
      </c>
      <c r="B104" s="20" t="s">
        <v>404</v>
      </c>
      <c r="C104" s="20" t="s">
        <v>585</v>
      </c>
      <c r="D104" s="138">
        <v>330000</v>
      </c>
      <c r="E104" s="20" t="s">
        <v>694</v>
      </c>
      <c r="F104" s="20" t="s">
        <v>695</v>
      </c>
      <c r="G104" s="8" t="str">
        <f t="shared" si="1"/>
        <v>PELLITIER GEORGE</v>
      </c>
    </row>
    <row r="105" spans="1:7" x14ac:dyDescent="0.25">
      <c r="A105" s="8">
        <v>42921.424710648149</v>
      </c>
      <c r="B105" s="20" t="s">
        <v>467</v>
      </c>
      <c r="C105" s="20" t="s">
        <v>586</v>
      </c>
      <c r="D105" s="138">
        <v>1360000</v>
      </c>
      <c r="E105" s="20" t="s">
        <v>690</v>
      </c>
      <c r="F105" s="20" t="s">
        <v>691</v>
      </c>
      <c r="G105" s="8" t="str">
        <f t="shared" si="1"/>
        <v>SANTIZO D. EDY</v>
      </c>
    </row>
    <row r="106" spans="1:7" x14ac:dyDescent="0.25">
      <c r="A106" s="8">
        <v>42921.425833333335</v>
      </c>
      <c r="B106" s="20" t="s">
        <v>404</v>
      </c>
      <c r="C106" s="20" t="s">
        <v>585</v>
      </c>
      <c r="D106" s="138">
        <v>330000</v>
      </c>
      <c r="E106" s="20" t="s">
        <v>694</v>
      </c>
      <c r="F106" s="20" t="s">
        <v>695</v>
      </c>
      <c r="G106" s="8" t="str">
        <f t="shared" si="1"/>
        <v>PELLITIER GEORGE</v>
      </c>
    </row>
    <row r="107" spans="1:7" x14ac:dyDescent="0.25">
      <c r="A107" s="8">
        <v>42921.426203703704</v>
      </c>
      <c r="B107" s="20" t="s">
        <v>467</v>
      </c>
      <c r="C107" s="20" t="s">
        <v>586</v>
      </c>
      <c r="D107" s="138">
        <v>1360000</v>
      </c>
      <c r="E107" s="20" t="s">
        <v>690</v>
      </c>
      <c r="F107" s="20" t="s">
        <v>691</v>
      </c>
      <c r="G107" s="8" t="str">
        <f t="shared" si="1"/>
        <v>SANTIZO D. EDY</v>
      </c>
    </row>
    <row r="108" spans="1:7" x14ac:dyDescent="0.25">
      <c r="A108" s="8">
        <v>42921.426944444444</v>
      </c>
      <c r="B108" s="20" t="s">
        <v>404</v>
      </c>
      <c r="C108" s="20" t="s">
        <v>585</v>
      </c>
      <c r="D108" s="138">
        <v>330000</v>
      </c>
      <c r="E108" s="20" t="s">
        <v>694</v>
      </c>
      <c r="F108" s="20" t="s">
        <v>695</v>
      </c>
      <c r="G108" s="8" t="str">
        <f t="shared" si="1"/>
        <v>PELLITIER GEORGE</v>
      </c>
    </row>
    <row r="109" spans="1:7" x14ac:dyDescent="0.25">
      <c r="A109" s="8">
        <v>42921.428761574076</v>
      </c>
      <c r="B109" s="20" t="s">
        <v>512</v>
      </c>
      <c r="C109" s="20" t="s">
        <v>598</v>
      </c>
      <c r="D109" s="138">
        <v>2560000</v>
      </c>
      <c r="E109" s="20" t="s">
        <v>449</v>
      </c>
      <c r="F109" s="20" t="s">
        <v>364</v>
      </c>
      <c r="G109" s="8" t="str">
        <f t="shared" si="1"/>
        <v>MACDONALD THOMAS</v>
      </c>
    </row>
    <row r="110" spans="1:7" x14ac:dyDescent="0.25">
      <c r="A110" s="8">
        <v>42921.432766203703</v>
      </c>
      <c r="B110" s="20" t="s">
        <v>575</v>
      </c>
      <c r="C110" s="20" t="s">
        <v>597</v>
      </c>
      <c r="D110" s="138">
        <v>1110000</v>
      </c>
      <c r="E110" s="20" t="s">
        <v>513</v>
      </c>
      <c r="F110" s="20" t="s">
        <v>514</v>
      </c>
      <c r="G110" s="8" t="str">
        <f t="shared" si="1"/>
        <v>STARKS ANGELINA</v>
      </c>
    </row>
    <row r="111" spans="1:7" x14ac:dyDescent="0.25">
      <c r="A111" s="8">
        <v>42921.434548611112</v>
      </c>
      <c r="B111" s="20" t="s">
        <v>649</v>
      </c>
      <c r="C111" s="20" t="s">
        <v>706</v>
      </c>
      <c r="D111" s="138">
        <v>890000</v>
      </c>
      <c r="E111" s="20" t="s">
        <v>521</v>
      </c>
      <c r="F111" s="20" t="s">
        <v>522</v>
      </c>
      <c r="G111" s="8" t="str">
        <f t="shared" si="1"/>
        <v>LOZA FIDEL</v>
      </c>
    </row>
    <row r="112" spans="1:7" x14ac:dyDescent="0.25">
      <c r="A112" s="8">
        <v>42921.438668981478</v>
      </c>
      <c r="B112" s="20" t="s">
        <v>515</v>
      </c>
      <c r="C112" s="20" t="s">
        <v>596</v>
      </c>
      <c r="D112" s="138">
        <v>400000</v>
      </c>
      <c r="E112" s="20" t="s">
        <v>698</v>
      </c>
      <c r="F112" s="20" t="s">
        <v>699</v>
      </c>
      <c r="G112" s="8" t="str">
        <f t="shared" si="1"/>
        <v>BARTELL KIM</v>
      </c>
    </row>
    <row r="113" spans="1:7" x14ac:dyDescent="0.25">
      <c r="A113" s="8">
        <v>42921.440486111111</v>
      </c>
      <c r="B113" s="20" t="s">
        <v>515</v>
      </c>
      <c r="C113" s="20" t="s">
        <v>596</v>
      </c>
      <c r="D113" s="138">
        <v>400000</v>
      </c>
      <c r="E113" s="20" t="s">
        <v>698</v>
      </c>
      <c r="F113" s="20" t="s">
        <v>699</v>
      </c>
      <c r="G113" s="8" t="str">
        <f t="shared" si="1"/>
        <v>BARTELL KIM</v>
      </c>
    </row>
    <row r="114" spans="1:7" x14ac:dyDescent="0.25">
      <c r="A114" s="8">
        <v>42921.442280092589</v>
      </c>
      <c r="B114" s="20" t="s">
        <v>402</v>
      </c>
      <c r="C114" s="20" t="s">
        <v>707</v>
      </c>
      <c r="D114" s="138">
        <v>1100000</v>
      </c>
      <c r="E114" s="20" t="s">
        <v>657</v>
      </c>
      <c r="F114" s="20" t="s">
        <v>658</v>
      </c>
      <c r="G114" s="8" t="str">
        <f t="shared" si="1"/>
        <v>GEBRETEKLE DAGNEW</v>
      </c>
    </row>
    <row r="115" spans="1:7" x14ac:dyDescent="0.25">
      <c r="A115" s="8">
        <v>42921.442870370367</v>
      </c>
      <c r="B115" s="20" t="s">
        <v>442</v>
      </c>
      <c r="C115" s="20" t="s">
        <v>708</v>
      </c>
      <c r="D115" s="138">
        <v>3200000</v>
      </c>
      <c r="E115" s="20" t="s">
        <v>519</v>
      </c>
      <c r="F115" s="20" t="s">
        <v>520</v>
      </c>
      <c r="G115" s="8" t="str">
        <f t="shared" si="1"/>
        <v>MILLER KEVIN</v>
      </c>
    </row>
    <row r="116" spans="1:7" x14ac:dyDescent="0.25">
      <c r="A116" s="8">
        <v>42921.446215277778</v>
      </c>
      <c r="B116" s="20" t="s">
        <v>431</v>
      </c>
      <c r="C116" s="20" t="s">
        <v>709</v>
      </c>
      <c r="D116" s="138">
        <v>920000</v>
      </c>
      <c r="E116" s="20" t="s">
        <v>392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42921.45008101852</v>
      </c>
      <c r="B117" s="20" t="s">
        <v>466</v>
      </c>
      <c r="C117" s="20" t="s">
        <v>586</v>
      </c>
      <c r="D117" s="138">
        <v>1360000</v>
      </c>
      <c r="E117" s="20" t="s">
        <v>690</v>
      </c>
      <c r="F117" s="20" t="s">
        <v>691</v>
      </c>
      <c r="G117" s="8" t="str">
        <f t="shared" si="1"/>
        <v>SANTIZO D. EDY</v>
      </c>
    </row>
    <row r="118" spans="1:7" x14ac:dyDescent="0.25">
      <c r="A118" s="8">
        <v>42921.452291666668</v>
      </c>
      <c r="B118" s="20" t="s">
        <v>405</v>
      </c>
      <c r="C118" s="20" t="s">
        <v>585</v>
      </c>
      <c r="D118" s="138">
        <v>330000</v>
      </c>
      <c r="E118" s="20" t="s">
        <v>694</v>
      </c>
      <c r="F118" s="20" t="s">
        <v>695</v>
      </c>
      <c r="G118" s="8" t="str">
        <f t="shared" si="1"/>
        <v>PELLITIER GEORGE</v>
      </c>
    </row>
    <row r="119" spans="1:7" x14ac:dyDescent="0.25">
      <c r="A119" s="8">
        <v>42921.4533912037</v>
      </c>
      <c r="B119" s="20" t="s">
        <v>466</v>
      </c>
      <c r="C119" s="20" t="s">
        <v>586</v>
      </c>
      <c r="D119" s="138">
        <v>1360000</v>
      </c>
      <c r="E119" s="20" t="s">
        <v>690</v>
      </c>
      <c r="F119" s="20" t="s">
        <v>691</v>
      </c>
      <c r="G119" s="8" t="str">
        <f t="shared" si="1"/>
        <v>SANTIZO D. EDY</v>
      </c>
    </row>
    <row r="120" spans="1:7" x14ac:dyDescent="0.25">
      <c r="A120" s="8">
        <v>42921.454062500001</v>
      </c>
      <c r="B120" s="20" t="s">
        <v>587</v>
      </c>
      <c r="C120" s="20" t="s">
        <v>710</v>
      </c>
      <c r="D120" s="138">
        <v>1990000</v>
      </c>
      <c r="E120" s="20" t="s">
        <v>392</v>
      </c>
      <c r="F120" s="20" t="s">
        <v>642</v>
      </c>
      <c r="G120" s="8" t="str">
        <f t="shared" si="1"/>
        <v>DAVIS WENDY</v>
      </c>
    </row>
    <row r="121" spans="1:7" x14ac:dyDescent="0.25">
      <c r="A121" s="8">
        <v>42921.455555555556</v>
      </c>
      <c r="B121" s="20" t="s">
        <v>371</v>
      </c>
      <c r="C121" s="20" t="s">
        <v>711</v>
      </c>
      <c r="D121" s="138">
        <v>2730000</v>
      </c>
      <c r="E121" s="20" t="s">
        <v>468</v>
      </c>
      <c r="F121" s="20" t="s">
        <v>469</v>
      </c>
      <c r="G121" s="8" t="str">
        <f t="shared" si="1"/>
        <v>YANG JAN</v>
      </c>
    </row>
    <row r="122" spans="1:7" x14ac:dyDescent="0.25">
      <c r="A122" s="8">
        <v>42921.45584490741</v>
      </c>
      <c r="B122" s="25" t="s">
        <v>403</v>
      </c>
      <c r="C122" s="20" t="s">
        <v>712</v>
      </c>
      <c r="D122" s="138">
        <v>1100000</v>
      </c>
      <c r="E122" s="20" t="s">
        <v>657</v>
      </c>
      <c r="F122" s="20" t="s">
        <v>658</v>
      </c>
      <c r="G122" s="8" t="str">
        <f t="shared" si="1"/>
        <v>GEBRETEKLE DAGNEW</v>
      </c>
    </row>
    <row r="123" spans="1:7" x14ac:dyDescent="0.25">
      <c r="A123" s="8">
        <v>42921.462592592594</v>
      </c>
      <c r="B123" s="20" t="s">
        <v>582</v>
      </c>
      <c r="C123" s="20" t="s">
        <v>713</v>
      </c>
      <c r="D123" s="138">
        <v>2560000</v>
      </c>
      <c r="E123" s="20" t="s">
        <v>449</v>
      </c>
      <c r="F123" s="20" t="s">
        <v>364</v>
      </c>
      <c r="G123" s="8" t="str">
        <f t="shared" si="1"/>
        <v>MACDONALD THOMAS</v>
      </c>
    </row>
    <row r="124" spans="1:7" x14ac:dyDescent="0.25">
      <c r="A124" s="8">
        <v>42921.463240740741</v>
      </c>
      <c r="B124" s="20" t="s">
        <v>600</v>
      </c>
      <c r="C124" s="20" t="s">
        <v>714</v>
      </c>
      <c r="D124" s="138">
        <v>1830000</v>
      </c>
      <c r="E124" s="20" t="s">
        <v>715</v>
      </c>
      <c r="F124" s="20" t="s">
        <v>716</v>
      </c>
      <c r="G124" s="8" t="str">
        <f t="shared" si="1"/>
        <v>YORK EDGAR</v>
      </c>
    </row>
    <row r="125" spans="1:7" x14ac:dyDescent="0.25">
      <c r="A125" s="8">
        <v>42921.464062500003</v>
      </c>
      <c r="B125" s="20" t="s">
        <v>600</v>
      </c>
      <c r="C125" s="20" t="s">
        <v>714</v>
      </c>
      <c r="D125" s="138">
        <v>1830000</v>
      </c>
      <c r="E125" s="20" t="s">
        <v>715</v>
      </c>
      <c r="F125" s="20" t="s">
        <v>716</v>
      </c>
      <c r="G125" s="8" t="str">
        <f t="shared" si="1"/>
        <v>YORK EDGAR</v>
      </c>
    </row>
    <row r="126" spans="1:7" x14ac:dyDescent="0.25">
      <c r="A126" s="8">
        <v>42921.46565972222</v>
      </c>
      <c r="B126" s="20" t="s">
        <v>511</v>
      </c>
      <c r="C126" s="20" t="s">
        <v>596</v>
      </c>
      <c r="D126" s="138">
        <v>400000</v>
      </c>
      <c r="E126" s="20" t="s">
        <v>698</v>
      </c>
      <c r="F126" s="20" t="s">
        <v>699</v>
      </c>
      <c r="G126" s="8" t="str">
        <f t="shared" si="1"/>
        <v>BARTELL KIM</v>
      </c>
    </row>
    <row r="127" spans="1:7" x14ac:dyDescent="0.25">
      <c r="A127" s="8">
        <v>42921.467233796298</v>
      </c>
      <c r="B127" s="20" t="s">
        <v>605</v>
      </c>
      <c r="C127" s="20" t="s">
        <v>717</v>
      </c>
      <c r="D127" s="138">
        <v>890000</v>
      </c>
      <c r="E127" s="20" t="s">
        <v>521</v>
      </c>
      <c r="F127" s="20" t="s">
        <v>522</v>
      </c>
      <c r="G127" s="8" t="str">
        <f t="shared" si="1"/>
        <v>LOZA FIDEL</v>
      </c>
    </row>
    <row r="128" spans="1:7" x14ac:dyDescent="0.25">
      <c r="A128" s="8">
        <v>42921.467499999999</v>
      </c>
      <c r="B128" s="20" t="s">
        <v>356</v>
      </c>
      <c r="C128" s="20" t="s">
        <v>718</v>
      </c>
      <c r="D128" s="138">
        <v>880000</v>
      </c>
      <c r="E128" s="20" t="s">
        <v>523</v>
      </c>
      <c r="F128" s="20" t="s">
        <v>192</v>
      </c>
      <c r="G128" s="8" t="str">
        <f t="shared" si="1"/>
        <v>STEWART MICHAEL</v>
      </c>
    </row>
    <row r="129" spans="1:7" x14ac:dyDescent="0.25">
      <c r="A129" s="8">
        <v>42921.472048611111</v>
      </c>
      <c r="B129" s="20" t="s">
        <v>404</v>
      </c>
      <c r="C129" s="20" t="s">
        <v>585</v>
      </c>
      <c r="D129" s="138">
        <v>330000</v>
      </c>
      <c r="E129" s="20" t="s">
        <v>694</v>
      </c>
      <c r="F129" s="20" t="s">
        <v>695</v>
      </c>
      <c r="G129" s="8" t="str">
        <f t="shared" si="1"/>
        <v>PELLITIER GEORGE</v>
      </c>
    </row>
    <row r="130" spans="1:7" x14ac:dyDescent="0.25">
      <c r="A130" s="8">
        <v>42921.475729166668</v>
      </c>
      <c r="B130" s="20" t="s">
        <v>614</v>
      </c>
      <c r="C130" s="20" t="s">
        <v>714</v>
      </c>
      <c r="D130" s="138">
        <v>1830000</v>
      </c>
      <c r="E130" s="20" t="s">
        <v>715</v>
      </c>
      <c r="F130" s="20" t="s">
        <v>716</v>
      </c>
      <c r="G130" s="8" t="str">
        <f t="shared" si="1"/>
        <v>YORK EDGAR</v>
      </c>
    </row>
    <row r="131" spans="1:7" x14ac:dyDescent="0.25">
      <c r="A131" s="8">
        <v>42921.479062500002</v>
      </c>
      <c r="B131" s="20" t="s">
        <v>388</v>
      </c>
      <c r="C131" s="20" t="s">
        <v>719</v>
      </c>
      <c r="D131" s="138">
        <v>2470000</v>
      </c>
      <c r="E131" s="20" t="s">
        <v>428</v>
      </c>
      <c r="F131" s="20" t="s">
        <v>429</v>
      </c>
      <c r="G131" s="8" t="str">
        <f t="shared" ref="G131:G194" si="2">E131&amp;" "&amp;F131</f>
        <v>ROMERO CHAD</v>
      </c>
    </row>
    <row r="132" spans="1:7" x14ac:dyDescent="0.25">
      <c r="A132" s="8">
        <v>42921.483553240738</v>
      </c>
      <c r="B132" s="20" t="s">
        <v>402</v>
      </c>
      <c r="C132" s="20" t="s">
        <v>720</v>
      </c>
      <c r="D132" s="138">
        <v>1100000</v>
      </c>
      <c r="E132" s="20" t="s">
        <v>657</v>
      </c>
      <c r="F132" s="20" t="s">
        <v>658</v>
      </c>
      <c r="G132" s="8" t="str">
        <f t="shared" si="2"/>
        <v>GEBRETEKLE DAGNEW</v>
      </c>
    </row>
    <row r="133" spans="1:7" x14ac:dyDescent="0.25">
      <c r="A133" s="8">
        <v>42921.484444444446</v>
      </c>
      <c r="B133" s="20" t="s">
        <v>515</v>
      </c>
      <c r="C133" s="20" t="s">
        <v>596</v>
      </c>
      <c r="D133" s="138">
        <v>400000</v>
      </c>
      <c r="E133" s="20" t="s">
        <v>698</v>
      </c>
      <c r="F133" s="20" t="s">
        <v>699</v>
      </c>
      <c r="G133" s="8" t="str">
        <f t="shared" si="2"/>
        <v>BARTELL KIM</v>
      </c>
    </row>
    <row r="134" spans="1:7" x14ac:dyDescent="0.25">
      <c r="A134" s="8">
        <v>42921.485208333332</v>
      </c>
      <c r="B134" s="20" t="s">
        <v>515</v>
      </c>
      <c r="C134" s="20" t="s">
        <v>596</v>
      </c>
      <c r="D134" s="138">
        <v>400000</v>
      </c>
      <c r="E134" s="20" t="s">
        <v>698</v>
      </c>
      <c r="F134" s="20" t="s">
        <v>699</v>
      </c>
      <c r="G134" s="8" t="str">
        <f t="shared" si="2"/>
        <v>BARTELL KIM</v>
      </c>
    </row>
    <row r="135" spans="1:7" x14ac:dyDescent="0.25">
      <c r="A135" s="8">
        <v>42921.485972222225</v>
      </c>
      <c r="B135" s="20" t="s">
        <v>435</v>
      </c>
      <c r="C135" s="20" t="s">
        <v>721</v>
      </c>
      <c r="D135" s="138">
        <v>920000</v>
      </c>
      <c r="E135" s="20" t="s">
        <v>392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42921.488321759258</v>
      </c>
      <c r="B136" s="20" t="s">
        <v>389</v>
      </c>
      <c r="C136" s="20" t="s">
        <v>572</v>
      </c>
      <c r="D136" s="138">
        <v>3180000</v>
      </c>
      <c r="E136" s="20" t="s">
        <v>517</v>
      </c>
      <c r="F136" s="20" t="s">
        <v>518</v>
      </c>
      <c r="G136" s="8" t="str">
        <f t="shared" si="2"/>
        <v>HUFFSMITH MONTY</v>
      </c>
    </row>
    <row r="137" spans="1:7" x14ac:dyDescent="0.25">
      <c r="A137" s="8">
        <v>42921.49291666667</v>
      </c>
      <c r="B137" s="20" t="s">
        <v>600</v>
      </c>
      <c r="C137" s="20" t="s">
        <v>601</v>
      </c>
      <c r="D137" s="138">
        <v>1300000</v>
      </c>
      <c r="E137" s="20" t="s">
        <v>524</v>
      </c>
      <c r="F137" s="20" t="s">
        <v>525</v>
      </c>
      <c r="G137" s="8" t="str">
        <f t="shared" si="2"/>
        <v>LEVIN SCOTT</v>
      </c>
    </row>
    <row r="138" spans="1:7" x14ac:dyDescent="0.25">
      <c r="A138" s="8">
        <v>42921.493668981479</v>
      </c>
      <c r="B138" s="20" t="s">
        <v>365</v>
      </c>
      <c r="C138" s="20" t="s">
        <v>722</v>
      </c>
      <c r="D138" s="138">
        <v>2730000</v>
      </c>
      <c r="E138" s="20" t="s">
        <v>468</v>
      </c>
      <c r="F138" s="20" t="s">
        <v>469</v>
      </c>
      <c r="G138" s="8" t="str">
        <f t="shared" si="2"/>
        <v>YANG JAN</v>
      </c>
    </row>
    <row r="139" spans="1:7" x14ac:dyDescent="0.25">
      <c r="A139" s="8">
        <v>42921.497777777775</v>
      </c>
      <c r="B139" s="20" t="s">
        <v>403</v>
      </c>
      <c r="C139" s="20" t="s">
        <v>723</v>
      </c>
      <c r="D139" s="138">
        <v>1100000</v>
      </c>
      <c r="E139" s="20" t="s">
        <v>657</v>
      </c>
      <c r="F139" s="20" t="s">
        <v>658</v>
      </c>
      <c r="G139" s="8" t="str">
        <f t="shared" si="2"/>
        <v>GEBRETEKLE DAGNEW</v>
      </c>
    </row>
    <row r="140" spans="1:7" x14ac:dyDescent="0.25">
      <c r="A140" s="8">
        <v>42921.50271990741</v>
      </c>
      <c r="B140" s="20" t="s">
        <v>405</v>
      </c>
      <c r="C140" s="20" t="s">
        <v>585</v>
      </c>
      <c r="D140" s="138">
        <v>330000</v>
      </c>
      <c r="E140" s="20" t="s">
        <v>694</v>
      </c>
      <c r="F140" s="20" t="s">
        <v>695</v>
      </c>
      <c r="G140" s="8" t="str">
        <f t="shared" si="2"/>
        <v>PELLITIER GEORGE</v>
      </c>
    </row>
    <row r="141" spans="1:7" x14ac:dyDescent="0.25">
      <c r="A141" s="8">
        <v>42921.504710648151</v>
      </c>
      <c r="B141" s="20" t="s">
        <v>575</v>
      </c>
      <c r="C141" s="20" t="s">
        <v>602</v>
      </c>
      <c r="D141" s="138">
        <v>880000</v>
      </c>
      <c r="E141" s="20" t="s">
        <v>523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42921.507627314815</v>
      </c>
      <c r="B142" s="20" t="s">
        <v>649</v>
      </c>
      <c r="C142" s="20" t="s">
        <v>724</v>
      </c>
      <c r="D142" s="138">
        <v>3220000</v>
      </c>
      <c r="E142" s="20" t="s">
        <v>725</v>
      </c>
      <c r="F142" s="20" t="s">
        <v>726</v>
      </c>
      <c r="G142" s="8" t="str">
        <f t="shared" si="2"/>
        <v>RESPASS AARON</v>
      </c>
    </row>
    <row r="143" spans="1:7" x14ac:dyDescent="0.25">
      <c r="A143" s="8">
        <v>42921.509641203702</v>
      </c>
      <c r="B143" s="20" t="s">
        <v>442</v>
      </c>
      <c r="C143" s="20" t="s">
        <v>599</v>
      </c>
      <c r="D143" s="138">
        <v>2470000</v>
      </c>
      <c r="E143" s="20" t="s">
        <v>428</v>
      </c>
      <c r="F143" s="20" t="s">
        <v>429</v>
      </c>
      <c r="G143" s="8" t="str">
        <f t="shared" si="2"/>
        <v>ROMERO CHAD</v>
      </c>
    </row>
    <row r="144" spans="1:7" x14ac:dyDescent="0.25">
      <c r="A144" s="8">
        <v>42921.515694444446</v>
      </c>
      <c r="B144" s="20" t="s">
        <v>511</v>
      </c>
      <c r="C144" s="20" t="s">
        <v>596</v>
      </c>
      <c r="D144" s="138">
        <v>400000</v>
      </c>
      <c r="E144" s="20" t="s">
        <v>698</v>
      </c>
      <c r="F144" s="20" t="s">
        <v>699</v>
      </c>
      <c r="G144" s="8" t="str">
        <f t="shared" si="2"/>
        <v>BARTELL KIM</v>
      </c>
    </row>
    <row r="145" spans="1:7" x14ac:dyDescent="0.25">
      <c r="A145" s="8">
        <v>42921.51630787037</v>
      </c>
      <c r="B145" s="20" t="s">
        <v>512</v>
      </c>
      <c r="C145" s="20" t="s">
        <v>727</v>
      </c>
      <c r="D145" s="138">
        <v>2270000</v>
      </c>
      <c r="E145" s="20" t="s">
        <v>728</v>
      </c>
      <c r="F145" s="20" t="s">
        <v>729</v>
      </c>
      <c r="G145" s="8" t="str">
        <f t="shared" si="2"/>
        <v>BROWN JACOB</v>
      </c>
    </row>
    <row r="146" spans="1:7" x14ac:dyDescent="0.25">
      <c r="A146" s="8">
        <v>42921.519537037035</v>
      </c>
      <c r="B146" s="20" t="s">
        <v>582</v>
      </c>
      <c r="C146" s="20" t="s">
        <v>727</v>
      </c>
      <c r="D146" s="138">
        <v>2270000</v>
      </c>
      <c r="E146" s="20" t="s">
        <v>728</v>
      </c>
      <c r="F146" s="20" t="s">
        <v>729</v>
      </c>
      <c r="G146" s="8" t="str">
        <f t="shared" si="2"/>
        <v>BROWN JACOB</v>
      </c>
    </row>
    <row r="147" spans="1:7" x14ac:dyDescent="0.25">
      <c r="A147" s="8">
        <v>42921.52003472222</v>
      </c>
      <c r="B147" s="20" t="s">
        <v>587</v>
      </c>
      <c r="C147" s="20" t="s">
        <v>730</v>
      </c>
      <c r="D147" s="138">
        <v>3180000</v>
      </c>
      <c r="E147" s="20" t="s">
        <v>517</v>
      </c>
      <c r="F147" s="20" t="s">
        <v>518</v>
      </c>
      <c r="G147" s="8" t="str">
        <f t="shared" si="2"/>
        <v>HUFFSMITH MONTY</v>
      </c>
    </row>
    <row r="148" spans="1:7" x14ac:dyDescent="0.25">
      <c r="A148" s="8">
        <v>42921.520543981482</v>
      </c>
      <c r="B148" s="20" t="s">
        <v>431</v>
      </c>
      <c r="C148" s="20" t="s">
        <v>731</v>
      </c>
      <c r="D148" s="138">
        <v>920000</v>
      </c>
      <c r="E148" s="20" t="s">
        <v>392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42921.525543981479</v>
      </c>
      <c r="B149" s="20" t="s">
        <v>402</v>
      </c>
      <c r="C149" s="20" t="s">
        <v>732</v>
      </c>
      <c r="D149" s="138">
        <v>1100000</v>
      </c>
      <c r="E149" s="20" t="s">
        <v>657</v>
      </c>
      <c r="F149" s="20" t="s">
        <v>658</v>
      </c>
      <c r="G149" s="8" t="str">
        <f t="shared" si="2"/>
        <v>GEBRETEKLE DAGNEW</v>
      </c>
    </row>
    <row r="150" spans="1:7" x14ac:dyDescent="0.25">
      <c r="A150" s="8">
        <v>42921.530844907407</v>
      </c>
      <c r="B150" s="20" t="s">
        <v>478</v>
      </c>
      <c r="C150" s="20" t="s">
        <v>603</v>
      </c>
      <c r="D150" s="138">
        <v>1360000</v>
      </c>
      <c r="E150" s="20" t="s">
        <v>690</v>
      </c>
      <c r="F150" s="20" t="s">
        <v>691</v>
      </c>
      <c r="G150" s="8" t="str">
        <f t="shared" si="2"/>
        <v>SANTIZO D. EDY</v>
      </c>
    </row>
    <row r="151" spans="1:7" x14ac:dyDescent="0.25">
      <c r="A151" s="8">
        <v>42921.531863425924</v>
      </c>
      <c r="B151" s="20" t="s">
        <v>371</v>
      </c>
      <c r="C151" s="20" t="s">
        <v>733</v>
      </c>
      <c r="D151" s="138">
        <v>2420000</v>
      </c>
      <c r="E151" s="20" t="s">
        <v>734</v>
      </c>
      <c r="F151" s="20" t="s">
        <v>735</v>
      </c>
      <c r="G151" s="8" t="str">
        <f t="shared" si="2"/>
        <v>HOLCOMB KAMDEN</v>
      </c>
    </row>
    <row r="152" spans="1:7" x14ac:dyDescent="0.25">
      <c r="A152" s="8">
        <v>42921.535208333335</v>
      </c>
      <c r="B152" s="20" t="s">
        <v>404</v>
      </c>
      <c r="C152" s="20" t="s">
        <v>585</v>
      </c>
      <c r="D152" s="138">
        <v>330000</v>
      </c>
      <c r="E152" s="20" t="s">
        <v>694</v>
      </c>
      <c r="F152" s="20" t="s">
        <v>695</v>
      </c>
      <c r="G152" s="8" t="str">
        <f t="shared" si="2"/>
        <v>PELLITIER GEORGE</v>
      </c>
    </row>
    <row r="153" spans="1:7" x14ac:dyDescent="0.25">
      <c r="A153" s="8">
        <v>42921.537499999999</v>
      </c>
      <c r="B153" s="20" t="s">
        <v>614</v>
      </c>
      <c r="C153" s="20" t="s">
        <v>736</v>
      </c>
      <c r="D153" s="138">
        <v>1300000</v>
      </c>
      <c r="E153" s="20" t="s">
        <v>524</v>
      </c>
      <c r="F153" s="20" t="s">
        <v>525</v>
      </c>
      <c r="G153" s="8" t="str">
        <f t="shared" si="2"/>
        <v>LEVIN SCOTT</v>
      </c>
    </row>
    <row r="154" spans="1:7" x14ac:dyDescent="0.25">
      <c r="A154" s="8">
        <v>42921.539317129631</v>
      </c>
      <c r="B154" s="20" t="s">
        <v>356</v>
      </c>
      <c r="C154" s="20" t="s">
        <v>604</v>
      </c>
      <c r="D154" s="138">
        <v>880000</v>
      </c>
      <c r="E154" s="20" t="s">
        <v>523</v>
      </c>
      <c r="F154" s="20" t="s">
        <v>192</v>
      </c>
      <c r="G154" s="8" t="str">
        <f t="shared" si="2"/>
        <v>STEWART MICHAEL</v>
      </c>
    </row>
    <row r="155" spans="1:7" x14ac:dyDescent="0.25">
      <c r="A155" s="8">
        <v>42921.542719907404</v>
      </c>
      <c r="B155" s="20" t="s">
        <v>479</v>
      </c>
      <c r="C155" s="20" t="s">
        <v>603</v>
      </c>
      <c r="D155" s="138">
        <v>1360000</v>
      </c>
      <c r="E155" s="20" t="s">
        <v>690</v>
      </c>
      <c r="F155" s="20" t="s">
        <v>691</v>
      </c>
      <c r="G155" s="8" t="str">
        <f t="shared" si="2"/>
        <v>SANTIZO D. EDY</v>
      </c>
    </row>
    <row r="156" spans="1:7" x14ac:dyDescent="0.25">
      <c r="A156" s="8">
        <v>42921.543865740743</v>
      </c>
      <c r="B156" s="20" t="s">
        <v>479</v>
      </c>
      <c r="C156" s="20" t="s">
        <v>603</v>
      </c>
      <c r="D156" s="138">
        <v>1360000</v>
      </c>
      <c r="E156" s="20" t="s">
        <v>690</v>
      </c>
      <c r="F156" s="20" t="s">
        <v>691</v>
      </c>
      <c r="G156" s="8" t="str">
        <f t="shared" si="2"/>
        <v>SANTIZO D. EDY</v>
      </c>
    </row>
    <row r="157" spans="1:7" x14ac:dyDescent="0.25">
      <c r="A157" s="8">
        <v>42921.544502314813</v>
      </c>
      <c r="B157" s="20" t="s">
        <v>605</v>
      </c>
      <c r="C157" s="20" t="s">
        <v>606</v>
      </c>
      <c r="D157" s="138">
        <v>3220000</v>
      </c>
      <c r="E157" s="20" t="s">
        <v>725</v>
      </c>
      <c r="F157" s="20" t="s">
        <v>726</v>
      </c>
      <c r="G157" s="8" t="str">
        <f t="shared" si="2"/>
        <v>RESPASS AARON</v>
      </c>
    </row>
    <row r="158" spans="1:7" x14ac:dyDescent="0.25">
      <c r="A158" s="8">
        <v>42921.545277777775</v>
      </c>
      <c r="B158" s="20" t="s">
        <v>479</v>
      </c>
      <c r="C158" s="20" t="s">
        <v>603</v>
      </c>
      <c r="D158" s="138">
        <v>1360000</v>
      </c>
      <c r="E158" s="20" t="s">
        <v>690</v>
      </c>
      <c r="F158" s="20" t="s">
        <v>691</v>
      </c>
      <c r="G158" s="8" t="str">
        <f t="shared" si="2"/>
        <v>SANTIZO D. EDY</v>
      </c>
    </row>
    <row r="159" spans="1:7" x14ac:dyDescent="0.25">
      <c r="A159" s="8">
        <v>42921.548009259262</v>
      </c>
      <c r="B159" s="20" t="s">
        <v>388</v>
      </c>
      <c r="C159" s="20" t="s">
        <v>737</v>
      </c>
      <c r="D159" s="138">
        <v>2470000</v>
      </c>
      <c r="E159" s="20" t="s">
        <v>428</v>
      </c>
      <c r="F159" s="20" t="s">
        <v>429</v>
      </c>
      <c r="G159" s="8" t="str">
        <f t="shared" si="2"/>
        <v>ROMERO CHAD</v>
      </c>
    </row>
    <row r="160" spans="1:7" x14ac:dyDescent="0.25">
      <c r="A160" s="8">
        <v>42921.550462962965</v>
      </c>
      <c r="B160" s="20" t="s">
        <v>403</v>
      </c>
      <c r="C160" s="20" t="s">
        <v>738</v>
      </c>
      <c r="D160" s="138">
        <v>1180000</v>
      </c>
      <c r="E160" s="20" t="s">
        <v>526</v>
      </c>
      <c r="F160" s="20" t="s">
        <v>527</v>
      </c>
      <c r="G160" s="8" t="str">
        <f t="shared" si="2"/>
        <v>LEVERE CRAIG</v>
      </c>
    </row>
    <row r="161" spans="1:7" x14ac:dyDescent="0.25">
      <c r="A161" s="8">
        <v>42921.554548611108</v>
      </c>
      <c r="B161" s="20" t="s">
        <v>515</v>
      </c>
      <c r="C161" s="20" t="s">
        <v>596</v>
      </c>
      <c r="D161" s="138">
        <v>400000</v>
      </c>
      <c r="E161" s="20" t="s">
        <v>698</v>
      </c>
      <c r="F161" s="20" t="s">
        <v>699</v>
      </c>
      <c r="G161" s="8" t="str">
        <f t="shared" si="2"/>
        <v>BARTELL KIM</v>
      </c>
    </row>
    <row r="162" spans="1:7" x14ac:dyDescent="0.25">
      <c r="A162" s="8">
        <v>42921.556134259263</v>
      </c>
      <c r="B162" s="20" t="s">
        <v>515</v>
      </c>
      <c r="C162" s="20" t="s">
        <v>596</v>
      </c>
      <c r="D162" s="138">
        <v>400000</v>
      </c>
      <c r="E162" s="20" t="s">
        <v>698</v>
      </c>
      <c r="F162" s="20" t="s">
        <v>699</v>
      </c>
      <c r="G162" s="8" t="str">
        <f t="shared" si="2"/>
        <v>BARTELL KIM</v>
      </c>
    </row>
    <row r="163" spans="1:7" x14ac:dyDescent="0.25">
      <c r="A163" s="8">
        <v>42921.557268518518</v>
      </c>
      <c r="B163" s="20" t="s">
        <v>515</v>
      </c>
      <c r="C163" s="20" t="s">
        <v>596</v>
      </c>
      <c r="D163" s="138">
        <v>400000</v>
      </c>
      <c r="E163" s="20" t="s">
        <v>698</v>
      </c>
      <c r="F163" s="20" t="s">
        <v>699</v>
      </c>
      <c r="G163" s="8" t="str">
        <f t="shared" si="2"/>
        <v>BARTELL KIM</v>
      </c>
    </row>
    <row r="164" spans="1:7" x14ac:dyDescent="0.25">
      <c r="A164" s="8">
        <v>42921.559224537035</v>
      </c>
      <c r="B164" s="20" t="s">
        <v>435</v>
      </c>
      <c r="C164" s="20" t="s">
        <v>739</v>
      </c>
      <c r="D164" s="138">
        <v>920000</v>
      </c>
      <c r="E164" s="20" t="s">
        <v>392</v>
      </c>
      <c r="F164" s="20" t="s">
        <v>192</v>
      </c>
      <c r="G164" s="8" t="str">
        <f t="shared" si="2"/>
        <v>DAVIS MICHAEL</v>
      </c>
    </row>
    <row r="165" spans="1:7" x14ac:dyDescent="0.25">
      <c r="A165" s="8">
        <v>42921.560243055559</v>
      </c>
      <c r="B165" s="20" t="s">
        <v>405</v>
      </c>
      <c r="C165" s="20" t="s">
        <v>585</v>
      </c>
      <c r="D165" s="138">
        <v>330000</v>
      </c>
      <c r="E165" s="20" t="s">
        <v>694</v>
      </c>
      <c r="F165" s="20" t="s">
        <v>695</v>
      </c>
      <c r="G165" s="8" t="str">
        <f t="shared" si="2"/>
        <v>PELLITIER GEORGE</v>
      </c>
    </row>
    <row r="166" spans="1:7" x14ac:dyDescent="0.25">
      <c r="A166" s="8">
        <v>42921.56181712963</v>
      </c>
      <c r="B166" s="20" t="s">
        <v>389</v>
      </c>
      <c r="C166" s="20" t="s">
        <v>740</v>
      </c>
      <c r="D166" s="138">
        <v>3180000</v>
      </c>
      <c r="E166" s="20" t="s">
        <v>517</v>
      </c>
      <c r="F166" s="20" t="s">
        <v>518</v>
      </c>
      <c r="G166" s="8" t="str">
        <f t="shared" si="2"/>
        <v>HUFFSMITH MONTY</v>
      </c>
    </row>
    <row r="167" spans="1:7" x14ac:dyDescent="0.25">
      <c r="A167" s="8">
        <v>42921.565787037034</v>
      </c>
      <c r="B167" s="20" t="s">
        <v>478</v>
      </c>
      <c r="C167" s="20" t="s">
        <v>603</v>
      </c>
      <c r="D167" s="138">
        <v>1360000</v>
      </c>
      <c r="E167" s="20" t="s">
        <v>690</v>
      </c>
      <c r="F167" s="20" t="s">
        <v>691</v>
      </c>
      <c r="G167" s="8" t="str">
        <f t="shared" si="2"/>
        <v>SANTIZO D. EDY</v>
      </c>
    </row>
    <row r="168" spans="1:7" x14ac:dyDescent="0.25">
      <c r="A168" s="8">
        <v>42921.567488425928</v>
      </c>
      <c r="B168" s="20" t="s">
        <v>365</v>
      </c>
      <c r="C168" s="20" t="s">
        <v>608</v>
      </c>
      <c r="D168" s="138">
        <v>2420000</v>
      </c>
      <c r="E168" s="20" t="s">
        <v>734</v>
      </c>
      <c r="F168" s="20" t="s">
        <v>735</v>
      </c>
      <c r="G168" s="8" t="str">
        <f t="shared" si="2"/>
        <v>HOLCOMB KAMDEN</v>
      </c>
    </row>
    <row r="169" spans="1:7" x14ac:dyDescent="0.25">
      <c r="A169" s="8">
        <v>42921.568414351852</v>
      </c>
      <c r="B169" s="20" t="s">
        <v>402</v>
      </c>
      <c r="C169" s="20" t="s">
        <v>741</v>
      </c>
      <c r="D169" s="138">
        <v>1180000</v>
      </c>
      <c r="E169" s="20" t="s">
        <v>526</v>
      </c>
      <c r="F169" s="20" t="s">
        <v>527</v>
      </c>
      <c r="G169" s="8" t="str">
        <f t="shared" si="2"/>
        <v>LEVERE CRAIG</v>
      </c>
    </row>
    <row r="170" spans="1:7" x14ac:dyDescent="0.25">
      <c r="A170" s="8">
        <v>42921.572152777779</v>
      </c>
      <c r="B170" s="20" t="s">
        <v>600</v>
      </c>
      <c r="C170" s="20" t="s">
        <v>607</v>
      </c>
      <c r="D170" s="138">
        <v>1300000</v>
      </c>
      <c r="E170" s="20" t="s">
        <v>524</v>
      </c>
      <c r="F170" s="20" t="s">
        <v>525</v>
      </c>
      <c r="G170" s="8" t="str">
        <f t="shared" si="2"/>
        <v>LEVIN SCOTT</v>
      </c>
    </row>
    <row r="171" spans="1:7" x14ac:dyDescent="0.25">
      <c r="A171" s="8">
        <v>42921.578773148147</v>
      </c>
      <c r="B171" s="20" t="s">
        <v>442</v>
      </c>
      <c r="C171" s="20" t="s">
        <v>742</v>
      </c>
      <c r="D171" s="138">
        <v>2470000</v>
      </c>
      <c r="E171" s="20" t="s">
        <v>428</v>
      </c>
      <c r="F171" s="20" t="s">
        <v>429</v>
      </c>
      <c r="G171" s="8" t="str">
        <f t="shared" si="2"/>
        <v>ROMERO CHAD</v>
      </c>
    </row>
    <row r="172" spans="1:7" x14ac:dyDescent="0.25">
      <c r="A172" s="8">
        <v>42921.579340277778</v>
      </c>
      <c r="B172" s="20" t="s">
        <v>404</v>
      </c>
      <c r="C172" s="20" t="s">
        <v>585</v>
      </c>
      <c r="D172" s="138">
        <v>330000</v>
      </c>
      <c r="E172" s="20" t="s">
        <v>694</v>
      </c>
      <c r="F172" s="20" t="s">
        <v>695</v>
      </c>
      <c r="G172" s="8" t="str">
        <f t="shared" si="2"/>
        <v>PELLITIER GEORGE</v>
      </c>
    </row>
    <row r="173" spans="1:7" x14ac:dyDescent="0.25">
      <c r="A173" s="8">
        <v>42921.579965277779</v>
      </c>
      <c r="B173" s="20" t="s">
        <v>404</v>
      </c>
      <c r="C173" s="20" t="s">
        <v>585</v>
      </c>
      <c r="D173" s="138">
        <v>330000</v>
      </c>
      <c r="E173" s="20" t="s">
        <v>694</v>
      </c>
      <c r="F173" s="20" t="s">
        <v>695</v>
      </c>
      <c r="G173" s="8" t="str">
        <f t="shared" si="2"/>
        <v>PELLITIER GEORGE</v>
      </c>
    </row>
    <row r="174" spans="1:7" x14ac:dyDescent="0.25">
      <c r="A174" s="8">
        <v>42921.581400462965</v>
      </c>
      <c r="B174" s="20" t="s">
        <v>575</v>
      </c>
      <c r="C174" s="20" t="s">
        <v>609</v>
      </c>
      <c r="D174" s="138">
        <v>880000</v>
      </c>
      <c r="E174" s="20" t="s">
        <v>523</v>
      </c>
      <c r="F174" s="20" t="s">
        <v>192</v>
      </c>
      <c r="G174" s="8" t="str">
        <f t="shared" si="2"/>
        <v>STEWART MICHAEL</v>
      </c>
    </row>
    <row r="175" spans="1:7" x14ac:dyDescent="0.25">
      <c r="A175" s="8">
        <v>42921.581493055557</v>
      </c>
      <c r="B175" s="20" t="s">
        <v>649</v>
      </c>
      <c r="C175" s="20" t="s">
        <v>743</v>
      </c>
      <c r="D175" s="138">
        <v>3220000</v>
      </c>
      <c r="E175" s="20" t="s">
        <v>725</v>
      </c>
      <c r="F175" s="20" t="s">
        <v>726</v>
      </c>
      <c r="G175" s="8" t="str">
        <f t="shared" si="2"/>
        <v>RESPASS AARON</v>
      </c>
    </row>
    <row r="176" spans="1:7" x14ac:dyDescent="0.25">
      <c r="A176" s="8">
        <v>42921.584189814814</v>
      </c>
      <c r="B176" s="20" t="s">
        <v>511</v>
      </c>
      <c r="C176" s="20" t="s">
        <v>596</v>
      </c>
      <c r="D176" s="138">
        <v>400000</v>
      </c>
      <c r="E176" s="20" t="s">
        <v>698</v>
      </c>
      <c r="F176" s="20" t="s">
        <v>699</v>
      </c>
      <c r="G176" s="8" t="str">
        <f t="shared" si="2"/>
        <v>BARTELL KIM</v>
      </c>
    </row>
    <row r="177" spans="1:7" x14ac:dyDescent="0.25">
      <c r="A177" s="8">
        <v>42921.59103009259</v>
      </c>
      <c r="B177" s="20" t="s">
        <v>403</v>
      </c>
      <c r="C177" s="20" t="s">
        <v>744</v>
      </c>
      <c r="D177" s="138">
        <v>1180000</v>
      </c>
      <c r="E177" s="20" t="s">
        <v>526</v>
      </c>
      <c r="F177" s="20" t="s">
        <v>527</v>
      </c>
      <c r="G177" s="8" t="str">
        <f t="shared" si="2"/>
        <v>LEVERE CRAIG</v>
      </c>
    </row>
    <row r="178" spans="1:7" x14ac:dyDescent="0.25">
      <c r="A178" s="8">
        <v>42921.591562499998</v>
      </c>
      <c r="B178" s="20" t="s">
        <v>479</v>
      </c>
      <c r="C178" s="20" t="s">
        <v>603</v>
      </c>
      <c r="D178" s="138">
        <v>1360000</v>
      </c>
      <c r="E178" s="20" t="s">
        <v>690</v>
      </c>
      <c r="F178" s="20" t="s">
        <v>691</v>
      </c>
      <c r="G178" s="8" t="str">
        <f t="shared" si="2"/>
        <v>SANTIZO D. EDY</v>
      </c>
    </row>
    <row r="179" spans="1:7" x14ac:dyDescent="0.25">
      <c r="A179" s="8">
        <v>42921.591643518521</v>
      </c>
      <c r="B179" s="20" t="s">
        <v>587</v>
      </c>
      <c r="C179" s="20" t="s">
        <v>745</v>
      </c>
      <c r="D179" s="138">
        <v>3180000</v>
      </c>
      <c r="E179" s="20" t="s">
        <v>517</v>
      </c>
      <c r="F179" s="20" t="s">
        <v>518</v>
      </c>
      <c r="G179" s="8" t="str">
        <f t="shared" si="2"/>
        <v>HUFFSMITH MONTY</v>
      </c>
    </row>
    <row r="180" spans="1:7" x14ac:dyDescent="0.25">
      <c r="A180" s="8">
        <v>42921.593564814815</v>
      </c>
      <c r="B180" s="20" t="s">
        <v>479</v>
      </c>
      <c r="C180" s="20" t="s">
        <v>603</v>
      </c>
      <c r="D180" s="138">
        <v>1360000</v>
      </c>
      <c r="E180" s="20" t="s">
        <v>690</v>
      </c>
      <c r="F180" s="20" t="s">
        <v>691</v>
      </c>
      <c r="G180" s="8" t="str">
        <f t="shared" si="2"/>
        <v>SANTIZO D. EDY</v>
      </c>
    </row>
    <row r="181" spans="1:7" x14ac:dyDescent="0.25">
      <c r="A181" s="8">
        <v>42921.5937037037</v>
      </c>
      <c r="B181" s="20" t="s">
        <v>431</v>
      </c>
      <c r="C181" s="20" t="s">
        <v>746</v>
      </c>
      <c r="D181" s="138">
        <v>920000</v>
      </c>
      <c r="E181" s="20" t="s">
        <v>392</v>
      </c>
      <c r="F181" s="20" t="s">
        <v>192</v>
      </c>
      <c r="G181" s="8" t="str">
        <f t="shared" si="2"/>
        <v>DAVIS MICHAEL</v>
      </c>
    </row>
    <row r="182" spans="1:7" x14ac:dyDescent="0.25">
      <c r="A182" s="8">
        <v>42921.60224537037</v>
      </c>
      <c r="B182" s="20" t="s">
        <v>371</v>
      </c>
      <c r="C182" s="20" t="s">
        <v>610</v>
      </c>
      <c r="D182" s="138">
        <v>2040000</v>
      </c>
      <c r="E182" s="20" t="s">
        <v>528</v>
      </c>
      <c r="F182" s="20" t="s">
        <v>529</v>
      </c>
      <c r="G182" s="8" t="str">
        <f t="shared" si="2"/>
        <v>MOSES BRADLEY</v>
      </c>
    </row>
    <row r="183" spans="1:7" x14ac:dyDescent="0.25">
      <c r="A183" s="8">
        <v>42921.603877314818</v>
      </c>
      <c r="B183" s="20" t="s">
        <v>405</v>
      </c>
      <c r="C183" s="20" t="s">
        <v>585</v>
      </c>
      <c r="D183" s="138">
        <v>330000</v>
      </c>
      <c r="E183" s="20" t="s">
        <v>694</v>
      </c>
      <c r="F183" s="20" t="s">
        <v>695</v>
      </c>
      <c r="G183" s="8" t="str">
        <f t="shared" si="2"/>
        <v>PELLITIER GEORGE</v>
      </c>
    </row>
    <row r="184" spans="1:7" x14ac:dyDescent="0.25">
      <c r="A184" s="8">
        <v>42921.609050925923</v>
      </c>
      <c r="B184" s="20" t="s">
        <v>614</v>
      </c>
      <c r="C184" s="20" t="s">
        <v>747</v>
      </c>
      <c r="D184" s="138">
        <v>1300000</v>
      </c>
      <c r="E184" s="20" t="s">
        <v>524</v>
      </c>
      <c r="F184" s="20" t="s">
        <v>525</v>
      </c>
      <c r="G184" s="8" t="str">
        <f t="shared" si="2"/>
        <v>LEVIN SCOTT</v>
      </c>
    </row>
    <row r="185" spans="1:7" x14ac:dyDescent="0.25">
      <c r="A185" s="8">
        <v>42921.610081018516</v>
      </c>
      <c r="B185" s="20" t="s">
        <v>402</v>
      </c>
      <c r="C185" s="20" t="s">
        <v>748</v>
      </c>
      <c r="D185" s="138">
        <v>1180000</v>
      </c>
      <c r="E185" s="20" t="s">
        <v>526</v>
      </c>
      <c r="F185" s="20" t="s">
        <v>527</v>
      </c>
      <c r="G185" s="8" t="str">
        <f t="shared" si="2"/>
        <v>LEVERE CRAIG</v>
      </c>
    </row>
    <row r="186" spans="1:7" x14ac:dyDescent="0.25">
      <c r="A186" s="8">
        <v>42921.610949074071</v>
      </c>
      <c r="B186" s="20" t="s">
        <v>515</v>
      </c>
      <c r="C186" s="20" t="s">
        <v>596</v>
      </c>
      <c r="D186" s="138">
        <v>400000</v>
      </c>
      <c r="E186" s="20" t="s">
        <v>698</v>
      </c>
      <c r="F186" s="20" t="s">
        <v>699</v>
      </c>
      <c r="G186" s="8" t="str">
        <f t="shared" si="2"/>
        <v>BARTELL KIM</v>
      </c>
    </row>
    <row r="187" spans="1:7" x14ac:dyDescent="0.25">
      <c r="A187" s="8">
        <v>42921.611585648148</v>
      </c>
      <c r="B187" s="20" t="s">
        <v>605</v>
      </c>
      <c r="C187" s="20" t="s">
        <v>749</v>
      </c>
      <c r="D187" s="138">
        <v>3220000</v>
      </c>
      <c r="E187" s="20" t="s">
        <v>725</v>
      </c>
      <c r="F187" s="20" t="s">
        <v>726</v>
      </c>
      <c r="G187" s="8" t="str">
        <f t="shared" si="2"/>
        <v>RESPASS AARON</v>
      </c>
    </row>
    <row r="188" spans="1:7" x14ac:dyDescent="0.25">
      <c r="A188" s="8">
        <v>42921.611759259256</v>
      </c>
      <c r="B188" s="20" t="s">
        <v>515</v>
      </c>
      <c r="C188" s="20" t="s">
        <v>596</v>
      </c>
      <c r="D188" s="138">
        <v>400000</v>
      </c>
      <c r="E188" s="20" t="s">
        <v>698</v>
      </c>
      <c r="F188" s="20" t="s">
        <v>699</v>
      </c>
      <c r="G188" s="8" t="str">
        <f t="shared" si="2"/>
        <v>BARTELL KIM</v>
      </c>
    </row>
    <row r="189" spans="1:7" x14ac:dyDescent="0.25">
      <c r="A189" s="8">
        <v>42921.612534722219</v>
      </c>
      <c r="B189" s="20" t="s">
        <v>356</v>
      </c>
      <c r="C189" s="20" t="s">
        <v>750</v>
      </c>
      <c r="D189" s="138">
        <v>880000</v>
      </c>
      <c r="E189" s="20" t="s">
        <v>523</v>
      </c>
      <c r="F189" s="20" t="s">
        <v>192</v>
      </c>
      <c r="G189" s="8" t="str">
        <f t="shared" si="2"/>
        <v>STEWART MICHAEL</v>
      </c>
    </row>
    <row r="190" spans="1:7" x14ac:dyDescent="0.25">
      <c r="A190" s="8">
        <v>42921.620092592595</v>
      </c>
      <c r="B190" s="20" t="s">
        <v>388</v>
      </c>
      <c r="C190" s="20" t="s">
        <v>751</v>
      </c>
      <c r="D190" s="138">
        <v>2470000</v>
      </c>
      <c r="E190" s="20" t="s">
        <v>428</v>
      </c>
      <c r="F190" s="20" t="s">
        <v>429</v>
      </c>
      <c r="G190" s="8" t="str">
        <f t="shared" si="2"/>
        <v>ROMERO CHAD</v>
      </c>
    </row>
    <row r="191" spans="1:7" x14ac:dyDescent="0.25">
      <c r="A191" s="8">
        <v>42921.631481481483</v>
      </c>
      <c r="B191" s="20" t="s">
        <v>435</v>
      </c>
      <c r="C191" s="20" t="s">
        <v>752</v>
      </c>
      <c r="D191" s="138">
        <v>920000</v>
      </c>
      <c r="E191" s="20" t="s">
        <v>392</v>
      </c>
      <c r="F191" s="20" t="s">
        <v>192</v>
      </c>
      <c r="G191" s="8" t="str">
        <f t="shared" si="2"/>
        <v>DAVIS MICHAEL</v>
      </c>
    </row>
    <row r="192" spans="1:7" x14ac:dyDescent="0.25">
      <c r="A192" s="8">
        <v>42921.633206018516</v>
      </c>
      <c r="B192" s="20" t="s">
        <v>389</v>
      </c>
      <c r="C192" s="20" t="s">
        <v>611</v>
      </c>
      <c r="D192" s="138">
        <v>1770000</v>
      </c>
      <c r="E192" s="20" t="s">
        <v>450</v>
      </c>
      <c r="F192" s="20" t="s">
        <v>451</v>
      </c>
      <c r="G192" s="8" t="str">
        <f t="shared" si="2"/>
        <v>BRUDER RICHARD</v>
      </c>
    </row>
    <row r="193" spans="1:7" x14ac:dyDescent="0.25">
      <c r="A193" s="8">
        <v>42921.63925925926</v>
      </c>
      <c r="B193" s="20" t="s">
        <v>493</v>
      </c>
      <c r="C193" s="20" t="s">
        <v>753</v>
      </c>
      <c r="D193" s="138">
        <v>2000000</v>
      </c>
      <c r="E193" s="20" t="s">
        <v>414</v>
      </c>
      <c r="F193" s="20" t="s">
        <v>189</v>
      </c>
      <c r="G193" s="8" t="str">
        <f t="shared" si="2"/>
        <v>STAMBAUGH JAMES</v>
      </c>
    </row>
    <row r="194" spans="1:7" x14ac:dyDescent="0.25">
      <c r="A194" s="8">
        <v>42921.6403587963</v>
      </c>
      <c r="B194" s="20" t="s">
        <v>365</v>
      </c>
      <c r="C194" s="20" t="s">
        <v>754</v>
      </c>
      <c r="D194" s="138">
        <v>2040000</v>
      </c>
      <c r="E194" s="20" t="s">
        <v>528</v>
      </c>
      <c r="F194" s="20" t="s">
        <v>529</v>
      </c>
      <c r="G194" s="8" t="str">
        <f t="shared" si="2"/>
        <v>MOSES BRADLEY</v>
      </c>
    </row>
    <row r="195" spans="1:7" x14ac:dyDescent="0.25">
      <c r="A195" s="8">
        <v>42921.643819444442</v>
      </c>
      <c r="B195" s="20" t="s">
        <v>600</v>
      </c>
      <c r="C195" s="20" t="s">
        <v>755</v>
      </c>
      <c r="D195" s="138">
        <v>1300000</v>
      </c>
      <c r="E195" s="20" t="s">
        <v>524</v>
      </c>
      <c r="F195" s="20" t="s">
        <v>525</v>
      </c>
      <c r="G195" s="8" t="str">
        <f t="shared" ref="G195:G258" si="3">E195&amp;" "&amp;F195</f>
        <v>LEVIN SCOTT</v>
      </c>
    </row>
    <row r="196" spans="1:7" x14ac:dyDescent="0.25">
      <c r="A196" s="8">
        <v>42921.645451388889</v>
      </c>
      <c r="B196" s="20" t="s">
        <v>403</v>
      </c>
      <c r="C196" s="20" t="s">
        <v>756</v>
      </c>
      <c r="D196" s="138">
        <v>1180000</v>
      </c>
      <c r="E196" s="20" t="s">
        <v>526</v>
      </c>
      <c r="F196" s="20" t="s">
        <v>527</v>
      </c>
      <c r="G196" s="8" t="str">
        <f t="shared" si="3"/>
        <v>LEVERE CRAIG</v>
      </c>
    </row>
    <row r="197" spans="1:7" x14ac:dyDescent="0.25">
      <c r="A197" s="8">
        <v>42921.65111111111</v>
      </c>
      <c r="B197" s="20" t="s">
        <v>575</v>
      </c>
      <c r="C197" s="20" t="s">
        <v>757</v>
      </c>
      <c r="D197" s="138">
        <v>880000</v>
      </c>
      <c r="E197" s="20" t="s">
        <v>523</v>
      </c>
      <c r="F197" s="20" t="s">
        <v>192</v>
      </c>
      <c r="G197" s="8" t="str">
        <f t="shared" si="3"/>
        <v>STEWART MICHAEL</v>
      </c>
    </row>
    <row r="198" spans="1:7" x14ac:dyDescent="0.25">
      <c r="A198" s="8">
        <v>42921.652430555558</v>
      </c>
      <c r="B198" s="20" t="s">
        <v>442</v>
      </c>
      <c r="C198" s="20" t="s">
        <v>758</v>
      </c>
      <c r="D198" s="138">
        <v>2470000</v>
      </c>
      <c r="E198" s="20" t="s">
        <v>428</v>
      </c>
      <c r="F198" s="20" t="s">
        <v>429</v>
      </c>
      <c r="G198" s="8" t="str">
        <f t="shared" si="3"/>
        <v>ROMERO CHAD</v>
      </c>
    </row>
    <row r="199" spans="1:7" x14ac:dyDescent="0.25">
      <c r="A199" s="8">
        <v>42921.653807870367</v>
      </c>
      <c r="B199" s="20" t="s">
        <v>649</v>
      </c>
      <c r="C199" s="20" t="s">
        <v>759</v>
      </c>
      <c r="D199" s="138">
        <v>3220000</v>
      </c>
      <c r="E199" s="20" t="s">
        <v>725</v>
      </c>
      <c r="F199" s="20" t="s">
        <v>726</v>
      </c>
      <c r="G199" s="8" t="str">
        <f t="shared" si="3"/>
        <v>RESPASS AARON</v>
      </c>
    </row>
    <row r="200" spans="1:7" x14ac:dyDescent="0.25">
      <c r="A200" s="8">
        <v>42921.658055555556</v>
      </c>
      <c r="B200" s="20" t="s">
        <v>402</v>
      </c>
      <c r="C200" s="20" t="s">
        <v>760</v>
      </c>
      <c r="D200" s="138">
        <v>1180000</v>
      </c>
      <c r="E200" s="20" t="s">
        <v>526</v>
      </c>
      <c r="F200" s="20" t="s">
        <v>527</v>
      </c>
      <c r="G200" s="8" t="str">
        <f t="shared" si="3"/>
        <v>LEVERE CRAIG</v>
      </c>
    </row>
    <row r="201" spans="1:7" x14ac:dyDescent="0.25">
      <c r="A201" s="8">
        <v>42921.659629629627</v>
      </c>
      <c r="B201" s="20" t="s">
        <v>494</v>
      </c>
      <c r="C201" s="20" t="s">
        <v>761</v>
      </c>
      <c r="D201" s="138">
        <v>2000000</v>
      </c>
      <c r="E201" s="20" t="s">
        <v>414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42921.665520833332</v>
      </c>
      <c r="B202" s="20" t="s">
        <v>431</v>
      </c>
      <c r="C202" s="20" t="s">
        <v>762</v>
      </c>
      <c r="D202" s="138">
        <v>920000</v>
      </c>
      <c r="E202" s="20" t="s">
        <v>392</v>
      </c>
      <c r="F202" s="20" t="s">
        <v>192</v>
      </c>
      <c r="G202" s="8" t="str">
        <f t="shared" si="3"/>
        <v>DAVIS MICHAEL</v>
      </c>
    </row>
    <row r="203" spans="1:7" x14ac:dyDescent="0.25">
      <c r="A203" s="8">
        <v>42921.672824074078</v>
      </c>
      <c r="B203" s="20" t="s">
        <v>587</v>
      </c>
      <c r="C203" s="20" t="s">
        <v>612</v>
      </c>
      <c r="D203" s="138">
        <v>1770000</v>
      </c>
      <c r="E203" s="20" t="s">
        <v>450</v>
      </c>
      <c r="F203" s="20" t="s">
        <v>451</v>
      </c>
      <c r="G203" s="8" t="str">
        <f t="shared" si="3"/>
        <v>BRUDER RICHARD</v>
      </c>
    </row>
    <row r="204" spans="1:7" x14ac:dyDescent="0.25">
      <c r="A204" s="8">
        <v>42921.673217592594</v>
      </c>
      <c r="B204" s="20" t="s">
        <v>403</v>
      </c>
      <c r="C204" s="20" t="s">
        <v>763</v>
      </c>
      <c r="D204" s="138">
        <v>1180000</v>
      </c>
      <c r="E204" s="20" t="s">
        <v>526</v>
      </c>
      <c r="F204" s="20" t="s">
        <v>527</v>
      </c>
      <c r="G204" s="8" t="str">
        <f t="shared" si="3"/>
        <v>LEVERE CRAIG</v>
      </c>
    </row>
    <row r="205" spans="1:7" x14ac:dyDescent="0.25">
      <c r="A205" s="8">
        <v>42921.673263888886</v>
      </c>
      <c r="B205" s="20" t="s">
        <v>371</v>
      </c>
      <c r="C205" s="20" t="s">
        <v>616</v>
      </c>
      <c r="D205" s="138">
        <v>2420000</v>
      </c>
      <c r="E205" s="20" t="s">
        <v>734</v>
      </c>
      <c r="F205" s="20" t="s">
        <v>735</v>
      </c>
      <c r="G205" s="8" t="str">
        <f t="shared" si="3"/>
        <v>HOLCOMB KAMDEN</v>
      </c>
    </row>
    <row r="206" spans="1:7" x14ac:dyDescent="0.25">
      <c r="A206" s="8">
        <v>42921.674224537041</v>
      </c>
      <c r="B206" s="20" t="s">
        <v>493</v>
      </c>
      <c r="C206" s="20" t="s">
        <v>613</v>
      </c>
      <c r="D206" s="138">
        <v>2000000</v>
      </c>
      <c r="E206" s="20" t="s">
        <v>414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42921.682696759257</v>
      </c>
      <c r="B207" s="20" t="s">
        <v>614</v>
      </c>
      <c r="C207" s="20" t="s">
        <v>615</v>
      </c>
      <c r="D207" s="138">
        <v>1300000</v>
      </c>
      <c r="E207" s="20" t="s">
        <v>524</v>
      </c>
      <c r="F207" s="20" t="s">
        <v>525</v>
      </c>
      <c r="G207" s="8" t="str">
        <f t="shared" si="3"/>
        <v>LEVIN SCOTT</v>
      </c>
    </row>
    <row r="208" spans="1:7" x14ac:dyDescent="0.25">
      <c r="A208" s="8">
        <v>42921.686053240737</v>
      </c>
      <c r="B208" s="20" t="s">
        <v>356</v>
      </c>
      <c r="C208" s="20" t="s">
        <v>764</v>
      </c>
      <c r="D208" s="138">
        <v>880000</v>
      </c>
      <c r="E208" s="20" t="s">
        <v>523</v>
      </c>
      <c r="F208" s="20" t="s">
        <v>192</v>
      </c>
      <c r="G208" s="8" t="str">
        <f t="shared" si="3"/>
        <v>STEWART MICHAEL</v>
      </c>
    </row>
    <row r="209" spans="1:7" x14ac:dyDescent="0.25">
      <c r="A209" s="8">
        <v>42921.690578703703</v>
      </c>
      <c r="B209" s="20" t="s">
        <v>605</v>
      </c>
      <c r="C209" s="20" t="s">
        <v>618</v>
      </c>
      <c r="D209" s="138">
        <v>3220000</v>
      </c>
      <c r="E209" s="20" t="s">
        <v>725</v>
      </c>
      <c r="F209" s="20" t="s">
        <v>726</v>
      </c>
      <c r="G209" s="8" t="str">
        <f t="shared" si="3"/>
        <v>RESPASS AARON</v>
      </c>
    </row>
    <row r="210" spans="1:7" x14ac:dyDescent="0.25">
      <c r="A210" s="8">
        <v>42921.693958333337</v>
      </c>
      <c r="B210" s="20" t="s">
        <v>402</v>
      </c>
      <c r="C210" s="20" t="s">
        <v>765</v>
      </c>
      <c r="D210" s="138">
        <v>1180000</v>
      </c>
      <c r="E210" s="20" t="s">
        <v>526</v>
      </c>
      <c r="F210" s="20" t="s">
        <v>527</v>
      </c>
      <c r="G210" s="8" t="str">
        <f t="shared" si="3"/>
        <v>LEVERE CRAIG</v>
      </c>
    </row>
    <row r="211" spans="1:7" x14ac:dyDescent="0.25">
      <c r="A211" s="8">
        <v>42921.694016203706</v>
      </c>
      <c r="B211" s="20" t="s">
        <v>388</v>
      </c>
      <c r="C211" s="20" t="s">
        <v>766</v>
      </c>
      <c r="D211" s="138">
        <v>2470000</v>
      </c>
      <c r="E211" s="20" t="s">
        <v>428</v>
      </c>
      <c r="F211" s="20" t="s">
        <v>429</v>
      </c>
      <c r="G211" s="8" t="str">
        <f t="shared" si="3"/>
        <v>ROMERO CHAD</v>
      </c>
    </row>
    <row r="212" spans="1:7" x14ac:dyDescent="0.25">
      <c r="A212" s="8">
        <v>42921.697870370372</v>
      </c>
      <c r="B212" s="20" t="s">
        <v>494</v>
      </c>
      <c r="C212" s="20" t="s">
        <v>617</v>
      </c>
      <c r="D212" s="138">
        <v>2000000</v>
      </c>
      <c r="E212" s="20" t="s">
        <v>414</v>
      </c>
      <c r="F212" s="20" t="s">
        <v>189</v>
      </c>
      <c r="G212" s="8" t="str">
        <f t="shared" si="3"/>
        <v>STAMBAUGH JAMES</v>
      </c>
    </row>
    <row r="213" spans="1:7" x14ac:dyDescent="0.25">
      <c r="A213" s="8">
        <v>42921.701064814813</v>
      </c>
      <c r="B213" s="20" t="s">
        <v>512</v>
      </c>
      <c r="C213" s="20" t="s">
        <v>767</v>
      </c>
      <c r="D213" s="138">
        <v>1780000</v>
      </c>
      <c r="E213" s="20" t="s">
        <v>530</v>
      </c>
      <c r="F213" s="20" t="s">
        <v>531</v>
      </c>
      <c r="G213" s="8" t="str">
        <f t="shared" si="3"/>
        <v>DE LA ROSA ALEX</v>
      </c>
    </row>
    <row r="214" spans="1:7" x14ac:dyDescent="0.25">
      <c r="A214" s="8">
        <v>42921.701886574076</v>
      </c>
      <c r="B214" s="20" t="s">
        <v>512</v>
      </c>
      <c r="C214" s="20" t="s">
        <v>767</v>
      </c>
      <c r="D214" s="138">
        <v>1780000</v>
      </c>
      <c r="E214" s="20" t="s">
        <v>530</v>
      </c>
      <c r="F214" s="20" t="s">
        <v>531</v>
      </c>
      <c r="G214" s="8" t="str">
        <f t="shared" si="3"/>
        <v>DE LA ROSA ALEX</v>
      </c>
    </row>
    <row r="215" spans="1:7" x14ac:dyDescent="0.25">
      <c r="A215" s="8">
        <v>42921.702789351853</v>
      </c>
      <c r="B215" s="20" t="s">
        <v>512</v>
      </c>
      <c r="C215" s="20" t="s">
        <v>767</v>
      </c>
      <c r="D215" s="138">
        <v>1780000</v>
      </c>
      <c r="E215" s="20" t="s">
        <v>530</v>
      </c>
      <c r="F215" s="20" t="s">
        <v>531</v>
      </c>
      <c r="G215" s="8" t="str">
        <f t="shared" si="3"/>
        <v>DE LA ROSA ALEX</v>
      </c>
    </row>
    <row r="216" spans="1:7" x14ac:dyDescent="0.25">
      <c r="A216" s="8">
        <v>42921.703715277778</v>
      </c>
      <c r="B216" s="20" t="s">
        <v>512</v>
      </c>
      <c r="C216" s="20" t="s">
        <v>767</v>
      </c>
      <c r="D216" s="138">
        <v>1780000</v>
      </c>
      <c r="E216" s="20" t="s">
        <v>530</v>
      </c>
      <c r="F216" s="20" t="s">
        <v>531</v>
      </c>
      <c r="G216" s="8" t="str">
        <f t="shared" si="3"/>
        <v>DE LA ROSA ALEX</v>
      </c>
    </row>
    <row r="217" spans="1:7" x14ac:dyDescent="0.25">
      <c r="A217" s="8">
        <v>42921.704467592594</v>
      </c>
      <c r="B217" s="20" t="s">
        <v>435</v>
      </c>
      <c r="C217" s="20" t="s">
        <v>768</v>
      </c>
      <c r="D217" s="138">
        <v>920000</v>
      </c>
      <c r="E217" s="20" t="s">
        <v>392</v>
      </c>
      <c r="F217" s="20" t="s">
        <v>192</v>
      </c>
      <c r="G217" s="8" t="str">
        <f t="shared" si="3"/>
        <v>DAVIS MICHAEL</v>
      </c>
    </row>
    <row r="218" spans="1:7" x14ac:dyDescent="0.25">
      <c r="A218" s="8">
        <v>42921.704467592594</v>
      </c>
      <c r="B218" s="20" t="s">
        <v>512</v>
      </c>
      <c r="C218" s="20" t="s">
        <v>767</v>
      </c>
      <c r="D218" s="138">
        <v>1780000</v>
      </c>
      <c r="E218" s="20" t="s">
        <v>530</v>
      </c>
      <c r="F218" s="20" t="s">
        <v>531</v>
      </c>
      <c r="G218" s="8" t="str">
        <f t="shared" si="3"/>
        <v>DE LA ROSA ALEX</v>
      </c>
    </row>
    <row r="219" spans="1:7" x14ac:dyDescent="0.25">
      <c r="A219" s="8">
        <v>42921.705335648148</v>
      </c>
      <c r="B219" s="20" t="s">
        <v>512</v>
      </c>
      <c r="C219" s="20" t="s">
        <v>767</v>
      </c>
      <c r="D219" s="138">
        <v>1780000</v>
      </c>
      <c r="E219" s="20" t="s">
        <v>530</v>
      </c>
      <c r="F219" s="20" t="s">
        <v>531</v>
      </c>
      <c r="G219" s="8" t="str">
        <f t="shared" si="3"/>
        <v>DE LA ROSA ALEX</v>
      </c>
    </row>
    <row r="220" spans="1:7" x14ac:dyDescent="0.25">
      <c r="A220" s="8">
        <v>42921.705520833333</v>
      </c>
      <c r="B220" s="20" t="s">
        <v>389</v>
      </c>
      <c r="C220" s="20" t="s">
        <v>769</v>
      </c>
      <c r="D220" s="138">
        <v>1770000</v>
      </c>
      <c r="E220" s="20" t="s">
        <v>450</v>
      </c>
      <c r="F220" s="20" t="s">
        <v>451</v>
      </c>
      <c r="G220" s="8" t="str">
        <f t="shared" si="3"/>
        <v>BRUDER RICHARD</v>
      </c>
    </row>
    <row r="221" spans="1:7" x14ac:dyDescent="0.25">
      <c r="A221" s="8">
        <v>42921.711215277777</v>
      </c>
      <c r="B221" s="20" t="s">
        <v>365</v>
      </c>
      <c r="C221" s="20" t="s">
        <v>770</v>
      </c>
      <c r="D221" s="138">
        <v>2420000</v>
      </c>
      <c r="E221" s="20" t="s">
        <v>734</v>
      </c>
      <c r="F221" s="20" t="s">
        <v>735</v>
      </c>
      <c r="G221" s="8" t="str">
        <f t="shared" si="3"/>
        <v>HOLCOMB KAMDEN</v>
      </c>
    </row>
    <row r="222" spans="1:7" x14ac:dyDescent="0.25">
      <c r="A222" s="8">
        <v>42921.713078703702</v>
      </c>
      <c r="B222" s="20" t="s">
        <v>493</v>
      </c>
      <c r="C222" s="20" t="s">
        <v>771</v>
      </c>
      <c r="D222" s="138">
        <v>2000000</v>
      </c>
      <c r="E222" s="20" t="s">
        <v>414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42921.71434027778</v>
      </c>
      <c r="B223" s="20" t="s">
        <v>403</v>
      </c>
      <c r="C223" s="20" t="s">
        <v>772</v>
      </c>
      <c r="D223" s="138">
        <v>1180000</v>
      </c>
      <c r="E223" s="20" t="s">
        <v>526</v>
      </c>
      <c r="F223" s="20" t="s">
        <v>527</v>
      </c>
      <c r="G223" s="8" t="str">
        <f t="shared" si="3"/>
        <v>LEVERE CRAIG</v>
      </c>
    </row>
    <row r="224" spans="1:7" x14ac:dyDescent="0.25">
      <c r="A224" s="8">
        <v>42921.716458333336</v>
      </c>
      <c r="B224" t="s">
        <v>600</v>
      </c>
      <c r="C224" t="s">
        <v>773</v>
      </c>
      <c r="D224" s="138">
        <v>1300000</v>
      </c>
      <c r="E224" t="s">
        <v>524</v>
      </c>
      <c r="F224" s="20" t="s">
        <v>525</v>
      </c>
      <c r="G224" s="8" t="str">
        <f t="shared" si="3"/>
        <v>LEVIN SCOTT</v>
      </c>
    </row>
    <row r="225" spans="1:7" x14ac:dyDescent="0.25">
      <c r="A225" s="8">
        <v>42921.725185185183</v>
      </c>
      <c r="B225" t="s">
        <v>575</v>
      </c>
      <c r="C225" t="s">
        <v>774</v>
      </c>
      <c r="D225" s="138">
        <v>880000</v>
      </c>
      <c r="E225" t="s">
        <v>523</v>
      </c>
      <c r="F225" s="20" t="s">
        <v>192</v>
      </c>
      <c r="G225" s="8" t="str">
        <f t="shared" si="3"/>
        <v>STEWART MICHAEL</v>
      </c>
    </row>
    <row r="226" spans="1:7" x14ac:dyDescent="0.25">
      <c r="A226" s="8">
        <v>42921.725601851853</v>
      </c>
      <c r="B226" t="s">
        <v>339</v>
      </c>
      <c r="C226" t="s">
        <v>775</v>
      </c>
      <c r="D226" s="138">
        <v>2140000</v>
      </c>
      <c r="E226" t="s">
        <v>390</v>
      </c>
      <c r="F226" s="20" t="s">
        <v>391</v>
      </c>
      <c r="G226" s="8" t="str">
        <f t="shared" si="3"/>
        <v>ROBINSON KADDIBA</v>
      </c>
    </row>
    <row r="227" spans="1:7" x14ac:dyDescent="0.25">
      <c r="A227" s="8">
        <v>42921.725868055553</v>
      </c>
      <c r="B227" t="s">
        <v>649</v>
      </c>
      <c r="C227" t="s">
        <v>776</v>
      </c>
      <c r="D227" s="138">
        <v>3220000</v>
      </c>
      <c r="E227" t="s">
        <v>725</v>
      </c>
      <c r="F227" s="20" t="s">
        <v>726</v>
      </c>
      <c r="G227" s="8" t="str">
        <f t="shared" si="3"/>
        <v>RESPASS AARON</v>
      </c>
    </row>
    <row r="228" spans="1:7" x14ac:dyDescent="0.25">
      <c r="A228" s="8">
        <v>42921.727418981478</v>
      </c>
      <c r="B228" t="s">
        <v>442</v>
      </c>
      <c r="C228" t="s">
        <v>619</v>
      </c>
      <c r="D228" s="138">
        <v>2470000</v>
      </c>
      <c r="E228" t="s">
        <v>428</v>
      </c>
      <c r="F228" s="20" t="s">
        <v>429</v>
      </c>
      <c r="G228" s="8" t="str">
        <f t="shared" si="3"/>
        <v>ROMERO CHAD</v>
      </c>
    </row>
    <row r="229" spans="1:7" x14ac:dyDescent="0.25">
      <c r="A229" s="8">
        <v>42921.734907407408</v>
      </c>
      <c r="B229" t="s">
        <v>405</v>
      </c>
      <c r="C229" t="s">
        <v>777</v>
      </c>
      <c r="D229" s="138">
        <v>2610000</v>
      </c>
      <c r="E229" t="s">
        <v>393</v>
      </c>
      <c r="F229" s="20" t="s">
        <v>394</v>
      </c>
      <c r="G229" s="8" t="str">
        <f t="shared" si="3"/>
        <v>MAGEE KENYA</v>
      </c>
    </row>
    <row r="230" spans="1:7" x14ac:dyDescent="0.25">
      <c r="A230" s="8">
        <v>42921.735196759262</v>
      </c>
      <c r="B230" t="s">
        <v>402</v>
      </c>
      <c r="C230" t="s">
        <v>778</v>
      </c>
      <c r="D230" s="138">
        <v>1180000</v>
      </c>
      <c r="E230" t="s">
        <v>526</v>
      </c>
      <c r="F230" s="20" t="s">
        <v>527</v>
      </c>
      <c r="G230" s="8" t="str">
        <f t="shared" si="3"/>
        <v>LEVERE CRAIG</v>
      </c>
    </row>
    <row r="231" spans="1:7" x14ac:dyDescent="0.25">
      <c r="A231" s="8">
        <v>42921.738854166666</v>
      </c>
      <c r="B231" t="s">
        <v>431</v>
      </c>
      <c r="C231" t="s">
        <v>620</v>
      </c>
      <c r="D231" s="138">
        <v>2090000</v>
      </c>
      <c r="E231" t="s">
        <v>408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42921.742731481485</v>
      </c>
      <c r="B232" t="s">
        <v>494</v>
      </c>
      <c r="C232" t="s">
        <v>779</v>
      </c>
      <c r="D232" s="138">
        <v>2000000</v>
      </c>
      <c r="E232" t="s">
        <v>414</v>
      </c>
      <c r="F232" s="20" t="s">
        <v>189</v>
      </c>
      <c r="G232" s="8" t="str">
        <f t="shared" si="3"/>
        <v>STAMBAUGH JAMES</v>
      </c>
    </row>
    <row r="233" spans="1:7" x14ac:dyDescent="0.25">
      <c r="A233" s="8">
        <v>42921.743206018517</v>
      </c>
      <c r="B233" t="s">
        <v>587</v>
      </c>
      <c r="C233" t="s">
        <v>780</v>
      </c>
      <c r="D233" s="138">
        <v>1770000</v>
      </c>
      <c r="E233" t="s">
        <v>450</v>
      </c>
      <c r="F233" s="20" t="s">
        <v>451</v>
      </c>
      <c r="G233" s="8" t="str">
        <f t="shared" si="3"/>
        <v>BRUDER RICHARD</v>
      </c>
    </row>
    <row r="234" spans="1:7" x14ac:dyDescent="0.25">
      <c r="A234" s="8">
        <v>42921.746261574073</v>
      </c>
      <c r="B234" t="s">
        <v>371</v>
      </c>
      <c r="C234" t="s">
        <v>622</v>
      </c>
      <c r="D234" s="138">
        <v>2420000</v>
      </c>
      <c r="E234" t="s">
        <v>734</v>
      </c>
      <c r="F234" s="20" t="s">
        <v>735</v>
      </c>
      <c r="G234" s="8" t="str">
        <f t="shared" si="3"/>
        <v>HOLCOMB KAMDEN</v>
      </c>
    </row>
    <row r="235" spans="1:7" x14ac:dyDescent="0.25">
      <c r="A235" s="8">
        <v>42921.754826388889</v>
      </c>
      <c r="B235" t="s">
        <v>493</v>
      </c>
      <c r="C235" t="s">
        <v>621</v>
      </c>
      <c r="D235" s="138">
        <v>2000000</v>
      </c>
      <c r="E235" t="s">
        <v>414</v>
      </c>
      <c r="F235" s="20" t="s">
        <v>189</v>
      </c>
      <c r="G235" s="8" t="str">
        <f t="shared" si="3"/>
        <v>STAMBAUGH JAMES</v>
      </c>
    </row>
    <row r="236" spans="1:7" x14ac:dyDescent="0.25">
      <c r="A236" s="8">
        <v>42921.756296296298</v>
      </c>
      <c r="B236" t="s">
        <v>614</v>
      </c>
      <c r="C236" t="s">
        <v>781</v>
      </c>
      <c r="D236" s="138">
        <v>1300000</v>
      </c>
      <c r="E236" t="s">
        <v>524</v>
      </c>
      <c r="F236" s="20" t="s">
        <v>525</v>
      </c>
      <c r="G236" s="8" t="str">
        <f t="shared" si="3"/>
        <v>LEVIN SCOTT</v>
      </c>
    </row>
    <row r="237" spans="1:7" x14ac:dyDescent="0.25">
      <c r="A237" s="8">
        <v>42921.757488425923</v>
      </c>
      <c r="B237" t="s">
        <v>605</v>
      </c>
      <c r="C237" t="s">
        <v>623</v>
      </c>
      <c r="D237" s="138">
        <v>3220000</v>
      </c>
      <c r="E237" t="s">
        <v>725</v>
      </c>
      <c r="F237" s="20" t="s">
        <v>726</v>
      </c>
      <c r="G237" s="8" t="str">
        <f t="shared" si="3"/>
        <v>RESPASS AARON</v>
      </c>
    </row>
    <row r="238" spans="1:7" x14ac:dyDescent="0.25">
      <c r="A238" s="8">
        <v>42921.759050925924</v>
      </c>
      <c r="B238" t="s">
        <v>403</v>
      </c>
      <c r="C238" t="s">
        <v>782</v>
      </c>
      <c r="D238" s="138">
        <v>1180000</v>
      </c>
      <c r="E238" t="s">
        <v>526</v>
      </c>
      <c r="F238" s="20" t="s">
        <v>527</v>
      </c>
      <c r="G238" s="8" t="str">
        <f t="shared" si="3"/>
        <v>LEVERE CRAIG</v>
      </c>
    </row>
    <row r="239" spans="1:7" x14ac:dyDescent="0.25">
      <c r="A239" s="8">
        <v>42921.759872685187</v>
      </c>
      <c r="B239" t="s">
        <v>356</v>
      </c>
      <c r="C239" t="s">
        <v>783</v>
      </c>
      <c r="D239" s="138">
        <v>2230000</v>
      </c>
      <c r="E239" t="s">
        <v>341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42921.767962962964</v>
      </c>
      <c r="B240" t="s">
        <v>388</v>
      </c>
      <c r="C240" t="s">
        <v>784</v>
      </c>
      <c r="D240" s="138">
        <v>3090000</v>
      </c>
      <c r="E240" t="s">
        <v>372</v>
      </c>
      <c r="F240" s="20" t="s">
        <v>373</v>
      </c>
      <c r="G240" s="8" t="str">
        <f t="shared" si="3"/>
        <v>LAMAR NEKESHA</v>
      </c>
    </row>
    <row r="241" spans="1:7" x14ac:dyDescent="0.25">
      <c r="A241" s="8">
        <v>42921.775601851848</v>
      </c>
      <c r="B241" t="s">
        <v>435</v>
      </c>
      <c r="C241" t="s">
        <v>625</v>
      </c>
      <c r="D241" s="138">
        <v>2090000</v>
      </c>
      <c r="E241" t="s">
        <v>408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42921.776423611111</v>
      </c>
      <c r="B242" t="s">
        <v>402</v>
      </c>
      <c r="C242" t="s">
        <v>785</v>
      </c>
      <c r="D242" s="138">
        <v>1180000</v>
      </c>
      <c r="E242" t="s">
        <v>526</v>
      </c>
      <c r="F242" s="20" t="s">
        <v>527</v>
      </c>
      <c r="G242" s="8" t="str">
        <f t="shared" si="3"/>
        <v>LEVERE CRAIG</v>
      </c>
    </row>
    <row r="243" spans="1:7" x14ac:dyDescent="0.25">
      <c r="A243" s="8">
        <v>42921.776875000003</v>
      </c>
      <c r="B243" t="s">
        <v>494</v>
      </c>
      <c r="C243" t="s">
        <v>786</v>
      </c>
      <c r="D243" s="138">
        <v>2000000</v>
      </c>
      <c r="E243" t="s">
        <v>414</v>
      </c>
      <c r="F243" s="20" t="s">
        <v>189</v>
      </c>
      <c r="G243" s="8" t="str">
        <f t="shared" si="3"/>
        <v>STAMBAUGH JAMES</v>
      </c>
    </row>
    <row r="244" spans="1:7" x14ac:dyDescent="0.25">
      <c r="A244" s="8">
        <v>42921.777812499997</v>
      </c>
      <c r="B244" t="s">
        <v>389</v>
      </c>
      <c r="C244" t="s">
        <v>787</v>
      </c>
      <c r="D244" s="138">
        <v>1770000</v>
      </c>
      <c r="E244" t="s">
        <v>450</v>
      </c>
      <c r="F244" s="20" t="s">
        <v>451</v>
      </c>
      <c r="G244" s="8" t="str">
        <f t="shared" si="3"/>
        <v>BRUDER RICHARD</v>
      </c>
    </row>
    <row r="245" spans="1:7" x14ac:dyDescent="0.25">
      <c r="A245" s="8">
        <v>42921.785590277781</v>
      </c>
      <c r="B245" t="s">
        <v>388</v>
      </c>
      <c r="C245" t="s">
        <v>784</v>
      </c>
      <c r="D245" s="138">
        <v>3090000</v>
      </c>
      <c r="E245" t="s">
        <v>372</v>
      </c>
      <c r="F245" s="20" t="s">
        <v>373</v>
      </c>
      <c r="G245" s="8" t="str">
        <f t="shared" si="3"/>
        <v>LAMAR NEKESHA</v>
      </c>
    </row>
    <row r="246" spans="1:7" x14ac:dyDescent="0.25">
      <c r="A246" s="8">
        <v>42921.78670138889</v>
      </c>
      <c r="B246" t="s">
        <v>388</v>
      </c>
      <c r="C246" t="s">
        <v>784</v>
      </c>
      <c r="D246" s="138">
        <v>3090000</v>
      </c>
      <c r="E246" t="s">
        <v>372</v>
      </c>
      <c r="F246" s="20" t="s">
        <v>373</v>
      </c>
      <c r="G246" s="8" t="str">
        <f t="shared" si="3"/>
        <v>LAMAR NEKESHA</v>
      </c>
    </row>
    <row r="247" spans="1:7" x14ac:dyDescent="0.25">
      <c r="A247" s="8">
        <v>42921.787094907406</v>
      </c>
      <c r="B247" t="s">
        <v>365</v>
      </c>
      <c r="C247" t="s">
        <v>626</v>
      </c>
      <c r="D247" s="138">
        <v>2420000</v>
      </c>
      <c r="E247" t="s">
        <v>734</v>
      </c>
      <c r="F247" s="20" t="s">
        <v>735</v>
      </c>
      <c r="G247" s="8" t="str">
        <f t="shared" si="3"/>
        <v>HOLCOMB KAMDEN</v>
      </c>
    </row>
    <row r="248" spans="1:7" x14ac:dyDescent="0.25">
      <c r="A248" s="8">
        <v>42921.788564814815</v>
      </c>
      <c r="B248" t="s">
        <v>600</v>
      </c>
      <c r="C248" t="s">
        <v>788</v>
      </c>
      <c r="D248" s="138">
        <v>3000000</v>
      </c>
      <c r="E248" t="s">
        <v>396</v>
      </c>
      <c r="F248" s="20" t="s">
        <v>397</v>
      </c>
      <c r="G248" s="8" t="str">
        <f t="shared" si="3"/>
        <v>FORTUNATO FRANK</v>
      </c>
    </row>
    <row r="249" spans="1:7" x14ac:dyDescent="0.25">
      <c r="A249" s="8">
        <v>42921.793599537035</v>
      </c>
      <c r="B249" t="s">
        <v>575</v>
      </c>
      <c r="C249" t="s">
        <v>789</v>
      </c>
      <c r="D249" s="138">
        <v>2230000</v>
      </c>
      <c r="E249" t="s">
        <v>341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42921.796261574076</v>
      </c>
      <c r="B250" t="s">
        <v>493</v>
      </c>
      <c r="C250" t="s">
        <v>624</v>
      </c>
      <c r="D250" s="138">
        <v>2000000</v>
      </c>
      <c r="E250" t="s">
        <v>414</v>
      </c>
      <c r="F250" s="20" t="s">
        <v>189</v>
      </c>
      <c r="G250" s="8" t="str">
        <f t="shared" si="3"/>
        <v>STAMBAUGH JAMES</v>
      </c>
    </row>
    <row r="251" spans="1:7" x14ac:dyDescent="0.25">
      <c r="A251" s="8">
        <v>42921.798935185187</v>
      </c>
      <c r="B251" t="s">
        <v>649</v>
      </c>
      <c r="C251" t="s">
        <v>790</v>
      </c>
      <c r="D251" s="138">
        <v>3220000</v>
      </c>
      <c r="E251" t="s">
        <v>725</v>
      </c>
      <c r="F251" s="20" t="s">
        <v>726</v>
      </c>
      <c r="G251" s="8" t="str">
        <f t="shared" si="3"/>
        <v>RESPASS AARON</v>
      </c>
    </row>
    <row r="252" spans="1:7" x14ac:dyDescent="0.25">
      <c r="A252" s="8">
        <v>42921.802291666667</v>
      </c>
      <c r="B252" t="s">
        <v>403</v>
      </c>
      <c r="C252" t="s">
        <v>791</v>
      </c>
      <c r="D252" s="138">
        <v>1180000</v>
      </c>
      <c r="E252" t="s">
        <v>526</v>
      </c>
      <c r="F252" s="20" t="s">
        <v>527</v>
      </c>
      <c r="G252" s="8" t="str">
        <f t="shared" si="3"/>
        <v>LEVERE CRAIG</v>
      </c>
    </row>
    <row r="253" spans="1:7" x14ac:dyDescent="0.25">
      <c r="A253" s="8">
        <v>42921.809004629627</v>
      </c>
      <c r="B253" t="s">
        <v>442</v>
      </c>
      <c r="C253" t="s">
        <v>627</v>
      </c>
      <c r="D253" s="138">
        <v>3090000</v>
      </c>
      <c r="E253" t="s">
        <v>372</v>
      </c>
      <c r="F253" s="20" t="s">
        <v>373</v>
      </c>
      <c r="G253" s="8" t="str">
        <f t="shared" si="3"/>
        <v>LAMAR NEKESHA</v>
      </c>
    </row>
    <row r="254" spans="1:7" x14ac:dyDescent="0.25">
      <c r="A254" s="8">
        <v>42921.809965277775</v>
      </c>
      <c r="B254" t="s">
        <v>431</v>
      </c>
      <c r="C254" t="s">
        <v>792</v>
      </c>
      <c r="D254" s="138">
        <v>2090000</v>
      </c>
      <c r="E254" t="s">
        <v>408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42921.817881944444</v>
      </c>
      <c r="B255" t="s">
        <v>402</v>
      </c>
      <c r="C255" t="s">
        <v>793</v>
      </c>
      <c r="D255" s="138">
        <v>1180000</v>
      </c>
      <c r="E255" t="s">
        <v>526</v>
      </c>
      <c r="F255" s="20" t="s">
        <v>527</v>
      </c>
      <c r="G255" s="8" t="str">
        <f t="shared" si="3"/>
        <v>LEVERE CRAIG</v>
      </c>
    </row>
    <row r="256" spans="1:7" x14ac:dyDescent="0.25">
      <c r="A256" s="8">
        <v>42921.818715277775</v>
      </c>
      <c r="B256" t="s">
        <v>371</v>
      </c>
      <c r="C256" t="s">
        <v>794</v>
      </c>
      <c r="D256" s="138">
        <v>2420000</v>
      </c>
      <c r="E256" t="s">
        <v>734</v>
      </c>
      <c r="F256" s="20" t="s">
        <v>735</v>
      </c>
      <c r="G256" s="8" t="str">
        <f t="shared" si="3"/>
        <v>HOLCOMB KAMDEN</v>
      </c>
    </row>
    <row r="257" spans="1:7" x14ac:dyDescent="0.25">
      <c r="A257" s="8">
        <v>42921.829155092593</v>
      </c>
      <c r="B257" t="s">
        <v>614</v>
      </c>
      <c r="C257" t="s">
        <v>795</v>
      </c>
      <c r="D257" s="138">
        <v>3000000</v>
      </c>
      <c r="E257" t="s">
        <v>396</v>
      </c>
      <c r="F257" s="20" t="s">
        <v>397</v>
      </c>
      <c r="G257" s="8" t="str">
        <f t="shared" si="3"/>
        <v>FORTUNATO FRANK</v>
      </c>
    </row>
    <row r="258" spans="1:7" x14ac:dyDescent="0.25">
      <c r="A258" s="8">
        <v>42921.829618055555</v>
      </c>
      <c r="B258" t="s">
        <v>356</v>
      </c>
      <c r="C258" t="s">
        <v>796</v>
      </c>
      <c r="D258" s="138">
        <v>2230000</v>
      </c>
      <c r="E258" t="s">
        <v>341</v>
      </c>
      <c r="F258" s="20" t="s">
        <v>192</v>
      </c>
      <c r="G258" s="8" t="str">
        <f t="shared" si="3"/>
        <v>SMITH MICHAEL</v>
      </c>
    </row>
    <row r="259" spans="1:7" x14ac:dyDescent="0.25">
      <c r="A259" s="8">
        <v>42921.839560185188</v>
      </c>
      <c r="B259" t="s">
        <v>403</v>
      </c>
      <c r="C259" t="s">
        <v>797</v>
      </c>
      <c r="D259" s="138">
        <v>1180000</v>
      </c>
      <c r="E259" t="s">
        <v>526</v>
      </c>
      <c r="F259" s="20" t="s">
        <v>527</v>
      </c>
      <c r="G259" s="8" t="str">
        <f t="shared" ref="G259:G322" si="4">E259&amp;" "&amp;F259</f>
        <v>LEVERE CRAIG</v>
      </c>
    </row>
    <row r="260" spans="1:7" x14ac:dyDescent="0.25">
      <c r="A260" s="8">
        <v>42921.842604166668</v>
      </c>
      <c r="B260" t="s">
        <v>435</v>
      </c>
      <c r="C260" t="s">
        <v>628</v>
      </c>
      <c r="D260" s="138">
        <v>2090000</v>
      </c>
      <c r="E260" t="s">
        <v>408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42921.848912037036</v>
      </c>
      <c r="B261" t="s">
        <v>388</v>
      </c>
      <c r="C261" t="s">
        <v>798</v>
      </c>
      <c r="D261" s="138">
        <v>3090000</v>
      </c>
      <c r="E261" t="s">
        <v>372</v>
      </c>
      <c r="F261" s="20" t="s">
        <v>373</v>
      </c>
      <c r="G261" s="8" t="str">
        <f t="shared" si="4"/>
        <v>LAMAR NEKESHA</v>
      </c>
    </row>
    <row r="262" spans="1:7" x14ac:dyDescent="0.25">
      <c r="A262" s="8">
        <v>42921.860196759262</v>
      </c>
      <c r="B262" t="s">
        <v>402</v>
      </c>
      <c r="C262" t="s">
        <v>799</v>
      </c>
      <c r="D262" s="138">
        <v>1180000</v>
      </c>
      <c r="E262" t="s">
        <v>526</v>
      </c>
      <c r="F262" s="20" t="s">
        <v>527</v>
      </c>
      <c r="G262" s="8" t="str">
        <f t="shared" si="4"/>
        <v>LEVERE CRAIG</v>
      </c>
    </row>
    <row r="263" spans="1:7" x14ac:dyDescent="0.25">
      <c r="A263" s="8">
        <v>42921.867465277777</v>
      </c>
      <c r="B263" t="s">
        <v>600</v>
      </c>
      <c r="C263" t="s">
        <v>800</v>
      </c>
      <c r="D263" s="138">
        <v>3000000</v>
      </c>
      <c r="E263" t="s">
        <v>396</v>
      </c>
      <c r="F263" s="20" t="s">
        <v>397</v>
      </c>
      <c r="G263" s="8" t="str">
        <f t="shared" si="4"/>
        <v>FORTUNATO FRANK</v>
      </c>
    </row>
    <row r="264" spans="1:7" x14ac:dyDescent="0.25">
      <c r="A264" s="8">
        <v>42921.867638888885</v>
      </c>
      <c r="B264" t="s">
        <v>575</v>
      </c>
      <c r="C264" t="s">
        <v>801</v>
      </c>
      <c r="D264" s="138">
        <v>2230000</v>
      </c>
      <c r="E264" t="s">
        <v>341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42921.873807870368</v>
      </c>
      <c r="B265" t="s">
        <v>600</v>
      </c>
      <c r="C265" t="s">
        <v>800</v>
      </c>
      <c r="D265" s="138">
        <v>3000000</v>
      </c>
      <c r="E265" t="s">
        <v>396</v>
      </c>
      <c r="F265" s="20" t="s">
        <v>397</v>
      </c>
      <c r="G265" s="8" t="str">
        <f t="shared" si="4"/>
        <v>FORTUNATO FRANK</v>
      </c>
    </row>
    <row r="266" spans="1:7" x14ac:dyDescent="0.25">
      <c r="A266" s="8">
        <v>42921.875347222223</v>
      </c>
      <c r="B266" t="s">
        <v>600</v>
      </c>
      <c r="C266" t="s">
        <v>800</v>
      </c>
      <c r="D266" s="138">
        <v>3000000</v>
      </c>
      <c r="E266" t="s">
        <v>396</v>
      </c>
      <c r="F266" s="20" t="s">
        <v>397</v>
      </c>
      <c r="G266" s="8" t="str">
        <f t="shared" si="4"/>
        <v>FORTUNATO FRANK</v>
      </c>
    </row>
    <row r="267" spans="1:7" x14ac:dyDescent="0.25">
      <c r="A267" s="8">
        <v>42921.885057870371</v>
      </c>
      <c r="B267" t="s">
        <v>431</v>
      </c>
      <c r="C267" t="s">
        <v>802</v>
      </c>
      <c r="D267" s="138">
        <v>2090000</v>
      </c>
      <c r="E267" t="s">
        <v>408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403</v>
      </c>
      <c r="C268" t="s">
        <v>803</v>
      </c>
      <c r="D268" s="138">
        <v>2000000</v>
      </c>
      <c r="E268" t="s">
        <v>414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442</v>
      </c>
      <c r="C269" t="s">
        <v>804</v>
      </c>
      <c r="D269" s="138">
        <v>3090000</v>
      </c>
      <c r="E269" t="s">
        <v>372</v>
      </c>
      <c r="F269" s="20" t="s">
        <v>373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404</v>
      </c>
      <c r="C270" t="s">
        <v>805</v>
      </c>
      <c r="D270" s="138">
        <v>2610000</v>
      </c>
      <c r="E270" t="s">
        <v>393</v>
      </c>
      <c r="F270" s="20" t="s">
        <v>394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431</v>
      </c>
      <c r="C271" t="s">
        <v>802</v>
      </c>
      <c r="D271" s="138">
        <v>2090000</v>
      </c>
      <c r="E271" t="s">
        <v>408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402</v>
      </c>
      <c r="C272" t="s">
        <v>806</v>
      </c>
      <c r="D272" s="138">
        <v>2000000</v>
      </c>
      <c r="E272" t="s">
        <v>414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405</v>
      </c>
      <c r="C273" t="s">
        <v>805</v>
      </c>
      <c r="D273" s="138">
        <v>2610000</v>
      </c>
      <c r="E273" t="s">
        <v>393</v>
      </c>
      <c r="F273" s="20" t="s">
        <v>394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614</v>
      </c>
      <c r="C274" t="s">
        <v>807</v>
      </c>
      <c r="D274" s="138">
        <v>3000000</v>
      </c>
      <c r="E274" t="s">
        <v>396</v>
      </c>
      <c r="F274" s="20" t="s">
        <v>397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404</v>
      </c>
      <c r="C275" t="s">
        <v>808</v>
      </c>
      <c r="D275" s="138">
        <v>2230000</v>
      </c>
      <c r="E275" t="s">
        <v>341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403</v>
      </c>
      <c r="C276" t="s">
        <v>809</v>
      </c>
      <c r="D276" s="138">
        <v>2000000</v>
      </c>
      <c r="E276" t="s">
        <v>414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435</v>
      </c>
      <c r="C277" t="s">
        <v>810</v>
      </c>
      <c r="D277" s="138">
        <v>2090000</v>
      </c>
      <c r="E277" t="s">
        <v>408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388</v>
      </c>
      <c r="C278" t="s">
        <v>811</v>
      </c>
      <c r="D278" s="138">
        <v>3090000</v>
      </c>
      <c r="E278" t="s">
        <v>372</v>
      </c>
      <c r="F278" s="20" t="s">
        <v>373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402</v>
      </c>
      <c r="C279" t="s">
        <v>812</v>
      </c>
      <c r="D279" s="138">
        <v>2000000</v>
      </c>
      <c r="E279" t="s">
        <v>414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600</v>
      </c>
      <c r="C280" t="s">
        <v>813</v>
      </c>
      <c r="D280" s="138">
        <v>3000000</v>
      </c>
      <c r="E280" t="s">
        <v>396</v>
      </c>
      <c r="F280" s="20" t="s">
        <v>397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405</v>
      </c>
      <c r="C281" t="s">
        <v>814</v>
      </c>
      <c r="D281" s="138">
        <v>2230000</v>
      </c>
      <c r="E281" t="s">
        <v>341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403</v>
      </c>
      <c r="C282" t="s">
        <v>812</v>
      </c>
      <c r="D282" s="138">
        <v>2000000</v>
      </c>
      <c r="E282" t="s">
        <v>414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431</v>
      </c>
      <c r="C283" t="s">
        <v>815</v>
      </c>
      <c r="D283" s="138">
        <v>2090000</v>
      </c>
      <c r="E283" t="s">
        <v>408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356</v>
      </c>
      <c r="C284" t="s">
        <v>816</v>
      </c>
      <c r="D284" s="138">
        <v>2610000</v>
      </c>
      <c r="E284" t="s">
        <v>393</v>
      </c>
      <c r="F284" s="20" t="s">
        <v>394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575</v>
      </c>
      <c r="C285" t="s">
        <v>817</v>
      </c>
      <c r="D285" s="138">
        <v>2610000</v>
      </c>
      <c r="E285" t="s">
        <v>393</v>
      </c>
      <c r="F285" s="20" t="s">
        <v>394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442</v>
      </c>
      <c r="C286" t="s">
        <v>818</v>
      </c>
      <c r="D286" s="138">
        <v>3090000</v>
      </c>
      <c r="E286" t="s">
        <v>372</v>
      </c>
      <c r="F286" s="20" t="s">
        <v>373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614</v>
      </c>
      <c r="C287" t="s">
        <v>819</v>
      </c>
      <c r="D287" s="138">
        <v>3000000</v>
      </c>
      <c r="E287" t="s">
        <v>396</v>
      </c>
      <c r="F287" s="20" t="s">
        <v>397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356</v>
      </c>
      <c r="C288" t="s">
        <v>820</v>
      </c>
      <c r="D288" s="138">
        <v>2230000</v>
      </c>
      <c r="E288" t="s">
        <v>341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435</v>
      </c>
      <c r="C289" t="s">
        <v>629</v>
      </c>
      <c r="D289" s="138">
        <v>2090000</v>
      </c>
      <c r="E289" t="s">
        <v>408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388</v>
      </c>
      <c r="C290" t="s">
        <v>821</v>
      </c>
      <c r="D290" s="138">
        <v>3090000</v>
      </c>
      <c r="E290" t="s">
        <v>372</v>
      </c>
      <c r="F290" s="20" t="s">
        <v>373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600</v>
      </c>
      <c r="C291" t="s">
        <v>822</v>
      </c>
      <c r="D291" s="138">
        <v>3000000</v>
      </c>
      <c r="E291" t="s">
        <v>396</v>
      </c>
      <c r="F291" s="20" t="s">
        <v>397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431</v>
      </c>
      <c r="C292" t="s">
        <v>823</v>
      </c>
      <c r="D292" s="138">
        <v>2090000</v>
      </c>
      <c r="E292" t="s">
        <v>408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442</v>
      </c>
      <c r="C293" t="s">
        <v>824</v>
      </c>
      <c r="D293" s="138">
        <v>3090000</v>
      </c>
      <c r="E293" t="s">
        <v>372</v>
      </c>
      <c r="F293" s="20" t="s">
        <v>373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356</v>
      </c>
      <c r="C294" t="s">
        <v>825</v>
      </c>
      <c r="D294" s="138">
        <v>2230000</v>
      </c>
      <c r="E294" t="s">
        <v>341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388</v>
      </c>
      <c r="C295" t="s">
        <v>826</v>
      </c>
      <c r="D295" s="138">
        <v>3090000</v>
      </c>
      <c r="E295" t="s">
        <v>372</v>
      </c>
      <c r="F295" s="20" t="s">
        <v>373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388</v>
      </c>
      <c r="C296" t="s">
        <v>826</v>
      </c>
      <c r="D296" s="138">
        <v>3090000</v>
      </c>
      <c r="E296" t="s">
        <v>372</v>
      </c>
      <c r="F296" s="20" t="s">
        <v>373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388</v>
      </c>
      <c r="C297" t="s">
        <v>826</v>
      </c>
      <c r="D297" s="138">
        <v>3090000</v>
      </c>
      <c r="E297" t="s">
        <v>372</v>
      </c>
      <c r="F297" s="20" t="s">
        <v>373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356</v>
      </c>
      <c r="C298" t="s">
        <v>381</v>
      </c>
      <c r="D298" s="138">
        <v>2230000</v>
      </c>
      <c r="E298" t="s">
        <v>341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365</v>
      </c>
      <c r="C299" t="s">
        <v>367</v>
      </c>
      <c r="D299" s="138">
        <v>2970000</v>
      </c>
      <c r="E299" t="s">
        <v>374</v>
      </c>
      <c r="F299" s="20" t="s">
        <v>375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366</v>
      </c>
      <c r="C300" t="s">
        <v>370</v>
      </c>
      <c r="D300" s="138">
        <v>3130000</v>
      </c>
      <c r="E300" t="s">
        <v>379</v>
      </c>
      <c r="F300" s="20" t="s">
        <v>380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365</v>
      </c>
      <c r="C301" t="s">
        <v>367</v>
      </c>
      <c r="D301" s="138">
        <v>2970000</v>
      </c>
      <c r="E301" t="s">
        <v>374</v>
      </c>
      <c r="F301" s="20" t="s">
        <v>375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362</v>
      </c>
      <c r="C302" t="s">
        <v>368</v>
      </c>
      <c r="D302" s="138">
        <v>3040000</v>
      </c>
      <c r="E302" t="s">
        <v>377</v>
      </c>
      <c r="F302" s="20" t="s">
        <v>378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362</v>
      </c>
      <c r="C303" t="s">
        <v>368</v>
      </c>
      <c r="D303" s="138">
        <v>3040000</v>
      </c>
      <c r="E303" t="s">
        <v>377</v>
      </c>
      <c r="F303" s="20" t="s">
        <v>378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340</v>
      </c>
      <c r="C304" t="s">
        <v>382</v>
      </c>
      <c r="D304" s="138">
        <v>3030000</v>
      </c>
      <c r="E304" t="s">
        <v>376</v>
      </c>
      <c r="F304" s="20" t="s">
        <v>364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371</v>
      </c>
      <c r="C305" t="s">
        <v>367</v>
      </c>
      <c r="D305" s="138">
        <v>2970000</v>
      </c>
      <c r="E305" t="s">
        <v>374</v>
      </c>
      <c r="F305" s="20" t="s">
        <v>375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365</v>
      </c>
      <c r="C306" t="s">
        <v>367</v>
      </c>
      <c r="D306" s="138">
        <v>2970000</v>
      </c>
      <c r="E306" t="s">
        <v>374</v>
      </c>
      <c r="F306" s="20" t="s">
        <v>375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363</v>
      </c>
      <c r="C307" t="s">
        <v>368</v>
      </c>
      <c r="D307" s="138">
        <v>3040000</v>
      </c>
      <c r="E307" t="s">
        <v>377</v>
      </c>
      <c r="F307" s="20" t="s">
        <v>378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369</v>
      </c>
      <c r="C308" t="s">
        <v>383</v>
      </c>
      <c r="D308" s="138">
        <v>3130000</v>
      </c>
      <c r="E308" t="s">
        <v>379</v>
      </c>
      <c r="F308" s="20" t="s">
        <v>380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362</v>
      </c>
      <c r="C309" t="s">
        <v>368</v>
      </c>
      <c r="D309" s="138">
        <v>3040000</v>
      </c>
      <c r="E309" t="s">
        <v>377</v>
      </c>
      <c r="F309" s="20" t="s">
        <v>378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371</v>
      </c>
      <c r="C310" t="s">
        <v>367</v>
      </c>
      <c r="D310" s="138">
        <v>2970000</v>
      </c>
      <c r="E310" t="s">
        <v>374</v>
      </c>
      <c r="F310" s="20" t="s">
        <v>375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365</v>
      </c>
      <c r="C311" t="s">
        <v>367</v>
      </c>
      <c r="D311" s="138">
        <v>2970000</v>
      </c>
      <c r="E311" t="s">
        <v>374</v>
      </c>
      <c r="F311" s="20" t="s">
        <v>375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415</v>
      </c>
      <c r="O1" s="171" t="s">
        <v>156</v>
      </c>
      <c r="P1" s="171" t="s">
        <v>163</v>
      </c>
      <c r="Q1" s="171" t="s">
        <v>416</v>
      </c>
      <c r="R1" s="171" t="s">
        <v>160</v>
      </c>
      <c r="S1"/>
    </row>
    <row r="2" spans="1:19" x14ac:dyDescent="0.25">
      <c r="A2" s="172">
        <v>73.430000000000007</v>
      </c>
      <c r="B2" s="172">
        <v>0.04</v>
      </c>
      <c r="C2" s="172">
        <v>40.04</v>
      </c>
      <c r="D2" s="8">
        <v>42921</v>
      </c>
      <c r="E2" s="172">
        <v>0.3</v>
      </c>
      <c r="F2" s="172" t="s">
        <v>410</v>
      </c>
      <c r="G2" s="172">
        <v>299.10000000000002</v>
      </c>
      <c r="H2" s="172">
        <v>0</v>
      </c>
      <c r="I2" s="172">
        <v>0</v>
      </c>
      <c r="J2" s="172">
        <v>1015.15</v>
      </c>
      <c r="K2" s="172" t="s">
        <v>411</v>
      </c>
      <c r="L2" s="172">
        <v>73.430000000000007</v>
      </c>
      <c r="M2" s="172">
        <v>1499234400</v>
      </c>
      <c r="N2" s="172">
        <v>0</v>
      </c>
      <c r="O2" s="172">
        <v>10</v>
      </c>
      <c r="P2" s="172">
        <v>191</v>
      </c>
      <c r="Q2" s="172">
        <v>5.27</v>
      </c>
      <c r="R2" s="172">
        <v>3.54</v>
      </c>
      <c r="S2"/>
    </row>
    <row r="3" spans="1:19" x14ac:dyDescent="0.25">
      <c r="A3" s="172">
        <v>71.78</v>
      </c>
      <c r="B3" s="172">
        <v>0.02</v>
      </c>
      <c r="C3" s="172">
        <v>39.71</v>
      </c>
      <c r="D3" s="8">
        <v>42921.041666666664</v>
      </c>
      <c r="E3" s="172">
        <v>0.31</v>
      </c>
      <c r="F3" s="172" t="s">
        <v>410</v>
      </c>
      <c r="G3" s="172">
        <v>298.99</v>
      </c>
      <c r="H3" s="172">
        <v>0</v>
      </c>
      <c r="I3" s="172">
        <v>0</v>
      </c>
      <c r="J3" s="172">
        <v>1015.41</v>
      </c>
      <c r="K3" s="172" t="s">
        <v>411</v>
      </c>
      <c r="L3" s="172">
        <v>71.78</v>
      </c>
      <c r="M3" s="172">
        <v>1499238000</v>
      </c>
      <c r="N3" s="172">
        <v>0</v>
      </c>
      <c r="O3" s="172">
        <v>10</v>
      </c>
      <c r="P3" s="172">
        <v>191</v>
      </c>
      <c r="Q3" s="172">
        <v>5.63</v>
      </c>
      <c r="R3" s="172">
        <v>4.07</v>
      </c>
      <c r="S3"/>
    </row>
    <row r="4" spans="1:19" x14ac:dyDescent="0.25">
      <c r="A4" s="172">
        <v>70.53</v>
      </c>
      <c r="B4" s="172">
        <v>0.01</v>
      </c>
      <c r="C4" s="172">
        <v>39.69</v>
      </c>
      <c r="D4" s="8">
        <v>42921.083333333336</v>
      </c>
      <c r="E4" s="172">
        <v>0.33</v>
      </c>
      <c r="F4" s="172" t="s">
        <v>410</v>
      </c>
      <c r="G4" s="172">
        <v>299.20999999999998</v>
      </c>
      <c r="H4" s="172">
        <v>0</v>
      </c>
      <c r="I4" s="172">
        <v>0</v>
      </c>
      <c r="J4" s="172">
        <v>1015.61</v>
      </c>
      <c r="K4" s="172" t="s">
        <v>411</v>
      </c>
      <c r="L4" s="172">
        <v>70.53</v>
      </c>
      <c r="M4" s="172">
        <v>1499241600</v>
      </c>
      <c r="N4" s="172">
        <v>0</v>
      </c>
      <c r="O4" s="172">
        <v>10</v>
      </c>
      <c r="P4" s="172">
        <v>195</v>
      </c>
      <c r="Q4" s="172">
        <v>5.87</v>
      </c>
      <c r="R4" s="172">
        <v>4.38</v>
      </c>
      <c r="S4"/>
    </row>
    <row r="5" spans="1:19" x14ac:dyDescent="0.25">
      <c r="A5" s="172">
        <v>69.33</v>
      </c>
      <c r="B5" s="172">
        <v>0</v>
      </c>
      <c r="C5" s="172">
        <v>38.83</v>
      </c>
      <c r="D5" s="8">
        <v>42921.125</v>
      </c>
      <c r="E5" s="172">
        <v>0.33</v>
      </c>
      <c r="F5" s="172" t="s">
        <v>410</v>
      </c>
      <c r="G5" s="172">
        <v>299.43</v>
      </c>
      <c r="H5" s="172">
        <v>0</v>
      </c>
      <c r="I5" s="172">
        <v>0</v>
      </c>
      <c r="J5" s="172">
        <v>1016.05</v>
      </c>
      <c r="K5" s="172" t="s">
        <v>411</v>
      </c>
      <c r="L5" s="172">
        <v>69.33</v>
      </c>
      <c r="M5" s="172">
        <v>1499245200</v>
      </c>
      <c r="N5" s="172">
        <v>0</v>
      </c>
      <c r="O5" s="172">
        <v>10</v>
      </c>
      <c r="P5" s="172">
        <v>200</v>
      </c>
      <c r="Q5" s="172">
        <v>5.76</v>
      </c>
      <c r="R5" s="172">
        <v>4.5999999999999996</v>
      </c>
      <c r="S5"/>
    </row>
    <row r="6" spans="1:19" x14ac:dyDescent="0.25">
      <c r="A6" s="172">
        <v>68.53</v>
      </c>
      <c r="B6" s="172">
        <v>0</v>
      </c>
      <c r="C6" s="172">
        <v>38.020000000000003</v>
      </c>
      <c r="D6" s="8">
        <v>42921.166666666664</v>
      </c>
      <c r="E6" s="172">
        <v>0.33</v>
      </c>
      <c r="F6" s="172" t="s">
        <v>410</v>
      </c>
      <c r="G6" s="172">
        <v>299.55</v>
      </c>
      <c r="H6" s="172">
        <v>0</v>
      </c>
      <c r="I6" s="172">
        <v>0</v>
      </c>
      <c r="J6" s="172">
        <v>1015.95</v>
      </c>
      <c r="K6" s="172" t="s">
        <v>411</v>
      </c>
      <c r="L6" s="172">
        <v>68.53</v>
      </c>
      <c r="M6" s="172">
        <v>1499248800</v>
      </c>
      <c r="N6" s="172">
        <v>0</v>
      </c>
      <c r="O6" s="172">
        <v>10</v>
      </c>
      <c r="P6" s="172">
        <v>213</v>
      </c>
      <c r="Q6" s="172">
        <v>5.81</v>
      </c>
      <c r="R6" s="172">
        <v>4.5599999999999996</v>
      </c>
      <c r="S6"/>
    </row>
    <row r="7" spans="1:19" x14ac:dyDescent="0.25">
      <c r="A7" s="172">
        <v>67.760000000000005</v>
      </c>
      <c r="B7" s="172">
        <v>0</v>
      </c>
      <c r="C7" s="172">
        <v>37.97</v>
      </c>
      <c r="D7" s="8">
        <v>42921.208333333336</v>
      </c>
      <c r="E7" s="172">
        <v>0.33</v>
      </c>
      <c r="F7" s="172" t="s">
        <v>410</v>
      </c>
      <c r="G7" s="172">
        <v>299.77</v>
      </c>
      <c r="H7" s="172">
        <v>0</v>
      </c>
      <c r="I7" s="172">
        <v>0</v>
      </c>
      <c r="J7" s="172">
        <v>1015.88</v>
      </c>
      <c r="K7" s="172" t="s">
        <v>411</v>
      </c>
      <c r="L7" s="172">
        <v>67.760000000000005</v>
      </c>
      <c r="M7" s="172">
        <v>1499252400</v>
      </c>
      <c r="N7" s="172">
        <v>0</v>
      </c>
      <c r="O7" s="172">
        <v>10</v>
      </c>
      <c r="P7" s="172">
        <v>216</v>
      </c>
      <c r="Q7" s="172">
        <v>6.21</v>
      </c>
      <c r="R7" s="172">
        <v>5.05</v>
      </c>
      <c r="S7"/>
    </row>
    <row r="8" spans="1:19" x14ac:dyDescent="0.25">
      <c r="A8" s="172">
        <v>68.13</v>
      </c>
      <c r="B8" s="172">
        <v>0</v>
      </c>
      <c r="C8" s="172">
        <v>38.49</v>
      </c>
      <c r="D8" s="8">
        <v>42921.25</v>
      </c>
      <c r="E8" s="172">
        <v>0.34</v>
      </c>
      <c r="F8" s="172" t="s">
        <v>412</v>
      </c>
      <c r="G8" s="172">
        <v>300.42</v>
      </c>
      <c r="H8" s="172">
        <v>0</v>
      </c>
      <c r="I8" s="172">
        <v>0</v>
      </c>
      <c r="J8" s="172">
        <v>1015.78</v>
      </c>
      <c r="K8" s="172" t="s">
        <v>411</v>
      </c>
      <c r="L8" s="172">
        <v>68.13</v>
      </c>
      <c r="M8" s="172">
        <v>1499256000</v>
      </c>
      <c r="N8" s="172">
        <v>0</v>
      </c>
      <c r="O8" s="172">
        <v>10</v>
      </c>
      <c r="P8" s="172">
        <v>214</v>
      </c>
      <c r="Q8" s="172">
        <v>6.83</v>
      </c>
      <c r="R8" s="172">
        <v>4.2</v>
      </c>
      <c r="S8"/>
    </row>
    <row r="9" spans="1:19" x14ac:dyDescent="0.25">
      <c r="A9" s="172">
        <v>72.650000000000006</v>
      </c>
      <c r="B9" s="172">
        <v>0</v>
      </c>
      <c r="C9" s="172">
        <v>38.97</v>
      </c>
      <c r="D9" s="8">
        <v>42921.291666666664</v>
      </c>
      <c r="E9" s="172">
        <v>0.28999999999999998</v>
      </c>
      <c r="F9" s="172" t="s">
        <v>412</v>
      </c>
      <c r="G9" s="172">
        <v>299.98</v>
      </c>
      <c r="H9" s="172">
        <v>0</v>
      </c>
      <c r="I9" s="172">
        <v>0</v>
      </c>
      <c r="J9" s="172">
        <v>1015.65</v>
      </c>
      <c r="K9" s="172" t="s">
        <v>411</v>
      </c>
      <c r="L9" s="172">
        <v>72.650000000000006</v>
      </c>
      <c r="M9" s="172">
        <v>1499259600</v>
      </c>
      <c r="N9" s="172">
        <v>1</v>
      </c>
      <c r="O9" s="172">
        <v>10</v>
      </c>
      <c r="P9" s="172">
        <v>174</v>
      </c>
      <c r="Q9" s="172">
        <v>5.82</v>
      </c>
      <c r="R9" s="172">
        <v>3.46</v>
      </c>
      <c r="S9"/>
    </row>
    <row r="10" spans="1:19" x14ac:dyDescent="0.25">
      <c r="A10" s="172">
        <v>79.260000000000005</v>
      </c>
      <c r="B10" s="172">
        <v>0</v>
      </c>
      <c r="C10" s="172">
        <v>39.630000000000003</v>
      </c>
      <c r="D10" s="8">
        <v>42921.333333333336</v>
      </c>
      <c r="E10" s="172">
        <v>0.24</v>
      </c>
      <c r="F10" s="172" t="s">
        <v>412</v>
      </c>
      <c r="G10" s="172">
        <v>299.43</v>
      </c>
      <c r="H10" s="172">
        <v>0</v>
      </c>
      <c r="I10" s="172">
        <v>0</v>
      </c>
      <c r="J10" s="172">
        <v>1015.48</v>
      </c>
      <c r="K10" s="172" t="s">
        <v>411</v>
      </c>
      <c r="L10" s="172">
        <v>79.260000000000005</v>
      </c>
      <c r="M10" s="172">
        <v>1499263200</v>
      </c>
      <c r="N10" s="172">
        <v>1</v>
      </c>
      <c r="O10" s="172">
        <v>10</v>
      </c>
      <c r="P10" s="172">
        <v>294</v>
      </c>
      <c r="Q10" s="172">
        <v>4.96</v>
      </c>
      <c r="R10" s="172">
        <v>2.75</v>
      </c>
      <c r="S10"/>
    </row>
    <row r="11" spans="1:19" x14ac:dyDescent="0.25">
      <c r="A11" s="172">
        <v>85.43</v>
      </c>
      <c r="B11" s="172">
        <v>0</v>
      </c>
      <c r="C11" s="172">
        <v>40.6</v>
      </c>
      <c r="D11" s="8">
        <v>42921.375</v>
      </c>
      <c r="E11" s="172">
        <v>0.21</v>
      </c>
      <c r="F11" s="172" t="s">
        <v>412</v>
      </c>
      <c r="G11" s="172">
        <v>298.67</v>
      </c>
      <c r="H11" s="172">
        <v>0</v>
      </c>
      <c r="I11" s="172">
        <v>0</v>
      </c>
      <c r="J11" s="172">
        <v>1015.29</v>
      </c>
      <c r="K11" s="172" t="s">
        <v>411</v>
      </c>
      <c r="L11" s="172">
        <v>85.43</v>
      </c>
      <c r="M11" s="172">
        <v>1499266800</v>
      </c>
      <c r="N11" s="172">
        <v>3</v>
      </c>
      <c r="O11" s="172">
        <v>10</v>
      </c>
      <c r="P11" s="172">
        <v>307</v>
      </c>
      <c r="Q11" s="172">
        <v>3.02</v>
      </c>
      <c r="R11" s="172">
        <v>2.23</v>
      </c>
      <c r="S11"/>
    </row>
    <row r="12" spans="1:19" x14ac:dyDescent="0.25">
      <c r="A12" s="172">
        <v>89.54</v>
      </c>
      <c r="B12" s="172">
        <v>0</v>
      </c>
      <c r="C12" s="172">
        <v>39.94</v>
      </c>
      <c r="D12" s="8">
        <v>42921.416666666664</v>
      </c>
      <c r="E12" s="172">
        <v>0.18</v>
      </c>
      <c r="F12" s="172" t="s">
        <v>412</v>
      </c>
      <c r="G12" s="172">
        <v>298.11</v>
      </c>
      <c r="H12" s="172">
        <v>0</v>
      </c>
      <c r="I12" s="172">
        <v>0</v>
      </c>
      <c r="J12" s="172">
        <v>1014.61</v>
      </c>
      <c r="K12" s="172" t="s">
        <v>411</v>
      </c>
      <c r="L12" s="172">
        <v>89.54</v>
      </c>
      <c r="M12" s="172">
        <v>1499270400</v>
      </c>
      <c r="N12" s="172">
        <v>5</v>
      </c>
      <c r="O12" s="172">
        <v>10</v>
      </c>
      <c r="P12" s="172">
        <v>0</v>
      </c>
      <c r="Q12" s="172">
        <v>2.76</v>
      </c>
      <c r="R12" s="172">
        <v>1.92</v>
      </c>
      <c r="S12"/>
    </row>
    <row r="13" spans="1:19" x14ac:dyDescent="0.25">
      <c r="A13" s="172">
        <v>92.19</v>
      </c>
      <c r="B13" s="172">
        <v>0</v>
      </c>
      <c r="C13" s="172">
        <v>38.29</v>
      </c>
      <c r="D13" s="8">
        <v>42921.458333333336</v>
      </c>
      <c r="E13" s="172">
        <v>0.15</v>
      </c>
      <c r="F13" s="172" t="s">
        <v>412</v>
      </c>
      <c r="G13" s="172">
        <v>297.33999999999997</v>
      </c>
      <c r="H13" s="172">
        <v>0</v>
      </c>
      <c r="I13" s="172">
        <v>0</v>
      </c>
      <c r="J13" s="172">
        <v>1013.92</v>
      </c>
      <c r="K13" s="172" t="s">
        <v>411</v>
      </c>
      <c r="L13" s="172">
        <v>92.19</v>
      </c>
      <c r="M13" s="172">
        <v>1499274000</v>
      </c>
      <c r="N13" s="172">
        <v>8</v>
      </c>
      <c r="O13" s="172">
        <v>10</v>
      </c>
      <c r="P13" s="172">
        <v>76</v>
      </c>
      <c r="Q13" s="172">
        <v>3.15</v>
      </c>
      <c r="R13" s="172">
        <v>2.89</v>
      </c>
      <c r="S13"/>
    </row>
    <row r="14" spans="1:19" x14ac:dyDescent="0.25">
      <c r="A14" s="172">
        <v>95.79</v>
      </c>
      <c r="B14" s="172">
        <v>0</v>
      </c>
      <c r="C14" s="172">
        <v>37.03</v>
      </c>
      <c r="D14" s="8">
        <v>42921.5</v>
      </c>
      <c r="E14" s="172">
        <v>0.13</v>
      </c>
      <c r="F14" s="172" t="s">
        <v>412</v>
      </c>
      <c r="G14" s="172">
        <v>295.68</v>
      </c>
      <c r="H14" s="172">
        <v>0</v>
      </c>
      <c r="I14" s="172">
        <v>0</v>
      </c>
      <c r="J14" s="172">
        <v>1013.14</v>
      </c>
      <c r="K14" s="172" t="s">
        <v>411</v>
      </c>
      <c r="L14" s="172">
        <v>95.79</v>
      </c>
      <c r="M14" s="172">
        <v>1499277600</v>
      </c>
      <c r="N14" s="172">
        <v>12</v>
      </c>
      <c r="O14" s="172">
        <v>10</v>
      </c>
      <c r="P14" s="172">
        <v>85</v>
      </c>
      <c r="Q14" s="172">
        <v>7.68</v>
      </c>
      <c r="R14" s="172">
        <v>4.09</v>
      </c>
      <c r="S14"/>
    </row>
    <row r="15" spans="1:19" x14ac:dyDescent="0.25">
      <c r="A15" s="172">
        <v>98.52</v>
      </c>
      <c r="B15" s="172">
        <v>0</v>
      </c>
      <c r="C15" s="172">
        <v>35.06</v>
      </c>
      <c r="D15" s="8">
        <v>42921.541666666664</v>
      </c>
      <c r="E15" s="172">
        <v>0.11</v>
      </c>
      <c r="F15" s="172" t="s">
        <v>412</v>
      </c>
      <c r="G15" s="172">
        <v>295.35000000000002</v>
      </c>
      <c r="H15" s="172">
        <v>0</v>
      </c>
      <c r="I15" s="172">
        <v>0</v>
      </c>
      <c r="J15" s="172">
        <v>1012.62</v>
      </c>
      <c r="K15" s="172" t="s">
        <v>411</v>
      </c>
      <c r="L15" s="172">
        <v>98.52</v>
      </c>
      <c r="M15" s="172">
        <v>1499281200</v>
      </c>
      <c r="N15" s="172">
        <v>13</v>
      </c>
      <c r="O15" s="172">
        <v>10</v>
      </c>
      <c r="P15" s="172">
        <v>66</v>
      </c>
      <c r="Q15" s="172">
        <v>8.16</v>
      </c>
      <c r="R15" s="172">
        <v>4.93</v>
      </c>
      <c r="S15"/>
    </row>
    <row r="16" spans="1:19" x14ac:dyDescent="0.25">
      <c r="A16" s="172">
        <v>101.4</v>
      </c>
      <c r="B16" s="172">
        <v>0</v>
      </c>
      <c r="C16" s="172">
        <v>33.96</v>
      </c>
      <c r="D16" s="8">
        <v>42921.583333333336</v>
      </c>
      <c r="E16" s="172">
        <v>0.1</v>
      </c>
      <c r="F16" s="172" t="s">
        <v>412</v>
      </c>
      <c r="G16" s="172">
        <v>295.33999999999997</v>
      </c>
      <c r="H16" s="172">
        <v>0</v>
      </c>
      <c r="I16" s="172">
        <v>0</v>
      </c>
      <c r="J16" s="172">
        <v>1012.29</v>
      </c>
      <c r="K16" s="172" t="s">
        <v>411</v>
      </c>
      <c r="L16" s="172">
        <v>101.4</v>
      </c>
      <c r="M16" s="172">
        <v>1499284800</v>
      </c>
      <c r="N16" s="172">
        <v>12</v>
      </c>
      <c r="O16" s="172">
        <v>10</v>
      </c>
      <c r="P16" s="172">
        <v>51</v>
      </c>
      <c r="Q16" s="172">
        <v>9.26</v>
      </c>
      <c r="R16" s="172">
        <v>5.9</v>
      </c>
      <c r="S16"/>
    </row>
    <row r="17" spans="1:19" x14ac:dyDescent="0.25">
      <c r="A17" s="172">
        <v>103.25</v>
      </c>
      <c r="B17" s="172">
        <v>0.01</v>
      </c>
      <c r="C17" s="172">
        <v>32.729999999999997</v>
      </c>
      <c r="D17" s="8">
        <v>42921.625</v>
      </c>
      <c r="E17" s="172">
        <v>0.09</v>
      </c>
      <c r="F17" s="172" t="s">
        <v>412</v>
      </c>
      <c r="G17" s="172">
        <v>295.12</v>
      </c>
      <c r="H17" s="172">
        <v>0</v>
      </c>
      <c r="I17" s="172">
        <v>0</v>
      </c>
      <c r="J17" s="172">
        <v>1011.98</v>
      </c>
      <c r="K17" s="172" t="s">
        <v>411</v>
      </c>
      <c r="L17" s="172">
        <v>103.25</v>
      </c>
      <c r="M17" s="172">
        <v>1499288400</v>
      </c>
      <c r="N17" s="172">
        <v>9</v>
      </c>
      <c r="O17" s="172">
        <v>10</v>
      </c>
      <c r="P17" s="172">
        <v>37</v>
      </c>
      <c r="Q17" s="172">
        <v>9.56</v>
      </c>
      <c r="R17" s="172">
        <v>6.4</v>
      </c>
      <c r="S17"/>
    </row>
    <row r="18" spans="1:19" x14ac:dyDescent="0.25">
      <c r="A18" s="172">
        <v>104.3</v>
      </c>
      <c r="B18" s="172">
        <v>0.06</v>
      </c>
      <c r="C18" s="172">
        <v>32.32</v>
      </c>
      <c r="D18" s="8">
        <v>42921.666666666664</v>
      </c>
      <c r="E18" s="172">
        <v>0.08</v>
      </c>
      <c r="F18" s="172" t="s">
        <v>412</v>
      </c>
      <c r="G18" s="172">
        <v>294.45</v>
      </c>
      <c r="H18" s="172">
        <v>0</v>
      </c>
      <c r="I18" s="172">
        <v>0</v>
      </c>
      <c r="J18" s="172">
        <v>1011.57</v>
      </c>
      <c r="K18" s="172" t="s">
        <v>411</v>
      </c>
      <c r="L18" s="172">
        <v>104.3</v>
      </c>
      <c r="M18" s="172">
        <v>1499292000</v>
      </c>
      <c r="N18" s="172">
        <v>5</v>
      </c>
      <c r="O18" s="172">
        <v>10</v>
      </c>
      <c r="P18" s="172">
        <v>55</v>
      </c>
      <c r="Q18" s="172">
        <v>8.7100000000000009</v>
      </c>
      <c r="R18" s="172">
        <v>5.96</v>
      </c>
      <c r="S18"/>
    </row>
    <row r="19" spans="1:19" x14ac:dyDescent="0.25">
      <c r="A19" s="172">
        <v>103.5</v>
      </c>
      <c r="B19" s="172">
        <v>0.11</v>
      </c>
      <c r="C19" s="172">
        <v>32.1</v>
      </c>
      <c r="D19" s="8">
        <v>42921.708333333336</v>
      </c>
      <c r="E19" s="172">
        <v>0.08</v>
      </c>
      <c r="F19" s="172" t="s">
        <v>412</v>
      </c>
      <c r="G19" s="172">
        <v>293.77999999999997</v>
      </c>
      <c r="H19" s="172">
        <v>0</v>
      </c>
      <c r="I19" s="172">
        <v>0</v>
      </c>
      <c r="J19" s="172">
        <v>1010.95</v>
      </c>
      <c r="K19" s="172" t="s">
        <v>411</v>
      </c>
      <c r="L19" s="172">
        <v>103.5</v>
      </c>
      <c r="M19" s="172">
        <v>1499295600</v>
      </c>
      <c r="N19" s="172">
        <v>3</v>
      </c>
      <c r="O19" s="172">
        <v>10</v>
      </c>
      <c r="P19" s="172">
        <v>74</v>
      </c>
      <c r="Q19" s="172">
        <v>7.52</v>
      </c>
      <c r="R19" s="172">
        <v>5.82</v>
      </c>
      <c r="S19"/>
    </row>
    <row r="20" spans="1:19" x14ac:dyDescent="0.25">
      <c r="A20" s="172">
        <v>102.65</v>
      </c>
      <c r="B20" s="172">
        <v>0.03</v>
      </c>
      <c r="C20" s="172">
        <v>33.450000000000003</v>
      </c>
      <c r="D20" s="8">
        <v>42921.75</v>
      </c>
      <c r="E20" s="172">
        <v>0.09</v>
      </c>
      <c r="F20" s="172" t="s">
        <v>412</v>
      </c>
      <c r="G20" s="172">
        <v>290.95999999999998</v>
      </c>
      <c r="H20" s="172">
        <v>0</v>
      </c>
      <c r="I20" s="172">
        <v>0</v>
      </c>
      <c r="J20" s="172">
        <v>1011.08</v>
      </c>
      <c r="K20" s="172" t="s">
        <v>411</v>
      </c>
      <c r="L20" s="172">
        <v>102.65</v>
      </c>
      <c r="M20" s="172">
        <v>1499299200</v>
      </c>
      <c r="N20" s="172">
        <v>1</v>
      </c>
      <c r="O20" s="172">
        <v>10</v>
      </c>
      <c r="P20" s="172">
        <v>29</v>
      </c>
      <c r="Q20" s="172">
        <v>7.58</v>
      </c>
      <c r="R20" s="172">
        <v>5.73</v>
      </c>
      <c r="S20"/>
    </row>
    <row r="21" spans="1:19" x14ac:dyDescent="0.25">
      <c r="A21" s="172">
        <v>98.83</v>
      </c>
      <c r="B21" s="172">
        <v>0.15</v>
      </c>
      <c r="C21" s="172">
        <v>35.130000000000003</v>
      </c>
      <c r="D21" s="8">
        <v>42921.791666666664</v>
      </c>
      <c r="E21" s="172">
        <v>0.11</v>
      </c>
      <c r="F21" s="172" t="s">
        <v>412</v>
      </c>
      <c r="G21" s="172">
        <v>290.39</v>
      </c>
      <c r="H21" s="172">
        <v>0</v>
      </c>
      <c r="I21" s="172">
        <v>0</v>
      </c>
      <c r="J21" s="172">
        <v>1011.57</v>
      </c>
      <c r="K21" s="172" t="s">
        <v>411</v>
      </c>
      <c r="L21" s="172">
        <v>98.83</v>
      </c>
      <c r="M21" s="172">
        <v>1499302800</v>
      </c>
      <c r="N21" s="172">
        <v>1</v>
      </c>
      <c r="O21" s="172">
        <v>10</v>
      </c>
      <c r="P21" s="172">
        <v>40</v>
      </c>
      <c r="Q21" s="172">
        <v>7.53</v>
      </c>
      <c r="R21" s="172">
        <v>5.25</v>
      </c>
      <c r="S21"/>
    </row>
    <row r="22" spans="1:19" x14ac:dyDescent="0.25">
      <c r="A22" s="172">
        <v>94.1</v>
      </c>
      <c r="B22" s="172">
        <v>0.27</v>
      </c>
      <c r="C22" s="172">
        <v>37.03</v>
      </c>
      <c r="D22" s="8">
        <v>42921.833333333336</v>
      </c>
      <c r="E22" s="172">
        <v>0.14000000000000001</v>
      </c>
      <c r="F22" s="172" t="s">
        <v>426</v>
      </c>
      <c r="G22" s="172">
        <v>290.05</v>
      </c>
      <c r="H22" s="172">
        <v>0</v>
      </c>
      <c r="I22" s="172">
        <v>0</v>
      </c>
      <c r="J22" s="172">
        <v>1012.28</v>
      </c>
      <c r="K22" s="172" t="s">
        <v>427</v>
      </c>
      <c r="L22" s="172">
        <v>94.1</v>
      </c>
      <c r="M22" s="172">
        <v>1499306400</v>
      </c>
      <c r="N22" s="172">
        <v>0</v>
      </c>
      <c r="O22" s="172">
        <v>10</v>
      </c>
      <c r="P22" s="172">
        <v>51</v>
      </c>
      <c r="Q22" s="172">
        <v>5.65</v>
      </c>
      <c r="R22" s="172">
        <v>4.41</v>
      </c>
      <c r="S22"/>
    </row>
    <row r="23" spans="1:19" x14ac:dyDescent="0.25">
      <c r="A23" s="172">
        <v>89.3</v>
      </c>
      <c r="B23" s="172">
        <v>0.37</v>
      </c>
      <c r="C23" s="172">
        <v>38.11</v>
      </c>
      <c r="D23" s="8">
        <v>42921.875</v>
      </c>
      <c r="E23" s="172">
        <v>0.17</v>
      </c>
      <c r="F23" s="172" t="s">
        <v>827</v>
      </c>
      <c r="G23" s="172">
        <v>289.7</v>
      </c>
      <c r="H23" s="172">
        <v>0</v>
      </c>
      <c r="I23" s="172">
        <v>0</v>
      </c>
      <c r="J23" s="172">
        <v>1013.46</v>
      </c>
      <c r="K23" s="172" t="s">
        <v>427</v>
      </c>
      <c r="L23" s="172">
        <v>89.3</v>
      </c>
      <c r="M23" s="172">
        <v>1499310000</v>
      </c>
      <c r="N23" s="172">
        <v>0</v>
      </c>
      <c r="O23" s="172">
        <v>10</v>
      </c>
      <c r="P23" s="172">
        <v>314</v>
      </c>
      <c r="Q23" s="172">
        <v>4.84</v>
      </c>
      <c r="R23" s="172">
        <v>3.38</v>
      </c>
      <c r="S23"/>
    </row>
    <row r="24" spans="1:19" x14ac:dyDescent="0.25">
      <c r="A24" s="172">
        <v>85.83</v>
      </c>
      <c r="B24" s="172">
        <v>0.28999999999999998</v>
      </c>
      <c r="C24" s="172">
        <v>39.03</v>
      </c>
      <c r="D24" s="8">
        <v>42921.916666666664</v>
      </c>
      <c r="E24" s="172">
        <v>0.19</v>
      </c>
      <c r="F24" s="172" t="s">
        <v>827</v>
      </c>
      <c r="G24" s="172">
        <v>289.02</v>
      </c>
      <c r="H24" s="172">
        <v>0</v>
      </c>
      <c r="I24" s="172">
        <v>0</v>
      </c>
      <c r="J24" s="172">
        <v>1014.01</v>
      </c>
      <c r="K24" s="172" t="s">
        <v>427</v>
      </c>
      <c r="L24" s="172">
        <v>85.83</v>
      </c>
      <c r="M24" s="172">
        <v>1499313600</v>
      </c>
      <c r="N24" s="172">
        <v>0</v>
      </c>
      <c r="O24" s="172">
        <v>10</v>
      </c>
      <c r="P24" s="172">
        <v>46</v>
      </c>
      <c r="Q24" s="172">
        <v>4.76</v>
      </c>
      <c r="R24" s="172">
        <v>3.55</v>
      </c>
      <c r="S24"/>
    </row>
    <row r="25" spans="1:19" x14ac:dyDescent="0.25">
      <c r="A25" s="172">
        <v>83.3</v>
      </c>
      <c r="B25" s="172">
        <v>0.17</v>
      </c>
      <c r="C25" s="172">
        <v>39.56</v>
      </c>
      <c r="D25" s="8">
        <v>42921.958333333336</v>
      </c>
      <c r="E25" s="172">
        <v>0.21</v>
      </c>
      <c r="F25" s="172" t="s">
        <v>410</v>
      </c>
      <c r="G25" s="172">
        <v>288.11</v>
      </c>
      <c r="H25" s="172">
        <v>0</v>
      </c>
      <c r="I25" s="172">
        <v>0</v>
      </c>
      <c r="J25" s="172">
        <v>1014.29</v>
      </c>
      <c r="K25" s="172" t="s">
        <v>828</v>
      </c>
      <c r="L25" s="172">
        <v>83.3</v>
      </c>
      <c r="M25" s="172">
        <v>1499317200</v>
      </c>
      <c r="N25" s="172">
        <v>0</v>
      </c>
      <c r="O25" s="172">
        <v>10</v>
      </c>
      <c r="P25" s="172">
        <v>180</v>
      </c>
      <c r="Q25" s="172">
        <v>7.26</v>
      </c>
      <c r="R25" s="172">
        <v>4.63</v>
      </c>
      <c r="S25"/>
    </row>
    <row r="26" spans="1:19" x14ac:dyDescent="0.25">
      <c r="A26" s="172">
        <v>82.06</v>
      </c>
      <c r="B26" s="172">
        <v>0.31</v>
      </c>
      <c r="C26" s="172">
        <v>38.69</v>
      </c>
      <c r="D26" s="8">
        <v>42922</v>
      </c>
      <c r="E26" s="172">
        <v>0.21</v>
      </c>
      <c r="F26" s="172" t="s">
        <v>827</v>
      </c>
      <c r="G26" s="172">
        <v>287.42</v>
      </c>
      <c r="H26" s="172">
        <v>0</v>
      </c>
      <c r="I26" s="172">
        <v>0</v>
      </c>
      <c r="J26" s="172">
        <v>1014.63</v>
      </c>
      <c r="K26" s="172" t="s">
        <v>829</v>
      </c>
      <c r="L26" s="172">
        <v>82.06</v>
      </c>
      <c r="M26" s="172">
        <v>1499320800</v>
      </c>
      <c r="N26" s="172">
        <v>0</v>
      </c>
      <c r="O26" s="172">
        <v>10</v>
      </c>
      <c r="P26" s="172">
        <v>191</v>
      </c>
      <c r="Q26" s="172">
        <v>6.02</v>
      </c>
      <c r="R26" s="172">
        <v>5.23</v>
      </c>
      <c r="S26"/>
    </row>
    <row r="27" spans="1:19" x14ac:dyDescent="0.25">
      <c r="A27" s="172">
        <v>80.12</v>
      </c>
      <c r="B27" s="172">
        <v>0.31</v>
      </c>
      <c r="C27" s="172">
        <v>39.549999999999997</v>
      </c>
      <c r="D27" s="8">
        <v>42922.041666666664</v>
      </c>
      <c r="E27" s="172">
        <v>0.24</v>
      </c>
      <c r="F27" s="172" t="s">
        <v>827</v>
      </c>
      <c r="G27" s="172">
        <v>286.95999999999998</v>
      </c>
      <c r="H27" s="172">
        <v>0</v>
      </c>
      <c r="I27" s="172">
        <v>0</v>
      </c>
      <c r="J27" s="172">
        <v>1014.7</v>
      </c>
      <c r="K27" s="172" t="s">
        <v>829</v>
      </c>
      <c r="L27" s="172">
        <v>80.12</v>
      </c>
      <c r="M27" s="172">
        <v>1499324400</v>
      </c>
      <c r="N27" s="172">
        <v>0</v>
      </c>
      <c r="O27" s="172">
        <v>10</v>
      </c>
      <c r="P27" s="172">
        <v>194</v>
      </c>
      <c r="Q27" s="172">
        <v>8.31</v>
      </c>
      <c r="R27" s="172">
        <v>5.81</v>
      </c>
      <c r="S27"/>
    </row>
    <row r="28" spans="1:19" x14ac:dyDescent="0.25">
      <c r="A28" s="172">
        <v>78.569999999999993</v>
      </c>
      <c r="B28" s="172">
        <v>0.38</v>
      </c>
      <c r="C28" s="172">
        <v>39.89</v>
      </c>
      <c r="D28" s="8">
        <v>42922.083333333336</v>
      </c>
      <c r="E28" s="172">
        <v>0.25</v>
      </c>
      <c r="F28" s="172" t="s">
        <v>827</v>
      </c>
      <c r="G28" s="172">
        <v>286.73</v>
      </c>
      <c r="H28" s="172">
        <v>0</v>
      </c>
      <c r="I28" s="172">
        <v>0</v>
      </c>
      <c r="J28" s="172">
        <v>1015.02</v>
      </c>
      <c r="K28" s="172" t="s">
        <v>829</v>
      </c>
      <c r="L28" s="172">
        <v>78.569999999999993</v>
      </c>
      <c r="M28" s="172">
        <v>1499328000</v>
      </c>
      <c r="N28" s="172">
        <v>0</v>
      </c>
      <c r="O28" s="172">
        <v>10</v>
      </c>
      <c r="P28" s="172">
        <v>200</v>
      </c>
      <c r="Q28" s="172">
        <v>8.01</v>
      </c>
      <c r="R28" s="172">
        <v>5.53</v>
      </c>
      <c r="S28"/>
    </row>
    <row r="29" spans="1:19" x14ac:dyDescent="0.25">
      <c r="A29" s="172">
        <v>77.62</v>
      </c>
      <c r="B29" s="172">
        <v>0.41</v>
      </c>
      <c r="C29" s="172">
        <v>40.08</v>
      </c>
      <c r="D29" s="8">
        <v>42922.125</v>
      </c>
      <c r="E29" s="172">
        <v>0.26</v>
      </c>
      <c r="F29" s="172" t="s">
        <v>827</v>
      </c>
      <c r="G29" s="172">
        <v>286.5</v>
      </c>
      <c r="H29" s="172">
        <v>0</v>
      </c>
      <c r="I29" s="172">
        <v>0</v>
      </c>
      <c r="J29" s="172">
        <v>1015.24</v>
      </c>
      <c r="K29" s="172" t="s">
        <v>829</v>
      </c>
      <c r="L29" s="172">
        <v>77.62</v>
      </c>
      <c r="M29" s="172">
        <v>1499331600</v>
      </c>
      <c r="N29" s="172">
        <v>0</v>
      </c>
      <c r="O29" s="172">
        <v>10</v>
      </c>
      <c r="P29" s="172">
        <v>221</v>
      </c>
      <c r="Q29" s="172">
        <v>8.4</v>
      </c>
      <c r="R29" s="172">
        <v>5.46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42921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419</v>
      </c>
      <c r="AE2" s="56" t="s">
        <v>422</v>
      </c>
      <c r="AF2" s="56" t="s">
        <v>423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420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421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424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1024</v>
      </c>
      <c r="J20" s="140" t="s">
        <v>87</v>
      </c>
      <c r="M20" s="154" t="s">
        <v>359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1025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1029</v>
      </c>
      <c r="J25" s="140" t="s">
        <v>146</v>
      </c>
      <c r="M25" s="154" t="b">
        <v>1</v>
      </c>
    </row>
    <row r="26" spans="3:24" x14ac:dyDescent="0.25">
      <c r="C26" t="s">
        <v>1030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C:\Users\stu\Documents\GitHub\eaglep3-reporting\EC\2017-07-05-refined-times.txt</v>
      </c>
    </row>
    <row r="27" spans="3:24" x14ac:dyDescent="0.25">
      <c r="C27" t="s">
        <v>1031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C:\Users\stu\Documents\GitHub\eaglep3-reporting\EC\2017-07-05-Enforcements.txt</v>
      </c>
    </row>
    <row r="28" spans="3:24" x14ac:dyDescent="0.25">
      <c r="C28" t="s">
        <v>1032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C:\Users\stu\Documents\GitHub\eaglep3-reporting\EC\2017-07-05-Runs-refined.txt</v>
      </c>
    </row>
    <row r="29" spans="3:24" x14ac:dyDescent="0.25">
      <c r="C29" t="s">
        <v>1033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C:\Users\stu\Documents\GitHub\eaglep3-reporting\EC\2017-07-05-Trips.txt</v>
      </c>
    </row>
    <row r="30" spans="3:24" x14ac:dyDescent="0.25">
      <c r="C30" t="s">
        <v>1034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C:\Users\stu\Documents\GitHub\eaglep3-reporting\EC\2017-07-05-Weather.txt</v>
      </c>
    </row>
    <row r="31" spans="3:24" x14ac:dyDescent="0.25">
      <c r="C31" t="s">
        <v>1035</v>
      </c>
      <c r="J31" s="140" t="s">
        <v>196</v>
      </c>
      <c r="M31" s="154" t="s">
        <v>197</v>
      </c>
    </row>
    <row r="32" spans="3:24" x14ac:dyDescent="0.25">
      <c r="C32" t="s">
        <v>1036</v>
      </c>
    </row>
    <row r="33" spans="3:3" x14ac:dyDescent="0.25">
      <c r="C33" t="s">
        <v>1037</v>
      </c>
    </row>
    <row r="34" spans="3:3" x14ac:dyDescent="0.25">
      <c r="C34" t="s">
        <v>1038</v>
      </c>
    </row>
    <row r="35" spans="3:3" x14ac:dyDescent="0.25">
      <c r="C35" t="s">
        <v>1039</v>
      </c>
    </row>
    <row r="36" spans="3:3" x14ac:dyDescent="0.25">
      <c r="C36" t="s">
        <v>1040</v>
      </c>
    </row>
    <row r="37" spans="3:3" x14ac:dyDescent="0.25">
      <c r="C37" t="s">
        <v>1041</v>
      </c>
    </row>
    <row r="38" spans="3:3" x14ac:dyDescent="0.25">
      <c r="C38" t="s">
        <v>1042</v>
      </c>
    </row>
    <row r="39" spans="3:3" x14ac:dyDescent="0.25">
      <c r="C39" t="s">
        <v>1043</v>
      </c>
    </row>
    <row r="40" spans="3:3" x14ac:dyDescent="0.25">
      <c r="C40" t="s">
        <v>1044</v>
      </c>
    </row>
    <row r="41" spans="3:3" x14ac:dyDescent="0.25">
      <c r="C41" t="s">
        <v>1045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344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345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2017-07-06T15:40:44Z</dcterms:modified>
</cp:coreProperties>
</file>