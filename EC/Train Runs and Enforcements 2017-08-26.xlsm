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2" i="1" l="1"/>
  <c r="P159" i="1" l="1"/>
  <c r="X157" i="1"/>
  <c r="Y157" i="1"/>
  <c r="X158" i="1"/>
  <c r="Y158" i="1"/>
  <c r="X159" i="1"/>
  <c r="Y159" i="1"/>
  <c r="X160" i="1"/>
  <c r="Y160" i="1"/>
  <c r="X161" i="1"/>
  <c r="Y161" i="1"/>
  <c r="X162" i="1"/>
  <c r="Y162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T41" i="1"/>
  <c r="V41" i="1"/>
  <c r="X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/>
  <c r="V66" i="1"/>
  <c r="X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T74" i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8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5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X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61" i="1"/>
  <c r="L161" i="1"/>
  <c r="M161" i="1"/>
  <c r="N161" i="1" s="1"/>
  <c r="T161" i="1"/>
  <c r="V161" i="1"/>
  <c r="Z161" i="1"/>
  <c r="AB161" i="1"/>
  <c r="AC161" i="1"/>
  <c r="AD161" i="1"/>
  <c r="AE161" i="1"/>
  <c r="AF161" i="1"/>
  <c r="AH93" i="1"/>
  <c r="AM93" i="1"/>
  <c r="AN93" i="1"/>
  <c r="K162" i="1"/>
  <c r="L162" i="1"/>
  <c r="M162" i="1"/>
  <c r="N162" i="1" s="1"/>
  <c r="V162" i="1"/>
  <c r="Z162" i="1"/>
  <c r="AB162" i="1"/>
  <c r="AC162" i="1"/>
  <c r="AD162" i="1"/>
  <c r="T162" i="1" s="1"/>
  <c r="AE162" i="1"/>
  <c r="AF162" i="1"/>
  <c r="AH94" i="1"/>
  <c r="AM94" i="1"/>
  <c r="AN9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AM96" i="1"/>
  <c r="AN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8" i="1"/>
  <c r="AM98" i="1"/>
  <c r="AN98" i="1"/>
  <c r="K167" i="1"/>
  <c r="L167" i="1"/>
  <c r="M167" i="1"/>
  <c r="N167" i="1"/>
  <c r="V167" i="1"/>
  <c r="X167" i="1"/>
  <c r="Y167" i="1"/>
  <c r="Z167" i="1"/>
  <c r="AB167" i="1"/>
  <c r="AC167" i="1"/>
  <c r="AD167" i="1"/>
  <c r="T167" i="1" s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103" i="1"/>
  <c r="AM103" i="1"/>
  <c r="AN103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4" i="1"/>
  <c r="AM104" i="1"/>
  <c r="AN104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05" i="1"/>
  <c r="AM105" i="1"/>
  <c r="AN105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6" i="1"/>
  <c r="AM106" i="1"/>
  <c r="AN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8" i="1"/>
  <c r="AM108" i="1"/>
  <c r="AN108" i="1"/>
  <c r="K176" i="1"/>
  <c r="L176" i="1"/>
  <c r="M176" i="1"/>
  <c r="N176" i="1" s="1"/>
  <c r="T176" i="1"/>
  <c r="V176" i="1"/>
  <c r="Y176" i="1"/>
  <c r="Z176" i="1"/>
  <c r="AB176" i="1"/>
  <c r="AC176" i="1"/>
  <c r="AD176" i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3" i="1"/>
  <c r="AM113" i="1"/>
  <c r="AN113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5" i="1"/>
  <c r="AM115" i="1"/>
  <c r="AN115" i="1"/>
  <c r="K182" i="1"/>
  <c r="L182" i="1"/>
  <c r="M182" i="1"/>
  <c r="N182" i="1" s="1"/>
  <c r="V182" i="1"/>
  <c r="Y182" i="1"/>
  <c r="Z182" i="1"/>
  <c r="AB182" i="1"/>
  <c r="AC182" i="1"/>
  <c r="AD182" i="1"/>
  <c r="X183" i="1" s="1"/>
  <c r="AE182" i="1"/>
  <c r="AF182" i="1"/>
  <c r="AH116" i="1"/>
  <c r="AM116" i="1"/>
  <c r="AN116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X191" i="1" s="1"/>
  <c r="AE190" i="1"/>
  <c r="AF190" i="1"/>
  <c r="AH124" i="1"/>
  <c r="AM124" i="1"/>
  <c r="AN12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125" i="1"/>
  <c r="AM125" i="1"/>
  <c r="AN125" i="1"/>
  <c r="K191" i="1"/>
  <c r="L191" i="1"/>
  <c r="M191" i="1"/>
  <c r="N191" i="1" s="1"/>
  <c r="T191" i="1"/>
  <c r="V191" i="1"/>
  <c r="Y191" i="1"/>
  <c r="Z191" i="1"/>
  <c r="AB191" i="1"/>
  <c r="AC191" i="1"/>
  <c r="AD191" i="1"/>
  <c r="AE191" i="1"/>
  <c r="AF191" i="1"/>
  <c r="AH126" i="1"/>
  <c r="AM126" i="1"/>
  <c r="AN126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27" i="1"/>
  <c r="AM127" i="1"/>
  <c r="AN127" i="1"/>
  <c r="K193" i="1"/>
  <c r="L193" i="1"/>
  <c r="M193" i="1"/>
  <c r="N193" i="1"/>
  <c r="V193" i="1"/>
  <c r="Y193" i="1"/>
  <c r="Z193" i="1"/>
  <c r="AB193" i="1"/>
  <c r="AC193" i="1"/>
  <c r="AD193" i="1"/>
  <c r="AE193" i="1"/>
  <c r="AF193" i="1"/>
  <c r="AH128" i="1"/>
  <c r="AM128" i="1"/>
  <c r="AN128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7" i="1"/>
  <c r="AM147" i="1"/>
  <c r="AN147" i="1"/>
  <c r="K113" i="1"/>
  <c r="L113" i="1"/>
  <c r="M113" i="1"/>
  <c r="N113" i="1"/>
  <c r="V113" i="1"/>
  <c r="Y113" i="1"/>
  <c r="Z113" i="1"/>
  <c r="AA113" i="1" s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55" i="1"/>
  <c r="AM155" i="1"/>
  <c r="AN155" i="1"/>
  <c r="K121" i="1"/>
  <c r="L121" i="1"/>
  <c r="M121" i="1"/>
  <c r="N121" i="1" s="1"/>
  <c r="T121" i="1"/>
  <c r="V121" i="1"/>
  <c r="Y121" i="1"/>
  <c r="AA121" i="1" s="1"/>
  <c r="Z121" i="1"/>
  <c r="AB121" i="1"/>
  <c r="AC121" i="1"/>
  <c r="AD121" i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P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R12" i="3" s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5" i="1"/>
  <c r="AM165" i="1"/>
  <c r="AN165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R13" i="3" s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T147" i="1"/>
  <c r="V147" i="1"/>
  <c r="X147" i="1"/>
  <c r="Y147" i="1"/>
  <c r="Z147" i="1"/>
  <c r="AA147" i="1" s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X155" i="1"/>
  <c r="Y155" i="1"/>
  <c r="Z155" i="1"/>
  <c r="AB155" i="1"/>
  <c r="AC155" i="1"/>
  <c r="AD155" i="1"/>
  <c r="T155" i="1" s="1"/>
  <c r="AE155" i="1"/>
  <c r="AF155" i="1"/>
  <c r="AH189" i="1"/>
  <c r="AM189" i="1"/>
  <c r="AN189" i="1"/>
  <c r="K156" i="1"/>
  <c r="L156" i="1"/>
  <c r="M156" i="1"/>
  <c r="N156" i="1" s="1"/>
  <c r="V156" i="1"/>
  <c r="S18" i="3" s="1"/>
  <c r="Y156" i="1"/>
  <c r="Z156" i="1"/>
  <c r="AB156" i="1"/>
  <c r="AC156" i="1"/>
  <c r="AD156" i="1"/>
  <c r="T156" i="1" s="1"/>
  <c r="AE156" i="1"/>
  <c r="R19" i="3" s="1"/>
  <c r="AF156" i="1"/>
  <c r="AH190" i="1"/>
  <c r="AM190" i="1"/>
  <c r="AN190" i="1"/>
  <c r="K157" i="1"/>
  <c r="L157" i="1"/>
  <c r="M157" i="1"/>
  <c r="N157" i="1"/>
  <c r="V157" i="1"/>
  <c r="S22" i="3" s="1"/>
  <c r="Z157" i="1"/>
  <c r="AB157" i="1"/>
  <c r="AC157" i="1"/>
  <c r="AD157" i="1"/>
  <c r="AE157" i="1"/>
  <c r="AF157" i="1"/>
  <c r="AH191" i="1"/>
  <c r="AM191" i="1"/>
  <c r="AN191" i="1"/>
  <c r="K158" i="1"/>
  <c r="L158" i="1"/>
  <c r="M158" i="1"/>
  <c r="N158" i="1" s="1"/>
  <c r="V158" i="1"/>
  <c r="Z158" i="1"/>
  <c r="AB158" i="1"/>
  <c r="AC158" i="1"/>
  <c r="AD158" i="1"/>
  <c r="T158" i="1" s="1"/>
  <c r="AE158" i="1"/>
  <c r="AF158" i="1"/>
  <c r="AH192" i="1"/>
  <c r="AM192" i="1"/>
  <c r="AN192" i="1"/>
  <c r="AH193" i="1"/>
  <c r="AM193" i="1"/>
  <c r="AN193" i="1"/>
  <c r="K159" i="1"/>
  <c r="L159" i="1"/>
  <c r="M159" i="1"/>
  <c r="V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V160" i="1"/>
  <c r="Z160" i="1"/>
  <c r="AB160" i="1"/>
  <c r="AC160" i="1"/>
  <c r="AD160" i="1"/>
  <c r="AE160" i="1"/>
  <c r="AF160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X196" i="1"/>
  <c r="Y196" i="1"/>
  <c r="Z196" i="1"/>
  <c r="AB196" i="1"/>
  <c r="AC196" i="1"/>
  <c r="AD196" i="1"/>
  <c r="T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V212" i="1"/>
  <c r="S31" i="3" s="1"/>
  <c r="Y212" i="1"/>
  <c r="Z212" i="1"/>
  <c r="AA212" i="1" s="1"/>
  <c r="AB212" i="1"/>
  <c r="AC212" i="1"/>
  <c r="AD212" i="1"/>
  <c r="T212" i="1" s="1"/>
  <c r="AE212" i="1"/>
  <c r="R31" i="3" s="1"/>
  <c r="AF212" i="1"/>
  <c r="AH212" i="1"/>
  <c r="AM212" i="1"/>
  <c r="AN212" i="1"/>
  <c r="K213" i="1"/>
  <c r="L213" i="1"/>
  <c r="M213" i="1"/>
  <c r="N213" i="1" s="1"/>
  <c r="T213" i="1"/>
  <c r="V213" i="1"/>
  <c r="Y213" i="1"/>
  <c r="Z213" i="1"/>
  <c r="AA213" i="1" s="1"/>
  <c r="AB213" i="1"/>
  <c r="AC213" i="1"/>
  <c r="AD213" i="1"/>
  <c r="X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T216" i="1"/>
  <c r="V216" i="1"/>
  <c r="S33" i="3" s="1"/>
  <c r="Y216" i="1"/>
  <c r="Z216" i="1"/>
  <c r="AB216" i="1"/>
  <c r="AC216" i="1"/>
  <c r="AD216" i="1"/>
  <c r="X216" i="1" s="1"/>
  <c r="AE216" i="1"/>
  <c r="R32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218" i="1"/>
  <c r="AM218" i="1"/>
  <c r="AN218" i="1"/>
  <c r="K219" i="1"/>
  <c r="L219" i="1"/>
  <c r="M219" i="1"/>
  <c r="N219" i="1"/>
  <c r="V219" i="1"/>
  <c r="S29" i="3" s="1"/>
  <c r="Y219" i="1"/>
  <c r="Z219" i="1"/>
  <c r="AB219" i="1"/>
  <c r="AC219" i="1"/>
  <c r="AD219" i="1"/>
  <c r="AE219" i="1"/>
  <c r="AF219" i="1"/>
  <c r="AH219" i="1"/>
  <c r="AM219" i="1"/>
  <c r="AN219" i="1"/>
  <c r="M17" i="3"/>
  <c r="R17" i="3"/>
  <c r="S17" i="3"/>
  <c r="U17" i="3"/>
  <c r="T17" i="3" s="1"/>
  <c r="V17" i="3"/>
  <c r="X17" i="3"/>
  <c r="M9" i="3"/>
  <c r="R9" i="3"/>
  <c r="S9" i="3"/>
  <c r="U9" i="3"/>
  <c r="AD9" i="3" s="1"/>
  <c r="V9" i="3"/>
  <c r="X9" i="3"/>
  <c r="M14" i="3"/>
  <c r="R14" i="3"/>
  <c r="S14" i="3"/>
  <c r="U14" i="3"/>
  <c r="AC14" i="3" s="1"/>
  <c r="V14" i="3"/>
  <c r="X14" i="3"/>
  <c r="M27" i="3"/>
  <c r="R27" i="3"/>
  <c r="S27" i="3"/>
  <c r="U27" i="3"/>
  <c r="AC27" i="3" s="1"/>
  <c r="V27" i="3"/>
  <c r="X27" i="3"/>
  <c r="M28" i="3"/>
  <c r="R28" i="3"/>
  <c r="S28" i="3"/>
  <c r="U28" i="3"/>
  <c r="T28" i="3" s="1"/>
  <c r="V28" i="3"/>
  <c r="X28" i="3"/>
  <c r="AC28" i="3"/>
  <c r="M10" i="3"/>
  <c r="R10" i="3"/>
  <c r="S10" i="3"/>
  <c r="U10" i="3"/>
  <c r="V10" i="3"/>
  <c r="X10" i="3"/>
  <c r="M8" i="3"/>
  <c r="R8" i="3"/>
  <c r="U8" i="3"/>
  <c r="AC8" i="3" s="1"/>
  <c r="V8" i="3"/>
  <c r="X8" i="3"/>
  <c r="M15" i="3"/>
  <c r="S15" i="3"/>
  <c r="U15" i="3"/>
  <c r="AC15" i="3" s="1"/>
  <c r="V15" i="3"/>
  <c r="X15" i="3"/>
  <c r="M26" i="3"/>
  <c r="R26" i="3"/>
  <c r="S26" i="3"/>
  <c r="U26" i="3"/>
  <c r="T26" i="3" s="1"/>
  <c r="V26" i="3"/>
  <c r="X26" i="3"/>
  <c r="M7" i="3"/>
  <c r="R7" i="3"/>
  <c r="S7" i="3"/>
  <c r="U7" i="3"/>
  <c r="AD17" i="3" s="1"/>
  <c r="V7" i="3"/>
  <c r="X7" i="3"/>
  <c r="M20" i="3"/>
  <c r="R20" i="3"/>
  <c r="S20" i="3"/>
  <c r="U20" i="3"/>
  <c r="AC20" i="3" s="1"/>
  <c r="V20" i="3"/>
  <c r="X20" i="3"/>
  <c r="M29" i="3"/>
  <c r="R29" i="3"/>
  <c r="U29" i="3"/>
  <c r="AC29" i="3" s="1"/>
  <c r="V29" i="3"/>
  <c r="X29" i="3"/>
  <c r="M16" i="3"/>
  <c r="R16" i="3"/>
  <c r="S16" i="3"/>
  <c r="U16" i="3"/>
  <c r="T16" i="3" s="1"/>
  <c r="V16" i="3"/>
  <c r="AE20" i="3" s="1"/>
  <c r="X16" i="3"/>
  <c r="M23" i="3"/>
  <c r="R23" i="3"/>
  <c r="S23" i="3"/>
  <c r="U23" i="3"/>
  <c r="V23" i="3"/>
  <c r="X23" i="3"/>
  <c r="M11" i="3"/>
  <c r="R11" i="3"/>
  <c r="S11" i="3"/>
  <c r="U11" i="3"/>
  <c r="AC11" i="3" s="1"/>
  <c r="V11" i="3"/>
  <c r="X11" i="3"/>
  <c r="M25" i="3"/>
  <c r="R25" i="3"/>
  <c r="S25" i="3"/>
  <c r="U25" i="3"/>
  <c r="AC25" i="3" s="1"/>
  <c r="V25" i="3"/>
  <c r="X25" i="3"/>
  <c r="M32" i="3"/>
  <c r="S32" i="3"/>
  <c r="T32" i="3"/>
  <c r="U32" i="3"/>
  <c r="V32" i="3"/>
  <c r="X32" i="3"/>
  <c r="AC32" i="3"/>
  <c r="M33" i="3"/>
  <c r="U33" i="3"/>
  <c r="V33" i="3"/>
  <c r="X33" i="3"/>
  <c r="M34" i="3"/>
  <c r="S34" i="3"/>
  <c r="U34" i="3"/>
  <c r="AC34" i="3" s="1"/>
  <c r="V34" i="3"/>
  <c r="X34" i="3"/>
  <c r="M35" i="3"/>
  <c r="S35" i="3"/>
  <c r="U35" i="3"/>
  <c r="AC35" i="3" s="1"/>
  <c r="V35" i="3"/>
  <c r="X35" i="3"/>
  <c r="M36" i="3"/>
  <c r="U36" i="3"/>
  <c r="T36" i="3" s="1"/>
  <c r="V36" i="3"/>
  <c r="X36" i="3"/>
  <c r="AD28" i="3"/>
  <c r="M12" i="3"/>
  <c r="S12" i="3"/>
  <c r="U12" i="3"/>
  <c r="AD29" i="3" s="1"/>
  <c r="V12" i="3"/>
  <c r="X12" i="3"/>
  <c r="M13" i="3"/>
  <c r="S13" i="3"/>
  <c r="U13" i="3"/>
  <c r="AC13" i="3" s="1"/>
  <c r="V13" i="3"/>
  <c r="X13" i="3"/>
  <c r="M30" i="3"/>
  <c r="R30" i="3"/>
  <c r="U30" i="3"/>
  <c r="AC30" i="3" s="1"/>
  <c r="V30" i="3"/>
  <c r="X30" i="3"/>
  <c r="M31" i="3"/>
  <c r="U31" i="3"/>
  <c r="T31" i="3" s="1"/>
  <c r="V31" i="3"/>
  <c r="AE32" i="3" s="1"/>
  <c r="X31" i="3"/>
  <c r="AD32" i="3"/>
  <c r="M18" i="3"/>
  <c r="U18" i="3"/>
  <c r="AD33" i="3" s="1"/>
  <c r="V18" i="3"/>
  <c r="X18" i="3"/>
  <c r="M19" i="3"/>
  <c r="S19" i="3"/>
  <c r="U19" i="3"/>
  <c r="AC19" i="3" s="1"/>
  <c r="V19" i="3"/>
  <c r="X19" i="3"/>
  <c r="M22" i="3"/>
  <c r="R22" i="3"/>
  <c r="U22" i="3"/>
  <c r="AC22" i="3" s="1"/>
  <c r="V22" i="3"/>
  <c r="X22" i="3"/>
  <c r="AE35" i="3"/>
  <c r="M21" i="3"/>
  <c r="R21" i="3"/>
  <c r="S21" i="3"/>
  <c r="U21" i="3"/>
  <c r="T21" i="3" s="1"/>
  <c r="V21" i="3"/>
  <c r="X21" i="3"/>
  <c r="AG28" i="1"/>
  <c r="AG44" i="1"/>
  <c r="AG23" i="1"/>
  <c r="AG18" i="1"/>
  <c r="AG41" i="1"/>
  <c r="AG25" i="1"/>
  <c r="AG39" i="1"/>
  <c r="AG50" i="1"/>
  <c r="AG62" i="1"/>
  <c r="AG60" i="1"/>
  <c r="AG83" i="1"/>
  <c r="AG45" i="1"/>
  <c r="AG71" i="1"/>
  <c r="AG86" i="1"/>
  <c r="AG53" i="1"/>
  <c r="AG73" i="1"/>
  <c r="AG89" i="1"/>
  <c r="AG172" i="1"/>
  <c r="AG187" i="1"/>
  <c r="AG162" i="1"/>
  <c r="AG178" i="1"/>
  <c r="AG90" i="1"/>
  <c r="AG174" i="1"/>
  <c r="AG190" i="1"/>
  <c r="AG65" i="1"/>
  <c r="AG170" i="1"/>
  <c r="AG185" i="1"/>
  <c r="AG102" i="1"/>
  <c r="AG117" i="1"/>
  <c r="AG133" i="1"/>
  <c r="AG97" i="1"/>
  <c r="AG122" i="1"/>
  <c r="AG139" i="1"/>
  <c r="AG155" i="1"/>
  <c r="AG204" i="1"/>
  <c r="AG182" i="1"/>
  <c r="AG104" i="1"/>
  <c r="AG134" i="1"/>
  <c r="AG150" i="1"/>
  <c r="AG199" i="1"/>
  <c r="AG100" i="1"/>
  <c r="AG116" i="1"/>
  <c r="AG137" i="1"/>
  <c r="AG153" i="1"/>
  <c r="AG202" i="1"/>
  <c r="AG219" i="1"/>
  <c r="AG111" i="1"/>
  <c r="AG128" i="1"/>
  <c r="AG148" i="1"/>
  <c r="AG205" i="1"/>
  <c r="AG201" i="1"/>
  <c r="AG32" i="1"/>
  <c r="AG22" i="1"/>
  <c r="AG33" i="1"/>
  <c r="AG51" i="1"/>
  <c r="AG61" i="1"/>
  <c r="AG87" i="1"/>
  <c r="AG74" i="1"/>
  <c r="AG67" i="1"/>
  <c r="AG161" i="1"/>
  <c r="AG95" i="1"/>
  <c r="AG163" i="1"/>
  <c r="AG91" i="1"/>
  <c r="AG194" i="1"/>
  <c r="AG93" i="1"/>
  <c r="AG105" i="1"/>
  <c r="AG167" i="1"/>
  <c r="AG106" i="1"/>
  <c r="AG143" i="1"/>
  <c r="AG208" i="1"/>
  <c r="AG118" i="1"/>
  <c r="AG154" i="1"/>
  <c r="AG101" i="1"/>
  <c r="AG130" i="1"/>
  <c r="AG157" i="1"/>
  <c r="AG166" i="1"/>
  <c r="AG136" i="1"/>
  <c r="AG216" i="1"/>
  <c r="AG209" i="1"/>
  <c r="AG160" i="1"/>
  <c r="AG126" i="1"/>
  <c r="AG156" i="1"/>
  <c r="AG52" i="1"/>
  <c r="AG189" i="1"/>
  <c r="AG113" i="1"/>
  <c r="AG151" i="1"/>
  <c r="AG103" i="1"/>
  <c r="AG212" i="1"/>
  <c r="AG198" i="1"/>
  <c r="AG159" i="1"/>
  <c r="AG16" i="1"/>
  <c r="AG48" i="1"/>
  <c r="AG27" i="1"/>
  <c r="AG42" i="1"/>
  <c r="AG34" i="1"/>
  <c r="AG66" i="1"/>
  <c r="AG55" i="1"/>
  <c r="AG46" i="1"/>
  <c r="AG77" i="1"/>
  <c r="AG176" i="1"/>
  <c r="AG179" i="1"/>
  <c r="AG175" i="1"/>
  <c r="AG72" i="1"/>
  <c r="AG186" i="1"/>
  <c r="AG121" i="1"/>
  <c r="AG123" i="1"/>
  <c r="AG192" i="1"/>
  <c r="AG138" i="1"/>
  <c r="AG203" i="1"/>
  <c r="AG141" i="1"/>
  <c r="AG206" i="1"/>
  <c r="AG112" i="1"/>
  <c r="AG152" i="1"/>
  <c r="AG214" i="1"/>
  <c r="AG26" i="1"/>
  <c r="AG54" i="1"/>
  <c r="AG21" i="1"/>
  <c r="AG78" i="1"/>
  <c r="AG68" i="1"/>
  <c r="AG165" i="1"/>
  <c r="AG76" i="1"/>
  <c r="AG191" i="1"/>
  <c r="AG188" i="1"/>
  <c r="AG80" i="1"/>
  <c r="AG109" i="1"/>
  <c r="AG168" i="1"/>
  <c r="AG124" i="1"/>
  <c r="AG196" i="1"/>
  <c r="AG119" i="1"/>
  <c r="AG158" i="1"/>
  <c r="AG114" i="1"/>
  <c r="AG145" i="1"/>
  <c r="AG96" i="1"/>
  <c r="AG217" i="1"/>
  <c r="AG24" i="1"/>
  <c r="AG40" i="1"/>
  <c r="AG19" i="1"/>
  <c r="AG14" i="1"/>
  <c r="AG17" i="1"/>
  <c r="AG38" i="1"/>
  <c r="AG58" i="1"/>
  <c r="AG79" i="1"/>
  <c r="AG29" i="1"/>
  <c r="AG82" i="1"/>
  <c r="AG85" i="1"/>
  <c r="AG183" i="1"/>
  <c r="AG177" i="1"/>
  <c r="AG173" i="1"/>
  <c r="AG88" i="1"/>
  <c r="AG98" i="1"/>
  <c r="AG94" i="1"/>
  <c r="AG135" i="1"/>
  <c r="AG181" i="1"/>
  <c r="AG146" i="1"/>
  <c r="AG115" i="1"/>
  <c r="AG149" i="1"/>
  <c r="AG110" i="1"/>
  <c r="AG127" i="1"/>
  <c r="AG218" i="1"/>
  <c r="AG20" i="1"/>
  <c r="AG36" i="1"/>
  <c r="AG15" i="1"/>
  <c r="AG31" i="1"/>
  <c r="AG43" i="1"/>
  <c r="AG37" i="1"/>
  <c r="AG35" i="1"/>
  <c r="AG70" i="1"/>
  <c r="AG75" i="1"/>
  <c r="AG56" i="1"/>
  <c r="AG47" i="1"/>
  <c r="AG81" i="1"/>
  <c r="AG180" i="1"/>
  <c r="AG164" i="1"/>
  <c r="AG92" i="1"/>
  <c r="AG99" i="1"/>
  <c r="AG171" i="1"/>
  <c r="AG193" i="1"/>
  <c r="AG125" i="1"/>
  <c r="AG107" i="1"/>
  <c r="AG147" i="1"/>
  <c r="AG213" i="1"/>
  <c r="AG142" i="1"/>
  <c r="AG207" i="1"/>
  <c r="AG131" i="1"/>
  <c r="AG211" i="1"/>
  <c r="AG140" i="1"/>
  <c r="AG197" i="1"/>
  <c r="AG30" i="1"/>
  <c r="AG49" i="1"/>
  <c r="AG59" i="1"/>
  <c r="AG57" i="1"/>
  <c r="AG69" i="1"/>
  <c r="AG169" i="1"/>
  <c r="AG84" i="1"/>
  <c r="AG63" i="1"/>
  <c r="AG64" i="1"/>
  <c r="AG184" i="1"/>
  <c r="AG129" i="1"/>
  <c r="AG108" i="1"/>
  <c r="AG200" i="1"/>
  <c r="AG120" i="1"/>
  <c r="AG195" i="1"/>
  <c r="AG132" i="1"/>
  <c r="AG215" i="1"/>
  <c r="AG144" i="1"/>
  <c r="AG210" i="1"/>
  <c r="W23" i="3"/>
  <c r="W31" i="3"/>
  <c r="W11" i="3"/>
  <c r="W25" i="3"/>
  <c r="W27" i="3"/>
  <c r="W28" i="3"/>
  <c r="W36" i="3"/>
  <c r="W17" i="3"/>
  <c r="W9" i="3"/>
  <c r="W33" i="3"/>
  <c r="W14" i="3"/>
  <c r="W34" i="3"/>
  <c r="W35" i="3"/>
  <c r="W15" i="3"/>
  <c r="W26" i="3"/>
  <c r="W21" i="3"/>
  <c r="W10" i="3"/>
  <c r="W12" i="3"/>
  <c r="W8" i="3"/>
  <c r="W13" i="3"/>
  <c r="W30" i="3"/>
  <c r="W29" i="3"/>
  <c r="W16" i="3"/>
  <c r="W7" i="3"/>
  <c r="W18" i="3"/>
  <c r="W20" i="3"/>
  <c r="W19" i="3"/>
  <c r="W22" i="3"/>
  <c r="W32" i="3"/>
  <c r="T30" i="3" l="1"/>
  <c r="AC12" i="3"/>
  <c r="AD36" i="3"/>
  <c r="AC9" i="3"/>
  <c r="R18" i="3"/>
  <c r="R34" i="3"/>
  <c r="AE23" i="3"/>
  <c r="AD20" i="3"/>
  <c r="T27" i="3"/>
  <c r="X204" i="1"/>
  <c r="AE36" i="3"/>
  <c r="S36" i="3"/>
  <c r="AC23" i="3"/>
  <c r="AE15" i="3"/>
  <c r="AC17" i="3"/>
  <c r="X219" i="1"/>
  <c r="AA214" i="1"/>
  <c r="AA196" i="1"/>
  <c r="AA195" i="1"/>
  <c r="AA155" i="1"/>
  <c r="AA154" i="1"/>
  <c r="AA138" i="1"/>
  <c r="X129" i="1"/>
  <c r="AA111" i="1"/>
  <c r="X194" i="1"/>
  <c r="AA191" i="1"/>
  <c r="AA164" i="1"/>
  <c r="AA161" i="1"/>
  <c r="AA83" i="1"/>
  <c r="AA81" i="1"/>
  <c r="X59" i="1"/>
  <c r="T58" i="1"/>
  <c r="AA57" i="1"/>
  <c r="X56" i="1"/>
  <c r="AA49" i="1"/>
  <c r="X48" i="1"/>
  <c r="X40" i="1"/>
  <c r="X32" i="1"/>
  <c r="AA19" i="1"/>
  <c r="X16" i="1"/>
  <c r="AA204" i="1"/>
  <c r="AA203" i="1"/>
  <c r="AA119" i="1"/>
  <c r="AA108" i="1"/>
  <c r="AA104" i="1"/>
  <c r="AA209" i="1"/>
  <c r="AA99" i="1"/>
  <c r="AA190" i="1"/>
  <c r="AA184" i="1"/>
  <c r="AA73" i="1"/>
  <c r="AA71" i="1"/>
  <c r="AA64" i="1"/>
  <c r="AA55" i="1"/>
  <c r="AA31" i="1"/>
  <c r="AA27" i="1"/>
  <c r="AE27" i="3"/>
  <c r="AC26" i="3"/>
  <c r="X119" i="1"/>
  <c r="X109" i="1"/>
  <c r="X169" i="1"/>
  <c r="AA74" i="1"/>
  <c r="X64" i="1"/>
  <c r="X55" i="1"/>
  <c r="X25" i="1"/>
  <c r="AA16" i="1"/>
  <c r="AA208" i="1"/>
  <c r="T208" i="1"/>
  <c r="AA207" i="1"/>
  <c r="X200" i="1"/>
  <c r="AA158" i="1"/>
  <c r="X151" i="1"/>
  <c r="AA143" i="1"/>
  <c r="T143" i="1"/>
  <c r="AA142" i="1"/>
  <c r="AA135" i="1"/>
  <c r="T135" i="1"/>
  <c r="AA134" i="1"/>
  <c r="X122" i="1"/>
  <c r="AA118" i="1"/>
  <c r="X117" i="1"/>
  <c r="X105" i="1"/>
  <c r="X96" i="1"/>
  <c r="X185" i="1"/>
  <c r="AA177" i="1"/>
  <c r="AA175" i="1"/>
  <c r="AA173" i="1"/>
  <c r="X170" i="1"/>
  <c r="AA89" i="1"/>
  <c r="X75" i="1"/>
  <c r="X70" i="1"/>
  <c r="X67" i="1"/>
  <c r="AA63" i="1"/>
  <c r="AA54" i="1"/>
  <c r="AA53" i="1"/>
  <c r="X46" i="1"/>
  <c r="AA44" i="1"/>
  <c r="AA37" i="1"/>
  <c r="T29" i="1"/>
  <c r="AA25" i="1"/>
  <c r="AA21" i="1"/>
  <c r="AA18" i="1"/>
  <c r="X17" i="1"/>
  <c r="S30" i="3"/>
  <c r="R36" i="3"/>
  <c r="AA200" i="1"/>
  <c r="AA199" i="1"/>
  <c r="AA151" i="1"/>
  <c r="AA150" i="1"/>
  <c r="AA130" i="1"/>
  <c r="AA128" i="1"/>
  <c r="AA126" i="1"/>
  <c r="AA117" i="1"/>
  <c r="AA116" i="1"/>
  <c r="AA114" i="1"/>
  <c r="AA106" i="1"/>
  <c r="AA96" i="1"/>
  <c r="X95" i="1"/>
  <c r="AA188" i="1"/>
  <c r="T185" i="1"/>
  <c r="X178" i="1"/>
  <c r="X176" i="1"/>
  <c r="AA174" i="1"/>
  <c r="AA172" i="1"/>
  <c r="T93" i="1"/>
  <c r="AA170" i="1"/>
  <c r="AA169" i="1"/>
  <c r="AA92" i="1"/>
  <c r="X90" i="1"/>
  <c r="AA86" i="1"/>
  <c r="X79" i="1"/>
  <c r="AA75" i="1"/>
  <c r="AA70" i="1"/>
  <c r="AA69" i="1"/>
  <c r="AA67" i="1"/>
  <c r="AA66" i="1"/>
  <c r="AA59" i="1"/>
  <c r="X54" i="1"/>
  <c r="AA48" i="1"/>
  <c r="AA45" i="1"/>
  <c r="X42" i="1"/>
  <c r="T40" i="1"/>
  <c r="X33" i="1"/>
  <c r="X28" i="1"/>
  <c r="AA24" i="1"/>
  <c r="X20" i="1"/>
  <c r="T17" i="1"/>
  <c r="X114" i="1"/>
  <c r="X113" i="1"/>
  <c r="X150" i="1"/>
  <c r="X138" i="1"/>
  <c r="AA219" i="1"/>
  <c r="X217" i="1"/>
  <c r="AA211" i="1"/>
  <c r="AA210" i="1"/>
  <c r="AA202" i="1"/>
  <c r="AA201" i="1"/>
  <c r="AA160" i="1"/>
  <c r="W160" i="1" s="1"/>
  <c r="AA159" i="1"/>
  <c r="AA153" i="1"/>
  <c r="AA152" i="1"/>
  <c r="AA145" i="1"/>
  <c r="AA144" i="1"/>
  <c r="X142" i="1"/>
  <c r="AA139" i="1"/>
  <c r="T139" i="1"/>
  <c r="X195" i="1"/>
  <c r="X154" i="1"/>
  <c r="X146" i="1"/>
  <c r="R35" i="3"/>
  <c r="R33" i="3"/>
  <c r="AA216" i="1"/>
  <c r="X215" i="1"/>
  <c r="AA206" i="1"/>
  <c r="AA205" i="1"/>
  <c r="AA198" i="1"/>
  <c r="AA197" i="1"/>
  <c r="AA157" i="1"/>
  <c r="W157" i="1" s="1"/>
  <c r="AA156" i="1"/>
  <c r="T129" i="1"/>
  <c r="T114" i="1"/>
  <c r="X187" i="1"/>
  <c r="T173" i="1"/>
  <c r="T20" i="1"/>
  <c r="AA149" i="1"/>
  <c r="AA148" i="1"/>
  <c r="AA141" i="1"/>
  <c r="AA140" i="1"/>
  <c r="AA133" i="1"/>
  <c r="AA132" i="1"/>
  <c r="X131" i="1"/>
  <c r="X130" i="1"/>
  <c r="X127" i="1"/>
  <c r="AA124" i="1"/>
  <c r="X123" i="1"/>
  <c r="AA110" i="1"/>
  <c r="X106" i="1"/>
  <c r="X103" i="1"/>
  <c r="X102" i="1"/>
  <c r="X99" i="1"/>
  <c r="X189" i="1"/>
  <c r="X188" i="1"/>
  <c r="T184" i="1"/>
  <c r="T177" i="1"/>
  <c r="AA176" i="1"/>
  <c r="X172" i="1"/>
  <c r="AA165" i="1"/>
  <c r="X163" i="1"/>
  <c r="AA91" i="1"/>
  <c r="T90" i="1"/>
  <c r="X87" i="1"/>
  <c r="AA79" i="1"/>
  <c r="T79" i="1"/>
  <c r="AA77" i="1"/>
  <c r="AA65" i="1"/>
  <c r="AA62" i="1"/>
  <c r="X60" i="1"/>
  <c r="AA46" i="1"/>
  <c r="AA41" i="1"/>
  <c r="X38" i="1"/>
  <c r="X36" i="1"/>
  <c r="AA33" i="1"/>
  <c r="T32" i="1"/>
  <c r="X24" i="1"/>
  <c r="X21" i="1"/>
  <c r="AA17" i="1"/>
  <c r="T16" i="1"/>
  <c r="AA14" i="1"/>
  <c r="X115" i="1"/>
  <c r="X107" i="1"/>
  <c r="X174" i="1"/>
  <c r="AA58" i="1"/>
  <c r="AA30" i="1"/>
  <c r="AA29" i="1"/>
  <c r="AA137" i="1"/>
  <c r="AA136" i="1"/>
  <c r="X133" i="1"/>
  <c r="AA127" i="1"/>
  <c r="X125" i="1"/>
  <c r="AA122" i="1"/>
  <c r="X121" i="1"/>
  <c r="AA112" i="1"/>
  <c r="AA109" i="1"/>
  <c r="T105" i="1"/>
  <c r="AA103" i="1"/>
  <c r="AA102" i="1"/>
  <c r="AA101" i="1"/>
  <c r="X100" i="1"/>
  <c r="AA193" i="1"/>
  <c r="T95" i="1"/>
  <c r="AA189" i="1"/>
  <c r="AA187" i="1"/>
  <c r="AA186" i="1"/>
  <c r="AA182" i="1"/>
  <c r="X181" i="1"/>
  <c r="AA179" i="1"/>
  <c r="AA166" i="1"/>
  <c r="AA162" i="1"/>
  <c r="W162" i="1" s="1"/>
  <c r="X91" i="1"/>
  <c r="AA87" i="1"/>
  <c r="AA85" i="1"/>
  <c r="AA51" i="1"/>
  <c r="AA43" i="1"/>
  <c r="AA38" i="1"/>
  <c r="AA36" i="1"/>
  <c r="AA35" i="1"/>
  <c r="AA26" i="1"/>
  <c r="AI210" i="1"/>
  <c r="U210" i="1"/>
  <c r="S210" i="1" s="1"/>
  <c r="AI198" i="1"/>
  <c r="U197" i="1"/>
  <c r="S197" i="1" s="1"/>
  <c r="AI214" i="1"/>
  <c r="U214" i="1"/>
  <c r="S214" i="1" s="1"/>
  <c r="AI202" i="1"/>
  <c r="U201" i="1"/>
  <c r="S201" i="1" s="1"/>
  <c r="AI218" i="1"/>
  <c r="AI217" i="1"/>
  <c r="U217" i="1"/>
  <c r="S217" i="1" s="1"/>
  <c r="U216" i="1"/>
  <c r="S216" i="1" s="1"/>
  <c r="AI216" i="1"/>
  <c r="AI206" i="1"/>
  <c r="U205" i="1"/>
  <c r="S205" i="1" s="1"/>
  <c r="AI194" i="1"/>
  <c r="U159" i="1"/>
  <c r="S159" i="1" s="1"/>
  <c r="AI190" i="1"/>
  <c r="U156" i="1"/>
  <c r="S156" i="1" s="1"/>
  <c r="AI186" i="1"/>
  <c r="U152" i="1"/>
  <c r="S152" i="1" s="1"/>
  <c r="AI182" i="1"/>
  <c r="U148" i="1"/>
  <c r="S148" i="1" s="1"/>
  <c r="AI178" i="1"/>
  <c r="U144" i="1"/>
  <c r="S144" i="1" s="1"/>
  <c r="AI174" i="1"/>
  <c r="U140" i="1"/>
  <c r="S140" i="1" s="1"/>
  <c r="AI170" i="1"/>
  <c r="U136" i="1"/>
  <c r="S136" i="1" s="1"/>
  <c r="AI162" i="1"/>
  <c r="AI161" i="1"/>
  <c r="U127" i="1"/>
  <c r="S127" i="1" s="1"/>
  <c r="AI160" i="1"/>
  <c r="U126" i="1"/>
  <c r="S126" i="1" s="1"/>
  <c r="AI147" i="1"/>
  <c r="AI146" i="1"/>
  <c r="U111" i="1"/>
  <c r="S111" i="1" s="1"/>
  <c r="AI145" i="1"/>
  <c r="U110" i="1"/>
  <c r="S110" i="1" s="1"/>
  <c r="AI130" i="1"/>
  <c r="U96" i="1"/>
  <c r="S96" i="1" s="1"/>
  <c r="AI98" i="1"/>
  <c r="U166" i="1"/>
  <c r="S166" i="1" s="1"/>
  <c r="AI219" i="1"/>
  <c r="AI215" i="1"/>
  <c r="AI211" i="1"/>
  <c r="AI207" i="1"/>
  <c r="AI203" i="1"/>
  <c r="AI199" i="1"/>
  <c r="AI195" i="1"/>
  <c r="AI191" i="1"/>
  <c r="AI187" i="1"/>
  <c r="AI183" i="1"/>
  <c r="AI179" i="1"/>
  <c r="AI175" i="1"/>
  <c r="AI171" i="1"/>
  <c r="AI166" i="1"/>
  <c r="AI165" i="1"/>
  <c r="AI164" i="1"/>
  <c r="U130" i="1"/>
  <c r="S130" i="1" s="1"/>
  <c r="AI151" i="1"/>
  <c r="AI150" i="1"/>
  <c r="AI149" i="1"/>
  <c r="U114" i="1"/>
  <c r="S114" i="1" s="1"/>
  <c r="AI135" i="1"/>
  <c r="AI134" i="1"/>
  <c r="U212" i="1"/>
  <c r="S212" i="1" s="1"/>
  <c r="AI212" i="1"/>
  <c r="U207" i="1"/>
  <c r="S207" i="1" s="1"/>
  <c r="W207" i="1"/>
  <c r="AI208" i="1"/>
  <c r="U203" i="1"/>
  <c r="S203" i="1" s="1"/>
  <c r="AI204" i="1"/>
  <c r="U199" i="1"/>
  <c r="S199" i="1" s="1"/>
  <c r="AI200" i="1"/>
  <c r="W199" i="1"/>
  <c r="U195" i="1"/>
  <c r="S195" i="1" s="1"/>
  <c r="AI196" i="1"/>
  <c r="U158" i="1"/>
  <c r="S158" i="1" s="1"/>
  <c r="AI192" i="1"/>
  <c r="U154" i="1"/>
  <c r="S154" i="1" s="1"/>
  <c r="AI188" i="1"/>
  <c r="U150" i="1"/>
  <c r="S150" i="1" s="1"/>
  <c r="AI184" i="1"/>
  <c r="U146" i="1"/>
  <c r="S146" i="1" s="1"/>
  <c r="AI180" i="1"/>
  <c r="U142" i="1"/>
  <c r="S142" i="1"/>
  <c r="AI176" i="1"/>
  <c r="U138" i="1"/>
  <c r="S138" i="1" s="1"/>
  <c r="AI172" i="1"/>
  <c r="U134" i="1"/>
  <c r="S134" i="1" s="1"/>
  <c r="AI168" i="1"/>
  <c r="AI155" i="1"/>
  <c r="AI154" i="1"/>
  <c r="U119" i="1"/>
  <c r="S119" i="1" s="1"/>
  <c r="U118" i="1"/>
  <c r="S118" i="1" s="1"/>
  <c r="AI153" i="1"/>
  <c r="AI139" i="1"/>
  <c r="AI138" i="1"/>
  <c r="U103" i="1"/>
  <c r="S103" i="1" s="1"/>
  <c r="U209" i="1"/>
  <c r="S209" i="1" s="1"/>
  <c r="AI137" i="1"/>
  <c r="AI127" i="1"/>
  <c r="U192" i="1"/>
  <c r="S192" i="1" s="1"/>
  <c r="AI116" i="1"/>
  <c r="AI115" i="1"/>
  <c r="U181" i="1"/>
  <c r="S181" i="1" s="1"/>
  <c r="U213" i="1"/>
  <c r="S213" i="1" s="1"/>
  <c r="AI213" i="1"/>
  <c r="U208" i="1"/>
  <c r="S208" i="1" s="1"/>
  <c r="AI209" i="1"/>
  <c r="U204" i="1"/>
  <c r="S204" i="1" s="1"/>
  <c r="AI205" i="1"/>
  <c r="U200" i="1"/>
  <c r="S200" i="1" s="1"/>
  <c r="AI201" i="1"/>
  <c r="U196" i="1"/>
  <c r="S196" i="1" s="1"/>
  <c r="AI197" i="1"/>
  <c r="AI193" i="1"/>
  <c r="U155" i="1"/>
  <c r="S155" i="1" s="1"/>
  <c r="AI189" i="1"/>
  <c r="U151" i="1"/>
  <c r="S151" i="1" s="1"/>
  <c r="AI185" i="1"/>
  <c r="U147" i="1"/>
  <c r="S147" i="1" s="1"/>
  <c r="AI181" i="1"/>
  <c r="U143" i="1"/>
  <c r="S143" i="1" s="1"/>
  <c r="AI177" i="1"/>
  <c r="U139" i="1"/>
  <c r="S139" i="1" s="1"/>
  <c r="AI173" i="1"/>
  <c r="U135" i="1"/>
  <c r="S135" i="1" s="1"/>
  <c r="AI169" i="1"/>
  <c r="AI158" i="1"/>
  <c r="U122" i="1"/>
  <c r="S122" i="1"/>
  <c r="AI157" i="1"/>
  <c r="AI143" i="1"/>
  <c r="AI142" i="1"/>
  <c r="U106" i="1"/>
  <c r="S106" i="1" s="1"/>
  <c r="AI141" i="1"/>
  <c r="AI131" i="1"/>
  <c r="AI114" i="1"/>
  <c r="U94" i="1"/>
  <c r="S94" i="1" s="1"/>
  <c r="AI100" i="1"/>
  <c r="AI99" i="1"/>
  <c r="U167" i="1"/>
  <c r="S167" i="1" s="1"/>
  <c r="U133" i="1"/>
  <c r="S133" i="1" s="1"/>
  <c r="AI167" i="1"/>
  <c r="U129" i="1"/>
  <c r="S129" i="1" s="1"/>
  <c r="AI163" i="1"/>
  <c r="AI159" i="1"/>
  <c r="U121" i="1"/>
  <c r="S121" i="1" s="1"/>
  <c r="AI156" i="1"/>
  <c r="U117" i="1"/>
  <c r="S117" i="1" s="1"/>
  <c r="AI152" i="1"/>
  <c r="U113" i="1"/>
  <c r="S113" i="1" s="1"/>
  <c r="AI148" i="1"/>
  <c r="AI144" i="1"/>
  <c r="U105" i="1"/>
  <c r="S105" i="1" s="1"/>
  <c r="AI140" i="1"/>
  <c r="U102" i="1"/>
  <c r="S102" i="1" s="1"/>
  <c r="AI136" i="1"/>
  <c r="AI132" i="1"/>
  <c r="AI128" i="1"/>
  <c r="AI120" i="1"/>
  <c r="AI119" i="1"/>
  <c r="U185" i="1"/>
  <c r="S185" i="1" s="1"/>
  <c r="AI118" i="1"/>
  <c r="U184" i="1"/>
  <c r="S184" i="1" s="1"/>
  <c r="AI104" i="1"/>
  <c r="AI103" i="1"/>
  <c r="U93" i="1"/>
  <c r="S93" i="1" s="1"/>
  <c r="AI102" i="1"/>
  <c r="U170" i="1"/>
  <c r="S170" i="1" s="1"/>
  <c r="AI88" i="1"/>
  <c r="U88" i="1"/>
  <c r="S88" i="1" s="1"/>
  <c r="AI80" i="1"/>
  <c r="U80" i="1"/>
  <c r="S80" i="1" s="1"/>
  <c r="S72" i="1"/>
  <c r="AI72" i="1"/>
  <c r="U72" i="1"/>
  <c r="AI65" i="1"/>
  <c r="AI64" i="1"/>
  <c r="U64" i="1"/>
  <c r="S64" i="1" s="1"/>
  <c r="U99" i="1"/>
  <c r="S99" i="1" s="1"/>
  <c r="AI133" i="1"/>
  <c r="U194" i="1"/>
  <c r="S194" i="1" s="1"/>
  <c r="AI129" i="1"/>
  <c r="AI124" i="1"/>
  <c r="AI123" i="1"/>
  <c r="U189" i="1"/>
  <c r="S189" i="1" s="1"/>
  <c r="U188" i="1"/>
  <c r="S188" i="1" s="1"/>
  <c r="AI122" i="1"/>
  <c r="AI108" i="1"/>
  <c r="AI107" i="1"/>
  <c r="U174" i="1"/>
  <c r="S174" i="1" s="1"/>
  <c r="U173" i="1"/>
  <c r="S173" i="1" s="1"/>
  <c r="AI106" i="1"/>
  <c r="AI92" i="1"/>
  <c r="AI91" i="1"/>
  <c r="U91" i="1"/>
  <c r="S91" i="1" s="1"/>
  <c r="U90" i="1"/>
  <c r="S90" i="1" s="1"/>
  <c r="AI90" i="1"/>
  <c r="AI63" i="1"/>
  <c r="U63" i="1"/>
  <c r="S63" i="1" s="1"/>
  <c r="U191" i="1"/>
  <c r="S191" i="1" s="1"/>
  <c r="AI126" i="1"/>
  <c r="AI112" i="1"/>
  <c r="W179" i="1"/>
  <c r="AI111" i="1"/>
  <c r="U178" i="1"/>
  <c r="S178" i="1" s="1"/>
  <c r="U177" i="1"/>
  <c r="S177" i="1"/>
  <c r="AI110" i="1"/>
  <c r="AI96" i="1"/>
  <c r="W164" i="1"/>
  <c r="AI95" i="1"/>
  <c r="U163" i="1"/>
  <c r="S163" i="1" s="1"/>
  <c r="U162" i="1"/>
  <c r="S162" i="1" s="1"/>
  <c r="AI94" i="1"/>
  <c r="AI84" i="1"/>
  <c r="U84" i="1"/>
  <c r="S84" i="1" s="1"/>
  <c r="AI76" i="1"/>
  <c r="U76" i="1"/>
  <c r="S76" i="1" s="1"/>
  <c r="U95" i="1"/>
  <c r="S95" i="1" s="1"/>
  <c r="AI125" i="1"/>
  <c r="U187" i="1"/>
  <c r="S187" i="1" s="1"/>
  <c r="AI121" i="1"/>
  <c r="U183" i="1"/>
  <c r="S183" i="1" s="1"/>
  <c r="AI117" i="1"/>
  <c r="AI113" i="1"/>
  <c r="U176" i="1"/>
  <c r="S176" i="1" s="1"/>
  <c r="AI109" i="1"/>
  <c r="U172" i="1"/>
  <c r="AI105" i="1"/>
  <c r="S172" i="1"/>
  <c r="U169" i="1"/>
  <c r="S169" i="1" s="1"/>
  <c r="AI101" i="1"/>
  <c r="AI97" i="1"/>
  <c r="U161" i="1"/>
  <c r="S161" i="1" s="1"/>
  <c r="AI93" i="1"/>
  <c r="AI89" i="1"/>
  <c r="AI85" i="1"/>
  <c r="AI81" i="1"/>
  <c r="AI77" i="1"/>
  <c r="AI73" i="1"/>
  <c r="AI69" i="1"/>
  <c r="AI68" i="1"/>
  <c r="AI67" i="1"/>
  <c r="U67" i="1"/>
  <c r="S67" i="1" s="1"/>
  <c r="AI53" i="1"/>
  <c r="AI52" i="1"/>
  <c r="AI47" i="1"/>
  <c r="AI46" i="1"/>
  <c r="U46" i="1"/>
  <c r="S46" i="1" s="1"/>
  <c r="U86" i="1"/>
  <c r="S86" i="1" s="1"/>
  <c r="AI86" i="1"/>
  <c r="U82" i="1"/>
  <c r="S82" i="1" s="1"/>
  <c r="AI82" i="1"/>
  <c r="W82" i="1"/>
  <c r="U78" i="1"/>
  <c r="S78" i="1" s="1"/>
  <c r="AI78" i="1"/>
  <c r="U74" i="1"/>
  <c r="S74" i="1" s="1"/>
  <c r="AI74" i="1"/>
  <c r="W74" i="1"/>
  <c r="U71" i="1"/>
  <c r="S71" i="1" s="1"/>
  <c r="AI71" i="1"/>
  <c r="AI57" i="1"/>
  <c r="AI56" i="1"/>
  <c r="U56" i="1"/>
  <c r="S56" i="1" s="1"/>
  <c r="U55" i="1"/>
  <c r="S55" i="1" s="1"/>
  <c r="AI55" i="1"/>
  <c r="AI45" i="1"/>
  <c r="U45" i="1"/>
  <c r="S45" i="1" s="1"/>
  <c r="AI29" i="1"/>
  <c r="U29" i="1"/>
  <c r="S29" i="1" s="1"/>
  <c r="AI21" i="1"/>
  <c r="U21" i="1"/>
  <c r="S21" i="1" s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AI61" i="1"/>
  <c r="AI60" i="1"/>
  <c r="U60" i="1"/>
  <c r="S60" i="1" s="1"/>
  <c r="U59" i="1"/>
  <c r="S59" i="1" s="1"/>
  <c r="AI59" i="1"/>
  <c r="U70" i="1"/>
  <c r="S70" i="1" s="1"/>
  <c r="AI70" i="1"/>
  <c r="U66" i="1"/>
  <c r="S66" i="1" s="1"/>
  <c r="AI66" i="1"/>
  <c r="AI62" i="1"/>
  <c r="U58" i="1"/>
  <c r="S58" i="1" s="1"/>
  <c r="AI58" i="1"/>
  <c r="U54" i="1"/>
  <c r="S54" i="1" s="1"/>
  <c r="AI54" i="1"/>
  <c r="AI51" i="1"/>
  <c r="W51" i="1"/>
  <c r="AI50" i="1"/>
  <c r="AI49" i="1"/>
  <c r="U49" i="1"/>
  <c r="S49" i="1" s="1"/>
  <c r="AI35" i="1"/>
  <c r="AI34" i="1"/>
  <c r="AI39" i="1"/>
  <c r="AI38" i="1"/>
  <c r="U38" i="1"/>
  <c r="S38" i="1" s="1"/>
  <c r="U37" i="1"/>
  <c r="S37" i="1" s="1"/>
  <c r="AI37" i="1"/>
  <c r="AI33" i="1"/>
  <c r="U33" i="1"/>
  <c r="S33" i="1" s="1"/>
  <c r="AI25" i="1"/>
  <c r="U25" i="1"/>
  <c r="S25" i="1" s="1"/>
  <c r="AI17" i="1"/>
  <c r="U17" i="1"/>
  <c r="S17" i="1" s="1"/>
  <c r="AI43" i="1"/>
  <c r="AI42" i="1"/>
  <c r="U41" i="1"/>
  <c r="S41" i="1" s="1"/>
  <c r="AI41" i="1"/>
  <c r="AI30" i="1"/>
  <c r="AI26" i="1"/>
  <c r="AI22" i="1"/>
  <c r="AI18" i="1"/>
  <c r="AI14" i="1"/>
  <c r="U31" i="1"/>
  <c r="S31" i="1" s="1"/>
  <c r="AI31" i="1"/>
  <c r="U27" i="1"/>
  <c r="S27" i="1"/>
  <c r="AI27" i="1"/>
  <c r="U23" i="1"/>
  <c r="S23" i="1" s="1"/>
  <c r="AI23" i="1"/>
  <c r="U19" i="1"/>
  <c r="S19" i="1" s="1"/>
  <c r="AI19" i="1"/>
  <c r="U15" i="1"/>
  <c r="S15" i="1" s="1"/>
  <c r="AI15" i="1"/>
  <c r="U48" i="1"/>
  <c r="S48" i="1"/>
  <c r="AI48" i="1"/>
  <c r="AI44" i="1"/>
  <c r="U40" i="1"/>
  <c r="S40" i="1" s="1"/>
  <c r="AI40" i="1"/>
  <c r="U36" i="1"/>
  <c r="S36" i="1" s="1"/>
  <c r="AI36" i="1"/>
  <c r="U32" i="1"/>
  <c r="S32" i="1"/>
  <c r="AI32" i="1"/>
  <c r="U28" i="1"/>
  <c r="S28" i="1" s="1"/>
  <c r="AI28" i="1"/>
  <c r="U24" i="1"/>
  <c r="S24" i="1"/>
  <c r="AI24" i="1"/>
  <c r="U20" i="1"/>
  <c r="S20" i="1" s="1"/>
  <c r="AI20" i="1"/>
  <c r="U16" i="1"/>
  <c r="S16" i="1" s="1"/>
  <c r="AI16" i="1"/>
  <c r="W216" i="1"/>
  <c r="W218" i="1"/>
  <c r="W219" i="1"/>
  <c r="W214" i="1"/>
  <c r="W212" i="1"/>
  <c r="W203" i="1"/>
  <c r="W204" i="1"/>
  <c r="W202" i="1"/>
  <c r="X199" i="1"/>
  <c r="T198" i="1"/>
  <c r="U198" i="1" s="1"/>
  <c r="S198" i="1" s="1"/>
  <c r="X198" i="1"/>
  <c r="W197" i="1"/>
  <c r="W151" i="1"/>
  <c r="W143" i="1"/>
  <c r="W135" i="1"/>
  <c r="W126" i="1"/>
  <c r="W113" i="1"/>
  <c r="W106" i="1"/>
  <c r="W104" i="1"/>
  <c r="W99" i="1"/>
  <c r="W98" i="1"/>
  <c r="W90" i="1"/>
  <c r="W55" i="1"/>
  <c r="T219" i="1"/>
  <c r="U219" i="1" s="1"/>
  <c r="S219" i="1" s="1"/>
  <c r="AA217" i="1"/>
  <c r="W217" i="1" s="1"/>
  <c r="W215" i="1"/>
  <c r="T215" i="1"/>
  <c r="U215" i="1" s="1"/>
  <c r="S215" i="1" s="1"/>
  <c r="W208" i="1"/>
  <c r="W206" i="1"/>
  <c r="X203" i="1"/>
  <c r="T202" i="1"/>
  <c r="U202" i="1" s="1"/>
  <c r="S202" i="1" s="1"/>
  <c r="X202" i="1"/>
  <c r="W201" i="1"/>
  <c r="W158" i="1"/>
  <c r="W156" i="1"/>
  <c r="W150" i="1"/>
  <c r="W149" i="1"/>
  <c r="W148" i="1"/>
  <c r="W142" i="1"/>
  <c r="W141" i="1"/>
  <c r="W140" i="1"/>
  <c r="W134" i="1"/>
  <c r="W133" i="1"/>
  <c r="W132" i="1"/>
  <c r="W124" i="1"/>
  <c r="W110" i="1"/>
  <c r="W183" i="1"/>
  <c r="T218" i="1"/>
  <c r="U218" i="1" s="1"/>
  <c r="S218" i="1" s="1"/>
  <c r="X218" i="1"/>
  <c r="W213" i="1"/>
  <c r="W211" i="1"/>
  <c r="X207" i="1"/>
  <c r="T206" i="1"/>
  <c r="U206" i="1" s="1"/>
  <c r="S206" i="1" s="1"/>
  <c r="X206" i="1"/>
  <c r="W205" i="1"/>
  <c r="W196" i="1"/>
  <c r="W155" i="1"/>
  <c r="W147" i="1"/>
  <c r="W139" i="1"/>
  <c r="W130" i="1"/>
  <c r="W128" i="1"/>
  <c r="W125" i="1"/>
  <c r="W121" i="1"/>
  <c r="W118" i="1"/>
  <c r="W117" i="1"/>
  <c r="W116" i="1"/>
  <c r="W108" i="1"/>
  <c r="W194" i="1"/>
  <c r="W188" i="1"/>
  <c r="W169" i="1"/>
  <c r="X212" i="1"/>
  <c r="T211" i="1"/>
  <c r="U211" i="1" s="1"/>
  <c r="S211" i="1" s="1"/>
  <c r="X211" i="1"/>
  <c r="W210" i="1"/>
  <c r="W200" i="1"/>
  <c r="W198" i="1"/>
  <c r="W195" i="1"/>
  <c r="W159" i="1"/>
  <c r="W154" i="1"/>
  <c r="W153" i="1"/>
  <c r="W152" i="1"/>
  <c r="W146" i="1"/>
  <c r="W145" i="1"/>
  <c r="W144" i="1"/>
  <c r="W138" i="1"/>
  <c r="W137" i="1"/>
  <c r="W136" i="1"/>
  <c r="W129" i="1"/>
  <c r="W122" i="1"/>
  <c r="W120" i="1"/>
  <c r="W114" i="1"/>
  <c r="W112" i="1"/>
  <c r="W109" i="1"/>
  <c r="W105" i="1"/>
  <c r="W209" i="1"/>
  <c r="W102" i="1"/>
  <c r="W101" i="1"/>
  <c r="W173" i="1"/>
  <c r="T132" i="1"/>
  <c r="U132" i="1" s="1"/>
  <c r="S132" i="1" s="1"/>
  <c r="X132" i="1"/>
  <c r="T131" i="1"/>
  <c r="U131" i="1" s="1"/>
  <c r="S131" i="1" s="1"/>
  <c r="W119" i="1"/>
  <c r="T116" i="1"/>
  <c r="U116" i="1" s="1"/>
  <c r="S116" i="1" s="1"/>
  <c r="X116" i="1"/>
  <c r="T115" i="1"/>
  <c r="U115" i="1" s="1"/>
  <c r="S115" i="1" s="1"/>
  <c r="W103" i="1"/>
  <c r="T101" i="1"/>
  <c r="U101" i="1" s="1"/>
  <c r="S101" i="1" s="1"/>
  <c r="X101" i="1"/>
  <c r="T100" i="1"/>
  <c r="U100" i="1" s="1"/>
  <c r="S100" i="1" s="1"/>
  <c r="W193" i="1"/>
  <c r="W192" i="1"/>
  <c r="W190" i="1"/>
  <c r="W182" i="1"/>
  <c r="W176" i="1"/>
  <c r="W174" i="1"/>
  <c r="W172" i="1"/>
  <c r="W170" i="1"/>
  <c r="X165" i="1"/>
  <c r="T165" i="1"/>
  <c r="U165" i="1" s="1"/>
  <c r="S165" i="1" s="1"/>
  <c r="X166" i="1"/>
  <c r="W89" i="1"/>
  <c r="W78" i="1"/>
  <c r="X74" i="1"/>
  <c r="T73" i="1"/>
  <c r="U73" i="1" s="1"/>
  <c r="S73" i="1" s="1"/>
  <c r="X73" i="1"/>
  <c r="W59" i="1"/>
  <c r="W15" i="1"/>
  <c r="X214" i="1"/>
  <c r="X210" i="1"/>
  <c r="X205" i="1"/>
  <c r="X201" i="1"/>
  <c r="X197" i="1"/>
  <c r="X156" i="1"/>
  <c r="X152" i="1"/>
  <c r="X148" i="1"/>
  <c r="X144" i="1"/>
  <c r="X140" i="1"/>
  <c r="X136" i="1"/>
  <c r="X126" i="1"/>
  <c r="T125" i="1"/>
  <c r="U125" i="1" s="1"/>
  <c r="S125" i="1" s="1"/>
  <c r="AA123" i="1"/>
  <c r="W123" i="1" s="1"/>
  <c r="T120" i="1"/>
  <c r="U120" i="1" s="1"/>
  <c r="S120" i="1" s="1"/>
  <c r="X120" i="1"/>
  <c r="X110" i="1"/>
  <c r="T109" i="1"/>
  <c r="U109" i="1" s="1"/>
  <c r="S109" i="1" s="1"/>
  <c r="AA107" i="1"/>
  <c r="W107" i="1" s="1"/>
  <c r="T104" i="1"/>
  <c r="U104" i="1" s="1"/>
  <c r="S104" i="1" s="1"/>
  <c r="X104" i="1"/>
  <c r="AA97" i="1"/>
  <c r="W97" i="1" s="1"/>
  <c r="T193" i="1"/>
  <c r="U193" i="1" s="1"/>
  <c r="S193" i="1" s="1"/>
  <c r="X193" i="1"/>
  <c r="W186" i="1"/>
  <c r="W177" i="1"/>
  <c r="W175" i="1"/>
  <c r="AA168" i="1"/>
  <c r="W168" i="1" s="1"/>
  <c r="W161" i="1"/>
  <c r="W91" i="1"/>
  <c r="W83" i="1"/>
  <c r="W71" i="1"/>
  <c r="X68" i="1"/>
  <c r="T68" i="1"/>
  <c r="U68" i="1" s="1"/>
  <c r="S68" i="1" s="1"/>
  <c r="W61" i="1"/>
  <c r="T160" i="1"/>
  <c r="U160" i="1" s="1"/>
  <c r="T157" i="1"/>
  <c r="U157" i="1" s="1"/>
  <c r="S157" i="1" s="1"/>
  <c r="X153" i="1"/>
  <c r="T153" i="1"/>
  <c r="U153" i="1" s="1"/>
  <c r="S153" i="1" s="1"/>
  <c r="X149" i="1"/>
  <c r="T149" i="1"/>
  <c r="U149" i="1" s="1"/>
  <c r="S149" i="1" s="1"/>
  <c r="X145" i="1"/>
  <c r="T145" i="1"/>
  <c r="U145" i="1" s="1"/>
  <c r="S145" i="1" s="1"/>
  <c r="X141" i="1"/>
  <c r="T141" i="1"/>
  <c r="U141" i="1" s="1"/>
  <c r="S141" i="1" s="1"/>
  <c r="X137" i="1"/>
  <c r="T137" i="1"/>
  <c r="U137" i="1" s="1"/>
  <c r="S137" i="1" s="1"/>
  <c r="W127" i="1"/>
  <c r="T124" i="1"/>
  <c r="U124" i="1" s="1"/>
  <c r="S124" i="1" s="1"/>
  <c r="X124" i="1"/>
  <c r="T123" i="1"/>
  <c r="U123" i="1" s="1"/>
  <c r="S123" i="1" s="1"/>
  <c r="W111" i="1"/>
  <c r="T108" i="1"/>
  <c r="U108" i="1" s="1"/>
  <c r="S108" i="1" s="1"/>
  <c r="X108" i="1"/>
  <c r="T107" i="1"/>
  <c r="U107" i="1" s="1"/>
  <c r="S107" i="1" s="1"/>
  <c r="T97" i="1"/>
  <c r="U97" i="1" s="1"/>
  <c r="S97" i="1" s="1"/>
  <c r="X97" i="1"/>
  <c r="W96" i="1"/>
  <c r="T186" i="1"/>
  <c r="U186" i="1" s="1"/>
  <c r="S186" i="1" s="1"/>
  <c r="X186" i="1"/>
  <c r="W94" i="1"/>
  <c r="W180" i="1"/>
  <c r="W171" i="1"/>
  <c r="W92" i="1"/>
  <c r="W75" i="1"/>
  <c r="T69" i="1"/>
  <c r="U69" i="1" s="1"/>
  <c r="S69" i="1" s="1"/>
  <c r="X69" i="1"/>
  <c r="W65" i="1"/>
  <c r="X134" i="1"/>
  <c r="AA131" i="1"/>
  <c r="W131" i="1" s="1"/>
  <c r="T128" i="1"/>
  <c r="U128" i="1" s="1"/>
  <c r="X128" i="1"/>
  <c r="X118" i="1"/>
  <c r="AA115" i="1"/>
  <c r="W115" i="1" s="1"/>
  <c r="T112" i="1"/>
  <c r="U112" i="1" s="1"/>
  <c r="S112" i="1" s="1"/>
  <c r="X112" i="1"/>
  <c r="X209" i="1"/>
  <c r="AA100" i="1"/>
  <c r="W100" i="1" s="1"/>
  <c r="T98" i="1"/>
  <c r="U98" i="1" s="1"/>
  <c r="S98" i="1" s="1"/>
  <c r="X98" i="1"/>
  <c r="W191" i="1"/>
  <c r="W95" i="1"/>
  <c r="W189" i="1"/>
  <c r="W187" i="1"/>
  <c r="W184" i="1"/>
  <c r="X180" i="1"/>
  <c r="T180" i="1"/>
  <c r="U180" i="1" s="1"/>
  <c r="S180" i="1" s="1"/>
  <c r="X94" i="1"/>
  <c r="T171" i="1"/>
  <c r="U171" i="1" s="1"/>
  <c r="S171" i="1" s="1"/>
  <c r="X171" i="1"/>
  <c r="W166" i="1"/>
  <c r="W165" i="1"/>
  <c r="W86" i="1"/>
  <c r="X82" i="1"/>
  <c r="T81" i="1"/>
  <c r="U81" i="1" s="1"/>
  <c r="S81" i="1" s="1"/>
  <c r="X81" i="1"/>
  <c r="W66" i="1"/>
  <c r="W57" i="1"/>
  <c r="W53" i="1"/>
  <c r="X192" i="1"/>
  <c r="T190" i="1"/>
  <c r="U190" i="1" s="1"/>
  <c r="S190" i="1" s="1"/>
  <c r="X190" i="1"/>
  <c r="AA178" i="1"/>
  <c r="W178" i="1" s="1"/>
  <c r="T175" i="1"/>
  <c r="U175" i="1" s="1"/>
  <c r="S175" i="1" s="1"/>
  <c r="X175" i="1"/>
  <c r="AA163" i="1"/>
  <c r="W163" i="1" s="1"/>
  <c r="T92" i="1"/>
  <c r="U92" i="1" s="1"/>
  <c r="S92" i="1" s="1"/>
  <c r="X92" i="1"/>
  <c r="T89" i="1"/>
  <c r="U89" i="1" s="1"/>
  <c r="S89" i="1" s="1"/>
  <c r="X89" i="1"/>
  <c r="W85" i="1"/>
  <c r="AA84" i="1"/>
  <c r="W84" i="1" s="1"/>
  <c r="W77" i="1"/>
  <c r="AA76" i="1"/>
  <c r="W76" i="1" s="1"/>
  <c r="W63" i="1"/>
  <c r="W62" i="1"/>
  <c r="T53" i="1"/>
  <c r="U53" i="1" s="1"/>
  <c r="S53" i="1" s="1"/>
  <c r="X53" i="1"/>
  <c r="T52" i="1"/>
  <c r="U52" i="1" s="1"/>
  <c r="S52" i="1" s="1"/>
  <c r="X52" i="1"/>
  <c r="X50" i="1"/>
  <c r="T50" i="1"/>
  <c r="U50" i="1" s="1"/>
  <c r="S50" i="1" s="1"/>
  <c r="W43" i="1"/>
  <c r="W31" i="1"/>
  <c r="AA181" i="1"/>
  <c r="W181" i="1" s="1"/>
  <c r="T179" i="1"/>
  <c r="U179" i="1" s="1"/>
  <c r="S179" i="1" s="1"/>
  <c r="X179" i="1"/>
  <c r="AA167" i="1"/>
  <c r="W167" i="1" s="1"/>
  <c r="T164" i="1"/>
  <c r="U164" i="1" s="1"/>
  <c r="S164" i="1" s="1"/>
  <c r="X164" i="1"/>
  <c r="W87" i="1"/>
  <c r="X86" i="1"/>
  <c r="T85" i="1"/>
  <c r="U85" i="1" s="1"/>
  <c r="S85" i="1" s="1"/>
  <c r="X85" i="1"/>
  <c r="W79" i="1"/>
  <c r="X78" i="1"/>
  <c r="T77" i="1"/>
  <c r="U77" i="1" s="1"/>
  <c r="S77" i="1" s="1"/>
  <c r="X77" i="1"/>
  <c r="W70" i="1"/>
  <c r="W67" i="1"/>
  <c r="X62" i="1"/>
  <c r="T62" i="1"/>
  <c r="U62" i="1" s="1"/>
  <c r="S62" i="1" s="1"/>
  <c r="X63" i="1"/>
  <c r="W47" i="1"/>
  <c r="W37" i="1"/>
  <c r="T34" i="1"/>
  <c r="U34" i="1" s="1"/>
  <c r="S34" i="1" s="1"/>
  <c r="X34" i="1"/>
  <c r="AA185" i="1"/>
  <c r="W185" i="1" s="1"/>
  <c r="T182" i="1"/>
  <c r="U182" i="1" s="1"/>
  <c r="S182" i="1" s="1"/>
  <c r="X182" i="1"/>
  <c r="AA93" i="1"/>
  <c r="W93" i="1" s="1"/>
  <c r="T168" i="1"/>
  <c r="U168" i="1" s="1"/>
  <c r="S168" i="1" s="1"/>
  <c r="X168" i="1"/>
  <c r="AA88" i="1"/>
  <c r="W88" i="1" s="1"/>
  <c r="W81" i="1"/>
  <c r="AA80" i="1"/>
  <c r="W80" i="1" s="1"/>
  <c r="W73" i="1"/>
  <c r="AA72" i="1"/>
  <c r="W72" i="1" s="1"/>
  <c r="W69" i="1"/>
  <c r="W58" i="1"/>
  <c r="W56" i="1"/>
  <c r="W54" i="1"/>
  <c r="W48" i="1"/>
  <c r="T35" i="1"/>
  <c r="U35" i="1" s="1"/>
  <c r="S35" i="1" s="1"/>
  <c r="X35" i="1"/>
  <c r="W23" i="1"/>
  <c r="X88" i="1"/>
  <c r="X84" i="1"/>
  <c r="X80" i="1"/>
  <c r="X76" i="1"/>
  <c r="X72" i="1"/>
  <c r="AA60" i="1"/>
  <c r="W60" i="1" s="1"/>
  <c r="T57" i="1"/>
  <c r="U57" i="1" s="1"/>
  <c r="S57" i="1" s="1"/>
  <c r="X57" i="1"/>
  <c r="W45" i="1"/>
  <c r="W44" i="1"/>
  <c r="W64" i="1"/>
  <c r="T61" i="1"/>
  <c r="U61" i="1" s="1"/>
  <c r="S61" i="1" s="1"/>
  <c r="X61" i="1"/>
  <c r="W49" i="1"/>
  <c r="X44" i="1"/>
  <c r="T44" i="1"/>
  <c r="U44" i="1" s="1"/>
  <c r="S44" i="1" s="1"/>
  <c r="X45" i="1"/>
  <c r="W40" i="1"/>
  <c r="W38" i="1"/>
  <c r="W36" i="1"/>
  <c r="W27" i="1"/>
  <c r="W26" i="1"/>
  <c r="W19" i="1"/>
  <c r="W18" i="1"/>
  <c r="X71" i="1"/>
  <c r="AA68" i="1"/>
  <c r="W68" i="1" s="1"/>
  <c r="T65" i="1"/>
  <c r="U65" i="1" s="1"/>
  <c r="S65" i="1" s="1"/>
  <c r="X65" i="1"/>
  <c r="AA52" i="1"/>
  <c r="W52" i="1" s="1"/>
  <c r="T51" i="1"/>
  <c r="U51" i="1" s="1"/>
  <c r="S51" i="1" s="1"/>
  <c r="X51" i="1"/>
  <c r="W41" i="1"/>
  <c r="W39" i="1"/>
  <c r="W35" i="1"/>
  <c r="AA42" i="1"/>
  <c r="W42" i="1" s="1"/>
  <c r="T39" i="1"/>
  <c r="U39" i="1" s="1"/>
  <c r="S39" i="1" s="1"/>
  <c r="X39" i="1"/>
  <c r="W33" i="1"/>
  <c r="W32" i="1"/>
  <c r="T26" i="1"/>
  <c r="U26" i="1" s="1"/>
  <c r="S26" i="1" s="1"/>
  <c r="X26" i="1"/>
  <c r="W25" i="1"/>
  <c r="W24" i="1"/>
  <c r="T18" i="1"/>
  <c r="U18" i="1" s="1"/>
  <c r="S18" i="1" s="1"/>
  <c r="X18" i="1"/>
  <c r="W17" i="1"/>
  <c r="W16" i="1"/>
  <c r="W14" i="1"/>
  <c r="W46" i="1"/>
  <c r="T43" i="1"/>
  <c r="U43" i="1" s="1"/>
  <c r="S43" i="1" s="1"/>
  <c r="X43" i="1"/>
  <c r="T42" i="1"/>
  <c r="U42" i="1" s="1"/>
  <c r="S42" i="1" s="1"/>
  <c r="W30" i="1"/>
  <c r="W22" i="1"/>
  <c r="T14" i="1"/>
  <c r="U14" i="1" s="1"/>
  <c r="S14" i="1" s="1"/>
  <c r="AA50" i="1"/>
  <c r="W50" i="1" s="1"/>
  <c r="T47" i="1"/>
  <c r="U47" i="1" s="1"/>
  <c r="S47" i="1" s="1"/>
  <c r="X47" i="1"/>
  <c r="X37" i="1"/>
  <c r="AA34" i="1"/>
  <c r="W34" i="1" s="1"/>
  <c r="T30" i="1"/>
  <c r="U30" i="1" s="1"/>
  <c r="S30" i="1" s="1"/>
  <c r="X30" i="1"/>
  <c r="W29" i="1"/>
  <c r="W28" i="1"/>
  <c r="T22" i="1"/>
  <c r="U22" i="1" s="1"/>
  <c r="S22" i="1" s="1"/>
  <c r="X22" i="1"/>
  <c r="W21" i="1"/>
  <c r="W20" i="1"/>
  <c r="X31" i="1"/>
  <c r="X27" i="1"/>
  <c r="X23" i="1"/>
  <c r="X19" i="1"/>
  <c r="X15" i="1"/>
  <c r="AD31" i="3"/>
  <c r="AE19" i="3"/>
  <c r="AD13" i="3"/>
  <c r="AE12" i="3"/>
  <c r="AC36" i="3"/>
  <c r="AD19" i="3"/>
  <c r="T29" i="3"/>
  <c r="AC7" i="3"/>
  <c r="AD16" i="3"/>
  <c r="AC10" i="3"/>
  <c r="AD12" i="3"/>
  <c r="AE31" i="3"/>
  <c r="AD25" i="3"/>
  <c r="AE11" i="3"/>
  <c r="AD21" i="3"/>
  <c r="AD11" i="3"/>
  <c r="AD8" i="3"/>
  <c r="AC21" i="3"/>
  <c r="AE28" i="3"/>
  <c r="AD27" i="3"/>
  <c r="T35" i="3"/>
  <c r="AC33" i="3"/>
  <c r="AC16" i="3"/>
  <c r="AE16" i="3"/>
  <c r="AD15" i="3"/>
  <c r="T15" i="3"/>
  <c r="AD35" i="3"/>
  <c r="T22" i="3"/>
  <c r="AC18" i="3"/>
  <c r="AC31" i="3"/>
  <c r="AD23" i="3"/>
  <c r="T25" i="3"/>
  <c r="Y21" i="3"/>
  <c r="Y36" i="3"/>
  <c r="Y32" i="3"/>
  <c r="Y16" i="3"/>
  <c r="Y26" i="3"/>
  <c r="Y28" i="3"/>
  <c r="Y17" i="3"/>
  <c r="Y29" i="3"/>
  <c r="Y15" i="3"/>
  <c r="Y27" i="3"/>
  <c r="Y22" i="3"/>
  <c r="Y30" i="3"/>
  <c r="Y35" i="3"/>
  <c r="Y25" i="3"/>
  <c r="Y19" i="3"/>
  <c r="Y13" i="3"/>
  <c r="Y34" i="3"/>
  <c r="Y11" i="3"/>
  <c r="Y20" i="3"/>
  <c r="Y8" i="3"/>
  <c r="Y14" i="3"/>
  <c r="Y31" i="3"/>
  <c r="Y18" i="3"/>
  <c r="Y12" i="3"/>
  <c r="Y33" i="3"/>
  <c r="Y23" i="3"/>
  <c r="Y7" i="3"/>
  <c r="Y10" i="3"/>
  <c r="Y9" i="3"/>
  <c r="AE34" i="3"/>
  <c r="AE30" i="3"/>
  <c r="T13" i="3"/>
  <c r="AE26" i="3"/>
  <c r="T34" i="3"/>
  <c r="AE22" i="3"/>
  <c r="AE18" i="3"/>
  <c r="T20" i="3"/>
  <c r="AE14" i="3"/>
  <c r="T8" i="3"/>
  <c r="AE10" i="3"/>
  <c r="T14" i="3"/>
  <c r="T19" i="3"/>
  <c r="T11" i="3"/>
  <c r="AD34" i="3"/>
  <c r="AE33" i="3"/>
  <c r="T18" i="3"/>
  <c r="AD30" i="3"/>
  <c r="AE29" i="3"/>
  <c r="T12" i="3"/>
  <c r="AD26" i="3"/>
  <c r="AE25" i="3"/>
  <c r="T33" i="3"/>
  <c r="AD22" i="3"/>
  <c r="AE21" i="3"/>
  <c r="T23" i="3"/>
  <c r="AD18" i="3"/>
  <c r="AE17" i="3"/>
  <c r="T7" i="3"/>
  <c r="AD14" i="3"/>
  <c r="AE13" i="3"/>
  <c r="T10" i="3"/>
  <c r="AD10" i="3"/>
  <c r="AE9" i="3"/>
  <c r="T9" i="3"/>
  <c r="AE8" i="3"/>
  <c r="M24" i="3" l="1"/>
  <c r="R24" i="3"/>
  <c r="U24" i="3"/>
  <c r="V24" i="3"/>
  <c r="X24" i="3"/>
  <c r="W24" i="3"/>
  <c r="T24" i="3" l="1"/>
  <c r="AD24" i="3"/>
  <c r="AE24" i="3"/>
  <c r="S24" i="3"/>
  <c r="AC24" i="3"/>
  <c r="Y24" i="3"/>
  <c r="G250" i="4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17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9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14" i="3" s="1"/>
  <c r="G75" i="4"/>
  <c r="G76" i="4"/>
  <c r="G77" i="4"/>
  <c r="G78" i="4"/>
  <c r="G79" i="4"/>
  <c r="G80" i="4"/>
  <c r="G81" i="4"/>
  <c r="G82" i="4"/>
  <c r="G83" i="4"/>
  <c r="G84" i="4"/>
  <c r="G85" i="4"/>
  <c r="G86" i="4"/>
  <c r="N10" i="3" s="1"/>
  <c r="G87" i="4"/>
  <c r="G88" i="4"/>
  <c r="G89" i="4"/>
  <c r="G90" i="4"/>
  <c r="G91" i="4"/>
  <c r="G92" i="4"/>
  <c r="G93" i="4"/>
  <c r="G94" i="4"/>
  <c r="N8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5" i="3" s="1"/>
  <c r="G108" i="4"/>
  <c r="G109" i="4"/>
  <c r="G110" i="4"/>
  <c r="G111" i="4"/>
  <c r="G112" i="4"/>
  <c r="G113" i="4"/>
  <c r="G114" i="4"/>
  <c r="G115" i="4"/>
  <c r="N26" i="3" s="1"/>
  <c r="G116" i="4"/>
  <c r="G117" i="4"/>
  <c r="G118" i="4"/>
  <c r="G119" i="4"/>
  <c r="G120" i="4"/>
  <c r="G121" i="4"/>
  <c r="G122" i="4"/>
  <c r="G123" i="4"/>
  <c r="G124" i="4"/>
  <c r="N7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20" i="3" s="1"/>
  <c r="G144" i="4"/>
  <c r="G145" i="4"/>
  <c r="G146" i="4"/>
  <c r="G147" i="4"/>
  <c r="G148" i="4"/>
  <c r="G149" i="4"/>
  <c r="G150" i="4"/>
  <c r="G151" i="4"/>
  <c r="G152" i="4"/>
  <c r="G153" i="4"/>
  <c r="G154" i="4"/>
  <c r="N29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2" i="3" s="1"/>
  <c r="G174" i="4"/>
  <c r="G175" i="4"/>
  <c r="G176" i="4"/>
  <c r="G177" i="4"/>
  <c r="N13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N22" i="3" s="1"/>
  <c r="G219" i="4"/>
  <c r="G220" i="4"/>
  <c r="N21" i="3" s="1"/>
  <c r="G221" i="4"/>
  <c r="G222" i="4"/>
  <c r="G223" i="4"/>
  <c r="G2" i="4"/>
  <c r="N19" i="3" l="1"/>
  <c r="N18" i="3"/>
  <c r="N27" i="3"/>
  <c r="N28" i="3"/>
  <c r="N30" i="3"/>
  <c r="N31" i="3"/>
  <c r="N16" i="3"/>
  <c r="N25" i="3"/>
  <c r="N23" i="3"/>
  <c r="N11" i="3"/>
  <c r="N35" i="3"/>
  <c r="N32" i="3"/>
  <c r="N34" i="3"/>
  <c r="N36" i="3"/>
  <c r="N33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<sst xmlns="http://schemas.openxmlformats.org/spreadsheetml/2006/main" count="2538" uniqueCount="965">
  <si>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</si>
  <si>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</si>
  <si>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</si>
  <si>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</si>
  <si>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</si>
  <si>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</si>
  <si>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</si>
  <si>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</si>
  <si>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</si>
  <si>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</si>
  <si>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</si>
  <si>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</si>
  <si>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</si>
  <si>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</si>
  <si>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</si>
  <si>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</si>
  <si>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</si>
  <si>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</si>
  <si>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</si>
  <si>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</si>
  <si>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</si>
  <si>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</si>
  <si>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</si>
  <si>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</si>
  <si>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</si>
  <si>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</si>
  <si>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</si>
  <si>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</si>
  <si>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</si>
  <si>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</si>
  <si>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</si>
  <si>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</si>
  <si>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</si>
  <si>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</si>
  <si>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</si>
  <si>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</si>
  <si>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</si>
  <si>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</si>
  <si>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</si>
  <si>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</si>
  <si>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</si>
  <si>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</si>
  <si>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</si>
  <si>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</si>
  <si>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</si>
  <si>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</si>
  <si>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</si>
  <si>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</si>
  <si>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</si>
  <si>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</si>
  <si>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</si>
  <si>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</si>
  <si>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</si>
  <si>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</si>
  <si>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</si>
  <si>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</si>
  <si>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</si>
  <si>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</si>
  <si>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</si>
  <si>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</si>
  <si>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</si>
  <si>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</si>
  <si>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</si>
  <si>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</si>
  <si>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</si>
  <si>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</si>
  <si>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</si>
  <si>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</si>
  <si>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</si>
  <si>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</si>
  <si>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</si>
  <si>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</si>
  <si>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</si>
  <si>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</si>
  <si>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</si>
  <si>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</si>
  <si>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</si>
  <si>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</si>
  <si>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</si>
  <si>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</si>
  <si>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</si>
  <si>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</si>
  <si>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</si>
  <si>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</si>
  <si>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</si>
  <si>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</si>
  <si>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</si>
  <si>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</si>
  <si>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</si>
  <si>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</si>
  <si>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</si>
  <si>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</si>
  <si>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</si>
  <si>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</si>
  <si>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</si>
  <si>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</si>
  <si>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</si>
  <si>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</si>
  <si>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</si>
  <si>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</si>
  <si>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</si>
  <si>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</si>
  <si>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</si>
  <si>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</si>
  <si>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</si>
  <si>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</si>
  <si>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</si>
  <si>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</si>
  <si>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</si>
  <si>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</si>
  <si>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</si>
  <si>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</si>
  <si>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</si>
  <si>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</si>
  <si>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</si>
  <si>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</si>
  <si>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</si>
  <si>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</si>
  <si>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</si>
  <si>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</si>
  <si>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</si>
  <si>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</si>
  <si>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</si>
  <si>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</si>
  <si>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</si>
  <si>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</si>
  <si>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</si>
  <si>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</si>
  <si>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</si>
  <si>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</si>
  <si>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</si>
  <si>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</si>
  <si>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</si>
  <si>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</si>
  <si>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</si>
  <si>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</si>
  <si>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</si>
  <si>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</si>
  <si>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</si>
  <si>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</si>
  <si>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</si>
  <si>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</si>
  <si>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</si>
  <si>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</si>
  <si>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</si>
  <si>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</si>
  <si>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</si>
  <si>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</si>
  <si>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</si>
  <si>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</si>
  <si>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</si>
  <si>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</si>
  <si>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</si>
  <si>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</si>
  <si>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</si>
  <si>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</si>
  <si>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</si>
  <si>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</si>
  <si>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</si>
  <si>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</si>
  <si>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</si>
  <si>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</si>
  <si>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</si>
  <si>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</si>
  <si>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</si>
  <si>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</si>
  <si>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</si>
  <si>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</si>
  <si>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</si>
  <si>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</si>
  <si>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</si>
  <si>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</si>
  <si>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</si>
  <si>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</si>
  <si>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</si>
  <si>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</si>
  <si>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</si>
  <si>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</si>
  <si>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</si>
  <si>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</si>
  <si>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</si>
  <si>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</si>
  <si>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</si>
  <si>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</si>
  <si>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</si>
  <si>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</si>
  <si>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</si>
  <si>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</si>
  <si>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</si>
  <si>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</si>
  <si>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</si>
  <si>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</si>
  <si>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</si>
  <si>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</si>
  <si>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</si>
  <si>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</si>
  <si>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</si>
  <si>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</si>
  <si>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</si>
  <si>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</si>
  <si>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</si>
  <si>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</si>
  <si>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</si>
  <si>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</si>
  <si>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</si>
  <si>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</si>
  <si>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</si>
  <si>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</si>
  <si>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</si>
  <si>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</si>
  <si>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</si>
  <si>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</si>
  <si>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</si>
  <si>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</si>
  <si>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</si>
  <si>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</si>
  <si>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</si>
  <si>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</si>
  <si>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</si>
  <si>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</si>
  <si>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</si>
  <si>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</si>
  <si>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</si>
  <si>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</si>
  <si>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</si>
  <si>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</si>
  <si>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</si>
  <si>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</si>
  <si>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</si>
  <si>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</si>
  <si>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</si>
  <si>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</si>
  <si>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</si>
  <si>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</si>
  <si>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</si>
  <si>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</si>
  <si>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</si>
  <si>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</si>
  <si>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</si>
  <si>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</si>
  <si>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</si>
  <si>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</si>
  <si>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</si>
  <si>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</si>
  <si>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</si>
  <si>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</si>
  <si>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</si>
  <si>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</si>
  <si>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</si>
  <si>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</si>
  <si>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</si>
  <si>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</si>
  <si>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</si>
  <si>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</si>
  <si>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</si>
  <si>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</si>
  <si>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</si>
  <si>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</si>
  <si>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</si>
  <si>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</si>
  <si>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</si>
  <si>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</si>
  <si>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</si>
  <si>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</si>
  <si>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</si>
  <si>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</si>
  <si>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</si>
  <si>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</si>
  <si>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</si>
  <si>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</si>
  <si>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</si>
  <si>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</si>
  <si>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</si>
  <si>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</si>
  <si>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</si>
  <si>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</si>
  <si>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</si>
  <si>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</si>
  <si>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</si>
  <si>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</si>
  <si>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</si>
  <si>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</si>
  <si>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</si>
  <si>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</si>
  <si>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</si>
  <si>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</si>
  <si>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</si>
  <si>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</si>
  <si>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</si>
  <si>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</si>
  <si>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</si>
  <si>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</si>
  <si>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</si>
  <si>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</si>
  <si>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</si>
  <si>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</si>
  <si>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</si>
  <si>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</si>
  <si>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</si>
  <si>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</si>
  <si>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</si>
  <si>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</si>
  <si>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</si>
  <si>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</si>
  <si>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</si>
  <si>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</si>
  <si>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</si>
  <si>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</si>
  <si>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</si>
  <si>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</si>
  <si>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</si>
  <si>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</si>
  <si>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</si>
  <si>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</si>
  <si>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</si>
  <si>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</si>
  <si>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</si>
  <si>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</si>
  <si>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</si>
  <si>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</si>
  <si>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</si>
  <si>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</si>
  <si>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</si>
  <si>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</si>
  <si>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</si>
  <si>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</si>
  <si>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</si>
  <si>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</si>
  <si>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</si>
  <si>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</si>
  <si>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</si>
  <si>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</si>
  <si>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</si>
  <si>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</si>
  <si>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</si>
  <si>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</si>
  <si>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</si>
  <si>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</si>
  <si>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</si>
  <si>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</si>
  <si>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</si>
  <si>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</si>
  <si>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</si>
  <si>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</si>
  <si>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</si>
  <si>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</si>
  <si>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</si>
  <si>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</si>
  <si>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</si>
  <si>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</si>
  <si>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</si>
  <si>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</si>
  <si>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</si>
  <si>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</si>
  <si>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</si>
  <si>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</si>
  <si>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</si>
  <si>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</si>
  <si>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</si>
  <si>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</si>
  <si>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</si>
  <si>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</si>
  <si>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</si>
  <si>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</si>
  <si>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</si>
  <si>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</si>
  <si>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</si>
  <si>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</si>
  <si>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</si>
  <si>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</si>
  <si>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</si>
  <si>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</si>
  <si>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</si>
  <si>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</si>
  <si>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</si>
  <si>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</si>
  <si>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</si>
  <si>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</si>
  <si>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</si>
  <si>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</si>
  <si>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</si>
  <si>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</si>
  <si>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</si>
  <si>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</si>
  <si>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</si>
  <si>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</si>
  <si>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204:444</t>
  </si>
  <si>
    <t>204:471</t>
  </si>
  <si>
    <t>204:466</t>
  </si>
  <si>
    <t>204:233293</t>
  </si>
  <si>
    <t>Early Arrival</t>
  </si>
  <si>
    <t>204:233308</t>
  </si>
  <si>
    <t>204:156</t>
  </si>
  <si>
    <t>204:232998</t>
  </si>
  <si>
    <t>204:467</t>
  </si>
  <si>
    <t>204:233321</t>
  </si>
  <si>
    <t>204:233282</t>
  </si>
  <si>
    <t>204:440</t>
  </si>
  <si>
    <t>204:233314</t>
  </si>
  <si>
    <t>204:680</t>
  </si>
  <si>
    <t>rtdc.l.rtdc.4027:itc</t>
  </si>
  <si>
    <t>rtdc.l.rtdc.4028:itc</t>
  </si>
  <si>
    <t>204:233002</t>
  </si>
  <si>
    <t>204:233312</t>
  </si>
  <si>
    <t>204:233300</t>
  </si>
  <si>
    <t>204:134</t>
  </si>
  <si>
    <t>204:232985</t>
  </si>
  <si>
    <t>204:233315</t>
  </si>
  <si>
    <t>204:233289</t>
  </si>
  <si>
    <t>rtdc.l.rtdc.4039:itc</t>
  </si>
  <si>
    <t>rtdc.l.rtdc.4042:itc</t>
  </si>
  <si>
    <t>rtdc.l.rtdc.4009:itc</t>
  </si>
  <si>
    <t>rtdc.l.rtdc.4010:itc</t>
  </si>
  <si>
    <t>rtdc.l.rtdc.4040:itc</t>
  </si>
  <si>
    <t>DAVID</t>
  </si>
  <si>
    <t>BARRON</t>
  </si>
  <si>
    <t>PERLA</t>
  </si>
  <si>
    <t>WEST</t>
  </si>
  <si>
    <t>BRYAN</t>
  </si>
  <si>
    <t>204:232977</t>
  </si>
  <si>
    <t>204:473</t>
  </si>
  <si>
    <t>204:232979</t>
  </si>
  <si>
    <t>204:136</t>
  </si>
  <si>
    <t>204:139</t>
  </si>
  <si>
    <t>rtdc.l.rtdc.4056:itc</t>
  </si>
  <si>
    <t>rtdc.l.rtdc.4030:itc</t>
  </si>
  <si>
    <t>rtdc.l.rtdc.4029:itc</t>
  </si>
  <si>
    <t>YANG</t>
  </si>
  <si>
    <t>JAN</t>
  </si>
  <si>
    <t>rtdc.l.rtdc.4001:itc</t>
  </si>
  <si>
    <t>FORTUNATO</t>
  </si>
  <si>
    <t>FRANK</t>
  </si>
  <si>
    <t>204:469</t>
  </si>
  <si>
    <t>204:161</t>
  </si>
  <si>
    <t>204:232973</t>
  </si>
  <si>
    <t>204:232994</t>
  </si>
  <si>
    <t>204:233000</t>
  </si>
  <si>
    <t>204:233297</t>
  </si>
  <si>
    <t>204:233295</t>
  </si>
  <si>
    <t>204:130</t>
  </si>
  <si>
    <t>300:23304</t>
  </si>
  <si>
    <t>204:971</t>
  </si>
  <si>
    <t>Wi-MAX data drop</t>
  </si>
  <si>
    <t>rtdc.l.rtdc.4013:itc</t>
  </si>
  <si>
    <t>rtdc.l.rtdc.4041:itc</t>
  </si>
  <si>
    <t>rtdc.l.rtdc.4002:itc</t>
  </si>
  <si>
    <t>rtdc.l.rtdc.4066:itc</t>
  </si>
  <si>
    <t>rtdc.l.rtdc.4065:itc</t>
  </si>
  <si>
    <t>WENDY</t>
  </si>
  <si>
    <t>rtdc.l.rtdc.4014:itc</t>
  </si>
  <si>
    <t>YORK</t>
  </si>
  <si>
    <t>EDGAR</t>
  </si>
  <si>
    <t>LOPES</t>
  </si>
  <si>
    <t>KIMBERLY</t>
  </si>
  <si>
    <t>RESPASS</t>
  </si>
  <si>
    <t>AARON</t>
  </si>
  <si>
    <t>HUFFSMITH</t>
  </si>
  <si>
    <t>MONTY</t>
  </si>
  <si>
    <t>LAMAR</t>
  </si>
  <si>
    <t>NEKESHA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</si>
  <si>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</si>
  <si>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</si>
  <si>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</si>
  <si>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</si>
  <si>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</si>
  <si>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</si>
  <si>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</si>
  <si>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</si>
  <si>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</si>
  <si>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</si>
  <si>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</si>
  <si>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</si>
  <si>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</si>
  <si>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</si>
  <si>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</si>
  <si>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</si>
  <si>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</si>
  <si>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204:433</t>
  </si>
  <si>
    <t>204:232978</t>
  </si>
  <si>
    <t>204:233319</t>
  </si>
  <si>
    <t>204:233005</t>
  </si>
  <si>
    <t>204:132</t>
  </si>
  <si>
    <t>204:232975</t>
  </si>
  <si>
    <t>204:233030</t>
  </si>
  <si>
    <t>204:232983</t>
  </si>
  <si>
    <t>204:233038</t>
  </si>
  <si>
    <t>300:58918</t>
  </si>
  <si>
    <t>204:694</t>
  </si>
  <si>
    <t>rtdc.l.rtdc.4008:itc</t>
  </si>
  <si>
    <t>rtdc.l.rtdc.4007:itc</t>
  </si>
  <si>
    <t>rtdc.l.rtdc.4017:itc</t>
  </si>
  <si>
    <t>rtdc.l.rtdc.4031:itc</t>
  </si>
  <si>
    <t>rtdc.l.rtdc.4006:itc</t>
  </si>
  <si>
    <t>rtdc.l.rtdc.4032:itc</t>
  </si>
  <si>
    <t>847-24</t>
  </si>
  <si>
    <t>238-24</t>
  </si>
  <si>
    <t>244-24</t>
  </si>
  <si>
    <t>rtdc.l.rtdc.4051:itc</t>
  </si>
  <si>
    <t>rtdc.l.rtdc.4052:itc</t>
  </si>
  <si>
    <t>WILLIAMS</t>
  </si>
  <si>
    <t>DONTE</t>
  </si>
  <si>
    <t>BEAM</t>
  </si>
  <si>
    <t>ROSS</t>
  </si>
  <si>
    <t>rtdc.l.rtdc.4005:itc</t>
  </si>
  <si>
    <t>GUZMAN</t>
  </si>
  <si>
    <t>DANNY</t>
  </si>
  <si>
    <t>DELGADO</t>
  </si>
  <si>
    <t>DIANAH</t>
  </si>
  <si>
    <t>BERLING</t>
  </si>
  <si>
    <t>GARY</t>
  </si>
  <si>
    <t>PERKINS</t>
  </si>
  <si>
    <t>DARREN</t>
  </si>
  <si>
    <t>ZEWDU</t>
  </si>
  <si>
    <t>DEREJE</t>
  </si>
  <si>
    <t>232-24</t>
  </si>
  <si>
    <t>234-24</t>
  </si>
  <si>
    <t>908-24</t>
  </si>
  <si>
    <t>237-24</t>
  </si>
  <si>
    <t>BIRENBAUM</t>
  </si>
  <si>
    <t>236-24</t>
  </si>
  <si>
    <t>239-24</t>
  </si>
  <si>
    <t>241-24</t>
  </si>
  <si>
    <t>240-24</t>
  </si>
  <si>
    <t>243-24</t>
  </si>
  <si>
    <t>307-24</t>
  </si>
  <si>
    <t>242-24</t>
  </si>
  <si>
    <t>309-24</t>
  </si>
  <si>
    <t>311-24</t>
  </si>
  <si>
    <t>313-24</t>
  </si>
  <si>
    <t>204:233311</t>
  </si>
  <si>
    <t>204:232992</t>
  </si>
  <si>
    <t>204:232989</t>
  </si>
  <si>
    <t>204:232963</t>
  </si>
  <si>
    <t>204:233330</t>
  </si>
  <si>
    <t>204:232959</t>
  </si>
  <si>
    <t>204:233284</t>
  </si>
  <si>
    <t>204:232990</t>
  </si>
  <si>
    <t>204:232961</t>
  </si>
  <si>
    <t>204:477</t>
  </si>
  <si>
    <t>204:233304</t>
  </si>
  <si>
    <t>204:233028</t>
  </si>
  <si>
    <t>204:233337</t>
  </si>
  <si>
    <t>204:233374</t>
  </si>
  <si>
    <t>204:233076</t>
  </si>
  <si>
    <t>204:174</t>
  </si>
  <si>
    <t>204:233280</t>
  </si>
  <si>
    <t>204:438</t>
  </si>
  <si>
    <t>204:129</t>
  </si>
  <si>
    <t>204:167</t>
  </si>
  <si>
    <t>300:23310</t>
  </si>
  <si>
    <t>300:58931</t>
  </si>
  <si>
    <t>300:58613</t>
  </si>
  <si>
    <t>300:58617</t>
  </si>
  <si>
    <t>300:58976</t>
  </si>
  <si>
    <t>300:58621</t>
  </si>
  <si>
    <t>204:717</t>
  </si>
  <si>
    <t>204:978</t>
  </si>
  <si>
    <t>300:58602</t>
  </si>
  <si>
    <t>204:1004</t>
  </si>
  <si>
    <t>300:58608</t>
  </si>
  <si>
    <t>204:960</t>
  </si>
  <si>
    <t>300:23648</t>
  </si>
  <si>
    <t>300:58609</t>
  </si>
  <si>
    <t>104-26</t>
  </si>
  <si>
    <t>115-26</t>
  </si>
  <si>
    <t>rtdc.l.rtdc.4062:itc</t>
  </si>
  <si>
    <t>131-26</t>
  </si>
  <si>
    <t>147-26</t>
  </si>
  <si>
    <t>1810-26</t>
  </si>
  <si>
    <t>152-26</t>
  </si>
  <si>
    <t>rtdc.l.rtdc.4044:itc</t>
  </si>
  <si>
    <t>163-26</t>
  </si>
  <si>
    <t>168-26</t>
  </si>
  <si>
    <t>1816-26</t>
  </si>
  <si>
    <t>187-26</t>
  </si>
  <si>
    <t>201-26</t>
  </si>
  <si>
    <t>77-26</t>
  </si>
  <si>
    <t>rtdc.l.rtdc.4061:itc</t>
  </si>
  <si>
    <t>202-26</t>
  </si>
  <si>
    <t>204-26</t>
  </si>
  <si>
    <t>75-26</t>
  </si>
  <si>
    <t>216-26</t>
  </si>
  <si>
    <t>rtdc.l.rtdc.4043:itc</t>
  </si>
  <si>
    <t>220-26</t>
  </si>
  <si>
    <t>71-26</t>
  </si>
  <si>
    <t>243-26</t>
  </si>
  <si>
    <t>244-26</t>
  </si>
  <si>
    <t>246-26</t>
  </si>
  <si>
    <t>307-25</t>
  </si>
  <si>
    <t>244-25</t>
  </si>
  <si>
    <t>rtdc.l.rtdc.4064:itc</t>
  </si>
  <si>
    <t>309-25</t>
  </si>
  <si>
    <t>246-25</t>
  </si>
  <si>
    <t>311-25</t>
  </si>
  <si>
    <t>313-25</t>
  </si>
  <si>
    <t>300-26</t>
  </si>
  <si>
    <t>MAELZER</t>
  </si>
  <si>
    <t>KURT</t>
  </si>
  <si>
    <t>101-26</t>
  </si>
  <si>
    <t>51-26</t>
  </si>
  <si>
    <t>52-26</t>
  </si>
  <si>
    <t>302-26</t>
  </si>
  <si>
    <t>65-26</t>
  </si>
  <si>
    <t>103-26</t>
  </si>
  <si>
    <t>66-26</t>
  </si>
  <si>
    <t>304-26</t>
  </si>
  <si>
    <t>105-26</t>
  </si>
  <si>
    <t>102-26</t>
  </si>
  <si>
    <t>306-26</t>
  </si>
  <si>
    <t>GEBRETEKLE</t>
  </si>
  <si>
    <t>DAGNEW</t>
  </si>
  <si>
    <t>308-26</t>
  </si>
  <si>
    <t>LALONDE</t>
  </si>
  <si>
    <t>GREGORY</t>
  </si>
  <si>
    <t>107-26</t>
  </si>
  <si>
    <t>109-26</t>
  </si>
  <si>
    <t>310-26</t>
  </si>
  <si>
    <t>DAVIDSON</t>
  </si>
  <si>
    <t>111-26</t>
  </si>
  <si>
    <t>113-26</t>
  </si>
  <si>
    <t>108-26</t>
  </si>
  <si>
    <t>106-26</t>
  </si>
  <si>
    <t>312-26</t>
  </si>
  <si>
    <t>110-26</t>
  </si>
  <si>
    <t>1901-26</t>
  </si>
  <si>
    <t>MACDONALD</t>
  </si>
  <si>
    <t>117-26</t>
  </si>
  <si>
    <t>1800-26</t>
  </si>
  <si>
    <t>112-26</t>
  </si>
  <si>
    <t>119-26</t>
  </si>
  <si>
    <t>1801-26</t>
  </si>
  <si>
    <t>114-26</t>
  </si>
  <si>
    <t>121-26</t>
  </si>
  <si>
    <t>116-26</t>
  </si>
  <si>
    <t>123-26</t>
  </si>
  <si>
    <t>118-26</t>
  </si>
  <si>
    <t>1802-26</t>
  </si>
  <si>
    <t>125-26</t>
  </si>
  <si>
    <t>122-26</t>
  </si>
  <si>
    <t>120-26</t>
  </si>
  <si>
    <t>127-26</t>
  </si>
  <si>
    <t>124-26</t>
  </si>
  <si>
    <t>129-26</t>
  </si>
  <si>
    <t>1803-26</t>
  </si>
  <si>
    <t>THOMPSON</t>
  </si>
  <si>
    <t>LESTER</t>
  </si>
  <si>
    <t>126-26</t>
  </si>
  <si>
    <t>1804-26</t>
  </si>
  <si>
    <t>133-26</t>
  </si>
  <si>
    <t>128-26</t>
  </si>
  <si>
    <t>135-26</t>
  </si>
  <si>
    <t>1805-26</t>
  </si>
  <si>
    <t>130-26</t>
  </si>
  <si>
    <t>137-26</t>
  </si>
  <si>
    <t>132-26</t>
  </si>
  <si>
    <t>139-26</t>
  </si>
  <si>
    <t>1806-26</t>
  </si>
  <si>
    <t>134-26</t>
  </si>
  <si>
    <t>136-26</t>
  </si>
  <si>
    <t>141-26</t>
  </si>
  <si>
    <t>138-26</t>
  </si>
  <si>
    <t>143-26</t>
  </si>
  <si>
    <t>1807-26</t>
  </si>
  <si>
    <t>145-26</t>
  </si>
  <si>
    <t>140-26</t>
  </si>
  <si>
    <t>142-26</t>
  </si>
  <si>
    <t>1808-26</t>
  </si>
  <si>
    <t>149-26</t>
  </si>
  <si>
    <t>151-26</t>
  </si>
  <si>
    <t>144-26</t>
  </si>
  <si>
    <t>146-26</t>
  </si>
  <si>
    <t>1809-26</t>
  </si>
  <si>
    <t>153-26</t>
  </si>
  <si>
    <t>CHANDLER</t>
  </si>
  <si>
    <t>KELVIN</t>
  </si>
  <si>
    <t>148-26</t>
  </si>
  <si>
    <t>155-26</t>
  </si>
  <si>
    <t>150-26</t>
  </si>
  <si>
    <t>157-26</t>
  </si>
  <si>
    <t>159-26</t>
  </si>
  <si>
    <t>154-26</t>
  </si>
  <si>
    <t>161-26</t>
  </si>
  <si>
    <t>1811-26</t>
  </si>
  <si>
    <t>156-26</t>
  </si>
  <si>
    <t>158-26</t>
  </si>
  <si>
    <t>BROWN</t>
  </si>
  <si>
    <t>JACOB</t>
  </si>
  <si>
    <t>165-26</t>
  </si>
  <si>
    <t>1812-26</t>
  </si>
  <si>
    <t>160-26</t>
  </si>
  <si>
    <t>167-26</t>
  </si>
  <si>
    <t>169-26</t>
  </si>
  <si>
    <t>162-26</t>
  </si>
  <si>
    <t>1813-26</t>
  </si>
  <si>
    <t>171-26</t>
  </si>
  <si>
    <t>164-26</t>
  </si>
  <si>
    <t>166-26</t>
  </si>
  <si>
    <t>1814-26</t>
  </si>
  <si>
    <t>173-26</t>
  </si>
  <si>
    <t>NEWELL</t>
  </si>
  <si>
    <t>JAMES</t>
  </si>
  <si>
    <t>175-26</t>
  </si>
  <si>
    <t>170-26</t>
  </si>
  <si>
    <t>177-26</t>
  </si>
  <si>
    <t>1815-26</t>
  </si>
  <si>
    <t>172-26</t>
  </si>
  <si>
    <t>174-26</t>
  </si>
  <si>
    <t>179-26</t>
  </si>
  <si>
    <t>181-26</t>
  </si>
  <si>
    <t>183-26</t>
  </si>
  <si>
    <t>176-26</t>
  </si>
  <si>
    <t>1817-26</t>
  </si>
  <si>
    <t>SAFIEF</t>
  </si>
  <si>
    <t>AEIMEN</t>
  </si>
  <si>
    <t>185-26</t>
  </si>
  <si>
    <t>178-26</t>
  </si>
  <si>
    <t>180-26</t>
  </si>
  <si>
    <t>HOLCOMB</t>
  </si>
  <si>
    <t>KAMDEN</t>
  </si>
  <si>
    <t>182-26</t>
  </si>
  <si>
    <t>1818-26</t>
  </si>
  <si>
    <t>189-26</t>
  </si>
  <si>
    <t>184-26</t>
  </si>
  <si>
    <t>186-26</t>
  </si>
  <si>
    <t>191-26</t>
  </si>
  <si>
    <t>1819-26</t>
  </si>
  <si>
    <t>193-26</t>
  </si>
  <si>
    <t>188-26</t>
  </si>
  <si>
    <t>195-26</t>
  </si>
  <si>
    <t>1820-26</t>
  </si>
  <si>
    <t>197-26</t>
  </si>
  <si>
    <t>190-26</t>
  </si>
  <si>
    <t>192-26</t>
  </si>
  <si>
    <t>199-26</t>
  </si>
  <si>
    <t>194-26</t>
  </si>
  <si>
    <t>1821-26</t>
  </si>
  <si>
    <t>198-26</t>
  </si>
  <si>
    <t>196-26</t>
  </si>
  <si>
    <t>203-26</t>
  </si>
  <si>
    <t>200-26</t>
  </si>
  <si>
    <t>1822-26</t>
  </si>
  <si>
    <t>205-26</t>
  </si>
  <si>
    <t>207-26</t>
  </si>
  <si>
    <t>1823-26</t>
  </si>
  <si>
    <t>209-26</t>
  </si>
  <si>
    <t>211-26</t>
  </si>
  <si>
    <t>1824-26</t>
  </si>
  <si>
    <t>206-26</t>
  </si>
  <si>
    <t>213-26</t>
  </si>
  <si>
    <t>208-26</t>
  </si>
  <si>
    <t>215-26</t>
  </si>
  <si>
    <t>1825-26</t>
  </si>
  <si>
    <t>210-26</t>
  </si>
  <si>
    <t>212-26</t>
  </si>
  <si>
    <t>217-26</t>
  </si>
  <si>
    <t>219-26</t>
  </si>
  <si>
    <t>214-26</t>
  </si>
  <si>
    <t>1826-26</t>
  </si>
  <si>
    <t>301-26</t>
  </si>
  <si>
    <t>221-26</t>
  </si>
  <si>
    <t>1827-26</t>
  </si>
  <si>
    <t>218-26</t>
  </si>
  <si>
    <t>223-26</t>
  </si>
  <si>
    <t>1828-26</t>
  </si>
  <si>
    <t>222-26</t>
  </si>
  <si>
    <t>225-26</t>
  </si>
  <si>
    <t>73-26</t>
  </si>
  <si>
    <t>1829-26</t>
  </si>
  <si>
    <t>227-26</t>
  </si>
  <si>
    <t>224-26</t>
  </si>
  <si>
    <t>1830-26</t>
  </si>
  <si>
    <t>226-26</t>
  </si>
  <si>
    <t>229-26</t>
  </si>
  <si>
    <t>1831-26</t>
  </si>
  <si>
    <t>228-26</t>
  </si>
  <si>
    <t>231-26</t>
  </si>
  <si>
    <t>1832-26</t>
  </si>
  <si>
    <t>233-26</t>
  </si>
  <si>
    <t>230-26</t>
  </si>
  <si>
    <t>1833-26</t>
  </si>
  <si>
    <t>235-26</t>
  </si>
  <si>
    <t>232-26</t>
  </si>
  <si>
    <t>1902-26</t>
  </si>
  <si>
    <t>237-26</t>
  </si>
  <si>
    <t>234-26</t>
  </si>
  <si>
    <t>236-26</t>
  </si>
  <si>
    <t>239-26</t>
  </si>
  <si>
    <t>241-26</t>
  </si>
  <si>
    <t>238-26</t>
  </si>
  <si>
    <t>240-26</t>
  </si>
  <si>
    <t>242-26</t>
  </si>
  <si>
    <t>245-26</t>
  </si>
  <si>
    <t>307-26</t>
  </si>
  <si>
    <t>309-26</t>
  </si>
  <si>
    <t>311-26</t>
  </si>
  <si>
    <t>rtdc.l.rtdc.4019:itc</t>
  </si>
  <si>
    <t>300-27</t>
  </si>
  <si>
    <t>204:759</t>
  </si>
  <si>
    <t>204:233327</t>
  </si>
  <si>
    <t>204:233004</t>
  </si>
  <si>
    <t>204:488</t>
  </si>
  <si>
    <t>204:233328</t>
  </si>
  <si>
    <t>204:233013</t>
  </si>
  <si>
    <t>204:233055</t>
  </si>
  <si>
    <t>204:233389</t>
  </si>
  <si>
    <t>204:233062</t>
  </si>
  <si>
    <t>204:233270</t>
  </si>
  <si>
    <t>204:232971</t>
  </si>
  <si>
    <t>204:233281</t>
  </si>
  <si>
    <t>204:160</t>
  </si>
  <si>
    <t>204:478</t>
  </si>
  <si>
    <t>204:233027</t>
  </si>
  <si>
    <t>204:121</t>
  </si>
  <si>
    <t>204:475</t>
  </si>
  <si>
    <t>204:233408</t>
  </si>
  <si>
    <t>204:233067</t>
  </si>
  <si>
    <t>204:233344</t>
  </si>
  <si>
    <t>204:233318</t>
  </si>
  <si>
    <t>204:232982</t>
  </si>
  <si>
    <t>204:233286</t>
  </si>
  <si>
    <t>204:170</t>
  </si>
  <si>
    <t>204:176</t>
  </si>
  <si>
    <t>204:233378</t>
  </si>
  <si>
    <t>204:233094</t>
  </si>
  <si>
    <t>204:233310</t>
  </si>
  <si>
    <t>204:232981</t>
  </si>
  <si>
    <t>204:233376</t>
  </si>
  <si>
    <t>204:233061</t>
  </si>
  <si>
    <t>204:482</t>
  </si>
  <si>
    <t>204:233347</t>
  </si>
  <si>
    <t>204:233338</t>
  </si>
  <si>
    <t>204:233032</t>
  </si>
  <si>
    <t>204:163</t>
  </si>
  <si>
    <t>204:233419</t>
  </si>
  <si>
    <t>204:233085</t>
  </si>
  <si>
    <t>204:233360</t>
  </si>
  <si>
    <t>204:233303</t>
  </si>
  <si>
    <t>204:480</t>
  </si>
  <si>
    <t>204:233301</t>
  </si>
  <si>
    <t>204:233069</t>
  </si>
  <si>
    <t>204:232966</t>
  </si>
  <si>
    <t>204:232965</t>
  </si>
  <si>
    <t>204:123</t>
  </si>
  <si>
    <t>204:233340</t>
  </si>
  <si>
    <t>204:233023</t>
  </si>
  <si>
    <t>300:58626</t>
  </si>
  <si>
    <t>204:696</t>
  </si>
  <si>
    <t>204:995</t>
  </si>
  <si>
    <t>300:58914</t>
  </si>
  <si>
    <t>300:58592</t>
  </si>
  <si>
    <t>204:747</t>
  </si>
  <si>
    <t>204:1034</t>
  </si>
  <si>
    <t>300:58935</t>
  </si>
  <si>
    <t>204:724</t>
  </si>
  <si>
    <t>204:703</t>
  </si>
  <si>
    <t>204:1000</t>
  </si>
  <si>
    <t>300:58897</t>
  </si>
  <si>
    <t>300:58591</t>
  </si>
  <si>
    <t>204:698</t>
  </si>
  <si>
    <t>204:981</t>
  </si>
  <si>
    <t>204:888</t>
  </si>
  <si>
    <t>204:1179</t>
  </si>
  <si>
    <t>300:58668</t>
  </si>
  <si>
    <t>204:113</t>
  </si>
  <si>
    <t>204:390</t>
  </si>
  <si>
    <t>300:58903</t>
  </si>
  <si>
    <t>204:712</t>
  </si>
  <si>
    <t>300:58924</t>
  </si>
  <si>
    <t>204:734</t>
  </si>
  <si>
    <t>204:1028</t>
  </si>
  <si>
    <t>300:58922</t>
  </si>
  <si>
    <t>204:671</t>
  </si>
  <si>
    <t>204:964</t>
  </si>
  <si>
    <t>300:58920</t>
  </si>
  <si>
    <t>204:985</t>
  </si>
  <si>
    <t>204:1032</t>
  </si>
  <si>
    <t>300:58594</t>
  </si>
  <si>
    <t>204:233334</t>
  </si>
  <si>
    <t>204:657</t>
  </si>
  <si>
    <t>300:58615</t>
  </si>
  <si>
    <t>204:1002</t>
  </si>
  <si>
    <t>204:119</t>
  </si>
  <si>
    <t>204:437</t>
  </si>
  <si>
    <t>204:233349</t>
  </si>
  <si>
    <t>300:58606</t>
  </si>
  <si>
    <t>300:28780</t>
  </si>
  <si>
    <t>204:233015</t>
  </si>
  <si>
    <t>204:233001</t>
  </si>
  <si>
    <t>204:233366</t>
  </si>
  <si>
    <t>204:233316</t>
  </si>
  <si>
    <t>204:233336</t>
  </si>
  <si>
    <t>204:233040</t>
  </si>
  <si>
    <t>204:233009</t>
  </si>
  <si>
    <t>204:233068</t>
  </si>
  <si>
    <t>204:1524</t>
  </si>
  <si>
    <t>204:233003</t>
  </si>
  <si>
    <t>204:19123</t>
  </si>
  <si>
    <t>204:1838</t>
  </si>
  <si>
    <t>204:233441</t>
  </si>
  <si>
    <t>204:233074</t>
  </si>
  <si>
    <t>204:429</t>
  </si>
  <si>
    <t>204:233025</t>
  </si>
  <si>
    <t>204:338</t>
  </si>
  <si>
    <t>204:233291</t>
  </si>
  <si>
    <t>204:233053</t>
  </si>
  <si>
    <t>204:765</t>
  </si>
  <si>
    <t>204:233395</t>
  </si>
  <si>
    <t>204:232724</t>
  </si>
  <si>
    <t>204:232641</t>
  </si>
  <si>
    <t>204:233353</t>
  </si>
  <si>
    <t>204:772</t>
  </si>
  <si>
    <t>204:232654</t>
  </si>
  <si>
    <t>204:704</t>
  </si>
  <si>
    <t>204:232656</t>
  </si>
  <si>
    <t>204:486</t>
  </si>
  <si>
    <t>204:233320</t>
  </si>
  <si>
    <t>204:232673</t>
  </si>
  <si>
    <t>204:2949</t>
  </si>
  <si>
    <t>204:757</t>
  </si>
  <si>
    <t>204:161568</t>
  </si>
  <si>
    <t>204:232660</t>
  </si>
  <si>
    <t>204:162359</t>
  </si>
  <si>
    <t>300:21890</t>
  </si>
  <si>
    <t>300:24006</t>
  </si>
  <si>
    <t>300:23642</t>
  </si>
  <si>
    <t>300:23688</t>
  </si>
  <si>
    <t>300:23410</t>
  </si>
  <si>
    <t>300:23495</t>
  </si>
  <si>
    <t>300:23293</t>
  </si>
  <si>
    <t>300:23254</t>
  </si>
  <si>
    <t>300:23612</t>
  </si>
  <si>
    <t>204:1473</t>
  </si>
  <si>
    <t>204:1469</t>
  </si>
  <si>
    <t>204:1160</t>
  </si>
  <si>
    <t>300:5336</t>
  </si>
  <si>
    <t>204:1956</t>
  </si>
  <si>
    <t>204:1173</t>
  </si>
  <si>
    <t>300:5574</t>
  </si>
  <si>
    <t>204:1475</t>
  </si>
  <si>
    <t>204:1895</t>
  </si>
  <si>
    <t>204:3421</t>
  </si>
  <si>
    <t>300:23107</t>
  </si>
  <si>
    <t>204:859</t>
  </si>
  <si>
    <t>300:24455</t>
  </si>
  <si>
    <t>300:23809</t>
  </si>
  <si>
    <t>204:1488</t>
  </si>
  <si>
    <t>204:1135</t>
  </si>
  <si>
    <t>start /low /b %USERPROFILE%\Documents\GitHub\eaglep3\Utilities\DownloadLogsFromS3.py --loco 4062 --day 2017-08-26</t>
  </si>
  <si>
    <t>start /low /b %USERPROFILE%\Documents\GitHub\eaglep3\Utilities\DownloadLogsFromS3.py --loco 4017 --day 2017-08-27</t>
  </si>
  <si>
    <t>start /low /b %USERPROFILE%\Documents\GitHub\eaglep3\Utilities\DownloadLogsFromS3.py --loco 4043 --day 2017-08-27</t>
  </si>
  <si>
    <t>start /low /b %USERPROFILE%\Documents\GitHub\eaglep3\Utilities\DownloadLogsFromS3.py --loco 4044 --day 2017-08-26</t>
  </si>
  <si>
    <t>start /low /b %USERPROFILE%\Documents\GitHub\eaglep3\Utilities\DownloadLogsFromS3.py --loco 4009 --day 2017-08-26</t>
  </si>
  <si>
    <t>start /low /b %USERPROFILE%\Documents\GitHub\eaglep3\Utilities\DownloadLogsFromS3.py --loco 4065 --day 2017-08-26</t>
  </si>
  <si>
    <t>start /low /b %USERPROFILE%\Documents\GitHub\eaglep3\Utilities\DownloadLogsFromS3.py --loco 4061 --day 2017-08-27</t>
  </si>
  <si>
    <t>start /low /b %USERPROFILE%\Documents\GitHub\eaglep3\Utilities\DownloadLogsFromS3.py --loco 4066 --day 2017-08-26</t>
  </si>
  <si>
    <t>start /low /b %USERPROFILE%\Documents\GitHub\eaglep3\Utilities\DownloadLogsFromS3.py --loco 4007 --day 2017-08-26</t>
  </si>
  <si>
    <t>start /low /b %USERPROFILE%\Documents\GitHub\eaglep3\Utilities\DownloadLogsFromS3.py --loco 4061 --day 2017-08-26</t>
  </si>
  <si>
    <t>start /low /b %USERPROFILE%\Documents\GitHub\eaglep3\Utilities\DownloadLogsFromS3.py --loco 4040 --day 2017-08-26</t>
  </si>
  <si>
    <t>start /low /b %USERPROFILE%\Documents\GitHub\eaglep3\Utilities\DownloadLogsFromS3.py --loco 4062 --day 2017-08-27</t>
  </si>
  <si>
    <t>start /low /b %USERPROFILE%\Documents\GitHub\eaglep3\Utilities\DownloadLogsFromS3.py --loco 4039 --day 2017-08-26</t>
  </si>
  <si>
    <t>start /low /b %USERPROFILE%\Documents\GitHub\eaglep3\Utilities\DownloadLogsFromS3.py --loco 4005 --day 2017-08-26</t>
  </si>
  <si>
    <t>Poor GPS at DUS</t>
  </si>
  <si>
    <t>Delayed by poor GPS at DUS</t>
  </si>
  <si>
    <t>Brief Wi-MAX data drop caused unhealthy banner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</si>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</sst>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7"/>
  <sheetViews>
    <sheetView topLeftCell="A111" workbookViewId="0">
      <selection activeCell="AF129" sqref="AF12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4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42973</v>
      </c>
      <c r="J2" s="58"/>
      <c r="K2" s="59"/>
      <c r="L2" s="177"/>
      <c r="M2" s="60" t="s">
        <v>8</v>
      </c>
      <c r="N2" s="61"/>
      <c r="O2" s="62"/>
      <c r="P2" s="2"/>
      <c r="R2" s="57">
        <f>Variables!$A$2</f>
        <v>42973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82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187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COUNTIFS($N$13:$N$9300,"&gt;0",$AG$13:$AG$9300,I1)</f>
        <v>144</v>
      </c>
      <c r="K5" s="39"/>
      <c r="L5" s="187"/>
      <c r="M5" s="40">
        <f>AVERAGEIFS($N$13:$N$9300,$AG$13:$AG$9300,I1)</f>
        <v>37.943518519241479</v>
      </c>
      <c r="N5" s="38">
        <f t="array" ref="N5">MIN(IF($AG$13:$AG$9300=I1,IF(ISNUMBER($N$13:$N$9300),IF($N$13:$N$9300&gt;0,$N$13:$N$9300))))</f>
        <v>34.200000000419095</v>
      </c>
      <c r="O5" s="3">
        <f t="array" ref="O5">MAX(IF($AG$13:$AG$9300=I1,IF(ISNUMBER($N$13:$N$9300),IF($N$13:$N$9300&gt;0,$N$13:$N$9300))))</f>
        <v>46.716666669817641</v>
      </c>
      <c r="P5" s="2"/>
      <c r="R5" s="166" t="s">
        <v>17</v>
      </c>
      <c r="S5" s="186">
        <f>COUNTIFS($N$13:$N$9300,"&gt;0",$AG$13:$AG$9300,R1)</f>
        <v>34</v>
      </c>
      <c r="T5" s="187"/>
      <c r="U5" s="187"/>
      <c r="V5" s="183">
        <f>AVERAGEIFS($N$13:$N$9300,$AG$13:$AG$9300,R1)</f>
        <v>15.276960783624364</v>
      </c>
      <c r="W5" s="184">
        <f t="array" ref="W5">MIN(IF($AG$13:$AG$9300=R1,IF(ISNUMBER($N$13:$N$9300),IF($N$13:$N$9300&gt;0,$N$13:$N$9300))))</f>
        <v>12.933333328692243</v>
      </c>
      <c r="X5" s="185">
        <f t="array" ref="X5">MAX(IF($AG$13:$AG$9300=R1,IF(ISNUMBER($N$13:$N$9300),IF($N$13:$N$9300&gt;0,$N$13:$N$9300))))</f>
        <v>19.983333331765607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187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7" t="s">
        <v>43</v>
      </c>
      <c r="S6" s="186">
        <f>COUNT($O$13:$O$127)</f>
        <v>0</v>
      </c>
      <c r="T6" s="187"/>
      <c r="U6" s="187"/>
      <c r="V6" s="183">
        <f>IFERROR(AVERAGE($O$13:$O$127),0)</f>
        <v>0</v>
      </c>
      <c r="W6" s="184">
        <f>MIN($O$13:$O$127)</f>
        <v>0</v>
      </c>
      <c r="X6" s="185">
        <f>MAX($O$13:$O$127)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COUNTIFS($P$13:$P$9300,"&gt;0",$AG$13:$AG$9300,I1)</f>
        <v>2</v>
      </c>
      <c r="K7" s="39"/>
      <c r="L7" s="187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COUNTIFS($P$13:$P$9300,"&gt;0",$AG$13:$AG$9300,R1)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87"/>
      <c r="M8" s="40">
        <f>M5</f>
        <v>37.943518519241479</v>
      </c>
      <c r="N8" s="38">
        <f>N5</f>
        <v>34.200000000419095</v>
      </c>
      <c r="O8" s="3">
        <f>O5</f>
        <v>46.716666669817641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15.276960783624364</v>
      </c>
      <c r="W8" s="184">
        <f>W5</f>
        <v>12.933333328692243</v>
      </c>
      <c r="X8" s="185">
        <f>X5</f>
        <v>19.983333331765607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74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4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8" t="str">
        <f>"Eagle P3 System Performance - "&amp;TEXT(Variables!A2,"yyyy-mm-dd")</f>
        <v>Eagle P3 System Performance - 2017-08-26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11">
        <f>AVERAGE(S13:S102)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598</v>
      </c>
      <c r="B13" s="7">
        <v>4008</v>
      </c>
      <c r="C13" s="21" t="s">
        <v>197</v>
      </c>
      <c r="D13" s="21" t="s">
        <v>797</v>
      </c>
      <c r="E13" s="13">
        <v>42973.12871527778</v>
      </c>
      <c r="F13" s="13">
        <v>42973.135983796295</v>
      </c>
      <c r="G13" s="7">
        <v>1</v>
      </c>
      <c r="H13" s="21" t="s">
        <v>798</v>
      </c>
      <c r="I13" s="13">
        <v>42973.161828703705</v>
      </c>
      <c r="J13" s="7">
        <v>0</v>
      </c>
      <c r="K13" s="89" t="str">
        <f t="shared" ref="K13:K76" si="0">IF(ISEVEN(B13),(B13-1)&amp;"/"&amp;B13,B13&amp;"/"&amp;(B13+1))</f>
        <v>4007/4008</v>
      </c>
      <c r="L13" s="217" t="str">
        <f>VLOOKUP(A13,'Trips&amp;Operators'!$C$1:$G$99911,5,FALSE)</f>
        <v>MAELZER KURT</v>
      </c>
      <c r="M13" s="6">
        <f t="shared" ref="M13:M76" si="1">I13-F13</f>
        <v>2.584490740991896E-2</v>
      </c>
      <c r="N13" s="7">
        <f t="shared" ref="N13:N44" si="2">24*60*SUM($M13:$M13)</f>
        <v>37.216666670283303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-26T02:05:21-0600',mode:absolute,to:'2017-08-26T04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7.5899999999999995E-2</v>
      </c>
      <c r="Z13" s="197">
        <f t="shared" ref="Z13:Z76" si="8">RIGHT(H13,LEN(H13)-4)/10000</f>
        <v>23.332699999999999</v>
      </c>
      <c r="AA13" s="197">
        <f t="shared" ref="AA13:AA76" si="9">ABS(Z13-Y13)</f>
        <v>23.256799999999998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/stypes="app*4008*20170826*"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4008 --swversion DE.1.0.9.0 --startMP 204:759 --initTime 2017-08-26T03:05:21 --startdatetime 2017-08-26T03:15:49 --delay 1 --endMP 204:233327 --enddatetime 2017-08-26T03:53:02 --enforcementcount 0 &gt;&gt;C:\Users\stu\Documents\GitHub\eaglep3-reporting\EC\2017-08-26-refined-times.txt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{"issue":{"subject":"","project_id":79,"tracker_id":40,"status_id":1,"priority_id":2,"assigned_to_id":23,"start_date":"2017-08-26","description":"","custom_fields":[{"id":1,"name":"Subdivision","value":"EC"},{"id":4,"name":"Milepost","value":"23.3327"},{"id":17,"name":"Train ID","value":"101-26"},{"id":16,"name":"Locomotive ID","value":"4008"},{"id":130,"name":"Impact","value":""},{"id":150,"name":"Time of Event (Mountain Time)","value":"03:53:02"},{"id":151,"name":"Denver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4008 --day 2017-08-26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09:53:02"},{"id":29,"name":"Sharepoint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607</v>
      </c>
      <c r="B14" s="7">
        <v>4007</v>
      </c>
      <c r="C14" s="21" t="s">
        <v>197</v>
      </c>
      <c r="D14" s="21" t="s">
        <v>799</v>
      </c>
      <c r="E14" s="13">
        <v>42973.170983796299</v>
      </c>
      <c r="F14" s="13">
        <v>42973.175173611111</v>
      </c>
      <c r="G14" s="7">
        <v>1</v>
      </c>
      <c r="H14" s="21" t="s">
        <v>339</v>
      </c>
      <c r="I14" s="13">
        <v>42973.201979166668</v>
      </c>
      <c r="J14" s="7">
        <v>0</v>
      </c>
      <c r="K14" s="89" t="str">
        <f t="shared" si="0"/>
        <v>4007/4008</v>
      </c>
      <c r="L14" s="217" t="str">
        <f>VLOOKUP(A14,'Trips&amp;Operators'!$C$1:$G$99911,5,FALSE)</f>
        <v>MAELZER KURT</v>
      </c>
      <c r="M14" s="6">
        <f t="shared" si="1"/>
        <v>2.6805555557075422E-2</v>
      </c>
      <c r="N14" s="7">
        <f t="shared" si="2"/>
        <v>38.600000002188608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-26T03:06:13-0600',mode:absolute,to:'2017-08-26T05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23.3004</v>
      </c>
      <c r="Z14" s="197">
        <f t="shared" si="8"/>
        <v>1.49E-2</v>
      </c>
      <c r="AA14" s="197">
        <f t="shared" si="9"/>
        <v>23.285499999999999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10"/>
        <v>102</v>
      </c>
      <c r="AE14" s="77" t="str">
        <f t="shared" si="11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14" s="74" t="str">
        <f t="shared" si="12"/>
        <v>"C:\Program Files (x86)\AstroGrep\AstroGrep.exe" /e /r /s /spath="%USERPROFILE%\AppData\Local\Temp\OnboardLogs" /stypes="app*4007*20170826*"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4007 --swversion DE.1.0.9.0 --startMP 204:233004 --initTime 2017-08-26T04:06:13 --startdatetime 2017-08-26T04:12:15 --delay 1 --endMP 204:149 --enddatetime 2017-08-26T04:50:51 --enforcementcount 0 &gt;&gt;C:\Users\stu\Documents\GitHub\eaglep3-reporting\EC\2017-08-26-refined-times.txt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ID","value":"102-26"},{"id":16,"name":"Locomotive ID","value":"4007"},{"id":130,"name":"Impact","value":""},{"id":150,"name":"Time of Event (Mountain Time)","value":"04:50:51"},{"id":151,"name":"Denver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4007 --day 2017-08-26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603</v>
      </c>
      <c r="B15" s="7">
        <v>4040</v>
      </c>
      <c r="C15" s="21" t="s">
        <v>197</v>
      </c>
      <c r="D15" s="21" t="s">
        <v>800</v>
      </c>
      <c r="E15" s="13">
        <v>42973.153912037036</v>
      </c>
      <c r="F15" s="13">
        <v>42973.156805555554</v>
      </c>
      <c r="G15" s="7">
        <v>1</v>
      </c>
      <c r="H15" s="21" t="s">
        <v>529</v>
      </c>
      <c r="I15" s="13">
        <v>42973.182743055557</v>
      </c>
      <c r="J15" s="7">
        <v>0</v>
      </c>
      <c r="K15" s="89" t="str">
        <f t="shared" si="0"/>
        <v>4039/4040</v>
      </c>
      <c r="L15" s="217" t="str">
        <f>VLOOKUP(A15,'Trips&amp;Operators'!$C$1:$G$99911,5,FALSE)</f>
        <v>WILLIAMS DONTE</v>
      </c>
      <c r="M15" s="6">
        <f t="shared" si="1"/>
        <v>2.5937500002328306E-2</v>
      </c>
      <c r="N15" s="7">
        <f t="shared" si="2"/>
        <v>37.350000003352761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-26T02:41:38-0600',mode:absolute,to:'2017-08-26T05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4.8800000000000003E-2</v>
      </c>
      <c r="Z15" s="197">
        <f t="shared" si="8"/>
        <v>23.331099999999999</v>
      </c>
      <c r="AA15" s="197">
        <f t="shared" si="9"/>
        <v>23.282299999999999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10"/>
        <v>103</v>
      </c>
      <c r="AE15" s="77" t="str">
        <f t="shared" si="11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5" s="74" t="str">
        <f t="shared" si="12"/>
        <v>"C:\Program Files (x86)\AstroGrep\AstroGrep.exe" /e /r /s /spath="%USERPROFILE%\AppData\Local\Temp\OnboardLogs" /stypes="app*4040*20170826*"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103-26 --locoid 4040 --swversion DE.1.0.9.0 --startMP 204:488 --initTime 2017-08-26T03:41:38 --startdatetime 2017-08-26T03:45:48 --delay 1 --endMP 204:233311 --enddatetime 2017-08-26T04:23:09 --enforcementcount 0 &gt;&gt;C:\Users\stu\Documents\GitHub\eaglep3-reporting\EC\2017-08-26-refined-times.txt</v>
      </c>
      <c r="AI1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{"issue":{"subject":"","project_id":79,"tracker_id":40,"status_id":1,"priority_id":2,"assigned_to_id":23,"start_date":"2017-08-26","description":"","custom_fields":[{"id":1,"name":"Subdivision","value":"EC"},{"id":4,"name":"Milepost","value":"23.3311"},{"id":17,"name":"Train ID","value":"103-26"},{"id":16,"name":"Locomotive ID","value":"4040"},{"id":130,"name":"Impact","value":""},{"id":150,"name":"Time of Event (Mountain Time)","value":"04:23:09"},{"id":151,"name":"Denver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4040 --day 2017-08-26</v>
      </c>
      <c r="AN1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563</v>
      </c>
      <c r="B16" s="7">
        <v>4039</v>
      </c>
      <c r="C16" s="21" t="s">
        <v>197</v>
      </c>
      <c r="D16" s="21" t="s">
        <v>530</v>
      </c>
      <c r="E16" s="13">
        <v>42973.193449074075</v>
      </c>
      <c r="F16" s="13">
        <v>42973.196203703701</v>
      </c>
      <c r="G16" s="7">
        <v>1</v>
      </c>
      <c r="H16" s="21" t="s">
        <v>544</v>
      </c>
      <c r="I16" s="13">
        <v>42973.224363425928</v>
      </c>
      <c r="J16" s="7">
        <v>0</v>
      </c>
      <c r="K16" s="89" t="str">
        <f t="shared" si="0"/>
        <v>4039/4040</v>
      </c>
      <c r="L16" s="217" t="str">
        <f>VLOOKUP(A16,'Trips&amp;Operators'!$C$1:$G$99911,5,FALSE)</f>
        <v>WILLIAMS DONTE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-26T03:38:34-0600',mode:absolute,to:'2017-08-26T06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23.299199999999999</v>
      </c>
      <c r="Z16" s="197">
        <f t="shared" si="8"/>
        <v>1.7399999999999999E-2</v>
      </c>
      <c r="AA16" s="197">
        <f t="shared" si="9"/>
        <v>23.2818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10"/>
        <v>104</v>
      </c>
      <c r="AE16" s="77" t="str">
        <f t="shared" si="11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6" s="74" t="str">
        <f t="shared" si="12"/>
        <v>"C:\Program Files (x86)\AstroGrep\AstroGrep.exe" /e /r /s /spath="%USERPROFILE%\AppData\Local\Temp\OnboardLogs" /stypes="app*4039*20170826*"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104-26 --locoid 4039 --swversion DE.1.0.9.0 --startMP 204:232992 --initTime 2017-08-26T04:38:34 --startdatetime 2017-08-26T04:42:32 --delay 1 --endMP 204:174 --enddatetime 2017-08-26T05:23:05 --enforcementcount 0 &gt;&gt;C:\Users\stu\Documents\GitHub\eaglep3-reporting\EC\2017-08-26-refined-times.txt</v>
      </c>
      <c r="AI1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{"issue":{"subject":"","project_id":79,"tracker_id":40,"status_id":1,"priority_id":2,"assigned_to_id":23,"start_date":"2017-08-26","description":"","custom_fields":[{"id":1,"name":"Subdivision","value":"EC"},{"id":4,"name":"Milepost","value":"0.0174"},{"id":17,"name":"Train ID","value":"104-26"},{"id":16,"name":"Locomotive ID","value":"4039"},{"id":130,"name":"Impact","value":""},{"id":150,"name":"Time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4039 --day 2017-08-26</v>
      </c>
      <c r="AN1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606</v>
      </c>
      <c r="B17" s="7">
        <v>4066</v>
      </c>
      <c r="C17" s="21" t="s">
        <v>197</v>
      </c>
      <c r="D17" s="21" t="s">
        <v>367</v>
      </c>
      <c r="E17" s="13">
        <v>42973.168935185182</v>
      </c>
      <c r="F17" s="13">
        <v>42973.17759259259</v>
      </c>
      <c r="G17" s="7">
        <v>1</v>
      </c>
      <c r="H17" s="21" t="s">
        <v>801</v>
      </c>
      <c r="I17" s="13">
        <v>42973.203310185185</v>
      </c>
      <c r="J17" s="7">
        <v>0</v>
      </c>
      <c r="K17" s="89" t="str">
        <f t="shared" si="0"/>
        <v>4065/4066</v>
      </c>
      <c r="L17" s="217" t="str">
        <f>VLOOKUP(A17,'Trips&amp;Operators'!$C$1:$G$99911,5,FALSE)</f>
        <v>DAVIS WENDY</v>
      </c>
      <c r="M17" s="6">
        <f t="shared" si="1"/>
        <v>2.5717592594446614E-2</v>
      </c>
      <c r="N17" s="7">
        <f t="shared" si="2"/>
        <v>37.033333336003125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-26T03:03:16-0600',mode:absolute,to:'2017-08-26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4.58E-2</v>
      </c>
      <c r="Z17" s="197">
        <f t="shared" si="8"/>
        <v>23.332799999999999</v>
      </c>
      <c r="AA17" s="197">
        <f t="shared" si="9"/>
        <v>23.286999999999999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10"/>
        <v>105</v>
      </c>
      <c r="AE17" s="77" t="str">
        <f t="shared" si="11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7" s="74" t="str">
        <f t="shared" si="12"/>
        <v>"C:\Program Files (x86)\AstroGrep\AstroGrep.exe" /e /r /s /spath="%USERPROFILE%\AppData\Local\Temp\OnboardLogs" /stypes="app*4066*20170826*"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105-26 --locoid 4066 --swversion DE.1.0.9.0 --startMP 204:458 --initTime 2017-08-26T04:03:16 --startdatetime 2017-08-26T04:15:44 --delay 1 --endMP 204:233328 --enddatetime 2017-08-26T04:52:46 --enforcementcount 0 &gt;&gt;C:\Users\stu\Documents\GitHub\eaglep3-reporting\EC\2017-08-26-refined-times.txt</v>
      </c>
      <c r="AI1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{"issue":{"subject":"","project_id":79,"tracker_id":40,"status_id":1,"priority_id":2,"assigned_to_id":23,"start_date":"2017-08-26","description":"","custom_fields":[{"id":1,"name":"Subdivision","value":"EC"},{"id":4,"name":"Milepost","value":"23.3328"},{"id":17,"name":"Train ID","value":"105-26"},{"id":16,"name":"Locomotive ID","value":"4066"},{"id":130,"name":"Impact","value":""},{"id":150,"name":"Time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4066 --day 2017-08-26</v>
      </c>
      <c r="AN1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621</v>
      </c>
      <c r="B18" s="7">
        <v>4065</v>
      </c>
      <c r="C18" s="21" t="s">
        <v>197</v>
      </c>
      <c r="D18" s="21" t="s">
        <v>802</v>
      </c>
      <c r="E18" s="13">
        <v>42973.214166666665</v>
      </c>
      <c r="F18" s="13">
        <v>42973.216828703706</v>
      </c>
      <c r="G18" s="7">
        <v>1</v>
      </c>
      <c r="H18" s="21" t="s">
        <v>433</v>
      </c>
      <c r="I18" s="13">
        <v>42973.24417824074</v>
      </c>
      <c r="J18" s="7">
        <v>0</v>
      </c>
      <c r="K18" s="89" t="str">
        <f t="shared" si="0"/>
        <v>4065/4066</v>
      </c>
      <c r="L18" s="217" t="str">
        <f>VLOOKUP(A18,'Trips&amp;Operators'!$C$1:$G$99911,5,FALSE)</f>
        <v>DAVIS WENDY</v>
      </c>
      <c r="M18" s="6">
        <f t="shared" si="1"/>
        <v>2.7349537034751847E-2</v>
      </c>
      <c r="N18" s="7">
        <f t="shared" si="2"/>
        <v>39.38333333004266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-26T04:08:24-0600',mode:absolute,to:'2017-08-26T06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23.301300000000001</v>
      </c>
      <c r="Z18" s="197">
        <f t="shared" si="8"/>
        <v>1.61E-2</v>
      </c>
      <c r="AA18" s="197">
        <f t="shared" si="9"/>
        <v>23.2852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10"/>
        <v>106</v>
      </c>
      <c r="AE18" s="77" t="str">
        <f t="shared" si="11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8" s="74" t="str">
        <f t="shared" si="12"/>
        <v>"C:\Program Files (x86)\AstroGrep\AstroGrep.exe" /e /r /s /spath="%USERPROFILE%\AppData\Local\Temp\OnboardLogs" /stypes="app*4065*20170826*"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106-26 --locoid 4065 --swversion DE.1.0.9.0 --startMP 204:233013 --initTime 2017-08-26T05:08:24 --startdatetime 2017-08-26T05:12:14 --delay 1 --endMP 204:161 --enddatetime 2017-08-26T05:51:37 --enforcementcount 0 &gt;&gt;C:\Users\stu\Documents\GitHub\eaglep3-reporting\EC\2017-08-26-refined-times.txt</v>
      </c>
      <c r="AI1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{"issue":{"subject":"","project_id":79,"tracker_id":40,"status_id":1,"priority_id":2,"assigned_to_id":23,"start_date":"2017-08-26","description":"","custom_fields":[{"id":1,"name":"Subdivision","value":"EC"},{"id":4,"name":"Milepost","value":"0.0161"},{"id":17,"name":"Train ID","value":"106-26"},{"id":16,"name":"Locomotive ID","value":"4065"},{"id":130,"name":"Impact","value":""},{"id":150,"name":"Time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4065 --day 2017-08-26</v>
      </c>
      <c r="AN1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614</v>
      </c>
      <c r="B19" s="7">
        <v>4044</v>
      </c>
      <c r="C19" s="21" t="s">
        <v>197</v>
      </c>
      <c r="D19" s="21" t="s">
        <v>371</v>
      </c>
      <c r="E19" s="13">
        <v>42973.184791666667</v>
      </c>
      <c r="F19" s="13">
        <v>42973.188020833331</v>
      </c>
      <c r="G19" s="7">
        <v>1</v>
      </c>
      <c r="H19" s="21" t="s">
        <v>542</v>
      </c>
      <c r="I19" s="13">
        <v>42973.212488425925</v>
      </c>
      <c r="J19" s="7">
        <v>0</v>
      </c>
      <c r="K19" s="89" t="str">
        <f t="shared" si="0"/>
        <v>4043/4044</v>
      </c>
      <c r="L19" s="217" t="str">
        <f>VLOOKUP(A19,'Trips&amp;Operators'!$C$1:$G$99911,5,FALSE)</f>
        <v>GEBRETEKLE DAGNEW</v>
      </c>
      <c r="M19" s="6">
        <f t="shared" si="1"/>
        <v>2.4467592593282461E-2</v>
      </c>
      <c r="N19" s="7">
        <f t="shared" si="2"/>
        <v>35.233333334326744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-26T03:26:06-0600',mode:absolute,to:'2017-08-26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4.4900000000000002E-2</v>
      </c>
      <c r="Z19" s="197">
        <f t="shared" si="8"/>
        <v>23.337399999999999</v>
      </c>
      <c r="AA19" s="197">
        <f t="shared" si="9"/>
        <v>23.2925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10"/>
        <v>107</v>
      </c>
      <c r="AE19" s="77" t="str">
        <f t="shared" si="11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19" s="74" t="str">
        <f t="shared" si="12"/>
        <v>"C:\Program Files (x86)\AstroGrep\AstroGrep.exe" /e /r /s /spath="%USERPROFILE%\AppData\Local\Temp\OnboardLogs" /stypes="app*4044*20170826*"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107-26 --locoid 4044 --swversion DE.1.0.9.0 --startMP 204:449 --initTime 2017-08-26T04:26:06 --startdatetime 2017-08-26T04:30:45 --delay 1 --endMP 204:233374 --enddatetime 2017-08-26T05:05:59 --enforcementcount 0 &gt;&gt;C:\Users\stu\Documents\GitHub\eaglep3-reporting\EC\2017-08-26-refined-times.txt</v>
      </c>
      <c r="AI1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{"issue":{"subject":"","project_id":79,"tracker_id":40,"status_id":1,"priority_id":2,"assigned_to_id":23,"start_date":"2017-08-26","description":"","custom_fields":[{"id":1,"name":"Subdivision","value":"EC"},{"id":4,"name":"Milepost","value":"23.3374"},{"id":17,"name":"Train ID","value":"107-26"},{"id":16,"name":"Locomotive ID","value":"4044"},{"id":130,"name":"Impact","value":""},{"id":150,"name":"Time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2017-08-26</v>
      </c>
      <c r="AN1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620</v>
      </c>
      <c r="B20" s="7">
        <v>4043</v>
      </c>
      <c r="C20" s="21" t="s">
        <v>197</v>
      </c>
      <c r="D20" s="21" t="s">
        <v>803</v>
      </c>
      <c r="E20" s="13">
        <v>42973.21365740741</v>
      </c>
      <c r="F20" s="13">
        <v>42973.22724537037</v>
      </c>
      <c r="G20" s="7">
        <v>1</v>
      </c>
      <c r="H20" s="21" t="s">
        <v>377</v>
      </c>
      <c r="I20" s="13">
        <v>42973.253645833334</v>
      </c>
      <c r="J20" s="7">
        <v>0</v>
      </c>
      <c r="K20" s="89" t="str">
        <f t="shared" si="0"/>
        <v>4043/4044</v>
      </c>
      <c r="L20" s="217" t="str">
        <f>VLOOKUP(A20,'Trips&amp;Operators'!$C$1:$G$99911,5,FALSE)</f>
        <v>GEBRETEKLE DAGNEW</v>
      </c>
      <c r="M20" s="6">
        <f t="shared" si="1"/>
        <v>2.6400462964375038E-2</v>
      </c>
      <c r="N20" s="7">
        <f t="shared" si="2"/>
        <v>38.016666668700054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-26T04:07:40-0600',mode:absolute,to:'2017-08-26T07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23.305499999999999</v>
      </c>
      <c r="Z20" s="197">
        <f t="shared" si="8"/>
        <v>1.4500000000000001E-2</v>
      </c>
      <c r="AA20" s="197">
        <f t="shared" si="9"/>
        <v>23.290999999999997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10"/>
        <v>108</v>
      </c>
      <c r="AE20" s="77" t="str">
        <f t="shared" si="11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20" s="74" t="str">
        <f t="shared" si="12"/>
        <v>"C:\Program Files (x86)\AstroGrep\AstroGrep.exe" /e /r /s /spath="%USERPROFILE%\AppData\Local\Temp\OnboardLogs" /stypes="app*4043*20170826*"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108-26 --locoid 4043 --swversion DE.1.0.9.0 --startMP 204:233055 --initTime 2017-08-26T05:07:40 --startdatetime 2017-08-26T05:27:14 --delay 1 --endMP 204:145 --enddatetime 2017-08-26T06:05:15 --enforcementcount 0 &gt;&gt;C:\Users\stu\Documents\GitHub\eaglep3-reporting\EC\2017-08-26-refined-times.txt</v>
      </c>
      <c r="AI2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ID","value":"108-26"},{"id":16,"name":"Locomotive ID","value":"4043"},{"id":130,"name":"Impact","value":""},{"id":150,"name":"Time of Event (Mountain Time)","value":"06:05:15"},{"id":151,"name":"Denver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4043 --day 2017-08-26</v>
      </c>
      <c r="AN2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615</v>
      </c>
      <c r="B21" s="7">
        <v>4010</v>
      </c>
      <c r="C21" s="21" t="s">
        <v>197</v>
      </c>
      <c r="D21" s="21" t="s">
        <v>367</v>
      </c>
      <c r="E21" s="13">
        <v>42973.192314814813</v>
      </c>
      <c r="F21" s="13">
        <v>42973.198437500003</v>
      </c>
      <c r="G21" s="7">
        <v>1</v>
      </c>
      <c r="H21" s="21" t="s">
        <v>541</v>
      </c>
      <c r="I21" s="13">
        <v>42973.222500000003</v>
      </c>
      <c r="J21" s="7">
        <v>0</v>
      </c>
      <c r="K21" s="89" t="str">
        <f t="shared" si="0"/>
        <v>4009/4010</v>
      </c>
      <c r="L21" s="217" t="str">
        <f>VLOOKUP(A21,'Trips&amp;Operators'!$C$1:$G$99911,5,FALSE)</f>
        <v>LALONDE GREGORY</v>
      </c>
      <c r="M21" s="6">
        <f t="shared" si="1"/>
        <v>2.4062500000582077E-2</v>
      </c>
      <c r="N21" s="7">
        <f t="shared" si="2"/>
        <v>34.65000000083819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-26T03:36:56-0600',mode:absolute,to:'2017-08-26T06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4.58E-2</v>
      </c>
      <c r="Z21" s="197">
        <f t="shared" si="8"/>
        <v>23.3337</v>
      </c>
      <c r="AA21" s="197">
        <f t="shared" si="9"/>
        <v>23.2879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10"/>
        <v>109</v>
      </c>
      <c r="AE21" s="77" t="str">
        <f t="shared" si="11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21" s="74" t="str">
        <f t="shared" si="12"/>
        <v>"C:\Program Files (x86)\AstroGrep\AstroGrep.exe" /e /r /s /spath="%USERPROFILE%\AppData\Local\Temp\OnboardLogs" /stypes="app*4010*20170826*"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109-26 --locoid 4010 --swversion DE.1.0.9.0 --startMP 204:458 --initTime 2017-08-26T04:36:56 --startdatetime 2017-08-26T04:45:45 --delay 1 --endMP 204:233337 --enddatetime 2017-08-26T05:20:24 --enforcementcount 0 &gt;&gt;C:\Users\stu\Documents\GitHub\eaglep3-reporting\EC\2017-08-26-refined-times.txt</v>
      </c>
      <c r="AI2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{"issue":{"subject":"","project_id":79,"tracker_id":40,"status_id":1,"priority_id":2,"assigned_to_id":23,"start_date":"2017-08-26","description":"","custom_fields":[{"id":1,"name":"Subdivision","value":"EC"},{"id":4,"name":"Milepost","value":"23.3337"},{"id":17,"name":"Train ID","value":"109-26"},{"id":16,"name":"Locomotive ID","value":"4010"},{"id":130,"name":"Impact","value":""},{"id":150,"name":"Time of Event (Mountain Time)","value":"05:20:24"},{"id":151,"name":"Denver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4010 --day 2017-08-26</v>
      </c>
      <c r="AN2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623</v>
      </c>
      <c r="B22" s="7">
        <v>4009</v>
      </c>
      <c r="C22" s="21" t="s">
        <v>197</v>
      </c>
      <c r="D22" s="21" t="s">
        <v>485</v>
      </c>
      <c r="E22" s="13">
        <v>42973.224074074074</v>
      </c>
      <c r="F22" s="13">
        <v>42973.237662037034</v>
      </c>
      <c r="G22" s="7">
        <v>1</v>
      </c>
      <c r="H22" s="21" t="s">
        <v>423</v>
      </c>
      <c r="I22" s="13">
        <v>42973.263564814813</v>
      </c>
      <c r="J22" s="7">
        <v>0</v>
      </c>
      <c r="K22" s="89" t="str">
        <f t="shared" si="0"/>
        <v>4009/4010</v>
      </c>
      <c r="L22" s="217" t="str">
        <f>VLOOKUP(A22,'Trips&amp;Operators'!$C$1:$G$99911,5,FALSE)</f>
        <v>LALONDE GREGORY</v>
      </c>
      <c r="M22" s="6">
        <f t="shared" si="1"/>
        <v>2.5902777779265307E-2</v>
      </c>
      <c r="N22" s="7">
        <f t="shared" si="2"/>
        <v>37.300000002142042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-26T04:22:40-0600',mode:absolute,to:'2017-08-26T07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23.303799999999999</v>
      </c>
      <c r="Z22" s="197">
        <f t="shared" si="8"/>
        <v>1.3899999999999999E-2</v>
      </c>
      <c r="AA22" s="197">
        <f t="shared" si="9"/>
        <v>23.289899999999999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10"/>
        <v>110</v>
      </c>
      <c r="AE22" s="77" t="str">
        <f t="shared" si="11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22" s="74" t="str">
        <f t="shared" si="12"/>
        <v>"C:\Program Files (x86)\AstroGrep\AstroGrep.exe" /e /r /s /spath="%USERPROFILE%\AppData\Local\Temp\OnboardLogs" /stypes="app*4009*20170826*"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110-26 --locoid 4009 --swversion DE.1.0.9.0 --startMP 204:233038 --initTime 2017-08-26T05:22:40 --startdatetime 2017-08-26T05:42:14 --delay 1 --endMP 204:139 --enddatetime 2017-08-26T06:19:32 --enforcementcount 0 &gt;&gt;C:\Users\stu\Documents\GitHub\eaglep3-reporting\EC\2017-08-26-refined-times.txt</v>
      </c>
      <c r="AI2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{"issue":{"subject":"","project_id":79,"tracker_id":40,"status_id":1,"priority_id":2,"assigned_to_id":23,"start_date":"2017-08-26","description":"","custom_fields":[{"id":1,"name":"Subdivision","value":"EC"},{"id":4,"name":"Milepost","value":"0.0139"},{"id":17,"name":"Train ID","value":"110-26"},{"id":16,"name":"Locomotive ID","value":"4009"},{"id":130,"name":"Impact","value":""},{"id":150,"name":"Time of Event (Mountain Time)","value":"06:19:32"},{"id":151,"name":"Denver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4009 --day 2017-08-26</v>
      </c>
      <c r="AN2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618</v>
      </c>
      <c r="B23" s="7">
        <v>4008</v>
      </c>
      <c r="C23" s="21" t="s">
        <v>197</v>
      </c>
      <c r="D23" s="21" t="s">
        <v>337</v>
      </c>
      <c r="E23" s="13">
        <v>42973.204282407409</v>
      </c>
      <c r="F23" s="13">
        <v>42973.208877314813</v>
      </c>
      <c r="G23" s="7">
        <v>1</v>
      </c>
      <c r="H23" s="21" t="s">
        <v>804</v>
      </c>
      <c r="I23" s="13">
        <v>42973.234409722223</v>
      </c>
      <c r="J23" s="7">
        <v>0</v>
      </c>
      <c r="K23" s="89" t="str">
        <f t="shared" si="0"/>
        <v>4007/4008</v>
      </c>
      <c r="L23" s="217" t="str">
        <f>VLOOKUP(A23,'Trips&amp;Operators'!$C$1:$G$99911,5,FALSE)</f>
        <v>MAELZER KURT</v>
      </c>
      <c r="M23" s="6">
        <f t="shared" si="1"/>
        <v>2.5532407409627922E-2</v>
      </c>
      <c r="N23" s="7">
        <f t="shared" si="2"/>
        <v>36.766666669864208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-26T03:54:10-0600',mode:absolute,to:'2017-08-26T06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4.4600000000000001E-2</v>
      </c>
      <c r="Z23" s="197">
        <f t="shared" si="8"/>
        <v>23.338899999999999</v>
      </c>
      <c r="AA23" s="197">
        <f t="shared" si="9"/>
        <v>23.2943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10"/>
        <v>111</v>
      </c>
      <c r="AE23" s="77" t="str">
        <f t="shared" si="11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23" s="74" t="str">
        <f t="shared" si="12"/>
        <v>"C:\Program Files (x86)\AstroGrep\AstroGrep.exe" /e /r /s /spath="%USERPROFILE%\AppData\Local\Temp\OnboardLogs" /stypes="app*4008*20170826*"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111-26 --locoid 4008 --swversion DE.1.0.9.0 --startMP 204:446 --initTime 2017-08-26T04:54:10 --startdatetime 2017-08-26T05:00:47 --delay 1 --endMP 204:233389 --enddatetime 2017-08-26T05:37:33 --enforcementcount 0 &gt;&gt;C:\Users\stu\Documents\GitHub\eaglep3-reporting\EC\2017-08-26-refined-times.txt</v>
      </c>
      <c r="AI2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{"issue":{"subject":"","project_id":79,"tracker_id":40,"status_id":1,"priority_id":2,"assigned_to_id":23,"start_date":"2017-08-26","description":"","custom_fields":[{"id":1,"name":"Subdivision","value":"EC"},{"id":4,"name":"Milepost","value":"23.3389"},{"id":17,"name":"Train ID","value":"111-26"},{"id":16,"name":"Locomotive ID","value":"4008"},{"id":130,"name":"Impact","value":""},{"id":150,"name":"Time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4008 --day 2017-08-26</v>
      </c>
      <c r="AN2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628</v>
      </c>
      <c r="B24" s="7">
        <v>4007</v>
      </c>
      <c r="C24" s="21" t="s">
        <v>197</v>
      </c>
      <c r="D24" s="21" t="s">
        <v>805</v>
      </c>
      <c r="E24" s="13">
        <v>42973.245324074072</v>
      </c>
      <c r="F24" s="13">
        <v>42973.248402777775</v>
      </c>
      <c r="G24" s="7">
        <v>1</v>
      </c>
      <c r="H24" s="21" t="s">
        <v>368</v>
      </c>
      <c r="I24" s="13">
        <v>42973.277175925927</v>
      </c>
      <c r="J24" s="7">
        <v>0</v>
      </c>
      <c r="K24" s="89" t="str">
        <f t="shared" si="0"/>
        <v>4007/4008</v>
      </c>
      <c r="L24" s="217" t="str">
        <f>VLOOKUP(A24,'Trips&amp;Operators'!$C$1:$G$99911,5,FALSE)</f>
        <v>MAELZER KURT</v>
      </c>
      <c r="M24" s="6">
        <f t="shared" si="1"/>
        <v>2.8773148151230998E-2</v>
      </c>
      <c r="N24" s="7">
        <f t="shared" si="2"/>
        <v>41.433333337772638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-26T04:53:16-0600',mode:absolute,to:'2017-08-26T07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23.3062</v>
      </c>
      <c r="Z24" s="197">
        <f t="shared" si="8"/>
        <v>1.5800000000000002E-2</v>
      </c>
      <c r="AA24" s="197">
        <f t="shared" si="9"/>
        <v>23.290400000000002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10"/>
        <v>112</v>
      </c>
      <c r="AE24" s="77" t="str">
        <f t="shared" si="11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24" s="74" t="str">
        <f t="shared" si="12"/>
        <v>"C:\Program Files (x86)\AstroGrep\AstroGrep.exe" /e /r /s /spath="%USERPROFILE%\AppData\Local\Temp\OnboardLogs" /stypes="app*4007*20170826*"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112-26 --locoid 4007 --swversion DE.1.0.9.0 --startMP 204:233062 --initTime 2017-08-26T05:53:16 --startdatetime 2017-08-26T05:57:42 --delay 1 --endMP 204:158 --enddatetime 2017-08-26T06:39:08 --enforcementcount 0 &gt;&gt;C:\Users\stu\Documents\GitHub\eaglep3-reporting\EC\2017-08-26-refined-times.txt</v>
      </c>
      <c r="AI2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{"issue":{"subject":"","project_id":79,"tracker_id":40,"status_id":1,"priority_id":2,"assigned_to_id":23,"start_date":"2017-08-26","description":"","custom_fields":[{"id":1,"name":"Subdivision","value":"EC"},{"id":4,"name":"Milepost","value":"0.0158"},{"id":17,"name":"Train ID","value":"112-26"},{"id":16,"name":"Locomotive ID","value":"4007"},{"id":130,"name":"Impact","value":""},{"id":150,"name":"Time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4007 --day 2017-08-26</v>
      </c>
      <c r="AN2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619</v>
      </c>
      <c r="B25" s="7">
        <v>4018</v>
      </c>
      <c r="C25" s="21" t="s">
        <v>197</v>
      </c>
      <c r="D25" s="21" t="s">
        <v>477</v>
      </c>
      <c r="E25" s="13">
        <v>42973.207592592589</v>
      </c>
      <c r="F25" s="13">
        <v>42973.219293981485</v>
      </c>
      <c r="G25" s="7">
        <v>2</v>
      </c>
      <c r="H25" s="21" t="s">
        <v>806</v>
      </c>
      <c r="I25" s="13">
        <v>42973.24496527778</v>
      </c>
      <c r="J25" s="7">
        <v>0</v>
      </c>
      <c r="K25" s="89" t="str">
        <f t="shared" si="0"/>
        <v>4017/4018</v>
      </c>
      <c r="L25" s="217" t="str">
        <f>VLOOKUP(A25,'Trips&amp;Operators'!$C$1:$G$99911,5,FALSE)</f>
        <v>DAVIDSON DAVID</v>
      </c>
      <c r="M25" s="6">
        <f t="shared" si="1"/>
        <v>2.5671296294603962E-2</v>
      </c>
      <c r="N25" s="7">
        <f t="shared" si="2"/>
        <v>36.966666664229706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-26T03:58:56-0600',mode:absolute,to:'2017-08-26T06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4.3299999999999998E-2</v>
      </c>
      <c r="Z25" s="197">
        <f t="shared" si="8"/>
        <v>23.327000000000002</v>
      </c>
      <c r="AA25" s="197">
        <f t="shared" si="9"/>
        <v>23.283700000000003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10"/>
        <v>113</v>
      </c>
      <c r="AE25" s="77" t="str">
        <f t="shared" si="11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25" s="74" t="str">
        <f t="shared" si="12"/>
        <v>"C:\Program Files (x86)\AstroGrep\AstroGrep.exe" /e /r /s /spath="%USERPROFILE%\AppData\Local\Temp\OnboardLogs" /stypes="app*4018*20170826*"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113-26 --locoid 4018 --swversion DE.1.0.9.0 --startMP 204:433 --initTime 2017-08-26T04:58:56 --startdatetime 2017-08-26T05:15:47 --delay 2 --endMP 204:233270 --enddatetime 2017-08-26T05:52:45 --enforcementcount 0 &gt;&gt;C:\Users\stu\Documents\GitHub\eaglep3-reporting\EC\2017-08-26-refined-times.txt</v>
      </c>
      <c r="AI2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{"issue":{"subject":"","project_id":79,"tracker_id":40,"status_id":1,"priority_id":2,"assigned_to_id":23,"start_date":"2017-08-26","description":"","custom_fields":[{"id":1,"name":"Subdivision","value":"EC"},{"id":4,"name":"Milepost","value":"23.327"},{"id":17,"name":"Train ID","value":"113-26"},{"id":16,"name":"Locomotive ID","value":"4018"},{"id":130,"name":"Impact","value":""},{"id":150,"name":"Time of Event (Mountain Time)","value":"05:52:45"},{"id":151,"name":"Denver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4018 --day 2017-08-26</v>
      </c>
      <c r="AN2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631</v>
      </c>
      <c r="B26" s="7">
        <v>4017</v>
      </c>
      <c r="C26" s="21" t="s">
        <v>197</v>
      </c>
      <c r="D26" s="21" t="s">
        <v>807</v>
      </c>
      <c r="E26" s="13">
        <v>42973.248692129629</v>
      </c>
      <c r="F26" s="13">
        <v>42973.258530092593</v>
      </c>
      <c r="G26" s="7">
        <v>1</v>
      </c>
      <c r="H26" s="21" t="s">
        <v>339</v>
      </c>
      <c r="I26" s="13">
        <v>42973.285925925928</v>
      </c>
      <c r="J26" s="7">
        <v>0</v>
      </c>
      <c r="K26" s="89" t="str">
        <f t="shared" si="0"/>
        <v>4017/4018</v>
      </c>
      <c r="L26" s="217" t="str">
        <f>VLOOKUP(A26,'Trips&amp;Operators'!$C$1:$G$99911,5,FALSE)</f>
        <v>DAVIDSON DAVID</v>
      </c>
      <c r="M26" s="6">
        <f t="shared" si="1"/>
        <v>2.7395833334594499E-2</v>
      </c>
      <c r="N26" s="7">
        <f t="shared" si="2"/>
        <v>39.450000001816079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-26T04:58:07-0600',mode:absolute,to:'2017-08-26T07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23.2971</v>
      </c>
      <c r="Z26" s="197">
        <f t="shared" si="8"/>
        <v>1.49E-2</v>
      </c>
      <c r="AA26" s="197">
        <f t="shared" si="9"/>
        <v>23.2822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10"/>
        <v>114</v>
      </c>
      <c r="AE26" s="77" t="str">
        <f t="shared" si="11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26" s="74" t="str">
        <f t="shared" si="12"/>
        <v>"C:\Program Files (x86)\AstroGrep\AstroGrep.exe" /e /r /s /spath="%USERPROFILE%\AppData\Local\Temp\OnboardLogs" /stypes="app*4017*20170826*"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114-26 --locoid 4017 --swversion DE.1.0.9.0 --startMP 204:232971 --initTime 2017-08-26T05:58:07 --startdatetime 2017-08-26T06:12:17 --delay 1 --endMP 204:149 --enddatetime 2017-08-26T06:51:44 --enforcementcount 0 &gt;&gt;C:\Users\stu\Documents\GitHub\eaglep3-reporting\EC\2017-08-26-refined-times.txt</v>
      </c>
      <c r="AI2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ID","value":"114-26"},{"id":16,"name":"Locomotive ID","value":"4017"},{"id":130,"name":"Impact","value":""},{"id":150,"name":"Time of Event (Mountain Time)","value":"06:51:44"},{"id":151,"name":"Denver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4017 --day 2017-08-26</v>
      </c>
      <c r="AN2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564</v>
      </c>
      <c r="B27" s="7">
        <v>4040</v>
      </c>
      <c r="C27" s="21" t="s">
        <v>197</v>
      </c>
      <c r="D27" s="21" t="s">
        <v>538</v>
      </c>
      <c r="E27" s="13">
        <v>42973.226921296293</v>
      </c>
      <c r="F27" s="13">
        <v>42973.229722222219</v>
      </c>
      <c r="G27" s="7">
        <v>1</v>
      </c>
      <c r="H27" s="21" t="s">
        <v>808</v>
      </c>
      <c r="I27" s="13">
        <v>42973.258923611109</v>
      </c>
      <c r="J27" s="7">
        <v>0</v>
      </c>
      <c r="K27" s="89" t="str">
        <f t="shared" si="0"/>
        <v>4039/4040</v>
      </c>
      <c r="L27" s="217" t="str">
        <f>VLOOKUP(A27,'Trips&amp;Operators'!$C$1:$G$99911,5,FALSE)</f>
        <v>WILLIAMS DONTE</v>
      </c>
      <c r="M27" s="6">
        <f t="shared" si="1"/>
        <v>2.920138889021473E-2</v>
      </c>
      <c r="N27" s="7">
        <f t="shared" si="2"/>
        <v>42.050000001909211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-26T04:26:46-0600',mode:absolute,to:'2017-08-26T07:12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4.7699999999999999E-2</v>
      </c>
      <c r="Z27" s="197">
        <f t="shared" si="8"/>
        <v>23.328099999999999</v>
      </c>
      <c r="AA27" s="197">
        <f t="shared" si="9"/>
        <v>23.2804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10"/>
        <v>115</v>
      </c>
      <c r="AE27" s="77" t="str">
        <f t="shared" si="11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27" s="74" t="str">
        <f t="shared" si="12"/>
        <v>"C:\Program Files (x86)\AstroGrep\AstroGrep.exe" /e /r /s /spath="%USERPROFILE%\AppData\Local\Temp\OnboardLogs" /stypes="app*4040*20170826*"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115-26 --locoid 4040 --swversion DE.1.0.9.0 --startMP 204:477 --initTime 2017-08-26T05:26:46 --startdatetime 2017-08-26T05:30:48 --delay 1 --endMP 204:233281 --enddatetime 2017-08-26T06:12:51 --enforcementcount 0 &gt;&gt;C:\Users\stu\Documents\GitHub\eaglep3-reporting\EC\2017-08-26-refined-times.txt</v>
      </c>
      <c r="AI2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{"issue":{"subject":"","project_id":79,"tracker_id":40,"status_id":1,"priority_id":2,"assigned_to_id":23,"start_date":"2017-08-26","description":"","custom_fields":[{"id":1,"name":"Subdivision","value":"EC"},{"id":4,"name":"Milepost","value":"23.3281"},{"id":17,"name":"Train ID","value":"115-26"},{"id":16,"name":"Locomotive ID","value":"4040"},{"id":130,"name":"Impact","value":""},{"id":150,"name":"Time of Event (Mountain Time)","value":"06:12:51"},{"id":151,"name":"Denver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4040 --day 2017-08-26</v>
      </c>
      <c r="AN2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12:12:51"},{"id":29,"name":"Sharepoint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633</v>
      </c>
      <c r="B28" s="7">
        <v>4039</v>
      </c>
      <c r="C28" s="21" t="s">
        <v>197</v>
      </c>
      <c r="D28" s="21" t="s">
        <v>799</v>
      </c>
      <c r="E28" s="13">
        <v>42973.265740740739</v>
      </c>
      <c r="F28" s="13">
        <v>42973.269375000003</v>
      </c>
      <c r="G28" s="7">
        <v>1</v>
      </c>
      <c r="H28" s="21" t="s">
        <v>809</v>
      </c>
      <c r="I28" s="13">
        <v>42973.295856481483</v>
      </c>
      <c r="J28" s="7">
        <v>0</v>
      </c>
      <c r="K28" s="89" t="str">
        <f t="shared" si="0"/>
        <v>4039/4040</v>
      </c>
      <c r="L28" s="217" t="str">
        <f>VLOOKUP(A28,'Trips&amp;Operators'!$C$1:$G$99911,5,FALSE)</f>
        <v>WILLIAMS DONTE</v>
      </c>
      <c r="M28" s="6">
        <f t="shared" si="1"/>
        <v>2.6481481480004732E-2</v>
      </c>
      <c r="N28" s="7">
        <f t="shared" si="2"/>
        <v>38.133333331206813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-26T05:22:40-0600',mode:absolute,to:'2017-08-26T08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23.3004</v>
      </c>
      <c r="Z28" s="197">
        <f t="shared" si="8"/>
        <v>1.6E-2</v>
      </c>
      <c r="AA28" s="197">
        <f t="shared" si="9"/>
        <v>23.284400000000002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10"/>
        <v>116</v>
      </c>
      <c r="AE28" s="77" t="str">
        <f t="shared" si="11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28" s="74" t="str">
        <f t="shared" si="12"/>
        <v>"C:\Program Files (x86)\AstroGrep\AstroGrep.exe" /e /r /s /spath="%USERPROFILE%\AppData\Local\Temp\OnboardLogs" /stypes="app*4039*20170826*"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116-26 --locoid 4039 --swversion DE.1.0.9.0 --startMP 204:233004 --initTime 2017-08-26T06:22:40 --startdatetime 2017-08-26T06:27:54 --delay 1 --endMP 204:160 --enddatetime 2017-08-26T07:06:02 --enforcementcount 0 &gt;&gt;C:\Users\stu\Documents\GitHub\eaglep3-reporting\EC\2017-08-26-refined-times.txt</v>
      </c>
      <c r="AI2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{"issue":{"subject":"","project_id":79,"tracker_id":40,"status_id":1,"priority_id":2,"assigned_to_id":23,"start_date":"2017-08-26","description":"","custom_fields":[{"id":1,"name":"Subdivision","value":"EC"},{"id":4,"name":"Milepost","value":"0.016"},{"id":17,"name":"Train ID","value":"116-26"},{"id":16,"name":"Locomotive ID","value":"4039"},{"id":130,"name":"Impact","value":""},{"id":150,"name":"Time of Event (Mountain Time)","value":"07:06:02"},{"id":151,"name":"Denver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4039 --day 2017-08-26</v>
      </c>
      <c r="AN2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626</v>
      </c>
      <c r="B29" s="7">
        <v>4062</v>
      </c>
      <c r="C29" s="21" t="s">
        <v>197</v>
      </c>
      <c r="D29" s="21" t="s">
        <v>367</v>
      </c>
      <c r="E29" s="13">
        <v>42973.231516203705</v>
      </c>
      <c r="F29" s="13">
        <v>42973.240104166667</v>
      </c>
      <c r="G29" s="7">
        <v>1</v>
      </c>
      <c r="H29" s="21" t="s">
        <v>535</v>
      </c>
      <c r="I29" s="13">
        <v>42973.266134259262</v>
      </c>
      <c r="J29" s="7">
        <v>0</v>
      </c>
      <c r="K29" s="89" t="str">
        <f t="shared" si="0"/>
        <v>4061/4062</v>
      </c>
      <c r="L29" s="217" t="str">
        <f>VLOOKUP(A29,'Trips&amp;Operators'!$C$1:$G$99911,5,FALSE)</f>
        <v>GUZMAN DANNY</v>
      </c>
      <c r="M29" s="6">
        <f t="shared" si="1"/>
        <v>2.6030092594737653E-2</v>
      </c>
      <c r="N29" s="7">
        <f t="shared" si="2"/>
        <v>37.48333333642222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-26T04:33:23-0600',mode:absolute,to:'2017-08-26T07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4.58E-2</v>
      </c>
      <c r="Z29" s="197">
        <f t="shared" si="8"/>
        <v>23.328399999999998</v>
      </c>
      <c r="AA29" s="197">
        <f t="shared" si="9"/>
        <v>23.282599999999999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10"/>
        <v>117</v>
      </c>
      <c r="AE29" s="77" t="str">
        <f t="shared" si="11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29" s="74" t="str">
        <f t="shared" si="12"/>
        <v>"C:\Program Files (x86)\AstroGrep\AstroGrep.exe" /e /r /s /spath="%USERPROFILE%\AppData\Local\Temp\OnboardLogs" /stypes="app*4062*20170826*"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117-26 --locoid 4062 --swversion DE.1.0.9.0 --startMP 204:458 --initTime 2017-08-26T05:33:23 --startdatetime 2017-08-26T05:45:45 --delay 1 --endMP 204:233284 --enddatetime 2017-08-26T06:23:14 --enforcementcount 0 &gt;&gt;C:\Users\stu\Documents\GitHub\eaglep3-reporting\EC\2017-08-26-refined-times.txt</v>
      </c>
      <c r="AI2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{"issue":{"subject":"","project_id":79,"tracker_id":40,"status_id":1,"priority_id":2,"assigned_to_id":23,"start_date":"2017-08-26","description":"","custom_fields":[{"id":1,"name":"Subdivision","value":"EC"},{"id":4,"name":"Milepost","value":"23.3284"},{"id":17,"name":"Train ID","value":"117-26"},{"id":16,"name":"Locomotive ID","value":"4062"},{"id":130,"name":"Impact","value":""},{"id":150,"name":"Time of Event (Mountain Time)","value":"06:23:14"},{"id":151,"name":"Denver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4062 --day 2017-08-26</v>
      </c>
      <c r="AN2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635</v>
      </c>
      <c r="B30" s="7">
        <v>4061</v>
      </c>
      <c r="C30" s="21" t="s">
        <v>197</v>
      </c>
      <c r="D30" s="21" t="s">
        <v>482</v>
      </c>
      <c r="E30" s="13">
        <v>42973.269502314812</v>
      </c>
      <c r="F30" s="13">
        <v>42973.279351851852</v>
      </c>
      <c r="G30" s="7">
        <v>1</v>
      </c>
      <c r="H30" s="21" t="s">
        <v>422</v>
      </c>
      <c r="I30" s="13">
        <v>42973.306284722225</v>
      </c>
      <c r="J30" s="7">
        <v>0</v>
      </c>
      <c r="K30" s="89" t="str">
        <f t="shared" si="0"/>
        <v>4061/4062</v>
      </c>
      <c r="L30" s="217" t="str">
        <f>VLOOKUP(A30,'Trips&amp;Operators'!$C$1:$G$99911,5,FALSE)</f>
        <v>GUZMAN DANNY</v>
      </c>
      <c r="M30" s="6">
        <f t="shared" si="1"/>
        <v>2.6932870372547768E-2</v>
      </c>
      <c r="N30" s="7">
        <f t="shared" si="2"/>
        <v>38.783333336468786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-26T05:28:05-0600',mode:absolute,to:'2017-08-26T08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23.297499999999999</v>
      </c>
      <c r="Z30" s="197">
        <f t="shared" si="8"/>
        <v>1.3599999999999999E-2</v>
      </c>
      <c r="AA30" s="197">
        <f t="shared" si="9"/>
        <v>23.283899999999999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10"/>
        <v>118</v>
      </c>
      <c r="AE30" s="77" t="str">
        <f t="shared" si="11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30" s="74" t="str">
        <f t="shared" si="12"/>
        <v>"C:\Program Files (x86)\AstroGrep\AstroGrep.exe" /e /r /s /spath="%USERPROFILE%\AppData\Local\Temp\OnboardLogs" /stypes="app*4061*20170826*"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118-26 --locoid 4061 --swversion DE.1.0.9.0 --startMP 204:232975 --initTime 2017-08-26T06:28:05 --startdatetime 2017-08-26T06:42:16 --delay 1 --endMP 204:136 --enddatetime 2017-08-26T07:21:03 --enforcementcount 0 &gt;&gt;C:\Users\stu\Documents\GitHub\eaglep3-reporting\EC\2017-08-26-refined-times.txt</v>
      </c>
      <c r="AI3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{"issue":{"subject":"","project_id":79,"tracker_id":40,"status_id":1,"priority_id":2,"assigned_to_id":23,"start_date":"2017-08-26","description":"","custom_fields":[{"id":1,"name":"Subdivision","value":"EC"},{"id":4,"name":"Milepost","value":"0.0136"},{"id":17,"name":"Train ID","value":"118-26"},{"id":16,"name":"Locomotive ID","value":"4061"},{"id":130,"name":"Impact","value":""},{"id":150,"name":"Time of Event (Mountain Time)","value":"07:21:03"},{"id":151,"name":"Denver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4061 --day 2017-08-26</v>
      </c>
      <c r="AN3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629</v>
      </c>
      <c r="B31" s="7">
        <v>4066</v>
      </c>
      <c r="C31" s="21" t="s">
        <v>197</v>
      </c>
      <c r="D31" s="21" t="s">
        <v>810</v>
      </c>
      <c r="E31" s="13">
        <v>42973.246319444443</v>
      </c>
      <c r="F31" s="13">
        <v>42973.250509259262</v>
      </c>
      <c r="G31" s="7">
        <v>1</v>
      </c>
      <c r="H31" s="21" t="s">
        <v>395</v>
      </c>
      <c r="I31" s="13">
        <v>42973.27621527778</v>
      </c>
      <c r="J31" s="7">
        <v>0</v>
      </c>
      <c r="K31" s="89" t="str">
        <f t="shared" si="0"/>
        <v>4065/4066</v>
      </c>
      <c r="L31" s="217" t="str">
        <f>VLOOKUP(A31,'Trips&amp;Operators'!$C$1:$G$99911,5,FALSE)</f>
        <v>DAVIS WENDY</v>
      </c>
      <c r="M31" s="6">
        <f t="shared" si="1"/>
        <v>2.5706018517666962E-2</v>
      </c>
      <c r="N31" s="7">
        <f t="shared" si="2"/>
        <v>37.016666665440425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-26T04:54:42-0600',mode:absolute,to:'2017-08-26T07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4.7800000000000002E-2</v>
      </c>
      <c r="Z31" s="197">
        <f t="shared" si="8"/>
        <v>23.332100000000001</v>
      </c>
      <c r="AA31" s="197">
        <f t="shared" si="9"/>
        <v>23.284300000000002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10"/>
        <v>119</v>
      </c>
      <c r="AE31" s="77" t="str">
        <f t="shared" si="11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31" s="74" t="str">
        <f t="shared" si="12"/>
        <v>"C:\Program Files (x86)\AstroGrep\AstroGrep.exe" /e /r /s /spath="%USERPROFILE%\AppData\Local\Temp\OnboardLogs" /stypes="app*4066*20170826*"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119-26 --locoid 4066 --swversion DE.1.0.9.0 --startMP 204:478 --initTime 2017-08-26T05:54:42 --startdatetime 2017-08-26T06:00:44 --delay 1 --endMP 204:233321 --enddatetime 2017-08-26T06:37:45 --enforcementcount 0 &gt;&gt;C:\Users\stu\Documents\GitHub\eaglep3-reporting\EC\2017-08-26-refined-times.txt</v>
      </c>
      <c r="AI3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{"issue":{"subject":"","project_id":79,"tracker_id":40,"status_id":1,"priority_id":2,"assigned_to_id":23,"start_date":"2017-08-26","description":"","custom_fields":[{"id":1,"name":"Subdivision","value":"EC"},{"id":4,"name":"Milepost","value":"23.3321"},{"id":17,"name":"Train ID","value":"119-26"},{"id":16,"name":"Locomotive ID","value":"4066"},{"id":130,"name":"Impact","value":""},{"id":150,"name":"Time of Event (Mountain Time)","value":"06:37:45"},{"id":151,"name":"Denver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4066 --day 2017-08-26</v>
      </c>
      <c r="AN3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639</v>
      </c>
      <c r="B32" s="7">
        <v>4065</v>
      </c>
      <c r="C32" s="21" t="s">
        <v>197</v>
      </c>
      <c r="D32" s="21" t="s">
        <v>811</v>
      </c>
      <c r="E32" s="13">
        <v>42973.287048611113</v>
      </c>
      <c r="F32" s="13">
        <v>42973.28974537037</v>
      </c>
      <c r="G32" s="7">
        <v>1</v>
      </c>
      <c r="H32" s="21" t="s">
        <v>812</v>
      </c>
      <c r="I32" s="13">
        <v>42973.316180555557</v>
      </c>
      <c r="J32" s="7">
        <v>0</v>
      </c>
      <c r="K32" s="89" t="str">
        <f t="shared" si="0"/>
        <v>4065/4066</v>
      </c>
      <c r="L32" s="217" t="str">
        <f>VLOOKUP(A32,'Trips&amp;Operators'!$C$1:$G$99911,5,FALSE)</f>
        <v>DAVIS WENDY</v>
      </c>
      <c r="M32" s="6">
        <f t="shared" si="1"/>
        <v>2.6435185187438037E-2</v>
      </c>
      <c r="N32" s="7">
        <f t="shared" si="2"/>
        <v>38.066666669910774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-26T05:53:21-0600',mode:absolute,to:'2017-08-26T08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23.302700000000002</v>
      </c>
      <c r="Z32" s="197">
        <f t="shared" si="8"/>
        <v>1.21E-2</v>
      </c>
      <c r="AA32" s="197">
        <f t="shared" si="9"/>
        <v>23.290600000000001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10"/>
        <v>120</v>
      </c>
      <c r="AE32" s="77" t="str">
        <f t="shared" si="11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32" s="74" t="str">
        <f t="shared" si="12"/>
        <v>"C:\Program Files (x86)\AstroGrep\AstroGrep.exe" /e /r /s /spath="%USERPROFILE%\AppData\Local\Temp\OnboardLogs" /stypes="app*4065*20170826*"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120-26 --locoid 4065 --swversion DE.1.0.9.0 --startMP 204:233027 --initTime 2017-08-26T06:53:21 --startdatetime 2017-08-26T06:57:14 --delay 1 --endMP 204:121 --enddatetime 2017-08-26T07:35:18 --enforcementcount 0 &gt;&gt;C:\Users\stu\Documents\GitHub\eaglep3-reporting\EC\2017-08-26-refined-times.txt</v>
      </c>
      <c r="AI3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{"issue":{"subject":"","project_id":79,"tracker_id":40,"status_id":1,"priority_id":2,"assigned_to_id":23,"start_date":"2017-08-26","description":"","custom_fields":[{"id":1,"name":"Subdivision","value":"EC"},{"id":4,"name":"Milepost","value":"0.0121"},{"id":17,"name":"Train ID","value":"120-26"},{"id":16,"name":"Locomotive ID","value":"4065"},{"id":130,"name":"Impact","value":""},{"id":150,"name":"Time of Event (Mountain Time)","value":"07:35:18"},{"id":151,"name":"Denver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4065 --day 2017-08-26</v>
      </c>
      <c r="AN3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632</v>
      </c>
      <c r="B33" s="7">
        <v>4044</v>
      </c>
      <c r="C33" s="21" t="s">
        <v>197</v>
      </c>
      <c r="D33" s="21" t="s">
        <v>813</v>
      </c>
      <c r="E33" s="13">
        <v>42973.255266203705</v>
      </c>
      <c r="F33" s="13">
        <v>42973.261006944442</v>
      </c>
      <c r="G33" s="7">
        <v>0</v>
      </c>
      <c r="H33" s="21" t="s">
        <v>814</v>
      </c>
      <c r="I33" s="13">
        <v>42973.28497685185</v>
      </c>
      <c r="J33" s="7">
        <v>0</v>
      </c>
      <c r="K33" s="89" t="str">
        <f t="shared" si="0"/>
        <v>4043/4044</v>
      </c>
      <c r="L33" s="217" t="str">
        <f>VLOOKUP(A33,'Trips&amp;Operators'!$C$1:$G$99911,5,FALSE)</f>
        <v>GEBRETEKLE DAGNEW</v>
      </c>
      <c r="M33" s="6">
        <f t="shared" si="1"/>
        <v>2.396990740817273E-2</v>
      </c>
      <c r="N33" s="7">
        <f t="shared" si="2"/>
        <v>34.516666667768732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-26T05:07:35-0600',mode:absolute,to:'2017-08-26T07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4.7500000000000001E-2</v>
      </c>
      <c r="Z33" s="197">
        <f t="shared" si="8"/>
        <v>23.340800000000002</v>
      </c>
      <c r="AA33" s="197">
        <f t="shared" si="9"/>
        <v>23.293300000000002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10"/>
        <v>121</v>
      </c>
      <c r="AE33" s="77" t="str">
        <f t="shared" si="11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33" s="74" t="str">
        <f t="shared" si="12"/>
        <v>"C:\Program Files (x86)\AstroGrep\AstroGrep.exe" /e /r /s /spath="%USERPROFILE%\AppData\Local\Temp\OnboardLogs" /stypes="app*4044*20170826*"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121-26 --locoid 4044 --swversion DE.1.0.9.0 --startMP 204:475 --initTime 2017-08-26T06:07:35 --startdatetime 2017-08-26T06:15:51 --delay 0 --endMP 204:233408 --enddatetime 2017-08-26T06:50:22 --enforcementcount 0 &gt;&gt;C:\Users\stu\Documents\GitHub\eaglep3-reporting\EC\2017-08-26-refined-times.txt</v>
      </c>
      <c r="AI3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{"issue":{"subject":"","project_id":79,"tracker_id":40,"status_id":1,"priority_id":2,"assigned_to_id":23,"start_date":"2017-08-26","description":"","custom_fields":[{"id":1,"name":"Subdivision","value":"EC"},{"id":4,"name":"Milepost","value":"23.3408"},{"id":17,"name":"Train ID","value":"121-26"},{"id":16,"name":"Locomotive ID","value":"4044"},{"id":130,"name":"Impact","value":""},{"id":150,"name":"Time of Event (Mountain Time)","value":"06:50:22"},{"id":151,"name":"Denver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4044 --day 2017-08-26</v>
      </c>
      <c r="AN3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638</v>
      </c>
      <c r="B34" s="7">
        <v>4043</v>
      </c>
      <c r="C34" s="21" t="s">
        <v>197</v>
      </c>
      <c r="D34" s="21" t="s">
        <v>815</v>
      </c>
      <c r="E34" s="13">
        <v>42973.286203703705</v>
      </c>
      <c r="F34" s="13">
        <v>42973.300173611111</v>
      </c>
      <c r="G34" s="7">
        <v>1</v>
      </c>
      <c r="H34" s="21" t="s">
        <v>339</v>
      </c>
      <c r="I34" s="13">
        <v>42973.326562499999</v>
      </c>
      <c r="J34" s="7">
        <v>0</v>
      </c>
      <c r="K34" s="89" t="str">
        <f t="shared" si="0"/>
        <v>4043/4044</v>
      </c>
      <c r="L34" s="217" t="str">
        <f>VLOOKUP(A34,'Trips&amp;Operators'!$C$1:$G$99911,5,FALSE)</f>
        <v>GEBRETEKLE DAGNEW</v>
      </c>
      <c r="M34" s="6">
        <f t="shared" si="1"/>
        <v>2.6388888887595385E-2</v>
      </c>
      <c r="N34" s="7">
        <f t="shared" si="2"/>
        <v>37.999999998137355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-26T05:52:08-0600',mode:absolute,to:'2017-08-26T08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23.306699999999999</v>
      </c>
      <c r="Z34" s="197">
        <f t="shared" si="8"/>
        <v>1.49E-2</v>
      </c>
      <c r="AA34" s="197">
        <f t="shared" si="9"/>
        <v>23.291799999999999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10"/>
        <v>122</v>
      </c>
      <c r="AE34" s="77" t="str">
        <f t="shared" si="11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34" s="74" t="str">
        <f t="shared" si="12"/>
        <v>"C:\Program Files (x86)\AstroGrep\AstroGrep.exe" /e /r /s /spath="%USERPROFILE%\AppData\Local\Temp\OnboardLogs" /stypes="app*4043*20170826*"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122-26 --locoid 4043 --swversion DE.1.0.9.0 --startMP 204:233067 --initTime 2017-08-26T06:52:08 --startdatetime 2017-08-26T07:12:15 --delay 1 --endMP 204:149 --enddatetime 2017-08-26T07:50:15 --enforcementcount 0 &gt;&gt;C:\Users\stu\Documents\GitHub\eaglep3-reporting\EC\2017-08-26-refined-times.txt</v>
      </c>
      <c r="AI3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ID","value":"122-26"},{"id":16,"name":"Locomotive ID","value":"4043"},{"id":130,"name":"Impact","value":""},{"id":150,"name":"Time of Event (Mountain Time)","value":"07:50:15"},{"id":151,"name":"Denver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4043 --day 2017-08-26</v>
      </c>
      <c r="AN3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634</v>
      </c>
      <c r="B35" s="7">
        <v>4010</v>
      </c>
      <c r="C35" s="21" t="s">
        <v>197</v>
      </c>
      <c r="D35" s="21" t="s">
        <v>397</v>
      </c>
      <c r="E35" s="13">
        <v>42973.269062500003</v>
      </c>
      <c r="F35" s="13">
        <v>42973.271354166667</v>
      </c>
      <c r="G35" s="7">
        <v>1</v>
      </c>
      <c r="H35" s="21" t="s">
        <v>816</v>
      </c>
      <c r="I35" s="13">
        <v>42973.295624999999</v>
      </c>
      <c r="J35" s="7">
        <v>0</v>
      </c>
      <c r="K35" s="89" t="str">
        <f t="shared" si="0"/>
        <v>4009/4010</v>
      </c>
      <c r="L35" s="217" t="str">
        <f>VLOOKUP(A35,'Trips&amp;Operators'!$C$1:$G$99911,5,FALSE)</f>
        <v>LALONDE GREGORY</v>
      </c>
      <c r="M35" s="6">
        <f t="shared" si="1"/>
        <v>2.4270833331684116E-2</v>
      </c>
      <c r="N35" s="7">
        <f t="shared" si="2"/>
        <v>34.949999997625127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-26T05:27:27-0600',mode:absolute,to:'2017-08-26T08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4.3999999999999997E-2</v>
      </c>
      <c r="Z35" s="197">
        <f t="shared" si="8"/>
        <v>23.334399999999999</v>
      </c>
      <c r="AA35" s="197">
        <f t="shared" si="9"/>
        <v>23.290399999999998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10"/>
        <v>123</v>
      </c>
      <c r="AE35" s="77" t="str">
        <f t="shared" si="11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35" s="74" t="str">
        <f t="shared" si="12"/>
        <v>"C:\Program Files (x86)\AstroGrep\AstroGrep.exe" /e /r /s /spath="%USERPROFILE%\AppData\Local\Temp\OnboardLogs" /stypes="app*4010*20170826*"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123-26 --locoid 4010 --swversion DE.1.0.9.0 --startMP 204:440 --initTime 2017-08-26T06:27:27 --startdatetime 2017-08-26T06:30:45 --delay 1 --endMP 204:233344 --enddatetime 2017-08-26T07:05:42 --enforcementcount 0 &gt;&gt;C:\Users\stu\Documents\GitHub\eaglep3-reporting\EC\2017-08-26-refined-times.txt</v>
      </c>
      <c r="AI3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{"issue":{"subject":"","project_id":79,"tracker_id":40,"status_id":1,"priority_id":2,"assigned_to_id":23,"start_date":"2017-08-26","description":"","custom_fields":[{"id":1,"name":"Subdivision","value":"EC"},{"id":4,"name":"Milepost","value":"23.3344"},{"id":17,"name":"Train ID","value":"123-26"},{"id":16,"name":"Locomotive ID","value":"4010"},{"id":130,"name":"Impact","value":""},{"id":150,"name":"Time of Event (Mountain Time)","value":"07:05:42"},{"id":151,"name":"Denver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4010 --day 2017-08-26</v>
      </c>
      <c r="AN3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641</v>
      </c>
      <c r="B36" s="7">
        <v>4009</v>
      </c>
      <c r="C36" s="21" t="s">
        <v>197</v>
      </c>
      <c r="D36" s="21" t="s">
        <v>483</v>
      </c>
      <c r="E36" s="13">
        <v>42973.297256944446</v>
      </c>
      <c r="F36" s="13">
        <v>42973.310567129629</v>
      </c>
      <c r="G36" s="7">
        <v>1</v>
      </c>
      <c r="H36" s="21" t="s">
        <v>392</v>
      </c>
      <c r="I36" s="13">
        <v>42973.336296296293</v>
      </c>
      <c r="J36" s="7">
        <v>0</v>
      </c>
      <c r="K36" s="89" t="str">
        <f t="shared" si="0"/>
        <v>4009/4010</v>
      </c>
      <c r="L36" s="217" t="str">
        <f>VLOOKUP(A36,'Trips&amp;Operators'!$C$1:$G$99911,5,FALSE)</f>
        <v>LALONDE GREGORY</v>
      </c>
      <c r="M36" s="6">
        <f t="shared" si="1"/>
        <v>2.5729166663950309E-2</v>
      </c>
      <c r="N36" s="7">
        <f t="shared" si="2"/>
        <v>37.049999996088445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-26T06:08:03-0600',mode:absolute,to:'2017-08-26T09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23.303000000000001</v>
      </c>
      <c r="Z36" s="197">
        <f t="shared" si="8"/>
        <v>1.5599999999999999E-2</v>
      </c>
      <c r="AA36" s="197">
        <f t="shared" si="9"/>
        <v>23.287400000000002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10"/>
        <v>124</v>
      </c>
      <c r="AE36" s="77" t="str">
        <f t="shared" si="11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36" s="74" t="str">
        <f t="shared" si="12"/>
        <v>"C:\Program Files (x86)\AstroGrep\AstroGrep.exe" /e /r /s /spath="%USERPROFILE%\AppData\Local\Temp\OnboardLogs" /stypes="app*4009*20170826*"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124-26 --locoid 4009 --swversion DE.1.0.9.0 --startMP 204:233030 --initTime 2017-08-26T07:08:03 --startdatetime 2017-08-26T07:27:13 --delay 1 --endMP 204:156 --enddatetime 2017-08-26T08:04:16 --enforcementcount 0 &gt;&gt;C:\Users\stu\Documents\GitHub\eaglep3-reporting\EC\2017-08-26-refined-times.txt</v>
      </c>
      <c r="AI3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{"issue":{"subject":"","project_id":79,"tracker_id":40,"status_id":1,"priority_id":2,"assigned_to_id":23,"start_date":"2017-08-26","description":"","custom_fields":[{"id":1,"name":"Subdivision","value":"EC"},{"id":4,"name":"Milepost","value":"0.0156"},{"id":17,"name":"Train ID","value":"124-26"},{"id":16,"name":"Locomotive ID","value":"4009"},{"id":130,"name":"Impact","value":""},{"id":150,"name":"Time of Event (Mountain Time)","value":"08:04:16"},{"id":151,"name":"Denver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4009 --day 2017-08-26</v>
      </c>
      <c r="AN3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637</v>
      </c>
      <c r="B37" s="7">
        <v>4008</v>
      </c>
      <c r="C37" s="21" t="s">
        <v>197</v>
      </c>
      <c r="D37" s="21" t="s">
        <v>375</v>
      </c>
      <c r="E37" s="13">
        <v>42973.27851851852</v>
      </c>
      <c r="F37" s="13">
        <v>42973.281898148147</v>
      </c>
      <c r="G37" s="7">
        <v>1</v>
      </c>
      <c r="H37" s="21" t="s">
        <v>817</v>
      </c>
      <c r="I37" s="13">
        <v>42973.306087962963</v>
      </c>
      <c r="J37" s="7">
        <v>0</v>
      </c>
      <c r="K37" s="89" t="str">
        <f t="shared" si="0"/>
        <v>4007/4008</v>
      </c>
      <c r="L37" s="217" t="str">
        <f>VLOOKUP(A37,'Trips&amp;Operators'!$C$1:$G$99911,5,FALSE)</f>
        <v>MAELZER KURT</v>
      </c>
      <c r="M37" s="6">
        <f t="shared" si="1"/>
        <v>2.4189814816054422E-2</v>
      </c>
      <c r="N37" s="7">
        <f t="shared" si="2"/>
        <v>34.833333335118368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-26T05:41:04-0600',mode:absolute,to:'2017-08-26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4.6399999999999997E-2</v>
      </c>
      <c r="Z37" s="197">
        <f t="shared" si="8"/>
        <v>23.331800000000001</v>
      </c>
      <c r="AA37" s="197">
        <f t="shared" si="9"/>
        <v>23.285400000000003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10"/>
        <v>125</v>
      </c>
      <c r="AE37" s="77" t="str">
        <f t="shared" si="11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37" s="74" t="str">
        <f t="shared" si="12"/>
        <v>"C:\Program Files (x86)\AstroGrep\AstroGrep.exe" /e /r /s /spath="%USERPROFILE%\AppData\Local\Temp\OnboardLogs" /stypes="app*4008*20170826*"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125-26 --locoid 4008 --swversion DE.1.0.9.0 --startMP 204:464 --initTime 2017-08-26T06:41:04 --startdatetime 2017-08-26T06:45:56 --delay 1 --endMP 204:233318 --enddatetime 2017-08-26T07:20:46 --enforcementcount 0 &gt;&gt;C:\Users\stu\Documents\GitHub\eaglep3-reporting\EC\2017-08-26-refined-times.txt</v>
      </c>
      <c r="AI3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{"issue":{"subject":"","project_id":79,"tracker_id":40,"status_id":1,"priority_id":2,"assigned_to_id":23,"start_date":"2017-08-26","description":"","custom_fields":[{"id":1,"name":"Subdivision","value":"EC"},{"id":4,"name":"Milepost","value":"23.3318"},{"id":17,"name":"Train ID","value":"125-26"},{"id":16,"name":"Locomotive ID","value":"4008"},{"id":130,"name":"Impact","value":""},{"id":150,"name":"Time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4008 --day 2017-08-26</v>
      </c>
      <c r="AN3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646</v>
      </c>
      <c r="B38" s="7">
        <v>4007</v>
      </c>
      <c r="C38" s="21" t="s">
        <v>197</v>
      </c>
      <c r="D38" s="21" t="s">
        <v>818</v>
      </c>
      <c r="E38" s="13">
        <v>42973.314409722225</v>
      </c>
      <c r="F38" s="13">
        <v>42973.32099537037</v>
      </c>
      <c r="G38" s="7">
        <v>1</v>
      </c>
      <c r="H38" s="21" t="s">
        <v>377</v>
      </c>
      <c r="I38" s="13">
        <v>42973.347743055558</v>
      </c>
      <c r="J38" s="7">
        <v>0</v>
      </c>
      <c r="K38" s="89" t="str">
        <f t="shared" si="0"/>
        <v>4007/4008</v>
      </c>
      <c r="L38" s="217" t="str">
        <f>VLOOKUP(A38,'Trips&amp;Operators'!$C$1:$G$99911,5,FALSE)</f>
        <v>MAELZER KURT</v>
      </c>
      <c r="M38" s="6">
        <f t="shared" si="1"/>
        <v>2.6747685187729076E-2</v>
      </c>
      <c r="N38" s="7">
        <f t="shared" si="2"/>
        <v>38.516666670329869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-26T06:32:45-0600',mode:absolute,to:'2017-08-26T09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23.298200000000001</v>
      </c>
      <c r="Z38" s="197">
        <f t="shared" si="8"/>
        <v>1.4500000000000001E-2</v>
      </c>
      <c r="AA38" s="197">
        <f t="shared" si="9"/>
        <v>23.2837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10"/>
        <v>126</v>
      </c>
      <c r="AE38" s="77" t="str">
        <f t="shared" si="11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38" s="74" t="str">
        <f t="shared" si="12"/>
        <v>"C:\Program Files (x86)\AstroGrep\AstroGrep.exe" /e /r /s /spath="%USERPROFILE%\AppData\Local\Temp\OnboardLogs" /stypes="app*4007*20170826*"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126-26 --locoid 4007 --swversion DE.1.0.9.0 --startMP 204:232982 --initTime 2017-08-26T07:32:45 --startdatetime 2017-08-26T07:42:14 --delay 1 --endMP 204:145 --enddatetime 2017-08-26T08:20:45 --enforcementcount 0 &gt;&gt;C:\Users\stu\Documents\GitHub\eaglep3-reporting\EC\2017-08-26-refined-times.txt</v>
      </c>
      <c r="AI3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ID","value":"126-26"},{"id":16,"name":"Locomotive ID","value":"4007"},{"id":130,"name":"Impact","value":""},{"id":150,"name":"Time of Event (Mountain Time)","value":"08:20:45"},{"id":151,"name":"Denver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4007 --day 2017-08-26</v>
      </c>
      <c r="AN3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640</v>
      </c>
      <c r="B39" s="7">
        <v>4018</v>
      </c>
      <c r="C39" s="21" t="s">
        <v>197</v>
      </c>
      <c r="D39" s="21" t="s">
        <v>344</v>
      </c>
      <c r="E39" s="13">
        <v>42973.287546296298</v>
      </c>
      <c r="F39" s="13">
        <v>42973.292245370372</v>
      </c>
      <c r="G39" s="7">
        <v>1</v>
      </c>
      <c r="H39" s="21" t="s">
        <v>404</v>
      </c>
      <c r="I39" s="13">
        <v>42973.317557870374</v>
      </c>
      <c r="J39" s="7">
        <v>0</v>
      </c>
      <c r="K39" s="89" t="str">
        <f t="shared" si="0"/>
        <v>4017/4018</v>
      </c>
      <c r="L39" s="217" t="str">
        <f>VLOOKUP(A39,'Trips&amp;Operators'!$C$1:$G$99911,5,FALSE)</f>
        <v>DAVIDSON DAVID</v>
      </c>
      <c r="M39" s="6">
        <f t="shared" si="1"/>
        <v>2.531250000174623E-2</v>
      </c>
      <c r="N39" s="7">
        <f t="shared" si="2"/>
        <v>36.450000002514571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-26T05:54:04-0600',mode:absolute,to:'2017-08-26T08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4.4699999999999997E-2</v>
      </c>
      <c r="Z39" s="197">
        <f t="shared" si="8"/>
        <v>23.33</v>
      </c>
      <c r="AA39" s="197">
        <f t="shared" si="9"/>
        <v>23.285299999999999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10"/>
        <v>127</v>
      </c>
      <c r="AE39" s="77" t="str">
        <f t="shared" si="11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39" s="74" t="str">
        <f t="shared" si="12"/>
        <v>"C:\Program Files (x86)\AstroGrep\AstroGrep.exe" /e /r /s /spath="%USERPROFILE%\AppData\Local\Temp\OnboardLogs" /stypes="app*4018*20170826*"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127-26 --locoid 4018 --swversion DE.1.0.9.0 --startMP 204:447 --initTime 2017-08-26T06:54:04 --startdatetime 2017-08-26T07:00:50 --delay 1 --endMP 204:233300 --enddatetime 2017-08-26T07:37:17 --enforcementcount 0 &gt;&gt;C:\Users\stu\Documents\GitHub\eaglep3-reporting\EC\2017-08-26-refined-times.txt</v>
      </c>
      <c r="AI3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{"issue":{"subject":"","project_id":79,"tracker_id":40,"status_id":1,"priority_id":2,"assigned_to_id":23,"start_date":"2017-08-26","description":"","custom_fields":[{"id":1,"name":"Subdivision","value":"EC"},{"id":4,"name":"Milepost","value":"23.33"},{"id":17,"name":"Train ID","value":"127-26"},{"id":16,"name":"Locomotive ID","value":"4018"},{"id":130,"name":"Impact","value":""},{"id":150,"name":"Time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4018 --day 2017-08-26</v>
      </c>
      <c r="AN3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649</v>
      </c>
      <c r="B40" s="7">
        <v>4017</v>
      </c>
      <c r="C40" s="21" t="s">
        <v>197</v>
      </c>
      <c r="D40" s="21" t="s">
        <v>419</v>
      </c>
      <c r="E40" s="13">
        <v>42973.319467592592</v>
      </c>
      <c r="F40" s="13">
        <v>42973.331435185188</v>
      </c>
      <c r="G40" s="7">
        <v>1</v>
      </c>
      <c r="H40" s="21" t="s">
        <v>339</v>
      </c>
      <c r="I40" s="13">
        <v>42973.358877314815</v>
      </c>
      <c r="J40" s="7">
        <v>0</v>
      </c>
      <c r="K40" s="89" t="str">
        <f t="shared" si="0"/>
        <v>4017/4018</v>
      </c>
      <c r="L40" s="217" t="str">
        <f>VLOOKUP(A40,'Trips&amp;Operators'!$C$1:$G$99911,5,FALSE)</f>
        <v>DAVIDSON DAVID</v>
      </c>
      <c r="M40" s="6">
        <f t="shared" si="1"/>
        <v>2.7442129627161194E-2</v>
      </c>
      <c r="N40" s="7">
        <f t="shared" si="2"/>
        <v>39.516666663112119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-26T06:40:02-0600',mode:absolute,to:'2017-08-26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23.297699999999999</v>
      </c>
      <c r="Z40" s="197">
        <f t="shared" si="8"/>
        <v>1.49E-2</v>
      </c>
      <c r="AA40" s="197">
        <f t="shared" si="9"/>
        <v>23.282799999999998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10"/>
        <v>128</v>
      </c>
      <c r="AE40" s="77" t="str">
        <f t="shared" si="11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40" s="74" t="str">
        <f t="shared" si="12"/>
        <v>"C:\Program Files (x86)\AstroGrep\AstroGrep.exe" /e /r /s /spath="%USERPROFILE%\AppData\Local\Temp\OnboardLogs" /stypes="app*4017*20170826*"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128-26 --locoid 4017 --swversion DE.1.0.9.0 --startMP 204:232977 --initTime 2017-08-26T07:40:02 --startdatetime 2017-08-26T07:57:16 --delay 1 --endMP 204:149 --enddatetime 2017-08-26T08:36:47 --enforcementcount 0 &gt;&gt;C:\Users\stu\Documents\GitHub\eaglep3-reporting\EC\2017-08-26-refined-times.txt</v>
      </c>
      <c r="AI4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ID","value":"128-26"},{"id":16,"name":"Locomotive ID","value":"4017"},{"id":130,"name":"Impact","value":""},{"id":150,"name":"Time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4017 --day 2017-08-26</v>
      </c>
      <c r="AN4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642</v>
      </c>
      <c r="B41" s="7">
        <v>4040</v>
      </c>
      <c r="C41" s="21" t="s">
        <v>197</v>
      </c>
      <c r="D41" s="21" t="s">
        <v>388</v>
      </c>
      <c r="E41" s="13">
        <v>42973.298009259262</v>
      </c>
      <c r="F41" s="13">
        <v>42973.302615740744</v>
      </c>
      <c r="G41" s="7">
        <v>1</v>
      </c>
      <c r="H41" s="21" t="s">
        <v>819</v>
      </c>
      <c r="I41" s="13">
        <v>42973.328043981484</v>
      </c>
      <c r="J41" s="7">
        <v>0</v>
      </c>
      <c r="K41" s="89" t="str">
        <f t="shared" si="0"/>
        <v>4039/4040</v>
      </c>
      <c r="L41" s="217" t="str">
        <f>VLOOKUP(A41,'Trips&amp;Operators'!$C$1:$G$99911,5,FALSE)</f>
        <v>WILLIAMS DONTE</v>
      </c>
      <c r="M41" s="6">
        <f t="shared" si="1"/>
        <v>2.5428240740438923E-2</v>
      </c>
      <c r="N41" s="7">
        <f t="shared" si="2"/>
        <v>36.616666666232049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-26T06:09:08-0600',mode:absolute,to:'2017-08-26T08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4.6600000000000003E-2</v>
      </c>
      <c r="Z41" s="197">
        <f t="shared" si="8"/>
        <v>23.328600000000002</v>
      </c>
      <c r="AA41" s="197">
        <f t="shared" si="9"/>
        <v>23.282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10"/>
        <v>129</v>
      </c>
      <c r="AE41" s="77" t="str">
        <f t="shared" si="11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41" s="74" t="str">
        <f t="shared" si="12"/>
        <v>"C:\Program Files (x86)\AstroGrep\AstroGrep.exe" /e /r /s /spath="%USERPROFILE%\AppData\Local\Temp\OnboardLogs" /stypes="app*4040*20170826*"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129-26 --locoid 4040 --swversion DE.1.0.9.0 --startMP 204:466 --initTime 2017-08-26T07:09:08 --startdatetime 2017-08-26T07:15:46 --delay 1 --endMP 204:233286 --enddatetime 2017-08-26T07:52:23 --enforcementcount 0 &gt;&gt;C:\Users\stu\Documents\GitHub\eaglep3-reporting\EC\2017-08-26-refined-times.txt</v>
      </c>
      <c r="AI4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{"issue":{"subject":"","project_id":79,"tracker_id":40,"status_id":1,"priority_id":2,"assigned_to_id":23,"start_date":"2017-08-26","description":"","custom_fields":[{"id":1,"name":"Subdivision","value":"EC"},{"id":4,"name":"Milepost","value":"23.3286"},{"id":17,"name":"Train ID","value":"129-26"},{"id":16,"name":"Locomotive ID","value":"4040"},{"id":130,"name":"Impact","value":""},{"id":150,"name":"Time of Event (Mountain Time)","value":"07:52:23"},{"id":151,"name":"Denver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4040 --day 2017-08-26</v>
      </c>
      <c r="AN4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652</v>
      </c>
      <c r="B42" s="7">
        <v>4039</v>
      </c>
      <c r="C42" s="21" t="s">
        <v>197</v>
      </c>
      <c r="D42" s="21" t="s">
        <v>534</v>
      </c>
      <c r="E42" s="13">
        <v>42973.337372685186</v>
      </c>
      <c r="F42" s="13">
        <v>42973.341909722221</v>
      </c>
      <c r="G42" s="7">
        <v>1</v>
      </c>
      <c r="H42" s="21" t="s">
        <v>392</v>
      </c>
      <c r="I42" s="13">
        <v>42973.36928240741</v>
      </c>
      <c r="J42" s="7">
        <v>0</v>
      </c>
      <c r="K42" s="89" t="str">
        <f t="shared" si="0"/>
        <v>4039/4040</v>
      </c>
      <c r="L42" s="217" t="str">
        <f>VLOOKUP(A42,'Trips&amp;Operators'!$C$1:$G$99911,5,FALSE)</f>
        <v>WILLIAMS DONTE</v>
      </c>
      <c r="M42" s="6">
        <f t="shared" si="1"/>
        <v>2.7372685188311152E-2</v>
      </c>
      <c r="N42" s="7">
        <f t="shared" si="2"/>
        <v>39.416666671168059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-26T07:05:49-0600',mode:absolute,to:'2017-08-26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23.2959</v>
      </c>
      <c r="Z42" s="197">
        <f t="shared" si="8"/>
        <v>1.5599999999999999E-2</v>
      </c>
      <c r="AA42" s="197">
        <f t="shared" si="9"/>
        <v>23.2803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10"/>
        <v>130</v>
      </c>
      <c r="AE42" s="77" t="str">
        <f t="shared" si="11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42" s="74" t="str">
        <f t="shared" si="12"/>
        <v>"C:\Program Files (x86)\AstroGrep\AstroGrep.exe" /e /r /s /spath="%USERPROFILE%\AppData\Local\Temp\OnboardLogs" /stypes="app*4039*20170826*"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130-26 --locoid 4039 --swversion DE.1.0.9.0 --startMP 204:232959 --initTime 2017-08-26T08:05:49 --startdatetime 2017-08-26T08:12:21 --delay 1 --endMP 204:156 --enddatetime 2017-08-26T08:51:46 --enforcementcount 0 &gt;&gt;C:\Users\stu\Documents\GitHub\eaglep3-reporting\EC\2017-08-26-refined-times.txt</v>
      </c>
      <c r="AI4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{"issue":{"subject":"","project_id":79,"tracker_id":40,"status_id":1,"priority_id":2,"assigned_to_id":23,"start_date":"2017-08-26","description":"","custom_fields":[{"id":1,"name":"Subdivision","value":"EC"},{"id":4,"name":"Milepost","value":"0.0156"},{"id":17,"name":"Train ID","value":"130-26"},{"id":16,"name":"Locomotive ID","value":"4039"},{"id":130,"name":"Impact","value":""},{"id":150,"name":"Time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4039 --day 2017-08-26</v>
      </c>
      <c r="AN4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566</v>
      </c>
      <c r="B43" s="7">
        <v>4062</v>
      </c>
      <c r="C43" s="21" t="s">
        <v>197</v>
      </c>
      <c r="D43" s="21" t="s">
        <v>386</v>
      </c>
      <c r="E43" s="13">
        <v>42973.308032407411</v>
      </c>
      <c r="F43" s="13">
        <v>42973.31318287037</v>
      </c>
      <c r="G43" s="7">
        <v>3</v>
      </c>
      <c r="H43" s="21" t="s">
        <v>408</v>
      </c>
      <c r="I43" s="13">
        <v>42973.339131944442</v>
      </c>
      <c r="J43" s="7">
        <v>0</v>
      </c>
      <c r="K43" s="89" t="str">
        <f t="shared" si="0"/>
        <v>4061/4062</v>
      </c>
      <c r="L43" s="217" t="str">
        <f>VLOOKUP(A43,'Trips&amp;Operators'!$C$1:$G$99911,5,FALSE)</f>
        <v>THOMPSON LESTER</v>
      </c>
      <c r="M43" s="6">
        <f t="shared" si="1"/>
        <v>2.5949074071832001E-2</v>
      </c>
      <c r="N43" s="7">
        <f t="shared" si="2"/>
        <v>37.366666663438082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-26T06:23:34-0600',mode:absolute,to:'2017-08-26T09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4.4400000000000002E-2</v>
      </c>
      <c r="Z43" s="197">
        <f t="shared" si="8"/>
        <v>23.328900000000001</v>
      </c>
      <c r="AA43" s="197">
        <f t="shared" si="9"/>
        <v>23.284500000000001</v>
      </c>
      <c r="AB43" s="54" t="str">
        <f>VLOOKUP(A43,Enforcements!$C$7:$K$11,8,0)</f>
        <v>Bulletin (2)</v>
      </c>
      <c r="AC43" s="51" t="str">
        <f>VLOOKUP(A43,Enforcements!$C$7:$E$11,3,0)</f>
        <v>GRADE CROSSING</v>
      </c>
      <c r="AD43" s="206">
        <f t="shared" si="10"/>
        <v>131</v>
      </c>
      <c r="AE43" s="77" t="str">
        <f t="shared" si="11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43" s="74" t="str">
        <f t="shared" si="12"/>
        <v>"C:\Program Files (x86)\AstroGrep\AstroGrep.exe" /e /r /s /spath="%USERPROFILE%\AppData\Local\Temp\OnboardLogs" /stypes="app*4062*20170826*"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131-26 --locoid 4062 --swversion DE.1.0.9.0 --startMP 204:444 --initTime 2017-08-26T07:23:34 --startdatetime 2017-08-26T07:30:59 --delay 3 --endMP 204:233289 --enddatetime 2017-08-26T08:08:21 --enforcementcount 0 &gt;&gt;C:\Users\stu\Documents\GitHub\eaglep3-reporting\EC\2017-08-26-refined-times.txt</v>
      </c>
      <c r="AI4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{"issue":{"subject":"","project_id":79,"tracker_id":40,"status_id":1,"priority_id":2,"assigned_to_id":23,"start_date":"2017-08-26","description":"","custom_fields":[{"id":1,"name":"Subdivision","value":"EC"},{"id":4,"name":"Milepost","value":"23.3289"},{"id":17,"name":"Train ID","value":"131-26"},{"id":16,"name":"Locomotive ID","value":"4062"},{"id":130,"name":"Impact","value":""},{"id":150,"name":"Time of Event (Mountain Time)","value":"08:08:21"},{"id":151,"name":"Denver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4062 --day 2017-08-26</v>
      </c>
      <c r="AN4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654</v>
      </c>
      <c r="B44" s="7">
        <v>4061</v>
      </c>
      <c r="C44" s="21" t="s">
        <v>197</v>
      </c>
      <c r="D44" s="21" t="s">
        <v>484</v>
      </c>
      <c r="E44" s="13">
        <v>42973.349259259259</v>
      </c>
      <c r="F44" s="13">
        <v>42973.352326388886</v>
      </c>
      <c r="G44" s="7">
        <v>1</v>
      </c>
      <c r="H44" s="21" t="s">
        <v>820</v>
      </c>
      <c r="I44" s="13">
        <v>42973.379201388889</v>
      </c>
      <c r="J44" s="7">
        <v>0</v>
      </c>
      <c r="K44" s="89" t="str">
        <f t="shared" si="0"/>
        <v>4061/4062</v>
      </c>
      <c r="L44" s="217" t="str">
        <f>VLOOKUP(A44,'Trips&amp;Operators'!$C$1:$G$99911,5,FALSE)</f>
        <v>THOMPSON LESTER</v>
      </c>
      <c r="M44" s="6">
        <f t="shared" si="1"/>
        <v>2.6875000003201421E-2</v>
      </c>
      <c r="N44" s="7">
        <f t="shared" si="2"/>
        <v>38.700000004610047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-26T07:22:56-0600',mode:absolute,to:'2017-08-26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23.298300000000001</v>
      </c>
      <c r="Z44" s="197">
        <f t="shared" si="8"/>
        <v>1.7000000000000001E-2</v>
      </c>
      <c r="AA44" s="197">
        <f t="shared" si="9"/>
        <v>23.281300000000002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10"/>
        <v>132</v>
      </c>
      <c r="AE44" s="77" t="str">
        <f t="shared" si="11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44" s="74" t="str">
        <f t="shared" si="12"/>
        <v>"C:\Program Files (x86)\AstroGrep\AstroGrep.exe" /e /r /s /spath="%USERPROFILE%\AppData\Local\Temp\OnboardLogs" /stypes="app*4061*20170826*"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132-26 --locoid 4061 --swversion DE.1.0.9.0 --startMP 204:232983 --initTime 2017-08-26T08:22:56 --startdatetime 2017-08-26T08:27:21 --delay 1 --endMP 204:170 --enddatetime 2017-08-26T09:06:03 --enforcementcount 0 &gt;&gt;C:\Users\stu\Documents\GitHub\eaglep3-reporting\EC\2017-08-26-refined-times.txt</v>
      </c>
      <c r="AI4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{"issue":{"subject":"","project_id":79,"tracker_id":40,"status_id":1,"priority_id":2,"assigned_to_id":23,"start_date":"2017-08-26","description":"","custom_fields":[{"id":1,"name":"Subdivision","value":"EC"},{"id":4,"name":"Milepost","value":"0.017"},{"id":17,"name":"Train ID","value":"132-26"},{"id":16,"name":"Locomotive ID","value":"4061"},{"id":130,"name":"Impact","value":""},{"id":150,"name":"Time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4061 --day 2017-08-26</v>
      </c>
      <c r="AN4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648</v>
      </c>
      <c r="B45" s="7">
        <v>4066</v>
      </c>
      <c r="C45" s="21" t="s">
        <v>197</v>
      </c>
      <c r="D45" s="21" t="s">
        <v>378</v>
      </c>
      <c r="E45" s="13">
        <v>42973.317719907405</v>
      </c>
      <c r="F45" s="13">
        <v>42973.323425925926</v>
      </c>
      <c r="G45" s="7">
        <v>1</v>
      </c>
      <c r="H45" s="21" t="s">
        <v>389</v>
      </c>
      <c r="I45" s="13">
        <v>42973.348391203705</v>
      </c>
      <c r="J45" s="7">
        <v>0</v>
      </c>
      <c r="K45" s="89" t="str">
        <f t="shared" si="0"/>
        <v>4065/4066</v>
      </c>
      <c r="L45" s="217" t="str">
        <f>VLOOKUP(A45,'Trips&amp;Operators'!$C$1:$G$99911,5,FALSE)</f>
        <v>DAVIS WENDY</v>
      </c>
      <c r="M45" s="6">
        <f t="shared" si="1"/>
        <v>2.4965277778392192E-2</v>
      </c>
      <c r="N45" s="7">
        <f t="shared" ref="N45:N76" si="22">24*60*SUM($M45:$M45)</f>
        <v>35.950000000884756</v>
      </c>
      <c r="O45" s="7"/>
      <c r="P45" s="7"/>
      <c r="Q45" s="22"/>
      <c r="R45" s="170"/>
      <c r="S45" s="213">
        <f t="shared" ref="S45:S76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-26T06:37:31-0600',mode:absolute,to:'2017-08-26T09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ref="Y45:Y76" si="25">RIGHT(D45,LEN(D45)-4)/10000</f>
        <v>4.4200000000000003E-2</v>
      </c>
      <c r="Z45" s="197">
        <f t="shared" si="8"/>
        <v>23.3293</v>
      </c>
      <c r="AA45" s="197">
        <f t="shared" si="9"/>
        <v>23.2851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10"/>
        <v>133</v>
      </c>
      <c r="AE45" s="77" t="str">
        <f t="shared" si="11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45" s="74" t="str">
        <f t="shared" si="12"/>
        <v>"C:\Program Files (x86)\AstroGrep\AstroGrep.exe" /e /r /s /spath="%USERPROFILE%\AppData\Local\Temp\OnboardLogs" /stypes="app*4066*20170826*"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133-26 --locoid 4066 --swversion DE.1.0.9.0 --startMP 204:442 --initTime 2017-08-26T07:37:31 --startdatetime 2017-08-26T07:45:44 --delay 1 --endMP 204:233293 --enddatetime 2017-08-26T08:21:41 --enforcementcount 0 &gt;&gt;C:\Users\stu\Documents\GitHub\eaglep3-reporting\EC\2017-08-26-refined-times.txt</v>
      </c>
      <c r="AI4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{"issue":{"subject":"","project_id":79,"tracker_id":40,"status_id":1,"priority_id":2,"assigned_to_id":23,"start_date":"2017-08-26","description":"","custom_fields":[{"id":1,"name":"Subdivision","value":"EC"},{"id":4,"name":"Milepost","value":"23.3293"},{"id":17,"name":"Train ID","value":"133-26"},{"id":16,"name":"Locomotive ID","value":"4066"},{"id":130,"name":"Impact","value":""},{"id":150,"name":"Time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4066 --day 2017-08-26</v>
      </c>
      <c r="AN4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657</v>
      </c>
      <c r="B46" s="7">
        <v>4065</v>
      </c>
      <c r="C46" s="21" t="s">
        <v>197</v>
      </c>
      <c r="D46" s="21" t="s">
        <v>393</v>
      </c>
      <c r="E46" s="13">
        <v>42973.358229166668</v>
      </c>
      <c r="F46" s="13">
        <v>42973.362650462965</v>
      </c>
      <c r="G46" s="7">
        <v>1</v>
      </c>
      <c r="H46" s="21" t="s">
        <v>821</v>
      </c>
      <c r="I46" s="13">
        <v>42973.389340277776</v>
      </c>
      <c r="J46" s="7">
        <v>0</v>
      </c>
      <c r="K46" s="89" t="str">
        <f t="shared" si="0"/>
        <v>4065/4066</v>
      </c>
      <c r="L46" s="217" t="str">
        <f>VLOOKUP(A46,'Trips&amp;Operators'!$C$1:$G$99911,5,FALSE)</f>
        <v>DAVIS WENDY</v>
      </c>
      <c r="M46" s="6">
        <f t="shared" si="1"/>
        <v>2.6689814811106771E-2</v>
      </c>
      <c r="N46" s="7">
        <f t="shared" si="22"/>
        <v>38.433333327993751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-26T07:35:51-0600',mode:absolute,to:'2017-08-26T10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25"/>
        <v>23.299800000000001</v>
      </c>
      <c r="Z46" s="197">
        <f t="shared" si="8"/>
        <v>1.7600000000000001E-2</v>
      </c>
      <c r="AA46" s="197">
        <f t="shared" si="9"/>
        <v>23.2822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10"/>
        <v>134</v>
      </c>
      <c r="AE46" s="77" t="str">
        <f t="shared" si="11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46" s="74" t="str">
        <f t="shared" si="12"/>
        <v>"C:\Program Files (x86)\AstroGrep\AstroGrep.exe" /e /r /s /spath="%USERPROFILE%\AppData\Local\Temp\OnboardLogs" /stypes="app*4065*20170826*"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134-26 --locoid 4065 --swversion DE.1.0.9.0 --startMP 204:232998 --initTime 2017-08-26T08:35:51 --startdatetime 2017-08-26T08:42:13 --delay 1 --endMP 204:176 --enddatetime 2017-08-26T09:20:39 --enforcementcount 0 &gt;&gt;C:\Users\stu\Documents\GitHub\eaglep3-reporting\EC\2017-08-26-refined-times.txt</v>
      </c>
      <c r="AI4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{"issue":{"subject":"","project_id":79,"tracker_id":40,"status_id":1,"priority_id":2,"assigned_to_id":23,"start_date":"2017-08-26","description":"","custom_fields":[{"id":1,"name":"Subdivision","value":"EC"},{"id":4,"name":"Milepost","value":"0.0176"},{"id":17,"name":"Train ID","value":"134-26"},{"id":16,"name":"Locomotive ID","value":"4065"},{"id":130,"name":"Impact","value":""},{"id":150,"name":"Time of Event (Mountain Time)","value":"09:20:39"},{"id":151,"name":"Denver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4065 --day 2017-08-26</v>
      </c>
      <c r="AN4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650</v>
      </c>
      <c r="B47" s="7">
        <v>4044</v>
      </c>
      <c r="C47" s="21" t="s">
        <v>197</v>
      </c>
      <c r="D47" s="21" t="s">
        <v>349</v>
      </c>
      <c r="E47" s="13">
        <v>42973.329456018517</v>
      </c>
      <c r="F47" s="13">
        <v>42973.333877314813</v>
      </c>
      <c r="G47" s="7">
        <v>2</v>
      </c>
      <c r="H47" s="21" t="s">
        <v>822</v>
      </c>
      <c r="I47" s="13">
        <v>42973.35833333333</v>
      </c>
      <c r="J47" s="7">
        <v>0</v>
      </c>
      <c r="K47" s="89" t="str">
        <f t="shared" si="0"/>
        <v>4043/4044</v>
      </c>
      <c r="L47" s="217" t="str">
        <f>VLOOKUP(A47,'Trips&amp;Operators'!$C$1:$G$99911,5,FALSE)</f>
        <v>GEBRETEKLE DAGNEW</v>
      </c>
      <c r="M47" s="6">
        <f t="shared" si="1"/>
        <v>2.4456018516502809E-2</v>
      </c>
      <c r="N47" s="7">
        <f t="shared" si="22"/>
        <v>35.216666663764045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-26T06:54:25-0600',mode:absolute,to:'2017-08-26T09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25"/>
        <v>4.6199999999999998E-2</v>
      </c>
      <c r="Z47" s="197">
        <f t="shared" si="8"/>
        <v>23.337800000000001</v>
      </c>
      <c r="AA47" s="197">
        <f t="shared" si="9"/>
        <v>23.291600000000003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10"/>
        <v>135</v>
      </c>
      <c r="AE47" s="77" t="str">
        <f t="shared" si="11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47" s="74" t="str">
        <f t="shared" si="12"/>
        <v>"C:\Program Files (x86)\AstroGrep\AstroGrep.exe" /e /r /s /spath="%USERPROFILE%\AppData\Local\Temp\OnboardLogs" /stypes="app*4044*20170826*"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135-26 --locoid 4044 --swversion DE.1.0.9.0 --startMP 204:462 --initTime 2017-08-26T07:54:25 --startdatetime 2017-08-26T08:00:47 --delay 2 --endMP 204:233378 --enddatetime 2017-08-26T08:36:00 --enforcementcount 0 &gt;&gt;C:\Users\stu\Documents\GitHub\eaglep3-reporting\EC\2017-08-26-refined-times.txt</v>
      </c>
      <c r="AI4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{"issue":{"subject":"","project_id":79,"tracker_id":40,"status_id":1,"priority_id":2,"assigned_to_id":23,"start_date":"2017-08-26","description":"","custom_fields":[{"id":1,"name":"Subdivision","value":"EC"},{"id":4,"name":"Milepost","value":"23.3378"},{"id":17,"name":"Train ID","value":"135-26"},{"id":16,"name":"Locomotive ID","value":"4044"},{"id":130,"name":"Impact","value":""},{"id":150,"name":"Time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4044 --day 2017-08-26</v>
      </c>
      <c r="AN4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658</v>
      </c>
      <c r="B48" s="7">
        <v>4043</v>
      </c>
      <c r="C48" s="21" t="s">
        <v>197</v>
      </c>
      <c r="D48" s="21" t="s">
        <v>823</v>
      </c>
      <c r="E48" s="13">
        <v>42973.359872685185</v>
      </c>
      <c r="F48" s="13">
        <v>42973.373148148145</v>
      </c>
      <c r="G48" s="7">
        <v>0</v>
      </c>
      <c r="H48" s="21" t="s">
        <v>345</v>
      </c>
      <c r="I48" s="13">
        <v>42973.399189814816</v>
      </c>
      <c r="J48" s="7">
        <v>0</v>
      </c>
      <c r="K48" s="89" t="str">
        <f t="shared" si="0"/>
        <v>4043/4044</v>
      </c>
      <c r="L48" s="217" t="str">
        <f>VLOOKUP(A48,'Trips&amp;Operators'!$C$1:$G$99911,5,FALSE)</f>
        <v>GEBRETEKLE DAGNEW</v>
      </c>
      <c r="M48" s="6">
        <f t="shared" si="1"/>
        <v>2.6041666671517305E-2</v>
      </c>
      <c r="N48" s="7">
        <f t="shared" si="22"/>
        <v>37.500000006984919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-26T07:38:13-0600',mode:absolute,to:'2017-08-26T10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25"/>
        <v>23.3094</v>
      </c>
      <c r="Z48" s="197">
        <f t="shared" si="8"/>
        <v>1.41E-2</v>
      </c>
      <c r="AA48" s="197">
        <f t="shared" si="9"/>
        <v>23.295300000000001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10"/>
        <v>136</v>
      </c>
      <c r="AE48" s="77" t="str">
        <f t="shared" si="11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48" s="74" t="str">
        <f t="shared" si="12"/>
        <v>"C:\Program Files (x86)\AstroGrep\AstroGrep.exe" /e /r /s /spath="%USERPROFILE%\AppData\Local\Temp\OnboardLogs" /stypes="app*4043*20170826*"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136-26 --locoid 4043 --swversion DE.1.0.9.0 --startMP 204:233094 --initTime 2017-08-26T08:38:13 --startdatetime 2017-08-26T08:57:20 --delay 0 --endMP 204:141 --enddatetime 2017-08-26T09:34:50 --enforcementcount 0 &gt;&gt;C:\Users\stu\Documents\GitHub\eaglep3-reporting\EC\2017-08-26-refined-times.txt</v>
      </c>
      <c r="AI4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{"issue":{"subject":"","project_id":79,"tracker_id":40,"status_id":1,"priority_id":2,"assigned_to_id":23,"start_date":"2017-08-26","description":"","custom_fields":[{"id":1,"name":"Subdivision","value":"EC"},{"id":4,"name":"Milepost","value":"0.0141"},{"id":17,"name":"Train ID","value":"136-26"},{"id":16,"name":"Locomotive ID","value":"4043"},{"id":130,"name":"Impact","value":""},{"id":150,"name":"Time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4043 --day 2017-08-26</v>
      </c>
      <c r="AN4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653</v>
      </c>
      <c r="B49" s="7">
        <v>4010</v>
      </c>
      <c r="C49" s="21" t="s">
        <v>197</v>
      </c>
      <c r="D49" s="21" t="s">
        <v>546</v>
      </c>
      <c r="E49" s="13">
        <v>42973.337777777779</v>
      </c>
      <c r="F49" s="13">
        <v>42973.344259259262</v>
      </c>
      <c r="G49" s="7">
        <v>1</v>
      </c>
      <c r="H49" s="21" t="s">
        <v>533</v>
      </c>
      <c r="I49" s="13">
        <v>42973.368067129632</v>
      </c>
      <c r="J49" s="7">
        <v>0</v>
      </c>
      <c r="K49" s="89" t="str">
        <f t="shared" si="0"/>
        <v>4009/4010</v>
      </c>
      <c r="L49" s="217" t="str">
        <f>VLOOKUP(A49,'Trips&amp;Operators'!$C$1:$G$99911,5,FALSE)</f>
        <v>LALONDE GREGORY</v>
      </c>
      <c r="M49" s="6">
        <f t="shared" si="1"/>
        <v>2.3807870369637385E-2</v>
      </c>
      <c r="N49" s="7">
        <f t="shared" si="22"/>
        <v>34.283333332277834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-26T07:06:24-0600',mode:absolute,to:'2017-08-26T09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25"/>
        <v>4.3799999999999999E-2</v>
      </c>
      <c r="Z49" s="197">
        <f t="shared" si="8"/>
        <v>23.332999999999998</v>
      </c>
      <c r="AA49" s="197">
        <f t="shared" si="9"/>
        <v>23.289199999999997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10"/>
        <v>137</v>
      </c>
      <c r="AE49" s="77" t="str">
        <f t="shared" si="11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49" s="74" t="str">
        <f t="shared" si="12"/>
        <v>"C:\Program Files (x86)\AstroGrep\AstroGrep.exe" /e /r /s /spath="%USERPROFILE%\AppData\Local\Temp\OnboardLogs" /stypes="app*4010*20170826*"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137-26 --locoid 4010 --swversion DE.1.0.9.0 --startMP 204:438 --initTime 2017-08-26T08:06:24 --startdatetime 2017-08-26T08:15:44 --delay 1 --endMP 204:233330 --enddatetime 2017-08-26T08:50:01 --enforcementcount 0 &gt;&gt;C:\Users\stu\Documents\GitHub\eaglep3-reporting\EC\2017-08-26-refined-times.txt</v>
      </c>
      <c r="AI4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{"issue":{"subject":"","project_id":79,"tracker_id":40,"status_id":1,"priority_id":2,"assigned_to_id":23,"start_date":"2017-08-26","description":"","custom_fields":[{"id":1,"name":"Subdivision","value":"EC"},{"id":4,"name":"Milepost","value":"23.333"},{"id":17,"name":"Train ID","value":"137-26"},{"id":16,"name":"Locomotive ID","value":"4010"},{"id":130,"name":"Impact","value":""},{"id":150,"name":"Time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4010 --day 2017-08-26</v>
      </c>
      <c r="AN4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660</v>
      </c>
      <c r="B50" s="7">
        <v>4009</v>
      </c>
      <c r="C50" s="21" t="s">
        <v>197</v>
      </c>
      <c r="D50" s="21" t="s">
        <v>435</v>
      </c>
      <c r="E50" s="13">
        <v>42973.370462962965</v>
      </c>
      <c r="F50" s="13">
        <v>42973.38349537037</v>
      </c>
      <c r="G50" s="7">
        <v>1</v>
      </c>
      <c r="H50" s="21" t="s">
        <v>392</v>
      </c>
      <c r="I50" s="13">
        <v>42973.409456018519</v>
      </c>
      <c r="J50" s="7">
        <v>0</v>
      </c>
      <c r="K50" s="89" t="str">
        <f t="shared" si="0"/>
        <v>4009/4010</v>
      </c>
      <c r="L50" s="217" t="str">
        <f>VLOOKUP(A50,'Trips&amp;Operators'!$C$1:$G$99911,5,FALSE)</f>
        <v>LALONDE GREGORY</v>
      </c>
      <c r="M50" s="6">
        <f t="shared" si="1"/>
        <v>2.5960648148611654E-2</v>
      </c>
      <c r="N50" s="7">
        <f t="shared" si="22"/>
        <v>37.383333334000781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-26T07:53:28-0600',mode:absolute,to:'2017-08-26T10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25"/>
        <v>23.299399999999999</v>
      </c>
      <c r="Z50" s="197">
        <f t="shared" si="8"/>
        <v>1.5599999999999999E-2</v>
      </c>
      <c r="AA50" s="197">
        <f t="shared" si="9"/>
        <v>23.283799999999999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10"/>
        <v>138</v>
      </c>
      <c r="AE50" s="77" t="str">
        <f t="shared" si="11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50" s="74" t="str">
        <f t="shared" si="12"/>
        <v>"C:\Program Files (x86)\AstroGrep\AstroGrep.exe" /e /r /s /spath="%USERPROFILE%\AppData\Local\Temp\OnboardLogs" /stypes="app*4009*20170826*"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138-26 --locoid 4009 --swversion DE.1.0.9.0 --startMP 204:232994 --initTime 2017-08-26T08:53:28 --startdatetime 2017-08-26T09:12:14 --delay 1 --endMP 204:156 --enddatetime 2017-08-26T09:49:37 --enforcementcount 0 &gt;&gt;C:\Users\stu\Documents\GitHub\eaglep3-reporting\EC\2017-08-26-refined-times.txt</v>
      </c>
      <c r="AI5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{"issue":{"subject":"","project_id":79,"tracker_id":40,"status_id":1,"priority_id":2,"assigned_to_id":23,"start_date":"2017-08-26","description":"","custom_fields":[{"id":1,"name":"Subdivision","value":"EC"},{"id":4,"name":"Milepost","value":"0.0156"},{"id":17,"name":"Train ID","value":"138-26"},{"id":16,"name":"Locomotive ID","value":"4009"},{"id":130,"name":"Impact","value":""},{"id":150,"name":"Time of Event (Mountain Time)","value":"09:49:37"},{"id":151,"name":"Denver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4009 --day 2017-08-26</v>
      </c>
      <c r="AN5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655</v>
      </c>
      <c r="B51" s="7">
        <v>4008</v>
      </c>
      <c r="C51" s="21" t="s">
        <v>197</v>
      </c>
      <c r="D51" s="21" t="s">
        <v>341</v>
      </c>
      <c r="E51" s="13">
        <v>42973.349652777775</v>
      </c>
      <c r="F51" s="13">
        <v>42973.354745370372</v>
      </c>
      <c r="G51" s="7">
        <v>1</v>
      </c>
      <c r="H51" s="21" t="s">
        <v>824</v>
      </c>
      <c r="I51" s="13">
        <v>42973.38013888889</v>
      </c>
      <c r="J51" s="7">
        <v>0</v>
      </c>
      <c r="K51" s="89" t="str">
        <f t="shared" si="0"/>
        <v>4007/4008</v>
      </c>
      <c r="L51" s="217" t="str">
        <f>VLOOKUP(A51,'Trips&amp;Operators'!$C$1:$G$99911,5,FALSE)</f>
        <v>MAELZER KURT</v>
      </c>
      <c r="M51" s="6">
        <f t="shared" si="1"/>
        <v>2.5393518517375924E-2</v>
      </c>
      <c r="N51" s="7">
        <f t="shared" si="22"/>
        <v>36.56666666502133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-26T07:23:30-0600',mode:absolute,to:'2017-08-26T10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25"/>
        <v>4.5100000000000001E-2</v>
      </c>
      <c r="Z51" s="197">
        <f t="shared" si="8"/>
        <v>23.331</v>
      </c>
      <c r="AA51" s="197">
        <f t="shared" si="9"/>
        <v>23.285899999999998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10"/>
        <v>139</v>
      </c>
      <c r="AE51" s="77" t="str">
        <f t="shared" si="11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51" s="74" t="str">
        <f t="shared" si="12"/>
        <v>"C:\Program Files (x86)\AstroGrep\AstroGrep.exe" /e /r /s /spath="%USERPROFILE%\AppData\Local\Temp\OnboardLogs" /stypes="app*4008*20170826*"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139-26 --locoid 4008 --swversion DE.1.0.9.0 --startMP 204:451 --initTime 2017-08-26T08:23:30 --startdatetime 2017-08-26T08:30:50 --delay 1 --endMP 204:233310 --enddatetime 2017-08-26T09:07:24 --enforcementcount 0 &gt;&gt;C:\Users\stu\Documents\GitHub\eaglep3-reporting\EC\2017-08-26-refined-times.txt</v>
      </c>
      <c r="AI5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{"issue":{"subject":"","project_id":79,"tracker_id":40,"status_id":1,"priority_id":2,"assigned_to_id":23,"start_date":"2017-08-26","description":"","custom_fields":[{"id":1,"name":"Subdivision","value":"EC"},{"id":4,"name":"Milepost","value":"23.331"},{"id":17,"name":"Train ID","value":"139-26"},{"id":16,"name":"Locomotive ID","value":"4008"},{"id":130,"name":"Impact","value":""},{"id":150,"name":"Time of Event (Mountain Time)","value":"09:07:24"},{"id":151,"name":"Denver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4008 --day 2017-08-26</v>
      </c>
      <c r="AN5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664</v>
      </c>
      <c r="B52" s="7">
        <v>4007</v>
      </c>
      <c r="C52" s="21" t="s">
        <v>197</v>
      </c>
      <c r="D52" s="21" t="s">
        <v>393</v>
      </c>
      <c r="E52" s="13">
        <v>42973.388749999998</v>
      </c>
      <c r="F52" s="13">
        <v>42973.393912037034</v>
      </c>
      <c r="G52" s="7">
        <v>1</v>
      </c>
      <c r="H52" s="21" t="s">
        <v>377</v>
      </c>
      <c r="I52" s="13">
        <v>42973.420543981483</v>
      </c>
      <c r="J52" s="7">
        <v>0</v>
      </c>
      <c r="K52" s="89" t="str">
        <f t="shared" si="0"/>
        <v>4007/4008</v>
      </c>
      <c r="L52" s="217" t="str">
        <f>VLOOKUP(A52,'Trips&amp;Operators'!$C$1:$G$99911,5,FALSE)</f>
        <v>MAELZER KURT</v>
      </c>
      <c r="M52" s="6">
        <f t="shared" si="1"/>
        <v>2.6631944449036382E-2</v>
      </c>
      <c r="N52" s="7">
        <f t="shared" si="22"/>
        <v>38.35000000661239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-26T08:19:48-0600',mode:absolute,to:'2017-08-26T11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25"/>
        <v>23.299800000000001</v>
      </c>
      <c r="Z52" s="197">
        <f t="shared" si="8"/>
        <v>1.4500000000000001E-2</v>
      </c>
      <c r="AA52" s="197">
        <f t="shared" si="9"/>
        <v>23.285299999999999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10"/>
        <v>140</v>
      </c>
      <c r="AE52" s="77" t="str">
        <f t="shared" si="11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52" s="74" t="str">
        <f t="shared" si="12"/>
        <v>"C:\Program Files (x86)\AstroGrep\AstroGrep.exe" /e /r /s /spath="%USERPROFILE%\AppData\Local\Temp\OnboardLogs" /stypes="app*4007*20170826*"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140-26 --locoid 4007 --swversion DE.1.0.9.0 --startMP 204:232998 --initTime 2017-08-26T09:19:48 --startdatetime 2017-08-26T09:27:14 --delay 1 --endMP 204:145 --enddatetime 2017-08-26T10:05:35 --enforcementcount 0 &gt;&gt;C:\Users\stu\Documents\GitHub\eaglep3-reporting\EC\2017-08-26-refined-times.txt</v>
      </c>
      <c r="AI5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ID","value":"140-26"},{"id":16,"name":"Locomotive ID","value":"4007"},{"id":130,"name":"Impact","value":""},{"id":150,"name":"Time of Event (Mountain Time)","value":"10:05:35"},{"id":151,"name":"Denver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4007 --day 2017-08-26</v>
      </c>
      <c r="AN5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659</v>
      </c>
      <c r="B53" s="7">
        <v>4018</v>
      </c>
      <c r="C53" s="21" t="s">
        <v>197</v>
      </c>
      <c r="D53" s="21" t="s">
        <v>337</v>
      </c>
      <c r="E53" s="13">
        <v>42973.360509259262</v>
      </c>
      <c r="F53" s="13">
        <v>42973.365115740744</v>
      </c>
      <c r="G53" s="7">
        <v>1</v>
      </c>
      <c r="H53" s="21" t="s">
        <v>545</v>
      </c>
      <c r="I53" s="13">
        <v>42973.389976851853</v>
      </c>
      <c r="J53" s="7">
        <v>0</v>
      </c>
      <c r="K53" s="89" t="str">
        <f t="shared" si="0"/>
        <v>4017/4018</v>
      </c>
      <c r="L53" s="217" t="str">
        <f>VLOOKUP(A53,'Trips&amp;Operators'!$C$1:$G$99911,5,FALSE)</f>
        <v>DAVIDSON DAVID</v>
      </c>
      <c r="M53" s="6">
        <f t="shared" si="1"/>
        <v>2.4861111109203193E-2</v>
      </c>
      <c r="N53" s="7">
        <f t="shared" si="22"/>
        <v>35.799999997252598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-26T07:39:08-0600',mode:absolute,to:'2017-08-26T10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25"/>
        <v>4.4600000000000001E-2</v>
      </c>
      <c r="Z53" s="197">
        <f t="shared" si="8"/>
        <v>23.327999999999999</v>
      </c>
      <c r="AA53" s="197">
        <f t="shared" si="9"/>
        <v>23.2834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10"/>
        <v>141</v>
      </c>
      <c r="AE53" s="77" t="str">
        <f t="shared" si="11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53" s="74" t="str">
        <f t="shared" si="12"/>
        <v>"C:\Program Files (x86)\AstroGrep\AstroGrep.exe" /e /r /s /spath="%USERPROFILE%\AppData\Local\Temp\OnboardLogs" /stypes="app*4018*20170826*"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141-26 --locoid 4018 --swversion DE.1.0.9.0 --startMP 204:446 --initTime 2017-08-26T08:39:08 --startdatetime 2017-08-26T08:45:46 --delay 1 --endMP 204:233280 --enddatetime 2017-08-26T09:21:34 --enforcementcount 0 &gt;&gt;C:\Users\stu\Documents\GitHub\eaglep3-reporting\EC\2017-08-26-refined-times.txt</v>
      </c>
      <c r="AI5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{"issue":{"subject":"","project_id":79,"tracker_id":40,"status_id":1,"priority_id":2,"assigned_to_id":23,"start_date":"2017-08-26","description":"","custom_fields":[{"id":1,"name":"Subdivision","value":"EC"},{"id":4,"name":"Milepost","value":"23.328"},{"id":17,"name":"Train ID","value":"141-26"},{"id":16,"name":"Locomotive ID","value":"4018"},{"id":130,"name":"Impact","value":""},{"id":150,"name":"Time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4018 --day 2017-08-26</v>
      </c>
      <c r="AN5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665</v>
      </c>
      <c r="B54" s="7">
        <v>4017</v>
      </c>
      <c r="C54" s="21" t="s">
        <v>197</v>
      </c>
      <c r="D54" s="21" t="s">
        <v>434</v>
      </c>
      <c r="E54" s="13">
        <v>42973.391122685185</v>
      </c>
      <c r="F54" s="13">
        <v>42973.404340277775</v>
      </c>
      <c r="G54" s="7">
        <v>1</v>
      </c>
      <c r="H54" s="21" t="s">
        <v>338</v>
      </c>
      <c r="I54" s="13">
        <v>42973.43240740741</v>
      </c>
      <c r="J54" s="7">
        <v>0</v>
      </c>
      <c r="K54" s="89" t="str">
        <f t="shared" si="0"/>
        <v>4017/4018</v>
      </c>
      <c r="L54" s="217" t="str">
        <f>VLOOKUP(A54,'Trips&amp;Operators'!$C$1:$G$99911,5,FALSE)</f>
        <v>DAVIDSON DAVID</v>
      </c>
      <c r="M54" s="6">
        <f t="shared" si="1"/>
        <v>2.8067129635019228E-2</v>
      </c>
      <c r="N54" s="7">
        <f t="shared" si="22"/>
        <v>40.416666674427688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-26T08:23:13-0600',mode:absolute,to:'2017-08-26T11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25"/>
        <v>23.2973</v>
      </c>
      <c r="Z54" s="197">
        <f t="shared" si="8"/>
        <v>1.4999999999999999E-2</v>
      </c>
      <c r="AA54" s="197">
        <f t="shared" si="9"/>
        <v>23.282299999999999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10"/>
        <v>142</v>
      </c>
      <c r="AE54" s="77" t="str">
        <f t="shared" si="11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54" s="74" t="str">
        <f t="shared" si="12"/>
        <v>"C:\Program Files (x86)\AstroGrep\AstroGrep.exe" /e /r /s /spath="%USERPROFILE%\AppData\Local\Temp\OnboardLogs" /stypes="app*4017*20170826*"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142-26 --locoid 4017 --swversion DE.1.0.9.0 --startMP 204:232973 --initTime 2017-08-26T09:23:13 --startdatetime 2017-08-26T09:42:15 --delay 1 --endMP 204:150 --enddatetime 2017-08-26T10:22:40 --enforcementcount 0 &gt;&gt;C:\Users\stu\Documents\GitHub\eaglep3-reporting\EC\2017-08-26-refined-times.txt</v>
      </c>
      <c r="AI5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{"issue":{"subject":"","project_id":79,"tracker_id":40,"status_id":1,"priority_id":2,"assigned_to_id":23,"start_date":"2017-08-26","description":"","custom_fields":[{"id":1,"name":"Subdivision","value":"EC"},{"id":4,"name":"Milepost","value":"0.015"},{"id":17,"name":"Train ID","value":"142-26"},{"id":16,"name":"Locomotive ID","value":"4017"},{"id":130,"name":"Impact","value":""},{"id":150,"name":"Time of Event (Mountain Time)","value":"10:22:40"},{"id":151,"name":"Denver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4017 --day 2017-08-26</v>
      </c>
      <c r="AN5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661</v>
      </c>
      <c r="B55" s="7">
        <v>4040</v>
      </c>
      <c r="C55" s="21" t="s">
        <v>197</v>
      </c>
      <c r="D55" s="21" t="s">
        <v>420</v>
      </c>
      <c r="E55" s="13">
        <v>42973.371793981481</v>
      </c>
      <c r="F55" s="13">
        <v>42973.375648148147</v>
      </c>
      <c r="G55" s="7">
        <v>1</v>
      </c>
      <c r="H55" s="21" t="s">
        <v>539</v>
      </c>
      <c r="I55" s="13">
        <v>42973.401909722219</v>
      </c>
      <c r="J55" s="7">
        <v>0</v>
      </c>
      <c r="K55" s="89" t="str">
        <f t="shared" si="0"/>
        <v>4039/4040</v>
      </c>
      <c r="L55" s="217" t="str">
        <f>VLOOKUP(A55,'Trips&amp;Operators'!$C$1:$G$99911,5,FALSE)</f>
        <v>WILLIAMS DONTE</v>
      </c>
      <c r="M55" s="6">
        <f t="shared" si="1"/>
        <v>2.626157407212304E-2</v>
      </c>
      <c r="N55" s="7">
        <f t="shared" si="22"/>
        <v>37.816666663857177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-26T07:55:23-0600',mode:absolute,to:'2017-08-26T10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25"/>
        <v>4.7300000000000002E-2</v>
      </c>
      <c r="Z55" s="197">
        <f t="shared" si="8"/>
        <v>23.330400000000001</v>
      </c>
      <c r="AA55" s="197">
        <f t="shared" si="9"/>
        <v>23.283100000000001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10"/>
        <v>143</v>
      </c>
      <c r="AE55" s="77" t="str">
        <f t="shared" si="11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55" s="74" t="str">
        <f t="shared" si="12"/>
        <v>"C:\Program Files (x86)\AstroGrep\AstroGrep.exe" /e /r /s /spath="%USERPROFILE%\AppData\Local\Temp\OnboardLogs" /stypes="app*4040*20170826*"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143-26 --locoid 4040 --swversion DE.1.0.9.0 --startMP 204:473 --initTime 2017-08-26T08:55:23 --startdatetime 2017-08-26T09:00:56 --delay 1 --endMP 204:233304 --enddatetime 2017-08-26T09:38:45 --enforcementcount 0 &gt;&gt;C:\Users\stu\Documents\GitHub\eaglep3-reporting\EC\2017-08-26-refined-times.txt</v>
      </c>
      <c r="AI5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{"issue":{"subject":"","project_id":79,"tracker_id":40,"status_id":1,"priority_id":2,"assigned_to_id":23,"start_date":"2017-08-26","description":"","custom_fields":[{"id":1,"name":"Subdivision","value":"EC"},{"id":4,"name":"Milepost","value":"23.3304"},{"id":17,"name":"Train ID","value":"143-26"},{"id":16,"name":"Locomotive ID","value":"4040"},{"id":130,"name":"Impact","value":""},{"id":150,"name":"Time of Event (Mountain Time)","value":"09:38:45"},{"id":151,"name":"Denver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4040 --day 2017-08-26</v>
      </c>
      <c r="AN5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669</v>
      </c>
      <c r="B56" s="7">
        <v>4039</v>
      </c>
      <c r="C56" s="21" t="s">
        <v>197</v>
      </c>
      <c r="D56" s="21" t="s">
        <v>825</v>
      </c>
      <c r="E56" s="13">
        <v>42973.412164351852</v>
      </c>
      <c r="F56" s="13">
        <v>42973.414872685185</v>
      </c>
      <c r="G56" s="7">
        <v>1</v>
      </c>
      <c r="H56" s="21" t="s">
        <v>350</v>
      </c>
      <c r="I56" s="13">
        <v>42973.442002314812</v>
      </c>
      <c r="J56" s="7">
        <v>0</v>
      </c>
      <c r="K56" s="89" t="str">
        <f t="shared" si="0"/>
        <v>4039/4040</v>
      </c>
      <c r="L56" s="217" t="str">
        <f>VLOOKUP(A56,'Trips&amp;Operators'!$C$1:$G$99911,5,FALSE)</f>
        <v>WILLIAMS DONTE</v>
      </c>
      <c r="M56" s="6">
        <f t="shared" si="1"/>
        <v>2.7129629626870155E-2</v>
      </c>
      <c r="N56" s="7">
        <f t="shared" si="22"/>
        <v>39.066666662693024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-26T08:53:31-0600',mode:absolute,to:'2017-08-26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25"/>
        <v>23.298100000000002</v>
      </c>
      <c r="Z56" s="197">
        <f t="shared" si="8"/>
        <v>1.54E-2</v>
      </c>
      <c r="AA56" s="197">
        <f t="shared" si="9"/>
        <v>23.282700000000002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10"/>
        <v>144</v>
      </c>
      <c r="AE56" s="77" t="str">
        <f t="shared" si="11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56" s="74" t="str">
        <f t="shared" si="12"/>
        <v>"C:\Program Files (x86)\AstroGrep\AstroGrep.exe" /e /r /s /spath="%USERPROFILE%\AppData\Local\Temp\OnboardLogs" /stypes="app*4039*20170826*"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144-26 --locoid 4039 --swversion DE.1.0.9.0 --startMP 204:232981 --initTime 2017-08-26T09:53:31 --startdatetime 2017-08-26T09:57:25 --delay 1 --endMP 204:154 --enddatetime 2017-08-26T10:36:29 --enforcementcount 0 &gt;&gt;C:\Users\stu\Documents\GitHub\eaglep3-reporting\EC\2017-08-26-refined-times.txt</v>
      </c>
      <c r="AI5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{"issue":{"subject":"","project_id":79,"tracker_id":40,"status_id":1,"priority_id":2,"assigned_to_id":23,"start_date":"2017-08-26","description":"","custom_fields":[{"id":1,"name":"Subdivision","value":"EC"},{"id":4,"name":"Milepost","value":"0.0154"},{"id":17,"name":"Train ID","value":"144-26"},{"id":16,"name":"Locomotive ID","value":"4039"},{"id":130,"name":"Impact","value":""},{"id":150,"name":"Time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4039 --day 2017-08-26</v>
      </c>
      <c r="AN5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663</v>
      </c>
      <c r="B57" s="7">
        <v>4062</v>
      </c>
      <c r="C57" s="21" t="s">
        <v>197</v>
      </c>
      <c r="D57" s="21" t="s">
        <v>372</v>
      </c>
      <c r="E57" s="13">
        <v>42973.381979166668</v>
      </c>
      <c r="F57" s="13">
        <v>42973.385949074072</v>
      </c>
      <c r="G57" s="7">
        <v>1</v>
      </c>
      <c r="H57" s="21" t="s">
        <v>826</v>
      </c>
      <c r="I57" s="13">
        <v>42973.410462962966</v>
      </c>
      <c r="J57" s="7">
        <v>0</v>
      </c>
      <c r="K57" s="89" t="str">
        <f t="shared" si="0"/>
        <v>4061/4062</v>
      </c>
      <c r="L57" s="217" t="str">
        <f>VLOOKUP(A57,'Trips&amp;Operators'!$C$1:$G$99911,5,FALSE)</f>
        <v>GUZMAN DANNY</v>
      </c>
      <c r="M57" s="6">
        <f t="shared" si="1"/>
        <v>2.4513888893125113E-2</v>
      </c>
      <c r="N57" s="7">
        <f t="shared" si="22"/>
        <v>35.300000006100163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-26T08:10:03-0600',mode:absolute,to:'2017-08-26T10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25"/>
        <v>4.5699999999999998E-2</v>
      </c>
      <c r="Z57" s="197">
        <f t="shared" si="8"/>
        <v>23.337599999999998</v>
      </c>
      <c r="AA57" s="197">
        <f t="shared" si="9"/>
        <v>23.291899999999998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10"/>
        <v>145</v>
      </c>
      <c r="AE57" s="77" t="str">
        <f t="shared" si="11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57" s="74" t="str">
        <f t="shared" si="12"/>
        <v>"C:\Program Files (x86)\AstroGrep\AstroGrep.exe" /e /r /s /spath="%USERPROFILE%\AppData\Local\Temp\OnboardLogs" /stypes="app*4062*20170826*"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145-26 --locoid 4062 --swversion DE.1.0.9.0 --startMP 204:457 --initTime 2017-08-26T09:10:03 --startdatetime 2017-08-26T09:15:46 --delay 1 --endMP 204:233376 --enddatetime 2017-08-26T09:51:04 --enforcementcount 0 &gt;&gt;C:\Users\stu\Documents\GitHub\eaglep3-reporting\EC\2017-08-26-refined-times.txt</v>
      </c>
      <c r="AI5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{"issue":{"subject":"","project_id":79,"tracker_id":40,"status_id":1,"priority_id":2,"assigned_to_id":23,"start_date":"2017-08-26","description":"","custom_fields":[{"id":1,"name":"Subdivision","value":"EC"},{"id":4,"name":"Milepost","value":"23.3376"},{"id":17,"name":"Train ID","value":"145-26"},{"id":16,"name":"Locomotive ID","value":"4062"},{"id":130,"name":"Impact","value":""},{"id":150,"name":"Time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4062 --day 2017-08-26</v>
      </c>
      <c r="AN5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670</v>
      </c>
      <c r="B58" s="7">
        <v>4061</v>
      </c>
      <c r="C58" s="21" t="s">
        <v>197</v>
      </c>
      <c r="D58" s="21" t="s">
        <v>827</v>
      </c>
      <c r="E58" s="13">
        <v>42973.412847222222</v>
      </c>
      <c r="F58" s="13">
        <v>42973.425173611111</v>
      </c>
      <c r="G58" s="7">
        <v>1</v>
      </c>
      <c r="H58" s="21" t="s">
        <v>481</v>
      </c>
      <c r="I58" s="13">
        <v>42973.451701388891</v>
      </c>
      <c r="J58" s="7">
        <v>0</v>
      </c>
      <c r="K58" s="89" t="str">
        <f t="shared" si="0"/>
        <v>4061/4062</v>
      </c>
      <c r="L58" s="217" t="str">
        <f>VLOOKUP(A58,'Trips&amp;Operators'!$C$1:$G$99911,5,FALSE)</f>
        <v>GUZMAN DANNY</v>
      </c>
      <c r="M58" s="6">
        <f t="shared" si="1"/>
        <v>2.6527777779847383E-2</v>
      </c>
      <c r="N58" s="7">
        <f t="shared" si="22"/>
        <v>38.200000002980232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-26T08:54:30-0600',mode:absolute,to:'2017-08-26T11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25"/>
        <v>23.306100000000001</v>
      </c>
      <c r="Z58" s="197">
        <f t="shared" si="8"/>
        <v>1.32E-2</v>
      </c>
      <c r="AA58" s="197">
        <f t="shared" si="9"/>
        <v>23.292899999999999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10"/>
        <v>146</v>
      </c>
      <c r="AE58" s="77" t="str">
        <f t="shared" si="11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58" s="74" t="str">
        <f t="shared" si="12"/>
        <v>"C:\Program Files (x86)\AstroGrep\AstroGrep.exe" /e /r /s /spath="%USERPROFILE%\AppData\Local\Temp\OnboardLogs" /stypes="app*4061*20170826*"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146-26 --locoid 4061 --swversion DE.1.0.9.0 --startMP 204:233061 --initTime 2017-08-26T09:54:30 --startdatetime 2017-08-26T10:12:15 --delay 1 --endMP 204:132 --enddatetime 2017-08-26T10:50:27 --enforcementcount 0 &gt;&gt;C:\Users\stu\Documents\GitHub\eaglep3-reporting\EC\2017-08-26-refined-times.txt</v>
      </c>
      <c r="AI5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{"issue":{"subject":"","project_id":79,"tracker_id":40,"status_id":1,"priority_id":2,"assigned_to_id":23,"start_date":"2017-08-26","description":"","custom_fields":[{"id":1,"name":"Subdivision","value":"EC"},{"id":4,"name":"Milepost","value":"0.0132"},{"id":17,"name":"Train ID","value":"146-26"},{"id":16,"name":"Locomotive ID","value":"4061"},{"id":130,"name":"Impact","value":""},{"id":150,"name":"Time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4061 --day 2017-08-26</v>
      </c>
      <c r="AN5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567</v>
      </c>
      <c r="B59" s="7">
        <v>4066</v>
      </c>
      <c r="C59" s="21" t="s">
        <v>197</v>
      </c>
      <c r="D59" s="21" t="s">
        <v>828</v>
      </c>
      <c r="E59" s="13">
        <v>42973.391296296293</v>
      </c>
      <c r="F59" s="13">
        <v>42973.39634259259</v>
      </c>
      <c r="G59" s="7">
        <v>1</v>
      </c>
      <c r="H59" s="21" t="s">
        <v>829</v>
      </c>
      <c r="I59" s="13">
        <v>42973.422199074077</v>
      </c>
      <c r="J59" s="7">
        <v>0</v>
      </c>
      <c r="K59" s="89" t="str">
        <f t="shared" si="0"/>
        <v>4065/4066</v>
      </c>
      <c r="L59" s="217" t="str">
        <f>VLOOKUP(A59,'Trips&amp;Operators'!$C$1:$G$99911,5,FALSE)</f>
        <v>DAVIS WENDY</v>
      </c>
      <c r="M59" s="6">
        <f t="shared" si="1"/>
        <v>2.5856481486698613E-2</v>
      </c>
      <c r="N59" s="7">
        <f t="shared" si="22"/>
        <v>37.233333340846002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-26T08:23:28-0600',mode:absolute,to:'2017-08-26T11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25"/>
        <v>4.82E-2</v>
      </c>
      <c r="Z59" s="197">
        <f t="shared" si="8"/>
        <v>23.334700000000002</v>
      </c>
      <c r="AA59" s="197">
        <f t="shared" si="9"/>
        <v>23.2865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10"/>
        <v>147</v>
      </c>
      <c r="AE59" s="77" t="str">
        <f t="shared" si="11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59" s="74" t="str">
        <f t="shared" si="12"/>
        <v>"C:\Program Files (x86)\AstroGrep\AstroGrep.exe" /e /r /s /spath="%USERPROFILE%\AppData\Local\Temp\OnboardLogs" /stypes="app*4066*20170826*"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147-26 --locoid 4066 --swversion DE.1.0.9.0 --startMP 204:482 --initTime 2017-08-26T09:23:28 --startdatetime 2017-08-26T09:30:44 --delay 1 --endMP 204:233347 --enddatetime 2017-08-26T10:07:58 --enforcementcount 0 &gt;&gt;C:\Users\stu\Documents\GitHub\eaglep3-reporting\EC\2017-08-26-refined-times.txt</v>
      </c>
      <c r="AI5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{"issue":{"subject":"","project_id":79,"tracker_id":40,"status_id":1,"priority_id":2,"assigned_to_id":23,"start_date":"2017-08-26","description":"","custom_fields":[{"id":1,"name":"Subdivision","value":"EC"},{"id":4,"name":"Milepost","value":"23.3347"},{"id":17,"name":"Train ID","value":"147-26"},{"id":16,"name":"Locomotive ID","value":"4066"},{"id":130,"name":"Impact","value":""},{"id":150,"name":"Time of Event (Mountain Time)","value":"10:07:58"},{"id":151,"name":"Denver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4066 --day 2017-08-26</v>
      </c>
      <c r="AN5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675</v>
      </c>
      <c r="B60" s="7">
        <v>4065</v>
      </c>
      <c r="C60" s="21" t="s">
        <v>197</v>
      </c>
      <c r="D60" s="21" t="s">
        <v>805</v>
      </c>
      <c r="E60" s="13">
        <v>42973.433240740742</v>
      </c>
      <c r="F60" s="13">
        <v>42973.435578703706</v>
      </c>
      <c r="G60" s="7">
        <v>1</v>
      </c>
      <c r="H60" s="21" t="s">
        <v>346</v>
      </c>
      <c r="I60" s="13">
        <v>42973.462372685186</v>
      </c>
      <c r="J60" s="7">
        <v>0</v>
      </c>
      <c r="K60" s="89" t="str">
        <f t="shared" si="0"/>
        <v>4065/4066</v>
      </c>
      <c r="L60" s="217" t="str">
        <f>VLOOKUP(A60,'Trips&amp;Operators'!$C$1:$G$99911,5,FALSE)</f>
        <v>DAVIS WENDY</v>
      </c>
      <c r="M60" s="6">
        <f t="shared" si="1"/>
        <v>2.679398148029577E-2</v>
      </c>
      <c r="N60" s="7">
        <f t="shared" si="22"/>
        <v>38.583333331625909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-26T09:23:52-0600',mode:absolute,to:'2017-08-26T12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25"/>
        <v>23.3062</v>
      </c>
      <c r="Z60" s="197">
        <f t="shared" si="8"/>
        <v>1.47E-2</v>
      </c>
      <c r="AA60" s="197">
        <f t="shared" si="9"/>
        <v>23.291499999999999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10"/>
        <v>148</v>
      </c>
      <c r="AE60" s="77" t="str">
        <f t="shared" si="11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60" s="74" t="str">
        <f t="shared" si="12"/>
        <v>"C:\Program Files (x86)\AstroGrep\AstroGrep.exe" /e /r /s /spath="%USERPROFILE%\AppData\Local\Temp\OnboardLogs" /stypes="app*4065*20170826*"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148-26 --locoid 4065 --swversion DE.1.0.9.0 --startMP 204:233062 --initTime 2017-08-26T10:23:52 --startdatetime 2017-08-26T10:27:14 --delay 1 --endMP 204:147 --enddatetime 2017-08-26T11:05:49 --enforcementcount 0 &gt;&gt;C:\Users\stu\Documents\GitHub\eaglep3-reporting\EC\2017-08-26-refined-times.txt</v>
      </c>
      <c r="AI6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{"issue":{"subject":"","project_id":79,"tracker_id":40,"status_id":1,"priority_id":2,"assigned_to_id":23,"start_date":"2017-08-26","description":"","custom_fields":[{"id":1,"name":"Subdivision","value":"EC"},{"id":4,"name":"Milepost","value":"0.0147"},{"id":17,"name":"Train ID","value":"148-26"},{"id":16,"name":"Locomotive ID","value":"4065"},{"id":130,"name":"Impact","value":""},{"id":150,"name":"Time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4065 --day 2017-08-26</v>
      </c>
      <c r="AN6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667</v>
      </c>
      <c r="B61" s="7">
        <v>4044</v>
      </c>
      <c r="C61" s="21" t="s">
        <v>197</v>
      </c>
      <c r="D61" s="21" t="s">
        <v>337</v>
      </c>
      <c r="E61" s="13">
        <v>42973.401284722226</v>
      </c>
      <c r="F61" s="13">
        <v>42973.406770833331</v>
      </c>
      <c r="G61" s="7">
        <v>2</v>
      </c>
      <c r="H61" s="21" t="s">
        <v>398</v>
      </c>
      <c r="I61" s="13">
        <v>42973.431261574071</v>
      </c>
      <c r="J61" s="7">
        <v>0</v>
      </c>
      <c r="K61" s="89" t="str">
        <f t="shared" si="0"/>
        <v>4043/4044</v>
      </c>
      <c r="L61" s="217" t="str">
        <f>VLOOKUP(A61,'Trips&amp;Operators'!$C$1:$G$99911,5,FALSE)</f>
        <v>GEBRETEKLE DAGNEW</v>
      </c>
      <c r="M61" s="6">
        <f t="shared" si="1"/>
        <v>2.4490740739565808E-2</v>
      </c>
      <c r="N61" s="7">
        <f t="shared" si="22"/>
        <v>35.266666664974764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-26T08:37:51-0600',mode:absolute,to:'2017-08-26T11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25"/>
        <v>4.4600000000000001E-2</v>
      </c>
      <c r="Z61" s="197">
        <f t="shared" si="8"/>
        <v>23.331399999999999</v>
      </c>
      <c r="AA61" s="197">
        <f t="shared" si="9"/>
        <v>23.286799999999999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10"/>
        <v>149</v>
      </c>
      <c r="AE61" s="77" t="str">
        <f t="shared" si="11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61" s="74" t="str">
        <f t="shared" si="12"/>
        <v>"C:\Program Files (x86)\AstroGrep\AstroGrep.exe" /e /r /s /spath="%USERPROFILE%\AppData\Local\Temp\OnboardLogs" /stypes="app*4044*20170826*"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149-26 --locoid 4044 --swversion DE.1.0.9.0 --startMP 204:446 --initTime 2017-08-26T09:37:51 --startdatetime 2017-08-26T09:45:45 --delay 2 --endMP 204:233314 --enddatetime 2017-08-26T10:21:01 --enforcementcount 0 &gt;&gt;C:\Users\stu\Documents\GitHub\eaglep3-reporting\EC\2017-08-26-refined-times.txt</v>
      </c>
      <c r="AI6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{"issue":{"subject":"","project_id":79,"tracker_id":40,"status_id":1,"priority_id":2,"assigned_to_id":23,"start_date":"2017-08-26","description":"","custom_fields":[{"id":1,"name":"Subdivision","value":"EC"},{"id":4,"name":"Milepost","value":"23.3314"},{"id":17,"name":"Train ID","value":"149-26"},{"id":16,"name":"Locomotive ID","value":"4044"},{"id":130,"name":"Impact","value":""},{"id":150,"name":"Time of Event (Mountain Time)","value":"10:21:01"},{"id":151,"name":"Denver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4044 --day 2017-08-26</v>
      </c>
      <c r="AN6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677</v>
      </c>
      <c r="B62" s="7">
        <v>4043</v>
      </c>
      <c r="C62" s="21" t="s">
        <v>197</v>
      </c>
      <c r="D62" s="21" t="s">
        <v>436</v>
      </c>
      <c r="E62" s="13">
        <v>42973.434212962966</v>
      </c>
      <c r="F62" s="13">
        <v>42973.446006944447</v>
      </c>
      <c r="G62" s="7">
        <v>1</v>
      </c>
      <c r="H62" s="21" t="s">
        <v>339</v>
      </c>
      <c r="I62" s="13">
        <v>42973.472337962965</v>
      </c>
      <c r="J62" s="7">
        <v>0</v>
      </c>
      <c r="K62" s="89" t="str">
        <f t="shared" si="0"/>
        <v>4043/4044</v>
      </c>
      <c r="L62" s="217" t="str">
        <f>VLOOKUP(A62,'Trips&amp;Operators'!$C$1:$G$99911,5,FALSE)</f>
        <v>GEBRETEKLE DAGNEW</v>
      </c>
      <c r="M62" s="6">
        <f t="shared" si="1"/>
        <v>2.6331018518249039E-2</v>
      </c>
      <c r="N62" s="7">
        <f t="shared" si="22"/>
        <v>37.916666666278616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-26T09:25:16-0600',mode:absolute,to:'2017-08-26T12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25"/>
        <v>23.3</v>
      </c>
      <c r="Z62" s="197">
        <f t="shared" si="8"/>
        <v>1.49E-2</v>
      </c>
      <c r="AA62" s="197">
        <f t="shared" si="9"/>
        <v>23.2851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10"/>
        <v>150</v>
      </c>
      <c r="AE62" s="77" t="str">
        <f t="shared" si="11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62" s="74" t="str">
        <f t="shared" si="12"/>
        <v>"C:\Program Files (x86)\AstroGrep\AstroGrep.exe" /e /r /s /spath="%USERPROFILE%\AppData\Local\Temp\OnboardLogs" /stypes="app*4043*20170826*"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150-26 --locoid 4043 --swversion DE.1.0.9.0 --startMP 204:233000 --initTime 2017-08-26T10:25:16 --startdatetime 2017-08-26T10:42:15 --delay 1 --endMP 204:149 --enddatetime 2017-08-26T11:20:10 --enforcementcount 0 &gt;&gt;C:\Users\stu\Documents\GitHub\eaglep3-reporting\EC\2017-08-26-refined-times.txt</v>
      </c>
      <c r="AI6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ID","value":"150-26"},{"id":16,"name":"Locomotive ID","value":"4043"},{"id":130,"name":"Impact","value":""},{"id":150,"name":"Time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4043 --day 2017-08-26</v>
      </c>
      <c r="AN6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668</v>
      </c>
      <c r="B63" s="7">
        <v>4010</v>
      </c>
      <c r="C63" s="21" t="s">
        <v>197</v>
      </c>
      <c r="D63" s="21" t="s">
        <v>370</v>
      </c>
      <c r="E63" s="13">
        <v>42973.41101851852</v>
      </c>
      <c r="F63" s="13">
        <v>42973.417268518519</v>
      </c>
      <c r="G63" s="7">
        <v>1</v>
      </c>
      <c r="H63" s="21" t="s">
        <v>830</v>
      </c>
      <c r="I63" s="13">
        <v>42973.44158564815</v>
      </c>
      <c r="J63" s="7">
        <v>0</v>
      </c>
      <c r="K63" s="89" t="str">
        <f t="shared" si="0"/>
        <v>4009/4010</v>
      </c>
      <c r="L63" s="217" t="str">
        <f>VLOOKUP(A63,'Trips&amp;Operators'!$C$1:$G$99911,5,FALSE)</f>
        <v>LALONDE GREGORY</v>
      </c>
      <c r="M63" s="6">
        <f t="shared" si="1"/>
        <v>2.4317129631526768E-2</v>
      </c>
      <c r="N63" s="7">
        <f t="shared" si="22"/>
        <v>35.016666669398546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-26T08:51:52-0600',mode:absolute,to:'2017-08-26T11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25"/>
        <v>4.5999999999999999E-2</v>
      </c>
      <c r="Z63" s="197">
        <f t="shared" si="8"/>
        <v>23.3338</v>
      </c>
      <c r="AA63" s="197">
        <f t="shared" si="9"/>
        <v>23.287800000000001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10"/>
        <v>151</v>
      </c>
      <c r="AE63" s="77" t="str">
        <f t="shared" si="11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63" s="74" t="str">
        <f t="shared" si="12"/>
        <v>"C:\Program Files (x86)\AstroGrep\AstroGrep.exe" /e /r /s /spath="%USERPROFILE%\AppData\Local\Temp\OnboardLogs" /stypes="app*4010*20170826*"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151-26 --locoid 4010 --swversion DE.1.0.9.0 --startMP 204:460 --initTime 2017-08-26T09:51:52 --startdatetime 2017-08-26T10:00:52 --delay 1 --endMP 204:233338 --enddatetime 2017-08-26T10:35:53 --enforcementcount 0 &gt;&gt;C:\Users\stu\Documents\GitHub\eaglep3-reporting\EC\2017-08-26-refined-times.txt</v>
      </c>
      <c r="AI6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{"issue":{"subject":"","project_id":79,"tracker_id":40,"status_id":1,"priority_id":2,"assigned_to_id":23,"start_date":"2017-08-26","description":"","custom_fields":[{"id":1,"name":"Subdivision","value":"EC"},{"id":4,"name":"Milepost","value":"23.3338"},{"id":17,"name":"Train ID","value":"151-26"},{"id":16,"name":"Locomotive ID","value":"4010"},{"id":130,"name":"Impact","value":""},{"id":150,"name":"Time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4010 --day 2017-08-26</v>
      </c>
      <c r="AN6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569</v>
      </c>
      <c r="B64" s="7">
        <v>4009</v>
      </c>
      <c r="C64" s="21" t="s">
        <v>197</v>
      </c>
      <c r="D64" s="21" t="s">
        <v>831</v>
      </c>
      <c r="E64" s="13">
        <v>42973.442696759259</v>
      </c>
      <c r="F64" s="13">
        <v>42973.456412037034</v>
      </c>
      <c r="G64" s="7">
        <v>1</v>
      </c>
      <c r="H64" s="21" t="s">
        <v>832</v>
      </c>
      <c r="I64" s="13">
        <v>42973.482546296298</v>
      </c>
      <c r="J64" s="7">
        <v>0</v>
      </c>
      <c r="K64" s="89" t="str">
        <f t="shared" si="0"/>
        <v>4009/4010</v>
      </c>
      <c r="L64" s="217" t="str">
        <f>VLOOKUP(A64,'Trips&amp;Operators'!$C$1:$G$99911,5,FALSE)</f>
        <v>LALONDE GREGORY</v>
      </c>
      <c r="M64" s="6">
        <f t="shared" si="1"/>
        <v>2.6134259263926651E-2</v>
      </c>
      <c r="N64" s="7">
        <f t="shared" si="22"/>
        <v>37.633333340054378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-26T09:37:29-0600',mode:absolute,to:'2017-08-26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25"/>
        <v>23.3032</v>
      </c>
      <c r="Z64" s="197">
        <f t="shared" si="8"/>
        <v>1.6299999999999999E-2</v>
      </c>
      <c r="AA64" s="197">
        <f t="shared" si="9"/>
        <v>23.286899999999999</v>
      </c>
      <c r="AB64" s="54" t="str">
        <f>VLOOKUP(A64,Enforcements!$C$7:$K$11,8,0)</f>
        <v>Bulletin (2)</v>
      </c>
      <c r="AC64" s="51" t="str">
        <f>VLOOKUP(A64,Enforcements!$C$7:$E$11,3,0)</f>
        <v>GRADE CROSSING</v>
      </c>
      <c r="AD64" s="206">
        <f t="shared" si="10"/>
        <v>152</v>
      </c>
      <c r="AE64" s="77" t="str">
        <f t="shared" si="11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64" s="74" t="str">
        <f t="shared" si="12"/>
        <v>"C:\Program Files (x86)\AstroGrep\AstroGrep.exe" /e /r /s /spath="%USERPROFILE%\AppData\Local\Temp\OnboardLogs" /stypes="app*4009*20170826*"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152-26 --locoid 4009 --swversion DE.1.0.9.0 --startMP 204:233032 --initTime 2017-08-26T10:37:29 --startdatetime 2017-08-26T10:57:14 --delay 1 --endMP 204:163 --enddatetime 2017-08-26T11:34:52 --enforcementcount 0 &gt;&gt;C:\Users\stu\Documents\GitHub\eaglep3-reporting\EC\2017-08-26-refined-times.txt</v>
      </c>
      <c r="AI6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{"issue":{"subject":"","project_id":79,"tracker_id":40,"status_id":1,"priority_id":2,"assigned_to_id":23,"start_date":"2017-08-26","description":"","custom_fields":[{"id":1,"name":"Subdivision","value":"EC"},{"id":4,"name":"Milepost","value":"0.0163"},{"id":17,"name":"Train ID","value":"152-26"},{"id":16,"name":"Locomotive ID","value":"4009"},{"id":130,"name":"Impact","value":""},{"id":150,"name":"Time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4009 --day 2017-08-26</v>
      </c>
      <c r="AN6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672</v>
      </c>
      <c r="B65" s="7">
        <v>4008</v>
      </c>
      <c r="C65" s="21" t="s">
        <v>197</v>
      </c>
      <c r="D65" s="21" t="s">
        <v>546</v>
      </c>
      <c r="E65" s="13">
        <v>42973.424409722225</v>
      </c>
      <c r="F65" s="13">
        <v>42973.42769675926</v>
      </c>
      <c r="G65" s="7">
        <v>1</v>
      </c>
      <c r="H65" s="21" t="s">
        <v>437</v>
      </c>
      <c r="I65" s="13">
        <v>42973.452268518522</v>
      </c>
      <c r="J65" s="7">
        <v>0</v>
      </c>
      <c r="K65" s="89" t="str">
        <f t="shared" si="0"/>
        <v>4007/4008</v>
      </c>
      <c r="L65" s="217" t="str">
        <f>VLOOKUP(A65,'Trips&amp;Operators'!$C$1:$G$99911,5,FALSE)</f>
        <v>CHANDLER KELVIN</v>
      </c>
      <c r="M65" s="6">
        <f t="shared" si="1"/>
        <v>2.457175926247146E-2</v>
      </c>
      <c r="N65" s="7">
        <f t="shared" si="22"/>
        <v>35.383333337958902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-26T09:11:09-0600',mode:absolute,to:'2017-08-26T11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25"/>
        <v>4.3799999999999999E-2</v>
      </c>
      <c r="Z65" s="197">
        <f t="shared" si="8"/>
        <v>23.329699999999999</v>
      </c>
      <c r="AA65" s="197">
        <f t="shared" si="9"/>
        <v>23.285899999999998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10"/>
        <v>153</v>
      </c>
      <c r="AE65" s="77" t="str">
        <f t="shared" si="11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65" s="74" t="str">
        <f t="shared" si="12"/>
        <v>"C:\Program Files (x86)\AstroGrep\AstroGrep.exe" /e /r /s /spath="%USERPROFILE%\AppData\Local\Temp\OnboardLogs" /stypes="app*4008*20170826*"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153-26 --locoid 4008 --swversion DE.1.0.9.0 --startMP 204:438 --initTime 2017-08-26T10:11:09 --startdatetime 2017-08-26T10:15:53 --delay 1 --endMP 204:233297 --enddatetime 2017-08-26T10:51:16 --enforcementcount 0 &gt;&gt;C:\Users\stu\Documents\GitHub\eaglep3-reporting\EC\2017-08-26-refined-times.txt</v>
      </c>
      <c r="AI6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{"issue":{"subject":"","project_id":79,"tracker_id":40,"status_id":1,"priority_id":2,"assigned_to_id":23,"start_date":"2017-08-26","description":"","custom_fields":[{"id":1,"name":"Subdivision","value":"EC"},{"id":4,"name":"Milepost","value":"23.3297"},{"id":17,"name":"Train ID","value":"153-26"},{"id":16,"name":"Locomotive ID","value":"4008"},{"id":130,"name":"Impact","value":""},{"id":150,"name":"Time of Event (Mountain Time)","value":"10:51:16"},{"id":151,"name":"Denver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4008 --day 2017-08-26</v>
      </c>
      <c r="AN6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680</v>
      </c>
      <c r="B66" s="7">
        <v>4007</v>
      </c>
      <c r="C66" s="21" t="s">
        <v>197</v>
      </c>
      <c r="D66" s="21" t="s">
        <v>532</v>
      </c>
      <c r="E66" s="13">
        <v>42973.462465277778</v>
      </c>
      <c r="F66" s="13">
        <v>42973.466909722221</v>
      </c>
      <c r="G66" s="7">
        <v>1</v>
      </c>
      <c r="H66" s="21" t="s">
        <v>350</v>
      </c>
      <c r="I66" s="13">
        <v>42973.494062500002</v>
      </c>
      <c r="J66" s="7">
        <v>0</v>
      </c>
      <c r="K66" s="89" t="str">
        <f t="shared" si="0"/>
        <v>4007/4008</v>
      </c>
      <c r="L66" s="217" t="str">
        <f>VLOOKUP(A66,'Trips&amp;Operators'!$C$1:$G$99911,5,FALSE)</f>
        <v>CHANDLER KELVIN</v>
      </c>
      <c r="M66" s="6">
        <f t="shared" si="1"/>
        <v>2.715277778042946E-2</v>
      </c>
      <c r="N66" s="7">
        <f t="shared" si="22"/>
        <v>39.100000003818423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-26T10:05:57-0600',mode:absolute,to:'2017-08-26T12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25"/>
        <v>23.296299999999999</v>
      </c>
      <c r="Z66" s="197">
        <f t="shared" si="8"/>
        <v>1.54E-2</v>
      </c>
      <c r="AA66" s="197">
        <f t="shared" si="9"/>
        <v>23.280899999999999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0"/>
        <v>154</v>
      </c>
      <c r="AE66" s="77" t="str">
        <f t="shared" si="11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66" s="74" t="str">
        <f t="shared" si="12"/>
        <v>"C:\Program Files (x86)\AstroGrep\AstroGrep.exe" /e /r /s /spath="%USERPROFILE%\AppData\Local\Temp\OnboardLogs" /stypes="app*4007*20170826*"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154-26 --locoid 4007 --swversion DE.1.0.9.0 --startMP 204:232963 --initTime 2017-08-26T11:05:57 --startdatetime 2017-08-26T11:12:21 --delay 1 --endMP 204:154 --enddatetime 2017-08-26T11:51:27 --enforcementcount 0 &gt;&gt;C:\Users\stu\Documents\GitHub\eaglep3-reporting\EC\2017-08-26-refined-times.txt</v>
      </c>
      <c r="AI6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{"issue":{"subject":"","project_id":79,"tracker_id":40,"status_id":1,"priority_id":2,"assigned_to_id":23,"start_date":"2017-08-26","description":"","custom_fields":[{"id":1,"name":"Subdivision","value":"EC"},{"id":4,"name":"Milepost","value":"0.0154"},{"id":17,"name":"Train ID","value":"154-26"},{"id":16,"name":"Locomotive ID","value":"4007"},{"id":130,"name":"Impact","value":""},{"id":150,"name":"Time of Event (Mountain Time)","value":"11:51:27"},{"id":151,"name":"Denver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4007 --day 2017-08-26</v>
      </c>
      <c r="AN6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676</v>
      </c>
      <c r="B67" s="7">
        <v>4018</v>
      </c>
      <c r="C67" s="21" t="s">
        <v>197</v>
      </c>
      <c r="D67" s="21" t="s">
        <v>378</v>
      </c>
      <c r="E67" s="13">
        <v>42973.433831018519</v>
      </c>
      <c r="F67" s="13">
        <v>42973.438032407408</v>
      </c>
      <c r="G67" s="7">
        <v>1</v>
      </c>
      <c r="H67" s="21" t="s">
        <v>389</v>
      </c>
      <c r="I67" s="13">
        <v>42973.463900462964</v>
      </c>
      <c r="J67" s="7">
        <v>0</v>
      </c>
      <c r="K67" s="89" t="str">
        <f t="shared" si="0"/>
        <v>4017/4018</v>
      </c>
      <c r="L67" s="217" t="str">
        <f>VLOOKUP(A67,'Trips&amp;Operators'!$C$1:$G$99911,5,FALSE)</f>
        <v>DAVIDSON DAVID</v>
      </c>
      <c r="M67" s="6">
        <f t="shared" si="1"/>
        <v>2.5868055556202307E-2</v>
      </c>
      <c r="N67" s="7">
        <f t="shared" si="22"/>
        <v>37.250000000931323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-26T09:24:43-0600',mode:absolute,to:'2017-08-26T12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25"/>
        <v>4.4200000000000003E-2</v>
      </c>
      <c r="Z67" s="197">
        <f t="shared" si="8"/>
        <v>23.3293</v>
      </c>
      <c r="AA67" s="197">
        <f t="shared" si="9"/>
        <v>23.2851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10"/>
        <v>155</v>
      </c>
      <c r="AE67" s="77" t="str">
        <f t="shared" si="11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67" s="74" t="str">
        <f t="shared" si="12"/>
        <v>"C:\Program Files (x86)\AstroGrep\AstroGrep.exe" /e /r /s /spath="%USERPROFILE%\AppData\Local\Temp\OnboardLogs" /stypes="app*4018*20170826*"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155-26 --locoid 4018 --swversion DE.1.0.9.0 --startMP 204:442 --initTime 2017-08-26T10:24:43 --startdatetime 2017-08-26T10:30:46 --delay 1 --endMP 204:233293 --enddatetime 2017-08-26T11:08:01 --enforcementcount 0 &gt;&gt;C:\Users\stu\Documents\GitHub\eaglep3-reporting\EC\2017-08-26-refined-times.txt</v>
      </c>
      <c r="AI6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{"issue":{"subject":"","project_id":79,"tracker_id":40,"status_id":1,"priority_id":2,"assigned_to_id":23,"start_date":"2017-08-26","description":"","custom_fields":[{"id":1,"name":"Subdivision","value":"EC"},{"id":4,"name":"Milepost","value":"23.3293"},{"id":17,"name":"Train ID","value":"155-26"},{"id":16,"name":"Locomotive ID","value":"4018"},{"id":130,"name":"Impact","value":""},{"id":150,"name":"Time of Event (Mountain Time)","value":"11:08:01"},{"id":151,"name":"Denver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4018 --day 2017-08-26</v>
      </c>
      <c r="AN6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683</v>
      </c>
      <c r="B68" s="7">
        <v>4017</v>
      </c>
      <c r="C68" s="21" t="s">
        <v>197</v>
      </c>
      <c r="D68" s="21" t="s">
        <v>419</v>
      </c>
      <c r="E68" s="13">
        <v>42973.466331018521</v>
      </c>
      <c r="F68" s="13">
        <v>42973.477256944447</v>
      </c>
      <c r="G68" s="7">
        <v>0</v>
      </c>
      <c r="H68" s="21" t="s">
        <v>346</v>
      </c>
      <c r="I68" s="13">
        <v>42973.50440972222</v>
      </c>
      <c r="J68" s="7">
        <v>0</v>
      </c>
      <c r="K68" s="89" t="str">
        <f t="shared" si="0"/>
        <v>4017/4018</v>
      </c>
      <c r="L68" s="217" t="str">
        <f>VLOOKUP(A68,'Trips&amp;Operators'!$C$1:$G$99911,5,FALSE)</f>
        <v>DAVIDSON DAVID</v>
      </c>
      <c r="M68" s="6">
        <f t="shared" si="1"/>
        <v>2.7152777773153502E-2</v>
      </c>
      <c r="N68" s="7">
        <f t="shared" si="22"/>
        <v>39.099999993341044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-26T10:11:31-0600',mode:absolute,to:'2017-08-26T13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25"/>
        <v>23.297699999999999</v>
      </c>
      <c r="Z68" s="197">
        <f t="shared" si="8"/>
        <v>1.47E-2</v>
      </c>
      <c r="AA68" s="197">
        <f t="shared" si="9"/>
        <v>23.282999999999998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10"/>
        <v>156</v>
      </c>
      <c r="AE68" s="77" t="str">
        <f t="shared" si="11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68" s="74" t="str">
        <f t="shared" si="12"/>
        <v>"C:\Program Files (x86)\AstroGrep\AstroGrep.exe" /e /r /s /spath="%USERPROFILE%\AppData\Local\Temp\OnboardLogs" /stypes="app*4017*20170826*"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156-26 --locoid 4017 --swversion DE.1.0.9.0 --startMP 204:232977 --initTime 2017-08-26T11:11:31 --startdatetime 2017-08-26T11:27:15 --delay 0 --endMP 204:147 --enddatetime 2017-08-26T12:06:21 --enforcementcount 0 &gt;&gt;C:\Users\stu\Documents\GitHub\eaglep3-reporting\EC\2017-08-26-refined-times.txt</v>
      </c>
      <c r="AI68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{"issue":{"subject":"","project_id":79,"tracker_id":40,"status_id":1,"priority_id":2,"assigned_to_id":23,"start_date":"2017-08-26","description":"","custom_fields":[{"id":1,"name":"Subdivision","value":"EC"},{"id":4,"name":"Milepost","value":"0.0147"},{"id":17,"name":"Train ID","value":"156-26"},{"id":16,"name":"Locomotive ID","value":"4017"},{"id":130,"name":"Impact","value":""},{"id":150,"name":"Time of Event (Mountain Time)","value":"12:06:21"},{"id":151,"name":"Denver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4017 --day 2017-08-26</v>
      </c>
      <c r="AN68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678</v>
      </c>
      <c r="B69" s="7">
        <v>4040</v>
      </c>
      <c r="C69" s="21" t="s">
        <v>197</v>
      </c>
      <c r="D69" s="21" t="s">
        <v>344</v>
      </c>
      <c r="E69" s="13">
        <v>42973.444085648145</v>
      </c>
      <c r="F69" s="13">
        <v>42973.448425925926</v>
      </c>
      <c r="G69" s="7">
        <v>1</v>
      </c>
      <c r="H69" s="21" t="s">
        <v>819</v>
      </c>
      <c r="I69" s="13">
        <v>42973.472743055558</v>
      </c>
      <c r="J69" s="7">
        <v>0</v>
      </c>
      <c r="K69" s="89" t="str">
        <f t="shared" si="0"/>
        <v>4039/4040</v>
      </c>
      <c r="L69" s="217" t="str">
        <f>VLOOKUP(A69,'Trips&amp;Operators'!$C$1:$G$99911,5,FALSE)</f>
        <v>YORK EDGAR</v>
      </c>
      <c r="M69" s="6">
        <f t="shared" si="1"/>
        <v>2.4317129631526768E-2</v>
      </c>
      <c r="N69" s="7">
        <f t="shared" si="22"/>
        <v>35.016666669398546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-26T09:39:29-0600',mode:absolute,to:'2017-08-26T12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25"/>
        <v>4.4699999999999997E-2</v>
      </c>
      <c r="Z69" s="197">
        <f t="shared" si="8"/>
        <v>23.328600000000002</v>
      </c>
      <c r="AA69" s="197">
        <f t="shared" si="9"/>
        <v>23.283900000000003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10"/>
        <v>157</v>
      </c>
      <c r="AE69" s="77" t="str">
        <f t="shared" si="11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69" s="74" t="str">
        <f t="shared" si="12"/>
        <v>"C:\Program Files (x86)\AstroGrep\AstroGrep.exe" /e /r /s /spath="%USERPROFILE%\AppData\Local\Temp\OnboardLogs" /stypes="app*4040*20170826*"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157-26 --locoid 4040 --swversion DE.1.0.9.0 --startMP 204:447 --initTime 2017-08-26T10:39:29 --startdatetime 2017-08-26T10:45:44 --delay 1 --endMP 204:233286 --enddatetime 2017-08-26T11:20:45 --enforcementcount 0 &gt;&gt;C:\Users\stu\Documents\GitHub\eaglep3-reporting\EC\2017-08-26-refined-times.txt</v>
      </c>
      <c r="AI69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{"issue":{"subject":"","project_id":79,"tracker_id":40,"status_id":1,"priority_id":2,"assigned_to_id":23,"start_date":"2017-08-26","description":"","custom_fields":[{"id":1,"name":"Subdivision","value":"EC"},{"id":4,"name":"Milepost","value":"23.3286"},{"id":17,"name":"Train ID","value":"157-26"},{"id":16,"name":"Locomotive ID","value":"4040"},{"id":130,"name":"Impact","value":""},{"id":150,"name":"Time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4040 --day 2017-08-26</v>
      </c>
      <c r="AN69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684</v>
      </c>
      <c r="B70" s="7">
        <v>4039</v>
      </c>
      <c r="C70" s="21" t="s">
        <v>197</v>
      </c>
      <c r="D70" s="21" t="s">
        <v>532</v>
      </c>
      <c r="E70" s="13">
        <v>42973.473506944443</v>
      </c>
      <c r="F70" s="13">
        <v>42973.487673611111</v>
      </c>
      <c r="G70" s="7">
        <v>1</v>
      </c>
      <c r="H70" s="21" t="s">
        <v>377</v>
      </c>
      <c r="I70" s="13">
        <v>42973.513564814813</v>
      </c>
      <c r="J70" s="7">
        <v>0</v>
      </c>
      <c r="K70" s="89" t="str">
        <f t="shared" si="0"/>
        <v>4039/4040</v>
      </c>
      <c r="L70" s="217" t="str">
        <f>VLOOKUP(A70,'Trips&amp;Operators'!$C$1:$G$99911,5,FALSE)</f>
        <v>YORK EDGAR</v>
      </c>
      <c r="M70" s="6">
        <f t="shared" si="1"/>
        <v>2.5891203702485655E-2</v>
      </c>
      <c r="N70" s="7">
        <f t="shared" si="22"/>
        <v>37.283333331579342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-26T10:21:51-0600',mode:absolute,to:'2017-08-26T13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25"/>
        <v>23.296299999999999</v>
      </c>
      <c r="Z70" s="197">
        <f t="shared" si="8"/>
        <v>1.4500000000000001E-2</v>
      </c>
      <c r="AA70" s="197">
        <f t="shared" si="9"/>
        <v>23.281799999999997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10"/>
        <v>158</v>
      </c>
      <c r="AE70" s="77" t="str">
        <f t="shared" si="11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70" s="74" t="str">
        <f t="shared" si="12"/>
        <v>"C:\Program Files (x86)\AstroGrep\AstroGrep.exe" /e /r /s /spath="%USERPROFILE%\AppData\Local\Temp\OnboardLogs" /stypes="app*4039*20170826*"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158-26 --locoid 4039 --swversion DE.1.0.9.0 --startMP 204:232963 --initTime 2017-08-26T11:21:51 --startdatetime 2017-08-26T11:42:15 --delay 1 --endMP 204:145 --enddatetime 2017-08-26T12:19:32 --enforcementcount 0 &gt;&gt;C:\Users\stu\Documents\GitHub\eaglep3-reporting\EC\2017-08-26-refined-times.txt</v>
      </c>
      <c r="AI70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ID","value":"158-26"},{"id":16,"name":"Locomotive ID","value":"4039"},{"id":130,"name":"Impact","value":""},{"id":150,"name":"Time of Event (Mountain Time)","value":"12:19:32"},{"id":151,"name":"Denver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4039 --day 2017-08-26</v>
      </c>
      <c r="AN70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679</v>
      </c>
      <c r="B71" s="7">
        <v>4062</v>
      </c>
      <c r="C71" s="21" t="s">
        <v>197</v>
      </c>
      <c r="D71" s="21" t="s">
        <v>341</v>
      </c>
      <c r="E71" s="13">
        <v>42973.45385416667</v>
      </c>
      <c r="F71" s="13">
        <v>42973.458865740744</v>
      </c>
      <c r="G71" s="7">
        <v>1</v>
      </c>
      <c r="H71" s="21" t="s">
        <v>833</v>
      </c>
      <c r="I71" s="13">
        <v>42973.483726851853</v>
      </c>
      <c r="J71" s="7">
        <v>0</v>
      </c>
      <c r="K71" s="89" t="str">
        <f t="shared" si="0"/>
        <v>4061/4062</v>
      </c>
      <c r="L71" s="217" t="str">
        <f>VLOOKUP(A71,'Trips&amp;Operators'!$C$1:$G$99911,5,FALSE)</f>
        <v>GUZMAN DANNY</v>
      </c>
      <c r="M71" s="6">
        <f t="shared" si="1"/>
        <v>2.4861111109203193E-2</v>
      </c>
      <c r="N71" s="7">
        <f t="shared" si="22"/>
        <v>35.799999997252598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-26T09:53:33-0600',mode:absolute,to:'2017-08-26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25"/>
        <v>4.5100000000000001E-2</v>
      </c>
      <c r="Z71" s="197">
        <f t="shared" si="8"/>
        <v>23.341899999999999</v>
      </c>
      <c r="AA71" s="197">
        <f t="shared" si="9"/>
        <v>23.296799999999998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10"/>
        <v>159</v>
      </c>
      <c r="AE71" s="77" t="str">
        <f t="shared" si="11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71" s="74" t="str">
        <f t="shared" si="12"/>
        <v>"C:\Program Files (x86)\AstroGrep\AstroGrep.exe" /e /r /s /spath="%USERPROFILE%\AppData\Local\Temp\OnboardLogs" /stypes="app*4062*20170826*"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159-26 --locoid 4062 --swversion DE.1.0.9.0 --startMP 204:451 --initTime 2017-08-26T10:53:33 --startdatetime 2017-08-26T11:00:46 --delay 1 --endMP 204:233419 --enddatetime 2017-08-26T11:36:34 --enforcementcount 0 &gt;&gt;C:\Users\stu\Documents\GitHub\eaglep3-reporting\EC\2017-08-26-refined-times.txt</v>
      </c>
      <c r="AI71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{"issue":{"subject":"","project_id":79,"tracker_id":40,"status_id":1,"priority_id":2,"assigned_to_id":23,"start_date":"2017-08-26","description":"","custom_fields":[{"id":1,"name":"Subdivision","value":"EC"},{"id":4,"name":"Milepost","value":"23.3419"},{"id":17,"name":"Train ID","value":"159-26"},{"id":16,"name":"Locomotive ID","value":"4062"},{"id":130,"name":"Impact","value":""},{"id":150,"name":"Time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4062 --day 2017-08-26</v>
      </c>
      <c r="AN71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689</v>
      </c>
      <c r="B72" s="7">
        <v>4061</v>
      </c>
      <c r="C72" s="21" t="s">
        <v>197</v>
      </c>
      <c r="D72" s="21" t="s">
        <v>834</v>
      </c>
      <c r="E72" s="13">
        <v>42973.486342592594</v>
      </c>
      <c r="F72" s="13">
        <v>42973.498078703706</v>
      </c>
      <c r="G72" s="7">
        <v>1</v>
      </c>
      <c r="H72" s="21" t="s">
        <v>392</v>
      </c>
      <c r="I72" s="13">
        <v>42973.524826388886</v>
      </c>
      <c r="J72" s="7">
        <v>0</v>
      </c>
      <c r="K72" s="89" t="str">
        <f t="shared" si="0"/>
        <v>4061/4062</v>
      </c>
      <c r="L72" s="217" t="str">
        <f>VLOOKUP(A72,'Trips&amp;Operators'!$C$1:$G$99911,5,FALSE)</f>
        <v>GUZMAN DANNY</v>
      </c>
      <c r="M72" s="6">
        <f t="shared" si="1"/>
        <v>2.6747685180453118E-2</v>
      </c>
      <c r="N72" s="7">
        <f t="shared" si="22"/>
        <v>38.51666665985249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-26T10:40:20-0600',mode:absolute,to:'2017-08-26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25"/>
        <v>23.308499999999999</v>
      </c>
      <c r="Z72" s="197">
        <f t="shared" si="8"/>
        <v>1.5599999999999999E-2</v>
      </c>
      <c r="AA72" s="197">
        <f t="shared" si="9"/>
        <v>23.292899999999999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10"/>
        <v>160</v>
      </c>
      <c r="AE72" s="77" t="str">
        <f t="shared" si="11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72" s="74" t="str">
        <f t="shared" si="12"/>
        <v>"C:\Program Files (x86)\AstroGrep\AstroGrep.exe" /e /r /s /spath="%USERPROFILE%\AppData\Local\Temp\OnboardLogs" /stypes="app*4061*20170826*"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160-26 --locoid 4061 --swversion DE.1.0.9.0 --startMP 204:233085 --initTime 2017-08-26T11:40:20 --startdatetime 2017-08-26T11:57:14 --delay 1 --endMP 204:156 --enddatetime 2017-08-26T12:35:45 --enforcementcount 0 &gt;&gt;C:\Users\stu\Documents\GitHub\eaglep3-reporting\EC\2017-08-26-refined-times.txt</v>
      </c>
      <c r="AI72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{"issue":{"subject":"","project_id":79,"tracker_id":40,"status_id":1,"priority_id":2,"assigned_to_id":23,"start_date":"2017-08-26","description":"","custom_fields":[{"id":1,"name":"Subdivision","value":"EC"},{"id":4,"name":"Milepost","value":"0.0156"},{"id":17,"name":"Train ID","value":"160-26"},{"id":16,"name":"Locomotive ID","value":"4061"},{"id":130,"name":"Impact","value":""},{"id":150,"name":"Time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4061 --day 2017-08-26</v>
      </c>
      <c r="AN72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681</v>
      </c>
      <c r="B73" s="7">
        <v>4066</v>
      </c>
      <c r="C73" s="21" t="s">
        <v>197</v>
      </c>
      <c r="D73" s="21" t="s">
        <v>388</v>
      </c>
      <c r="E73" s="13">
        <v>42973.464884259258</v>
      </c>
      <c r="F73" s="13">
        <v>42973.469270833331</v>
      </c>
      <c r="G73" s="7">
        <v>2</v>
      </c>
      <c r="H73" s="21" t="s">
        <v>835</v>
      </c>
      <c r="I73" s="13">
        <v>42973.495324074072</v>
      </c>
      <c r="J73" s="7">
        <v>0</v>
      </c>
      <c r="K73" s="89" t="str">
        <f t="shared" si="0"/>
        <v>4065/4066</v>
      </c>
      <c r="L73" s="217" t="str">
        <f>VLOOKUP(A73,'Trips&amp;Operators'!$C$1:$G$99911,5,FALSE)</f>
        <v>DAVIS MICHAEL</v>
      </c>
      <c r="M73" s="6">
        <f t="shared" si="1"/>
        <v>2.6053240741021E-2</v>
      </c>
      <c r="N73" s="7">
        <f t="shared" si="22"/>
        <v>37.51666666707024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-26T10:09:26-0600',mode:absolute,to:'2017-08-26T12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25"/>
        <v>4.6600000000000003E-2</v>
      </c>
      <c r="Z73" s="197">
        <f t="shared" si="8"/>
        <v>23.335999999999999</v>
      </c>
      <c r="AA73" s="197">
        <f t="shared" si="9"/>
        <v>23.289399999999997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10"/>
        <v>161</v>
      </c>
      <c r="AE73" s="77" t="str">
        <f t="shared" si="11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73" s="74" t="str">
        <f t="shared" si="12"/>
        <v>"C:\Program Files (x86)\AstroGrep\AstroGrep.exe" /e /r /s /spath="%USERPROFILE%\AppData\Local\Temp\OnboardLogs" /stypes="app*4066*20170826*"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161-26 --locoid 4066 --swversion DE.1.0.9.0 --startMP 204:466 --initTime 2017-08-26T11:09:26 --startdatetime 2017-08-26T11:15:45 --delay 2 --endMP 204:233360 --enddatetime 2017-08-26T11:53:16 --enforcementcount 0 &gt;&gt;C:\Users\stu\Documents\GitHub\eaglep3-reporting\EC\2017-08-26-refined-times.txt</v>
      </c>
      <c r="AI73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{"issue":{"subject":"","project_id":79,"tracker_id":40,"status_id":1,"priority_id":2,"assigned_to_id":23,"start_date":"2017-08-26","description":"","custom_fields":[{"id":1,"name":"Subdivision","value":"EC"},{"id":4,"name":"Milepost","value":"23.336"},{"id":17,"name":"Train ID","value":"161-26"},{"id":16,"name":"Locomotive ID","value":"4066"},{"id":130,"name":"Impact","value":""},{"id":150,"name":"Time of Event (Mountain Time)","value":"11:53:16"},{"id":151,"name":"Denver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4066 --day 2017-08-26</v>
      </c>
      <c r="AN73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692</v>
      </c>
      <c r="B74" s="7">
        <v>4065</v>
      </c>
      <c r="C74" s="21" t="s">
        <v>197</v>
      </c>
      <c r="D74" s="21" t="s">
        <v>483</v>
      </c>
      <c r="E74" s="13">
        <v>42973.506666666668</v>
      </c>
      <c r="F74" s="13">
        <v>42973.508726851855</v>
      </c>
      <c r="G74" s="7">
        <v>1</v>
      </c>
      <c r="H74" s="21" t="s">
        <v>423</v>
      </c>
      <c r="I74" s="13">
        <v>42973.537280092591</v>
      </c>
      <c r="J74" s="7">
        <v>0</v>
      </c>
      <c r="K74" s="89" t="str">
        <f t="shared" si="0"/>
        <v>4065/4066</v>
      </c>
      <c r="L74" s="217" t="str">
        <f>VLOOKUP(A74,'Trips&amp;Operators'!$C$1:$G$99911,5,FALSE)</f>
        <v>DAVIS MICHAEL</v>
      </c>
      <c r="M74" s="6">
        <f t="shared" si="1"/>
        <v>2.8553240736073349E-2</v>
      </c>
      <c r="N74" s="7">
        <f t="shared" si="22"/>
        <v>41.116666659945622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-26T11:09:36-0600',mode:absolute,to:'2017-08-26T13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25"/>
        <v>23.303000000000001</v>
      </c>
      <c r="Z74" s="197">
        <f t="shared" si="8"/>
        <v>1.3899999999999999E-2</v>
      </c>
      <c r="AA74" s="197">
        <f t="shared" si="9"/>
        <v>23.289100000000001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10"/>
        <v>162</v>
      </c>
      <c r="AE74" s="77" t="str">
        <f t="shared" si="11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74" s="74" t="str">
        <f t="shared" si="12"/>
        <v>"C:\Program Files (x86)\AstroGrep\AstroGrep.exe" /e /r /s /spath="%USERPROFILE%\AppData\Local\Temp\OnboardLogs" /stypes="app*4065*20170826*"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162-26 --locoid 4065 --swversion DE.1.0.9.0 --startMP 204:233030 --initTime 2017-08-26T12:09:36 --startdatetime 2017-08-26T12:12:34 --delay 1 --endMP 204:139 --enddatetime 2017-08-26T12:53:41 --enforcementcount 0 &gt;&gt;C:\Users\stu\Documents\GitHub\eaglep3-reporting\EC\2017-08-26-refined-times.txt</v>
      </c>
      <c r="AI74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{"issue":{"subject":"","project_id":79,"tracker_id":40,"status_id":1,"priority_id":2,"assigned_to_id":23,"start_date":"2017-08-26","description":"","custom_fields":[{"id":1,"name":"Subdivision","value":"EC"},{"id":4,"name":"Milepost","value":"0.0139"},{"id":17,"name":"Train ID","value":"162-26"},{"id":16,"name":"Locomotive ID","value":"4065"},{"id":130,"name":"Impact","value":""},{"id":150,"name":"Time of Event (Mountain Time)","value":"12:53:41"},{"id":151,"name":"Denver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4065 --day 2017-08-26</v>
      </c>
      <c r="AN74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571</v>
      </c>
      <c r="B75" s="7">
        <v>4044</v>
      </c>
      <c r="C75" s="21" t="s">
        <v>197</v>
      </c>
      <c r="D75" s="21" t="s">
        <v>341</v>
      </c>
      <c r="E75" s="13">
        <v>42973.474733796298</v>
      </c>
      <c r="F75" s="13">
        <v>42973.479814814818</v>
      </c>
      <c r="G75" s="7">
        <v>1</v>
      </c>
      <c r="H75" s="21" t="s">
        <v>836</v>
      </c>
      <c r="I75" s="13">
        <v>42973.50513888889</v>
      </c>
      <c r="J75" s="7">
        <v>0</v>
      </c>
      <c r="K75" s="89" t="str">
        <f t="shared" si="0"/>
        <v>4043/4044</v>
      </c>
      <c r="L75" s="217" t="str">
        <f>VLOOKUP(A75,'Trips&amp;Operators'!$C$1:$G$99911,5,FALSE)</f>
        <v>BROWN JACOB</v>
      </c>
      <c r="M75" s="6">
        <f t="shared" si="1"/>
        <v>2.5324074071249925E-2</v>
      </c>
      <c r="N75" s="7">
        <f t="shared" si="22"/>
        <v>36.466666662599891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-26T10:23:37-0600',mode:absolute,to:'2017-08-26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25"/>
        <v>4.5100000000000001E-2</v>
      </c>
      <c r="Z75" s="197">
        <f t="shared" si="8"/>
        <v>23.330300000000001</v>
      </c>
      <c r="AA75" s="197">
        <f t="shared" si="9"/>
        <v>23.2852</v>
      </c>
      <c r="AB75" s="54" t="str">
        <f>VLOOKUP(A75,Enforcements!$C$7:$K$11,8,0)</f>
        <v>Bulletin (2)</v>
      </c>
      <c r="AC75" s="51" t="str">
        <f>VLOOKUP(A75,Enforcements!$C$7:$E$11,3,0)</f>
        <v>GRADE CROSSING</v>
      </c>
      <c r="AD75" s="206">
        <f t="shared" si="10"/>
        <v>163</v>
      </c>
      <c r="AE75" s="77" t="str">
        <f t="shared" si="11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75" s="74" t="str">
        <f t="shared" si="12"/>
        <v>"C:\Program Files (x86)\AstroGrep\AstroGrep.exe" /e /r /s /spath="%USERPROFILE%\AppData\Local\Temp\OnboardLogs" /stypes="app*4044*20170826*"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163-26 --locoid 4044 --swversion DE.1.0.9.0 --startMP 204:451 --initTime 2017-08-26T11:23:37 --startdatetime 2017-08-26T11:30:56 --delay 1 --endMP 204:233303 --enddatetime 2017-08-26T12:07:24 --enforcementcount 0 &gt;&gt;C:\Users\stu\Documents\GitHub\eaglep3-reporting\EC\2017-08-26-refined-times.txt</v>
      </c>
      <c r="AI75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{"issue":{"subject":"","project_id":79,"tracker_id":40,"status_id":1,"priority_id":2,"assigned_to_id":23,"start_date":"2017-08-26","description":"","custom_fields":[{"id":1,"name":"Subdivision","value":"EC"},{"id":4,"name":"Milepost","value":"23.3303"},{"id":17,"name":"Train ID","value":"163-26"},{"id":16,"name":"Locomotive ID","value":"4044"},{"id":130,"name":"Impact","value":""},{"id":150,"name":"Time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4044 --day 2017-08-26</v>
      </c>
      <c r="AN75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695</v>
      </c>
      <c r="B76" s="7">
        <v>4043</v>
      </c>
      <c r="C76" s="21" t="s">
        <v>197</v>
      </c>
      <c r="D76" s="21" t="s">
        <v>802</v>
      </c>
      <c r="E76" s="13">
        <v>42973.516967592594</v>
      </c>
      <c r="F76" s="13">
        <v>42973.518900462965</v>
      </c>
      <c r="G76" s="7">
        <v>1</v>
      </c>
      <c r="H76" s="21" t="s">
        <v>377</v>
      </c>
      <c r="I76" s="13">
        <v>42973.546041666668</v>
      </c>
      <c r="J76" s="7">
        <v>0</v>
      </c>
      <c r="K76" s="89" t="str">
        <f t="shared" si="0"/>
        <v>4043/4044</v>
      </c>
      <c r="L76" s="217" t="str">
        <f>VLOOKUP(A76,'Trips&amp;Operators'!$C$1:$G$99911,5,FALSE)</f>
        <v>BROWN JACOB</v>
      </c>
      <c r="M76" s="6">
        <f t="shared" si="1"/>
        <v>2.7141203703649808E-2</v>
      </c>
      <c r="N76" s="7">
        <f t="shared" si="22"/>
        <v>39.083333333255723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-26T11:24:26-0600',mode:absolute,to:'2017-08-26T14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25"/>
        <v>23.301300000000001</v>
      </c>
      <c r="Z76" s="197">
        <f t="shared" si="8"/>
        <v>1.4500000000000001E-2</v>
      </c>
      <c r="AA76" s="197">
        <f t="shared" si="9"/>
        <v>23.286799999999999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10"/>
        <v>164</v>
      </c>
      <c r="AE76" s="77" t="str">
        <f t="shared" si="11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76" s="74" t="str">
        <f t="shared" si="12"/>
        <v>"C:\Program Files (x86)\AstroGrep\AstroGrep.exe" /e /r /s /spath="%USERPROFILE%\AppData\Local\Temp\OnboardLogs" /stypes="app*4043*20170826*"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164-26 --locoid 4043 --swversion DE.1.0.9.0 --startMP 204:233013 --initTime 2017-08-26T12:24:26 --startdatetime 2017-08-26T12:27:13 --delay 1 --endMP 204:145 --enddatetime 2017-08-26T13:06:18 --enforcementcount 0 &gt;&gt;C:\Users\stu\Documents\GitHub\eaglep3-reporting\EC\2017-08-26-refined-times.txt</v>
      </c>
      <c r="AI76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ID","value":"164-26"},{"id":16,"name":"Locomotive ID","value":"4043"},{"id":130,"name":"Impact","value":""},{"id":150,"name":"Time of Event (Mountain Time)","value":"13:06:18"},{"id":151,"name":"Denver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4043 --day 2017-08-26</v>
      </c>
      <c r="AN76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687</v>
      </c>
      <c r="B77" s="7">
        <v>4010</v>
      </c>
      <c r="C77" s="21" t="s">
        <v>197</v>
      </c>
      <c r="D77" s="21" t="s">
        <v>837</v>
      </c>
      <c r="E77" s="13">
        <v>42973.484837962962</v>
      </c>
      <c r="F77" s="13">
        <v>42973.49009259259</v>
      </c>
      <c r="G77" s="7">
        <v>1</v>
      </c>
      <c r="H77" s="21" t="s">
        <v>838</v>
      </c>
      <c r="I77" s="13">
        <v>42973.514085648145</v>
      </c>
      <c r="J77" s="7">
        <v>0</v>
      </c>
      <c r="K77" s="89" t="str">
        <f t="shared" ref="K77:K140" si="26">IF(ISEVEN(B77),(B77-1)&amp;"/"&amp;B77,B77&amp;"/"&amp;(B77+1))</f>
        <v>4009/4010</v>
      </c>
      <c r="L77" s="217" t="str">
        <f>VLOOKUP(A77,'Trips&amp;Operators'!$C$1:$G$99911,5,FALSE)</f>
        <v>LOPES KIMBERLY</v>
      </c>
      <c r="M77" s="6">
        <f t="shared" ref="M77:M140" si="27">I77-F77</f>
        <v>2.3993055554456078E-2</v>
      </c>
      <c r="N77" s="7">
        <f t="shared" ref="N77:N108" si="28">24*60*SUM($M77:$M77)</f>
        <v>34.549999998416752</v>
      </c>
      <c r="O77" s="7"/>
      <c r="P77" s="7"/>
      <c r="Q77" s="22"/>
      <c r="R77" s="170"/>
      <c r="S77" s="213">
        <f t="shared" ref="S77:S108" si="29">1/IF(AG77="EC",12,1)*SUM(U77:U77)</f>
        <v>1</v>
      </c>
      <c r="T77" s="195" t="str">
        <f t="shared" ref="T77:T140" si="30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-26T10:38:10-0600',mode:absolute,to:'2017-08-26T13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197" t="str">
        <f>IF(AA77&lt;VLOOKUP(AG77,Variables!$AC$3:$AD$8,2,FALSE),"Y","N")</f>
        <v>N</v>
      </c>
      <c r="X77" s="197">
        <f t="shared" ref="X77:X108" si="32">VALUE(LEFT(AD77,4))-VALUE(LEFT(AD76,4))</f>
        <v>1</v>
      </c>
      <c r="Y77" s="197">
        <f t="shared" ref="Y77:Y108" si="33">RIGHT(D77,LEN(D77)-4)/10000</f>
        <v>4.8000000000000001E-2</v>
      </c>
      <c r="Z77" s="197">
        <f t="shared" ref="Z77:Z140" si="34">RIGHT(H77,LEN(H77)-4)/10000</f>
        <v>23.330100000000002</v>
      </c>
      <c r="AA77" s="197">
        <f t="shared" ref="AA77:AA140" si="35">ABS(Z77-Y77)</f>
        <v>23.282100000000003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/stypes="app*4010*20170826*"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si="18"/>
        <v>"%USERPROFILE%\Documents\GitHub\eaglep3\Utilities\RefineRTDCRunTimes.py" --tripid 165-26 --locoid 4010 --swversion DE.1.0.9.0 --startMP 204:480 --initTime 2017-08-26T11:38:10 --startdatetime 2017-08-26T11:45:44 --delay 1 --endMP 204:233301 --enddatetime 2017-08-26T12:20:17 --enforcementcount 0 &gt;&gt;C:\Users\stu\Documents\GitHub\eaglep3-reporting\EC\2017-08-26-refined-times.txt</v>
      </c>
      <c r="AI77" s="96" t="str">
        <f t="shared" si="19"/>
        <v>echo {"issue":{"subject":"","project_id":79,"tracker_id":40,"status_id":1,"priority_id":2,"assigned_to_id":23,"start_date":"2017-08-26","description":"","custom_fields":[{"id":1,"name":"Subdivision","value":"EC"},{"id":4,"name":"Milepost","value":"23.3301"},{"id":17,"name":"Train ID","value":"165-26"},{"id":16,"name":"Locomotive ID","value":"4010"},{"id":130,"name":"Impact","value":""},{"id":150,"name":"Time of Event (Mountain Time)","value":"12:20:17"},{"id":151,"name":"Denver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4010 --day 2017-08-26</v>
      </c>
      <c r="AN77" s="151" t="str">
        <f t="shared" si="2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696</v>
      </c>
      <c r="B78" s="7">
        <v>4009</v>
      </c>
      <c r="C78" s="21" t="s">
        <v>197</v>
      </c>
      <c r="D78" s="21" t="s">
        <v>419</v>
      </c>
      <c r="E78" s="13">
        <v>42973.518958333334</v>
      </c>
      <c r="F78" s="13">
        <v>42973.529340277775</v>
      </c>
      <c r="G78" s="7">
        <v>1</v>
      </c>
      <c r="H78" s="21" t="s">
        <v>832</v>
      </c>
      <c r="I78" s="13">
        <v>42973.559386574074</v>
      </c>
      <c r="J78" s="7">
        <v>0</v>
      </c>
      <c r="K78" s="89" t="str">
        <f t="shared" si="26"/>
        <v>4009/4010</v>
      </c>
      <c r="L78" s="217" t="str">
        <f>VLOOKUP(A78,'Trips&amp;Operators'!$C$1:$G$99911,5,FALSE)</f>
        <v>LOPES KIMBERLY</v>
      </c>
      <c r="M78" s="6">
        <f t="shared" si="27"/>
        <v>3.0046296298678499E-2</v>
      </c>
      <c r="N78" s="7">
        <f t="shared" si="28"/>
        <v>43.266666670097038</v>
      </c>
      <c r="O78" s="7"/>
      <c r="P78" s="7"/>
      <c r="Q78" s="22"/>
      <c r="R78" s="170"/>
      <c r="S78" s="213">
        <f t="shared" si="29"/>
        <v>1</v>
      </c>
      <c r="T78" s="195" t="str">
        <f t="shared" si="30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-08-26T11:27:18-0600',mode:absolute,to:'2017-08-26T14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197" t="str">
        <f>IF(AA78&lt;VLOOKUP(AG78,Variables!$AC$3:$AD$8,2,FALSE),"Y","N")</f>
        <v>N</v>
      </c>
      <c r="X78" s="197">
        <f t="shared" si="32"/>
        <v>1</v>
      </c>
      <c r="Y78" s="197">
        <f t="shared" si="33"/>
        <v>23.297699999999999</v>
      </c>
      <c r="Z78" s="197">
        <f t="shared" si="34"/>
        <v>1.6299999999999999E-2</v>
      </c>
      <c r="AA78" s="197">
        <f t="shared" si="35"/>
        <v>23.281399999999998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36"/>
        <v>166</v>
      </c>
      <c r="AE78" s="77" t="str">
        <f t="shared" si="37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78" s="74" t="str">
        <f t="shared" si="38"/>
        <v>"C:\Program Files (x86)\AstroGrep\AstroGrep.exe" /e /r /s /spath="%USERPROFILE%\AppData\Local\Temp\OnboardLogs" /stypes="app*4009*20170826*" /stext=" 19:.+((SYSTEM_STATE.+slice.+state.+changed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4009 --swversion DE.1.0.9.0 --startMP 204:232977 --initTime 2017-08-26T12:27:18 --startdatetime 2017-08-26T12:42:15 --delay 1 --endMP 204:163 --enddatetime 2017-08-26T13:25:31 --enforcementcount 0 &gt;&gt;C:\Users\stu\Documents\GitHub\eaglep3-reporting\EC\2017-08-26-refined-times.txt</v>
      </c>
      <c r="AI78" s="96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{"issue":{"subject":"","project_id":79,"tracker_id":40,"status_id":1,"priority_id":2,"assigned_to_id":23,"start_date":"2017-08-26","description":"","custom_fields":[{"id":1,"name":"Subdivision","value":"EC"},{"id":4,"name":"Milepost","value":"0.0163"},{"id":17,"name":"Train ID","value":"166-26"},{"id":16,"name":"Locomotive ID","value":"4009"},{"id":130,"name":"Impact","value":""},{"id":150,"name":"Time of Event (Mountain Time)","value":"13:25:31"},{"id":151,"name":"Denver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2">"start /low /b "&amp;dls3logs&amp;" --loco "&amp;B78&amp;" --day "&amp;TEXT(F78,"YYYY-MM-DD")</f>
        <v>start /low /b %USERPROFILE%\Documents\GitHub\eaglep3\Utilities\DownloadLogsFromS3.py --loco 4009 --day 2017-08-26</v>
      </c>
      <c r="AN78" s="151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690</v>
      </c>
      <c r="B79" s="7">
        <v>4008</v>
      </c>
      <c r="C79" s="21" t="s">
        <v>197</v>
      </c>
      <c r="D79" s="21" t="s">
        <v>357</v>
      </c>
      <c r="E79" s="13">
        <v>42973.495613425926</v>
      </c>
      <c r="F79" s="13">
        <v>42973.500520833331</v>
      </c>
      <c r="G79" s="7">
        <v>2</v>
      </c>
      <c r="H79" s="21" t="s">
        <v>437</v>
      </c>
      <c r="I79" s="13">
        <v>42973.525949074072</v>
      </c>
      <c r="J79" s="7">
        <v>0</v>
      </c>
      <c r="K79" s="89" t="str">
        <f t="shared" si="26"/>
        <v>4007/4008</v>
      </c>
      <c r="L79" s="217" t="str">
        <f>VLOOKUP(A79,'Trips&amp;Operators'!$C$1:$G$99911,5,FALSE)</f>
        <v>BERLING GARY</v>
      </c>
      <c r="M79" s="6">
        <f t="shared" si="27"/>
        <v>2.5428240740438923E-2</v>
      </c>
      <c r="N79" s="7">
        <f t="shared" si="28"/>
        <v>36.616666666232049</v>
      </c>
      <c r="O79" s="7"/>
      <c r="P79" s="7"/>
      <c r="Q79" s="22"/>
      <c r="R79" s="170"/>
      <c r="S79" s="213">
        <f t="shared" si="29"/>
        <v>1</v>
      </c>
      <c r="T79" s="195" t="str">
        <f t="shared" si="30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-08-26T10:53:41-0600',mode:absolute,to:'2017-08-26T13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97" t="str">
        <f>IF(AA79&lt;VLOOKUP(AG79,Variables!$AC$3:$AD$8,2,FALSE),"Y","N")</f>
        <v>N</v>
      </c>
      <c r="X79" s="197">
        <f t="shared" si="32"/>
        <v>1</v>
      </c>
      <c r="Y79" s="197">
        <f t="shared" si="33"/>
        <v>4.5499999999999999E-2</v>
      </c>
      <c r="Z79" s="197">
        <f t="shared" si="34"/>
        <v>23.329699999999999</v>
      </c>
      <c r="AA79" s="197">
        <f t="shared" si="35"/>
        <v>23.284199999999998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36"/>
        <v>167</v>
      </c>
      <c r="AE79" s="77" t="str">
        <f t="shared" si="37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79" s="74" t="str">
        <f t="shared" si="38"/>
        <v>"C:\Program Files (x86)\AstroGrep\AstroGrep.exe" /e /r /s /spath="%USERPROFILE%\AppData\Local\Temp\OnboardLogs" /stypes="app*4008*20170826*" /stext=" 18:.+((SYSTEM_STATE.+slice.+state.+changed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167-26 --locoid 4008 --swversion DE.1.0.9.0 --startMP 204:455 --initTime 2017-08-26T11:53:41 --startdatetime 2017-08-26T12:00:45 --delay 2 --endMP 204:233297 --enddatetime 2017-08-26T12:37:22 --enforcementcount 0 &gt;&gt;C:\Users\stu\Documents\GitHub\eaglep3-reporting\EC\2017-08-26-refined-times.txt</v>
      </c>
      <c r="AI7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{"issue":{"subject":"","project_id":79,"tracker_id":40,"status_id":1,"priority_id":2,"assigned_to_id":23,"start_date":"2017-08-26","description":"","custom_fields":[{"id":1,"name":"Subdivision","value":"EC"},{"id":4,"name":"Milepost","value":"23.3297"},{"id":17,"name":"Train ID","value":"167-26"},{"id":16,"name":"Locomotive ID","value":"4008"},{"id":130,"name":"Impact","value":""},{"id":150,"name":"Time of Event (Mountain Time)","value":"12:37:22"},{"id":151,"name":"Denver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4008 --day 2017-08-26</v>
      </c>
      <c r="AN79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572</v>
      </c>
      <c r="B80" s="7">
        <v>4007</v>
      </c>
      <c r="C80" s="21" t="s">
        <v>197</v>
      </c>
      <c r="D80" s="21" t="s">
        <v>421</v>
      </c>
      <c r="E80" s="13">
        <v>42973.534456018519</v>
      </c>
      <c r="F80" s="13">
        <v>42973.539733796293</v>
      </c>
      <c r="G80" s="7">
        <v>2</v>
      </c>
      <c r="H80" s="21" t="s">
        <v>547</v>
      </c>
      <c r="I80" s="13">
        <v>42973.567094907405</v>
      </c>
      <c r="J80" s="7">
        <v>0</v>
      </c>
      <c r="K80" s="89" t="str">
        <f t="shared" si="26"/>
        <v>4007/4008</v>
      </c>
      <c r="L80" s="217" t="str">
        <f>VLOOKUP(A80,'Trips&amp;Operators'!$C$1:$G$99911,5,FALSE)</f>
        <v>BERLING GARY</v>
      </c>
      <c r="M80" s="6">
        <f t="shared" si="27"/>
        <v>2.73611111115315E-2</v>
      </c>
      <c r="N80" s="7">
        <f t="shared" si="28"/>
        <v>39.40000000060536</v>
      </c>
      <c r="O80" s="7"/>
      <c r="P80" s="7"/>
      <c r="Q80" s="22"/>
      <c r="R80" s="170"/>
      <c r="S80" s="213">
        <f t="shared" si="29"/>
        <v>1</v>
      </c>
      <c r="T80" s="195" t="str">
        <f t="shared" si="30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-08-26T11:49:37-0600',mode:absolute,to:'2017-08-26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197" t="str">
        <f>IF(AA80&lt;VLOOKUP(AG80,Variables!$AC$3:$AD$8,2,FALSE),"Y","N")</f>
        <v>N</v>
      </c>
      <c r="X80" s="197">
        <f t="shared" si="32"/>
        <v>1</v>
      </c>
      <c r="Y80" s="197">
        <f t="shared" si="33"/>
        <v>23.297899999999998</v>
      </c>
      <c r="Z80" s="197">
        <f t="shared" si="34"/>
        <v>1.29E-2</v>
      </c>
      <c r="AA80" s="197">
        <f t="shared" si="35"/>
        <v>23.285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36"/>
        <v>168</v>
      </c>
      <c r="AE80" s="77" t="str">
        <f t="shared" si="37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80" s="74" t="str">
        <f t="shared" si="38"/>
        <v>"C:\Program Files (x86)\AstroGrep\AstroGrep.exe" /e /r /s /spath="%USERPROFILE%\AppData\Local\Temp\OnboardLogs" /stypes="app*4007*20170826*" /stext=" 19:.+((SYSTEM_STATE.+slice.+state.+changed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168-26 --locoid 4007 --swversion DE.1.0.9.0 --startMP 204:232979 --initTime 2017-08-26T12:49:37 --startdatetime 2017-08-26T12:57:13 --delay 2 --endMP 204:129 --enddatetime 2017-08-26T13:36:37 --enforcementcount 0 &gt;&gt;C:\Users\stu\Documents\GitHub\eaglep3-reporting\EC\2017-08-26-refined-times.txt</v>
      </c>
      <c r="AI8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{"issue":{"subject":"","project_id":79,"tracker_id":40,"status_id":1,"priority_id":2,"assigned_to_id":23,"start_date":"2017-08-26","description":"","custom_fields":[{"id":1,"name":"Subdivision","value":"EC"},{"id":4,"name":"Milepost","value":"0.0129"},{"id":17,"name":"Train ID","value":"168-26"},{"id":16,"name":"Locomotive ID","value":"4007"},{"id":130,"name":"Impact","value":""},{"id":150,"name":"Time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4007 --day 2017-08-26</v>
      </c>
      <c r="AN80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691</v>
      </c>
      <c r="B81" s="7">
        <v>4018</v>
      </c>
      <c r="C81" s="21" t="s">
        <v>197</v>
      </c>
      <c r="D81" s="21" t="s">
        <v>538</v>
      </c>
      <c r="E81" s="13">
        <v>42973.506041666667</v>
      </c>
      <c r="F81" s="13">
        <v>42973.510879629626</v>
      </c>
      <c r="G81" s="7">
        <v>2</v>
      </c>
      <c r="H81" s="21" t="s">
        <v>804</v>
      </c>
      <c r="I81" s="13">
        <v>42973.534849537034</v>
      </c>
      <c r="J81" s="7">
        <v>0</v>
      </c>
      <c r="K81" s="89" t="str">
        <f t="shared" si="26"/>
        <v>4017/4018</v>
      </c>
      <c r="L81" s="217" t="str">
        <f>VLOOKUP(A81,'Trips&amp;Operators'!$C$1:$G$99911,5,FALSE)</f>
        <v>DELGADO DIANAH</v>
      </c>
      <c r="M81" s="6">
        <f t="shared" si="27"/>
        <v>2.396990740817273E-2</v>
      </c>
      <c r="N81" s="7">
        <f t="shared" si="28"/>
        <v>34.516666667768732</v>
      </c>
      <c r="O81" s="7"/>
      <c r="P81" s="7"/>
      <c r="Q81" s="22"/>
      <c r="R81" s="170"/>
      <c r="S81" s="213">
        <f t="shared" si="29"/>
        <v>1</v>
      </c>
      <c r="T81" s="195" t="str">
        <f t="shared" si="30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-08-26T11:08:42-0600',mode:absolute,to:'2017-08-26T13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97" t="str">
        <f>IF(AA81&lt;VLOOKUP(AG81,Variables!$AC$3:$AD$8,2,FALSE),"Y","N")</f>
        <v>N</v>
      </c>
      <c r="X81" s="197">
        <f t="shared" si="32"/>
        <v>1</v>
      </c>
      <c r="Y81" s="197">
        <f t="shared" si="33"/>
        <v>4.7699999999999999E-2</v>
      </c>
      <c r="Z81" s="197">
        <f t="shared" si="34"/>
        <v>23.338899999999999</v>
      </c>
      <c r="AA81" s="197">
        <f t="shared" si="35"/>
        <v>23.2912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36"/>
        <v>169</v>
      </c>
      <c r="AE81" s="77" t="str">
        <f t="shared" si="37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81" s="74" t="str">
        <f t="shared" si="38"/>
        <v>"C:\Program Files (x86)\AstroGrep\AstroGrep.exe" /e /r /s /spath="%USERPROFILE%\AppData\Local\Temp\OnboardLogs" /stypes="app*4018*20170826*" /stext=" 18:.+((SYSTEM_STATE.+slice.+state.+changed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169-26 --locoid 4018 --swversion DE.1.0.9.0 --startMP 204:477 --initTime 2017-08-26T12:08:42 --startdatetime 2017-08-26T12:15:40 --delay 2 --endMP 204:233389 --enddatetime 2017-08-26T12:50:11 --enforcementcount 0 &gt;&gt;C:\Users\stu\Documents\GitHub\eaglep3-reporting\EC\2017-08-26-refined-times.txt</v>
      </c>
      <c r="AI8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{"issue":{"subject":"","project_id":79,"tracker_id":40,"status_id":1,"priority_id":2,"assigned_to_id":23,"start_date":"2017-08-26","description":"","custom_fields":[{"id":1,"name":"Subdivision","value":"EC"},{"id":4,"name":"Milepost","value":"23.3389"},{"id":17,"name":"Train ID","value":"169-26"},{"id":16,"name":"Locomotive ID","value":"4018"},{"id":130,"name":"Impact","value":""},{"id":150,"name":"Time of Event (Mountain Time)","value":"12:50:11"},{"id":151,"name":"Denver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4018 --day 2017-08-26</v>
      </c>
      <c r="AN81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702</v>
      </c>
      <c r="B82" s="7">
        <v>4017</v>
      </c>
      <c r="C82" s="21" t="s">
        <v>197</v>
      </c>
      <c r="D82" s="21" t="s">
        <v>839</v>
      </c>
      <c r="E82" s="13">
        <v>42973.543541666666</v>
      </c>
      <c r="F82" s="13">
        <v>42973.550162037034</v>
      </c>
      <c r="G82" s="7">
        <v>1</v>
      </c>
      <c r="H82" s="21" t="s">
        <v>422</v>
      </c>
      <c r="I82" s="13">
        <v>42973.575868055559</v>
      </c>
      <c r="J82" s="7">
        <v>0</v>
      </c>
      <c r="K82" s="89" t="str">
        <f t="shared" si="26"/>
        <v>4017/4018</v>
      </c>
      <c r="L82" s="217" t="str">
        <f>VLOOKUP(A82,'Trips&amp;Operators'!$C$1:$G$99911,5,FALSE)</f>
        <v>DELGADO DIANAH</v>
      </c>
      <c r="M82" s="6">
        <f t="shared" si="27"/>
        <v>2.570601852494292E-2</v>
      </c>
      <c r="N82" s="7">
        <f t="shared" si="28"/>
        <v>37.016666675917804</v>
      </c>
      <c r="O82" s="7"/>
      <c r="P82" s="7"/>
      <c r="Q82" s="22"/>
      <c r="R82" s="170"/>
      <c r="S82" s="213">
        <f t="shared" si="29"/>
        <v>1</v>
      </c>
      <c r="T82" s="195" t="str">
        <f t="shared" si="30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-08-26T12:02:42-0600',mode:absolute,to:'2017-08-26T14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97" t="str">
        <f>IF(AA82&lt;VLOOKUP(AG82,Variables!$AC$3:$AD$8,2,FALSE),"Y","N")</f>
        <v>N</v>
      </c>
      <c r="X82" s="197">
        <f t="shared" si="32"/>
        <v>1</v>
      </c>
      <c r="Y82" s="197">
        <f t="shared" si="33"/>
        <v>23.306899999999999</v>
      </c>
      <c r="Z82" s="197">
        <f t="shared" si="34"/>
        <v>1.3599999999999999E-2</v>
      </c>
      <c r="AA82" s="197">
        <f t="shared" si="35"/>
        <v>23.293299999999999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36"/>
        <v>170</v>
      </c>
      <c r="AE82" s="77" t="str">
        <f t="shared" si="37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82" s="74" t="str">
        <f t="shared" si="38"/>
        <v>"C:\Program Files (x86)\AstroGrep\AstroGrep.exe" /e /r /s /spath="%USERPROFILE%\AppData\Local\Temp\OnboardLogs" /stypes="app*4017*20170826*" /stext=" 19:.+((SYSTEM_STATE.+slice.+state.+changed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170-26 --locoid 4017 --swversion DE.1.0.9.0 --startMP 204:233069 --initTime 2017-08-26T13:02:42 --startdatetime 2017-08-26T13:12:14 --delay 1 --endMP 204:136 --enddatetime 2017-08-26T13:49:15 --enforcementcount 0 &gt;&gt;C:\Users\stu\Documents\GitHub\eaglep3-reporting\EC\2017-08-26-refined-times.txt</v>
      </c>
      <c r="AI8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{"issue":{"subject":"","project_id":79,"tracker_id":40,"status_id":1,"priority_id":2,"assigned_to_id":23,"start_date":"2017-08-26","description":"","custom_fields":[{"id":1,"name":"Subdivision","value":"EC"},{"id":4,"name":"Milepost","value":"0.0136"},{"id":17,"name":"Train ID","value":"170-26"},{"id":16,"name":"Locomotive ID","value":"4017"},{"id":130,"name":"Impact","value":""},{"id":150,"name":"Time of Event (Mountain Time)","value":"13:49:15"},{"id":151,"name":"Denver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4017 --day 2017-08-26</v>
      </c>
      <c r="AN82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694</v>
      </c>
      <c r="B83" s="7">
        <v>4040</v>
      </c>
      <c r="C83" s="21" t="s">
        <v>197</v>
      </c>
      <c r="D83" s="21" t="s">
        <v>349</v>
      </c>
      <c r="E83" s="13">
        <v>42973.514456018522</v>
      </c>
      <c r="F83" s="13">
        <v>42973.52138888889</v>
      </c>
      <c r="G83" s="7">
        <v>0</v>
      </c>
      <c r="H83" s="21" t="s">
        <v>539</v>
      </c>
      <c r="I83" s="13">
        <v>42973.545671296299</v>
      </c>
      <c r="J83" s="7">
        <v>0</v>
      </c>
      <c r="K83" s="89" t="str">
        <f t="shared" si="26"/>
        <v>4039/4040</v>
      </c>
      <c r="L83" s="217" t="str">
        <f>VLOOKUP(A83,'Trips&amp;Operators'!$C$1:$G$99911,5,FALSE)</f>
        <v>YORK EDGAR</v>
      </c>
      <c r="M83" s="6">
        <f t="shared" si="27"/>
        <v>2.4282407408463769E-2</v>
      </c>
      <c r="N83" s="7">
        <f t="shared" si="28"/>
        <v>34.966666668187827</v>
      </c>
      <c r="O83" s="7"/>
      <c r="P83" s="7"/>
      <c r="Q83" s="22"/>
      <c r="R83" s="170"/>
      <c r="S83" s="213">
        <f t="shared" si="29"/>
        <v>1</v>
      </c>
      <c r="T83" s="195" t="str">
        <f t="shared" si="30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-08-26T11:20:49-0600',mode:absolute,to:'2017-08-26T14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97" t="str">
        <f>IF(AA83&lt;VLOOKUP(AG83,Variables!$AC$3:$AD$8,2,FALSE),"Y","N")</f>
        <v>N</v>
      </c>
      <c r="X83" s="197">
        <f t="shared" si="32"/>
        <v>1</v>
      </c>
      <c r="Y83" s="197">
        <f t="shared" si="33"/>
        <v>4.6199999999999998E-2</v>
      </c>
      <c r="Z83" s="197">
        <f t="shared" si="34"/>
        <v>23.330400000000001</v>
      </c>
      <c r="AA83" s="197">
        <f t="shared" si="35"/>
        <v>23.284200000000002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36"/>
        <v>171</v>
      </c>
      <c r="AE83" s="77" t="str">
        <f t="shared" si="37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83" s="74" t="str">
        <f t="shared" si="38"/>
        <v>"C:\Program Files (x86)\AstroGrep\AstroGrep.exe" /e /r /s /spath="%USERPROFILE%\AppData\Local\Temp\OnboardLogs" /stypes="app*4040*20170826*"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171-26 --locoid 4040 --swversion DE.1.0.9.0 --startMP 204:462 --initTime 2017-08-26T12:20:49 --startdatetime 2017-08-26T12:30:48 --delay 0 --endMP 204:233304 --enddatetime 2017-08-26T13:05:46 --enforcementcount 0 &gt;&gt;C:\Users\stu\Documents\GitHub\eaglep3-reporting\EC\2017-08-26-refined-times.txt</v>
      </c>
      <c r="AI8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{"issue":{"subject":"","project_id":79,"tracker_id":40,"status_id":1,"priority_id":2,"assigned_to_id":23,"start_date":"2017-08-26","description":"","custom_fields":[{"id":1,"name":"Subdivision","value":"EC"},{"id":4,"name":"Milepost","value":"23.3304"},{"id":17,"name":"Train ID","value":"171-26"},{"id":16,"name":"Locomotive ID","value":"4040"},{"id":130,"name":"Impact","value":""},{"id":150,"name":"Time of Event (Mountain Time)","value":"13:05:46"},{"id":151,"name":"Denver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4040 --day 2017-08-26</v>
      </c>
      <c r="AN83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705</v>
      </c>
      <c r="B84" s="7">
        <v>4039</v>
      </c>
      <c r="C84" s="21" t="s">
        <v>197</v>
      </c>
      <c r="D84" s="21" t="s">
        <v>840</v>
      </c>
      <c r="E84" s="13">
        <v>42973.555636574078</v>
      </c>
      <c r="F84" s="13">
        <v>42973.560601851852</v>
      </c>
      <c r="G84" s="7">
        <v>1</v>
      </c>
      <c r="H84" s="21" t="s">
        <v>423</v>
      </c>
      <c r="I84" s="13">
        <v>42973.586724537039</v>
      </c>
      <c r="J84" s="7">
        <v>0</v>
      </c>
      <c r="K84" s="89" t="str">
        <f t="shared" si="26"/>
        <v>4039/4040</v>
      </c>
      <c r="L84" s="217" t="str">
        <f>VLOOKUP(A84,'Trips&amp;Operators'!$C$1:$G$99911,5,FALSE)</f>
        <v>YORK EDGAR</v>
      </c>
      <c r="M84" s="6">
        <f t="shared" si="27"/>
        <v>2.6122685187146999E-2</v>
      </c>
      <c r="N84" s="7">
        <f t="shared" si="28"/>
        <v>37.616666669491678</v>
      </c>
      <c r="O84" s="7"/>
      <c r="P84" s="7"/>
      <c r="Q84" s="22"/>
      <c r="R84" s="170"/>
      <c r="S84" s="213">
        <f t="shared" si="29"/>
        <v>1</v>
      </c>
      <c r="T84" s="195" t="str">
        <f t="shared" si="30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-08-26T12:20:07-0600',mode:absolute,to:'2017-08-26T15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97" t="str">
        <f>IF(AA84&lt;VLOOKUP(AG84,Variables!$AC$3:$AD$8,2,FALSE),"Y","N")</f>
        <v>N</v>
      </c>
      <c r="X84" s="197">
        <f t="shared" si="32"/>
        <v>1</v>
      </c>
      <c r="Y84" s="197">
        <f t="shared" si="33"/>
        <v>23.296600000000002</v>
      </c>
      <c r="Z84" s="197">
        <f t="shared" si="34"/>
        <v>1.3899999999999999E-2</v>
      </c>
      <c r="AA84" s="197">
        <f t="shared" si="35"/>
        <v>23.282700000000002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36"/>
        <v>172</v>
      </c>
      <c r="AE84" s="77" t="str">
        <f t="shared" si="37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84" s="74" t="str">
        <f t="shared" si="38"/>
        <v>"C:\Program Files (x86)\AstroGrep\AstroGrep.exe" /e /r /s /spath="%USERPROFILE%\AppData\Local\Temp\OnboardLogs" /stypes="app*4039*20170826*" /stext=" 20:.+((SYSTEM_STATE.+slice.+state.+changed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172-26 --locoid 4039 --swversion DE.1.0.9.0 --startMP 204:232966 --initTime 2017-08-26T13:20:07 --startdatetime 2017-08-26T13:27:16 --delay 1 --endMP 204:139 --enddatetime 2017-08-26T14:04:53 --enforcementcount 0 &gt;&gt;C:\Users\stu\Documents\GitHub\eaglep3-reporting\EC\2017-08-26-refined-times.txt</v>
      </c>
      <c r="AI8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{"issue":{"subject":"","project_id":79,"tracker_id":40,"status_id":1,"priority_id":2,"assigned_to_id":23,"start_date":"2017-08-26","description":"","custom_fields":[{"id":1,"name":"Subdivision","value":"EC"},{"id":4,"name":"Milepost","value":"0.0139"},{"id":17,"name":"Train ID","value":"172-26"},{"id":16,"name":"Locomotive ID","value":"4039"},{"id":130,"name":"Impact","value":""},{"id":150,"name":"Time of Event (Mountain Time)","value":"14:04:53"},{"id":151,"name":"Denver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4039 --day 2017-08-26</v>
      </c>
      <c r="AN84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698</v>
      </c>
      <c r="B85" s="7">
        <v>4062</v>
      </c>
      <c r="C85" s="21" t="s">
        <v>197</v>
      </c>
      <c r="D85" s="21" t="s">
        <v>432</v>
      </c>
      <c r="E85" s="13">
        <v>42973.526608796295</v>
      </c>
      <c r="F85" s="13">
        <v>42973.531759259262</v>
      </c>
      <c r="G85" s="7">
        <v>1</v>
      </c>
      <c r="H85" s="21" t="s">
        <v>396</v>
      </c>
      <c r="I85" s="13">
        <v>42973.555509259262</v>
      </c>
      <c r="J85" s="7">
        <v>0</v>
      </c>
      <c r="K85" s="89" t="str">
        <f t="shared" si="26"/>
        <v>4061/4062</v>
      </c>
      <c r="L85" s="217" t="str">
        <f>VLOOKUP(A85,'Trips&amp;Operators'!$C$1:$G$99911,5,FALSE)</f>
        <v>NEWELL JAMES</v>
      </c>
      <c r="M85" s="6">
        <f t="shared" si="27"/>
        <v>2.3750000000291038E-2</v>
      </c>
      <c r="N85" s="7">
        <f t="shared" si="28"/>
        <v>34.200000000419095</v>
      </c>
      <c r="O85" s="7"/>
      <c r="P85" s="7"/>
      <c r="Q85" s="22"/>
      <c r="R85" s="170"/>
      <c r="S85" s="213">
        <f t="shared" si="29"/>
        <v>1</v>
      </c>
      <c r="T85" s="195" t="str">
        <f t="shared" si="30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-08-26T11:38:19-0600',mode:absolute,to:'2017-08-26T14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197" t="str">
        <f>IF(AA85&lt;VLOOKUP(AG85,Variables!$AC$3:$AD$8,2,FALSE),"Y","N")</f>
        <v>N</v>
      </c>
      <c r="X85" s="197">
        <f t="shared" si="32"/>
        <v>1</v>
      </c>
      <c r="Y85" s="197">
        <f t="shared" si="33"/>
        <v>4.6899999999999997E-2</v>
      </c>
      <c r="Z85" s="197">
        <f t="shared" si="34"/>
        <v>23.328199999999999</v>
      </c>
      <c r="AA85" s="197">
        <f t="shared" si="35"/>
        <v>23.281299999999998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36"/>
        <v>173</v>
      </c>
      <c r="AE85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85" s="74" t="str">
        <f t="shared" si="38"/>
        <v>"C:\Program Files (x86)\AstroGrep\AstroGrep.exe" /e /r /s /spath="%USERPROFILE%\AppData\Local\Temp\OnboardLogs" /stypes="app*4062*20170826*" /stext=" 19:.+((SYSTEM_STATE.+slice.+state.+changed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173-26 --locoid 4062 --swversion DE.1.0.9.0 --startMP 204:469 --initTime 2017-08-26T12:38:19 --startdatetime 2017-08-26T12:45:44 --delay 1 --endMP 204:233282 --enddatetime 2017-08-26T13:19:56 --enforcementcount 0 &gt;&gt;C:\Users\stu\Documents\GitHub\eaglep3-reporting\EC\2017-08-26-refined-times.txt</v>
      </c>
      <c r="AI8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{"issue":{"subject":"","project_id":79,"tracker_id":40,"status_id":1,"priority_id":2,"assigned_to_id":23,"start_date":"2017-08-26","description":"","custom_fields":[{"id":1,"name":"Subdivision","value":"EC"},{"id":4,"name":"Milepost","value":"23.3282"},{"id":17,"name":"Train ID","value":"173-26"},{"id":16,"name":"Locomotive ID","value":"4062"},{"id":130,"name":"Impact","value":""},{"id":150,"name":"Time of Event (Mountain Time)","value":"13:19:56"},{"id":151,"name":"Denver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4062 --day 2017-08-26</v>
      </c>
      <c r="AN85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706</v>
      </c>
      <c r="B86" s="7">
        <v>4061</v>
      </c>
      <c r="C86" s="21" t="s">
        <v>197</v>
      </c>
      <c r="D86" s="21" t="s">
        <v>841</v>
      </c>
      <c r="E86" s="13">
        <v>42973.556956018518</v>
      </c>
      <c r="F86" s="13">
        <v>42973.570983796293</v>
      </c>
      <c r="G86" s="7">
        <v>1</v>
      </c>
      <c r="H86" s="21" t="s">
        <v>339</v>
      </c>
      <c r="I86" s="13">
        <v>42973.596562500003</v>
      </c>
      <c r="J86" s="7">
        <v>0</v>
      </c>
      <c r="K86" s="89" t="str">
        <f t="shared" si="26"/>
        <v>4061/4062</v>
      </c>
      <c r="L86" s="217" t="str">
        <f>VLOOKUP(A86,'Trips&amp;Operators'!$C$1:$G$99911,5,FALSE)</f>
        <v>NEWELL JAMES</v>
      </c>
      <c r="M86" s="6">
        <f t="shared" si="27"/>
        <v>2.5578703709470574E-2</v>
      </c>
      <c r="N86" s="7">
        <f t="shared" si="28"/>
        <v>36.833333341637626</v>
      </c>
      <c r="O86" s="7"/>
      <c r="P86" s="7"/>
      <c r="Q86" s="22"/>
      <c r="R86" s="170"/>
      <c r="S86" s="213">
        <f t="shared" si="29"/>
        <v>1</v>
      </c>
      <c r="T86" s="195" t="str">
        <f t="shared" si="30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-08-26T12:22:01-0600',mode:absolute,to:'2017-08-26T15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197" t="str">
        <f>IF(AA86&lt;VLOOKUP(AG86,Variables!$AC$3:$AD$8,2,FALSE),"Y","N")</f>
        <v>N</v>
      </c>
      <c r="X86" s="197">
        <f t="shared" si="32"/>
        <v>1</v>
      </c>
      <c r="Y86" s="197">
        <f t="shared" si="33"/>
        <v>23.296500000000002</v>
      </c>
      <c r="Z86" s="197">
        <f t="shared" si="34"/>
        <v>1.49E-2</v>
      </c>
      <c r="AA86" s="197">
        <f t="shared" si="35"/>
        <v>23.281600000000001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36"/>
        <v>174</v>
      </c>
      <c r="AE86" s="77" t="str">
        <f t="shared" si="37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86" s="74" t="str">
        <f t="shared" si="38"/>
        <v>"C:\Program Files (x86)\AstroGrep\AstroGrep.exe" /e /r /s /spath="%USERPROFILE%\AppData\Local\Temp\OnboardLogs" /stypes="app*4061*20170826*" /stext=" 20:.+((SYSTEM_STATE.+slice.+state.+changed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174-26 --locoid 4061 --swversion DE.1.0.9.0 --startMP 204:232965 --initTime 2017-08-26T13:22:01 --startdatetime 2017-08-26T13:42:13 --delay 1 --endMP 204:149 --enddatetime 2017-08-26T14:19:03 --enforcementcount 0 &gt;&gt;C:\Users\stu\Documents\GitHub\eaglep3-reporting\EC\2017-08-26-refined-times.txt</v>
      </c>
      <c r="AI8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ID","value":"174-26"},{"id":16,"name":"Locomotive ID","value":"4061"},{"id":130,"name":"Impact","value":""},{"id":150,"name":"Time of Event (Mountain Time)","value":"14:19:03"},{"id":151,"name":"Denver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4061 --day 2017-08-26</v>
      </c>
      <c r="AN86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701</v>
      </c>
      <c r="B87" s="7">
        <v>4066</v>
      </c>
      <c r="C87" s="21" t="s">
        <v>197</v>
      </c>
      <c r="D87" s="21" t="s">
        <v>357</v>
      </c>
      <c r="E87" s="13">
        <v>42973.539247685185</v>
      </c>
      <c r="F87" s="13">
        <v>42973.542199074072</v>
      </c>
      <c r="G87" s="7">
        <v>1</v>
      </c>
      <c r="H87" s="21" t="s">
        <v>395</v>
      </c>
      <c r="I87" s="13">
        <v>42973.568738425929</v>
      </c>
      <c r="J87" s="7">
        <v>0</v>
      </c>
      <c r="K87" s="89" t="str">
        <f t="shared" si="26"/>
        <v>4065/4066</v>
      </c>
      <c r="L87" s="217" t="str">
        <f>VLOOKUP(A87,'Trips&amp;Operators'!$C$1:$G$99911,5,FALSE)</f>
        <v>DAVIS MICHAEL</v>
      </c>
      <c r="M87" s="6">
        <f t="shared" si="27"/>
        <v>2.6539351856627036E-2</v>
      </c>
      <c r="N87" s="7">
        <f t="shared" si="28"/>
        <v>38.216666673542932</v>
      </c>
      <c r="O87" s="7"/>
      <c r="P87" s="7"/>
      <c r="Q87" s="22"/>
      <c r="R87" s="170"/>
      <c r="S87" s="213">
        <f t="shared" si="29"/>
        <v>1</v>
      </c>
      <c r="T87" s="195" t="str">
        <f t="shared" si="30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-08-26T11:56:31-0600',mode:absolute,to:'2017-08-26T14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7" s="197" t="str">
        <f>IF(AA87&lt;VLOOKUP(AG87,Variables!$AC$3:$AD$8,2,FALSE),"Y","N")</f>
        <v>N</v>
      </c>
      <c r="X87" s="197">
        <f t="shared" si="32"/>
        <v>1</v>
      </c>
      <c r="Y87" s="197">
        <f t="shared" si="33"/>
        <v>4.5499999999999999E-2</v>
      </c>
      <c r="Z87" s="197">
        <f t="shared" si="34"/>
        <v>23.332100000000001</v>
      </c>
      <c r="AA87" s="197">
        <f t="shared" si="35"/>
        <v>23.2866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36"/>
        <v>175</v>
      </c>
      <c r="AE87" s="77" t="str">
        <f t="shared" si="37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87" s="74" t="str">
        <f t="shared" si="38"/>
        <v>"C:\Program Files (x86)\AstroGrep\AstroGrep.exe" /e /r /s /spath="%USERPROFILE%\AppData\Local\Temp\OnboardLogs" /stypes="app*4066*20170826*" /stext=" 19:.+((SYSTEM_STATE.+slice.+state.+changed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175-26 --locoid 4066 --swversion DE.1.0.9.0 --startMP 204:455 --initTime 2017-08-26T12:56:31 --startdatetime 2017-08-26T13:00:46 --delay 1 --endMP 204:233321 --enddatetime 2017-08-26T13:38:59 --enforcementcount 0 &gt;&gt;C:\Users\stu\Documents\GitHub\eaglep3-reporting\EC\2017-08-26-refined-times.txt</v>
      </c>
      <c r="AI87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{"issue":{"subject":"","project_id":79,"tracker_id":40,"status_id":1,"priority_id":2,"assigned_to_id":23,"start_date":"2017-08-26","description":"","custom_fields":[{"id":1,"name":"Subdivision","value":"EC"},{"id":4,"name":"Milepost","value":"23.3321"},{"id":17,"name":"Train ID","value":"175-26"},{"id":16,"name":"Locomotive ID","value":"4066"},{"id":130,"name":"Impact","value":""},{"id":150,"name":"Time of Event (Mountain Time)","value":"13:38:59"},{"id":151,"name":"Denver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4066 --day 2017-08-26</v>
      </c>
      <c r="AN87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710</v>
      </c>
      <c r="B88" s="7">
        <v>4065</v>
      </c>
      <c r="C88" s="21" t="s">
        <v>197</v>
      </c>
      <c r="D88" s="21" t="s">
        <v>402</v>
      </c>
      <c r="E88" s="13">
        <v>42973.579664351855</v>
      </c>
      <c r="F88" s="13">
        <v>42973.581817129627</v>
      </c>
      <c r="G88" s="7">
        <v>1</v>
      </c>
      <c r="H88" s="21" t="s">
        <v>842</v>
      </c>
      <c r="I88" s="13">
        <v>42973.609016203707</v>
      </c>
      <c r="J88" s="7">
        <v>0</v>
      </c>
      <c r="K88" s="89" t="str">
        <f t="shared" si="26"/>
        <v>4065/4066</v>
      </c>
      <c r="L88" s="217" t="str">
        <f>VLOOKUP(A88,'Trips&amp;Operators'!$C$1:$G$99911,5,FALSE)</f>
        <v>DAVIS MICHAEL</v>
      </c>
      <c r="M88" s="6">
        <f t="shared" si="27"/>
        <v>2.7199074080272112E-2</v>
      </c>
      <c r="N88" s="7">
        <f t="shared" si="28"/>
        <v>39.166666675591841</v>
      </c>
      <c r="O88" s="7"/>
      <c r="P88" s="7"/>
      <c r="Q88" s="22"/>
      <c r="R88" s="170"/>
      <c r="S88" s="213">
        <f t="shared" si="29"/>
        <v>1</v>
      </c>
      <c r="T88" s="195" t="str">
        <f t="shared" si="30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-08-26T12:54:43-0600',mode:absolute,to:'2017-08-26T15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8" s="197" t="str">
        <f>IF(AA88&lt;VLOOKUP(AG88,Variables!$AC$3:$AD$8,2,FALSE),"Y","N")</f>
        <v>N</v>
      </c>
      <c r="X88" s="197">
        <f t="shared" si="32"/>
        <v>1</v>
      </c>
      <c r="Y88" s="197">
        <f t="shared" si="33"/>
        <v>23.3002</v>
      </c>
      <c r="Z88" s="197">
        <f t="shared" si="34"/>
        <v>1.23E-2</v>
      </c>
      <c r="AA88" s="197">
        <f t="shared" si="35"/>
        <v>23.2879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36"/>
        <v>176</v>
      </c>
      <c r="AE88" s="77" t="str">
        <f t="shared" si="37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88" s="74" t="str">
        <f t="shared" si="38"/>
        <v>"C:\Program Files (x86)\AstroGrep\AstroGrep.exe" /e /r /s /spath="%USERPROFILE%\AppData\Local\Temp\OnboardLogs" /stypes="app*4065*20170826*" /stext=" 20:.+((SYSTEM_STATE.+slice.+state.+changed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176-26 --locoid 4065 --swversion DE.1.0.9.0 --startMP 204:233002 --initTime 2017-08-26T13:54:43 --startdatetime 2017-08-26T13:57:49 --delay 1 --endMP 204:123 --enddatetime 2017-08-26T14:36:59 --enforcementcount 0 &gt;&gt;C:\Users\stu\Documents\GitHub\eaglep3-reporting\EC\2017-08-26-refined-times.txt</v>
      </c>
      <c r="AI8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{"issue":{"subject":"","project_id":79,"tracker_id":40,"status_id":1,"priority_id":2,"assigned_to_id":23,"start_date":"2017-08-26","description":"","custom_fields":[{"id":1,"name":"Subdivision","value":"EC"},{"id":4,"name":"Milepost","value":"0.0123"},{"id":17,"name":"Train ID","value":"176-26"},{"id":16,"name":"Locomotive ID","value":"4065"},{"id":130,"name":"Impact","value":""},{"id":150,"name":"Time of Event (Mountain Time)","value":"14:36:59"},{"id":151,"name":"Denver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4065 --day 2017-08-26</v>
      </c>
      <c r="AN88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703</v>
      </c>
      <c r="B89" s="7">
        <v>4044</v>
      </c>
      <c r="C89" s="21" t="s">
        <v>197</v>
      </c>
      <c r="D89" s="21" t="s">
        <v>341</v>
      </c>
      <c r="E89" s="13">
        <v>42973.548344907409</v>
      </c>
      <c r="F89" s="13">
        <v>42973.55259259259</v>
      </c>
      <c r="G89" s="7">
        <v>2</v>
      </c>
      <c r="H89" s="21" t="s">
        <v>836</v>
      </c>
      <c r="I89" s="13">
        <v>42973.577650462961</v>
      </c>
      <c r="J89" s="7">
        <v>0</v>
      </c>
      <c r="K89" s="89" t="str">
        <f t="shared" si="26"/>
        <v>4043/4044</v>
      </c>
      <c r="L89" s="217" t="str">
        <f>VLOOKUP(A89,'Trips&amp;Operators'!$C$1:$G$99911,5,FALSE)</f>
        <v>BROWN JACOB</v>
      </c>
      <c r="M89" s="6">
        <f t="shared" si="27"/>
        <v>2.5057870370801538E-2</v>
      </c>
      <c r="N89" s="7">
        <f t="shared" si="28"/>
        <v>36.083333333954215</v>
      </c>
      <c r="O89" s="7"/>
      <c r="P89" s="7"/>
      <c r="Q89" s="22"/>
      <c r="R89" s="170"/>
      <c r="S89" s="213">
        <f t="shared" si="29"/>
        <v>1</v>
      </c>
      <c r="T89" s="195" t="str">
        <f t="shared" si="30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-08-26T12:09:37-0600',mode:absolute,to:'2017-08-26T14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7" t="str">
        <f>IF(AA89&lt;VLOOKUP(AG89,Variables!$AC$3:$AD$8,2,FALSE),"Y","N")</f>
        <v>N</v>
      </c>
      <c r="X89" s="197">
        <f t="shared" si="32"/>
        <v>1</v>
      </c>
      <c r="Y89" s="197">
        <f t="shared" si="33"/>
        <v>4.5100000000000001E-2</v>
      </c>
      <c r="Z89" s="197">
        <f t="shared" si="34"/>
        <v>23.330300000000001</v>
      </c>
      <c r="AA89" s="197">
        <f t="shared" si="35"/>
        <v>23.2852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36"/>
        <v>177</v>
      </c>
      <c r="AE89" s="77" t="str">
        <f t="shared" si="37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89" s="74" t="str">
        <f t="shared" si="38"/>
        <v>"C:\Program Files (x86)\AstroGrep\AstroGrep.exe" /e /r /s /spath="%USERPROFILE%\AppData\Local\Temp\OnboardLogs" /stypes="app*4044*20170826*" /stext=" 19:.+((SYSTEM_STATE.+slice.+state.+changed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177-26 --locoid 4044 --swversion DE.1.0.9.0 --startMP 204:451 --initTime 2017-08-26T13:09:37 --startdatetime 2017-08-26T13:15:44 --delay 2 --endMP 204:233303 --enddatetime 2017-08-26T13:51:49 --enforcementcount 0 &gt;&gt;C:\Users\stu\Documents\GitHub\eaglep3-reporting\EC\2017-08-26-refined-times.txt</v>
      </c>
      <c r="AI8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{"issue":{"subject":"","project_id":79,"tracker_id":40,"status_id":1,"priority_id":2,"assigned_to_id":23,"start_date":"2017-08-26","description":"","custom_fields":[{"id":1,"name":"Subdivision","value":"EC"},{"id":4,"name":"Milepost","value":"23.3303"},{"id":17,"name":"Train ID","value":"177-26"},{"id":16,"name":"Locomotive ID","value":"4044"},{"id":130,"name":"Impact","value":""},{"id":150,"name":"Time of Event (Mountain Time)","value":"13:51:49"},{"id":151,"name":"Denver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4044 --day 2017-08-26</v>
      </c>
      <c r="AN89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715</v>
      </c>
      <c r="B90" s="7">
        <v>4043</v>
      </c>
      <c r="C90" s="21" t="s">
        <v>197</v>
      </c>
      <c r="D90" s="21" t="s">
        <v>480</v>
      </c>
      <c r="E90" s="13">
        <v>42973.58792824074</v>
      </c>
      <c r="F90" s="13">
        <v>42973.591805555552</v>
      </c>
      <c r="G90" s="7">
        <v>1</v>
      </c>
      <c r="H90" s="21" t="s">
        <v>350</v>
      </c>
      <c r="I90" s="13">
        <v>42973.618298611109</v>
      </c>
      <c r="J90" s="7">
        <v>0</v>
      </c>
      <c r="K90" s="89" t="str">
        <f t="shared" si="26"/>
        <v>4043/4044</v>
      </c>
      <c r="L90" s="217" t="str">
        <f>VLOOKUP(A90,'Trips&amp;Operators'!$C$1:$G$99911,5,FALSE)</f>
        <v>BROWN JACOB</v>
      </c>
      <c r="M90" s="6">
        <f t="shared" si="27"/>
        <v>2.6493055556784384E-2</v>
      </c>
      <c r="N90" s="7">
        <f t="shared" si="28"/>
        <v>38.150000001769513</v>
      </c>
      <c r="O90" s="7"/>
      <c r="P90" s="7"/>
      <c r="Q90" s="22"/>
      <c r="R90" s="170"/>
      <c r="S90" s="213">
        <f t="shared" si="29"/>
        <v>1</v>
      </c>
      <c r="T90" s="195" t="str">
        <f t="shared" si="30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-08-26T13:06:37-0600',mode:absolute,to:'2017-08-26T15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7" t="str">
        <f>IF(AA90&lt;VLOOKUP(AG90,Variables!$AC$3:$AD$8,2,FALSE),"Y","N")</f>
        <v>N</v>
      </c>
      <c r="X90" s="197">
        <f t="shared" si="32"/>
        <v>1</v>
      </c>
      <c r="Y90" s="197">
        <f t="shared" si="33"/>
        <v>23.3005</v>
      </c>
      <c r="Z90" s="197">
        <f t="shared" si="34"/>
        <v>1.54E-2</v>
      </c>
      <c r="AA90" s="197">
        <f t="shared" si="35"/>
        <v>23.2851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36"/>
        <v>178</v>
      </c>
      <c r="AE90" s="77" t="str">
        <f t="shared" si="37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90" s="74" t="str">
        <f t="shared" si="38"/>
        <v>"C:\Program Files (x86)\AstroGrep\AstroGrep.exe" /e /r /s /spath="%USERPROFILE%\AppData\Local\Temp\OnboardLogs" /stypes="app*4043*20170826*"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178-26 --locoid 4043 --swversion DE.1.0.9.0 --startMP 204:233005 --initTime 2017-08-26T14:06:37 --startdatetime 2017-08-26T14:12:12 --delay 1 --endMP 204:154 --enddatetime 2017-08-26T14:50:21 --enforcementcount 0 &gt;&gt;C:\Users\stu\Documents\GitHub\eaglep3-reporting\EC\2017-08-26-refined-times.txt</v>
      </c>
      <c r="AI9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{"issue":{"subject":"","project_id":79,"tracker_id":40,"status_id":1,"priority_id":2,"assigned_to_id":23,"start_date":"2017-08-26","description":"","custom_fields":[{"id":1,"name":"Subdivision","value":"EC"},{"id":4,"name":"Milepost","value":"0.0154"},{"id":17,"name":"Train ID","value":"178-26"},{"id":16,"name":"Locomotive ID","value":"4043"},{"id":130,"name":"Impact","value":""},{"id":150,"name":"Time of Event (Mountain Time)","value":"14:50:21"},{"id":151,"name":"Denver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4043 --day 2017-08-26</v>
      </c>
      <c r="AN90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707</v>
      </c>
      <c r="B91" s="7">
        <v>4010</v>
      </c>
      <c r="C91" s="21" t="s">
        <v>197</v>
      </c>
      <c r="D91" s="21" t="s">
        <v>370</v>
      </c>
      <c r="E91" s="13">
        <v>42973.56040509259</v>
      </c>
      <c r="F91" s="13">
        <v>42973.563055555554</v>
      </c>
      <c r="G91" s="7">
        <v>1</v>
      </c>
      <c r="H91" s="21" t="s">
        <v>843</v>
      </c>
      <c r="I91" s="13">
        <v>42973.587916666664</v>
      </c>
      <c r="J91" s="7">
        <v>0</v>
      </c>
      <c r="K91" s="89" t="str">
        <f t="shared" si="26"/>
        <v>4009/4010</v>
      </c>
      <c r="L91" s="217" t="str">
        <f>VLOOKUP(A91,'Trips&amp;Operators'!$C$1:$G$99911,5,FALSE)</f>
        <v>LOPES KIMBERLY</v>
      </c>
      <c r="M91" s="6">
        <f t="shared" si="27"/>
        <v>2.4861111109203193E-2</v>
      </c>
      <c r="N91" s="7">
        <f t="shared" si="28"/>
        <v>35.799999997252598</v>
      </c>
      <c r="O91" s="7"/>
      <c r="P91" s="7"/>
      <c r="Q91" s="22"/>
      <c r="R91" s="170"/>
      <c r="S91" s="213">
        <f t="shared" si="29"/>
        <v>1</v>
      </c>
      <c r="T91" s="195" t="str">
        <f t="shared" si="30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-08-26T12:26:59-0600',mode:absolute,to:'2017-08-26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197" t="str">
        <f>IF(AA91&lt;VLOOKUP(AG91,Variables!$AC$3:$AD$8,2,FALSE),"Y","N")</f>
        <v>N</v>
      </c>
      <c r="X91" s="197">
        <f t="shared" si="32"/>
        <v>1</v>
      </c>
      <c r="Y91" s="197">
        <f t="shared" si="33"/>
        <v>4.5999999999999999E-2</v>
      </c>
      <c r="Z91" s="197">
        <f t="shared" si="34"/>
        <v>23.334</v>
      </c>
      <c r="AA91" s="197">
        <f t="shared" si="35"/>
        <v>23.288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36"/>
        <v>179</v>
      </c>
      <c r="AE91" s="77" t="str">
        <f t="shared" si="37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91" s="74" t="str">
        <f t="shared" si="38"/>
        <v>"C:\Program Files (x86)\AstroGrep\AstroGrep.exe" /e /r /s /spath="%USERPROFILE%\AppData\Local\Temp\OnboardLogs" /stypes="app*4010*20170826*"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179-26 --locoid 4010 --swversion DE.1.0.9.0 --startMP 204:460 --initTime 2017-08-26T13:26:59 --startdatetime 2017-08-26T13:30:48 --delay 1 --endMP 204:233340 --enddatetime 2017-08-26T14:06:36 --enforcementcount 0 &gt;&gt;C:\Users\stu\Documents\GitHub\eaglep3-reporting\EC\2017-08-26-refined-times.txt</v>
      </c>
      <c r="AI9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{"issue":{"subject":"","project_id":79,"tracker_id":40,"status_id":1,"priority_id":2,"assigned_to_id":23,"start_date":"2017-08-26","description":"","custom_fields":[{"id":1,"name":"Subdivision","value":"EC"},{"id":4,"name":"Milepost","value":"23.334"},{"id":17,"name":"Train ID","value":"179-26"},{"id":16,"name":"Locomotive ID","value":"4010"},{"id":130,"name":"Impact","value":""},{"id":150,"name":"Time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4010 --day 2017-08-26</v>
      </c>
      <c r="AN91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716</v>
      </c>
      <c r="B92" s="7">
        <v>4009</v>
      </c>
      <c r="C92" s="21" t="s">
        <v>197</v>
      </c>
      <c r="D92" s="21" t="s">
        <v>844</v>
      </c>
      <c r="E92" s="13">
        <v>42973.596956018519</v>
      </c>
      <c r="F92" s="13">
        <v>42973.602418981478</v>
      </c>
      <c r="G92" s="7">
        <v>0</v>
      </c>
      <c r="H92" s="21" t="s">
        <v>369</v>
      </c>
      <c r="I92" s="13">
        <v>42973.628368055557</v>
      </c>
      <c r="J92" s="7">
        <v>0</v>
      </c>
      <c r="K92" s="89" t="str">
        <f t="shared" si="26"/>
        <v>4009/4010</v>
      </c>
      <c r="L92" s="217" t="str">
        <f>VLOOKUP(A92,'Trips&amp;Operators'!$C$1:$G$99911,5,FALSE)</f>
        <v>LOPES KIMBERLY</v>
      </c>
      <c r="M92" s="6">
        <f t="shared" si="27"/>
        <v>2.5949074079107959E-2</v>
      </c>
      <c r="N92" s="7">
        <f t="shared" si="28"/>
        <v>37.366666673915461</v>
      </c>
      <c r="O92" s="7"/>
      <c r="P92" s="7"/>
      <c r="Q92" s="22"/>
      <c r="R92" s="170"/>
      <c r="S92" s="213">
        <f t="shared" si="29"/>
        <v>1</v>
      </c>
      <c r="T92" s="195" t="str">
        <f t="shared" si="30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-08-26T13:19:37-0600',mode:absolute,to:'2017-08-26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197" t="str">
        <f>IF(AA92&lt;VLOOKUP(AG92,Variables!$AC$3:$AD$8,2,FALSE),"Y","N")</f>
        <v>N</v>
      </c>
      <c r="X92" s="197">
        <f t="shared" si="32"/>
        <v>1</v>
      </c>
      <c r="Y92" s="197">
        <f t="shared" si="33"/>
        <v>23.302299999999999</v>
      </c>
      <c r="Z92" s="197">
        <f t="shared" si="34"/>
        <v>1.52E-2</v>
      </c>
      <c r="AA92" s="197">
        <f t="shared" si="35"/>
        <v>23.287099999999999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36"/>
        <v>180</v>
      </c>
      <c r="AE92" s="77" t="str">
        <f t="shared" si="37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92" s="74" t="str">
        <f t="shared" si="38"/>
        <v>"C:\Program Files (x86)\AstroGrep\AstroGrep.exe" /e /r /s /spath="%USERPROFILE%\AppData\Local\Temp\OnboardLogs" /stypes="app*4009*20170826*" /stext=" 21:.+((SYSTEM_STATE.+slice.+state.+changed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180-26 --locoid 4009 --swversion DE.1.0.9.0 --startMP 204:233023 --initTime 2017-08-26T14:19:37 --startdatetime 2017-08-26T14:27:29 --delay 0 --endMP 204:152 --enddatetime 2017-08-26T15:04:51 --enforcementcount 0 &gt;&gt;C:\Users\stu\Documents\GitHub\eaglep3-reporting\EC\2017-08-26-refined-times.txt</v>
      </c>
      <c r="AI9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{"issue":{"subject":"","project_id":79,"tracker_id":40,"status_id":1,"priority_id":2,"assigned_to_id":23,"start_date":"2017-08-26","description":"","custom_fields":[{"id":1,"name":"Subdivision","value":"EC"},{"id":4,"name":"Milepost","value":"0.0152"},{"id":17,"name":"Train ID","value":"180-26"},{"id":16,"name":"Locomotive ID","value":"4009"},{"id":130,"name":"Impact","value":""},{"id":150,"name":"Time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4009 --day 2017-08-26</v>
      </c>
      <c r="AN92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708</v>
      </c>
      <c r="B93" s="7">
        <v>4008</v>
      </c>
      <c r="C93" s="21" t="s">
        <v>197</v>
      </c>
      <c r="D93" s="21" t="s">
        <v>344</v>
      </c>
      <c r="E93" s="13">
        <v>42973.570567129631</v>
      </c>
      <c r="F93" s="13">
        <v>42973.573495370372</v>
      </c>
      <c r="G93" s="7">
        <v>1</v>
      </c>
      <c r="H93" s="21" t="s">
        <v>437</v>
      </c>
      <c r="I93" s="13">
        <v>42973.598622685182</v>
      </c>
      <c r="J93" s="7">
        <v>0</v>
      </c>
      <c r="K93" s="89" t="str">
        <f t="shared" si="26"/>
        <v>4007/4008</v>
      </c>
      <c r="L93" s="217" t="str">
        <f>VLOOKUP(A93,'Trips&amp;Operators'!$C$1:$G$99911,5,FALSE)</f>
        <v>CHANDLER KELVIN</v>
      </c>
      <c r="M93" s="6">
        <f t="shared" si="27"/>
        <v>2.512731480965158E-2</v>
      </c>
      <c r="N93" s="7">
        <f t="shared" si="28"/>
        <v>36.183333325898275</v>
      </c>
      <c r="O93" s="7"/>
      <c r="P93" s="7"/>
      <c r="Q93" s="22"/>
      <c r="R93" s="170"/>
      <c r="S93" s="213">
        <f t="shared" si="29"/>
        <v>1</v>
      </c>
      <c r="T93" s="195" t="str">
        <f t="shared" si="30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-08-26T12:41:37-0600',mode:absolute,to:'2017-08-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97" t="str">
        <f>IF(AA93&lt;VLOOKUP(AG93,Variables!$AC$3:$AD$8,2,FALSE),"Y","N")</f>
        <v>N</v>
      </c>
      <c r="X93" s="197">
        <f t="shared" si="32"/>
        <v>1</v>
      </c>
      <c r="Y93" s="197">
        <f t="shared" si="33"/>
        <v>4.4699999999999997E-2</v>
      </c>
      <c r="Z93" s="197">
        <f t="shared" si="34"/>
        <v>23.329699999999999</v>
      </c>
      <c r="AA93" s="197">
        <f t="shared" si="35"/>
        <v>23.285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36"/>
        <v>181</v>
      </c>
      <c r="AE93" s="77" t="str">
        <f t="shared" si="37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93" s="74" t="str">
        <f t="shared" si="38"/>
        <v>"C:\Program Files (x86)\AstroGrep\AstroGrep.exe" /e /r /s /spath="%USERPROFILE%\AppData\Local\Temp\OnboardLogs" /stypes="app*4008*20170826*"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181-26 --locoid 4008 --swversion DE.1.0.9.0 --startMP 204:447 --initTime 2017-08-26T13:41:37 --startdatetime 2017-08-26T13:45:50 --delay 1 --endMP 204:233297 --enddatetime 2017-08-26T14:22:01 --enforcementcount 0 &gt;&gt;C:\Users\stu\Documents\GitHub\eaglep3-reporting\EC\2017-08-26-refined-times.txt</v>
      </c>
      <c r="AI9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{"issue":{"subject":"","project_id":79,"tracker_id":40,"status_id":1,"priority_id":2,"assigned_to_id":23,"start_date":"2017-08-26","description":"","custom_fields":[{"id":1,"name":"Subdivision","value":"EC"},{"id":4,"name":"Milepost","value":"23.3297"},{"id":17,"name":"Train ID","value":"181-26"},{"id":16,"name":"Locomotive ID","value":"4008"},{"id":130,"name":"Impact","value":""},{"id":150,"name":"Time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4008 --day 2017-08-26</v>
      </c>
      <c r="AN93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719</v>
      </c>
      <c r="B94" s="7">
        <v>4007</v>
      </c>
      <c r="C94" s="21" t="s">
        <v>197</v>
      </c>
      <c r="D94" s="21" t="s">
        <v>537</v>
      </c>
      <c r="E94" s="13">
        <v>42973.608263888891</v>
      </c>
      <c r="F94" s="13">
        <v>42973.612719907411</v>
      </c>
      <c r="G94" s="7">
        <v>1</v>
      </c>
      <c r="H94" s="21" t="s">
        <v>809</v>
      </c>
      <c r="I94" s="13">
        <v>42973.639826388891</v>
      </c>
      <c r="J94" s="7">
        <v>0</v>
      </c>
      <c r="K94" s="89" t="str">
        <f t="shared" si="26"/>
        <v>4007/4008</v>
      </c>
      <c r="L94" s="217" t="str">
        <f>VLOOKUP(A94,'Trips&amp;Operators'!$C$1:$G$99911,5,FALSE)</f>
        <v>CHANDLER KELVIN</v>
      </c>
      <c r="M94" s="6">
        <f t="shared" si="27"/>
        <v>2.7106481480586808E-2</v>
      </c>
      <c r="N94" s="7">
        <f t="shared" si="28"/>
        <v>39.033333332045004</v>
      </c>
      <c r="O94" s="7"/>
      <c r="P94" s="7"/>
      <c r="Q94" s="22"/>
      <c r="R94" s="170"/>
      <c r="S94" s="213">
        <f t="shared" si="29"/>
        <v>1</v>
      </c>
      <c r="T94" s="195" t="str">
        <f t="shared" si="30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-08-26T13:35:54-0600',mode:absolute,to:'2017-08-26T16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197" t="str">
        <f>IF(AA94&lt;VLOOKUP(AG94,Variables!$AC$3:$AD$8,2,FALSE),"Y","N")</f>
        <v>N</v>
      </c>
      <c r="X94" s="197">
        <f t="shared" si="32"/>
        <v>1</v>
      </c>
      <c r="Y94" s="197">
        <f t="shared" si="33"/>
        <v>23.296099999999999</v>
      </c>
      <c r="Z94" s="197">
        <f t="shared" si="34"/>
        <v>1.6E-2</v>
      </c>
      <c r="AA94" s="197">
        <f t="shared" si="35"/>
        <v>23.280100000000001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36"/>
        <v>182</v>
      </c>
      <c r="AE94" s="77" t="str">
        <f t="shared" si="37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94" s="74" t="str">
        <f t="shared" si="38"/>
        <v>"C:\Program Files (x86)\AstroGrep\AstroGrep.exe" /e /r /s /spath="%USERPROFILE%\AppData\Local\Temp\OnboardLogs" /stypes="app*4007*20170826*"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182-26 --locoid 4007 --swversion DE.1.0.9.0 --startMP 204:232961 --initTime 2017-08-26T14:35:54 --startdatetime 2017-08-26T14:42:19 --delay 1 --endMP 204:160 --enddatetime 2017-08-26T15:21:21 --enforcementcount 0 &gt;&gt;C:\Users\stu\Documents\GitHub\eaglep3-reporting\EC\2017-08-26-refined-times.txt</v>
      </c>
      <c r="AI9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{"issue":{"subject":"","project_id":79,"tracker_id":40,"status_id":1,"priority_id":2,"assigned_to_id":23,"start_date":"2017-08-26","description":"","custom_fields":[{"id":1,"name":"Subdivision","value":"EC"},{"id":4,"name":"Milepost","value":"0.016"},{"id":17,"name":"Train ID","value":"182-26"},{"id":16,"name":"Locomotive ID","value":"4007"},{"id":130,"name":"Impact","value":""},{"id":150,"name":"Time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4007 --day 2017-08-26</v>
      </c>
      <c r="AN94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709</v>
      </c>
      <c r="B95" s="7">
        <v>4018</v>
      </c>
      <c r="C95" s="21" t="s">
        <v>197</v>
      </c>
      <c r="D95" s="21" t="s">
        <v>343</v>
      </c>
      <c r="E95" s="13">
        <v>42973.57880787037</v>
      </c>
      <c r="F95" s="13">
        <v>42973.583854166667</v>
      </c>
      <c r="G95" s="7">
        <v>1</v>
      </c>
      <c r="H95" s="21" t="s">
        <v>877</v>
      </c>
      <c r="I95" s="13">
        <v>42973.608356481483</v>
      </c>
      <c r="J95" s="7">
        <v>0</v>
      </c>
      <c r="K95" s="89" t="str">
        <f t="shared" si="26"/>
        <v>4017/4018</v>
      </c>
      <c r="L95" s="217" t="str">
        <f>VLOOKUP(A95,'Trips&amp;Operators'!$C$1:$G$99911,5,FALSE)</f>
        <v>DELGADO DIANAH</v>
      </c>
      <c r="M95" s="6">
        <f t="shared" si="27"/>
        <v>2.4502314816345461E-2</v>
      </c>
      <c r="N95" s="7">
        <f t="shared" si="28"/>
        <v>35.283333335537463</v>
      </c>
      <c r="O95" s="7"/>
      <c r="P95" s="7"/>
      <c r="Q95" s="22"/>
      <c r="R95" s="170"/>
      <c r="S95" s="213">
        <f t="shared" si="29"/>
        <v>1</v>
      </c>
      <c r="T95" s="195" t="str">
        <f t="shared" si="30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-08-26T12:53:29-0600',mode:absolute,to:'2017-08-26T15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97" t="str">
        <f>IF(AA95&lt;VLOOKUP(AG95,Variables!$AC$3:$AD$8,2,FALSE),"Y","N")</f>
        <v>N</v>
      </c>
      <c r="X95" s="197">
        <f t="shared" si="32"/>
        <v>1</v>
      </c>
      <c r="Y95" s="197">
        <f t="shared" si="33"/>
        <v>4.53E-2</v>
      </c>
      <c r="Z95" s="197">
        <f t="shared" si="34"/>
        <v>23.333400000000001</v>
      </c>
      <c r="AA95" s="197">
        <f t="shared" si="35"/>
        <v>23.2881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36"/>
        <v>183</v>
      </c>
      <c r="AE95" s="77" t="str">
        <f t="shared" si="37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95" s="74" t="str">
        <f t="shared" si="38"/>
        <v>"C:\Program Files (x86)\AstroGrep\AstroGrep.exe" /e /r /s /spath="%USERPROFILE%\AppData\Local\Temp\OnboardLogs" /stypes="app*4018*20170826*" /stext=" 20:.+((SYSTEM_STATE.+slice.+state.+changed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183-26 --locoid 4018 --swversion DE.1.0.9.0 --startMP 204:453 --initTime 2017-08-26T13:53:29 --startdatetime 2017-08-26T14:00:45 --delay 1 --endMP 204:233334 --enddatetime 2017-08-26T14:36:02 --enforcementcount 0 &gt;&gt;C:\Users\stu\Documents\GitHub\eaglep3-reporting\EC\2017-08-26-refined-times.txt</v>
      </c>
      <c r="AI9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{"issue":{"subject":"","project_id":79,"tracker_id":40,"status_id":1,"priority_id":2,"assigned_to_id":23,"start_date":"2017-08-26","description":"","custom_fields":[{"id":1,"name":"Subdivision","value":"EC"},{"id":4,"name":"Milepost","value":"23.3334"},{"id":17,"name":"Train ID","value":"183-26"},{"id":16,"name":"Locomotive ID","value":"4018"},{"id":130,"name":"Impact","value":""},{"id":150,"name":"Time of Event (Mountain Time)","value":"14:36:02"},{"id":151,"name":"Denver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4018 --day 2017-08-26</v>
      </c>
      <c r="AN95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722</v>
      </c>
      <c r="B96" s="7">
        <v>4017</v>
      </c>
      <c r="C96" s="21" t="s">
        <v>197</v>
      </c>
      <c r="D96" s="21" t="s">
        <v>802</v>
      </c>
      <c r="E96" s="13">
        <v>42973.616319444445</v>
      </c>
      <c r="F96" s="13">
        <v>42973.623113425929</v>
      </c>
      <c r="G96" s="7">
        <v>1</v>
      </c>
      <c r="H96" s="21" t="s">
        <v>881</v>
      </c>
      <c r="I96" s="13">
        <v>42973.648530092592</v>
      </c>
      <c r="J96" s="7">
        <v>0</v>
      </c>
      <c r="K96" s="89" t="str">
        <f t="shared" si="26"/>
        <v>4017/4018</v>
      </c>
      <c r="L96" s="217" t="str">
        <f>VLOOKUP(A96,'Trips&amp;Operators'!$C$1:$G$99911,5,FALSE)</f>
        <v>DELGADO DIANAH</v>
      </c>
      <c r="M96" s="6">
        <f t="shared" si="27"/>
        <v>2.5416666663659271E-2</v>
      </c>
      <c r="N96" s="7">
        <f t="shared" si="28"/>
        <v>36.59999999566935</v>
      </c>
      <c r="O96" s="7"/>
      <c r="P96" s="7"/>
      <c r="Q96" s="22"/>
      <c r="R96" s="170"/>
      <c r="S96" s="213">
        <f t="shared" si="29"/>
        <v>1</v>
      </c>
      <c r="T96" s="195" t="str">
        <f t="shared" si="30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-08-26T13:47:30-0600',mode:absolute,to:'2017-08-26T16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97" t="str">
        <f>IF(AA96&lt;VLOOKUP(AG96,Variables!$AC$3:$AD$8,2,FALSE),"Y","N")</f>
        <v>N</v>
      </c>
      <c r="X96" s="197">
        <f t="shared" si="32"/>
        <v>1</v>
      </c>
      <c r="Y96" s="197">
        <f t="shared" si="33"/>
        <v>23.301300000000001</v>
      </c>
      <c r="Z96" s="197">
        <f t="shared" si="34"/>
        <v>1.1900000000000001E-2</v>
      </c>
      <c r="AA96" s="197">
        <f t="shared" si="35"/>
        <v>23.289400000000001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36"/>
        <v>184</v>
      </c>
      <c r="AE96" s="77" t="str">
        <f t="shared" si="37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96" s="74" t="str">
        <f t="shared" si="38"/>
        <v>"C:\Program Files (x86)\AstroGrep\AstroGrep.exe" /e /r /s /spath="%USERPROFILE%\AppData\Local\Temp\OnboardLogs" /stypes="app*4017*20170826*"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184-26 --locoid 4017 --swversion DE.1.0.9.0 --startMP 204:233013 --initTime 2017-08-26T14:47:30 --startdatetime 2017-08-26T14:57:17 --delay 1 --endMP 204:119 --enddatetime 2017-08-26T15:33:53 --enforcementcount 0 &gt;&gt;C:\Users\stu\Documents\GitHub\eaglep3-reporting\EC\2017-08-26-refined-times.txt</v>
      </c>
      <c r="AI9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{"issue":{"subject":"","project_id":79,"tracker_id":40,"status_id":1,"priority_id":2,"assigned_to_id":23,"start_date":"2017-08-26","description":"","custom_fields":[{"id":1,"name":"Subdivision","value":"EC"},{"id":4,"name":"Milepost","value":"0.0119"},{"id":17,"name":"Train ID","value":"184-26"},{"id":16,"name":"Locomotive ID","value":"4017"},{"id":130,"name":"Impact","value":""},{"id":150,"name":"Time of Event (Mountain Time)","value":"15:33:53"},{"id":151,"name":"Denver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4017 --day 2017-08-26</v>
      </c>
      <c r="AN96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714</v>
      </c>
      <c r="B97" s="7">
        <v>4040</v>
      </c>
      <c r="C97" s="21" t="s">
        <v>197</v>
      </c>
      <c r="D97" s="21" t="s">
        <v>420</v>
      </c>
      <c r="E97" s="13">
        <v>42973.587650462963</v>
      </c>
      <c r="F97" s="13">
        <v>42973.594305555554</v>
      </c>
      <c r="G97" s="7">
        <v>1</v>
      </c>
      <c r="H97" s="21" t="s">
        <v>437</v>
      </c>
      <c r="I97" s="13">
        <v>42973.618923611109</v>
      </c>
      <c r="J97" s="7">
        <v>0</v>
      </c>
      <c r="K97" s="89" t="str">
        <f t="shared" si="26"/>
        <v>4039/4040</v>
      </c>
      <c r="L97" s="217" t="str">
        <f>VLOOKUP(A97,'Trips&amp;Operators'!$C$1:$G$99911,5,FALSE)</f>
        <v>YORK EDGAR</v>
      </c>
      <c r="M97" s="6">
        <f t="shared" si="27"/>
        <v>2.4618055555038154E-2</v>
      </c>
      <c r="N97" s="7">
        <f t="shared" si="28"/>
        <v>35.449999999254942</v>
      </c>
      <c r="O97" s="7"/>
      <c r="P97" s="7"/>
      <c r="Q97" s="22"/>
      <c r="R97" s="170"/>
      <c r="S97" s="213">
        <f t="shared" si="29"/>
        <v>1</v>
      </c>
      <c r="T97" s="195" t="str">
        <f t="shared" si="30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-08-26T13:06:13-0600',mode:absolute,to:'2017-08-26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97" t="str">
        <f>IF(AA97&lt;VLOOKUP(AG97,Variables!$AC$3:$AD$8,2,FALSE),"Y","N")</f>
        <v>N</v>
      </c>
      <c r="X97" s="197">
        <f t="shared" si="32"/>
        <v>1</v>
      </c>
      <c r="Y97" s="197">
        <f t="shared" si="33"/>
        <v>4.7300000000000002E-2</v>
      </c>
      <c r="Z97" s="197">
        <f t="shared" si="34"/>
        <v>23.329699999999999</v>
      </c>
      <c r="AA97" s="197">
        <f t="shared" si="35"/>
        <v>23.282399999999999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36"/>
        <v>185</v>
      </c>
      <c r="AE97" s="77" t="str">
        <f t="shared" si="37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97" s="74" t="str">
        <f t="shared" si="38"/>
        <v>"C:\Program Files (x86)\AstroGrep\AstroGrep.exe" /e /r /s /spath="%USERPROFILE%\AppData\Local\Temp\OnboardLogs" /stypes="app*4040*20170826*" /stext=" 20:.+((SYSTEM_STATE.+slice.+state.+changed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185-26 --locoid 4040 --swversion DE.1.0.9.0 --startMP 204:473 --initTime 2017-08-26T14:06:13 --startdatetime 2017-08-26T14:15:48 --delay 1 --endMP 204:233297 --enddatetime 2017-08-26T14:51:15 --enforcementcount 0 &gt;&gt;C:\Users\stu\Documents\GitHub\eaglep3-reporting\EC\2017-08-26-refined-times.txt</v>
      </c>
      <c r="AI97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{"issue":{"subject":"","project_id":79,"tracker_id":40,"status_id":1,"priority_id":2,"assigned_to_id":23,"start_date":"2017-08-26","description":"","custom_fields":[{"id":1,"name":"Subdivision","value":"EC"},{"id":4,"name":"Milepost","value":"23.3297"},{"id":17,"name":"Train ID","value":"185-26"},{"id":16,"name":"Locomotive ID","value":"4040"},{"id":130,"name":"Impact","value":""},{"id":150,"name":"Time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4040 --day 2017-08-26</v>
      </c>
      <c r="AN97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723</v>
      </c>
      <c r="B98" s="7">
        <v>4039</v>
      </c>
      <c r="C98" s="21" t="s">
        <v>197</v>
      </c>
      <c r="D98" s="21" t="s">
        <v>807</v>
      </c>
      <c r="E98" s="13">
        <v>42973.61986111111</v>
      </c>
      <c r="F98" s="13">
        <v>42973.633506944447</v>
      </c>
      <c r="G98" s="7">
        <v>0</v>
      </c>
      <c r="H98" s="21" t="s">
        <v>339</v>
      </c>
      <c r="I98" s="13">
        <v>42973.659629629627</v>
      </c>
      <c r="J98" s="7">
        <v>0</v>
      </c>
      <c r="K98" s="89" t="str">
        <f t="shared" si="26"/>
        <v>4039/4040</v>
      </c>
      <c r="L98" s="217" t="str">
        <f>VLOOKUP(A98,'Trips&amp;Operators'!$C$1:$G$99911,5,FALSE)</f>
        <v>YORK EDGAR</v>
      </c>
      <c r="M98" s="6">
        <f t="shared" si="27"/>
        <v>2.6122685179871041E-2</v>
      </c>
      <c r="N98" s="7">
        <f t="shared" si="28"/>
        <v>37.6166666590143</v>
      </c>
      <c r="O98" s="7"/>
      <c r="P98" s="7"/>
      <c r="Q98" s="22"/>
      <c r="R98" s="170"/>
      <c r="S98" s="213">
        <f t="shared" si="29"/>
        <v>1</v>
      </c>
      <c r="T98" s="195" t="str">
        <f t="shared" si="30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-08-26T13:52:36-0600',mode:absolute,to:'2017-08-26T16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97" t="str">
        <f>IF(AA98&lt;VLOOKUP(AG98,Variables!$AC$3:$AD$8,2,FALSE),"Y","N")</f>
        <v>N</v>
      </c>
      <c r="X98" s="197">
        <f t="shared" si="32"/>
        <v>1</v>
      </c>
      <c r="Y98" s="197">
        <f t="shared" si="33"/>
        <v>23.2971</v>
      </c>
      <c r="Z98" s="197">
        <f t="shared" si="34"/>
        <v>1.49E-2</v>
      </c>
      <c r="AA98" s="197">
        <f t="shared" si="35"/>
        <v>23.2822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36"/>
        <v>186</v>
      </c>
      <c r="AE98" s="77" t="str">
        <f t="shared" si="37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98" s="74" t="str">
        <f t="shared" si="38"/>
        <v>"C:\Program Files (x86)\AstroGrep\AstroGrep.exe" /e /r /s /spath="%USERPROFILE%\AppData\Local\Temp\OnboardLogs" /stypes="app*4039*20170826*" /stext=" 21:.+((SYSTEM_STATE.+slice.+state.+changed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186-26 --locoid 4039 --swversion DE.1.0.9.0 --startMP 204:232971 --initTime 2017-08-26T14:52:36 --startdatetime 2017-08-26T15:12:15 --delay 0 --endMP 204:149 --enddatetime 2017-08-26T15:49:52 --enforcementcount 0 &gt;&gt;C:\Users\stu\Documents\GitHub\eaglep3-reporting\EC\2017-08-26-refined-times.txt</v>
      </c>
      <c r="AI9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ID","value":"186-26"},{"id":16,"name":"Locomotive ID","value":"4039"},{"id":130,"name":"Impact","value":""},{"id":150,"name":"Time of Event (Mountain Time)","value":"15:49:52"},{"id":151,"name":"Denver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4039 --day 2017-08-26</v>
      </c>
      <c r="AN98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574</v>
      </c>
      <c r="B99" s="7">
        <v>4062</v>
      </c>
      <c r="C99" s="21" t="s">
        <v>197</v>
      </c>
      <c r="D99" s="21" t="s">
        <v>371</v>
      </c>
      <c r="E99" s="13">
        <v>42973.598553240743</v>
      </c>
      <c r="F99" s="13">
        <v>42973.604687500003</v>
      </c>
      <c r="G99" s="7">
        <v>1</v>
      </c>
      <c r="H99" s="21" t="s">
        <v>479</v>
      </c>
      <c r="I99" s="13">
        <v>42973.629328703704</v>
      </c>
      <c r="J99" s="7">
        <v>0</v>
      </c>
      <c r="K99" s="89" t="str">
        <f t="shared" si="26"/>
        <v>4061/4062</v>
      </c>
      <c r="L99" s="217" t="str">
        <f>VLOOKUP(A99,'Trips&amp;Operators'!$C$1:$G$99911,5,FALSE)</f>
        <v>HOLCOMB KAMDEN</v>
      </c>
      <c r="M99" s="6">
        <f t="shared" si="27"/>
        <v>2.4641203701321501E-2</v>
      </c>
      <c r="N99" s="7">
        <f t="shared" si="28"/>
        <v>35.483333329902962</v>
      </c>
      <c r="O99" s="7"/>
      <c r="P99" s="7"/>
      <c r="Q99" s="22"/>
      <c r="R99" s="170"/>
      <c r="S99" s="213">
        <f t="shared" si="29"/>
        <v>1</v>
      </c>
      <c r="T99" s="195" t="str">
        <f t="shared" si="30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-08-26T13:21:55-0600',mode:absolute,to:'2017-08-26T16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197" t="str">
        <f>IF(AA99&lt;VLOOKUP(AG99,Variables!$AC$3:$AD$8,2,FALSE),"Y","N")</f>
        <v>N</v>
      </c>
      <c r="X99" s="197">
        <f t="shared" si="32"/>
        <v>1</v>
      </c>
      <c r="Y99" s="197">
        <f t="shared" si="33"/>
        <v>4.4900000000000002E-2</v>
      </c>
      <c r="Z99" s="197">
        <f t="shared" si="34"/>
        <v>23.331900000000001</v>
      </c>
      <c r="AA99" s="197">
        <f t="shared" si="35"/>
        <v>23.287000000000003</v>
      </c>
      <c r="AB99" s="54" t="str">
        <f>VLOOKUP(A99,Enforcements!$C$7:$K$11,8,0)</f>
        <v>Bulletin (2)</v>
      </c>
      <c r="AC99" s="51" t="str">
        <f>VLOOKUP(A99,Enforcements!$C$7:$E$11,3,0)</f>
        <v>GRADE CROSSING</v>
      </c>
      <c r="AD99" s="206">
        <f t="shared" si="36"/>
        <v>187</v>
      </c>
      <c r="AE99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99" s="74" t="str">
        <f t="shared" si="38"/>
        <v>"C:\Program Files (x86)\AstroGrep\AstroGrep.exe" /e /r /s /spath="%USERPROFILE%\AppData\Local\Temp\OnboardLogs" /stypes="app*4062*20170826*"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187-26 --locoid 4062 --swversion DE.1.0.9.0 --startMP 204:449 --initTime 2017-08-26T14:21:55 --startdatetime 2017-08-26T14:30:45 --delay 1 --endMP 204:233319 --enddatetime 2017-08-26T15:06:14 --enforcementcount 0 &gt;&gt;C:\Users\stu\Documents\GitHub\eaglep3-reporting\EC\2017-08-26-refined-times.txt</v>
      </c>
      <c r="AI9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{"issue":{"subject":"","project_id":79,"tracker_id":40,"status_id":1,"priority_id":2,"assigned_to_id":23,"start_date":"2017-08-26","description":"","custom_fields":[{"id":1,"name":"Subdivision","value":"EC"},{"id":4,"name":"Milepost","value":"23.3319"},{"id":17,"name":"Train ID","value":"187-26"},{"id":16,"name":"Locomotive ID","value":"4062"},{"id":130,"name":"Impact","value":""},{"id":150,"name":"Time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4062 --day 2017-08-26</v>
      </c>
      <c r="AN99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727</v>
      </c>
      <c r="B100" s="7">
        <v>4061</v>
      </c>
      <c r="C100" s="21" t="s">
        <v>197</v>
      </c>
      <c r="D100" s="21" t="s">
        <v>354</v>
      </c>
      <c r="E100" s="13">
        <v>42973.641446759262</v>
      </c>
      <c r="F100" s="13">
        <v>42973.643969907411</v>
      </c>
      <c r="G100" s="7">
        <v>1</v>
      </c>
      <c r="H100" s="21" t="s">
        <v>422</v>
      </c>
      <c r="I100" s="13">
        <v>42973.669942129629</v>
      </c>
      <c r="J100" s="7">
        <v>0</v>
      </c>
      <c r="K100" s="89" t="str">
        <f t="shared" si="26"/>
        <v>4061/4062</v>
      </c>
      <c r="L100" s="217" t="str">
        <f>VLOOKUP(A100,'Trips&amp;Operators'!$C$1:$G$99911,5,FALSE)</f>
        <v>HOLCOMB KAMDEN</v>
      </c>
      <c r="M100" s="6">
        <f t="shared" si="27"/>
        <v>2.5972222218115348E-2</v>
      </c>
      <c r="N100" s="7">
        <f t="shared" si="28"/>
        <v>37.399999994086102</v>
      </c>
      <c r="O100" s="7"/>
      <c r="P100" s="7"/>
      <c r="Q100" s="22"/>
      <c r="R100" s="170"/>
      <c r="S100" s="213">
        <f t="shared" si="29"/>
        <v>1</v>
      </c>
      <c r="T100" s="195" t="str">
        <f t="shared" si="30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-08-26T14:23:41-0600',mode:absolute,to:'2017-08-26T17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197" t="str">
        <f>IF(AA100&lt;VLOOKUP(AG100,Variables!$AC$3:$AD$8,2,FALSE),"Y","N")</f>
        <v>N</v>
      </c>
      <c r="X100" s="197">
        <f t="shared" si="32"/>
        <v>1</v>
      </c>
      <c r="Y100" s="197">
        <f t="shared" si="33"/>
        <v>23.299600000000002</v>
      </c>
      <c r="Z100" s="197">
        <f t="shared" si="34"/>
        <v>1.3599999999999999E-2</v>
      </c>
      <c r="AA100" s="197">
        <f t="shared" si="35"/>
        <v>23.286000000000001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36"/>
        <v>188</v>
      </c>
      <c r="AE100" s="77" t="str">
        <f t="shared" si="37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100" s="74" t="str">
        <f t="shared" si="38"/>
        <v>"C:\Program Files (x86)\AstroGrep\AstroGrep.exe" /e /r /s /spath="%USERPROFILE%\AppData\Local\Temp\OnboardLogs" /stypes="app*4061*20170826*" /stext=" 22:.+((SYSTEM_STATE.+slice.+state.+changed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188-26 --locoid 4061 --swversion DE.1.0.9.0 --startMP 204:232996 --initTime 2017-08-26T15:23:41 --startdatetime 2017-08-26T15:27:19 --delay 1 --endMP 204:136 --enddatetime 2017-08-26T16:04:43 --enforcementcount 0 &gt;&gt;C:\Users\stu\Documents\GitHub\eaglep3-reporting\EC\2017-08-26-refined-times.txt</v>
      </c>
      <c r="AI10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{"issue":{"subject":"","project_id":79,"tracker_id":40,"status_id":1,"priority_id":2,"assigned_to_id":23,"start_date":"2017-08-26","description":"","custom_fields":[{"id":1,"name":"Subdivision","value":"EC"},{"id":4,"name":"Milepost","value":"0.0136"},{"id":17,"name":"Train ID","value":"188-26"},{"id":16,"name":"Locomotive ID","value":"4061"},{"id":130,"name":"Impact","value":""},{"id":150,"name":"Time of Event (Mountain Time)","value":"16:04:43"},{"id":151,"name":"Denver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4061 --day 2017-08-26</v>
      </c>
      <c r="AN100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721</v>
      </c>
      <c r="B101" s="7">
        <v>4066</v>
      </c>
      <c r="C101" s="21" t="s">
        <v>197</v>
      </c>
      <c r="D101" s="21" t="s">
        <v>882</v>
      </c>
      <c r="E101" s="13">
        <v>42973.612673611111</v>
      </c>
      <c r="F101" s="13">
        <v>42973.615324074075</v>
      </c>
      <c r="G101" s="7">
        <v>1</v>
      </c>
      <c r="H101" s="21" t="s">
        <v>883</v>
      </c>
      <c r="I101" s="13">
        <v>42973.642141203702</v>
      </c>
      <c r="J101" s="7">
        <v>0</v>
      </c>
      <c r="K101" s="89" t="str">
        <f t="shared" si="26"/>
        <v>4065/4066</v>
      </c>
      <c r="L101" s="217" t="str">
        <f>VLOOKUP(A101,'Trips&amp;Operators'!$C$1:$G$99911,5,FALSE)</f>
        <v>DAVIS MICHAEL</v>
      </c>
      <c r="M101" s="6">
        <f t="shared" si="27"/>
        <v>2.6817129626579117E-2</v>
      </c>
      <c r="N101" s="7">
        <f t="shared" si="28"/>
        <v>38.616666662273929</v>
      </c>
      <c r="O101" s="7"/>
      <c r="P101" s="7"/>
      <c r="Q101" s="22"/>
      <c r="R101" s="170" t="s">
        <v>962</v>
      </c>
      <c r="S101" s="213">
        <f t="shared" si="29"/>
        <v>1</v>
      </c>
      <c r="T101" s="195" t="str">
        <f t="shared" si="30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-08-26T13:42:15-0600',mode:absolute,to:'2017-08-26T16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1" s="197" t="str">
        <f>IF(AA101&lt;VLOOKUP(AG101,Variables!$AC$3:$AD$8,2,FALSE),"Y","N")</f>
        <v>N</v>
      </c>
      <c r="X101" s="197">
        <f t="shared" si="32"/>
        <v>1</v>
      </c>
      <c r="Y101" s="197">
        <f t="shared" si="33"/>
        <v>4.3700000000000003E-2</v>
      </c>
      <c r="Z101" s="197">
        <f t="shared" si="34"/>
        <v>23.334900000000001</v>
      </c>
      <c r="AA101" s="197">
        <f t="shared" si="35"/>
        <v>23.2912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36"/>
        <v>189</v>
      </c>
      <c r="AE101" s="77" t="str">
        <f t="shared" si="37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01" s="74" t="str">
        <f t="shared" si="38"/>
        <v>"C:\Program Files (x86)\AstroGrep\AstroGrep.exe" /e /r /s /spath="%USERPROFILE%\AppData\Local\Temp\OnboardLogs" /stypes="app*4066*20170826*" /stext=" 21:.+((SYSTEM_STATE.+slice.+state.+changed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189-26 --locoid 4066 --swversion DE.1.0.9.0 --startMP 204:437 --initTime 2017-08-26T14:42:15 --startdatetime 2017-08-26T14:46:04 --delay 1 --endMP 204:233349 --enddatetime 2017-08-26T15:24:41 --enforcementcount 0 &gt;&gt;C:\Users\stu\Documents\GitHub\eaglep3-reporting\EC\2017-08-26-refined-times.txt</v>
      </c>
      <c r="AI101" s="96" t="str">
        <f t="shared" si="41"/>
        <v>echo {"issue":{"subject":"Delayed by poor GPS at DUS","project_id":79,"tracker_id":40,"status_id":1,"priority_id":2,"assigned_to_id":23,"start_date":"2017-08-26","description":"","custom_fields":[{"id":1,"name":"Subdivision","value":"EC"},{"id":4,"name":"Milepost","value":"23.3349"},{"id":17,"name":"Train ID","value":"189-26"},{"id":16,"name":"Locomotive ID","value":"4066"},{"id":130,"name":"Impact","value":""},{"id":150,"name":"Time of Event (Mountain Time)","value":"15:24:41"},{"id":151,"name":"Denver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4066 --day 2017-08-26</v>
      </c>
      <c r="AN101" s="151" t="str">
        <f t="shared" si="43"/>
        <v>echo {"issue":{"subject":"Delayed by poor GPS at DUS","project_id":30,"tracker_id":4,"status_id":1,"priority_id":1,"assigned_to_id":10,"start_date":"2017-08-26","description":"","custom_fields":[{"id":30,"name":"Category","value":"Issue"},{"id":3,"name":"Functional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731</v>
      </c>
      <c r="B102" s="7">
        <v>4065</v>
      </c>
      <c r="C102" s="21" t="s">
        <v>197</v>
      </c>
      <c r="D102" s="21" t="s">
        <v>393</v>
      </c>
      <c r="E102" s="13">
        <v>42973.651909722219</v>
      </c>
      <c r="F102" s="13">
        <v>42973.65452546296</v>
      </c>
      <c r="G102" s="7">
        <v>1</v>
      </c>
      <c r="H102" s="21" t="s">
        <v>439</v>
      </c>
      <c r="I102" s="13">
        <v>42973.682083333333</v>
      </c>
      <c r="J102" s="7">
        <v>0</v>
      </c>
      <c r="K102" s="89" t="str">
        <f t="shared" si="26"/>
        <v>4065/4066</v>
      </c>
      <c r="L102" s="217" t="str">
        <f>VLOOKUP(A102,'Trips&amp;Operators'!$C$1:$G$99911,5,FALSE)</f>
        <v>DAVIS MICHAEL</v>
      </c>
      <c r="M102" s="6">
        <f t="shared" si="27"/>
        <v>2.7557870373129845E-2</v>
      </c>
      <c r="N102" s="7">
        <f t="shared" si="28"/>
        <v>39.683333337306976</v>
      </c>
      <c r="O102" s="7"/>
      <c r="P102" s="7"/>
      <c r="Q102" s="22"/>
      <c r="R102" s="170"/>
      <c r="S102" s="213">
        <f t="shared" si="29"/>
        <v>1</v>
      </c>
      <c r="T102" s="195" t="str">
        <f t="shared" si="30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-08-26T14:38:45-0600',mode:absolute,to:'2017-08-26T17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2" s="197" t="str">
        <f>IF(AA102&lt;VLOOKUP(AG102,Variables!$AC$3:$AD$8,2,FALSE),"Y","N")</f>
        <v>N</v>
      </c>
      <c r="X102" s="197">
        <f t="shared" si="32"/>
        <v>1</v>
      </c>
      <c r="Y102" s="197">
        <f t="shared" si="33"/>
        <v>23.299800000000001</v>
      </c>
      <c r="Z102" s="197">
        <f t="shared" si="34"/>
        <v>1.2999999999999999E-2</v>
      </c>
      <c r="AA102" s="197">
        <f t="shared" si="35"/>
        <v>23.286799999999999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36"/>
        <v>190</v>
      </c>
      <c r="AE102" s="77" t="str">
        <f t="shared" si="37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02" s="74" t="str">
        <f t="shared" si="38"/>
        <v>"C:\Program Files (x86)\AstroGrep\AstroGrep.exe" /e /r /s /spath="%USERPROFILE%\AppData\Local\Temp\OnboardLogs" /stypes="app*4065*20170826*" /stext=" 22:.+((SYSTEM_STATE.+slice.+state.+changed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190-26 --locoid 4065 --swversion DE.1.0.9.0 --startMP 204:232998 --initTime 2017-08-26T15:38:45 --startdatetime 2017-08-26T15:42:31 --delay 1 --endMP 204:130 --enddatetime 2017-08-26T16:22:12 --enforcementcount 0 &gt;&gt;C:\Users\stu\Documents\GitHub\eaglep3-reporting\EC\2017-08-26-refined-times.txt</v>
      </c>
      <c r="AI10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{"issue":{"subject":"","project_id":79,"tracker_id":40,"status_id":1,"priority_id":2,"assigned_to_id":23,"start_date":"2017-08-26","description":"","custom_fields":[{"id":1,"name":"Subdivision","value":"EC"},{"id":4,"name":"Milepost","value":"0.013"},{"id":17,"name":"Train ID","value":"190-26"},{"id":16,"name":"Locomotive ID","value":"4065"},{"id":130,"name":"Impact","value":""},{"id":150,"name":"Time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4065 --day 2017-08-26</v>
      </c>
      <c r="AN102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724</v>
      </c>
      <c r="B103" s="7">
        <v>4044</v>
      </c>
      <c r="C103" s="21" t="s">
        <v>197</v>
      </c>
      <c r="D103" s="21" t="s">
        <v>357</v>
      </c>
      <c r="E103" s="13">
        <v>42973.62226851852</v>
      </c>
      <c r="F103" s="13">
        <v>42973.625590277778</v>
      </c>
      <c r="G103" s="7">
        <v>1</v>
      </c>
      <c r="H103" s="21" t="s">
        <v>395</v>
      </c>
      <c r="I103" s="13">
        <v>42973.650381944448</v>
      </c>
      <c r="J103" s="7">
        <v>0</v>
      </c>
      <c r="K103" s="89" t="str">
        <f t="shared" si="26"/>
        <v>4043/4044</v>
      </c>
      <c r="L103" s="217" t="str">
        <f>VLOOKUP(A103,'Trips&amp;Operators'!$C$1:$G$99911,5,FALSE)</f>
        <v>BROWN JACOB</v>
      </c>
      <c r="M103" s="6">
        <f t="shared" si="27"/>
        <v>2.4791666670353152E-2</v>
      </c>
      <c r="N103" s="7">
        <f t="shared" si="28"/>
        <v>35.700000005308539</v>
      </c>
      <c r="O103" s="7"/>
      <c r="P103" s="7"/>
      <c r="Q103" s="22"/>
      <c r="R103" s="170"/>
      <c r="S103" s="213">
        <f t="shared" si="29"/>
        <v>1</v>
      </c>
      <c r="T103" s="195" t="str">
        <f t="shared" si="30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-08-26T13:56:04-0600',mode:absolute,to:'2017-08-26T16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97" t="str">
        <f>IF(AA103&lt;VLOOKUP(AG103,Variables!$AC$3:$AD$8,2,FALSE),"Y","N")</f>
        <v>N</v>
      </c>
      <c r="X103" s="197">
        <f t="shared" si="32"/>
        <v>1</v>
      </c>
      <c r="Y103" s="197">
        <f t="shared" si="33"/>
        <v>4.5499999999999999E-2</v>
      </c>
      <c r="Z103" s="197">
        <f t="shared" si="34"/>
        <v>23.332100000000001</v>
      </c>
      <c r="AA103" s="197">
        <f t="shared" si="35"/>
        <v>23.2866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36"/>
        <v>191</v>
      </c>
      <c r="AE103" s="77" t="str">
        <f t="shared" si="37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103" s="74" t="str">
        <f t="shared" si="38"/>
        <v>"C:\Program Files (x86)\AstroGrep\AstroGrep.exe" /e /r /s /spath="%USERPROFILE%\AppData\Local\Temp\OnboardLogs" /stypes="app*4044*20170826*" /stext=" 21:.+((SYSTEM_STATE.+slice.+state.+changed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191-26 --locoid 4044 --swversion DE.1.0.9.0 --startMP 204:455 --initTime 2017-08-26T14:56:04 --startdatetime 2017-08-26T15:00:51 --delay 1 --endMP 204:233321 --enddatetime 2017-08-26T15:36:33 --enforcementcount 0 &gt;&gt;C:\Users\stu\Documents\GitHub\eaglep3-reporting\EC\2017-08-26-refined-times.txt</v>
      </c>
      <c r="AI10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{"issue":{"subject":"","project_id":79,"tracker_id":40,"status_id":1,"priority_id":2,"assigned_to_id":23,"start_date":"2017-08-26","description":"","custom_fields":[{"id":1,"name":"Subdivision","value":"EC"},{"id":4,"name":"Milepost","value":"23.3321"},{"id":17,"name":"Train ID","value":"191-26"},{"id":16,"name":"Locomotive ID","value":"4044"},{"id":130,"name":"Impact","value":""},{"id":150,"name":"Time of Event (Mountain Time)","value":"15:36:33"},{"id":151,"name":"Denver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4044 --day 2017-08-26</v>
      </c>
      <c r="AN103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732</v>
      </c>
      <c r="B104" s="7">
        <v>4043</v>
      </c>
      <c r="C104" s="21" t="s">
        <v>197</v>
      </c>
      <c r="D104" s="21" t="s">
        <v>886</v>
      </c>
      <c r="E104" s="13">
        <v>42973.653148148151</v>
      </c>
      <c r="F104" s="13">
        <v>42973.664722222224</v>
      </c>
      <c r="G104" s="7">
        <v>2</v>
      </c>
      <c r="H104" s="21" t="s">
        <v>339</v>
      </c>
      <c r="I104" s="13">
        <v>42973.69122685185</v>
      </c>
      <c r="J104" s="7">
        <v>0</v>
      </c>
      <c r="K104" s="89" t="str">
        <f t="shared" si="26"/>
        <v>4043/4044</v>
      </c>
      <c r="L104" s="217" t="str">
        <f>VLOOKUP(A104,'Trips&amp;Operators'!$C$1:$G$99911,5,FALSE)</f>
        <v>BROWN JACOB</v>
      </c>
      <c r="M104" s="6">
        <f t="shared" si="27"/>
        <v>2.6504629626288079E-2</v>
      </c>
      <c r="N104" s="7">
        <f t="shared" si="28"/>
        <v>38.166666661854833</v>
      </c>
      <c r="O104" s="7"/>
      <c r="P104" s="7"/>
      <c r="Q104" s="22"/>
      <c r="R104" s="170"/>
      <c r="S104" s="213">
        <f t="shared" si="29"/>
        <v>1</v>
      </c>
      <c r="T104" s="195" t="str">
        <f t="shared" si="30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-08-26T14:40:32-0600',mode:absolute,to:'2017-08-26T17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97" t="str">
        <f>IF(AA104&lt;VLOOKUP(AG104,Variables!$AC$3:$AD$8,2,FALSE),"Y","N")</f>
        <v>N</v>
      </c>
      <c r="X104" s="197">
        <f t="shared" si="32"/>
        <v>1</v>
      </c>
      <c r="Y104" s="197">
        <f t="shared" si="33"/>
        <v>23.301500000000001</v>
      </c>
      <c r="Z104" s="197">
        <f t="shared" si="34"/>
        <v>1.49E-2</v>
      </c>
      <c r="AA104" s="197">
        <f t="shared" si="35"/>
        <v>23.2866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36"/>
        <v>192</v>
      </c>
      <c r="AE104" s="77" t="str">
        <f t="shared" si="37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104" s="74" t="str">
        <f t="shared" si="38"/>
        <v>"C:\Program Files (x86)\AstroGrep\AstroGrep.exe" /e /r /s /spath="%USERPROFILE%\AppData\Local\Temp\OnboardLogs" /stypes="app*4043*20170826*" /stext=" 22:.+((SYSTEM_STATE.+slice.+state.+changed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192-26 --locoid 4043 --swversion DE.1.0.9.0 --startMP 204:233015 --initTime 2017-08-26T15:40:32 --startdatetime 2017-08-26T15:57:12 --delay 2 --endMP 204:149 --enddatetime 2017-08-26T16:35:22 --enforcementcount 0 &gt;&gt;C:\Users\stu\Documents\GitHub\eaglep3-reporting\EC\2017-08-26-refined-times.txt</v>
      </c>
      <c r="AI10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ID","value":"192-26"},{"id":16,"name":"Locomotive ID","value":"4043"},{"id":130,"name":"Impact","value":""},{"id":150,"name":"Time of Event (Mountain Time)","value":"16:35:22"},{"id":151,"name":"Denver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4043 --day 2017-08-26</v>
      </c>
      <c r="AN104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726</v>
      </c>
      <c r="B105" s="7">
        <v>4010</v>
      </c>
      <c r="C105" s="21" t="s">
        <v>197</v>
      </c>
      <c r="D105" s="21" t="s">
        <v>386</v>
      </c>
      <c r="E105" s="13">
        <v>42973.629201388889</v>
      </c>
      <c r="F105" s="13">
        <v>42973.635914351849</v>
      </c>
      <c r="G105" s="7">
        <v>1</v>
      </c>
      <c r="H105" s="21" t="s">
        <v>437</v>
      </c>
      <c r="I105" s="13">
        <v>42973.660543981481</v>
      </c>
      <c r="J105" s="7">
        <v>0</v>
      </c>
      <c r="K105" s="89" t="str">
        <f t="shared" si="26"/>
        <v>4009/4010</v>
      </c>
      <c r="L105" s="217" t="str">
        <f>VLOOKUP(A105,'Trips&amp;Operators'!$C$1:$G$99911,5,FALSE)</f>
        <v>NEWELL JAMES</v>
      </c>
      <c r="M105" s="6">
        <f t="shared" si="27"/>
        <v>2.4629629631817807E-2</v>
      </c>
      <c r="N105" s="7">
        <f t="shared" si="28"/>
        <v>35.466666669817641</v>
      </c>
      <c r="O105" s="7"/>
      <c r="P105" s="7"/>
      <c r="Q105" s="22"/>
      <c r="R105" s="170"/>
      <c r="S105" s="213">
        <f t="shared" si="29"/>
        <v>1</v>
      </c>
      <c r="T105" s="195" t="str">
        <f t="shared" si="30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-08-26T14:06:03-0600',mode:absolute,to:'2017-08-26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197" t="str">
        <f>IF(AA105&lt;VLOOKUP(AG105,Variables!$AC$3:$AD$8,2,FALSE),"Y","N")</f>
        <v>N</v>
      </c>
      <c r="X105" s="197">
        <f t="shared" si="32"/>
        <v>1</v>
      </c>
      <c r="Y105" s="197">
        <f t="shared" si="33"/>
        <v>4.4400000000000002E-2</v>
      </c>
      <c r="Z105" s="197">
        <f t="shared" si="34"/>
        <v>23.329699999999999</v>
      </c>
      <c r="AA105" s="197">
        <f t="shared" si="35"/>
        <v>23.285299999999999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36"/>
        <v>193</v>
      </c>
      <c r="AE105" s="77" t="str">
        <f t="shared" si="37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105" s="74" t="str">
        <f t="shared" si="38"/>
        <v>"C:\Program Files (x86)\AstroGrep\AstroGrep.exe" /e /r /s /spath="%USERPROFILE%\AppData\Local\Temp\OnboardLogs" /stypes="app*4010*20170826*" /stext=" 21:.+((SYSTEM_STATE.+slice.+state.+changed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193-26 --locoid 4010 --swversion DE.1.0.9.0 --startMP 204:444 --initTime 2017-08-26T15:06:03 --startdatetime 2017-08-26T15:15:43 --delay 1 --endMP 204:233297 --enddatetime 2017-08-26T15:51:11 --enforcementcount 0 &gt;&gt;C:\Users\stu\Documents\GitHub\eaglep3-reporting\EC\2017-08-26-refined-times.txt</v>
      </c>
      <c r="AI10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{"issue":{"subject":"","project_id":79,"tracker_id":40,"status_id":1,"priority_id":2,"assigned_to_id":23,"start_date":"2017-08-26","description":"","custom_fields":[{"id":1,"name":"Subdivision","value":"EC"},{"id":4,"name":"Milepost","value":"23.3297"},{"id":17,"name":"Train ID","value":"193-26"},{"id":16,"name":"Locomotive ID","value":"4010"},{"id":130,"name":"Impact","value":""},{"id":150,"name":"Time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4010 --day 2017-08-26</v>
      </c>
      <c r="AN105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734</v>
      </c>
      <c r="B106" s="7">
        <v>4009</v>
      </c>
      <c r="C106" s="21" t="s">
        <v>197</v>
      </c>
      <c r="D106" s="21" t="s">
        <v>478</v>
      </c>
      <c r="E106" s="13">
        <v>42973.66233796296</v>
      </c>
      <c r="F106" s="13">
        <v>42973.675173611111</v>
      </c>
      <c r="G106" s="7">
        <v>1</v>
      </c>
      <c r="H106" s="21" t="s">
        <v>481</v>
      </c>
      <c r="I106" s="13">
        <v>42973.701099537036</v>
      </c>
      <c r="J106" s="7">
        <v>0</v>
      </c>
      <c r="K106" s="89" t="str">
        <f t="shared" si="26"/>
        <v>4009/4010</v>
      </c>
      <c r="L106" s="217" t="str">
        <f>VLOOKUP(A106,'Trips&amp;Operators'!$C$1:$G$99911,5,FALSE)</f>
        <v>NEWELL JAMES</v>
      </c>
      <c r="M106" s="6">
        <f t="shared" si="27"/>
        <v>2.5925925925548654E-2</v>
      </c>
      <c r="N106" s="7">
        <f t="shared" si="28"/>
        <v>37.333333332790062</v>
      </c>
      <c r="O106" s="7"/>
      <c r="P106" s="7"/>
      <c r="Q106" s="22"/>
      <c r="R106" s="170"/>
      <c r="S106" s="213">
        <f t="shared" si="29"/>
        <v>1</v>
      </c>
      <c r="T106" s="195" t="str">
        <f t="shared" si="30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-08-26T14:53:46-0600',mode:absolute,to:'2017-08-26T17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197" t="str">
        <f>IF(AA106&lt;VLOOKUP(AG106,Variables!$AC$3:$AD$8,2,FALSE),"Y","N")</f>
        <v>N</v>
      </c>
      <c r="X106" s="197">
        <f t="shared" si="32"/>
        <v>1</v>
      </c>
      <c r="Y106" s="197">
        <f t="shared" si="33"/>
        <v>23.297799999999999</v>
      </c>
      <c r="Z106" s="197">
        <f t="shared" si="34"/>
        <v>1.32E-2</v>
      </c>
      <c r="AA106" s="197">
        <f t="shared" si="35"/>
        <v>23.284599999999998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36"/>
        <v>194</v>
      </c>
      <c r="AE106" s="77" t="str">
        <f t="shared" si="37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106" s="74" t="str">
        <f t="shared" si="38"/>
        <v>"C:\Program Files (x86)\AstroGrep\AstroGrep.exe" /e /r /s /spath="%USERPROFILE%\AppData\Local\Temp\OnboardLogs" /stypes="app*4009*20170826*" /stext=" 22:.+((SYSTEM_STATE.+slice.+state.+changed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194-26 --locoid 4009 --swversion DE.1.0.9.0 --startMP 204:232978 --initTime 2017-08-26T15:53:46 --startdatetime 2017-08-26T16:12:15 --delay 1 --endMP 204:132 --enddatetime 2017-08-26T16:49:35 --enforcementcount 0 &gt;&gt;C:\Users\stu\Documents\GitHub\eaglep3-reporting\EC\2017-08-26-refined-times.txt</v>
      </c>
      <c r="AI10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{"issue":{"subject":"","project_id":79,"tracker_id":40,"status_id":1,"priority_id":2,"assigned_to_id":23,"start_date":"2017-08-26","description":"","custom_fields":[{"id":1,"name":"Subdivision","value":"EC"},{"id":4,"name":"Milepost","value":"0.0132"},{"id":17,"name":"Train ID","value":"194-26"},{"id":16,"name":"Locomotive ID","value":"4009"},{"id":130,"name":"Impact","value":""},{"id":150,"name":"Time of Event (Mountain Time)","value":"16:49:35"},{"id":151,"name":"Denver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4009 --day 2017-08-26</v>
      </c>
      <c r="AN106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728</v>
      </c>
      <c r="B107" s="7">
        <v>4008</v>
      </c>
      <c r="C107" s="21" t="s">
        <v>197</v>
      </c>
      <c r="D107" s="21" t="s">
        <v>387</v>
      </c>
      <c r="E107" s="13">
        <v>42973.642777777779</v>
      </c>
      <c r="F107" s="13">
        <v>42973.646423611113</v>
      </c>
      <c r="G107" s="7">
        <v>1</v>
      </c>
      <c r="H107" s="21" t="s">
        <v>824</v>
      </c>
      <c r="I107" s="13">
        <v>42973.671111111114</v>
      </c>
      <c r="J107" s="7">
        <v>0</v>
      </c>
      <c r="K107" s="89" t="str">
        <f t="shared" si="26"/>
        <v>4007/4008</v>
      </c>
      <c r="L107" s="217" t="str">
        <f>VLOOKUP(A107,'Trips&amp;Operators'!$C$1:$G$99911,5,FALSE)</f>
        <v>CHANDLER KELVIN</v>
      </c>
      <c r="M107" s="6">
        <f t="shared" si="27"/>
        <v>2.4687500001164153E-2</v>
      </c>
      <c r="N107" s="7">
        <f t="shared" si="28"/>
        <v>35.550000001676381</v>
      </c>
      <c r="O107" s="7"/>
      <c r="P107" s="7"/>
      <c r="Q107" s="22"/>
      <c r="R107" s="170"/>
      <c r="S107" s="213">
        <f t="shared" si="29"/>
        <v>1</v>
      </c>
      <c r="T107" s="195" t="str">
        <f t="shared" si="30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-08-26T14:25:36-0600',mode:absolute,to:'2017-08-26T17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97" t="str">
        <f>IF(AA107&lt;VLOOKUP(AG107,Variables!$AC$3:$AD$8,2,FALSE),"Y","N")</f>
        <v>N</v>
      </c>
      <c r="X107" s="197">
        <f t="shared" si="32"/>
        <v>1</v>
      </c>
      <c r="Y107" s="197">
        <f t="shared" si="33"/>
        <v>4.7100000000000003E-2</v>
      </c>
      <c r="Z107" s="197">
        <f t="shared" si="34"/>
        <v>23.331</v>
      </c>
      <c r="AA107" s="197">
        <f t="shared" si="35"/>
        <v>23.283899999999999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36"/>
        <v>195</v>
      </c>
      <c r="AE107" s="77" t="str">
        <f t="shared" si="37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07" s="74" t="str">
        <f t="shared" si="38"/>
        <v>"C:\Program Files (x86)\AstroGrep\AstroGrep.exe" /e /r /s /spath="%USERPROFILE%\AppData\Local\Temp\OnboardLogs" /stypes="app*4008*20170826*"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195-26 --locoid 4008 --swversion DE.1.0.9.0 --startMP 204:471 --initTime 2017-08-26T15:25:36 --startdatetime 2017-08-26T15:30:51 --delay 1 --endMP 204:233310 --enddatetime 2017-08-26T16:06:24 --enforcementcount 0 &gt;&gt;C:\Users\stu\Documents\GitHub\eaglep3-reporting\EC\2017-08-26-refined-times.txt</v>
      </c>
      <c r="AI107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{"issue":{"subject":"","project_id":79,"tracker_id":40,"status_id":1,"priority_id":2,"assigned_to_id":23,"start_date":"2017-08-26","description":"","custom_fields":[{"id":1,"name":"Subdivision","value":"EC"},{"id":4,"name":"Milepost","value":"23.331"},{"id":17,"name":"Train ID","value":"195-26"},{"id":16,"name":"Locomotive ID","value":"4008"},{"id":130,"name":"Impact","value":""},{"id":150,"name":"Time of Event (Mountain Time)","value":"16:06:24"},{"id":151,"name":"Denver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4008 --day 2017-08-26</v>
      </c>
      <c r="AN107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737</v>
      </c>
      <c r="B108" s="7">
        <v>4007</v>
      </c>
      <c r="C108" s="21" t="s">
        <v>197</v>
      </c>
      <c r="D108" s="21" t="s">
        <v>484</v>
      </c>
      <c r="E108" s="13">
        <v>42973.683611111112</v>
      </c>
      <c r="F108" s="13">
        <v>42973.685729166667</v>
      </c>
      <c r="G108" s="7">
        <v>1</v>
      </c>
      <c r="H108" s="21" t="s">
        <v>548</v>
      </c>
      <c r="I108" s="13">
        <v>42973.712557870371</v>
      </c>
      <c r="J108" s="7">
        <v>0</v>
      </c>
      <c r="K108" s="89" t="str">
        <f t="shared" si="26"/>
        <v>4007/4008</v>
      </c>
      <c r="L108" s="217" t="str">
        <f>VLOOKUP(A108,'Trips&amp;Operators'!$C$1:$G$99911,5,FALSE)</f>
        <v>CHANDLER KELVIN</v>
      </c>
      <c r="M108" s="6">
        <f t="shared" si="27"/>
        <v>2.6828703703358769E-2</v>
      </c>
      <c r="N108" s="7">
        <f t="shared" si="28"/>
        <v>38.633333332836628</v>
      </c>
      <c r="O108" s="7"/>
      <c r="P108" s="7"/>
      <c r="Q108" s="22"/>
      <c r="R108" s="170"/>
      <c r="S108" s="213">
        <f t="shared" si="29"/>
        <v>1</v>
      </c>
      <c r="T108" s="195" t="str">
        <f t="shared" si="30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-08-26T15:24:24-0600',mode:absolute,to:'2017-08-26T18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197" t="str">
        <f>IF(AA108&lt;VLOOKUP(AG108,Variables!$AC$3:$AD$8,2,FALSE),"Y","N")</f>
        <v>N</v>
      </c>
      <c r="X108" s="197">
        <f t="shared" si="32"/>
        <v>1</v>
      </c>
      <c r="Y108" s="197">
        <f t="shared" si="33"/>
        <v>23.298300000000001</v>
      </c>
      <c r="Z108" s="197">
        <f t="shared" si="34"/>
        <v>1.67E-2</v>
      </c>
      <c r="AA108" s="197">
        <f t="shared" si="35"/>
        <v>23.281600000000001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36"/>
        <v>196</v>
      </c>
      <c r="AE108" s="77" t="str">
        <f t="shared" si="37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108" s="74" t="str">
        <f t="shared" si="38"/>
        <v>"C:\Program Files (x86)\AstroGrep\AstroGrep.exe" /e /r /s /spath="%USERPROFILE%\AppData\Local\Temp\OnboardLogs" /stypes="app*4007*20170826*" /stext=" 23:.+((SYSTEM_STATE.+slice.+state.+changed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196-26 --locoid 4007 --swversion DE.1.0.9.0 --startMP 204:232983 --initTime 2017-08-26T16:24:24 --startdatetime 2017-08-26T16:27:27 --delay 1 --endMP 204:167 --enddatetime 2017-08-26T17:06:05 --enforcementcount 0 &gt;&gt;C:\Users\stu\Documents\GitHub\eaglep3-reporting\EC\2017-08-26-refined-times.txt</v>
      </c>
      <c r="AI10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{"issue":{"subject":"","project_id":79,"tracker_id":40,"status_id":1,"priority_id":2,"assigned_to_id":23,"start_date":"2017-08-26","description":"","custom_fields":[{"id":1,"name":"Subdivision","value":"EC"},{"id":4,"name":"Milepost","value":"0.0167"},{"id":17,"name":"Train ID","value":"196-26"},{"id":16,"name":"Locomotive ID","value":"4007"},{"id":130,"name":"Impact","value":""},{"id":150,"name":"Time of Event (Mountain Time)","value":"17:06:05"},{"id":151,"name":"Denver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4007 --day 2017-08-26</v>
      </c>
      <c r="AN108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730</v>
      </c>
      <c r="B109" s="7">
        <v>4018</v>
      </c>
      <c r="C109" s="21" t="s">
        <v>197</v>
      </c>
      <c r="D109" s="21" t="s">
        <v>337</v>
      </c>
      <c r="E109" s="13">
        <v>42973.650891203702</v>
      </c>
      <c r="F109" s="13">
        <v>42973.656747685185</v>
      </c>
      <c r="G109" s="7">
        <v>7</v>
      </c>
      <c r="H109" s="21" t="s">
        <v>801</v>
      </c>
      <c r="I109" s="13">
        <v>42973.681388888886</v>
      </c>
      <c r="J109" s="7">
        <v>0</v>
      </c>
      <c r="K109" s="89" t="str">
        <f t="shared" si="26"/>
        <v>4017/4018</v>
      </c>
      <c r="L109" s="217" t="str">
        <f>VLOOKUP(A109,'Trips&amp;Operators'!$C$1:$G$99911,5,FALSE)</f>
        <v>DELGADO DIANAH</v>
      </c>
      <c r="M109" s="6">
        <f t="shared" si="27"/>
        <v>2.4641203701321501E-2</v>
      </c>
      <c r="N109" s="7">
        <f t="shared" ref="N109:N126" si="44">24*60*SUM($M109:$M109)</f>
        <v>35.483333329902962</v>
      </c>
      <c r="O109" s="7"/>
      <c r="P109" s="7"/>
      <c r="Q109" s="22"/>
      <c r="R109" s="170"/>
      <c r="S109" s="213">
        <f t="shared" ref="S109:S127" si="45">1/IF(AG109="EC",12,1)*SUM(U109:U109)</f>
        <v>1</v>
      </c>
      <c r="T109" s="195" t="str">
        <f t="shared" si="30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-08-26T14:37:17-0600',mode:absolute,to:'2017-08-26T17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97" t="str">
        <f>IF(AA109&lt;VLOOKUP(AG109,Variables!$AC$3:$AD$8,2,FALSE),"Y","N")</f>
        <v>N</v>
      </c>
      <c r="X109" s="197">
        <f t="shared" ref="X109:X140" si="46">VALUE(LEFT(AD109,4))-VALUE(LEFT(AD108,4))</f>
        <v>1</v>
      </c>
      <c r="Y109" s="197">
        <f t="shared" ref="Y109:Y140" si="47">RIGHT(D109,LEN(D109)-4)/10000</f>
        <v>4.4600000000000001E-2</v>
      </c>
      <c r="Z109" s="197">
        <f t="shared" si="34"/>
        <v>23.332799999999999</v>
      </c>
      <c r="AA109" s="197">
        <f t="shared" si="35"/>
        <v>23.2882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36"/>
        <v>197</v>
      </c>
      <c r="AE109" s="77" t="str">
        <f t="shared" si="37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109" s="74" t="str">
        <f t="shared" si="38"/>
        <v>"C:\Program Files (x86)\AstroGrep\AstroGrep.exe" /e /r /s /spath="%USERPROFILE%\AppData\Local\Temp\OnboardLogs" /stypes="app*4018*20170826*" /stext=" 22:.+((SYSTEM_STATE.+slice.+state.+changed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197-26 --locoid 4018 --swversion DE.1.0.9.0 --startMP 204:446 --initTime 2017-08-26T15:37:17 --startdatetime 2017-08-26T15:45:43 --delay 7 --endMP 204:233328 --enddatetime 2017-08-26T16:21:12 --enforcementcount 0 &gt;&gt;C:\Users\stu\Documents\GitHub\eaglep3-reporting\EC\2017-08-26-refined-times.txt</v>
      </c>
      <c r="AI10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{"issue":{"subject":"","project_id":79,"tracker_id":40,"status_id":1,"priority_id":2,"assigned_to_id":23,"start_date":"2017-08-26","description":"","custom_fields":[{"id":1,"name":"Subdivision","value":"EC"},{"id":4,"name":"Milepost","value":"23.3328"},{"id":17,"name":"Train ID","value":"197-26"},{"id":16,"name":"Locomotive ID","value":"4018"},{"id":130,"name":"Impact","value":""},{"id":150,"name":"Time of Event (Mountain Time)","value":"16:21:12"},{"id":151,"name":"Denver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4018 --day 2017-08-26</v>
      </c>
      <c r="AN109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736</v>
      </c>
      <c r="B110" s="7">
        <v>4017</v>
      </c>
      <c r="C110" s="21" t="s">
        <v>197</v>
      </c>
      <c r="D110" s="21" t="s">
        <v>887</v>
      </c>
      <c r="E110" s="13">
        <v>42973.683831018519</v>
      </c>
      <c r="F110" s="13">
        <v>42973.69599537037</v>
      </c>
      <c r="G110" s="7">
        <v>13</v>
      </c>
      <c r="H110" s="21" t="s">
        <v>547</v>
      </c>
      <c r="I110" s="13">
        <v>42973.72152777778</v>
      </c>
      <c r="J110" s="7">
        <v>0</v>
      </c>
      <c r="K110" s="89" t="str">
        <f t="shared" si="26"/>
        <v>4017/4018</v>
      </c>
      <c r="L110" s="217" t="str">
        <f>VLOOKUP(A110,'Trips&amp;Operators'!$C$1:$G$99911,5,FALSE)</f>
        <v>DELGADO DIANAH</v>
      </c>
      <c r="M110" s="6">
        <f t="shared" si="27"/>
        <v>2.5532407409627922E-2</v>
      </c>
      <c r="N110" s="7">
        <f t="shared" si="44"/>
        <v>36.766666669864208</v>
      </c>
      <c r="O110" s="7"/>
      <c r="P110" s="7"/>
      <c r="Q110" s="22"/>
      <c r="R110" s="170"/>
      <c r="S110" s="213">
        <f t="shared" si="45"/>
        <v>1</v>
      </c>
      <c r="T110" s="195" t="str">
        <f t="shared" si="30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-08-26T15:24:43-0600',mode:absolute,to:'2017-08-26T18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97" t="str">
        <f>IF(AA110&lt;VLOOKUP(AG110,Variables!$AC$3:$AD$8,2,FALSE),"Y","N")</f>
        <v>N</v>
      </c>
      <c r="X110" s="197">
        <f t="shared" si="46"/>
        <v>1</v>
      </c>
      <c r="Y110" s="197">
        <f t="shared" si="47"/>
        <v>23.3001</v>
      </c>
      <c r="Z110" s="197">
        <f t="shared" si="34"/>
        <v>1.29E-2</v>
      </c>
      <c r="AA110" s="197">
        <f t="shared" si="35"/>
        <v>23.287200000000002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36"/>
        <v>198</v>
      </c>
      <c r="AE110" s="77" t="str">
        <f t="shared" si="37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110" s="74" t="str">
        <f t="shared" si="38"/>
        <v>"C:\Program Files (x86)\AstroGrep\AstroGrep.exe" /e /r /s /spath="%USERPROFILE%\AppData\Local\Temp\OnboardLogs" /stypes="app*4017*20170826*" /stext=" 23:.+((SYSTEM_STATE.+slice.+state.+changed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198-26 --locoid 4017 --swversion DE.1.0.9.0 --startMP 204:233001 --initTime 2017-08-26T16:24:43 --startdatetime 2017-08-26T16:42:14 --delay 13 --endMP 204:129 --enddatetime 2017-08-26T17:19:00 --enforcementcount 0 &gt;&gt;C:\Users\stu\Documents\GitHub\eaglep3-reporting\EC\2017-08-26-refined-times.txt</v>
      </c>
      <c r="AI11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{"issue":{"subject":"","project_id":79,"tracker_id":40,"status_id":1,"priority_id":2,"assigned_to_id":23,"start_date":"2017-08-26","description":"","custom_fields":[{"id":1,"name":"Subdivision","value":"EC"},{"id":4,"name":"Milepost","value":"0.0129"},{"id":17,"name":"Train ID","value":"198-26"},{"id":16,"name":"Locomotive ID","value":"4017"},{"id":130,"name":"Impact","value":""},{"id":150,"name":"Time of Event (Mountain Time)","value":"17:19:00"},{"id":151,"name":"Denver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4017 --day 2017-08-26</v>
      </c>
      <c r="AN110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733</v>
      </c>
      <c r="B111" s="7">
        <v>4040</v>
      </c>
      <c r="C111" s="21" t="s">
        <v>197</v>
      </c>
      <c r="D111" s="21" t="s">
        <v>372</v>
      </c>
      <c r="E111" s="13">
        <v>42973.660821759258</v>
      </c>
      <c r="F111" s="13">
        <v>42973.667291666665</v>
      </c>
      <c r="G111" s="7">
        <v>0</v>
      </c>
      <c r="H111" s="21" t="s">
        <v>389</v>
      </c>
      <c r="I111" s="13">
        <v>42973.691550925927</v>
      </c>
      <c r="J111" s="7">
        <v>0</v>
      </c>
      <c r="K111" s="89" t="str">
        <f t="shared" si="26"/>
        <v>4039/4040</v>
      </c>
      <c r="L111" s="217" t="str">
        <f>VLOOKUP(A111,'Trips&amp;Operators'!$C$1:$G$99911,5,FALSE)</f>
        <v>YORK EDGAR</v>
      </c>
      <c r="M111" s="6">
        <f t="shared" si="27"/>
        <v>2.4259259262180422E-2</v>
      </c>
      <c r="N111" s="7">
        <f t="shared" si="44"/>
        <v>34.933333337539807</v>
      </c>
      <c r="O111" s="7"/>
      <c r="P111" s="7"/>
      <c r="Q111" s="22"/>
      <c r="R111" s="170"/>
      <c r="S111" s="213">
        <f t="shared" si="45"/>
        <v>1</v>
      </c>
      <c r="T111" s="195" t="str">
        <f t="shared" si="30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-08-26T14:51:35-0600',mode:absolute,to:'2017-08-26T17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197" t="str">
        <f>IF(AA111&lt;VLOOKUP(AG111,Variables!$AC$3:$AD$8,2,FALSE),"Y","N")</f>
        <v>N</v>
      </c>
      <c r="X111" s="197">
        <f t="shared" si="46"/>
        <v>1</v>
      </c>
      <c r="Y111" s="197">
        <f t="shared" si="47"/>
        <v>4.5699999999999998E-2</v>
      </c>
      <c r="Z111" s="197">
        <f t="shared" si="34"/>
        <v>23.3293</v>
      </c>
      <c r="AA111" s="197">
        <f t="shared" si="35"/>
        <v>23.2836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36"/>
        <v>199</v>
      </c>
      <c r="AE111" s="77" t="str">
        <f t="shared" si="37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11" s="74" t="str">
        <f t="shared" si="38"/>
        <v>"C:\Program Files (x86)\AstroGrep\AstroGrep.exe" /e /r /s /spath="%USERPROFILE%\AppData\Local\Temp\OnboardLogs" /stypes="app*4040*20170826*" /stext=" 22:.+((SYSTEM_STATE.+slice.+state.+changed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199-26 --locoid 4040 --swversion DE.1.0.9.0 --startMP 204:457 --initTime 2017-08-26T15:51:35 --startdatetime 2017-08-26T16:00:54 --delay 0 --endMP 204:233293 --enddatetime 2017-08-26T16:35:50 --enforcementcount 0 &gt;&gt;C:\Users\stu\Documents\GitHub\eaglep3-reporting\EC\2017-08-26-refined-times.txt</v>
      </c>
      <c r="AI11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{"issue":{"subject":"","project_id":79,"tracker_id":40,"status_id":1,"priority_id":2,"assigned_to_id":23,"start_date":"2017-08-26","description":"","custom_fields":[{"id":1,"name":"Subdivision","value":"EC"},{"id":4,"name":"Milepost","value":"23.3293"},{"id":17,"name":"Train ID","value":"199-26"},{"id":16,"name":"Locomotive ID","value":"4040"},{"id":130,"name":"Impact","value":""},{"id":150,"name":"Time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4040 --day 2017-08-26</v>
      </c>
      <c r="AN111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739</v>
      </c>
      <c r="B112" s="7">
        <v>4039</v>
      </c>
      <c r="C112" s="21" t="s">
        <v>197</v>
      </c>
      <c r="D112" s="21" t="s">
        <v>406</v>
      </c>
      <c r="E112" s="13">
        <v>42973.692326388889</v>
      </c>
      <c r="F112" s="13">
        <v>42973.706435185188</v>
      </c>
      <c r="G112" s="7">
        <v>0</v>
      </c>
      <c r="H112" s="21" t="s">
        <v>405</v>
      </c>
      <c r="I112" s="13">
        <v>42973.73265046296</v>
      </c>
      <c r="J112" s="7">
        <v>0</v>
      </c>
      <c r="K112" s="89" t="str">
        <f t="shared" si="26"/>
        <v>4039/4040</v>
      </c>
      <c r="L112" s="217" t="str">
        <f>VLOOKUP(A112,'Trips&amp;Operators'!$C$1:$G$99911,5,FALSE)</f>
        <v>YORK EDGAR</v>
      </c>
      <c r="M112" s="6">
        <f t="shared" si="27"/>
        <v>2.6215277772280388E-2</v>
      </c>
      <c r="N112" s="7">
        <f t="shared" si="44"/>
        <v>37.749999992083758</v>
      </c>
      <c r="O112" s="7"/>
      <c r="P112" s="7"/>
      <c r="Q112" s="22"/>
      <c r="R112" s="170"/>
      <c r="S112" s="213">
        <f t="shared" si="45"/>
        <v>1</v>
      </c>
      <c r="T112" s="195" t="str">
        <f t="shared" si="30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-08-26T15:36:57-0600',mode:absolute,to:'2017-08-26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197" t="str">
        <f>IF(AA112&lt;VLOOKUP(AG112,Variables!$AC$3:$AD$8,2,FALSE),"Y","N")</f>
        <v>N</v>
      </c>
      <c r="X112" s="197">
        <f t="shared" si="46"/>
        <v>1</v>
      </c>
      <c r="Y112" s="197">
        <f t="shared" si="47"/>
        <v>23.298500000000001</v>
      </c>
      <c r="Z112" s="197">
        <f t="shared" si="34"/>
        <v>1.34E-2</v>
      </c>
      <c r="AA112" s="197">
        <f t="shared" si="35"/>
        <v>23.2851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36"/>
        <v>200</v>
      </c>
      <c r="AE112" s="77" t="str">
        <f t="shared" si="37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12" s="74" t="str">
        <f t="shared" si="38"/>
        <v>"C:\Program Files (x86)\AstroGrep\AstroGrep.exe" /e /r /s /spath="%USERPROFILE%\AppData\Local\Temp\OnboardLogs" /stypes="app*4039*20170826*" /stext=" 23:.+((SYSTEM_STATE.+slice.+state.+changed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200-26 --locoid 4039 --swversion DE.1.0.9.0 --startMP 204:232985 --initTime 2017-08-26T16:36:57 --startdatetime 2017-08-26T16:57:16 --delay 0 --endMP 204:134 --enddatetime 2017-08-26T17:35:01 --enforcementcount 0 &gt;&gt;C:\Users\stu\Documents\GitHub\eaglep3-reporting\EC\2017-08-26-refined-times.txt</v>
      </c>
      <c r="AI11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{"issue":{"subject":"","project_id":79,"tracker_id":40,"status_id":1,"priority_id":2,"assigned_to_id":23,"start_date":"2017-08-26","description":"","custom_fields":[{"id":1,"name":"Subdivision","value":"EC"},{"id":4,"name":"Milepost","value":"0.0134"},{"id":17,"name":"Train ID","value":"200-26"},{"id":16,"name":"Locomotive ID","value":"4039"},{"id":130,"name":"Impact","value":""},{"id":150,"name":"Time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4039 --day 2017-08-26</v>
      </c>
      <c r="AN112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575</v>
      </c>
      <c r="B113" s="7">
        <v>4062</v>
      </c>
      <c r="C113" s="21" t="s">
        <v>197</v>
      </c>
      <c r="D113" s="21" t="s">
        <v>341</v>
      </c>
      <c r="E113" s="13">
        <v>42973.674224537041</v>
      </c>
      <c r="F113" s="13">
        <v>42973.677615740744</v>
      </c>
      <c r="G113" s="7">
        <v>1</v>
      </c>
      <c r="H113" s="21" t="s">
        <v>403</v>
      </c>
      <c r="I113" s="13">
        <v>42973.702905092592</v>
      </c>
      <c r="J113" s="7">
        <v>0</v>
      </c>
      <c r="K113" s="89" t="str">
        <f t="shared" si="26"/>
        <v>4061/4062</v>
      </c>
      <c r="L113" s="217" t="str">
        <f>VLOOKUP(A113,'Trips&amp;Operators'!$C$1:$G$99911,5,FALSE)</f>
        <v>HOLCOMB KAMDEN</v>
      </c>
      <c r="M113" s="6">
        <f t="shared" si="27"/>
        <v>2.5289351848186925E-2</v>
      </c>
      <c r="N113" s="7">
        <f t="shared" si="44"/>
        <v>36.416666661389172</v>
      </c>
      <c r="O113" s="7"/>
      <c r="P113" s="7"/>
      <c r="Q113" s="22"/>
      <c r="R113" s="170"/>
      <c r="S113" s="213">
        <f t="shared" si="45"/>
        <v>1</v>
      </c>
      <c r="T113" s="195" t="str">
        <f t="shared" si="30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-08-26T15:10:53-0600',mode:absolute,to:'2017-08-26T17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3" s="197" t="str">
        <f>IF(AA113&lt;VLOOKUP(AG113,Variables!$AC$3:$AD$8,2,FALSE),"Y","N")</f>
        <v>N</v>
      </c>
      <c r="X113" s="197">
        <f t="shared" si="46"/>
        <v>1</v>
      </c>
      <c r="Y113" s="197">
        <f t="shared" si="47"/>
        <v>4.5100000000000001E-2</v>
      </c>
      <c r="Z113" s="197">
        <f t="shared" si="34"/>
        <v>23.331199999999999</v>
      </c>
      <c r="AA113" s="197">
        <f t="shared" si="35"/>
        <v>23.286099999999998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36"/>
        <v>201</v>
      </c>
      <c r="AE113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113" s="74" t="str">
        <f t="shared" si="38"/>
        <v>"C:\Program Files (x86)\AstroGrep\AstroGrep.exe" /e /r /s /spath="%USERPROFILE%\AppData\Local\Temp\OnboardLogs" /stypes="app*4062*20170826*" /stext=" 22:.+((SYSTEM_STATE.+slice.+state.+changed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201-26 --locoid 4062 --swversion DE.1.0.9.0 --startMP 204:451 --initTime 2017-08-26T16:10:53 --startdatetime 2017-08-26T16:15:46 --delay 1 --endMP 204:233312 --enddatetime 2017-08-26T16:52:11 --enforcementcount 0 &gt;&gt;C:\Users\stu\Documents\GitHub\eaglep3-reporting\EC\2017-08-26-refined-times.txt</v>
      </c>
      <c r="AI11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{"issue":{"subject":"","project_id":79,"tracker_id":40,"status_id":1,"priority_id":2,"assigned_to_id":23,"start_date":"2017-08-26","description":"","custom_fields":[{"id":1,"name":"Subdivision","value":"EC"},{"id":4,"name":"Milepost","value":"23.3312"},{"id":17,"name":"Train ID","value":"201-26"},{"id":16,"name":"Locomotive ID","value":"4062"},{"id":130,"name":"Impact","value":""},{"id":150,"name":"Time of Event (Mountain Time)","value":"16:52:11"},{"id":151,"name":"Denver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4062 --day 2017-08-26</v>
      </c>
      <c r="AN113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578</v>
      </c>
      <c r="B114" s="7">
        <v>4061</v>
      </c>
      <c r="C114" s="21" t="s">
        <v>197</v>
      </c>
      <c r="D114" s="21" t="s">
        <v>536</v>
      </c>
      <c r="E114" s="13">
        <v>42973.713726851849</v>
      </c>
      <c r="F114" s="13">
        <v>42973.716863425929</v>
      </c>
      <c r="G114" s="7">
        <v>1</v>
      </c>
      <c r="H114" s="21" t="s">
        <v>350</v>
      </c>
      <c r="I114" s="13">
        <v>42973.74322916667</v>
      </c>
      <c r="J114" s="7">
        <v>0</v>
      </c>
      <c r="K114" s="89" t="str">
        <f t="shared" si="26"/>
        <v>4061/4062</v>
      </c>
      <c r="L114" s="217" t="str">
        <f>VLOOKUP(A114,'Trips&amp;Operators'!$C$1:$G$99911,5,FALSE)</f>
        <v>HOLCOMB KAMDEN</v>
      </c>
      <c r="M114" s="6">
        <f t="shared" si="27"/>
        <v>2.6365740741312038E-2</v>
      </c>
      <c r="N114" s="7">
        <f t="shared" si="44"/>
        <v>37.966666667489335</v>
      </c>
      <c r="O114" s="7"/>
      <c r="P114" s="7"/>
      <c r="Q114" s="22"/>
      <c r="R114" s="170"/>
      <c r="S114" s="213">
        <f t="shared" si="45"/>
        <v>1</v>
      </c>
      <c r="T114" s="195" t="str">
        <f t="shared" si="30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-08-26T16:07:46-0600',mode:absolute,to:'2017-08-26T18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4" s="197" t="str">
        <f>IF(AA114&lt;VLOOKUP(AG114,Variables!$AC$3:$AD$8,2,FALSE),"Y","N")</f>
        <v>N</v>
      </c>
      <c r="X114" s="197">
        <f t="shared" si="46"/>
        <v>1</v>
      </c>
      <c r="Y114" s="197">
        <f t="shared" si="47"/>
        <v>23.298999999999999</v>
      </c>
      <c r="Z114" s="197">
        <f t="shared" si="34"/>
        <v>1.54E-2</v>
      </c>
      <c r="AA114" s="197">
        <f t="shared" si="35"/>
        <v>23.2836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36"/>
        <v>202</v>
      </c>
      <c r="AE114" s="77" t="str">
        <f t="shared" si="37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114" s="74" t="str">
        <f t="shared" si="38"/>
        <v>"C:\Program Files (x86)\AstroGrep\AstroGrep.exe" /e /r /s /spath="%USERPROFILE%\AppData\Local\Temp\OnboardLogs" /stypes="app*4061*20170826*" /stext=" 23:.+((SYSTEM_STATE.+slice.+state.+changed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202-26 --locoid 4061 --swversion DE.1.0.9.0 --startMP 204:232990 --initTime 2017-08-26T17:07:46 --startdatetime 2017-08-26T17:12:17 --delay 1 --endMP 204:154 --enddatetime 2017-08-26T17:50:15 --enforcementcount 0 &gt;&gt;C:\Users\stu\Documents\GitHub\eaglep3-reporting\EC\2017-08-26-refined-times.txt</v>
      </c>
      <c r="AI11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{"issue":{"subject":"","project_id":79,"tracker_id":40,"status_id":1,"priority_id":2,"assigned_to_id":23,"start_date":"2017-08-26","description":"","custom_fields":[{"id":1,"name":"Subdivision","value":"EC"},{"id":4,"name":"Milepost","value":"0.0154"},{"id":17,"name":"Train ID","value":"202-26"},{"id":16,"name":"Locomotive ID","value":"4061"},{"id":130,"name":"Impact","value":""},{"id":150,"name":"Time of Event (Mountain Time)","value":"17:50:15"},{"id":151,"name":"Denver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4061 --day 2017-08-26</v>
      </c>
      <c r="AN114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738</v>
      </c>
      <c r="B115" s="7">
        <v>4066</v>
      </c>
      <c r="C115" s="21" t="s">
        <v>197</v>
      </c>
      <c r="D115" s="21" t="s">
        <v>394</v>
      </c>
      <c r="E115" s="13">
        <v>42973.685069444444</v>
      </c>
      <c r="F115" s="13">
        <v>42973.688020833331</v>
      </c>
      <c r="G115" s="7">
        <v>1</v>
      </c>
      <c r="H115" s="21" t="s">
        <v>888</v>
      </c>
      <c r="I115" s="13">
        <v>42973.714317129627</v>
      </c>
      <c r="J115" s="7">
        <v>0</v>
      </c>
      <c r="K115" s="89" t="str">
        <f t="shared" si="26"/>
        <v>4065/4066</v>
      </c>
      <c r="L115" s="217" t="str">
        <f>VLOOKUP(A115,'Trips&amp;Operators'!$C$1:$G$99911,5,FALSE)</f>
        <v>DAVIS MICHAEL</v>
      </c>
      <c r="M115" s="6">
        <f t="shared" si="27"/>
        <v>2.6296296295186039E-2</v>
      </c>
      <c r="N115" s="7">
        <f t="shared" si="44"/>
        <v>37.866666665067896</v>
      </c>
      <c r="O115" s="7"/>
      <c r="P115" s="7"/>
      <c r="Q115" s="22"/>
      <c r="R115" s="170"/>
      <c r="S115" s="213">
        <f t="shared" si="45"/>
        <v>1</v>
      </c>
      <c r="T115" s="195" t="str">
        <f t="shared" si="30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-08-26T15:26:30-0600',mode:absolute,to:'2017-08-26T18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5" s="197" t="str">
        <f>IF(AA115&lt;VLOOKUP(AG115,Variables!$AC$3:$AD$8,2,FALSE),"Y","N")</f>
        <v>N</v>
      </c>
      <c r="X115" s="197">
        <f t="shared" si="46"/>
        <v>1</v>
      </c>
      <c r="Y115" s="197">
        <f t="shared" si="47"/>
        <v>4.6699999999999998E-2</v>
      </c>
      <c r="Z115" s="197">
        <f t="shared" si="34"/>
        <v>23.336600000000001</v>
      </c>
      <c r="AA115" s="197">
        <f t="shared" si="35"/>
        <v>23.289899999999999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36"/>
        <v>203</v>
      </c>
      <c r="AE115" s="77" t="str">
        <f t="shared" si="37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15" s="74" t="str">
        <f t="shared" si="38"/>
        <v>"C:\Program Files (x86)\AstroGrep\AstroGrep.exe" /e /r /s /spath="%USERPROFILE%\AppData\Local\Temp\OnboardLogs" /stypes="app*4066*20170826*"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203-26 --locoid 4066 --swversion DE.1.0.9.0 --startMP 204:467 --initTime 2017-08-26T16:26:30 --startdatetime 2017-08-26T16:30:45 --delay 1 --endMP 204:233366 --enddatetime 2017-08-26T17:08:37 --enforcementcount 0 &gt;&gt;C:\Users\stu\Documents\GitHub\eaglep3-reporting\EC\2017-08-26-refined-times.txt</v>
      </c>
      <c r="AI11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{"issue":{"subject":"","project_id":79,"tracker_id":40,"status_id":1,"priority_id":2,"assigned_to_id":23,"start_date":"2017-08-26","description":"","custom_fields":[{"id":1,"name":"Subdivision","value":"EC"},{"id":4,"name":"Milepost","value":"23.3366"},{"id":17,"name":"Train ID","value":"203-26"},{"id":16,"name":"Locomotive ID","value":"4066"},{"id":130,"name":"Impact","value":""},{"id":150,"name":"Time of Event (Mountain Time)","value":"17:08:37"},{"id":151,"name":"Denver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4066 --day 2017-08-26</v>
      </c>
      <c r="AN115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579</v>
      </c>
      <c r="B116" s="7">
        <v>4065</v>
      </c>
      <c r="C116" s="21" t="s">
        <v>197</v>
      </c>
      <c r="D116" s="21" t="s">
        <v>540</v>
      </c>
      <c r="E116" s="13">
        <v>42973.72552083333</v>
      </c>
      <c r="F116" s="13">
        <v>42973.727581018517</v>
      </c>
      <c r="G116" s="7">
        <v>1</v>
      </c>
      <c r="H116" s="21" t="s">
        <v>422</v>
      </c>
      <c r="I116" s="13">
        <v>42973.757465277777</v>
      </c>
      <c r="J116" s="7">
        <v>0</v>
      </c>
      <c r="K116" s="89" t="str">
        <f t="shared" si="26"/>
        <v>4065/4066</v>
      </c>
      <c r="L116" s="217" t="str">
        <f>VLOOKUP(A116,'Trips&amp;Operators'!$C$1:$G$99911,5,FALSE)</f>
        <v>DAVIS MICHAEL</v>
      </c>
      <c r="M116" s="6">
        <f t="shared" si="27"/>
        <v>2.9884259260143153E-2</v>
      </c>
      <c r="N116" s="7">
        <f t="shared" si="44"/>
        <v>43.033333334606141</v>
      </c>
      <c r="O116" s="7"/>
      <c r="P116" s="7"/>
      <c r="Q116" s="22"/>
      <c r="R116" s="170"/>
      <c r="S116" s="213">
        <f t="shared" si="45"/>
        <v>1</v>
      </c>
      <c r="T116" s="195" t="str">
        <f t="shared" si="30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-08-26T16:24:45-0600',mode:absolute,to:'2017-08-26T19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6" s="197" t="str">
        <f>IF(AA116&lt;VLOOKUP(AG116,Variables!$AC$3:$AD$8,2,FALSE),"Y","N")</f>
        <v>N</v>
      </c>
      <c r="X116" s="197">
        <f t="shared" si="46"/>
        <v>1</v>
      </c>
      <c r="Y116" s="197">
        <f t="shared" si="47"/>
        <v>23.302800000000001</v>
      </c>
      <c r="Z116" s="197">
        <f t="shared" si="34"/>
        <v>1.3599999999999999E-2</v>
      </c>
      <c r="AA116" s="197">
        <f t="shared" si="35"/>
        <v>23.289200000000001</v>
      </c>
      <c r="AB116" s="54" t="str">
        <f>VLOOKUP(A116,Enforcements!$C$7:$K$11,8,0)</f>
        <v>Bulletin (2)</v>
      </c>
      <c r="AC116" s="51" t="str">
        <f>VLOOKUP(A116,Enforcements!$C$7:$E$11,3,0)</f>
        <v>GRADE CROSSING</v>
      </c>
      <c r="AD116" s="206">
        <f t="shared" si="36"/>
        <v>204</v>
      </c>
      <c r="AE116" s="77" t="str">
        <f t="shared" si="37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16" s="74" t="str">
        <f t="shared" si="38"/>
        <v>"C:\Program Files (x86)\AstroGrep\AstroGrep.exe" /e /r /s /spath="%USERPROFILE%\AppData\Local\Temp\OnboardLogs" /stypes="app*4065*20170827*" /stext=" 00:.+((SYSTEM_STATE.+slice.+state.+changed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204-26 --locoid 4065 --swversion DE.1.0.9.0 --startMP 204:233028 --initTime 2017-08-26T17:24:45 --startdatetime 2017-08-26T17:27:43 --delay 1 --endMP 204:136 --enddatetime 2017-08-26T18:10:45 --enforcementcount 0 &gt;&gt;C:\Users\stu\Documents\GitHub\eaglep3-reporting\EC\2017-08-26-refined-times.txt</v>
      </c>
      <c r="AI11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{"issue":{"subject":"","project_id":79,"tracker_id":40,"status_id":1,"priority_id":2,"assigned_to_id":23,"start_date":"2017-08-26","description":"","custom_fields":[{"id":1,"name":"Subdivision","value":"EC"},{"id":4,"name":"Milepost","value":"0.0136"},{"id":17,"name":"Train ID","value":"204-26"},{"id":16,"name":"Locomotive ID","value":"4065"},{"id":130,"name":"Impact","value":""},{"id":150,"name":"Time of Event (Mountain Time)","value":"18:10:45"},{"id":151,"name":"Denver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4065 --day 2017-08-26</v>
      </c>
      <c r="AN116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741</v>
      </c>
      <c r="B117" s="7">
        <v>4044</v>
      </c>
      <c r="C117" s="21" t="s">
        <v>197</v>
      </c>
      <c r="D117" s="21" t="s">
        <v>341</v>
      </c>
      <c r="E117" s="13">
        <v>42973.695081018515</v>
      </c>
      <c r="F117" s="13">
        <v>42973.698148148149</v>
      </c>
      <c r="G117" s="7">
        <v>1</v>
      </c>
      <c r="H117" s="21" t="s">
        <v>889</v>
      </c>
      <c r="I117" s="13">
        <v>42973.724293981482</v>
      </c>
      <c r="J117" s="7">
        <v>0</v>
      </c>
      <c r="K117" s="89" t="str">
        <f t="shared" si="26"/>
        <v>4043/4044</v>
      </c>
      <c r="L117" s="217" t="str">
        <f>VLOOKUP(A117,'Trips&amp;Operators'!$C$1:$G$99911,5,FALSE)</f>
        <v>BROWN JACOB</v>
      </c>
      <c r="M117" s="6">
        <f t="shared" si="27"/>
        <v>2.6145833333430346E-2</v>
      </c>
      <c r="N117" s="7">
        <f t="shared" si="44"/>
        <v>37.650000000139698</v>
      </c>
      <c r="O117" s="7"/>
      <c r="P117" s="7"/>
      <c r="Q117" s="22"/>
      <c r="R117" s="170"/>
      <c r="S117" s="213">
        <f t="shared" si="45"/>
        <v>1</v>
      </c>
      <c r="T117" s="195" t="str">
        <f t="shared" si="30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-08-26T15:40:55-0600',mode:absolute,to:'2017-08-26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7" t="str">
        <f>IF(AA117&lt;VLOOKUP(AG117,Variables!$AC$3:$AD$8,2,FALSE),"Y","N")</f>
        <v>N</v>
      </c>
      <c r="X117" s="197">
        <f t="shared" si="46"/>
        <v>1</v>
      </c>
      <c r="Y117" s="197">
        <f t="shared" si="47"/>
        <v>4.5100000000000001E-2</v>
      </c>
      <c r="Z117" s="197">
        <f t="shared" si="34"/>
        <v>23.331600000000002</v>
      </c>
      <c r="AA117" s="197">
        <f t="shared" si="35"/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36"/>
        <v>205</v>
      </c>
      <c r="AE117" s="77" t="str">
        <f t="shared" si="37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117" s="74" t="str">
        <f t="shared" si="38"/>
        <v>"C:\Program Files (x86)\AstroGrep\AstroGrep.exe" /e /r /s /spath="%USERPROFILE%\AppData\Local\Temp\OnboardLogs" /stypes="app*4044*20170826*" /stext=" 23:.+((SYSTEM_STATE.+slice.+state.+changed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205-26 --locoid 4044 --swversion DE.1.0.9.0 --startMP 204:451 --initTime 2017-08-26T16:40:55 --startdatetime 2017-08-26T16:45:20 --delay 1 --endMP 204:233316 --enddatetime 2017-08-26T17:22:59 --enforcementcount 0 &gt;&gt;C:\Users\stu\Documents\GitHub\eaglep3-reporting\EC\2017-08-26-refined-times.txt</v>
      </c>
      <c r="AI117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{"issue":{"subject":"","project_id":79,"tracker_id":40,"status_id":1,"priority_id":2,"assigned_to_id":23,"start_date":"2017-08-26","description":"","custom_fields":[{"id":1,"name":"Subdivision","value":"EC"},{"id":4,"name":"Milepost","value":"23.3316"},{"id":17,"name":"Train ID","value":"205-26"},{"id":16,"name":"Locomotive ID","value":"4044"},{"id":130,"name":"Impact","value":""},{"id":150,"name":"Time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4044 --day 2017-08-26</v>
      </c>
      <c r="AN117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747</v>
      </c>
      <c r="B118" s="7">
        <v>4043</v>
      </c>
      <c r="C118" s="21" t="s">
        <v>197</v>
      </c>
      <c r="D118" s="21" t="s">
        <v>536</v>
      </c>
      <c r="E118" s="13">
        <v>42973.734918981485</v>
      </c>
      <c r="F118" s="13">
        <v>42973.737673611111</v>
      </c>
      <c r="G118" s="7">
        <v>1</v>
      </c>
      <c r="H118" s="21" t="s">
        <v>350</v>
      </c>
      <c r="I118" s="13">
        <v>42973.764097222222</v>
      </c>
      <c r="J118" s="7">
        <v>0</v>
      </c>
      <c r="K118" s="89" t="str">
        <f t="shared" si="26"/>
        <v>4043/4044</v>
      </c>
      <c r="L118" s="217" t="str">
        <f>VLOOKUP(A118,'Trips&amp;Operators'!$C$1:$G$99911,5,FALSE)</f>
        <v>BROWN JACOB</v>
      </c>
      <c r="M118" s="6">
        <f t="shared" si="27"/>
        <v>2.6423611110658385E-2</v>
      </c>
      <c r="N118" s="7">
        <f t="shared" si="44"/>
        <v>38.049999999348074</v>
      </c>
      <c r="O118" s="7"/>
      <c r="P118" s="7"/>
      <c r="Q118" s="22"/>
      <c r="R118" s="170"/>
      <c r="S118" s="213">
        <f t="shared" si="45"/>
        <v>1</v>
      </c>
      <c r="T118" s="195" t="str">
        <f t="shared" si="30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-08-26T16:38:17-0600',mode:absolute,to:'2017-08-26T19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7" t="str">
        <f>IF(AA118&lt;VLOOKUP(AG118,Variables!$AC$3:$AD$8,2,FALSE),"Y","N")</f>
        <v>N</v>
      </c>
      <c r="X118" s="197">
        <f t="shared" si="46"/>
        <v>1</v>
      </c>
      <c r="Y118" s="197">
        <f t="shared" si="47"/>
        <v>23.298999999999999</v>
      </c>
      <c r="Z118" s="197">
        <f t="shared" si="34"/>
        <v>1.54E-2</v>
      </c>
      <c r="AA118" s="197">
        <f t="shared" si="35"/>
        <v>23.2836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36"/>
        <v>206</v>
      </c>
      <c r="AE118" s="77" t="str">
        <f t="shared" si="37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118" s="74" t="str">
        <f t="shared" si="38"/>
        <v>"C:\Program Files (x86)\AstroGrep\AstroGrep.exe" /e /r /s /spath="%USERPROFILE%\AppData\Local\Temp\OnboardLogs" /stypes="app*4043*20170827*" /stext=" 00:.+((SYSTEM_STATE.+slice.+state.+changed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206-26 --locoid 4043 --swversion DE.1.0.9.0 --startMP 204:232990 --initTime 2017-08-26T17:38:17 --startdatetime 2017-08-26T17:42:15 --delay 1 --endMP 204:154 --enddatetime 2017-08-26T18:20:18 --enforcementcount 0 &gt;&gt;C:\Users\stu\Documents\GitHub\eaglep3-reporting\EC\2017-08-26-refined-times.txt</v>
      </c>
      <c r="AI11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{"issue":{"subject":"","project_id":79,"tracker_id":40,"status_id":1,"priority_id":2,"assigned_to_id":23,"start_date":"2017-08-26","description":"","custom_fields":[{"id":1,"name":"Subdivision","value":"EC"},{"id":4,"name":"Milepost","value":"0.0154"},{"id":17,"name":"Train ID","value":"206-26"},{"id":16,"name":"Locomotive ID","value":"4043"},{"id":130,"name":"Impact","value":""},{"id":150,"name":"Time of Event (Mountain Time)","value":"18:20:18"},{"id":151,"name":"Denver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4043 --day 2017-08-26</v>
      </c>
      <c r="AN118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742</v>
      </c>
      <c r="B119" s="7">
        <v>4010</v>
      </c>
      <c r="C119" s="21" t="s">
        <v>197</v>
      </c>
      <c r="D119" s="21" t="s">
        <v>357</v>
      </c>
      <c r="E119" s="13">
        <v>42973.702557870369</v>
      </c>
      <c r="F119" s="13">
        <v>42973.708912037036</v>
      </c>
      <c r="G119" s="7">
        <v>1</v>
      </c>
      <c r="H119" s="21" t="s">
        <v>890</v>
      </c>
      <c r="I119" s="13">
        <v>42973.733553240738</v>
      </c>
      <c r="J119" s="7">
        <v>0</v>
      </c>
      <c r="K119" s="89" t="str">
        <f t="shared" si="26"/>
        <v>4009/4010</v>
      </c>
      <c r="L119" s="217" t="str">
        <f>VLOOKUP(A119,'Trips&amp;Operators'!$C$1:$G$99911,5,FALSE)</f>
        <v>LOPES KIMBERLY</v>
      </c>
      <c r="M119" s="6">
        <f t="shared" si="27"/>
        <v>2.4641203701321501E-2</v>
      </c>
      <c r="N119" s="7">
        <f t="shared" si="44"/>
        <v>35.483333329902962</v>
      </c>
      <c r="O119" s="7"/>
      <c r="P119" s="7"/>
      <c r="Q119" s="22"/>
      <c r="R119" s="170"/>
      <c r="S119" s="213">
        <f t="shared" si="45"/>
        <v>1</v>
      </c>
      <c r="T119" s="195" t="str">
        <f t="shared" si="30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-08-26T15:51:41-0600',mode:absolute,to:'2017-08-26T18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197" t="str">
        <f>IF(AA119&lt;VLOOKUP(AG119,Variables!$AC$3:$AD$8,2,FALSE),"Y","N")</f>
        <v>N</v>
      </c>
      <c r="X119" s="197">
        <f t="shared" si="46"/>
        <v>1</v>
      </c>
      <c r="Y119" s="197">
        <f t="shared" si="47"/>
        <v>4.5499999999999999E-2</v>
      </c>
      <c r="Z119" s="197">
        <f t="shared" si="34"/>
        <v>23.333600000000001</v>
      </c>
      <c r="AA119" s="197">
        <f t="shared" si="35"/>
        <v>23.2881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36"/>
        <v>207</v>
      </c>
      <c r="AE119" s="77" t="str">
        <f t="shared" si="37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119" s="74" t="str">
        <f t="shared" si="38"/>
        <v>"C:\Program Files (x86)\AstroGrep\AstroGrep.exe" /e /r /s /spath="%USERPROFILE%\AppData\Local\Temp\OnboardLogs" /stypes="app*4010*20170826*" /stext=" 23:.+((SYSTEM_STATE.+slice.+state.+changed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207-26 --locoid 4010 --swversion DE.1.0.9.0 --startMP 204:455 --initTime 2017-08-26T16:51:41 --startdatetime 2017-08-26T17:00:50 --delay 1 --endMP 204:233336 --enddatetime 2017-08-26T17:36:19 --enforcementcount 0 &gt;&gt;C:\Users\stu\Documents\GitHub\eaglep3-reporting\EC\2017-08-26-refined-times.txt</v>
      </c>
      <c r="AI11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{"issue":{"subject":"","project_id":79,"tracker_id":40,"status_id":1,"priority_id":2,"assigned_to_id":23,"start_date":"2017-08-26","description":"","custom_fields":[{"id":1,"name":"Subdivision","value":"EC"},{"id":4,"name":"Milepost","value":"23.3336"},{"id":17,"name":"Train ID","value":"207-26"},{"id":16,"name":"Locomotive ID","value":"4010"},{"id":130,"name":"Impact","value":""},{"id":150,"name":"Time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4010 --day 2017-08-26</v>
      </c>
      <c r="AN119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749</v>
      </c>
      <c r="B120" s="7">
        <v>4009</v>
      </c>
      <c r="C120" s="21" t="s">
        <v>197</v>
      </c>
      <c r="D120" s="21" t="s">
        <v>891</v>
      </c>
      <c r="E120" s="13">
        <v>42973.739571759259</v>
      </c>
      <c r="F120" s="13">
        <v>42973.748194444444</v>
      </c>
      <c r="G120" s="7">
        <v>1</v>
      </c>
      <c r="H120" s="21" t="s">
        <v>369</v>
      </c>
      <c r="I120" s="13">
        <v>42973.776203703703</v>
      </c>
      <c r="J120" s="7">
        <v>0</v>
      </c>
      <c r="K120" s="89" t="str">
        <f t="shared" si="26"/>
        <v>4009/4010</v>
      </c>
      <c r="L120" s="217" t="str">
        <f>VLOOKUP(A120,'Trips&amp;Operators'!$C$1:$G$99911,5,FALSE)</f>
        <v>LOPES KIMBERLY</v>
      </c>
      <c r="M120" s="6">
        <f t="shared" si="27"/>
        <v>2.8009259258396924E-2</v>
      </c>
      <c r="N120" s="7">
        <f t="shared" si="44"/>
        <v>40.33333333209157</v>
      </c>
      <c r="O120" s="7"/>
      <c r="P120" s="7"/>
      <c r="Q120" s="22"/>
      <c r="R120" s="170"/>
      <c r="S120" s="213">
        <f t="shared" si="45"/>
        <v>1</v>
      </c>
      <c r="T120" s="195" t="str">
        <f t="shared" si="30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-08-26T16:44:59-0600',mode:absolute,to:'2017-08-26T19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197" t="str">
        <f>IF(AA120&lt;VLOOKUP(AG120,Variables!$AC$3:$AD$8,2,FALSE),"Y","N")</f>
        <v>N</v>
      </c>
      <c r="X120" s="197">
        <f t="shared" si="46"/>
        <v>1</v>
      </c>
      <c r="Y120" s="197">
        <f t="shared" si="47"/>
        <v>23.303999999999998</v>
      </c>
      <c r="Z120" s="197">
        <f t="shared" si="34"/>
        <v>1.52E-2</v>
      </c>
      <c r="AA120" s="197">
        <f t="shared" si="35"/>
        <v>23.288799999999998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36"/>
        <v>208</v>
      </c>
      <c r="AE120" s="77" t="str">
        <f t="shared" si="37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120" s="74" t="str">
        <f t="shared" si="38"/>
        <v>"C:\Program Files (x86)\AstroGrep\AstroGrep.exe" /e /r /s /spath="%USERPROFILE%\AppData\Local\Temp\OnboardLogs" /stypes="app*4009*20170827*" /stext=" 00:.+((SYSTEM_STATE.+slice.+state.+changed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208-26 --locoid 4009 --swversion DE.1.0.9.0 --startMP 204:233040 --initTime 2017-08-26T17:44:59 --startdatetime 2017-08-26T17:57:24 --delay 1 --endMP 204:152 --enddatetime 2017-08-26T18:37:44 --enforcementcount 0 &gt;&gt;C:\Users\stu\Documents\GitHub\eaglep3-reporting\EC\2017-08-26-refined-times.txt</v>
      </c>
      <c r="AI12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{"issue":{"subject":"","project_id":79,"tracker_id":40,"status_id":1,"priority_id":2,"assigned_to_id":23,"start_date":"2017-08-26","description":"","custom_fields":[{"id":1,"name":"Subdivision","value":"EC"},{"id":4,"name":"Milepost","value":"0.0152"},{"id":17,"name":"Train ID","value":"208-26"},{"id":16,"name":"Locomotive ID","value":"4009"},{"id":130,"name":"Impact","value":""},{"id":150,"name":"Time of Event (Mountain Time)","value":"18:37:44"},{"id":151,"name":"Denver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4009 --day 2017-08-26</v>
      </c>
      <c r="AN120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744</v>
      </c>
      <c r="B121" s="7">
        <v>4008</v>
      </c>
      <c r="C121" s="21" t="s">
        <v>197</v>
      </c>
      <c r="D121" s="21" t="s">
        <v>367</v>
      </c>
      <c r="E121" s="13">
        <v>42973.716932870368</v>
      </c>
      <c r="F121" s="13">
        <v>42973.719351851854</v>
      </c>
      <c r="G121" s="7">
        <v>1</v>
      </c>
      <c r="H121" s="21" t="s">
        <v>819</v>
      </c>
      <c r="I121" s="13">
        <v>42973.744409722225</v>
      </c>
      <c r="J121" s="7">
        <v>0</v>
      </c>
      <c r="K121" s="89" t="str">
        <f t="shared" si="26"/>
        <v>4007/4008</v>
      </c>
      <c r="L121" s="217" t="str">
        <f>VLOOKUP(A121,'Trips&amp;Operators'!$C$1:$G$99911,5,FALSE)</f>
        <v>CHANDLER KELVIN</v>
      </c>
      <c r="M121" s="6">
        <f t="shared" si="27"/>
        <v>2.5057870370801538E-2</v>
      </c>
      <c r="N121" s="7">
        <f t="shared" si="44"/>
        <v>36.083333333954215</v>
      </c>
      <c r="O121" s="7"/>
      <c r="P121" s="7"/>
      <c r="Q121" s="22"/>
      <c r="R121" s="170"/>
      <c r="S121" s="213">
        <f t="shared" si="45"/>
        <v>1</v>
      </c>
      <c r="T121" s="195" t="str">
        <f t="shared" si="30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-08-26T16:12:23-0600',mode:absolute,to:'2017-08-26T18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97" t="str">
        <f>IF(AA121&lt;VLOOKUP(AG121,Variables!$AC$3:$AD$8,2,FALSE),"Y","N")</f>
        <v>N</v>
      </c>
      <c r="X121" s="197">
        <f t="shared" si="46"/>
        <v>1</v>
      </c>
      <c r="Y121" s="197">
        <f t="shared" si="47"/>
        <v>4.58E-2</v>
      </c>
      <c r="Z121" s="197">
        <f t="shared" si="34"/>
        <v>23.328600000000002</v>
      </c>
      <c r="AA121" s="197">
        <f t="shared" si="35"/>
        <v>23.282800000000002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36"/>
        <v>209</v>
      </c>
      <c r="AE121" s="77" t="str">
        <f t="shared" si="37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21" s="74" t="str">
        <f t="shared" si="38"/>
        <v>"C:\Program Files (x86)\AstroGrep\AstroGrep.exe" /e /r /s /spath="%USERPROFILE%\AppData\Local\Temp\OnboardLogs" /stypes="app*4008*20170826*" /stext=" 23:.+((SYSTEM_STATE.+slice.+state.+changed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209-26 --locoid 4008 --swversion DE.1.0.9.0 --startMP 204:458 --initTime 2017-08-26T17:12:23 --startdatetime 2017-08-26T17:15:52 --delay 1 --endMP 204:233286 --enddatetime 2017-08-26T17:51:57 --enforcementcount 0 &gt;&gt;C:\Users\stu\Documents\GitHub\eaglep3-reporting\EC\2017-08-26-refined-times.txt</v>
      </c>
      <c r="AI12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{"issue":{"subject":"","project_id":79,"tracker_id":40,"status_id":1,"priority_id":2,"assigned_to_id":23,"start_date":"2017-08-26","description":"","custom_fields":[{"id":1,"name":"Subdivision","value":"EC"},{"id":4,"name":"Milepost","value":"23.3286"},{"id":17,"name":"Train ID","value":"209-26"},{"id":16,"name":"Locomotive ID","value":"4008"},{"id":130,"name":"Impact","value":""},{"id":150,"name":"Time of Event (Mountain Time)","value":"17:51:57"},{"id":151,"name":"Denver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4008 --day 2017-08-26</v>
      </c>
      <c r="AN121" s="151" t="str">
        <f t="shared" si="4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752</v>
      </c>
      <c r="B122" s="7">
        <v>4007</v>
      </c>
      <c r="C122" s="21" t="s">
        <v>197</v>
      </c>
      <c r="D122" s="21" t="s">
        <v>892</v>
      </c>
      <c r="E122" s="13">
        <v>42973.754560185182</v>
      </c>
      <c r="F122" s="13">
        <v>42973.758587962962</v>
      </c>
      <c r="G122" s="7">
        <v>1</v>
      </c>
      <c r="H122" s="21" t="s">
        <v>340</v>
      </c>
      <c r="I122" s="13">
        <v>42973.788194444445</v>
      </c>
      <c r="J122" s="7">
        <v>0</v>
      </c>
      <c r="K122" s="89" t="str">
        <f t="shared" si="26"/>
        <v>4007/4008</v>
      </c>
      <c r="L122" s="217" t="str">
        <f>VLOOKUP(A122,'Trips&amp;Operators'!$C$1:$G$99911,5,FALSE)</f>
        <v>CHANDLER KELVIN</v>
      </c>
      <c r="M122" s="6">
        <f t="shared" si="27"/>
        <v>2.9606481482915115E-2</v>
      </c>
      <c r="N122" s="7">
        <f t="shared" si="44"/>
        <v>42.633333335397765</v>
      </c>
      <c r="O122" s="7"/>
      <c r="P122" s="7"/>
      <c r="Q122" s="22"/>
      <c r="R122" s="170"/>
      <c r="S122" s="213">
        <f t="shared" si="45"/>
        <v>1</v>
      </c>
      <c r="T122" s="195" t="str">
        <f t="shared" si="30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-08-26T17:06:34-0600',mode:absolute,to:'2017-08-26T19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2" s="197" t="str">
        <f>IF(AA122&lt;VLOOKUP(AG122,Variables!$AC$3:$AD$8,2,FALSE),"Y","N")</f>
        <v>N</v>
      </c>
      <c r="X122" s="197">
        <f t="shared" si="46"/>
        <v>1</v>
      </c>
      <c r="Y122" s="197">
        <f t="shared" si="47"/>
        <v>23.300899999999999</v>
      </c>
      <c r="Z122" s="197">
        <f t="shared" si="34"/>
        <v>1.43E-2</v>
      </c>
      <c r="AA122" s="197">
        <f t="shared" si="35"/>
        <v>23.2866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36"/>
        <v>210</v>
      </c>
      <c r="AE122" s="77" t="str">
        <f t="shared" si="37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122" s="74" t="str">
        <f t="shared" si="38"/>
        <v>"C:\Program Files (x86)\AstroGrep\AstroGrep.exe" /e /r /s /spath="%USERPROFILE%\AppData\Local\Temp\OnboardLogs" /stypes="app*4007*20170827*" /stext=" 00:.+((SYSTEM_STATE.+slice.+state.+changed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210-26 --locoid 4007 --swversion DE.1.0.9.0 --startMP 204:233009 --initTime 2017-08-26T18:06:34 --startdatetime 2017-08-26T18:12:22 --delay 1 --endMP 204:143 --enddatetime 2017-08-26T18:55:00 --enforcementcount 0 &gt;&gt;C:\Users\stu\Documents\GitHub\eaglep3-reporting\EC\2017-08-26-refined-times.txt</v>
      </c>
      <c r="AI12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{"issue":{"subject":"","project_id":79,"tracker_id":40,"status_id":1,"priority_id":2,"assigned_to_id":23,"start_date":"2017-08-26","description":"","custom_fields":[{"id":1,"name":"Subdivision","value":"EC"},{"id":4,"name":"Milepost","value":"0.0143"},{"id":17,"name":"Train ID","value":"210-26"},{"id":16,"name":"Locomotive ID","value":"4007"},{"id":130,"name":"Impact","value":""},{"id":150,"name":"Time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4007 --day 2017-08-26</v>
      </c>
      <c r="AN122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745</v>
      </c>
      <c r="B123" s="7">
        <v>4018</v>
      </c>
      <c r="C123" s="21" t="s">
        <v>197</v>
      </c>
      <c r="D123" s="21" t="s">
        <v>367</v>
      </c>
      <c r="E123" s="13">
        <v>42973.726018518515</v>
      </c>
      <c r="F123" s="13">
        <v>42973.729675925926</v>
      </c>
      <c r="G123" s="7">
        <v>0</v>
      </c>
      <c r="H123" s="21" t="s">
        <v>888</v>
      </c>
      <c r="I123" s="13">
        <v>42973.753935185188</v>
      </c>
      <c r="J123" s="7">
        <v>0</v>
      </c>
      <c r="K123" s="89" t="str">
        <f t="shared" si="26"/>
        <v>4017/4018</v>
      </c>
      <c r="L123" s="217" t="str">
        <f>VLOOKUP(A123,'Trips&amp;Operators'!$C$1:$G$99911,5,FALSE)</f>
        <v>DELGADO DIANAH</v>
      </c>
      <c r="M123" s="6">
        <f t="shared" si="27"/>
        <v>2.4259259262180422E-2</v>
      </c>
      <c r="N123" s="7">
        <f t="shared" si="44"/>
        <v>34.933333337539807</v>
      </c>
      <c r="O123" s="7"/>
      <c r="P123" s="7"/>
      <c r="Q123" s="22"/>
      <c r="R123" s="170"/>
      <c r="S123" s="213">
        <f t="shared" si="45"/>
        <v>1</v>
      </c>
      <c r="T123" s="195" t="str">
        <f t="shared" si="30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-08-26T16:25:28-0600',mode:absolute,to:'2017-08-26T19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97" t="str">
        <f>IF(AA123&lt;VLOOKUP(AG123,Variables!$AC$3:$AD$8,2,FALSE),"Y","N")</f>
        <v>N</v>
      </c>
      <c r="X123" s="197">
        <f t="shared" si="46"/>
        <v>1</v>
      </c>
      <c r="Y123" s="197">
        <f t="shared" si="47"/>
        <v>4.58E-2</v>
      </c>
      <c r="Z123" s="197">
        <f t="shared" si="34"/>
        <v>23.336600000000001</v>
      </c>
      <c r="AA123" s="197">
        <f t="shared" si="35"/>
        <v>23.290800000000001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36"/>
        <v>211</v>
      </c>
      <c r="AE123" s="77" t="str">
        <f t="shared" si="37"/>
        <v>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 &amp; aws s3 cp s3://rtdc.mdm.uploadarchive.raw/RTDC4018/ "%USERPROFILE%\AppData\Local\Temp\OnboardLogs"\RTDC4018\2017-08-27 --exclude "*" --recursive --include "*20170827*" &amp; "%USERPROFILE%\Documents\GitHub\mrs-test-scripts\Headless Mode &amp; Sideloading\WalkAndUnGZ.bat" "%USERPROFILE%\AppData\Local\Temp\OnboardLogs"\RTDC4018\2017-08-27</v>
      </c>
      <c r="AF123" s="74" t="str">
        <f t="shared" si="38"/>
        <v>"C:\Program Files (x86)\AstroGrep\AstroGrep.exe" /e /r /s /spath="%USERPROFILE%\AppData\Local\Temp\OnboardLogs" /stypes="app*4018*20170827*"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211-26 --locoid 4018 --swversion DE.1.0.9.0 --startMP 204:458 --initTime 2017-08-26T17:25:28 --startdatetime 2017-08-26T17:30:44 --delay 0 --endMP 204:233366 --enddatetime 2017-08-26T18:05:40 --enforcementcount 0 &gt;&gt;C:\Users\stu\Documents\GitHub\eaglep3-reporting\EC\2017-08-26-refined-times.txt</v>
      </c>
      <c r="AI12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{"issue":{"subject":"","project_id":79,"tracker_id":40,"status_id":1,"priority_id":2,"assigned_to_id":23,"start_date":"2017-08-26","description":"","custom_fields":[{"id":1,"name":"Subdivision","value":"EC"},{"id":4,"name":"Milepost","value":"23.3366"},{"id":17,"name":"Train ID","value":"211-26"},{"id":16,"name":"Locomotive ID","value":"4018"},{"id":130,"name":"Impact","value":""},{"id":150,"name":"Time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4018 --day 2017-08-26</v>
      </c>
      <c r="AN123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753</v>
      </c>
      <c r="B124" s="7">
        <v>4017</v>
      </c>
      <c r="C124" s="21" t="s">
        <v>197</v>
      </c>
      <c r="D124" s="21" t="s">
        <v>893</v>
      </c>
      <c r="E124" s="13">
        <v>42973.758796296293</v>
      </c>
      <c r="F124" s="13">
        <v>42973.768923611111</v>
      </c>
      <c r="G124" s="7">
        <v>9</v>
      </c>
      <c r="H124" s="21" t="s">
        <v>894</v>
      </c>
      <c r="I124" s="13">
        <v>42973.795173611114</v>
      </c>
      <c r="J124" s="7">
        <v>0</v>
      </c>
      <c r="K124" s="89" t="str">
        <f t="shared" si="26"/>
        <v>4017/4018</v>
      </c>
      <c r="L124" s="217" t="str">
        <f>VLOOKUP(A124,'Trips&amp;Operators'!$C$1:$G$99911,5,FALSE)</f>
        <v>DELGADO DIANAH</v>
      </c>
      <c r="M124" s="6">
        <f t="shared" si="27"/>
        <v>2.6250000002619345E-2</v>
      </c>
      <c r="N124" s="7">
        <f t="shared" si="44"/>
        <v>37.800000003771856</v>
      </c>
      <c r="O124" s="7"/>
      <c r="P124" s="7"/>
      <c r="Q124" s="22"/>
      <c r="R124" s="170"/>
      <c r="S124" s="213">
        <f t="shared" si="45"/>
        <v>1</v>
      </c>
      <c r="T124" s="195" t="str">
        <f t="shared" si="30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-08-26T17:12:40-0600',mode:absolute,to:'2017-08-26T20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97" t="str">
        <f>IF(AA124&lt;VLOOKUP(AG124,Variables!$AC$3:$AD$8,2,FALSE),"Y","N")</f>
        <v>N</v>
      </c>
      <c r="X124" s="197">
        <f t="shared" si="46"/>
        <v>1</v>
      </c>
      <c r="Y124" s="197">
        <f t="shared" si="47"/>
        <v>23.306799999999999</v>
      </c>
      <c r="Z124" s="197">
        <f t="shared" si="34"/>
        <v>0.15240000000000001</v>
      </c>
      <c r="AA124" s="197">
        <f t="shared" si="35"/>
        <v>23.154399999999999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36"/>
        <v>212</v>
      </c>
      <c r="AE124" s="77" t="str">
        <f t="shared" si="37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124" s="74" t="str">
        <f t="shared" si="38"/>
        <v>"C:\Program Files (x86)\AstroGrep\AstroGrep.exe" /e /r /s /spath="%USERPROFILE%\AppData\Local\Temp\OnboardLogs" /stypes="app*4017*20170827*" /stext=" 01:.+((SYSTEM_STATE.+slice.+state.+changed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212-26 --locoid 4017 --swversion DE.1.0.9.0 --startMP 204:233068 --initTime 2017-08-26T18:12:40 --startdatetime 2017-08-26T18:27:15 --delay 9 --endMP 204:1524 --enddatetime 2017-08-26T19:05:03 --enforcementcount 0 &gt;&gt;C:\Users\stu\Documents\GitHub\eaglep3-reporting\EC\2017-08-26-refined-times.txt</v>
      </c>
      <c r="AI12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{"issue":{"subject":"","project_id":79,"tracker_id":40,"status_id":1,"priority_id":2,"assigned_to_id":23,"start_date":"2017-08-26","description":"","custom_fields":[{"id":1,"name":"Subdivision","value":"EC"},{"id":4,"name":"Milepost","value":"0.1524"},{"id":17,"name":"Train ID","value":"212-26"},{"id":16,"name":"Locomotive ID","value":"4017"},{"id":130,"name":"Impact","value":""},{"id":150,"name":"Time of Event (Mountain Time)","value":"19:05:03"},{"id":151,"name":"Denver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4017 --day 2017-08-26</v>
      </c>
      <c r="AN124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748</v>
      </c>
      <c r="B125" s="7">
        <v>4040</v>
      </c>
      <c r="C125" s="21" t="s">
        <v>197</v>
      </c>
      <c r="D125" s="21" t="s">
        <v>810</v>
      </c>
      <c r="E125" s="13">
        <v>42973.735798611109</v>
      </c>
      <c r="F125" s="13">
        <v>42973.740162037036</v>
      </c>
      <c r="G125" s="7">
        <v>1</v>
      </c>
      <c r="H125" s="21" t="s">
        <v>529</v>
      </c>
      <c r="I125" s="13">
        <v>42973.765775462962</v>
      </c>
      <c r="J125" s="7">
        <v>0</v>
      </c>
      <c r="K125" s="89" t="str">
        <f t="shared" si="26"/>
        <v>4039/4040</v>
      </c>
      <c r="L125" s="217" t="str">
        <f>VLOOKUP(A125,'Trips&amp;Operators'!$C$1:$G$99911,5,FALSE)</f>
        <v>YANG JAN</v>
      </c>
      <c r="M125" s="6">
        <f t="shared" si="27"/>
        <v>2.5613425925257616E-2</v>
      </c>
      <c r="N125" s="7">
        <f t="shared" si="44"/>
        <v>36.883333332370967</v>
      </c>
      <c r="O125" s="7"/>
      <c r="P125" s="7"/>
      <c r="Q125" s="22"/>
      <c r="R125" s="170"/>
      <c r="S125" s="213">
        <f t="shared" si="45"/>
        <v>1</v>
      </c>
      <c r="T125" s="195" t="str">
        <f t="shared" si="30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-08-26T16:39:33-0600',mode:absolute,to:'2017-08-26T19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97" t="str">
        <f>IF(AA125&lt;VLOOKUP(AG125,Variables!$AC$3:$AD$8,2,FALSE),"Y","N")</f>
        <v>N</v>
      </c>
      <c r="X125" s="197">
        <f t="shared" si="46"/>
        <v>1</v>
      </c>
      <c r="Y125" s="197">
        <f t="shared" si="47"/>
        <v>4.7800000000000002E-2</v>
      </c>
      <c r="Z125" s="197">
        <f t="shared" si="34"/>
        <v>23.331099999999999</v>
      </c>
      <c r="AA125" s="197">
        <f t="shared" si="35"/>
        <v>23.283300000000001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36"/>
        <v>213</v>
      </c>
      <c r="AE125" s="77" t="str">
        <f t="shared" si="37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25" s="74" t="str">
        <f t="shared" si="38"/>
        <v>"C:\Program Files (x86)\AstroGrep\AstroGrep.exe" /e /r /s /spath="%USERPROFILE%\AppData\Local\Temp\OnboardLogs" /stypes="app*4040*20170827*" /stext=" 00:.+((SYSTEM_STATE.+slice.+state.+changed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213-26 --locoid 4040 --swversion DE.1.0.9.0 --startMP 204:478 --initTime 2017-08-26T17:39:33 --startdatetime 2017-08-26T17:45:50 --delay 1 --endMP 204:233311 --enddatetime 2017-08-26T18:22:43 --enforcementcount 0 &gt;&gt;C:\Users\stu\Documents\GitHub\eaglep3-reporting\EC\2017-08-26-refined-times.txt</v>
      </c>
      <c r="AI12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{"issue":{"subject":"","project_id":79,"tracker_id":40,"status_id":1,"priority_id":2,"assigned_to_id":23,"start_date":"2017-08-26","description":"","custom_fields":[{"id":1,"name":"Subdivision","value":"EC"},{"id":4,"name":"Milepost","value":"23.3311"},{"id":17,"name":"Train ID","value":"213-26"},{"id":16,"name":"Locomotive ID","value":"4040"},{"id":130,"name":"Impact","value":""},{"id":150,"name":"Time of Event (Mountain Time)","value":"18:22:43"},{"id":151,"name":"Denver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4040 --day 2017-08-26</v>
      </c>
      <c r="AN125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756</v>
      </c>
      <c r="B126" s="7">
        <v>4039</v>
      </c>
      <c r="C126" s="21" t="s">
        <v>197</v>
      </c>
      <c r="D126" s="21" t="s">
        <v>895</v>
      </c>
      <c r="E126" s="13">
        <v>42973.774305555555</v>
      </c>
      <c r="F126" s="13">
        <v>42973.779432870368</v>
      </c>
      <c r="G126" s="7">
        <v>1</v>
      </c>
      <c r="H126" s="21" t="s">
        <v>338</v>
      </c>
      <c r="I126" s="13">
        <v>42973.807928240742</v>
      </c>
      <c r="J126" s="7">
        <v>0</v>
      </c>
      <c r="K126" s="89" t="str">
        <f t="shared" si="26"/>
        <v>4039/4040</v>
      </c>
      <c r="L126" s="217" t="str">
        <f>VLOOKUP(A126,'Trips&amp;Operators'!$C$1:$G$99911,5,FALSE)</f>
        <v>YANG JAN</v>
      </c>
      <c r="M126" s="6">
        <f t="shared" si="27"/>
        <v>2.849537037400296E-2</v>
      </c>
      <c r="N126" s="7">
        <f t="shared" si="44"/>
        <v>41.033333338564262</v>
      </c>
      <c r="O126" s="7"/>
      <c r="P126" s="7"/>
      <c r="Q126" s="22"/>
      <c r="R126" s="170"/>
      <c r="S126" s="213">
        <f t="shared" si="45"/>
        <v>1</v>
      </c>
      <c r="T126" s="195" t="str">
        <f t="shared" si="30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-08-26T17:35:00-0600',mode:absolute,to:'2017-08-26T20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97" t="str">
        <f>IF(AA126&lt;VLOOKUP(AG126,Variables!$AC$3:$AD$8,2,FALSE),"Y","N")</f>
        <v>N</v>
      </c>
      <c r="X126" s="197">
        <f t="shared" si="46"/>
        <v>1</v>
      </c>
      <c r="Y126" s="197">
        <f t="shared" si="47"/>
        <v>23.3003</v>
      </c>
      <c r="Z126" s="197">
        <f t="shared" si="34"/>
        <v>1.4999999999999999E-2</v>
      </c>
      <c r="AA126" s="197">
        <f t="shared" si="35"/>
        <v>23.285299999999999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36"/>
        <v>214</v>
      </c>
      <c r="AE126" s="77" t="str">
        <f t="shared" si="37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26" s="74" t="str">
        <f t="shared" si="38"/>
        <v>"C:\Program Files (x86)\AstroGrep\AstroGrep.exe" /e /r /s /spath="%USERPROFILE%\AppData\Local\Temp\OnboardLogs" /stypes="app*4039*20170827*" /stext=" 01:.+((SYSTEM_STATE.+slice.+state.+changed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214-26 --locoid 4039 --swversion DE.1.0.9.0 --startMP 204:233003 --initTime 2017-08-26T18:35:00 --startdatetime 2017-08-26T18:42:23 --delay 1 --endMP 204:150 --enddatetime 2017-08-26T19:23:25 --enforcementcount 0 &gt;&gt;C:\Users\stu\Documents\GitHub\eaglep3-reporting\EC\2017-08-26-refined-times.txt</v>
      </c>
      <c r="AI12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{"issue":{"subject":"","project_id":79,"tracker_id":40,"status_id":1,"priority_id":2,"assigned_to_id":23,"start_date":"2017-08-26","description":"","custom_fields":[{"id":1,"name":"Subdivision","value":"EC"},{"id":4,"name":"Milepost","value":"0.015"},{"id":17,"name":"Train ID","value":"214-26"},{"id":16,"name":"Locomotive ID","value":"4039"},{"id":130,"name":"Impact","value":""},{"id":150,"name":"Time of Event (Mountain Time)","value":"19:23:25"},{"id":151,"name":"Denver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4039 --day 2017-08-26</v>
      </c>
      <c r="AN126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750</v>
      </c>
      <c r="B127" s="7">
        <v>4062</v>
      </c>
      <c r="C127" s="21" t="s">
        <v>197</v>
      </c>
      <c r="D127" s="21" t="s">
        <v>896</v>
      </c>
      <c r="E127" s="13">
        <v>42973.75372685185</v>
      </c>
      <c r="F127" s="13">
        <v>42973.754490740743</v>
      </c>
      <c r="G127" s="7">
        <v>0</v>
      </c>
      <c r="H127" s="21" t="s">
        <v>877</v>
      </c>
      <c r="I127" s="13">
        <v>42973.775416666664</v>
      </c>
      <c r="J127" s="7">
        <v>0</v>
      </c>
      <c r="K127" s="89" t="str">
        <f t="shared" si="26"/>
        <v>4061/4062</v>
      </c>
      <c r="L127" s="217" t="str">
        <f>VLOOKUP(A127,'Trips&amp;Operators'!$C$1:$G$99911,5,FALSE)</f>
        <v>HOLCOMB KAMDEN</v>
      </c>
      <c r="M127" s="6">
        <f t="shared" si="27"/>
        <v>2.0925925920892041E-2</v>
      </c>
      <c r="N127" s="7"/>
      <c r="O127" s="7"/>
      <c r="P127" s="7">
        <f>24*60*SUM($M127:$M127)</f>
        <v>30.133333326084539</v>
      </c>
      <c r="Q127" s="22"/>
      <c r="R127" s="170" t="s">
        <v>961</v>
      </c>
      <c r="S127" s="213">
        <f t="shared" si="45"/>
        <v>1</v>
      </c>
      <c r="T127" s="195" t="str">
        <f t="shared" si="30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-08-26T17:05:22-0600',mode:absolute,to:'2017-08-26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7" s="197" t="str">
        <f>IF(AA127&lt;VLOOKUP(AG127,Variables!$AC$3:$AD$8,2,FALSE),"Y","N")</f>
        <v>Y</v>
      </c>
      <c r="X127" s="197">
        <f t="shared" si="46"/>
        <v>1</v>
      </c>
      <c r="Y127" s="197">
        <f t="shared" si="47"/>
        <v>1.9123000000000001</v>
      </c>
      <c r="Z127" s="197">
        <f t="shared" si="34"/>
        <v>23.333400000000001</v>
      </c>
      <c r="AA127" s="197">
        <f t="shared" si="35"/>
        <v>21.421100000000003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36"/>
        <v>215</v>
      </c>
      <c r="AE127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127" s="74" t="str">
        <f t="shared" si="38"/>
        <v>"C:\Program Files (x86)\AstroGrep\AstroGrep.exe" /e /r /s /spath="%USERPROFILE%\AppData\Local\Temp\OnboardLogs" /stypes="app*4062*20170827*" /stext=" 00:.+((SYSTEM_STATE.+slice.+state.+changed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215-26 --locoid 4062 --swversion DE.1.0.9.0 --startMP 204:19123 --initTime 2017-08-26T18:05:22 --startdatetime 2017-08-26T18:06:28 --delay 0 --endMP 204:233334 --enddatetime 2017-08-26T18:36:36 --enforcementcount 0 &gt;&gt;C:\Users\stu\Documents\GitHub\eaglep3-reporting\EC\2017-08-26-refined-times.txt</v>
      </c>
      <c r="AI127" s="96" t="str">
        <f t="shared" si="41"/>
        <v>echo {"issue":{"subject":"Poor GPS at DUS","project_id":79,"tracker_id":40,"status_id":1,"priority_id":2,"assigned_to_id":23,"start_date":"2017-08-26","description":"","custom_fields":[{"id":1,"name":"Subdivision","value":"EC"},{"id":4,"name":"Milepost","value":"23.3334"},{"id":17,"name":"Train ID","value":"215-26"},{"id":16,"name":"Locomotive ID","value":"4062"},{"id":130,"name":"Impact","value":""},{"id":150,"name":"Time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4062 --day 2017-08-26</v>
      </c>
      <c r="AN127" s="151" t="str">
        <f t="shared" si="43"/>
        <v>echo {"issue":{"subject":"Poor GPS at DUS","project_id":30,"tracker_id":4,"status_id":1,"priority_id":1,"assigned_to_id":10,"start_date":"2017-08-27","description":"","custom_fields":[{"id":30,"name":"Category","value":"Issue"},{"id":3,"name":"Functional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750</v>
      </c>
      <c r="B128" s="7">
        <v>4062</v>
      </c>
      <c r="C128" s="21" t="s">
        <v>197</v>
      </c>
      <c r="D128" s="21" t="s">
        <v>538</v>
      </c>
      <c r="E128" s="13">
        <v>42973.747476851851</v>
      </c>
      <c r="F128" s="13">
        <v>42973.754490740743</v>
      </c>
      <c r="G128" s="7">
        <v>1</v>
      </c>
      <c r="H128" s="21" t="s">
        <v>367</v>
      </c>
      <c r="I128" s="13">
        <v>42973.775416666664</v>
      </c>
      <c r="J128" s="7">
        <v>0</v>
      </c>
      <c r="K128" s="89" t="str">
        <f t="shared" si="26"/>
        <v>4061/4062</v>
      </c>
      <c r="L128" s="217" t="str">
        <f>VLOOKUP(A128,'Trips&amp;Operators'!$C$1:$G$99911,5,FALSE)</f>
        <v>HOLCOMB KAMDEN</v>
      </c>
      <c r="M128" s="6">
        <f t="shared" si="27"/>
        <v>2.0925925920892041E-2</v>
      </c>
      <c r="N128" s="7"/>
      <c r="O128" s="7"/>
      <c r="P128" s="7"/>
      <c r="Q128" s="22"/>
      <c r="R128" s="170"/>
      <c r="S128" s="213"/>
      <c r="T128" s="195" t="str">
        <f t="shared" si="30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-08-26T16:56:22-0600',mode:absolute,to:'2017-08-26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8" s="197" t="str">
        <f>IF(AA128&lt;VLOOKUP(AG128,Variables!$AC$3:$AD$8,2,FALSE),"Y","N")</f>
        <v>Y</v>
      </c>
      <c r="X128" s="197">
        <f t="shared" si="46"/>
        <v>0</v>
      </c>
      <c r="Y128" s="197">
        <f t="shared" si="47"/>
        <v>4.7699999999999999E-2</v>
      </c>
      <c r="Z128" s="197">
        <f t="shared" si="34"/>
        <v>4.58E-2</v>
      </c>
      <c r="AA128" s="197">
        <f t="shared" si="35"/>
        <v>1.8999999999999989E-3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36"/>
        <v>215</v>
      </c>
      <c r="AE128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128" s="74" t="str">
        <f t="shared" si="38"/>
        <v>"C:\Program Files (x86)\AstroGrep\AstroGrep.exe" /e /r /s /spath="%USERPROFILE%\AppData\Local\Temp\OnboardLogs" /stypes="app*4062*20170827*"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215-26 --locoid 4062 --swversion DE.1.0.9.0 --startMP 204:477 --initTime 2017-08-26T17:56:22 --startdatetime 2017-08-26T18:06:28 --delay 1 --endMP 204:458 --enddatetime 2017-08-26T18:36:36 --enforcementcount 0 &gt;&gt;C:\Users\stu\Documents\GitHub\eaglep3-reporting\EC\2017-08-26-refined-times.txt</v>
      </c>
      <c r="AI12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{"issue":{"subject":"","project_id":79,"tracker_id":40,"status_id":1,"priority_id":2,"assigned_to_id":23,"start_date":"2017-08-26","description":"","custom_fields":[{"id":1,"name":"Subdivision","value":"EC"},{"id":4,"name":"Milepost","value":"0.0458"},{"id":17,"name":"Train ID","value":"215-26"},{"id":16,"name":"Locomotive ID","value":"4062"},{"id":130,"name":"Impact","value":""},{"id":150,"name":"Time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4062 --day 2017-08-26</v>
      </c>
      <c r="AN128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581</v>
      </c>
      <c r="B129" s="7">
        <v>4061</v>
      </c>
      <c r="C129" s="21" t="s">
        <v>197</v>
      </c>
      <c r="D129" s="21" t="s">
        <v>886</v>
      </c>
      <c r="E129" s="13">
        <v>42973.78564814815</v>
      </c>
      <c r="F129" s="13">
        <v>42973.789965277778</v>
      </c>
      <c r="G129" s="7">
        <v>1</v>
      </c>
      <c r="H129" s="21" t="s">
        <v>897</v>
      </c>
      <c r="I129" s="13">
        <v>42973.817615740743</v>
      </c>
      <c r="J129" s="7">
        <v>0</v>
      </c>
      <c r="K129" s="89" t="str">
        <f t="shared" si="26"/>
        <v>4061/4062</v>
      </c>
      <c r="L129" s="217" t="str">
        <f>VLOOKUP(A129,'Trips&amp;Operators'!$C$1:$G$99911,5,FALSE)</f>
        <v>HOLCOMB KAMDEN</v>
      </c>
      <c r="M129" s="6">
        <f t="shared" si="27"/>
        <v>2.7650462965539191E-2</v>
      </c>
      <c r="N129" s="7">
        <f t="shared" ref="N129:N158" si="48">24*60*SUM($M129:$M129)</f>
        <v>39.816666670376435</v>
      </c>
      <c r="O129" s="7"/>
      <c r="P129" s="7"/>
      <c r="Q129" s="22"/>
      <c r="R129" s="170"/>
      <c r="S129" s="213">
        <f t="shared" ref="S129:S159" si="49">1/IF(AG129="EC",12,1)*SUM(U129:U129)</f>
        <v>1</v>
      </c>
      <c r="T129" s="195" t="str">
        <f t="shared" si="30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-08-26T17:51:20-0600',mode:absolute,to:'2017-08-26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9" s="197" t="str">
        <f>IF(AA129&lt;VLOOKUP(AG129,Variables!$AC$3:$AD$8,2,FALSE),"Y","N")</f>
        <v>N</v>
      </c>
      <c r="X129" s="197">
        <f t="shared" si="46"/>
        <v>1</v>
      </c>
      <c r="Y129" s="197">
        <f t="shared" si="47"/>
        <v>23.301500000000001</v>
      </c>
      <c r="Z129" s="197">
        <f t="shared" si="34"/>
        <v>0.18379999999999999</v>
      </c>
      <c r="AA129" s="197">
        <f t="shared" si="35"/>
        <v>23.117699999999999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36"/>
        <v>216</v>
      </c>
      <c r="AE129" s="77" t="str">
        <f t="shared" si="37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129" s="74" t="str">
        <f t="shared" si="38"/>
        <v>"C:\Program Files (x86)\AstroGrep\AstroGrep.exe" /e /r /s /spath="%USERPROFILE%\AppData\Local\Temp\OnboardLogs" /stypes="app*4061*20170827*"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216-26 --locoid 4061 --swversion DE.1.0.9.0 --startMP 204:233015 --initTime 2017-08-26T18:51:20 --startdatetime 2017-08-26T18:57:33 --delay 1 --endMP 204:1838 --enddatetime 2017-08-26T19:37:22 --enforcementcount 0 &gt;&gt;C:\Users\stu\Documents\GitHub\eaglep3-reporting\EC\2017-08-26-refined-times.txt</v>
      </c>
      <c r="AI12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{"issue":{"subject":"","project_id":79,"tracker_id":40,"status_id":1,"priority_id":2,"assigned_to_id":23,"start_date":"2017-08-26","description":"","custom_fields":[{"id":1,"name":"Subdivision","value":"EC"},{"id":4,"name":"Milepost","value":"0.1838"},{"id":17,"name":"Train ID","value":"216-26"},{"id":16,"name":"Locomotive ID","value":"4061"},{"id":130,"name":"Impact","value":""},{"id":150,"name":"Time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4061 --day 2017-08-26</v>
      </c>
      <c r="AN129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754</v>
      </c>
      <c r="B130" s="7">
        <v>4066</v>
      </c>
      <c r="C130" s="21" t="s">
        <v>197</v>
      </c>
      <c r="D130" s="21" t="s">
        <v>344</v>
      </c>
      <c r="E130" s="13">
        <v>42973.759328703702</v>
      </c>
      <c r="F130" s="13">
        <v>42973.760914351849</v>
      </c>
      <c r="G130" s="7">
        <v>1</v>
      </c>
      <c r="H130" s="21" t="s">
        <v>898</v>
      </c>
      <c r="I130" s="13">
        <v>42973.787893518522</v>
      </c>
      <c r="J130" s="7">
        <v>0</v>
      </c>
      <c r="K130" s="89" t="str">
        <f t="shared" si="26"/>
        <v>4065/4066</v>
      </c>
      <c r="L130" s="217" t="str">
        <f>VLOOKUP(A130,'Trips&amp;Operators'!$C$1:$G$99911,5,FALSE)</f>
        <v>PERKINS DARREN</v>
      </c>
      <c r="M130" s="6">
        <f t="shared" si="27"/>
        <v>2.697916667239042E-2</v>
      </c>
      <c r="N130" s="7">
        <f t="shared" si="48"/>
        <v>38.850000008242205</v>
      </c>
      <c r="O130" s="7"/>
      <c r="P130" s="7"/>
      <c r="Q130" s="22"/>
      <c r="R130" s="170"/>
      <c r="S130" s="213">
        <f t="shared" si="49"/>
        <v>1</v>
      </c>
      <c r="T130" s="195" t="str">
        <f t="shared" si="30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-08-26T17:13:26-0600',mode:absolute,to:'2017-08-26T19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0" s="197" t="str">
        <f>IF(AA130&lt;VLOOKUP(AG130,Variables!$AC$3:$AD$8,2,FALSE),"Y","N")</f>
        <v>N</v>
      </c>
      <c r="X130" s="197">
        <f t="shared" si="46"/>
        <v>1</v>
      </c>
      <c r="Y130" s="197">
        <f t="shared" si="47"/>
        <v>4.4699999999999997E-2</v>
      </c>
      <c r="Z130" s="197">
        <f t="shared" si="34"/>
        <v>23.344100000000001</v>
      </c>
      <c r="AA130" s="197">
        <f t="shared" si="35"/>
        <v>23.299400000000002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36"/>
        <v>217</v>
      </c>
      <c r="AE130" s="77" t="str">
        <f t="shared" si="37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30" s="74" t="str">
        <f t="shared" si="38"/>
        <v>"C:\Program Files (x86)\AstroGrep\AstroGrep.exe" /e /r /s /spath="%USERPROFILE%\AppData\Local\Temp\OnboardLogs" /stypes="app*4066*20170827*"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217-26 --locoid 4066 --swversion DE.1.0.9.0 --startMP 204:447 --initTime 2017-08-26T18:13:26 --startdatetime 2017-08-26T18:15:43 --delay 1 --endMP 204:233441 --enddatetime 2017-08-26T18:54:34 --enforcementcount 0 &gt;&gt;C:\Users\stu\Documents\GitHub\eaglep3-reporting\EC\2017-08-26-refined-times.txt</v>
      </c>
      <c r="AI130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{"issue":{"subject":"","project_id":79,"tracker_id":40,"status_id":1,"priority_id":2,"assigned_to_id":23,"start_date":"2017-08-26","description":"","custom_fields":[{"id":1,"name":"Subdivision","value":"EC"},{"id":4,"name":"Milepost","value":"23.3441"},{"id":17,"name":"Train ID","value":"217-26"},{"id":16,"name":"Locomotive ID","value":"4066"},{"id":130,"name":"Impact","value":""},{"id":150,"name":"Time of Event (Mountain Time)","value":"18:54:34"},{"id":151,"name":"Denver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4066 --day 2017-08-26</v>
      </c>
      <c r="AN130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761</v>
      </c>
      <c r="B131" s="7">
        <v>4065</v>
      </c>
      <c r="C131" s="21" t="s">
        <v>197</v>
      </c>
      <c r="D131" s="21" t="s">
        <v>899</v>
      </c>
      <c r="E131" s="13">
        <v>42973.792939814812</v>
      </c>
      <c r="F131" s="13">
        <v>42973.800196759257</v>
      </c>
      <c r="G131" s="7">
        <v>1</v>
      </c>
      <c r="H131" s="21" t="s">
        <v>481</v>
      </c>
      <c r="I131" s="13">
        <v>42973.827766203707</v>
      </c>
      <c r="J131" s="7">
        <v>0</v>
      </c>
      <c r="K131" s="89" t="str">
        <f t="shared" si="26"/>
        <v>4065/4066</v>
      </c>
      <c r="L131" s="217" t="str">
        <f>VLOOKUP(A131,'Trips&amp;Operators'!$C$1:$G$99911,5,FALSE)</f>
        <v>PERKINS DARREN</v>
      </c>
      <c r="M131" s="6">
        <f t="shared" si="27"/>
        <v>2.7569444449909497E-2</v>
      </c>
      <c r="N131" s="7">
        <f t="shared" si="48"/>
        <v>39.700000007869676</v>
      </c>
      <c r="O131" s="7"/>
      <c r="P131" s="7"/>
      <c r="Q131" s="22"/>
      <c r="R131" s="170"/>
      <c r="S131" s="213">
        <f t="shared" si="49"/>
        <v>1</v>
      </c>
      <c r="T131" s="195" t="str">
        <f t="shared" si="30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-08-26T18:01:50-0600',mode:absolute,to:'2017-08-26T20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1" s="197" t="str">
        <f>IF(AA131&lt;VLOOKUP(AG131,Variables!$AC$3:$AD$8,2,FALSE),"Y","N")</f>
        <v>N</v>
      </c>
      <c r="X131" s="197">
        <f t="shared" si="46"/>
        <v>1</v>
      </c>
      <c r="Y131" s="197">
        <f t="shared" si="47"/>
        <v>23.307400000000001</v>
      </c>
      <c r="Z131" s="197">
        <f t="shared" si="34"/>
        <v>1.32E-2</v>
      </c>
      <c r="AA131" s="197">
        <f t="shared" si="35"/>
        <v>23.2942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36"/>
        <v>218</v>
      </c>
      <c r="AE131" s="77" t="str">
        <f t="shared" si="37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31" s="74" t="str">
        <f t="shared" si="38"/>
        <v>"C:\Program Files (x86)\AstroGrep\AstroGrep.exe" /e /r /s /spath="%USERPROFILE%\AppData\Local\Temp\OnboardLogs" /stypes="app*4065*20170827*"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218-26 --locoid 4065 --swversion DE.1.0.9.0 --startMP 204:233074 --initTime 2017-08-26T19:01:50 --startdatetime 2017-08-26T19:12:17 --delay 1 --endMP 204:132 --enddatetime 2017-08-26T19:51:59 --enforcementcount 0 &gt;&gt;C:\Users\stu\Documents\GitHub\eaglep3-reporting\EC\2017-08-26-refined-times.txt</v>
      </c>
      <c r="AI13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{"issue":{"subject":"","project_id":79,"tracker_id":40,"status_id":1,"priority_id":2,"assigned_to_id":23,"start_date":"2017-08-26","description":"","custom_fields":[{"id":1,"name":"Subdivision","value":"EC"},{"id":4,"name":"Milepost","value":"0.0132"},{"id":17,"name":"Train ID","value":"218-26"},{"id":16,"name":"Locomotive ID","value":"4065"},{"id":130,"name":"Impact","value":""},{"id":150,"name":"Time of Event (Mountain Time)","value":"19:51:59"},{"id":151,"name":"Denver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4065 --day 2017-08-26</v>
      </c>
      <c r="AN131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755</v>
      </c>
      <c r="B132" s="7">
        <v>4044</v>
      </c>
      <c r="C132" s="21" t="s">
        <v>197</v>
      </c>
      <c r="D132" s="21" t="s">
        <v>900</v>
      </c>
      <c r="E132" s="13">
        <v>42973.765729166669</v>
      </c>
      <c r="F132" s="13">
        <v>42973.771412037036</v>
      </c>
      <c r="G132" s="7">
        <v>2</v>
      </c>
      <c r="H132" s="21" t="s">
        <v>830</v>
      </c>
      <c r="I132" s="13">
        <v>42973.796967592592</v>
      </c>
      <c r="J132" s="7">
        <v>0</v>
      </c>
      <c r="K132" s="89" t="str">
        <f t="shared" si="26"/>
        <v>4043/4044</v>
      </c>
      <c r="L132" s="217" t="str">
        <f>VLOOKUP(A132,'Trips&amp;Operators'!$C$1:$G$99911,5,FALSE)</f>
        <v>FORTUNATO FRANK</v>
      </c>
      <c r="M132" s="6">
        <f t="shared" si="27"/>
        <v>2.5555555555911269E-2</v>
      </c>
      <c r="N132" s="7">
        <f t="shared" si="48"/>
        <v>36.800000000512227</v>
      </c>
      <c r="O132" s="7"/>
      <c r="P132" s="7"/>
      <c r="Q132" s="22"/>
      <c r="R132" s="170"/>
      <c r="S132" s="213">
        <f t="shared" si="49"/>
        <v>1</v>
      </c>
      <c r="T132" s="195" t="str">
        <f t="shared" si="30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-08-26T17:22:39-0600',mode:absolute,to:'2017-08-26T20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97" t="str">
        <f>IF(AA132&lt;VLOOKUP(AG132,Variables!$AC$3:$AD$8,2,FALSE),"Y","N")</f>
        <v>N</v>
      </c>
      <c r="X132" s="197">
        <f t="shared" si="46"/>
        <v>1</v>
      </c>
      <c r="Y132" s="197">
        <f t="shared" si="47"/>
        <v>4.2900000000000001E-2</v>
      </c>
      <c r="Z132" s="197">
        <f t="shared" si="34"/>
        <v>23.3338</v>
      </c>
      <c r="AA132" s="197">
        <f t="shared" si="35"/>
        <v>23.290900000000001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36"/>
        <v>219</v>
      </c>
      <c r="AE132" s="77" t="str">
        <f t="shared" si="37"/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AF132" s="74" t="str">
        <f t="shared" si="38"/>
        <v>"C:\Program Files (x86)\AstroGrep\AstroGrep.exe" /e /r /s /spath="%USERPROFILE%\AppData\Local\Temp\OnboardLogs" /stypes="app*4044*20170827*"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219-26 --locoid 4044 --swversion DE.1.0.9.0 --startMP 204:429 --initTime 2017-08-26T18:22:39 --startdatetime 2017-08-26T18:30:50 --delay 2 --endMP 204:233338 --enddatetime 2017-08-26T19:07:38 --enforcementcount 0 &gt;&gt;C:\Users\stu\Documents\GitHub\eaglep3-reporting\EC\2017-08-26-refined-times.txt</v>
      </c>
      <c r="AI132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{"issue":{"subject":"","project_id":79,"tracker_id":40,"status_id":1,"priority_id":2,"assigned_to_id":23,"start_date":"2017-08-26","description":"","custom_fields":[{"id":1,"name":"Subdivision","value":"EC"},{"id":4,"name":"Milepost","value":"23.3338"},{"id":17,"name":"Train ID","value":"219-26"},{"id":16,"name":"Locomotive ID","value":"4044"},{"id":130,"name":"Impact","value":""},{"id":150,"name":"Time of Event (Mountain Time)","value":"19:07:38"},{"id":151,"name":"Denver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4044 --day 2017-08-26</v>
      </c>
      <c r="AN132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583</v>
      </c>
      <c r="B133" s="7">
        <v>4043</v>
      </c>
      <c r="C133" s="21" t="s">
        <v>197</v>
      </c>
      <c r="D133" s="21" t="s">
        <v>901</v>
      </c>
      <c r="E133" s="13">
        <v>42973.800671296296</v>
      </c>
      <c r="F133" s="13">
        <v>42973.812048611115</v>
      </c>
      <c r="G133" s="7">
        <v>1</v>
      </c>
      <c r="H133" s="21" t="s">
        <v>820</v>
      </c>
      <c r="I133" s="13">
        <v>42973.839618055557</v>
      </c>
      <c r="J133" s="7">
        <v>0</v>
      </c>
      <c r="K133" s="89" t="str">
        <f t="shared" si="26"/>
        <v>4043/4044</v>
      </c>
      <c r="L133" s="217" t="str">
        <f>VLOOKUP(A133,'Trips&amp;Operators'!$C$1:$G$99911,5,FALSE)</f>
        <v>FORTUNATO FRANK</v>
      </c>
      <c r="M133" s="6">
        <f t="shared" si="27"/>
        <v>2.7569444442633539E-2</v>
      </c>
      <c r="N133" s="7">
        <f t="shared" si="48"/>
        <v>39.699999997392297</v>
      </c>
      <c r="O133" s="7"/>
      <c r="P133" s="7"/>
      <c r="Q133" s="22"/>
      <c r="R133" s="170"/>
      <c r="S133" s="213">
        <f t="shared" si="49"/>
        <v>1</v>
      </c>
      <c r="T133" s="195" t="str">
        <f t="shared" si="30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-08-26T18:12:58-0600',mode:absolute,to:'2017-08-26T21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97" t="str">
        <f>IF(AA133&lt;VLOOKUP(AG133,Variables!$AC$3:$AD$8,2,FALSE),"Y","N")</f>
        <v>N</v>
      </c>
      <c r="X133" s="197">
        <f t="shared" si="46"/>
        <v>1</v>
      </c>
      <c r="Y133" s="197">
        <f t="shared" si="47"/>
        <v>23.302499999999998</v>
      </c>
      <c r="Z133" s="197">
        <f t="shared" si="34"/>
        <v>1.7000000000000001E-2</v>
      </c>
      <c r="AA133" s="197">
        <f t="shared" si="35"/>
        <v>23.285499999999999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36"/>
        <v>220</v>
      </c>
      <c r="AE133" s="77" t="str">
        <f t="shared" si="37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133" s="74" t="str">
        <f t="shared" si="38"/>
        <v>"C:\Program Files (x86)\AstroGrep\AstroGrep.exe" /e /r /s /spath="%USERPROFILE%\AppData\Local\Temp\OnboardLogs" /stypes="app*4043*20170827*"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220-26 --locoid 4043 --swversion DE.1.0.9.0 --startMP 204:233025 --initTime 2017-08-26T19:12:58 --startdatetime 2017-08-26T19:29:21 --delay 1 --endMP 204:170 --enddatetime 2017-08-26T20:09:03 --enforcementcount 0 &gt;&gt;C:\Users\stu\Documents\GitHub\eaglep3-reporting\EC\2017-08-26-refined-times.txt</v>
      </c>
      <c r="AI133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{"issue":{"subject":"","project_id":79,"tracker_id":40,"status_id":1,"priority_id":2,"assigned_to_id":23,"start_date":"2017-08-26","description":"","custom_fields":[{"id":1,"name":"Subdivision","value":"EC"},{"id":4,"name":"Milepost","value":"0.017"},{"id":17,"name":"Train ID","value":"220-26"},{"id":16,"name":"Locomotive ID","value":"4043"},{"id":130,"name":"Impact","value":""},{"id":150,"name":"Time of Event (Mountain Time)","value":"20:09:03"},{"id":151,"name":"Denver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4043 --day 2017-08-26</v>
      </c>
      <c r="AN133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759</v>
      </c>
      <c r="B134" s="7">
        <v>4008</v>
      </c>
      <c r="C134" s="21" t="s">
        <v>197</v>
      </c>
      <c r="D134" s="21" t="s">
        <v>372</v>
      </c>
      <c r="E134" s="13">
        <v>42973.789884259262</v>
      </c>
      <c r="F134" s="13">
        <v>42973.792210648149</v>
      </c>
      <c r="G134" s="7">
        <v>2</v>
      </c>
      <c r="H134" s="21" t="s">
        <v>539</v>
      </c>
      <c r="I134" s="13">
        <v>42973.818912037037</v>
      </c>
      <c r="J134" s="7">
        <v>0</v>
      </c>
      <c r="K134" s="89" t="str">
        <f t="shared" si="26"/>
        <v>4007/4008</v>
      </c>
      <c r="L134" s="217" t="str">
        <f>VLOOKUP(A134,'Trips&amp;Operators'!$C$1:$G$99911,5,FALSE)</f>
        <v>RESPASS AARON</v>
      </c>
      <c r="M134" s="6">
        <f t="shared" si="27"/>
        <v>2.6701388887886424E-2</v>
      </c>
      <c r="N134" s="7">
        <f t="shared" si="48"/>
        <v>38.44999999855645</v>
      </c>
      <c r="O134" s="7"/>
      <c r="P134" s="7"/>
      <c r="Q134" s="22"/>
      <c r="R134" s="170"/>
      <c r="S134" s="213">
        <f t="shared" si="49"/>
        <v>1</v>
      </c>
      <c r="T134" s="195" t="str">
        <f t="shared" si="30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-08-26T17:57:26-0600',mode:absolute,to:'2017-08-26T20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4" s="197" t="str">
        <f>IF(AA134&lt;VLOOKUP(AG134,Variables!$AC$3:$AD$8,2,FALSE),"Y","N")</f>
        <v>N</v>
      </c>
      <c r="X134" s="197">
        <f t="shared" si="46"/>
        <v>1</v>
      </c>
      <c r="Y134" s="197">
        <f t="shared" si="47"/>
        <v>4.5699999999999998E-2</v>
      </c>
      <c r="Z134" s="197">
        <f t="shared" si="34"/>
        <v>23.330400000000001</v>
      </c>
      <c r="AA134" s="197">
        <f t="shared" si="35"/>
        <v>23.284700000000001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36"/>
        <v>221</v>
      </c>
      <c r="AE134" s="77" t="str">
        <f t="shared" si="37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34" s="74" t="str">
        <f t="shared" si="38"/>
        <v>"C:\Program Files (x86)\AstroGrep\AstroGrep.exe" /e /r /s /spath="%USERPROFILE%\AppData\Local\Temp\OnboardLogs" /stypes="app*4008*20170827*"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221-26 --locoid 4008 --swversion DE.1.0.9.0 --startMP 204:457 --initTime 2017-08-26T18:57:26 --startdatetime 2017-08-26T19:00:47 --delay 2 --endMP 204:233304 --enddatetime 2017-08-26T19:39:14 --enforcementcount 0 &gt;&gt;C:\Users\stu\Documents\GitHub\eaglep3-reporting\EC\2017-08-26-refined-times.txt</v>
      </c>
      <c r="AI134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{"issue":{"subject":"","project_id":79,"tracker_id":40,"status_id":1,"priority_id":2,"assigned_to_id":23,"start_date":"2017-08-26","description":"","custom_fields":[{"id":1,"name":"Subdivision","value":"EC"},{"id":4,"name":"Milepost","value":"23.3304"},{"id":17,"name":"Train ID","value":"221-26"},{"id":16,"name":"Locomotive ID","value":"4008"},{"id":130,"name":"Impact","value":""},{"id":150,"name":"Time of Event (Mountain Time)","value":"19:39:14"},{"id":151,"name":"Denver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4008 --day 2017-08-26</v>
      </c>
      <c r="AN134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764</v>
      </c>
      <c r="B135" s="7">
        <v>4007</v>
      </c>
      <c r="C135" s="21" t="s">
        <v>197</v>
      </c>
      <c r="D135" s="21" t="s">
        <v>421</v>
      </c>
      <c r="E135" s="13">
        <v>42973.823171296295</v>
      </c>
      <c r="F135" s="13">
        <v>42973.831435185188</v>
      </c>
      <c r="G135" s="7">
        <v>1</v>
      </c>
      <c r="H135" s="21" t="s">
        <v>902</v>
      </c>
      <c r="I135" s="13">
        <v>42973.860439814816</v>
      </c>
      <c r="J135" s="7">
        <v>0</v>
      </c>
      <c r="K135" s="89" t="str">
        <f t="shared" si="26"/>
        <v>4007/4008</v>
      </c>
      <c r="L135" s="217" t="str">
        <f>VLOOKUP(A135,'Trips&amp;Operators'!$C$1:$G$99911,5,FALSE)</f>
        <v>RESPASS AARON</v>
      </c>
      <c r="M135" s="6">
        <f t="shared" si="27"/>
        <v>2.9004629628616385E-2</v>
      </c>
      <c r="N135" s="7">
        <f t="shared" si="48"/>
        <v>41.766666665207595</v>
      </c>
      <c r="O135" s="7"/>
      <c r="P135" s="7"/>
      <c r="Q135" s="22"/>
      <c r="R135" s="170"/>
      <c r="S135" s="213">
        <f t="shared" si="49"/>
        <v>1</v>
      </c>
      <c r="T135" s="195" t="str">
        <f t="shared" si="30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-08-26T18:45:22-0600',mode:absolute,to:'2017-08-26T21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5" s="197" t="str">
        <f>IF(AA135&lt;VLOOKUP(AG135,Variables!$AC$3:$AD$8,2,FALSE),"Y","N")</f>
        <v>N</v>
      </c>
      <c r="X135" s="197">
        <f t="shared" si="46"/>
        <v>1</v>
      </c>
      <c r="Y135" s="197">
        <f t="shared" si="47"/>
        <v>23.297899999999998</v>
      </c>
      <c r="Z135" s="197">
        <f t="shared" si="34"/>
        <v>3.3799999999999997E-2</v>
      </c>
      <c r="AA135" s="197">
        <f t="shared" si="35"/>
        <v>23.264099999999999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36"/>
        <v>222</v>
      </c>
      <c r="AE135" s="77" t="str">
        <f t="shared" si="37"/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AF135" s="74" t="str">
        <f t="shared" si="38"/>
        <v>"C:\Program Files (x86)\AstroGrep\AstroGrep.exe" /e /r /s /spath="%USERPROFILE%\AppData\Local\Temp\OnboardLogs" /stypes="app*4007*20170827*"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222-26 --locoid 4007 --swversion DE.1.0.9.0 --startMP 204:232979 --initTime 2017-08-26T19:45:22 --startdatetime 2017-08-26T19:57:16 --delay 1 --endMP 204:338 --enddatetime 2017-08-26T20:39:02 --enforcementcount 0 &gt;&gt;C:\Users\stu\Documents\GitHub\eaglep3-reporting\EC\2017-08-26-refined-times.txt</v>
      </c>
      <c r="AI135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{"issue":{"subject":"","project_id":79,"tracker_id":40,"status_id":1,"priority_id":2,"assigned_to_id":23,"start_date":"2017-08-26","description":"","custom_fields":[{"id":1,"name":"Subdivision","value":"EC"},{"id":4,"name":"Milepost","value":"0.0338"},{"id":17,"name":"Train ID","value":"222-26"},{"id":16,"name":"Locomotive ID","value":"4007"},{"id":130,"name":"Impact","value":""},{"id":150,"name":"Time of Event (Mountain Time)","value":"20:39:02"},{"id":151,"name":"Denver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4007 --day 2017-08-26</v>
      </c>
      <c r="AN135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762</v>
      </c>
      <c r="B136" s="7">
        <v>4040</v>
      </c>
      <c r="C136" s="21" t="s">
        <v>197</v>
      </c>
      <c r="D136" s="21" t="s">
        <v>432</v>
      </c>
      <c r="E136" s="13">
        <v>42973.810034722221</v>
      </c>
      <c r="F136" s="13">
        <v>42973.813159722224</v>
      </c>
      <c r="G136" s="7">
        <v>1</v>
      </c>
      <c r="H136" s="21" t="s">
        <v>903</v>
      </c>
      <c r="I136" s="13">
        <v>42973.838078703702</v>
      </c>
      <c r="J136" s="7">
        <v>0</v>
      </c>
      <c r="K136" s="89" t="str">
        <f t="shared" si="26"/>
        <v>4039/4040</v>
      </c>
      <c r="L136" s="217" t="str">
        <f>VLOOKUP(A136,'Trips&amp;Operators'!$C$1:$G$99911,5,FALSE)</f>
        <v>YANG JAN</v>
      </c>
      <c r="M136" s="6">
        <f t="shared" si="27"/>
        <v>2.491898147854954E-2</v>
      </c>
      <c r="N136" s="7">
        <f t="shared" si="48"/>
        <v>35.883333329111338</v>
      </c>
      <c r="O136" s="7"/>
      <c r="P136" s="7"/>
      <c r="Q136" s="22"/>
      <c r="R136" s="170"/>
      <c r="S136" s="213">
        <f t="shared" si="49"/>
        <v>1</v>
      </c>
      <c r="T136" s="195" t="str">
        <f t="shared" si="30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-08-26T18:26:27-0600',mode:absolute,to:'2017-08-26T21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7" t="str">
        <f>IF(AA136&lt;VLOOKUP(AG136,Variables!$AC$3:$AD$8,2,FALSE),"Y","N")</f>
        <v>N</v>
      </c>
      <c r="X136" s="197">
        <f t="shared" si="46"/>
        <v>1</v>
      </c>
      <c r="Y136" s="197">
        <f t="shared" si="47"/>
        <v>4.6899999999999997E-2</v>
      </c>
      <c r="Z136" s="197">
        <f t="shared" si="34"/>
        <v>23.3291</v>
      </c>
      <c r="AA136" s="197">
        <f t="shared" si="35"/>
        <v>23.2822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36"/>
        <v>223</v>
      </c>
      <c r="AE136" s="77" t="str">
        <f t="shared" si="37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36" s="74" t="str">
        <f t="shared" si="38"/>
        <v>"C:\Program Files (x86)\AstroGrep\AstroGrep.exe" /e /r /s /spath="%USERPROFILE%\AppData\Local\Temp\OnboardLogs" /stypes="app*4040*20170827*"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223-26 --locoid 4040 --swversion DE.1.0.9.0 --startMP 204:469 --initTime 2017-08-26T19:26:27 --startdatetime 2017-08-26T19:30:57 --delay 1 --endMP 204:233291 --enddatetime 2017-08-26T20:06:50 --enforcementcount 0 &gt;&gt;C:\Users\stu\Documents\GitHub\eaglep3-reporting\EC\2017-08-26-refined-times.txt</v>
      </c>
      <c r="AI136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{"issue":{"subject":"","project_id":79,"tracker_id":40,"status_id":1,"priority_id":2,"assigned_to_id":23,"start_date":"2017-08-26","description":"","custom_fields":[{"id":1,"name":"Subdivision","value":"EC"},{"id":4,"name":"Milepost","value":"23.3291"},{"id":17,"name":"Train ID","value":"223-26"},{"id":16,"name":"Locomotive ID","value":"4040"},{"id":130,"name":"Impact","value":""},{"id":150,"name":"Time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4040 --day 2017-08-26</v>
      </c>
      <c r="AN136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769</v>
      </c>
      <c r="B137" s="7">
        <v>4039</v>
      </c>
      <c r="C137" s="21" t="s">
        <v>197</v>
      </c>
      <c r="D137" s="21" t="s">
        <v>531</v>
      </c>
      <c r="E137" s="13">
        <v>42973.847928240742</v>
      </c>
      <c r="F137" s="13">
        <v>42973.852384259262</v>
      </c>
      <c r="G137" s="7">
        <v>1</v>
      </c>
      <c r="H137" s="21" t="s">
        <v>369</v>
      </c>
      <c r="I137" s="13">
        <v>42973.878668981481</v>
      </c>
      <c r="J137" s="7">
        <v>0</v>
      </c>
      <c r="K137" s="89" t="str">
        <f t="shared" si="26"/>
        <v>4039/4040</v>
      </c>
      <c r="L137" s="217" t="str">
        <f>VLOOKUP(A137,'Trips&amp;Operators'!$C$1:$G$99911,5,FALSE)</f>
        <v>YANG JAN</v>
      </c>
      <c r="M137" s="6">
        <f t="shared" si="27"/>
        <v>2.6284722218406387E-2</v>
      </c>
      <c r="N137" s="7">
        <f t="shared" si="48"/>
        <v>37.849999994505197</v>
      </c>
      <c r="O137" s="7"/>
      <c r="P137" s="7"/>
      <c r="Q137" s="22"/>
      <c r="R137" s="170"/>
      <c r="S137" s="213">
        <f t="shared" si="49"/>
        <v>1</v>
      </c>
      <c r="T137" s="195" t="str">
        <f t="shared" si="30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-08-26T19:21:01-0600',mode:absolute,to:'2017-08-26T22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7" t="str">
        <f>IF(AA137&lt;VLOOKUP(AG137,Variables!$AC$3:$AD$8,2,FALSE),"Y","N")</f>
        <v>N</v>
      </c>
      <c r="X137" s="197">
        <f t="shared" si="46"/>
        <v>1</v>
      </c>
      <c r="Y137" s="197">
        <f t="shared" si="47"/>
        <v>23.2989</v>
      </c>
      <c r="Z137" s="197">
        <f t="shared" si="34"/>
        <v>1.52E-2</v>
      </c>
      <c r="AA137" s="197">
        <f t="shared" si="35"/>
        <v>23.2837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36"/>
        <v>224</v>
      </c>
      <c r="AE137" s="77" t="str">
        <f t="shared" si="37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37" s="74" t="str">
        <f t="shared" si="38"/>
        <v>"C:\Program Files (x86)\AstroGrep\AstroGrep.exe" /e /r /s /spath="%USERPROFILE%\AppData\Local\Temp\OnboardLogs" /stypes="app*4039*20170827*"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224-26 --locoid 4039 --swversion DE.1.0.9.0 --startMP 204:232989 --initTime 2017-08-26T20:21:01 --startdatetime 2017-08-26T20:27:26 --delay 1 --endMP 204:152 --enddatetime 2017-08-26T21:05:17 --enforcementcount 0 &gt;&gt;C:\Users\stu\Documents\GitHub\eaglep3-reporting\EC\2017-08-26-refined-times.txt</v>
      </c>
      <c r="AI137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{"issue":{"subject":"","project_id":79,"tracker_id":40,"status_id":1,"priority_id":2,"assigned_to_id":23,"start_date":"2017-08-26","description":"","custom_fields":[{"id":1,"name":"Subdivision","value":"EC"},{"id":4,"name":"Milepost","value":"0.0152"},{"id":17,"name":"Train ID","value":"224-26"},{"id":16,"name":"Locomotive ID","value":"4039"},{"id":130,"name":"Impact","value":""},{"id":150,"name":"Time of Event (Mountain Time)","value":"21:05:17"},{"id":151,"name":"Denver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4039 --day 2017-08-26</v>
      </c>
      <c r="AN137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765</v>
      </c>
      <c r="B138" s="7">
        <v>4066</v>
      </c>
      <c r="C138" s="21" t="s">
        <v>197</v>
      </c>
      <c r="D138" s="21" t="s">
        <v>397</v>
      </c>
      <c r="E138" s="13">
        <v>42973.829085648147</v>
      </c>
      <c r="F138" s="13">
        <v>42973.834004629629</v>
      </c>
      <c r="G138" s="7">
        <v>1</v>
      </c>
      <c r="H138" s="21" t="s">
        <v>816</v>
      </c>
      <c r="I138" s="13">
        <v>42973.859201388892</v>
      </c>
      <c r="J138" s="7">
        <v>0</v>
      </c>
      <c r="K138" s="89" t="str">
        <f t="shared" si="26"/>
        <v>4065/4066</v>
      </c>
      <c r="L138" s="217" t="str">
        <f>VLOOKUP(A138,'Trips&amp;Operators'!$C$1:$G$99911,5,FALSE)</f>
        <v>PERKINS DARREN</v>
      </c>
      <c r="M138" s="6">
        <f t="shared" si="27"/>
        <v>2.5196759263053536E-2</v>
      </c>
      <c r="N138" s="7">
        <f t="shared" si="48"/>
        <v>36.283333338797092</v>
      </c>
      <c r="O138" s="7"/>
      <c r="P138" s="7"/>
      <c r="Q138" s="22"/>
      <c r="R138" s="170"/>
      <c r="S138" s="213">
        <f t="shared" si="49"/>
        <v>1</v>
      </c>
      <c r="T138" s="195" t="str">
        <f t="shared" si="30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-08-26T18:53:53-0600',mode:absolute,to:'2017-08-26T21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8" s="197" t="str">
        <f>IF(AA138&lt;VLOOKUP(AG138,Variables!$AC$3:$AD$8,2,FALSE),"Y","N")</f>
        <v>N</v>
      </c>
      <c r="X138" s="197">
        <f t="shared" si="46"/>
        <v>1</v>
      </c>
      <c r="Y138" s="197">
        <f t="shared" si="47"/>
        <v>4.3999999999999997E-2</v>
      </c>
      <c r="Z138" s="197">
        <f t="shared" si="34"/>
        <v>23.334399999999999</v>
      </c>
      <c r="AA138" s="197">
        <f t="shared" si="35"/>
        <v>23.290399999999998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36"/>
        <v>225</v>
      </c>
      <c r="AE138" s="77" t="str">
        <f t="shared" si="37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38" s="74" t="str">
        <f t="shared" si="38"/>
        <v>"C:\Program Files (x86)\AstroGrep\AstroGrep.exe" /e /r /s /spath="%USERPROFILE%\AppData\Local\Temp\OnboardLogs" /stypes="app*4066*20170827*"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225-26 --locoid 4066 --swversion DE.1.0.9.0 --startMP 204:440 --initTime 2017-08-26T19:53:53 --startdatetime 2017-08-26T20:00:58 --delay 1 --endMP 204:233344 --enddatetime 2017-08-26T20:37:15 --enforcementcount 0 &gt;&gt;C:\Users\stu\Documents\GitHub\eaglep3-reporting\EC\2017-08-26-refined-times.txt</v>
      </c>
      <c r="AI138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{"issue":{"subject":"","project_id":79,"tracker_id":40,"status_id":1,"priority_id":2,"assigned_to_id":23,"start_date":"2017-08-26","description":"","custom_fields":[{"id":1,"name":"Subdivision","value":"EC"},{"id":4,"name":"Milepost","value":"23.3344"},{"id":17,"name":"Train ID","value":"225-26"},{"id":16,"name":"Locomotive ID","value":"4066"},{"id":130,"name":"Impact","value":""},{"id":150,"name":"Time of Event (Mountain Time)","value":"20:37:15"},{"id":151,"name":"Denver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4066 --day 2017-08-26</v>
      </c>
      <c r="AN138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771</v>
      </c>
      <c r="B139" s="7">
        <v>4065</v>
      </c>
      <c r="C139" s="21" t="s">
        <v>197</v>
      </c>
      <c r="D139" s="21" t="s">
        <v>904</v>
      </c>
      <c r="E139" s="13">
        <v>42973.860844907409</v>
      </c>
      <c r="F139" s="13">
        <v>42973.873148148145</v>
      </c>
      <c r="G139" s="7">
        <v>1</v>
      </c>
      <c r="H139" s="21" t="s">
        <v>842</v>
      </c>
      <c r="I139" s="13">
        <v>42973.903124999997</v>
      </c>
      <c r="J139" s="7">
        <v>0</v>
      </c>
      <c r="K139" s="89" t="str">
        <f t="shared" si="26"/>
        <v>4065/4066</v>
      </c>
      <c r="L139" s="217" t="str">
        <f>VLOOKUP(A139,'Trips&amp;Operators'!$C$1:$G$99911,5,FALSE)</f>
        <v>PERKINS DARREN</v>
      </c>
      <c r="M139" s="6">
        <f t="shared" si="27"/>
        <v>2.99768518525525E-2</v>
      </c>
      <c r="N139" s="7">
        <f t="shared" si="48"/>
        <v>43.166666667675599</v>
      </c>
      <c r="O139" s="7"/>
      <c r="P139" s="7"/>
      <c r="Q139" s="22"/>
      <c r="R139" s="170"/>
      <c r="S139" s="213">
        <f t="shared" si="49"/>
        <v>1</v>
      </c>
      <c r="T139" s="195" t="str">
        <f t="shared" si="30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-08-26T19:39:37-0600',mode:absolute,to:'2017-08-26T22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9" s="197" t="str">
        <f>IF(AA139&lt;VLOOKUP(AG139,Variables!$AC$3:$AD$8,2,FALSE),"Y","N")</f>
        <v>N</v>
      </c>
      <c r="X139" s="197">
        <f t="shared" si="46"/>
        <v>1</v>
      </c>
      <c r="Y139" s="197">
        <f t="shared" si="47"/>
        <v>23.305299999999999</v>
      </c>
      <c r="Z139" s="197">
        <f t="shared" si="34"/>
        <v>1.23E-2</v>
      </c>
      <c r="AA139" s="197">
        <f t="shared" si="35"/>
        <v>23.292999999999999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36"/>
        <v>226</v>
      </c>
      <c r="AE139" s="77" t="str">
        <f t="shared" si="37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39" s="74" t="str">
        <f t="shared" si="38"/>
        <v>"C:\Program Files (x86)\AstroGrep\AstroGrep.exe" /e /r /s /spath="%USERPROFILE%\AppData\Local\Temp\OnboardLogs" /stypes="app*4065*20170827*"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226-26 --locoid 4065 --swversion DE.1.0.9.0 --startMP 204:233053 --initTime 2017-08-26T20:39:37 --startdatetime 2017-08-26T20:57:20 --delay 1 --endMP 204:123 --enddatetime 2017-08-26T21:40:30 --enforcementcount 0 &gt;&gt;C:\Users\stu\Documents\GitHub\eaglep3-reporting\EC\2017-08-26-refined-times.txt</v>
      </c>
      <c r="AI139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{"issue":{"subject":"","project_id":79,"tracker_id":40,"status_id":1,"priority_id":2,"assigned_to_id":23,"start_date":"2017-08-26","description":"","custom_fields":[{"id":1,"name":"Subdivision","value":"EC"},{"id":4,"name":"Milepost","value":"0.0123"},{"id":17,"name":"Train ID","value":"226-26"},{"id":16,"name":"Locomotive ID","value":"4065"},{"id":130,"name":"Impact","value":""},{"id":150,"name":"Time of Event (Mountain Time)","value":"21:40:30"},{"id":151,"name":"Denver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4065 --day 2017-08-26</v>
      </c>
      <c r="AN139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768</v>
      </c>
      <c r="B140" s="7">
        <v>4062</v>
      </c>
      <c r="C140" s="21" t="s">
        <v>197</v>
      </c>
      <c r="D140" s="21" t="s">
        <v>905</v>
      </c>
      <c r="E140" s="13">
        <v>42973.846192129633</v>
      </c>
      <c r="F140" s="13">
        <v>42973.854699074072</v>
      </c>
      <c r="G140" s="7">
        <v>1</v>
      </c>
      <c r="H140" s="21" t="s">
        <v>906</v>
      </c>
      <c r="I140" s="13">
        <v>42973.881192129629</v>
      </c>
      <c r="J140" s="7">
        <v>0</v>
      </c>
      <c r="K140" s="89" t="str">
        <f t="shared" si="26"/>
        <v>4061/4062</v>
      </c>
      <c r="L140" s="217" t="str">
        <f>VLOOKUP(A140,'Trips&amp;Operators'!$C$1:$G$99911,5,FALSE)</f>
        <v>FORTUNATO FRANK</v>
      </c>
      <c r="M140" s="6">
        <f t="shared" si="27"/>
        <v>2.6493055556784384E-2</v>
      </c>
      <c r="N140" s="7">
        <f t="shared" si="48"/>
        <v>38.150000001769513</v>
      </c>
      <c r="O140" s="7"/>
      <c r="P140" s="7"/>
      <c r="Q140" s="22"/>
      <c r="R140" s="170" t="s">
        <v>963</v>
      </c>
      <c r="S140" s="213">
        <f t="shared" si="49"/>
        <v>1</v>
      </c>
      <c r="T140" s="195" t="str">
        <f t="shared" si="30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-08-26T19:18:31-0600',mode:absolute,to:'2017-08-26T22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0" s="197" t="str">
        <f>IF(AA140&lt;VLOOKUP(AG140,Variables!$AC$3:$AD$8,2,FALSE),"Y","N")</f>
        <v>N</v>
      </c>
      <c r="X140" s="197">
        <f t="shared" si="46"/>
        <v>1</v>
      </c>
      <c r="Y140" s="197">
        <f t="shared" si="47"/>
        <v>7.6499999999999999E-2</v>
      </c>
      <c r="Z140" s="197">
        <f t="shared" si="34"/>
        <v>23.339500000000001</v>
      </c>
      <c r="AA140" s="197">
        <f t="shared" si="35"/>
        <v>23.263000000000002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36"/>
        <v>227</v>
      </c>
      <c r="AE140" s="77" t="str">
        <f t="shared" si="37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140" s="74" t="str">
        <f t="shared" si="38"/>
        <v>"C:\Program Files (x86)\AstroGrep\AstroGrep.exe" /e /r /s /spath="%USERPROFILE%\AppData\Local\Temp\OnboardLogs" /stypes="app*4062*20170827*"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227-26 --locoid 4062 --swversion DE.1.0.9.0 --startMP 204:765 --initTime 2017-08-26T20:18:31 --startdatetime 2017-08-26T20:30:46 --delay 1 --endMP 204:233395 --enddatetime 2017-08-26T21:08:55 --enforcementcount 0 &gt;&gt;C:\Users\stu\Documents\GitHub\eaglep3-reporting\EC\2017-08-26-refined-times.txt</v>
      </c>
      <c r="AI140" s="96" t="str">
        <f t="shared" si="41"/>
        <v>echo {"issue":{"subject":"Brief Wi-MAX data drop caused unhealthy banner","project_id":79,"tracker_id":40,"status_id":1,"priority_id":2,"assigned_to_id":23,"start_date":"2017-08-26","description":"","custom_fields":[{"id":1,"name":"Subdivision","value":"EC"},{"id":4,"name":"Milepost","value":"23.3395"},{"id":17,"name":"Train ID","value":"227-26"},{"id":16,"name":"Locomotive ID","value":"4062"},{"id":130,"name":"Impact","value":""},{"id":150,"name":"Time of Event (Mountain Time)","value":"21:08:55"},{"id":151,"name":"Denver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4062 --day 2017-08-26</v>
      </c>
      <c r="AN140" s="151" t="str">
        <f t="shared" si="43"/>
        <v>echo {"issue":{"subject":"Brief Wi-MAX data drop caused unhealthy banner","project_id":30,"tracker_id":4,"status_id":1,"priority_id":1,"assigned_to_id":10,"start_date":"2017-08-27","description":"","custom_fields":[{"id":30,"name":"Category","value":"Issue"},{"id":3,"name":"Functional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774</v>
      </c>
      <c r="B141" s="7">
        <v>4017</v>
      </c>
      <c r="C141" s="21" t="s">
        <v>197</v>
      </c>
      <c r="D141" s="21" t="s">
        <v>907</v>
      </c>
      <c r="E141" s="13">
        <v>42973.888252314813</v>
      </c>
      <c r="F141" s="13">
        <v>42973.893912037034</v>
      </c>
      <c r="G141" s="7">
        <v>0</v>
      </c>
      <c r="H141" s="21" t="s">
        <v>481</v>
      </c>
      <c r="I141" s="13">
        <v>42973.924988425926</v>
      </c>
      <c r="J141" s="7">
        <v>0</v>
      </c>
      <c r="K141" s="89" t="str">
        <f t="shared" ref="K141:K204" si="50">IF(ISEVEN(B141),(B141-1)&amp;"/"&amp;B141,B141&amp;"/"&amp;(B141+1))</f>
        <v>4017/4018</v>
      </c>
      <c r="L141" s="217" t="str">
        <f>VLOOKUP(A141,'Trips&amp;Operators'!$C$1:$G$99911,5,FALSE)</f>
        <v>FORTUNATO FRANK</v>
      </c>
      <c r="M141" s="6">
        <f t="shared" ref="M141:M204" si="51">I141-F141</f>
        <v>3.107638889196096E-2</v>
      </c>
      <c r="N141" s="7">
        <f t="shared" si="48"/>
        <v>44.750000004423782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2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-26T20:19:05-0600',mode:absolute,to:'2017-08-26T23:11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97" t="str">
        <f>IF(AA141&lt;VLOOKUP(AG141,Variables!$AC$3:$AD$8,2,FALSE),"Y","N")</f>
        <v>N</v>
      </c>
      <c r="X141" s="197">
        <f t="shared" ref="X141:X156" si="54">VALUE(LEFT(AD141,4))-VALUE(LEFT(AD140,4))</f>
        <v>1</v>
      </c>
      <c r="Y141" s="197">
        <f t="shared" ref="Y141:Y156" si="55">RIGHT(D141,LEN(D141)-4)/10000</f>
        <v>23.272400000000001</v>
      </c>
      <c r="Z141" s="197">
        <f t="shared" ref="Z141:Z204" si="56">RIGHT(H141,LEN(H141)-4)/10000</f>
        <v>1.32E-2</v>
      </c>
      <c r="AA141" s="197">
        <f t="shared" ref="AA141:AA204" si="57">ABS(Z141-Y141)</f>
        <v>23.2592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58">VALUE(LEFT(A141,LEN(A141)-3))</f>
        <v>228</v>
      </c>
      <c r="AE141" s="77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141" s="74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/stypes="app*4017*20170827*"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1">DetSubdiv(A141)</f>
        <v>EC</v>
      </c>
      <c r="AH141" s="78" t="str">
        <f t="shared" si="40"/>
        <v>"%USERPROFILE%\Documents\GitHub\eaglep3\Utilities\RefineRTDCRunTimes.py" --tripid 228-26 --locoid 4017 --swversion DE.1.0.9.0 --startMP 204:232724 --initTime 2017-08-26T21:19:05 --startdatetime 2017-08-26T21:27:14 --delay 0 --endMP 204:132 --enddatetime 2017-08-26T22:11:59 --enforcementcount 0 &gt;&gt;C:\Users\stu\Documents\GitHub\eaglep3-reporting\EC\2017-08-26-refined-times.txt</v>
      </c>
      <c r="AI141" s="96" t="str">
        <f t="shared" si="41"/>
        <v>echo {"issue":{"subject":"","project_id":79,"tracker_id":40,"status_id":1,"priority_id":2,"assigned_to_id":23,"start_date":"2017-08-26","description":"","custom_fields":[{"id":1,"name":"Subdivision","value":"EC"},{"id":4,"name":"Milepost","value":"0.0132"},{"id":17,"name":"Train ID","value":"228-26"},{"id":16,"name":"Locomotive ID","value":"4017"},{"id":130,"name":"Impact","value":""},{"id":150,"name":"Time of Event (Mountain Time)","value":"22:11:59"},{"id":151,"name":"Denver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4017 --day 2017-08-26</v>
      </c>
      <c r="AN141" s="151" t="str">
        <f t="shared" si="43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772</v>
      </c>
      <c r="B142" s="7">
        <v>4008</v>
      </c>
      <c r="C142" s="21" t="s">
        <v>197</v>
      </c>
      <c r="D142" s="21" t="s">
        <v>878</v>
      </c>
      <c r="E142" s="13">
        <v>42973.865439814814</v>
      </c>
      <c r="F142" s="13">
        <v>42973.875590277778</v>
      </c>
      <c r="G142" s="7">
        <v>1</v>
      </c>
      <c r="H142" s="21" t="s">
        <v>438</v>
      </c>
      <c r="I142" s="13">
        <v>42973.90347222222</v>
      </c>
      <c r="J142" s="7">
        <v>0</v>
      </c>
      <c r="K142" s="89" t="str">
        <f t="shared" si="50"/>
        <v>4007/4008</v>
      </c>
      <c r="L142" s="217" t="str">
        <f>VLOOKUP(A142,'Trips&amp;Operators'!$C$1:$G$99911,5,FALSE)</f>
        <v>RESPASS AARON</v>
      </c>
      <c r="M142" s="6">
        <f t="shared" si="51"/>
        <v>2.7881944442924578E-2</v>
      </c>
      <c r="N142" s="7">
        <f t="shared" si="48"/>
        <v>40.149999997811392</v>
      </c>
      <c r="O142" s="7"/>
      <c r="P142" s="7"/>
      <c r="Q142" s="22"/>
      <c r="R142" s="170"/>
      <c r="S142" s="213">
        <f t="shared" si="49"/>
        <v>1</v>
      </c>
      <c r="T142" s="195" t="str">
        <f t="shared" si="5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3"/>
        <v>https://d0f6bd738d7f1b3e5a7ca70fe4ff75f0.us-east-1.aws.found.io/app/kibana#/discover/Steve-Slow-Train-Analysis-(2080s-and-2083s)?_g=(refreshInterval:(display:Off,pause:!f,section:0,value:0),time:(from:'2017-08-26T19:46:14-0600',mode:absolute,to:'2017-08-26T22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197" t="str">
        <f>IF(AA142&lt;VLOOKUP(AG142,Variables!$AC$3:$AD$8,2,FALSE),"Y","N")</f>
        <v>N</v>
      </c>
      <c r="X142" s="197">
        <f t="shared" si="54"/>
        <v>1</v>
      </c>
      <c r="Y142" s="197">
        <f t="shared" si="55"/>
        <v>6.5699999999999995E-2</v>
      </c>
      <c r="Z142" s="197">
        <f t="shared" si="56"/>
        <v>23.329499999999999</v>
      </c>
      <c r="AA142" s="197">
        <f t="shared" si="57"/>
        <v>23.2638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58"/>
        <v>229</v>
      </c>
      <c r="AE142" s="77" t="str">
        <f t="shared" si="59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42" s="74" t="str">
        <f t="shared" si="60"/>
        <v>"C:\Program Files (x86)\AstroGrep\AstroGrep.exe" /e /r /s /spath="%USERPROFILE%\AppData\Local\Temp\OnboardLogs" /stypes="app*4008*20170827*" /stext=" 03:.+((SYSTEM_STATE.+slice.+state.+changed )|(ment ac)|(multiple cpu faults)|(system.+state.+changed )|(\[timeout)|(PRM\|1\|D)|(kpr)|(kdp)|(train st.+moving)|(\|lc)|(penalty))"</v>
      </c>
      <c r="AG142" s="209" t="str">
        <f t="shared" si="61"/>
        <v>EC</v>
      </c>
      <c r="AH142" s="78" t="str">
        <f t="shared" ref="AH142:AH204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229-26 --locoid 4008 --swversion DE.1.0.9.0 --startMP 204:657 --initTime 2017-08-26T20:46:14 --startdatetime 2017-08-26T21:00:51 --delay 1 --endMP 204:233295 --enddatetime 2017-08-26T21:41:00 --enforcementcount 0 &gt;&gt;C:\Users\stu\Documents\GitHub\eaglep3-reporting\EC\2017-08-26-refined-times.txt</v>
      </c>
      <c r="AI142" s="96" t="str">
        <f t="shared" ref="AI142:AI204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{"issue":{"subject":"","project_id":79,"tracker_id":40,"status_id":1,"priority_id":2,"assigned_to_id":23,"start_date":"2017-08-26","description":"","custom_fields":[{"id":1,"name":"Subdivision","value":"EC"},{"id":4,"name":"Milepost","value":"23.3295"},{"id":17,"name":"Train ID","value":"229-26"},{"id":16,"name":"Locomotive ID","value":"4008"},{"id":130,"name":"Impact","value":""},{"id":150,"name":"Time of Event (Mountain Time)","value":"21:41:00"},{"id":151,"name":"Denver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4">"start /low /b "&amp;dls3logs&amp;" --loco "&amp;B142&amp;" --day "&amp;TEXT(F142,"YYYY-MM-DD")</f>
        <v>start /low /b %USERPROFILE%\Documents\GitHub\eaglep3\Utilities\DownloadLogsFromS3.py --loco 4008 --day 2017-08-26</v>
      </c>
      <c r="AN142" s="151" t="str">
        <f t="shared" ref="AN142:AN204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778</v>
      </c>
      <c r="B143" s="7">
        <v>4043</v>
      </c>
      <c r="C143" s="21" t="s">
        <v>197</v>
      </c>
      <c r="D143" s="21" t="s">
        <v>908</v>
      </c>
      <c r="E143" s="13">
        <v>42973.908263888887</v>
      </c>
      <c r="F143" s="13">
        <v>42973.914918981478</v>
      </c>
      <c r="G143" s="7">
        <v>1</v>
      </c>
      <c r="H143" s="21" t="s">
        <v>338</v>
      </c>
      <c r="I143" s="13">
        <v>42973.943414351852</v>
      </c>
      <c r="J143" s="7">
        <v>0</v>
      </c>
      <c r="K143" s="89" t="str">
        <f t="shared" si="50"/>
        <v>4043/4044</v>
      </c>
      <c r="L143" s="217" t="str">
        <f>VLOOKUP(A143,'Trips&amp;Operators'!$C$1:$G$99911,5,FALSE)</f>
        <v>RESPASS AARON</v>
      </c>
      <c r="M143" s="6">
        <f t="shared" si="51"/>
        <v>2.849537037400296E-2</v>
      </c>
      <c r="N143" s="7">
        <f t="shared" si="48"/>
        <v>41.033333338564262</v>
      </c>
      <c r="O143" s="7"/>
      <c r="P143" s="7"/>
      <c r="Q143" s="22"/>
      <c r="R143" s="170"/>
      <c r="S143" s="213">
        <f t="shared" si="49"/>
        <v>1</v>
      </c>
      <c r="T143" s="195" t="str">
        <f t="shared" si="5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3"/>
        <v>https://d0f6bd738d7f1b3e5a7ca70fe4ff75f0.us-east-1.aws.found.io/app/kibana#/discover/Steve-Slow-Train-Analysis-(2080s-and-2083s)?_g=(refreshInterval:(display:Off,pause:!f,section:0,value:0),time:(from:'2017-08-26T20:47:54-0600',mode:absolute,to:'2017-08-26T23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97" t="str">
        <f>IF(AA143&lt;VLOOKUP(AG143,Variables!$AC$3:$AD$8,2,FALSE),"Y","N")</f>
        <v>N</v>
      </c>
      <c r="X143" s="197">
        <f t="shared" si="54"/>
        <v>1</v>
      </c>
      <c r="Y143" s="197">
        <f t="shared" si="55"/>
        <v>23.264099999999999</v>
      </c>
      <c r="Z143" s="197">
        <f t="shared" si="56"/>
        <v>1.4999999999999999E-2</v>
      </c>
      <c r="AA143" s="197">
        <f t="shared" si="57"/>
        <v>23.249099999999999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58"/>
        <v>230</v>
      </c>
      <c r="AE143" s="77" t="str">
        <f t="shared" si="59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143" s="74" t="str">
        <f t="shared" si="60"/>
        <v>"C:\Program Files (x86)\AstroGrep\AstroGrep.exe" /e /r /s /spath="%USERPROFILE%\AppData\Local\Temp\OnboardLogs" /stypes="app*4043*20170827*" /stext=" 04:.+((SYSTEM_STATE.+slice.+state.+changed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62"/>
        <v>"%USERPROFILE%\Documents\GitHub\eaglep3\Utilities\RefineRTDCRunTimes.py" --tripid 230-26 --locoid 4043 --swversion DE.1.0.9.0 --startMP 204:232641 --initTime 2017-08-26T21:47:54 --startdatetime 2017-08-26T21:57:29 --delay 1 --endMP 204:150 --enddatetime 2017-08-26T22:38:31 --enforcementcount 0 &gt;&gt;C:\Users\stu\Documents\GitHub\eaglep3-reporting\EC\2017-08-26-refined-times.txt</v>
      </c>
      <c r="AI143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{"issue":{"subject":"","project_id":79,"tracker_id":40,"status_id":1,"priority_id":2,"assigned_to_id":23,"start_date":"2017-08-26","description":"","custom_fields":[{"id":1,"name":"Subdivision","value":"EC"},{"id":4,"name":"Milepost","value":"0.015"},{"id":17,"name":"Train ID","value":"230-26"},{"id":16,"name":"Locomotive ID","value":"4043"},{"id":130,"name":"Impact","value":""},{"id":150,"name":"Time of Event (Mountain Time)","value":"22:38:31"},{"id":151,"name":"Denver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4"/>
        <v>start /low /b %USERPROFILE%\Documents\GitHub\eaglep3\Utilities\DownloadLogsFromS3.py --loco 4043 --day 2017-08-26</v>
      </c>
      <c r="AN143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775</v>
      </c>
      <c r="B144" s="7">
        <v>4040</v>
      </c>
      <c r="C144" s="21" t="s">
        <v>197</v>
      </c>
      <c r="D144" s="21" t="s">
        <v>367</v>
      </c>
      <c r="E144" s="13">
        <v>42973.888148148151</v>
      </c>
      <c r="F144" s="13">
        <v>42973.896354166667</v>
      </c>
      <c r="G144" s="7">
        <v>1</v>
      </c>
      <c r="H144" s="21" t="s">
        <v>407</v>
      </c>
      <c r="I144" s="13">
        <v>42973.923321759263</v>
      </c>
      <c r="J144" s="7">
        <v>0</v>
      </c>
      <c r="K144" s="89" t="str">
        <f t="shared" si="50"/>
        <v>4039/4040</v>
      </c>
      <c r="L144" s="217" t="str">
        <f>VLOOKUP(A144,'Trips&amp;Operators'!$C$1:$G$99911,5,FALSE)</f>
        <v>YANG JAN</v>
      </c>
      <c r="M144" s="6">
        <f t="shared" si="51"/>
        <v>2.6967592595610768E-2</v>
      </c>
      <c r="N144" s="7">
        <f t="shared" si="48"/>
        <v>38.833333337679505</v>
      </c>
      <c r="O144" s="7"/>
      <c r="P144" s="7"/>
      <c r="Q144" s="22"/>
      <c r="R144" s="170"/>
      <c r="S144" s="213">
        <f t="shared" si="49"/>
        <v>1</v>
      </c>
      <c r="T144" s="195" t="str">
        <f t="shared" si="5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3"/>
        <v>https://d0f6bd738d7f1b3e5a7ca70fe4ff75f0.us-east-1.aws.found.io/app/kibana#/discover/Steve-Slow-Train-Analysis-(2080s-and-2083s)?_g=(refreshInterval:(display:Off,pause:!f,section:0,value:0),time:(from:'2017-08-26T20:18:56-0600',mode:absolute,to:'2017-08-26T23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7" t="str">
        <f>IF(AA144&lt;VLOOKUP(AG144,Variables!$AC$3:$AD$8,2,FALSE),"Y","N")</f>
        <v>N</v>
      </c>
      <c r="X144" s="197">
        <f t="shared" si="54"/>
        <v>1</v>
      </c>
      <c r="Y144" s="197">
        <f t="shared" si="55"/>
        <v>4.58E-2</v>
      </c>
      <c r="Z144" s="197">
        <f t="shared" si="56"/>
        <v>23.331499999999998</v>
      </c>
      <c r="AA144" s="197">
        <f t="shared" si="57"/>
        <v>23.285699999999999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58"/>
        <v>231</v>
      </c>
      <c r="AE144" s="77" t="str">
        <f t="shared" si="59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44" s="74" t="str">
        <f t="shared" si="60"/>
        <v>"C:\Program Files (x86)\AstroGrep\AstroGrep.exe" /e /r /s /spath="%USERPROFILE%\AppData\Local\Temp\OnboardLogs" /stypes="app*4040*20170827*" /stext=" 04:.+((SYSTEM_STATE.+slice.+state.+changed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62"/>
        <v>"%USERPROFILE%\Documents\GitHub\eaglep3\Utilities\RefineRTDCRunTimes.py" --tripid 231-26 --locoid 4040 --swversion DE.1.0.9.0 --startMP 204:458 --initTime 2017-08-26T21:18:56 --startdatetime 2017-08-26T21:30:45 --delay 1 --endMP 204:233315 --enddatetime 2017-08-26T22:09:35 --enforcementcount 0 &gt;&gt;C:\Users\stu\Documents\GitHub\eaglep3-reporting\EC\2017-08-26-refined-times.txt</v>
      </c>
      <c r="AI144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{"issue":{"subject":"","project_id":79,"tracker_id":40,"status_id":1,"priority_id":2,"assigned_to_id":23,"start_date":"2017-08-26","description":"","custom_fields":[{"id":1,"name":"Subdivision","value":"EC"},{"id":4,"name":"Milepost","value":"23.3315"},{"id":17,"name":"Train ID","value":"231-26"},{"id":16,"name":"Locomotive ID","value":"4040"},{"id":130,"name":"Impact","value":""},{"id":150,"name":"Time of Event (Mountain Time)","value":"22:09:35"},{"id":151,"name":"Denver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4"/>
        <v>start /low /b %USERPROFILE%\Documents\GitHub\eaglep3\Utilities\DownloadLogsFromS3.py --loco 4040 --day 2017-08-26</v>
      </c>
      <c r="AN144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781</v>
      </c>
      <c r="B145" s="7">
        <v>4039</v>
      </c>
      <c r="C145" s="21" t="s">
        <v>197</v>
      </c>
      <c r="D145" s="21" t="s">
        <v>531</v>
      </c>
      <c r="E145" s="13">
        <v>42973.931423611109</v>
      </c>
      <c r="F145" s="13">
        <v>42973.935694444444</v>
      </c>
      <c r="G145" s="7">
        <v>1</v>
      </c>
      <c r="H145" s="21" t="s">
        <v>369</v>
      </c>
      <c r="I145" s="13">
        <v>42973.968136574076</v>
      </c>
      <c r="J145" s="7">
        <v>0</v>
      </c>
      <c r="K145" s="89" t="str">
        <f t="shared" si="50"/>
        <v>4039/4040</v>
      </c>
      <c r="L145" s="217" t="str">
        <f>VLOOKUP(A145,'Trips&amp;Operators'!$C$1:$G$99911,5,FALSE)</f>
        <v>YANG JAN</v>
      </c>
      <c r="M145" s="6">
        <f t="shared" si="51"/>
        <v>3.2442129631817807E-2</v>
      </c>
      <c r="N145" s="7">
        <f t="shared" si="48"/>
        <v>46.716666669817641</v>
      </c>
      <c r="O145" s="7"/>
      <c r="P145" s="7"/>
      <c r="Q145" s="22"/>
      <c r="R145" s="170"/>
      <c r="S145" s="213">
        <f t="shared" si="49"/>
        <v>1</v>
      </c>
      <c r="T145" s="195" t="str">
        <f t="shared" si="5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3"/>
        <v>https://d0f6bd738d7f1b3e5a7ca70fe4ff75f0.us-east-1.aws.found.io/app/kibana#/discover/Steve-Slow-Train-Analysis-(2080s-and-2083s)?_g=(refreshInterval:(display:Off,pause:!f,section:0,value:0),time:(from:'2017-08-26T21:21:15-0600',mode:absolute,to:'2017-08-27T00:14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7" t="str">
        <f>IF(AA145&lt;VLOOKUP(AG145,Variables!$AC$3:$AD$8,2,FALSE),"Y","N")</f>
        <v>N</v>
      </c>
      <c r="X145" s="197">
        <f t="shared" si="54"/>
        <v>1</v>
      </c>
      <c r="Y145" s="197">
        <f t="shared" si="55"/>
        <v>23.2989</v>
      </c>
      <c r="Z145" s="197">
        <f t="shared" si="56"/>
        <v>1.52E-2</v>
      </c>
      <c r="AA145" s="197">
        <f t="shared" si="57"/>
        <v>23.2837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58"/>
        <v>232</v>
      </c>
      <c r="AE145" s="77" t="str">
        <f t="shared" si="59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45" s="74" t="str">
        <f t="shared" si="60"/>
        <v>"C:\Program Files (x86)\AstroGrep\AstroGrep.exe" /e /r /s /spath="%USERPROFILE%\AppData\Local\Temp\OnboardLogs" /stypes="app*4039*20170827*" /stext=" 05:.+((SYSTEM_STATE.+slice.+state.+changed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62"/>
        <v>"%USERPROFILE%\Documents\GitHub\eaglep3\Utilities\RefineRTDCRunTimes.py" --tripid 232-26 --locoid 4039 --swversion DE.1.0.9.0 --startMP 204:232989 --initTime 2017-08-26T22:21:15 --startdatetime 2017-08-26T22:27:24 --delay 1 --endMP 204:152 --enddatetime 2017-08-26T23:14:07 --enforcementcount 0 &gt;&gt;C:\Users\stu\Documents\GitHub\eaglep3-reporting\EC\2017-08-26-refined-times.txt</v>
      </c>
      <c r="AI145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{"issue":{"subject":"","project_id":79,"tracker_id":40,"status_id":1,"priority_id":2,"assigned_to_id":23,"start_date":"2017-08-26","description":"","custom_fields":[{"id":1,"name":"Subdivision","value":"EC"},{"id":4,"name":"Milepost","value":"0.0152"},{"id":17,"name":"Train ID","value":"232-26"},{"id":16,"name":"Locomotive ID","value":"4039"},{"id":130,"name":"Impact","value":""},{"id":150,"name":"Time of Event (Mountain Time)","value":"23:14:07"},{"id":151,"name":"Denver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4"/>
        <v>start /low /b %USERPROFILE%\Documents\GitHub\eaglep3\Utilities\DownloadLogsFromS3.py --loco 4039 --day 2017-08-26</v>
      </c>
      <c r="AN145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05:14:07"},{"id":29,"name":"Sharepoint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777</v>
      </c>
      <c r="B146" s="7">
        <v>4066</v>
      </c>
      <c r="C146" s="21" t="s">
        <v>197</v>
      </c>
      <c r="D146" s="21" t="s">
        <v>378</v>
      </c>
      <c r="E146" s="13">
        <v>42973.907569444447</v>
      </c>
      <c r="F146" s="13">
        <v>42973.917233796295</v>
      </c>
      <c r="G146" s="7">
        <v>1</v>
      </c>
      <c r="H146" s="21" t="s">
        <v>909</v>
      </c>
      <c r="I146" s="13">
        <v>42973.943877314814</v>
      </c>
      <c r="J146" s="7">
        <v>0</v>
      </c>
      <c r="K146" s="89" t="str">
        <f t="shared" si="50"/>
        <v>4065/4066</v>
      </c>
      <c r="L146" s="217" t="str">
        <f>VLOOKUP(A146,'Trips&amp;Operators'!$C$1:$G$99911,5,FALSE)</f>
        <v>PERKINS DARREN</v>
      </c>
      <c r="M146" s="6">
        <f t="shared" si="51"/>
        <v>2.6643518518540077E-2</v>
      </c>
      <c r="N146" s="7">
        <f t="shared" si="48"/>
        <v>38.366666666697711</v>
      </c>
      <c r="O146" s="7"/>
      <c r="P146" s="7"/>
      <c r="Q146" s="22"/>
      <c r="R146" s="170"/>
      <c r="S146" s="213">
        <f t="shared" si="49"/>
        <v>1</v>
      </c>
      <c r="T146" s="195" t="str">
        <f t="shared" si="5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3"/>
        <v>https://d0f6bd738d7f1b3e5a7ca70fe4ff75f0.us-east-1.aws.found.io/app/kibana#/discover/Steve-Slow-Train-Analysis-(2080s-and-2083s)?_g=(refreshInterval:(display:Off,pause:!f,section:0,value:0),time:(from:'2017-08-26T20:46:54-0600',mode:absolute,to:'2017-08-26T23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6" s="197" t="str">
        <f>IF(AA146&lt;VLOOKUP(AG146,Variables!$AC$3:$AD$8,2,FALSE),"Y","N")</f>
        <v>N</v>
      </c>
      <c r="X146" s="197">
        <f t="shared" si="54"/>
        <v>1</v>
      </c>
      <c r="Y146" s="197">
        <f t="shared" si="55"/>
        <v>4.4200000000000003E-2</v>
      </c>
      <c r="Z146" s="197">
        <f t="shared" si="56"/>
        <v>23.3353</v>
      </c>
      <c r="AA146" s="197">
        <f t="shared" si="57"/>
        <v>23.2911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58"/>
        <v>233</v>
      </c>
      <c r="AE146" s="77" t="str">
        <f t="shared" si="59"/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AF146" s="74" t="str">
        <f t="shared" si="60"/>
        <v>"C:\Program Files (x86)\AstroGrep\AstroGrep.exe" /e /r /s /spath="%USERPROFILE%\AppData\Local\Temp\OnboardLogs" /stypes="app*4066*20170827*" /stext=" 04:.+((SYSTEM_STATE.+slice.+state.+changed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62"/>
        <v>"%USERPROFILE%\Documents\GitHub\eaglep3\Utilities\RefineRTDCRunTimes.py" --tripid 233-26 --locoid 4066 --swversion DE.1.0.9.0 --startMP 204:442 --initTime 2017-08-26T21:46:54 --startdatetime 2017-08-26T22:00:49 --delay 1 --endMP 204:233353 --enddatetime 2017-08-26T22:39:11 --enforcementcount 0 &gt;&gt;C:\Users\stu\Documents\GitHub\eaglep3-reporting\EC\2017-08-26-refined-times.txt</v>
      </c>
      <c r="AI146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{"issue":{"subject":"","project_id":79,"tracker_id":40,"status_id":1,"priority_id":2,"assigned_to_id":23,"start_date":"2017-08-26","description":"","custom_fields":[{"id":1,"name":"Subdivision","value":"EC"},{"id":4,"name":"Milepost","value":"23.3353"},{"id":17,"name":"Train ID","value":"233-26"},{"id":16,"name":"Locomotive ID","value":"4066"},{"id":130,"name":"Impact","value":""},{"id":150,"name":"Time of Event (Mountain Time)","value":"22:39:11"},{"id":151,"name":"Denver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4"/>
        <v>start /low /b %USERPROFILE%\Documents\GitHub\eaglep3\Utilities\DownloadLogsFromS3.py --loco 4066 --day 2017-08-26</v>
      </c>
      <c r="AN146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784</v>
      </c>
      <c r="B147" s="7">
        <v>4065</v>
      </c>
      <c r="C147" s="21" t="s">
        <v>197</v>
      </c>
      <c r="D147" s="21" t="s">
        <v>543</v>
      </c>
      <c r="E147" s="13">
        <v>42973.951805555553</v>
      </c>
      <c r="F147" s="13">
        <v>42973.95648148148</v>
      </c>
      <c r="G147" s="7">
        <v>1</v>
      </c>
      <c r="H147" s="21" t="s">
        <v>339</v>
      </c>
      <c r="I147" s="13">
        <v>42973.987604166665</v>
      </c>
      <c r="J147" s="7">
        <v>0</v>
      </c>
      <c r="K147" s="89" t="str">
        <f t="shared" si="50"/>
        <v>4065/4066</v>
      </c>
      <c r="L147" s="217" t="str">
        <f>VLOOKUP(A147,'Trips&amp;Operators'!$C$1:$G$99911,5,FALSE)</f>
        <v>PERKINS DARREN</v>
      </c>
      <c r="M147" s="6">
        <f t="shared" si="51"/>
        <v>3.1122685184527654E-2</v>
      </c>
      <c r="N147" s="7">
        <f t="shared" si="48"/>
        <v>44.816666665719822</v>
      </c>
      <c r="O147" s="7"/>
      <c r="P147" s="7"/>
      <c r="Q147" s="22"/>
      <c r="R147" s="170"/>
      <c r="S147" s="213">
        <f t="shared" si="49"/>
        <v>1</v>
      </c>
      <c r="T147" s="195" t="str">
        <f t="shared" si="5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3"/>
        <v>https://d0f6bd738d7f1b3e5a7ca70fe4ff75f0.us-east-1.aws.found.io/app/kibana#/discover/Steve-Slow-Train-Analysis-(2080s-and-2083s)?_g=(refreshInterval:(display:Off,pause:!f,section:0,value:0),time:(from:'2017-08-26T21:50:36-0600',mode:absolute,to:'2017-08-27T00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7" s="197" t="str">
        <f>IF(AA147&lt;VLOOKUP(AG147,Variables!$AC$3:$AD$8,2,FALSE),"Y","N")</f>
        <v>N</v>
      </c>
      <c r="X147" s="197">
        <f t="shared" si="54"/>
        <v>1</v>
      </c>
      <c r="Y147" s="197">
        <f t="shared" si="55"/>
        <v>23.307600000000001</v>
      </c>
      <c r="Z147" s="197">
        <f t="shared" si="56"/>
        <v>1.49E-2</v>
      </c>
      <c r="AA147" s="197">
        <f t="shared" si="57"/>
        <v>23.2927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58"/>
        <v>234</v>
      </c>
      <c r="AE147" s="77" t="str">
        <f t="shared" si="59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47" s="74" t="str">
        <f t="shared" si="60"/>
        <v>"C:\Program Files (x86)\AstroGrep\AstroGrep.exe" /e /r /s /spath="%USERPROFILE%\AppData\Local\Temp\OnboardLogs" /stypes="app*4065*20170827*" /stext=" 05:.+((SYSTEM_STATE.+slice.+state.+changed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62"/>
        <v>"%USERPROFILE%\Documents\GitHub\eaglep3\Utilities\RefineRTDCRunTimes.py" --tripid 234-26 --locoid 4065 --swversion DE.1.0.9.0 --startMP 204:233076 --initTime 2017-08-26T22:50:36 --startdatetime 2017-08-26T22:57:20 --delay 1 --endMP 204:149 --enddatetime 2017-08-26T23:42:09 --enforcementcount 0 &gt;&gt;C:\Users\stu\Documents\GitHub\eaglep3-reporting\EC\2017-08-26-refined-times.txt</v>
      </c>
      <c r="AI147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{"issue":{"subject":"","project_id":79,"tracker_id":40,"status_id":1,"priority_id":2,"assigned_to_id":23,"start_date":"2017-08-26","description":"","custom_fields":[{"id":1,"name":"Subdivision","value":"EC"},{"id":4,"name":"Milepost","value":"0.0149"},{"id":17,"name":"Train ID","value":"234-26"},{"id":16,"name":"Locomotive ID","value":"4065"},{"id":130,"name":"Impact","value":""},{"id":150,"name":"Time of Event (Mountain Time)","value":"23:42:09"},{"id":151,"name":"Denver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4"/>
        <v>start /low /b %USERPROFILE%\Documents\GitHub\eaglep3\Utilities\DownloadLogsFromS3.py --loco 4065 --day 2017-08-26</v>
      </c>
      <c r="AN147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05:42:09"},{"id":29,"name":"Sharepoint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780</v>
      </c>
      <c r="B148" s="7">
        <v>4062</v>
      </c>
      <c r="C148" s="21" t="s">
        <v>197</v>
      </c>
      <c r="D148" s="21" t="s">
        <v>910</v>
      </c>
      <c r="E148" s="13">
        <v>42973.928715277776</v>
      </c>
      <c r="F148" s="13">
        <v>42973.938055555554</v>
      </c>
      <c r="G148" s="7">
        <v>0</v>
      </c>
      <c r="H148" s="21" t="s">
        <v>398</v>
      </c>
      <c r="I148" s="13">
        <v>42973.966469907406</v>
      </c>
      <c r="J148" s="7">
        <v>0</v>
      </c>
      <c r="K148" s="89" t="str">
        <f t="shared" si="50"/>
        <v>4061/4062</v>
      </c>
      <c r="L148" s="217" t="str">
        <f>VLOOKUP(A148,'Trips&amp;Operators'!$C$1:$G$99911,5,FALSE)</f>
        <v>FORTUNATO FRANK</v>
      </c>
      <c r="M148" s="6">
        <f t="shared" si="51"/>
        <v>2.8414351851097308E-2</v>
      </c>
      <c r="N148" s="7">
        <f t="shared" si="48"/>
        <v>40.916666665580124</v>
      </c>
      <c r="O148" s="7"/>
      <c r="P148" s="7"/>
      <c r="Q148" s="22"/>
      <c r="R148" s="170"/>
      <c r="S148" s="213">
        <f t="shared" si="49"/>
        <v>1</v>
      </c>
      <c r="T148" s="195" t="str">
        <f t="shared" si="5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3"/>
        <v>https://d0f6bd738d7f1b3e5a7ca70fe4ff75f0.us-east-1.aws.found.io/app/kibana#/discover/Steve-Slow-Train-Analysis-(2080s-and-2083s)?_g=(refreshInterval:(display:Off,pause:!f,section:0,value:0),time:(from:'2017-08-26T21:17:21-0600',mode:absolute,to:'2017-08-27T00:11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8" s="197" t="str">
        <f>IF(AA148&lt;VLOOKUP(AG148,Variables!$AC$3:$AD$8,2,FALSE),"Y","N")</f>
        <v>N</v>
      </c>
      <c r="X148" s="197">
        <f t="shared" si="54"/>
        <v>1</v>
      </c>
      <c r="Y148" s="197">
        <f t="shared" si="55"/>
        <v>7.7200000000000005E-2</v>
      </c>
      <c r="Z148" s="197">
        <f t="shared" si="56"/>
        <v>23.331399999999999</v>
      </c>
      <c r="AA148" s="197">
        <f t="shared" si="57"/>
        <v>23.254199999999997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58"/>
        <v>235</v>
      </c>
      <c r="AE148" s="77" t="str">
        <f t="shared" si="59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148" s="74" t="str">
        <f t="shared" si="60"/>
        <v>"C:\Program Files (x86)\AstroGrep\AstroGrep.exe" /e /r /s /spath="%USERPROFILE%\AppData\Local\Temp\OnboardLogs" /stypes="app*4062*20170827*" /stext=" 05:.+((SYSTEM_STATE.+slice.+state.+changed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62"/>
        <v>"%USERPROFILE%\Documents\GitHub\eaglep3\Utilities\RefineRTDCRunTimes.py" --tripid 235-26 --locoid 4062 --swversion DE.1.0.9.0 --startMP 204:772 --initTime 2017-08-26T22:17:21 --startdatetime 2017-08-26T22:30:48 --delay 0 --endMP 204:233314 --enddatetime 2017-08-26T23:11:43 --enforcementcount 0 &gt;&gt;C:\Users\stu\Documents\GitHub\eaglep3-reporting\EC\2017-08-26-refined-times.txt</v>
      </c>
      <c r="AI148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{"issue":{"subject":"","project_id":79,"tracker_id":40,"status_id":1,"priority_id":2,"assigned_to_id":23,"start_date":"2017-08-26","description":"","custom_fields":[{"id":1,"name":"Subdivision","value":"EC"},{"id":4,"name":"Milepost","value":"23.3314"},{"id":17,"name":"Train ID","value":"235-26"},{"id":16,"name":"Locomotive ID","value":"4062"},{"id":130,"name":"Impact","value":""},{"id":150,"name":"Time of Event (Mountain Time)","value":"23:11:43"},{"id":151,"name":"Denver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4"/>
        <v>start /low /b %USERPROFILE%\Documents\GitHub\eaglep3\Utilities\DownloadLogsFromS3.py --loco 4062 --day 2017-08-26</v>
      </c>
      <c r="AN148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05:11:43"},{"id":29,"name":"Sharepoint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785</v>
      </c>
      <c r="B149" s="7">
        <v>4017</v>
      </c>
      <c r="C149" s="21" t="s">
        <v>197</v>
      </c>
      <c r="D149" s="21" t="s">
        <v>911</v>
      </c>
      <c r="E149" s="13">
        <v>42973.969780092593</v>
      </c>
      <c r="F149" s="13">
        <v>42973.977256944447</v>
      </c>
      <c r="G149" s="7">
        <v>1</v>
      </c>
      <c r="H149" s="21" t="s">
        <v>392</v>
      </c>
      <c r="I149" s="13">
        <v>42974.006145833337</v>
      </c>
      <c r="J149" s="7">
        <v>0</v>
      </c>
      <c r="K149" s="89" t="str">
        <f t="shared" si="50"/>
        <v>4017/4018</v>
      </c>
      <c r="L149" s="217" t="str">
        <f>VLOOKUP(A149,'Trips&amp;Operators'!$C$1:$G$99911,5,FALSE)</f>
        <v>FORTUNATO FRANK</v>
      </c>
      <c r="M149" s="6">
        <f t="shared" si="51"/>
        <v>2.8888888889923692E-2</v>
      </c>
      <c r="N149" s="7">
        <f t="shared" si="48"/>
        <v>41.600000001490116</v>
      </c>
      <c r="O149" s="7"/>
      <c r="P149" s="7"/>
      <c r="Q149" s="22"/>
      <c r="R149" s="170"/>
      <c r="S149" s="213">
        <f t="shared" si="49"/>
        <v>1</v>
      </c>
      <c r="T149" s="195" t="str">
        <f t="shared" si="52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3"/>
        <v>https://d0f6bd738d7f1b3e5a7ca70fe4ff75f0.us-east-1.aws.found.io/app/kibana#/discover/Steve-Slow-Train-Analysis-(2080s-and-2083s)?_g=(refreshInterval:(display:Off,pause:!f,section:0,value:0),time:(from:'2017-08-26T22:16:29-0600',mode:absolute,to:'2017-08-27T01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 t="shared" si="54"/>
        <v>1</v>
      </c>
      <c r="Y149" s="197">
        <f t="shared" si="55"/>
        <v>23.2654</v>
      </c>
      <c r="Z149" s="197">
        <f t="shared" si="56"/>
        <v>1.5599999999999999E-2</v>
      </c>
      <c r="AA149" s="197">
        <f t="shared" si="57"/>
        <v>23.2498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58"/>
        <v>236</v>
      </c>
      <c r="AE149" s="77" t="str">
        <f t="shared" si="59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149" s="74" t="str">
        <f t="shared" si="60"/>
        <v>"C:\Program Files (x86)\AstroGrep\AstroGrep.exe" /e /r /s /spath="%USERPROFILE%\AppData\Local\Temp\OnboardLogs" /stypes="app*4017*20170827*" /stext=" 06:.+((SYSTEM_STATE.+slice.+state.+changed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62"/>
        <v>"%USERPROFILE%\Documents\GitHub\eaglep3\Utilities\RefineRTDCRunTimes.py" --tripid 236-26 --locoid 4017 --swversion DE.1.0.9.0 --startMP 204:232654 --initTime 2017-08-26T23:16:29 --startdatetime 2017-08-26T23:27:15 --delay 1 --endMP 204:156 --enddatetime 2017-08-27T00:08:51 --enforcementcount 0 &gt;&gt;C:\Users\stu\Documents\GitHub\eaglep3-reporting\EC\2017-08-26-refined-times.txt</v>
      </c>
      <c r="AI149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{"issue":{"subject":"","project_id":79,"tracker_id":40,"status_id":1,"priority_id":2,"assigned_to_id":23,"start_date":"2017-08-27","description":"","custom_fields":[{"id":1,"name":"Subdivision","value":"EC"},{"id":4,"name":"Milepost","value":"0.0156"},{"id":17,"name":"Train ID","value":"236-26"},{"id":16,"name":"Locomotive ID","value":"4017"},{"id":130,"name":"Impact","value":""},{"id":150,"name":"Time of Event (Mountain Time)","value":"00:08:51"},{"id":151,"name":"Denver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4"/>
        <v>start /low /b %USERPROFILE%\Documents\GitHub\eaglep3\Utilities\DownloadLogsFromS3.py --loco 4017 --day 2017-08-26</v>
      </c>
      <c r="AN149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06:08:51"},{"id":29,"name":"Sharepoint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783</v>
      </c>
      <c r="B150" s="7">
        <v>4008</v>
      </c>
      <c r="C150" s="21" t="s">
        <v>197</v>
      </c>
      <c r="D150" s="21" t="s">
        <v>912</v>
      </c>
      <c r="E150" s="13">
        <v>42973.949895833335</v>
      </c>
      <c r="F150" s="13">
        <v>42973.958923611113</v>
      </c>
      <c r="G150" s="7">
        <v>1</v>
      </c>
      <c r="H150" s="21" t="s">
        <v>391</v>
      </c>
      <c r="I150" s="13">
        <v>42973.984849537039</v>
      </c>
      <c r="J150" s="7">
        <v>0</v>
      </c>
      <c r="K150" s="89" t="str">
        <f t="shared" si="50"/>
        <v>4007/4008</v>
      </c>
      <c r="L150" s="217" t="str">
        <f>VLOOKUP(A150,'Trips&amp;Operators'!$C$1:$G$99911,5,FALSE)</f>
        <v>RESPASS AARON</v>
      </c>
      <c r="M150" s="6">
        <f t="shared" si="51"/>
        <v>2.5925925925548654E-2</v>
      </c>
      <c r="N150" s="7">
        <f t="shared" si="48"/>
        <v>37.333333332790062</v>
      </c>
      <c r="O150" s="7"/>
      <c r="P150" s="7"/>
      <c r="Q150" s="22"/>
      <c r="R150" s="170"/>
      <c r="S150" s="213">
        <f t="shared" si="49"/>
        <v>1</v>
      </c>
      <c r="T150" s="195" t="str">
        <f t="shared" si="52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3"/>
        <v>https://d0f6bd738d7f1b3e5a7ca70fe4ff75f0.us-east-1.aws.found.io/app/kibana#/discover/Steve-Slow-Train-Analysis-(2080s-and-2083s)?_g=(refreshInterval:(display:Off,pause:!f,section:0,value:0),time:(from:'2017-08-26T21:47:51-0600',mode:absolute,to:'2017-08-27T00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7" t="str">
        <f>IF(AA150&lt;VLOOKUP(AG150,Variables!$AC$3:$AD$8,2,FALSE),"Y","N")</f>
        <v>N</v>
      </c>
      <c r="X150" s="197">
        <f t="shared" si="54"/>
        <v>1</v>
      </c>
      <c r="Y150" s="197">
        <f t="shared" si="55"/>
        <v>7.0400000000000004E-2</v>
      </c>
      <c r="Z150" s="197">
        <f t="shared" si="56"/>
        <v>23.3308</v>
      </c>
      <c r="AA150" s="197">
        <f t="shared" si="57"/>
        <v>23.260400000000001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58"/>
        <v>237</v>
      </c>
      <c r="AE150" s="77" t="str">
        <f t="shared" si="59"/>
        <v>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 &amp; 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</v>
      </c>
      <c r="AF150" s="74" t="str">
        <f t="shared" si="60"/>
        <v>"C:\Program Files (x86)\AstroGrep\AstroGrep.exe" /e /r /s /spath="%USERPROFILE%\AppData\Local\Temp\OnboardLogs" /stypes="app*4008*20170827*" /stext=" 05:.+((SYSTEM_STATE.+slice.+state.+changed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62"/>
        <v>"%USERPROFILE%\Documents\GitHub\eaglep3\Utilities\RefineRTDCRunTimes.py" --tripid 237-26 --locoid 4008 --swversion DE.1.0.9.0 --startMP 204:704 --initTime 2017-08-26T22:47:51 --startdatetime 2017-08-26T23:00:51 --delay 1 --endMP 204:233308 --enddatetime 2017-08-26T23:38:11 --enforcementcount 0 &gt;&gt;C:\Users\stu\Documents\GitHub\eaglep3-reporting\EC\2017-08-26-refined-times.txt</v>
      </c>
      <c r="AI150" s="96" t="str">
        <f t="shared" si="63"/>
        <v>echo {"issue":{"subject":"","project_id":79,"tracker_id":40,"status_id":1,"priority_id":2,"assigned_to_id":23,"start_date":"2017-08-26","description":"","custom_fields":[{"id":1,"name":"Subdivision","value":"EC"},{"id":4,"name":"Milepost","value":"23.3308"},{"id":17,"name":"Train ID","value":"237-26"},{"id":16,"name":"Locomotive ID","value":"4008"},{"id":130,"name":"Impact","value":""},{"id":150,"name":"Time of Event (Mountain Time)","value":"23:38:11"},{"id":151,"name":"Denver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4"/>
        <v>start /low /b %USERPROFILE%\Documents\GitHub\eaglep3\Utilities\DownloadLogsFromS3.py --loco 4008 --day 2017-08-26</v>
      </c>
      <c r="AN150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05:38:11"},{"id":29,"name":"Sharepoint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788</v>
      </c>
      <c r="B151" s="7">
        <v>4043</v>
      </c>
      <c r="C151" s="21" t="s">
        <v>197</v>
      </c>
      <c r="D151" s="21" t="s">
        <v>913</v>
      </c>
      <c r="E151" s="13">
        <v>42973.993668981479</v>
      </c>
      <c r="F151" s="13">
        <v>42973.998148148145</v>
      </c>
      <c r="G151" s="7">
        <v>1</v>
      </c>
      <c r="H151" s="21" t="s">
        <v>423</v>
      </c>
      <c r="I151" s="13">
        <v>42974.026805555557</v>
      </c>
      <c r="J151" s="7">
        <v>0</v>
      </c>
      <c r="K151" s="89" t="str">
        <f t="shared" si="50"/>
        <v>4043/4044</v>
      </c>
      <c r="L151" s="217" t="str">
        <f>VLOOKUP(A151,'Trips&amp;Operators'!$C$1:$G$99911,5,FALSE)</f>
        <v>RESPASS AARON</v>
      </c>
      <c r="M151" s="6">
        <f t="shared" si="51"/>
        <v>2.8657407412538305E-2</v>
      </c>
      <c r="N151" s="7">
        <f t="shared" si="48"/>
        <v>41.266666674055159</v>
      </c>
      <c r="O151" s="7"/>
      <c r="P151" s="7"/>
      <c r="Q151" s="22"/>
      <c r="R151" s="170"/>
      <c r="S151" s="213">
        <f t="shared" si="49"/>
        <v>1</v>
      </c>
      <c r="T151" s="195" t="str">
        <f t="shared" si="52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3"/>
        <v>https://d0f6bd738d7f1b3e5a7ca70fe4ff75f0.us-east-1.aws.found.io/app/kibana#/discover/Steve-Slow-Train-Analysis-(2080s-and-2083s)?_g=(refreshInterval:(display:Off,pause:!f,section:0,value:0),time:(from:'2017-08-26T22:50:53-0600',mode:absolute,to:'2017-08-27T01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97" t="str">
        <f>IF(AA151&lt;VLOOKUP(AG151,Variables!$AC$3:$AD$8,2,FALSE),"Y","N")</f>
        <v>N</v>
      </c>
      <c r="X151" s="197">
        <f t="shared" si="54"/>
        <v>1</v>
      </c>
      <c r="Y151" s="197">
        <f t="shared" si="55"/>
        <v>23.265599999999999</v>
      </c>
      <c r="Z151" s="197">
        <f t="shared" si="56"/>
        <v>1.3899999999999999E-2</v>
      </c>
      <c r="AA151" s="197">
        <f t="shared" si="57"/>
        <v>23.2517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58"/>
        <v>238</v>
      </c>
      <c r="AE151" s="77" t="str">
        <f t="shared" si="59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151" s="74" t="str">
        <f t="shared" si="60"/>
        <v>"C:\Program Files (x86)\AstroGrep\AstroGrep.exe" /e /r /s /spath="%USERPROFILE%\AppData\Local\Temp\OnboardLogs" /stypes="app*4043*20170827*" /stext=" 06:.+((SYSTEM_STATE.+slice.+state.+changed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62"/>
        <v>"%USERPROFILE%\Documents\GitHub\eaglep3\Utilities\RefineRTDCRunTimes.py" --tripid 238-26 --locoid 4043 --swversion DE.1.0.9.0 --startMP 204:232656 --initTime 2017-08-26T23:50:53 --startdatetime 2017-08-26T23:57:20 --delay 1 --endMP 204:139 --enddatetime 2017-08-27T00:38:36 --enforcementcount 0 &gt;&gt;C:\Users\stu\Documents\GitHub\eaglep3-reporting\EC\2017-08-26-refined-times.txt</v>
      </c>
      <c r="AI151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{"issue":{"subject":"","project_id":79,"tracker_id":40,"status_id":1,"priority_id":2,"assigned_to_id":23,"start_date":"2017-08-27","description":"","custom_fields":[{"id":1,"name":"Subdivision","value":"EC"},{"id":4,"name":"Milepost","value":"0.0139"},{"id":17,"name":"Train ID","value":"238-26"},{"id":16,"name":"Locomotive ID","value":"4043"},{"id":130,"name":"Impact","value":""},{"id":150,"name":"Time of Event (Mountain Time)","value":"00:38:36"},{"id":151,"name":"Denver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4"/>
        <v>start /low /b %USERPROFILE%\Documents\GitHub\eaglep3\Utilities\DownloadLogsFromS3.py --loco 4043 --day 2017-08-26</v>
      </c>
      <c r="AN151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06:38:36"},{"id":29,"name":"Sharepoint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786</v>
      </c>
      <c r="B152" s="7">
        <v>4040</v>
      </c>
      <c r="C152" s="21" t="s">
        <v>197</v>
      </c>
      <c r="D152" s="21" t="s">
        <v>914</v>
      </c>
      <c r="E152" s="13">
        <v>42973.97142361111</v>
      </c>
      <c r="F152" s="13">
        <v>42973.979687500003</v>
      </c>
      <c r="G152" s="7">
        <v>1</v>
      </c>
      <c r="H152" s="21" t="s">
        <v>403</v>
      </c>
      <c r="I152" s="13">
        <v>42974.006562499999</v>
      </c>
      <c r="J152" s="7">
        <v>0</v>
      </c>
      <c r="K152" s="89" t="str">
        <f t="shared" si="50"/>
        <v>4039/4040</v>
      </c>
      <c r="L152" s="217" t="str">
        <f>VLOOKUP(A152,'Trips&amp;Operators'!$C$1:$G$99911,5,FALSE)</f>
        <v>YANG JAN</v>
      </c>
      <c r="M152" s="6">
        <f t="shared" si="51"/>
        <v>2.6874999995925464E-2</v>
      </c>
      <c r="N152" s="7">
        <f t="shared" si="48"/>
        <v>38.699999994132668</v>
      </c>
      <c r="O152" s="7"/>
      <c r="P152" s="7"/>
      <c r="Q152" s="22"/>
      <c r="R152" s="170"/>
      <c r="S152" s="213">
        <f t="shared" si="49"/>
        <v>1</v>
      </c>
      <c r="T152" s="195" t="str">
        <f t="shared" si="52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3"/>
        <v>https://d0f6bd738d7f1b3e5a7ca70fe4ff75f0.us-east-1.aws.found.io/app/kibana#/discover/Steve-Slow-Train-Analysis-(2080s-and-2083s)?_g=(refreshInterval:(display:Off,pause:!f,section:0,value:0),time:(from:'2017-08-26T22:18:51-0600',mode:absolute,to:'2017-08-27T01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197" t="str">
        <f>IF(AA152&lt;VLOOKUP(AG152,Variables!$AC$3:$AD$8,2,FALSE),"Y","N")</f>
        <v>N</v>
      </c>
      <c r="X152" s="197">
        <f t="shared" si="54"/>
        <v>1</v>
      </c>
      <c r="Y152" s="197">
        <f t="shared" si="55"/>
        <v>4.8599999999999997E-2</v>
      </c>
      <c r="Z152" s="197">
        <f t="shared" si="56"/>
        <v>23.331199999999999</v>
      </c>
      <c r="AA152" s="197">
        <f t="shared" si="57"/>
        <v>23.282599999999999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58"/>
        <v>239</v>
      </c>
      <c r="AE152" s="77" t="str">
        <f t="shared" si="59"/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AF152" s="74" t="str">
        <f t="shared" si="60"/>
        <v>"C:\Program Files (x86)\AstroGrep\AstroGrep.exe" /e /r /s /spath="%USERPROFILE%\AppData\Local\Temp\OnboardLogs" /stypes="app*4040*20170827*" /stext=" 06:.+((SYSTEM_STATE.+slice.+state.+changed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62"/>
        <v>"%USERPROFILE%\Documents\GitHub\eaglep3\Utilities\RefineRTDCRunTimes.py" --tripid 239-26 --locoid 4040 --swversion DE.1.0.9.0 --startMP 204:486 --initTime 2017-08-26T23:18:51 --startdatetime 2017-08-26T23:30:45 --delay 1 --endMP 204:233312 --enddatetime 2017-08-27T00:09:27 --enforcementcount 0 &gt;&gt;C:\Users\stu\Documents\GitHub\eaglep3-reporting\EC\2017-08-26-refined-times.txt</v>
      </c>
      <c r="AI152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{"issue":{"subject":"","project_id":79,"tracker_id":40,"status_id":1,"priority_id":2,"assigned_to_id":23,"start_date":"2017-08-27","description":"","custom_fields":[{"id":1,"name":"Subdivision","value":"EC"},{"id":4,"name":"Milepost","value":"23.3312"},{"id":17,"name":"Train ID","value":"239-26"},{"id":16,"name":"Locomotive ID","value":"4040"},{"id":130,"name":"Impact","value":""},{"id":150,"name":"Time of Event (Mountain Time)","value":"00:09:27"},{"id":151,"name":"Denver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4"/>
        <v>start /low /b %USERPROFILE%\Documents\GitHub\eaglep3\Utilities\DownloadLogsFromS3.py --loco 4040 --day 2017-08-26</v>
      </c>
      <c r="AN152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06:09:27"},{"id":29,"name":"Sharepoint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789</v>
      </c>
      <c r="B153" s="7">
        <v>4039</v>
      </c>
      <c r="C153" s="21" t="s">
        <v>197</v>
      </c>
      <c r="D153" s="21" t="s">
        <v>818</v>
      </c>
      <c r="E153" s="13">
        <v>42974.014803240738</v>
      </c>
      <c r="F153" s="13">
        <v>42974.01902777778</v>
      </c>
      <c r="G153" s="7">
        <v>0</v>
      </c>
      <c r="H153" s="21" t="s">
        <v>339</v>
      </c>
      <c r="I153" s="13">
        <v>42974.046932870369</v>
      </c>
      <c r="J153" s="7">
        <v>0</v>
      </c>
      <c r="K153" s="89" t="str">
        <f t="shared" si="50"/>
        <v>4039/4040</v>
      </c>
      <c r="L153" s="217" t="str">
        <f>VLOOKUP(A153,'Trips&amp;Operators'!$C$1:$G$99911,5,FALSE)</f>
        <v>YANG JAN</v>
      </c>
      <c r="M153" s="6">
        <f t="shared" si="51"/>
        <v>2.7905092589207925E-2</v>
      </c>
      <c r="N153" s="7">
        <f t="shared" si="48"/>
        <v>40.183333328459412</v>
      </c>
      <c r="O153" s="7"/>
      <c r="P153" s="7"/>
      <c r="Q153" s="22"/>
      <c r="R153" s="170"/>
      <c r="S153" s="213">
        <f t="shared" si="49"/>
        <v>1</v>
      </c>
      <c r="T153" s="195" t="str">
        <f t="shared" si="52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3"/>
        <v>https://d0f6bd738d7f1b3e5a7ca70fe4ff75f0.us-east-1.aws.found.io/app/kibana#/discover/Steve-Slow-Train-Analysis-(2080s-and-2083s)?_g=(refreshInterval:(display:Off,pause:!f,section:0,value:0),time:(from:'2017-08-26T23:21:19-0600',mode:absolute,to:'2017-08-27T02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197" t="str">
        <f>IF(AA153&lt;VLOOKUP(AG153,Variables!$AC$3:$AD$8,2,FALSE),"Y","N")</f>
        <v>N</v>
      </c>
      <c r="X153" s="197">
        <f t="shared" si="54"/>
        <v>1</v>
      </c>
      <c r="Y153" s="197">
        <f t="shared" si="55"/>
        <v>23.298200000000001</v>
      </c>
      <c r="Z153" s="197">
        <f t="shared" si="56"/>
        <v>1.49E-2</v>
      </c>
      <c r="AA153" s="197">
        <f t="shared" si="57"/>
        <v>23.283300000000001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58"/>
        <v>240</v>
      </c>
      <c r="AE153" s="77" t="str">
        <f t="shared" si="59"/>
        <v>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 &amp; aws s3 cp s3://rtdc.mdm.uploadarchive.raw/RTDC4039/ "%USERPROFILE%\AppData\Local\Temp\OnboardLogs"\RTDC4039\2017-08-28 --exclude "*" --recursive --include "*20170828*" &amp; "%USERPROFILE%\Documents\GitHub\mrs-test-scripts\Headless Mode &amp; Sideloading\WalkAndUnGZ.bat" "%USERPROFILE%\AppData\Local\Temp\OnboardLogs"\RTDC4039\2017-08-28</v>
      </c>
      <c r="AF153" s="74" t="str">
        <f t="shared" si="60"/>
        <v>"C:\Program Files (x86)\AstroGrep\AstroGrep.exe" /e /r /s /spath="%USERPROFILE%\AppData\Local\Temp\OnboardLogs" /stypes="app*4039*20170827*" /stext=" 07:.+((SYSTEM_STATE.+slice.+state.+changed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62"/>
        <v>"%USERPROFILE%\Documents\GitHub\eaglep3\Utilities\RefineRTDCRunTimes.py" --tripid 240-26 --locoid 4039 --swversion DE.1.0.9.0 --startMP 204:232982 --initTime 2017-08-27T00:21:19 --startdatetime 2017-08-27T00:27:24 --delay 0 --endMP 204:149 --enddatetime 2017-08-27T01:07:35 --enforcementcount 0 &gt;&gt;C:\Users\stu\Documents\GitHub\eaglep3-reporting\EC\2017-08-26-refined-times.txt</v>
      </c>
      <c r="AI153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{"issue":{"subject":"","project_id":79,"tracker_id":40,"status_id":1,"priority_id":2,"assigned_to_id":23,"start_date":"2017-08-27","description":"","custom_fields":[{"id":1,"name":"Subdivision","value":"EC"},{"id":4,"name":"Milepost","value":"0.0149"},{"id":17,"name":"Train ID","value":"240-26"},{"id":16,"name":"Locomotive ID","value":"4039"},{"id":130,"name":"Impact","value":""},{"id":150,"name":"Time of Event (Mountain Time)","value":"01:07:35"},{"id":151,"name":"Denver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4"/>
        <v>start /low /b %USERPROFILE%\Documents\GitHub\eaglep3\Utilities\DownloadLogsFromS3.py --loco 4039 --day 2017-08-27</v>
      </c>
      <c r="AN153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787</v>
      </c>
      <c r="B154" s="7">
        <v>4066</v>
      </c>
      <c r="C154" s="21" t="s">
        <v>197</v>
      </c>
      <c r="D154" s="21" t="s">
        <v>432</v>
      </c>
      <c r="E154" s="13">
        <v>42973.989884259259</v>
      </c>
      <c r="F154" s="13">
        <v>42974.000601851854</v>
      </c>
      <c r="G154" s="7">
        <v>1</v>
      </c>
      <c r="H154" s="21" t="s">
        <v>814</v>
      </c>
      <c r="I154" s="13">
        <v>42974.026979166665</v>
      </c>
      <c r="J154" s="7">
        <v>0</v>
      </c>
      <c r="K154" s="89" t="str">
        <f t="shared" si="50"/>
        <v>4065/4066</v>
      </c>
      <c r="L154" s="217" t="str">
        <f>VLOOKUP(A154,'Trips&amp;Operators'!$C$1:$G$99911,5,FALSE)</f>
        <v>PERKINS DARREN</v>
      </c>
      <c r="M154" s="6">
        <f t="shared" si="51"/>
        <v>2.6377314810815733E-2</v>
      </c>
      <c r="N154" s="7">
        <f t="shared" si="48"/>
        <v>37.983333327574655</v>
      </c>
      <c r="O154" s="7"/>
      <c r="P154" s="7"/>
      <c r="Q154" s="22"/>
      <c r="R154" s="170"/>
      <c r="S154" s="213">
        <f t="shared" si="49"/>
        <v>1</v>
      </c>
      <c r="T154" s="195" t="str">
        <f t="shared" si="52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3"/>
        <v>https://d0f6bd738d7f1b3e5a7ca70fe4ff75f0.us-east-1.aws.found.io/app/kibana#/discover/Steve-Slow-Train-Analysis-(2080s-and-2083s)?_g=(refreshInterval:(display:Off,pause:!f,section:0,value:0),time:(from:'2017-08-26T22:45:26-0600',mode:absolute,to:'2017-08-27T01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4" s="197" t="str">
        <f>IF(AA154&lt;VLOOKUP(AG154,Variables!$AC$3:$AD$8,2,FALSE),"Y","N")</f>
        <v>N</v>
      </c>
      <c r="X154" s="197">
        <f t="shared" si="54"/>
        <v>1</v>
      </c>
      <c r="Y154" s="197">
        <f t="shared" si="55"/>
        <v>4.6899999999999997E-2</v>
      </c>
      <c r="Z154" s="197">
        <f t="shared" si="56"/>
        <v>23.340800000000002</v>
      </c>
      <c r="AA154" s="197">
        <f t="shared" si="57"/>
        <v>23.293900000000001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58"/>
        <v>241</v>
      </c>
      <c r="AE154" s="77" t="str">
        <f t="shared" si="59"/>
        <v>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 &amp; aws s3 cp s3://rtdc.mdm.uploadarchive.raw/RTDC4066/ "%USERPROFILE%\AppData\Local\Temp\OnboardLogs"\RTDC4066\2017-08-28 --exclude "*" --recursive --include "*20170828*" &amp; "%USERPROFILE%\Documents\GitHub\mrs-test-scripts\Headless Mode &amp; Sideloading\WalkAndUnGZ.bat" "%USERPROFILE%\AppData\Local\Temp\OnboardLogs"\RTDC4066\2017-08-28</v>
      </c>
      <c r="AF154" s="74" t="str">
        <f t="shared" si="60"/>
        <v>"C:\Program Files (x86)\AstroGrep\AstroGrep.exe" /e /r /s /spath="%USERPROFILE%\AppData\Local\Temp\OnboardLogs" /stypes="app*4066*20170827*" /stext=" 06:.+((SYSTEM_STATE.+slice.+state.+changed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62"/>
        <v>"%USERPROFILE%\Documents\GitHub\eaglep3\Utilities\RefineRTDCRunTimes.py" --tripid 241-26 --locoid 4066 --swversion DE.1.0.9.0 --startMP 204:469 --initTime 2017-08-26T23:45:26 --startdatetime 2017-08-27T00:00:52 --delay 1 --endMP 204:233408 --enddatetime 2017-08-27T00:38:51 --enforcementcount 0 &gt;&gt;C:\Users\stu\Documents\GitHub\eaglep3-reporting\EC\2017-08-26-refined-times.txt</v>
      </c>
      <c r="AI154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{"issue":{"subject":"","project_id":79,"tracker_id":40,"status_id":1,"priority_id":2,"assigned_to_id":23,"start_date":"2017-08-27","description":"","custom_fields":[{"id":1,"name":"Subdivision","value":"EC"},{"id":4,"name":"Milepost","value":"23.3408"},{"id":17,"name":"Train ID","value":"241-26"},{"id":16,"name":"Locomotive ID","value":"4066"},{"id":130,"name":"Impact","value":""},{"id":150,"name":"Time of Event (Mountain Time)","value":"00:38:51"},{"id":151,"name":"Denver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4"/>
        <v>start /low /b %USERPROFILE%\Documents\GitHub\eaglep3\Utilities\DownloadLogsFromS3.py --loco 4066 --day 2017-08-27</v>
      </c>
      <c r="AN154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06:38:51"},{"id":29,"name":"Sharepoint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790</v>
      </c>
      <c r="B155" s="7">
        <v>4065</v>
      </c>
      <c r="C155" s="21" t="s">
        <v>197</v>
      </c>
      <c r="D155" s="21" t="s">
        <v>899</v>
      </c>
      <c r="E155" s="13">
        <v>42974.032708333332</v>
      </c>
      <c r="F155" s="13">
        <v>42974.039814814816</v>
      </c>
      <c r="G155" s="7">
        <v>1</v>
      </c>
      <c r="H155" s="21" t="s">
        <v>842</v>
      </c>
      <c r="I155" s="13">
        <v>42974.068761574075</v>
      </c>
      <c r="J155" s="7">
        <v>0</v>
      </c>
      <c r="K155" s="89" t="str">
        <f t="shared" si="50"/>
        <v>4065/4066</v>
      </c>
      <c r="L155" s="217" t="str">
        <f>VLOOKUP(A155,'Trips&amp;Operators'!$C$1:$G$99911,5,FALSE)</f>
        <v>PERKINS DARREN</v>
      </c>
      <c r="M155" s="6">
        <f t="shared" si="51"/>
        <v>2.8946759259270038E-2</v>
      </c>
      <c r="N155" s="7">
        <f t="shared" si="48"/>
        <v>41.683333333348855</v>
      </c>
      <c r="O155" s="7"/>
      <c r="P155" s="7"/>
      <c r="Q155" s="22"/>
      <c r="R155" s="170"/>
      <c r="S155" s="213">
        <f t="shared" si="49"/>
        <v>1</v>
      </c>
      <c r="T155" s="195" t="str">
        <f t="shared" si="52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3"/>
        <v>https://d0f6bd738d7f1b3e5a7ca70fe4ff75f0.us-east-1.aws.found.io/app/kibana#/discover/Steve-Slow-Train-Analysis-(2080s-and-2083s)?_g=(refreshInterval:(display:Off,pause:!f,section:0,value:0),time:(from:'2017-08-26T23:47:06-0600',mode:absolute,to:'2017-08-27T02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5" s="197" t="str">
        <f>IF(AA155&lt;VLOOKUP(AG155,Variables!$AC$3:$AD$8,2,FALSE),"Y","N")</f>
        <v>N</v>
      </c>
      <c r="X155" s="197">
        <f t="shared" si="54"/>
        <v>1</v>
      </c>
      <c r="Y155" s="197">
        <f t="shared" si="55"/>
        <v>23.307400000000001</v>
      </c>
      <c r="Z155" s="197">
        <f t="shared" si="56"/>
        <v>1.23E-2</v>
      </c>
      <c r="AA155" s="197">
        <f t="shared" si="57"/>
        <v>23.295100000000001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58"/>
        <v>242</v>
      </c>
      <c r="AE155" s="77" t="str">
        <f t="shared" si="59"/>
        <v>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 &amp; aws s3 cp s3://rtdc.mdm.uploadarchive.raw/RTDC4065/ "%USERPROFILE%\AppData\Local\Temp\OnboardLogs"\RTDC4065\2017-08-28 --exclude "*" --recursive --include "*20170828*" &amp; "%USERPROFILE%\Documents\GitHub\mrs-test-scripts\Headless Mode &amp; Sideloading\WalkAndUnGZ.bat" "%USERPROFILE%\AppData\Local\Temp\OnboardLogs"\RTDC4065\2017-08-28</v>
      </c>
      <c r="AF155" s="74" t="str">
        <f t="shared" si="60"/>
        <v>"C:\Program Files (x86)\AstroGrep\AstroGrep.exe" /e /r /s /spath="%USERPROFILE%\AppData\Local\Temp\OnboardLogs" /stypes="app*4065*20170827*" /stext=" 07:.+((SYSTEM_STATE.+slice.+state.+changed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62"/>
        <v>"%USERPROFILE%\Documents\GitHub\eaglep3\Utilities\RefineRTDCRunTimes.py" --tripid 242-26 --locoid 4065 --swversion DE.1.0.9.0 --startMP 204:233074 --initTime 2017-08-27T00:47:06 --startdatetime 2017-08-27T00:57:20 --delay 1 --endMP 204:123 --enddatetime 2017-08-27T01:39:01 --enforcementcount 0 &gt;&gt;C:\Users\stu\Documents\GitHub\eaglep3-reporting\EC\2017-08-26-refined-times.txt</v>
      </c>
      <c r="AI155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{"issue":{"subject":"","project_id":79,"tracker_id":40,"status_id":1,"priority_id":2,"assigned_to_id":23,"start_date":"2017-08-27","description":"","custom_fields":[{"id":1,"name":"Subdivision","value":"EC"},{"id":4,"name":"Milepost","value":"0.0123"},{"id":17,"name":"Train ID","value":"242-26"},{"id":16,"name":"Locomotive ID","value":"4065"},{"id":130,"name":"Impact","value":""},{"id":150,"name":"Time of Event (Mountain Time)","value":"01:39:01"},{"id":151,"name":"Denver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4"/>
        <v>start /low /b %USERPROFILE%\Documents\GitHub\eaglep3\Utilities\DownloadLogsFromS3.py --loco 4065 --day 2017-08-27</v>
      </c>
      <c r="AN155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585</v>
      </c>
      <c r="B156" s="7">
        <v>4062</v>
      </c>
      <c r="C156" s="21" t="s">
        <v>197</v>
      </c>
      <c r="D156" s="21" t="s">
        <v>853</v>
      </c>
      <c r="E156" s="13">
        <v>42974.009780092594</v>
      </c>
      <c r="F156" s="13">
        <v>42974.02138888889</v>
      </c>
      <c r="G156" s="7">
        <v>1</v>
      </c>
      <c r="H156" s="21" t="s">
        <v>915</v>
      </c>
      <c r="I156" s="13">
        <v>42974.048194444447</v>
      </c>
      <c r="J156" s="7">
        <v>0</v>
      </c>
      <c r="K156" s="89" t="str">
        <f t="shared" si="50"/>
        <v>4061/4062</v>
      </c>
      <c r="L156" s="217" t="str">
        <f>VLOOKUP(A156,'Trips&amp;Operators'!$C$1:$G$99911,5,FALSE)</f>
        <v>FORTUNATO FRANK</v>
      </c>
      <c r="M156" s="6">
        <f t="shared" si="51"/>
        <v>2.6805555557075422E-2</v>
      </c>
      <c r="N156" s="7">
        <f t="shared" si="48"/>
        <v>38.600000002188608</v>
      </c>
      <c r="O156" s="7"/>
      <c r="P156" s="7"/>
      <c r="Q156" s="22"/>
      <c r="R156" s="170"/>
      <c r="S156" s="213">
        <f t="shared" si="49"/>
        <v>1</v>
      </c>
      <c r="T156" s="195" t="str">
        <f t="shared" si="52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3"/>
        <v>https://d0f6bd738d7f1b3e5a7ca70fe4ff75f0.us-east-1.aws.found.io/app/kibana#/discover/Steve-Slow-Train-Analysis-(2080s-and-2083s)?_g=(refreshInterval:(display:Off,pause:!f,section:0,value:0),time:(from:'2017-08-26T23:14:05-0600',mode:absolute,to:'2017-08-27T02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6" s="197" t="str">
        <f>IF(AA156&lt;VLOOKUP(AG156,Variables!$AC$3:$AD$8,2,FALSE),"Y","N")</f>
        <v>N</v>
      </c>
      <c r="X156" s="197">
        <f t="shared" si="54"/>
        <v>1</v>
      </c>
      <c r="Y156" s="197">
        <f t="shared" si="55"/>
        <v>7.2400000000000006E-2</v>
      </c>
      <c r="Z156" s="197">
        <f t="shared" si="56"/>
        <v>23.332000000000001</v>
      </c>
      <c r="AA156" s="197">
        <f t="shared" si="57"/>
        <v>23.259600000000002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58"/>
        <v>243</v>
      </c>
      <c r="AE156" s="77" t="str">
        <f t="shared" si="59"/>
        <v>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 &amp; aws s3 cp s3://rtdc.mdm.uploadarchive.raw/RTDC4062/ "%USERPROFILE%\AppData\Local\Temp\OnboardLogs"\RTDC4062\2017-08-28 --exclude "*" --recursive --include "*20170828*" &amp; "%USERPROFILE%\Documents\GitHub\mrs-test-scripts\Headless Mode &amp; Sideloading\WalkAndUnGZ.bat" "%USERPROFILE%\AppData\Local\Temp\OnboardLogs"\RTDC4062\2017-08-28</v>
      </c>
      <c r="AF156" s="74" t="str">
        <f t="shared" si="60"/>
        <v>"C:\Program Files (x86)\AstroGrep\AstroGrep.exe" /e /r /s /spath="%USERPROFILE%\AppData\Local\Temp\OnboardLogs" /stypes="app*4062*20170827*" /stext=" 07:.+((SYSTEM_STATE.+slice.+state.+changed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62"/>
        <v>"%USERPROFILE%\Documents\GitHub\eaglep3\Utilities\RefineRTDCRunTimes.py" --tripid 243-26 --locoid 4062 --swversion DE.1.0.9.0 --startMP 204:724 --initTime 2017-08-27T00:14:05 --startdatetime 2017-08-27T00:30:48 --delay 1 --endMP 204:233320 --enddatetime 2017-08-27T01:09:24 --enforcementcount 0 &gt;&gt;C:\Users\stu\Documents\GitHub\eaglep3-reporting\EC\2017-08-26-refined-times.txt</v>
      </c>
      <c r="AI156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{"issue":{"subject":"","project_id":79,"tracker_id":40,"status_id":1,"priority_id":2,"assigned_to_id":23,"start_date":"2017-08-27","description":"","custom_fields":[{"id":1,"name":"Subdivision","value":"EC"},{"id":4,"name":"Milepost","value":"23.332"},{"id":17,"name":"Train ID","value":"243-26"},{"id":16,"name":"Locomotive ID","value":"4062"},{"id":130,"name":"Impact","value":""},{"id":150,"name":"Time of Event (Mountain Time)","value":"01:09:24"},{"id":151,"name":"Denver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4"/>
        <v>start /low /b %USERPROFILE%\Documents\GitHub\eaglep3\Utilities\DownloadLogsFromS3.py --loco 4062 --day 2017-08-27</v>
      </c>
      <c r="AN156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586</v>
      </c>
      <c r="B157" s="7">
        <v>4017</v>
      </c>
      <c r="C157" s="21" t="s">
        <v>197</v>
      </c>
      <c r="D157" s="21" t="s">
        <v>916</v>
      </c>
      <c r="E157" s="13">
        <v>42974.050335648149</v>
      </c>
      <c r="F157" s="13">
        <v>42974.060590277775</v>
      </c>
      <c r="G157" s="7">
        <v>1</v>
      </c>
      <c r="H157" s="21" t="s">
        <v>917</v>
      </c>
      <c r="I157" s="13">
        <v>42974.087129629632</v>
      </c>
      <c r="J157" s="7">
        <v>0</v>
      </c>
      <c r="K157" s="89" t="str">
        <f t="shared" si="50"/>
        <v>4017/4018</v>
      </c>
      <c r="L157" s="217" t="str">
        <f>VLOOKUP(A157,'Trips&amp;Operators'!$C$1:$G$99911,5,FALSE)</f>
        <v>FORTUNATO FRANK</v>
      </c>
      <c r="M157" s="6">
        <f t="shared" si="51"/>
        <v>2.6539351856627036E-2</v>
      </c>
      <c r="N157" s="7">
        <f t="shared" si="48"/>
        <v>38.216666673542932</v>
      </c>
      <c r="O157" s="7"/>
      <c r="P157" s="7"/>
      <c r="Q157" s="22"/>
      <c r="R157" s="170"/>
      <c r="S157" s="213">
        <f t="shared" si="49"/>
        <v>1</v>
      </c>
      <c r="T157" s="195" t="str">
        <f t="shared" si="52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3"/>
        <v>https://d0f6bd738d7f1b3e5a7ca70fe4ff75f0.us-east-1.aws.found.io/app/kibana#/discover/Steve-Slow-Train-Analysis-(2080s-and-2083s)?_g=(refreshInterval:(display:Off,pause:!f,section:0,value:0),time:(from:'2017-08-27T00:12:29-0600',mode:absolute,to:'2017-08-27T03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7" t="str">
        <f>IF(AA157&lt;VLOOKUP(AG157,Variables!$AC$3:$AD$8,2,FALSE),"Y","N")</f>
        <v>Y</v>
      </c>
      <c r="X157" s="197">
        <f t="shared" ref="X157:X162" si="66">VALUE(LEFT(AD157,4))-VALUE(LEFT(AD156,4))</f>
        <v>1</v>
      </c>
      <c r="Y157" s="197">
        <f t="shared" ref="Y157:Y162" si="67">RIGHT(D157,LEN(D157)-4)/10000</f>
        <v>23.267299999999999</v>
      </c>
      <c r="Z157" s="197">
        <f t="shared" si="56"/>
        <v>0.2949</v>
      </c>
      <c r="AA157" s="197">
        <f t="shared" si="57"/>
        <v>22.9724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58"/>
        <v>244</v>
      </c>
      <c r="AE157" s="77" t="str">
        <f t="shared" si="59"/>
        <v>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 &amp; aws s3 cp s3://rtdc.mdm.uploadarchive.raw/RTDC4017/ "%USERPROFILE%\AppData\Local\Temp\OnboardLogs"\RTDC4017\2017-08-28 --exclude "*" --recursive --include "*20170828*" &amp; "%USERPROFILE%\Documents\GitHub\mrs-test-scripts\Headless Mode &amp; Sideloading\WalkAndUnGZ.bat" "%USERPROFILE%\AppData\Local\Temp\OnboardLogs"\RTDC4017\2017-08-28</v>
      </c>
      <c r="AF157" s="74" t="str">
        <f t="shared" si="60"/>
        <v>"C:\Program Files (x86)\AstroGrep\AstroGrep.exe" /e /r /s /spath="%USERPROFILE%\AppData\Local\Temp\OnboardLogs" /stypes="app*4017*20170827*" /stext=" 08:.+((SYSTEM_STATE.+slice.+state.+changed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62"/>
        <v>"%USERPROFILE%\Documents\GitHub\eaglep3\Utilities\RefineRTDCRunTimes.py" --tripid 244-26 --locoid 4017 --swversion DE.1.0.9.0 --startMP 204:232673 --initTime 2017-08-27T01:12:29 --startdatetime 2017-08-27T01:27:15 --delay 1 --endMP 204:2949 --enddatetime 2017-08-27T02:05:28 --enforcementcount 0 &gt;&gt;C:\Users\stu\Documents\GitHub\eaglep3-reporting\EC\2017-08-26-refined-times.txt</v>
      </c>
      <c r="AI157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{"issue":{"subject":"","project_id":79,"tracker_id":40,"status_id":1,"priority_id":2,"assigned_to_id":23,"start_date":"2017-08-27","description":"","custom_fields":[{"id":1,"name":"Subdivision","value":"EC"},{"id":4,"name":"Milepost","value":"0.2949"},{"id":17,"name":"Train ID","value":"244-26"},{"id":16,"name":"Locomotive ID","value":"4017"},{"id":130,"name":"Impact","value":""},{"id":150,"name":"Time of Event (Mountain Time)","value":"02:05:28"},{"id":151,"name":"Denver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4"/>
        <v>start /low /b %USERPROFILE%\Documents\GitHub\eaglep3\Utilities\DownloadLogsFromS3.py --loco 4017 --day 2017-08-27</v>
      </c>
      <c r="AN157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08:05:28"},{"id":29,"name":"Sharepoint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791</v>
      </c>
      <c r="B158" s="7">
        <v>4008</v>
      </c>
      <c r="C158" s="21" t="s">
        <v>197</v>
      </c>
      <c r="D158" s="21" t="s">
        <v>918</v>
      </c>
      <c r="E158" s="13">
        <v>42974.033449074072</v>
      </c>
      <c r="F158" s="13">
        <v>42974.042199074072</v>
      </c>
      <c r="G158" s="7">
        <v>2</v>
      </c>
      <c r="H158" s="21" t="s">
        <v>407</v>
      </c>
      <c r="I158" s="13">
        <v>42974.068761574075</v>
      </c>
      <c r="J158" s="7">
        <v>0</v>
      </c>
      <c r="K158" s="89" t="str">
        <f t="shared" si="50"/>
        <v>4007/4008</v>
      </c>
      <c r="L158" s="217" t="str">
        <f>VLOOKUP(A158,'Trips&amp;Operators'!$C$1:$G$99911,5,FALSE)</f>
        <v>RESPASS AARON</v>
      </c>
      <c r="M158" s="6">
        <f t="shared" si="51"/>
        <v>2.6562500002910383E-2</v>
      </c>
      <c r="N158" s="7">
        <f t="shared" si="48"/>
        <v>38.250000004190952</v>
      </c>
      <c r="O158" s="7"/>
      <c r="P158" s="7"/>
      <c r="Q158" s="22"/>
      <c r="R158" s="170"/>
      <c r="S158" s="213">
        <f t="shared" si="49"/>
        <v>1</v>
      </c>
      <c r="T158" s="195" t="str">
        <f t="shared" si="52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3"/>
        <v>https://d0f6bd738d7f1b3e5a7ca70fe4ff75f0.us-east-1.aws.found.io/app/kibana#/discover/Steve-Slow-Train-Analysis-(2080s-and-2083s)?_g=(refreshInterval:(display:Off,pause:!f,section:0,value:0),time:(from:'2017-08-26T23:48:10-0600',mode:absolute,to:'2017-08-27T02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7" t="str">
        <f>IF(AA158&lt;VLOOKUP(AG158,Variables!$AC$3:$AD$8,2,FALSE),"Y","N")</f>
        <v>N</v>
      </c>
      <c r="X158" s="197">
        <f t="shared" si="66"/>
        <v>1</v>
      </c>
      <c r="Y158" s="197">
        <f t="shared" si="67"/>
        <v>7.5700000000000003E-2</v>
      </c>
      <c r="Z158" s="197">
        <f t="shared" si="56"/>
        <v>23.331499999999998</v>
      </c>
      <c r="AA158" s="197">
        <f t="shared" si="57"/>
        <v>23.255799999999997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58"/>
        <v>245</v>
      </c>
      <c r="AE158" s="77" t="str">
        <f t="shared" si="59"/>
        <v>aws s3 cp s3://rtdc.mdm.uploadarchive.raw/RTDC4008/ "%USERPROFILE%\AppData\Local\Temp\OnboardLogs"\RTDC4008\2017-08-27 --exclude "*" --recursive --include "*20170827*" &amp; "%USERPROFILE%\Documents\GitHub\mrs-test-scripts\Headless Mode &amp; Sideloading\WalkAndUnGZ.bat" "%USERPROFILE%\AppData\Local\Temp\OnboardLogs"\RTDC4008\2017-08-27 &amp; aws s3 cp s3://rtdc.mdm.uploadarchive.raw/RTDC4008/ "%USERPROFILE%\AppData\Local\Temp\OnboardLogs"\RTDC4008\2017-08-28 --exclude "*" --recursive --include "*20170828*" &amp; "%USERPROFILE%\Documents\GitHub\mrs-test-scripts\Headless Mode &amp; Sideloading\WalkAndUnGZ.bat" "%USERPROFILE%\AppData\Local\Temp\OnboardLogs"\RTDC4008\2017-08-28</v>
      </c>
      <c r="AF158" s="74" t="str">
        <f t="shared" si="60"/>
        <v>"C:\Program Files (x86)\AstroGrep\AstroGrep.exe" /e /r /s /spath="%USERPROFILE%\AppData\Local\Temp\OnboardLogs" /stypes="app*4008*20170827*" /stext=" 07:.+((SYSTEM_STATE.+slice.+state.+changed )|(ment ac)|(multiple cpu faults)|(system.+state.+changed )|(\[timeout)|(PRM\|1\|D)|(kpr)|(kdp)|(train st.+moving)|(\|lc)|(penalty))"</v>
      </c>
      <c r="AG158" s="209" t="str">
        <f t="shared" si="61"/>
        <v>EC</v>
      </c>
      <c r="AH158" s="78" t="str">
        <f t="shared" si="62"/>
        <v>"%USERPROFILE%\Documents\GitHub\eaglep3\Utilities\RefineRTDCRunTimes.py" --tripid 245-26 --locoid 4008 --swversion DE.1.0.9.0 --startMP 204:757 --initTime 2017-08-27T00:48:10 --startdatetime 2017-08-27T01:00:46 --delay 2 --endMP 204:233315 --enddatetime 2017-08-27T01:39:01 --enforcementcount 0 &gt;&gt;C:\Users\stu\Documents\GitHub\eaglep3-reporting\EC\2017-08-26-refined-times.txt</v>
      </c>
      <c r="AI158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{"issue":{"subject":"","project_id":79,"tracker_id":40,"status_id":1,"priority_id":2,"assigned_to_id":23,"start_date":"2017-08-27","description":"","custom_fields":[{"id":1,"name":"Subdivision","value":"EC"},{"id":4,"name":"Milepost","value":"23.3315"},{"id":17,"name":"Train ID","value":"245-26"},{"id":16,"name":"Locomotive ID","value":"4008"},{"id":130,"name":"Impact","value":""},{"id":150,"name":"Time of Event (Mountain Time)","value":"01:39:01"},{"id":151,"name":"Denver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4"/>
        <v>start /low /b %USERPROFILE%\Documents\GitHub\eaglep3\Utilities\DownloadLogsFromS3.py --loco 4008 --day 2017-08-27</v>
      </c>
      <c r="AN158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587</v>
      </c>
      <c r="B159" s="7">
        <v>4043</v>
      </c>
      <c r="C159" s="21" t="s">
        <v>197</v>
      </c>
      <c r="D159" s="21" t="s">
        <v>919</v>
      </c>
      <c r="E159" s="13">
        <v>42974.089282407411</v>
      </c>
      <c r="F159" s="13">
        <v>42974.092870370368</v>
      </c>
      <c r="G159" s="7">
        <v>1</v>
      </c>
      <c r="H159" s="21" t="s">
        <v>392</v>
      </c>
      <c r="I159" s="13">
        <v>42974.11550925926</v>
      </c>
      <c r="J159" s="7">
        <v>0</v>
      </c>
      <c r="K159" s="89" t="str">
        <f t="shared" si="50"/>
        <v>4043/4044</v>
      </c>
      <c r="L159" s="217" t="str">
        <f>VLOOKUP(A159,'Trips&amp;Operators'!$C$1:$G$99911,5,FALSE)</f>
        <v>RESPASS AARON</v>
      </c>
      <c r="M159" s="6">
        <f t="shared" si="51"/>
        <v>2.2638888891378883E-2</v>
      </c>
      <c r="N159" s="7"/>
      <c r="O159" s="7"/>
      <c r="P159" s="7">
        <f>24*60*SUM($M159:$M159)</f>
        <v>32.600000003585592</v>
      </c>
      <c r="Q159" s="22"/>
      <c r="R159" s="170" t="s">
        <v>442</v>
      </c>
      <c r="S159" s="213">
        <f t="shared" si="49"/>
        <v>1</v>
      </c>
      <c r="T159" s="195" t="str">
        <f t="shared" si="5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3"/>
        <v>https://d0f6bd738d7f1b3e5a7ca70fe4ff75f0.us-east-1.aws.found.io/app/kibana#/discover/Steve-Slow-Train-Analysis-(2080s-and-2083s)?_g=(refreshInterval:(display:Off,pause:!f,section:0,value:0),time:(from:'2017-08-27T01:08:34-0600',mode:absolute,to:'2017-08-27T03:46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197" t="str">
        <f>IF(AA159&lt;VLOOKUP(AG159,Variables!$AC$3:$AD$8,2,FALSE),"Y","N")</f>
        <v>Y</v>
      </c>
      <c r="X159" s="197">
        <f t="shared" si="66"/>
        <v>1</v>
      </c>
      <c r="Y159" s="197">
        <f t="shared" si="67"/>
        <v>16.1568</v>
      </c>
      <c r="Z159" s="197">
        <f t="shared" si="56"/>
        <v>1.5599999999999999E-2</v>
      </c>
      <c r="AA159" s="197">
        <f t="shared" si="57"/>
        <v>16.141200000000001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58"/>
        <v>246</v>
      </c>
      <c r="AE159" s="77" t="str">
        <f t="shared" si="59"/>
        <v>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 &amp; aws s3 cp s3://rtdc.mdm.uploadarchive.raw/RTDC4043/ "%USERPROFILE%\AppData\Local\Temp\OnboardLogs"\RTDC4043\2017-08-28 --exclude "*" --recursive --include "*20170828*" &amp; "%USERPROFILE%\Documents\GitHub\mrs-test-scripts\Headless Mode &amp; Sideloading\WalkAndUnGZ.bat" "%USERPROFILE%\AppData\Local\Temp\OnboardLogs"\RTDC4043\2017-08-28</v>
      </c>
      <c r="AF159" s="74" t="str">
        <f t="shared" si="60"/>
        <v>"C:\Program Files (x86)\AstroGrep\AstroGrep.exe" /e /r /s /spath="%USERPROFILE%\AppData\Local\Temp\OnboardLogs" /stypes="app*4043*20170827*" /stext=" 08:.+((SYSTEM_STATE.+slice.+state.+changed )|(ment ac)|(multiple cpu faults)|(system.+state.+changed )|(\[timeout)|(PRM\|1\|D)|(kpr)|(kdp)|(train st.+moving)|(\|lc)|(penalty))"</v>
      </c>
      <c r="AG159" s="209" t="str">
        <f t="shared" si="61"/>
        <v>EC</v>
      </c>
      <c r="AH159" s="78" t="str">
        <f t="shared" si="62"/>
        <v>"%USERPROFILE%\Documents\GitHub\eaglep3\Utilities\RefineRTDCRunTimes.py" --tripid 246-26 --locoid 4043 --swversion DE.1.0.9.0 --startMP 204:161568 --initTime 2017-08-27T02:08:34 --startdatetime 2017-08-27T02:13:44 --delay 1 --endMP 204:156 --enddatetime 2017-08-27T02:46:20 --enforcementcount 0 &gt;&gt;C:\Users\stu\Documents\GitHub\eaglep3-reporting\EC\2017-08-26-refined-times.txt</v>
      </c>
      <c r="AI159" s="96" t="str">
        <f t="shared" si="63"/>
        <v>echo {"issue":{"subject":"Wi-MAX data drop","project_id":79,"tracker_id":40,"status_id":1,"priority_id":2,"assigned_to_id":23,"start_date":"2017-08-27","description":"","custom_fields":[{"id":1,"name":"Subdivision","value":"EC"},{"id":4,"name":"Milepost","value":"0.0156"},{"id":17,"name":"Train ID","value":"246-26"},{"id":16,"name":"Locomotive ID","value":"4043"},{"id":130,"name":"Impact","value":""},{"id":150,"name":"Time of Event (Mountain Time)","value":"02:46:20"},{"id":151,"name":"Denver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4"/>
        <v>start /low /b %USERPROFILE%\Documents\GitHub\eaglep3\Utilities\DownloadLogsFromS3.py --loco 4043 --day 2017-08-27</v>
      </c>
      <c r="AN159" s="151" t="str">
        <f t="shared" si="65"/>
        <v>echo {"issue":{"subject":"Wi-MAX data drop","project_id":30,"tracker_id":4,"status_id":1,"priority_id":1,"assigned_to_id":10,"start_date":"2017-08-27","description":"","custom_fields":[{"id":30,"name":"Category","value":"Issue"},{"id":3,"name":"Functional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08:46:20"},{"id":29,"name":"Sharepoint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587</v>
      </c>
      <c r="B160" s="7">
        <v>4043</v>
      </c>
      <c r="C160" s="21" t="s">
        <v>197</v>
      </c>
      <c r="D160" s="21" t="s">
        <v>920</v>
      </c>
      <c r="E160" s="13">
        <v>42974.075613425928</v>
      </c>
      <c r="F160" s="13">
        <v>42974.092870370368</v>
      </c>
      <c r="G160" s="7">
        <v>1</v>
      </c>
      <c r="H160" s="21" t="s">
        <v>921</v>
      </c>
      <c r="I160" s="13">
        <v>42974.11550925926</v>
      </c>
      <c r="J160" s="7">
        <v>0</v>
      </c>
      <c r="K160" s="89" t="str">
        <f t="shared" si="50"/>
        <v>4043/4044</v>
      </c>
      <c r="L160" s="217" t="str">
        <f>VLOOKUP(A160,'Trips&amp;Operators'!$C$1:$G$99911,5,FALSE)</f>
        <v>RESPASS AARON</v>
      </c>
      <c r="M160" s="6">
        <f t="shared" si="51"/>
        <v>2.2638888891378883E-2</v>
      </c>
      <c r="N160" s="7"/>
      <c r="O160" s="7"/>
      <c r="P160" s="7"/>
      <c r="Q160" s="22"/>
      <c r="R160" s="170"/>
      <c r="S160" s="213"/>
      <c r="T160" s="195" t="str">
        <f t="shared" si="5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96" t="str">
        <f t="shared" si="53"/>
        <v>https://d0f6bd738d7f1b3e5a7ca70fe4ff75f0.us-east-1.aws.found.io/app/kibana#/discover/Steve-Slow-Train-Analysis-(2080s-and-2083s)?_g=(refreshInterval:(display:Off,pause:!f,section:0,value:0),time:(from:'2017-08-27T00:48:53-0600',mode:absolute,to:'2017-08-27T03:46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97" t="str">
        <f>IF(AA160&lt;VLOOKUP(AG160,Variables!$AC$3:$AD$8,2,FALSE),"Y","N")</f>
        <v>Y</v>
      </c>
      <c r="X160" s="197">
        <f t="shared" si="66"/>
        <v>0</v>
      </c>
      <c r="Y160" s="197">
        <f t="shared" si="67"/>
        <v>23.265999999999998</v>
      </c>
      <c r="Z160" s="197">
        <f t="shared" si="56"/>
        <v>16.235900000000001</v>
      </c>
      <c r="AA160" s="197">
        <f t="shared" si="57"/>
        <v>7.0300999999999974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58"/>
        <v>246</v>
      </c>
      <c r="AE160" s="77" t="str">
        <f t="shared" si="59"/>
        <v>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 &amp; aws s3 cp s3://rtdc.mdm.uploadarchive.raw/RTDC4043/ "%USERPROFILE%\AppData\Local\Temp\OnboardLogs"\RTDC4043\2017-08-28 --exclude "*" --recursive --include "*20170828*" &amp; "%USERPROFILE%\Documents\GitHub\mrs-test-scripts\Headless Mode &amp; Sideloading\WalkAndUnGZ.bat" "%USERPROFILE%\AppData\Local\Temp\OnboardLogs"\RTDC4043\2017-08-28</v>
      </c>
      <c r="AF160" s="74" t="str">
        <f t="shared" si="60"/>
        <v>"C:\Program Files (x86)\AstroGrep\AstroGrep.exe" /e /r /s /spath="%USERPROFILE%\AppData\Local\Temp\OnboardLogs" /stypes="app*4043*20170827*" /stext=" 08:.+((SYSTEM_STATE.+slice.+state.+changed )|(ment ac)|(multiple cpu faults)|(system.+state.+changed )|(\[timeout)|(PRM\|1\|D)|(kpr)|(kdp)|(train st.+moving)|(\|lc)|(penalty))"</v>
      </c>
      <c r="AG160" s="209" t="str">
        <f t="shared" si="61"/>
        <v>EC</v>
      </c>
      <c r="AH160" s="78" t="str">
        <f t="shared" si="62"/>
        <v>"%USERPROFILE%\Documents\GitHub\eaglep3\Utilities\RefineRTDCRunTimes.py" --tripid 246-26 --locoid 4043 --swversion DE.1.0.9.0 --startMP 204:232660 --initTime 2017-08-27T01:48:53 --startdatetime 2017-08-27T02:13:44 --delay 1 --endMP 204:162359 --enddatetime 2017-08-27T02:46:20 --enforcementcount 0 &gt;&gt;C:\Users\stu\Documents\GitHub\eaglep3-reporting\EC\2017-08-26-refined-times.txt</v>
      </c>
      <c r="AI160" s="96" t="str">
        <f t="shared" si="63"/>
        <v>echo {"issue":{"subject":"","project_id":79,"tracker_id":40,"status_id":1,"priority_id":2,"assigned_to_id":23,"start_date":"2017-08-27","description":"","custom_fields":[{"id":1,"name":"Subdivision","value":"EC"},{"id":4,"name":"Milepost","value":"16.2359"},{"id":17,"name":"Train ID","value":"246-26"},{"id":16,"name":"Locomotive ID","value":"4043"},{"id":130,"name":"Impact","value":""},{"id":150,"name":"Time of Event (Mountain Time)","value":"02:46:20"},{"id":151,"name":"Denver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4"/>
        <v>start /low /b %USERPROFILE%\Documents\GitHub\eaglep3\Utilities\DownloadLogsFromS3.py --loco 4043 --day 2017-08-27</v>
      </c>
      <c r="AN160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08:46:20"},{"id":29,"name":"Sharepoint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627</v>
      </c>
      <c r="B161" s="7">
        <v>4005</v>
      </c>
      <c r="C161" s="21" t="s">
        <v>197</v>
      </c>
      <c r="D161" s="21" t="s">
        <v>845</v>
      </c>
      <c r="E161" s="13">
        <v>42973.235254629632</v>
      </c>
      <c r="F161" s="13">
        <v>42973.23642361111</v>
      </c>
      <c r="G161" s="7">
        <v>1</v>
      </c>
      <c r="H161" s="21" t="s">
        <v>846</v>
      </c>
      <c r="I161" s="13">
        <v>42973.246655092589</v>
      </c>
      <c r="J161" s="7">
        <v>0</v>
      </c>
      <c r="K161" s="89" t="str">
        <f t="shared" si="50"/>
        <v>4005/4006</v>
      </c>
      <c r="L161" s="217" t="str">
        <f>VLOOKUP(A161,'Trips&amp;Operators'!$C$1:$G$99911,5,FALSE)</f>
        <v>MACDONALD THOMAS</v>
      </c>
      <c r="M161" s="6">
        <f t="shared" si="51"/>
        <v>1.0231481479422655E-2</v>
      </c>
      <c r="N161" s="7">
        <f t="shared" ref="N161:N192" si="68">24*60*SUM($M161:$M161)</f>
        <v>14.733333330368623</v>
      </c>
      <c r="O161" s="7"/>
      <c r="P161" s="7"/>
      <c r="Q161" s="22"/>
      <c r="R161" s="170"/>
      <c r="S161" s="213">
        <f t="shared" ref="S161:S192" si="69">1/IF(AG161="EC",12,1)*SUM(U161:U161)</f>
        <v>1</v>
      </c>
      <c r="T161" s="195" t="str">
        <f t="shared" si="52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3"/>
        <v>https://d0f6bd738d7f1b3e5a7ca70fe4ff75f0.us-east-1.aws.found.io/app/kibana#/discover/Steve-Slow-Train-Analysis-(2080s-and-2083s)?_g=(refreshInterval:(display:Off,pause:!f,section:0,value:0),time:(from:'2017-08-26T04:38:46-0600',mode:absolute,to:'2017-08-26T06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197" t="str">
        <f>IF(AA161&lt;VLOOKUP(AG161,Variables!$AC$3:$AD$8,2,FALSE),"Y","N")</f>
        <v>N</v>
      </c>
      <c r="X161" s="197">
        <f t="shared" si="66"/>
        <v>1554</v>
      </c>
      <c r="Y161" s="197">
        <f t="shared" si="67"/>
        <v>5.8625999999999996</v>
      </c>
      <c r="Z161" s="197">
        <f t="shared" si="56"/>
        <v>6.9599999999999995E-2</v>
      </c>
      <c r="AA161" s="197">
        <f t="shared" si="57"/>
        <v>5.7929999999999993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58"/>
        <v>1800</v>
      </c>
      <c r="AE161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61" s="74" t="str">
        <f t="shared" si="60"/>
        <v>"C:\Program Files (x86)\AstroGrep\AstroGrep.exe" /e /r /s /spath="%USERPROFILE%\AppData\Local\Temp\OnboardLogs" /stypes="app*4005*20170826*" /stext=" 11:.+((SYSTEM_STATE.+slice.+state.+changed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62"/>
        <v>"%USERPROFILE%\Documents\GitHub\eaglep3\Utilities\RefineRTDCRunTimes.py" --tripid 1800-26 --locoid 4005 --swversion DE.1.0.9.0 --startMP 300:58626 --initTime 2017-08-26T05:38:46 --startdatetime 2017-08-26T05:40:27 --delay 1 --endMP 204:696 --enddatetime 2017-08-26T05:55:11 --enforcementcount 0 &gt;&gt;C:\Users\stu\Documents\GitHub\eaglep3-reporting\EC\2017-08-26-refined-times.txt</v>
      </c>
      <c r="AI161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{"issue":{"subject":"","project_id":79,"tracker_id":40,"status_id":1,"priority_id":2,"assigned_to_id":23,"start_date":"2017-08-26","description":"","custom_fields":[{"id":1,"name":"Subdivision","value":"NW"},{"id":4,"name":"Milepost","value":"0.0696"},{"id":17,"name":"Train ID","value":"1800-26"},{"id":16,"name":"Locomotive ID","value":"4005"},{"id":130,"name":"Impact","value":""},{"id":150,"name":"Time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4"/>
        <v>start /low /b %USERPROFILE%\Documents\GitHub\eaglep3\Utilities\DownloadLogsFromS3.py --loco 4005 --day 2017-08-26</v>
      </c>
      <c r="AN161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630</v>
      </c>
      <c r="B162" s="7">
        <v>4006</v>
      </c>
      <c r="C162" s="21" t="s">
        <v>197</v>
      </c>
      <c r="D162" s="21" t="s">
        <v>847</v>
      </c>
      <c r="E162" s="13">
        <v>42973.247384259259</v>
      </c>
      <c r="F162" s="13">
        <v>42973.264861111114</v>
      </c>
      <c r="G162" s="7">
        <v>24</v>
      </c>
      <c r="H162" s="21" t="s">
        <v>848</v>
      </c>
      <c r="I162" s="13">
        <v>42973.27416666667</v>
      </c>
      <c r="J162" s="7">
        <v>0</v>
      </c>
      <c r="K162" s="89" t="str">
        <f t="shared" si="50"/>
        <v>4005/4006</v>
      </c>
      <c r="L162" s="217" t="str">
        <f>VLOOKUP(A162,'Trips&amp;Operators'!$C$1:$G$99911,5,FALSE)</f>
        <v>MACDONALD THOMAS</v>
      </c>
      <c r="M162" s="6">
        <f t="shared" si="51"/>
        <v>9.3055555553291924E-3</v>
      </c>
      <c r="N162" s="7">
        <f t="shared" si="68"/>
        <v>13.399999999674037</v>
      </c>
      <c r="O162" s="7"/>
      <c r="P162" s="7"/>
      <c r="Q162" s="22"/>
      <c r="R162" s="170"/>
      <c r="S162" s="213">
        <f t="shared" si="69"/>
        <v>1</v>
      </c>
      <c r="T162" s="195" t="str">
        <f t="shared" si="52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3"/>
        <v>https://d0f6bd738d7f1b3e5a7ca70fe4ff75f0.us-east-1.aws.found.io/app/kibana#/discover/Steve-Slow-Train-Analysis-(2080s-and-2083s)?_g=(refreshInterval:(display:Off,pause:!f,section:0,value:0),time:(from:'2017-08-26T04:56:14-0600',mode:absolute,to:'2017-08-26T07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67"/>
        <v>9.9500000000000005E-2</v>
      </c>
      <c r="Z162" s="197">
        <f t="shared" si="56"/>
        <v>5.8914</v>
      </c>
      <c r="AA162" s="197">
        <f t="shared" si="57"/>
        <v>5.7919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58"/>
        <v>1801</v>
      </c>
      <c r="AE162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62" s="74" t="str">
        <f t="shared" si="60"/>
        <v>"C:\Program Files (x86)\AstroGrep\AstroGrep.exe" /e /r /s /spath="%USERPROFILE%\AppData\Local\Temp\OnboardLogs" /stypes="app*4006*20170826*" /stext=" 12:.+((SYSTEM_STATE.+slice.+state.+changed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62"/>
        <v>"%USERPROFILE%\Documents\GitHub\eaglep3\Utilities\RefineRTDCRunTimes.py" --tripid 1801-26 --locoid 4006 --swversion DE.1.0.9.0 --startMP 204:995 --initTime 2017-08-26T05:56:14 --startdatetime 2017-08-26T06:21:24 --delay 24 --endMP 300:58914 --enddatetime 2017-08-26T06:34:48 --enforcementcount 0 &gt;&gt;C:\Users\stu\Documents\GitHub\eaglep3-reporting\EC\2017-08-26-refined-times.txt</v>
      </c>
      <c r="AI162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{"issue":{"subject":"","project_id":79,"tracker_id":40,"status_id":1,"priority_id":2,"assigned_to_id":23,"start_date":"2017-08-26","description":"","custom_fields":[{"id":1,"name":"Subdivision","value":"NW"},{"id":4,"name":"Milepost","value":"5.8914"},{"id":17,"name":"Train ID","value":"1801-26"},{"id":16,"name":"Locomotive ID","value":"4006"},{"id":130,"name":"Impact","value":""},{"id":150,"name":"Time of Event (Mountain Time)","value":"06:34:48"},{"id":151,"name":"Denver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4"/>
        <v>start /low /b %USERPROFILE%\Documents\GitHub\eaglep3\Utilities\DownloadLogsFromS3.py --loco 4006 --day 2017-08-26</v>
      </c>
      <c r="AN162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636</v>
      </c>
      <c r="B163" s="7">
        <v>4005</v>
      </c>
      <c r="C163" s="21" t="s">
        <v>197</v>
      </c>
      <c r="D163" s="21" t="s">
        <v>849</v>
      </c>
      <c r="E163" s="13">
        <v>42973.274930555555</v>
      </c>
      <c r="F163" s="13">
        <v>42973.276307870372</v>
      </c>
      <c r="G163" s="7">
        <v>1</v>
      </c>
      <c r="H163" s="21" t="s">
        <v>850</v>
      </c>
      <c r="I163" s="13">
        <v>42973.288113425922</v>
      </c>
      <c r="J163" s="7">
        <v>0</v>
      </c>
      <c r="K163" s="89" t="str">
        <f t="shared" si="50"/>
        <v>4005/4006</v>
      </c>
      <c r="L163" s="217" t="str">
        <f>VLOOKUP(A163,'Trips&amp;Operators'!$C$1:$G$99911,5,FALSE)</f>
        <v>MACDONALD THOMAS</v>
      </c>
      <c r="M163" s="6">
        <f t="shared" si="51"/>
        <v>1.1805555550381541E-2</v>
      </c>
      <c r="N163" s="7">
        <f t="shared" si="68"/>
        <v>16.999999992549419</v>
      </c>
      <c r="O163" s="7"/>
      <c r="P163" s="7"/>
      <c r="Q163" s="22"/>
      <c r="R163" s="170"/>
      <c r="S163" s="213">
        <f t="shared" si="69"/>
        <v>1</v>
      </c>
      <c r="T163" s="195" t="str">
        <f t="shared" si="52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3"/>
        <v>https://d0f6bd738d7f1b3e5a7ca70fe4ff75f0.us-east-1.aws.found.io/app/kibana#/discover/Steve-Slow-Train-Analysis-(2080s-and-2083s)?_g=(refreshInterval:(display:Off,pause:!f,section:0,value:0),time:(from:'2017-08-26T05:35:54-0600',mode:absolute,to:'2017-08-26T07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197" t="str">
        <f>IF(AA163&lt;VLOOKUP(AG163,Variables!$AC$3:$AD$8,2,FALSE),"Y","N")</f>
        <v>N</v>
      </c>
      <c r="X163" s="197">
        <f t="shared" ref="X163:X194" si="70">VALUE(LEFT(AD163,4))-VALUE(LEFT(AD162,4))</f>
        <v>1</v>
      </c>
      <c r="Y163" s="197">
        <f t="shared" ref="Y163:Y194" si="71">RIGHT(D163,LEN(D163)-4)/10000</f>
        <v>5.8592000000000004</v>
      </c>
      <c r="Z163" s="197">
        <f t="shared" si="56"/>
        <v>7.4700000000000003E-2</v>
      </c>
      <c r="AA163" s="197">
        <f t="shared" si="57"/>
        <v>5.7845000000000004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58"/>
        <v>1802</v>
      </c>
      <c r="AE163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63" s="74" t="str">
        <f t="shared" si="60"/>
        <v>"C:\Program Files (x86)\AstroGrep\AstroGrep.exe" /e /r /s /spath="%USERPROFILE%\AppData\Local\Temp\OnboardLogs" /stypes="app*4005*20170826*" /stext=" 12:.+((SYSTEM_STATE.+slice.+state.+changed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62"/>
        <v>"%USERPROFILE%\Documents\GitHub\eaglep3\Utilities\RefineRTDCRunTimes.py" --tripid 1802-26 --locoid 4005 --swversion DE.1.0.9.0 --startMP 300:58592 --initTime 2017-08-26T06:35:54 --startdatetime 2017-08-26T06:37:53 --delay 1 --endMP 204:747 --enddatetime 2017-08-26T06:54:53 --enforcementcount 0 &gt;&gt;C:\Users\stu\Documents\GitHub\eaglep3-reporting\EC\2017-08-26-refined-times.txt</v>
      </c>
      <c r="AI163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{"issue":{"subject":"","project_id":79,"tracker_id":40,"status_id":1,"priority_id":2,"assigned_to_id":23,"start_date":"2017-08-26","description":"","custom_fields":[{"id":1,"name":"Subdivision","value":"NW"},{"id":4,"name":"Milepost","value":"0.0747"},{"id":17,"name":"Train ID","value":"1802-26"},{"id":16,"name":"Locomotive ID","value":"4005"},{"id":130,"name":"Impact","value":""},{"id":150,"name":"Time of Event (Mountain Time)","value":"06:54:53"},{"id":151,"name":"Denver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4"/>
        <v>start /low /b %USERPROFILE%\Documents\GitHub\eaglep3\Utilities\DownloadLogsFromS3.py --loco 4005 --day 2017-08-26</v>
      </c>
      <c r="AN163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643</v>
      </c>
      <c r="B164" s="7">
        <v>4006</v>
      </c>
      <c r="C164" s="21" t="s">
        <v>197</v>
      </c>
      <c r="D164" s="21" t="s">
        <v>851</v>
      </c>
      <c r="E164" s="13">
        <v>42973.288854166669</v>
      </c>
      <c r="F164" s="13">
        <v>42973.306539351855</v>
      </c>
      <c r="G164" s="7">
        <v>24</v>
      </c>
      <c r="H164" s="21" t="s">
        <v>852</v>
      </c>
      <c r="I164" s="13">
        <v>42973.315578703703</v>
      </c>
      <c r="J164" s="7">
        <v>0</v>
      </c>
      <c r="K164" s="89" t="str">
        <f t="shared" si="50"/>
        <v>4005/4006</v>
      </c>
      <c r="L164" s="217" t="str">
        <f>VLOOKUP(A164,'Trips&amp;Operators'!$C$1:$G$99911,5,FALSE)</f>
        <v>MACDONALD THOMAS</v>
      </c>
      <c r="M164" s="6">
        <f t="shared" si="51"/>
        <v>9.0393518476048484E-3</v>
      </c>
      <c r="N164" s="7">
        <f t="shared" si="68"/>
        <v>13.016666660550982</v>
      </c>
      <c r="O164" s="7"/>
      <c r="P164" s="7"/>
      <c r="Q164" s="22"/>
      <c r="R164" s="170"/>
      <c r="S164" s="213">
        <f t="shared" si="69"/>
        <v>1</v>
      </c>
      <c r="T164" s="195" t="str">
        <f t="shared" si="52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3"/>
        <v>https://d0f6bd738d7f1b3e5a7ca70fe4ff75f0.us-east-1.aws.found.io/app/kibana#/discover/Steve-Slow-Train-Analysis-(2080s-and-2083s)?_g=(refreshInterval:(display:Off,pause:!f,section:0,value:0),time:(from:'2017-08-26T05:55:57-0600',mode:absolute,to:'2017-08-26T08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197" t="str">
        <f>IF(AA164&lt;VLOOKUP(AG164,Variables!$AC$3:$AD$8,2,FALSE),"Y","N")</f>
        <v>N</v>
      </c>
      <c r="X164" s="197">
        <f t="shared" si="70"/>
        <v>1</v>
      </c>
      <c r="Y164" s="197">
        <f t="shared" si="71"/>
        <v>0.10340000000000001</v>
      </c>
      <c r="Z164" s="197">
        <f t="shared" si="56"/>
        <v>5.8935000000000004</v>
      </c>
      <c r="AA164" s="197">
        <f t="shared" si="57"/>
        <v>5.7901000000000007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58"/>
        <v>1803</v>
      </c>
      <c r="AE164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64" s="74" t="str">
        <f t="shared" si="60"/>
        <v>"C:\Program Files (x86)\AstroGrep\AstroGrep.exe" /e /r /s /spath="%USERPROFILE%\AppData\Local\Temp\OnboardLogs" /stypes="app*4006*20170826*"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62"/>
        <v>"%USERPROFILE%\Documents\GitHub\eaglep3\Utilities\RefineRTDCRunTimes.py" --tripid 1803-26 --locoid 4006 --swversion DE.1.0.9.0 --startMP 204:1034 --initTime 2017-08-26T06:55:57 --startdatetime 2017-08-26T07:21:25 --delay 24 --endMP 300:58935 --enddatetime 2017-08-26T07:34:26 --enforcementcount 0 &gt;&gt;C:\Users\stu\Documents\GitHub\eaglep3-reporting\EC\2017-08-26-refined-times.txt</v>
      </c>
      <c r="AI164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{"issue":{"subject":"","project_id":79,"tracker_id":40,"status_id":1,"priority_id":2,"assigned_to_id":23,"start_date":"2017-08-26","description":"","custom_fields":[{"id":1,"name":"Subdivision","value":"NW"},{"id":4,"name":"Milepost","value":"5.8935"},{"id":17,"name":"Train ID","value":"1803-26"},{"id":16,"name":"Locomotive ID","value":"4006"},{"id":130,"name":"Impact","value":""},{"id":150,"name":"Time of Event (Mountain Time)","value":"07:34:26"},{"id":151,"name":"Denver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4"/>
        <v>start /low /b %USERPROFILE%\Documents\GitHub\eaglep3\Utilities\DownloadLogsFromS3.py --loco 4006 --day 2017-08-26</v>
      </c>
      <c r="AN164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647</v>
      </c>
      <c r="B165" s="7">
        <v>4005</v>
      </c>
      <c r="C165" s="21" t="s">
        <v>197</v>
      </c>
      <c r="D165" s="21" t="s">
        <v>552</v>
      </c>
      <c r="E165" s="13">
        <v>42973.316296296296</v>
      </c>
      <c r="F165" s="13">
        <v>42973.317361111112</v>
      </c>
      <c r="G165" s="7">
        <v>0</v>
      </c>
      <c r="H165" s="21" t="s">
        <v>853</v>
      </c>
      <c r="I165" s="13">
        <v>42973.329606481479</v>
      </c>
      <c r="J165" s="7">
        <v>0</v>
      </c>
      <c r="K165" s="89" t="str">
        <f t="shared" si="50"/>
        <v>4005/4006</v>
      </c>
      <c r="L165" s="217" t="str">
        <f>VLOOKUP(A165,'Trips&amp;Operators'!$C$1:$G$99911,5,FALSE)</f>
        <v>MACDONALD THOMAS</v>
      </c>
      <c r="M165" s="6">
        <f t="shared" si="51"/>
        <v>1.2245370366144925E-2</v>
      </c>
      <c r="N165" s="7">
        <f t="shared" si="68"/>
        <v>17.633333327248693</v>
      </c>
      <c r="O165" s="7"/>
      <c r="P165" s="7"/>
      <c r="Q165" s="22"/>
      <c r="R165" s="170"/>
      <c r="S165" s="213">
        <f t="shared" si="69"/>
        <v>1</v>
      </c>
      <c r="T165" s="195" t="str">
        <f t="shared" si="52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3"/>
        <v>https://d0f6bd738d7f1b3e5a7ca70fe4ff75f0.us-east-1.aws.found.io/app/kibana#/discover/Steve-Slow-Train-Analysis-(2080s-and-2083s)?_g=(refreshInterval:(display:Off,pause:!f,section:0,value:0),time:(from:'2017-08-26T06:35:28-0600',mode:absolute,to:'2017-08-26T08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197" t="str">
        <f>IF(AA165&lt;VLOOKUP(AG165,Variables!$AC$3:$AD$8,2,FALSE),"Y","N")</f>
        <v>N</v>
      </c>
      <c r="X165" s="197">
        <f t="shared" si="70"/>
        <v>1</v>
      </c>
      <c r="Y165" s="197">
        <f t="shared" si="71"/>
        <v>5.8616999999999999</v>
      </c>
      <c r="Z165" s="197">
        <f t="shared" si="56"/>
        <v>7.2400000000000006E-2</v>
      </c>
      <c r="AA165" s="197">
        <f t="shared" si="57"/>
        <v>5.7892999999999999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58"/>
        <v>1804</v>
      </c>
      <c r="AE165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65" s="74" t="str">
        <f t="shared" si="60"/>
        <v>"C:\Program Files (x86)\AstroGrep\AstroGrep.exe" /e /r /s /spath="%USERPROFILE%\AppData\Local\Temp\OnboardLogs" /stypes="app*4005*20170826*"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62"/>
        <v>"%USERPROFILE%\Documents\GitHub\eaglep3\Utilities\RefineRTDCRunTimes.py" --tripid 1804-26 --locoid 4005 --swversion DE.1.0.9.0 --startMP 300:58617 --initTime 2017-08-26T07:35:28 --startdatetime 2017-08-26T07:37:00 --delay 0 --endMP 204:724 --enddatetime 2017-08-26T07:54:38 --enforcementcount 0 &gt;&gt;C:\Users\stu\Documents\GitHub\eaglep3-reporting\EC\2017-08-26-refined-times.txt</v>
      </c>
      <c r="AI165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{"issue":{"subject":"","project_id":79,"tracker_id":40,"status_id":1,"priority_id":2,"assigned_to_id":23,"start_date":"2017-08-26","description":"","custom_fields":[{"id":1,"name":"Subdivision","value":"NW"},{"id":4,"name":"Milepost","value":"0.0724"},{"id":17,"name":"Train ID","value":"1804-26"},{"id":16,"name":"Locomotive ID","value":"4005"},{"id":130,"name":"Impact","value":""},{"id":150,"name":"Time of Event (Mountain Time)","value":"07:54:38"},{"id":151,"name":"Denver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4"/>
        <v>start /low /b %USERPROFILE%\Documents\GitHub\eaglep3\Utilities\DownloadLogsFromS3.py --loco 4005 --day 2017-08-26</v>
      </c>
      <c r="AN165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651</v>
      </c>
      <c r="B166" s="7">
        <v>4006</v>
      </c>
      <c r="C166" s="21" t="s">
        <v>197</v>
      </c>
      <c r="D166" s="21" t="s">
        <v>558</v>
      </c>
      <c r="E166" s="13">
        <v>42973.331145833334</v>
      </c>
      <c r="F166" s="13">
        <v>42973.348321759258</v>
      </c>
      <c r="G166" s="7">
        <v>24</v>
      </c>
      <c r="H166" s="21" t="s">
        <v>848</v>
      </c>
      <c r="I166" s="13">
        <v>42973.357766203706</v>
      </c>
      <c r="J166" s="7">
        <v>0</v>
      </c>
      <c r="K166" s="89" t="str">
        <f t="shared" si="50"/>
        <v>4005/4006</v>
      </c>
      <c r="L166" s="217" t="str">
        <f>VLOOKUP(A166,'Trips&amp;Operators'!$C$1:$G$99911,5,FALSE)</f>
        <v>MACDONALD THOMAS</v>
      </c>
      <c r="M166" s="6">
        <f t="shared" si="51"/>
        <v>9.4444444475811906E-3</v>
      </c>
      <c r="N166" s="7">
        <f t="shared" si="68"/>
        <v>13.600000004516914</v>
      </c>
      <c r="O166" s="7"/>
      <c r="P166" s="7"/>
      <c r="Q166" s="22"/>
      <c r="R166" s="170"/>
      <c r="S166" s="213">
        <f t="shared" si="69"/>
        <v>1</v>
      </c>
      <c r="T166" s="195" t="str">
        <f t="shared" si="52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3"/>
        <v>https://d0f6bd738d7f1b3e5a7ca70fe4ff75f0.us-east-1.aws.found.io/app/kibana#/discover/Steve-Slow-Train-Analysis-(2080s-and-2083s)?_g=(refreshInterval:(display:Off,pause:!f,section:0,value:0),time:(from:'2017-08-26T06:56:51-0600',mode:absolute,to:'2017-08-26T09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197" t="str">
        <f>IF(AA166&lt;VLOOKUP(AG166,Variables!$AC$3:$AD$8,2,FALSE),"Y","N")</f>
        <v>N</v>
      </c>
      <c r="X166" s="197">
        <f t="shared" si="70"/>
        <v>1</v>
      </c>
      <c r="Y166" s="197">
        <f t="shared" si="71"/>
        <v>0.1004</v>
      </c>
      <c r="Z166" s="197">
        <f t="shared" si="56"/>
        <v>5.8914</v>
      </c>
      <c r="AA166" s="197">
        <f t="shared" si="57"/>
        <v>5.7910000000000004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58"/>
        <v>1805</v>
      </c>
      <c r="AE166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66" s="74" t="str">
        <f t="shared" si="60"/>
        <v>"C:\Program Files (x86)\AstroGrep\AstroGrep.exe" /e /r /s /spath="%USERPROFILE%\AppData\Local\Temp\OnboardLogs" /stypes="app*4006*20170826*" /stext=" 14:.+((SYSTEM_STATE.+slice.+state.+changed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62"/>
        <v>"%USERPROFILE%\Documents\GitHub\eaglep3\Utilities\RefineRTDCRunTimes.py" --tripid 1805-26 --locoid 4006 --swversion DE.1.0.9.0 --startMP 204:1004 --initTime 2017-08-26T07:56:51 --startdatetime 2017-08-26T08:21:35 --delay 24 --endMP 300:58914 --enddatetime 2017-08-26T08:35:11 --enforcementcount 0 &gt;&gt;C:\Users\stu\Documents\GitHub\eaglep3-reporting\EC\2017-08-26-refined-times.txt</v>
      </c>
      <c r="AI166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{"issue":{"subject":"","project_id":79,"tracker_id":40,"status_id":1,"priority_id":2,"assigned_to_id":23,"start_date":"2017-08-26","description":"","custom_fields":[{"id":1,"name":"Subdivision","value":"NW"},{"id":4,"name":"Milepost","value":"5.8914"},{"id":17,"name":"Train ID","value":"1805-26"},{"id":16,"name":"Locomotive ID","value":"4006"},{"id":130,"name":"Impact","value":""},{"id":150,"name":"Time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4"/>
        <v>start /low /b %USERPROFILE%\Documents\GitHub\eaglep3\Utilities\DownloadLogsFromS3.py --loco 4006 --day 2017-08-26</v>
      </c>
      <c r="AN166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656</v>
      </c>
      <c r="B167" s="7">
        <v>4005</v>
      </c>
      <c r="C167" s="21" t="s">
        <v>197</v>
      </c>
      <c r="D167" s="21" t="s">
        <v>557</v>
      </c>
      <c r="E167" s="13">
        <v>42973.358425925922</v>
      </c>
      <c r="F167" s="13">
        <v>42973.359560185185</v>
      </c>
      <c r="G167" s="7">
        <v>1</v>
      </c>
      <c r="H167" s="21" t="s">
        <v>854</v>
      </c>
      <c r="I167" s="13">
        <v>42973.371678240743</v>
      </c>
      <c r="J167" s="7">
        <v>0</v>
      </c>
      <c r="K167" s="89" t="str">
        <f t="shared" si="50"/>
        <v>4005/4006</v>
      </c>
      <c r="L167" s="217" t="str">
        <f>VLOOKUP(A167,'Trips&amp;Operators'!$C$1:$G$99911,5,FALSE)</f>
        <v>MACDONALD THOMAS</v>
      </c>
      <c r="M167" s="6">
        <f t="shared" si="51"/>
        <v>1.2118055557948537E-2</v>
      </c>
      <c r="N167" s="7">
        <f t="shared" si="68"/>
        <v>17.450000003445894</v>
      </c>
      <c r="O167" s="7"/>
      <c r="P167" s="7"/>
      <c r="Q167" s="22"/>
      <c r="R167" s="170"/>
      <c r="S167" s="213">
        <f t="shared" si="69"/>
        <v>1</v>
      </c>
      <c r="T167" s="195" t="str">
        <f t="shared" si="52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3"/>
        <v>https://d0f6bd738d7f1b3e5a7ca70fe4ff75f0.us-east-1.aws.found.io/app/kibana#/discover/Steve-Slow-Train-Analysis-(2080s-and-2083s)?_g=(refreshInterval:(display:Off,pause:!f,section:0,value:0),time:(from:'2017-08-26T07:36:08-0600',mode:absolute,to:'2017-08-26T09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197" t="str">
        <f>IF(AA167&lt;VLOOKUP(AG167,Variables!$AC$3:$AD$8,2,FALSE),"Y","N")</f>
        <v>N</v>
      </c>
      <c r="X167" s="197">
        <f t="shared" si="70"/>
        <v>1</v>
      </c>
      <c r="Y167" s="197">
        <f t="shared" si="71"/>
        <v>5.8601999999999999</v>
      </c>
      <c r="Z167" s="197">
        <f t="shared" si="56"/>
        <v>7.0300000000000001E-2</v>
      </c>
      <c r="AA167" s="197">
        <f t="shared" si="57"/>
        <v>5.7899000000000003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58"/>
        <v>1806</v>
      </c>
      <c r="AE167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67" s="74" t="str">
        <f t="shared" si="60"/>
        <v>"C:\Program Files (x86)\AstroGrep\AstroGrep.exe" /e /r /s /spath="%USERPROFILE%\AppData\Local\Temp\OnboardLogs" /stypes="app*4005*20170826*" /stext=" 14:.+((SYSTEM_STATE.+slice.+state.+changed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62"/>
        <v>"%USERPROFILE%\Documents\GitHub\eaglep3\Utilities\RefineRTDCRunTimes.py" --tripid 1806-26 --locoid 4005 --swversion DE.1.0.9.0 --startMP 300:58602 --initTime 2017-08-26T08:36:08 --startdatetime 2017-08-26T08:37:46 --delay 1 --endMP 204:703 --enddatetime 2017-08-26T08:55:13 --enforcementcount 0 &gt;&gt;C:\Users\stu\Documents\GitHub\eaglep3-reporting\EC\2017-08-26-refined-times.txt</v>
      </c>
      <c r="AI167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{"issue":{"subject":"","project_id":79,"tracker_id":40,"status_id":1,"priority_id":2,"assigned_to_id":23,"start_date":"2017-08-26","description":"","custom_fields":[{"id":1,"name":"Subdivision","value":"NW"},{"id":4,"name":"Milepost","value":"0.0703"},{"id":17,"name":"Train ID","value":"1806-26"},{"id":16,"name":"Locomotive ID","value":"4005"},{"id":130,"name":"Impact","value":""},{"id":150,"name":"Time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4"/>
        <v>start /low /b %USERPROFILE%\Documents\GitHub\eaglep3\Utilities\DownloadLogsFromS3.py --loco 4005 --day 2017-08-26</v>
      </c>
      <c r="AN167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14:55:13"},{"id":29,"name":"Sharepoint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662</v>
      </c>
      <c r="B168" s="7">
        <v>4006</v>
      </c>
      <c r="C168" s="21" t="s">
        <v>197</v>
      </c>
      <c r="D168" s="21" t="s">
        <v>855</v>
      </c>
      <c r="E168" s="13">
        <v>42973.372361111113</v>
      </c>
      <c r="F168" s="13">
        <v>42973.389814814815</v>
      </c>
      <c r="G168" s="7">
        <v>24</v>
      </c>
      <c r="H168" s="21" t="s">
        <v>856</v>
      </c>
      <c r="I168" s="13">
        <v>42973.398993055554</v>
      </c>
      <c r="J168" s="7">
        <v>0</v>
      </c>
      <c r="K168" s="89" t="str">
        <f t="shared" si="50"/>
        <v>4005/4006</v>
      </c>
      <c r="L168" s="217" t="str">
        <f>VLOOKUP(A168,'Trips&amp;Operators'!$C$1:$G$99911,5,FALSE)</f>
        <v>MACDONALD THOMAS</v>
      </c>
      <c r="M168" s="6">
        <f t="shared" si="51"/>
        <v>9.1782407398568466E-3</v>
      </c>
      <c r="N168" s="7">
        <f t="shared" si="68"/>
        <v>13.216666665393859</v>
      </c>
      <c r="O168" s="7"/>
      <c r="P168" s="7"/>
      <c r="Q168" s="22"/>
      <c r="R168" s="170"/>
      <c r="S168" s="213">
        <f t="shared" si="69"/>
        <v>1</v>
      </c>
      <c r="T168" s="195" t="str">
        <f t="shared" si="52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3"/>
        <v>https://d0f6bd738d7f1b3e5a7ca70fe4ff75f0.us-east-1.aws.found.io/app/kibana#/discover/Steve-Slow-Train-Analysis-(2080s-and-2083s)?_g=(refreshInterval:(display:Off,pause:!f,section:0,value:0),time:(from:'2017-08-26T07:56:12-0600',mode:absolute,to:'2017-08-26T10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197" t="str">
        <f>IF(AA168&lt;VLOOKUP(AG168,Variables!$AC$3:$AD$8,2,FALSE),"Y","N")</f>
        <v>N</v>
      </c>
      <c r="X168" s="197">
        <f t="shared" si="70"/>
        <v>1</v>
      </c>
      <c r="Y168" s="197">
        <f t="shared" si="71"/>
        <v>0.1</v>
      </c>
      <c r="Z168" s="197">
        <f t="shared" si="56"/>
        <v>5.8897000000000004</v>
      </c>
      <c r="AA168" s="197">
        <f t="shared" si="57"/>
        <v>5.7897000000000007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58"/>
        <v>1807</v>
      </c>
      <c r="AE168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68" s="74" t="str">
        <f t="shared" si="60"/>
        <v>"C:\Program Files (x86)\AstroGrep\AstroGrep.exe" /e /r /s /spath="%USERPROFILE%\AppData\Local\Temp\OnboardLogs" /stypes="app*4006*20170826*" /stext=" 15:.+((SYSTEM_STATE.+slice.+state.+changed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62"/>
        <v>"%USERPROFILE%\Documents\GitHub\eaglep3\Utilities\RefineRTDCRunTimes.py" --tripid 1807-26 --locoid 4006 --swversion DE.1.0.9.0 --startMP 204:1000 --initTime 2017-08-26T08:56:12 --startdatetime 2017-08-26T09:21:20 --delay 24 --endMP 300:58897 --enddatetime 2017-08-26T09:34:33 --enforcementcount 0 &gt;&gt;C:\Users\stu\Documents\GitHub\eaglep3-reporting\EC\2017-08-26-refined-times.txt</v>
      </c>
      <c r="AI168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{"issue":{"subject":"","project_id":79,"tracker_id":40,"status_id":1,"priority_id":2,"assigned_to_id":23,"start_date":"2017-08-26","description":"","custom_fields":[{"id":1,"name":"Subdivision","value":"NW"},{"id":4,"name":"Milepost","value":"5.8897"},{"id":17,"name":"Train ID","value":"1807-26"},{"id":16,"name":"Locomotive ID","value":"4006"},{"id":130,"name":"Impact","value":""},{"id":150,"name":"Time of Event (Mountain Time)","value":"09:34:33"},{"id":151,"name":"Denver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4"/>
        <v>start /low /b %USERPROFILE%\Documents\GitHub\eaglep3\Utilities\DownloadLogsFromS3.py --loco 4006 --day 2017-08-26</v>
      </c>
      <c r="AN168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666</v>
      </c>
      <c r="B169" s="7">
        <v>4005</v>
      </c>
      <c r="C169" s="21" t="s">
        <v>197</v>
      </c>
      <c r="D169" s="21" t="s">
        <v>857</v>
      </c>
      <c r="E169" s="13">
        <v>42973.39984953704</v>
      </c>
      <c r="F169" s="13">
        <v>42973.400995370372</v>
      </c>
      <c r="G169" s="7">
        <v>1</v>
      </c>
      <c r="H169" s="21" t="s">
        <v>858</v>
      </c>
      <c r="I169" s="13">
        <v>42973.412905092591</v>
      </c>
      <c r="J169" s="7">
        <v>0</v>
      </c>
      <c r="K169" s="89" t="str">
        <f t="shared" si="50"/>
        <v>4005/4006</v>
      </c>
      <c r="L169" s="217" t="str">
        <f>VLOOKUP(A169,'Trips&amp;Operators'!$C$1:$G$99911,5,FALSE)</f>
        <v>MACDONALD THOMAS</v>
      </c>
      <c r="M169" s="6">
        <f t="shared" si="51"/>
        <v>1.190972221957054E-2</v>
      </c>
      <c r="N169" s="7">
        <f t="shared" si="68"/>
        <v>17.149999996181577</v>
      </c>
      <c r="O169" s="7"/>
      <c r="P169" s="7"/>
      <c r="Q169" s="22"/>
      <c r="R169" s="170"/>
      <c r="S169" s="213">
        <f t="shared" si="69"/>
        <v>1</v>
      </c>
      <c r="T169" s="195" t="str">
        <f t="shared" si="52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3"/>
        <v>https://d0f6bd738d7f1b3e5a7ca70fe4ff75f0.us-east-1.aws.found.io/app/kibana#/discover/Steve-Slow-Train-Analysis-(2080s-and-2083s)?_g=(refreshInterval:(display:Off,pause:!f,section:0,value:0),time:(from:'2017-08-26T08:35:47-0600',mode:absolute,to:'2017-08-26T10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197" t="str">
        <f>IF(AA169&lt;VLOOKUP(AG169,Variables!$AC$3:$AD$8,2,FALSE),"Y","N")</f>
        <v>N</v>
      </c>
      <c r="X169" s="197">
        <f t="shared" si="70"/>
        <v>1</v>
      </c>
      <c r="Y169" s="197">
        <f t="shared" si="71"/>
        <v>5.8590999999999998</v>
      </c>
      <c r="Z169" s="197">
        <f t="shared" si="56"/>
        <v>6.9800000000000001E-2</v>
      </c>
      <c r="AA169" s="197">
        <f t="shared" si="57"/>
        <v>5.7892999999999999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58"/>
        <v>1808</v>
      </c>
      <c r="AE169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69" s="74" t="str">
        <f t="shared" si="60"/>
        <v>"C:\Program Files (x86)\AstroGrep\AstroGrep.exe" /e /r /s /spath="%USERPROFILE%\AppData\Local\Temp\OnboardLogs" /stypes="app*4005*20170826*" /stext=" 15:.+((SYSTEM_STATE.+slice.+state.+changed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62"/>
        <v>"%USERPROFILE%\Documents\GitHub\eaglep3\Utilities\RefineRTDCRunTimes.py" --tripid 1808-26 --locoid 4005 --swversion DE.1.0.9.0 --startMP 300:58591 --initTime 2017-08-26T09:35:47 --startdatetime 2017-08-26T09:37:26 --delay 1 --endMP 204:698 --enddatetime 2017-08-26T09:54:35 --enforcementcount 0 &gt;&gt;C:\Users\stu\Documents\GitHub\eaglep3-reporting\EC\2017-08-26-refined-times.txt</v>
      </c>
      <c r="AI169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{"issue":{"subject":"","project_id":79,"tracker_id":40,"status_id":1,"priority_id":2,"assigned_to_id":23,"start_date":"2017-08-26","description":"","custom_fields":[{"id":1,"name":"Subdivision","value":"NW"},{"id":4,"name":"Milepost","value":"0.0698"},{"id":17,"name":"Train ID","value":"1808-26"},{"id":16,"name":"Locomotive ID","value":"4005"},{"id":130,"name":"Impact","value":""},{"id":150,"name":"Time of Event (Mountain Time)","value":"09:54:35"},{"id":151,"name":"Denver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4"/>
        <v>start /low /b %USERPROFILE%\Documents\GitHub\eaglep3\Utilities\DownloadLogsFromS3.py --loco 4005 --day 2017-08-26</v>
      </c>
      <c r="AN169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15:54:35"},{"id":29,"name":"Sharepoint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671</v>
      </c>
      <c r="B170" s="7">
        <v>4006</v>
      </c>
      <c r="C170" s="21" t="s">
        <v>197</v>
      </c>
      <c r="D170" s="21" t="s">
        <v>859</v>
      </c>
      <c r="E170" s="13">
        <v>42973.413738425923</v>
      </c>
      <c r="F170" s="13">
        <v>42973.431469907409</v>
      </c>
      <c r="G170" s="7">
        <v>24</v>
      </c>
      <c r="H170" s="21" t="s">
        <v>486</v>
      </c>
      <c r="I170" s="13">
        <v>42973.441041666665</v>
      </c>
      <c r="J170" s="7">
        <v>0</v>
      </c>
      <c r="K170" s="89" t="str">
        <f t="shared" si="50"/>
        <v>4005/4006</v>
      </c>
      <c r="L170" s="217" t="str">
        <f>VLOOKUP(A170,'Trips&amp;Operators'!$C$1:$G$99911,5,FALSE)</f>
        <v>MACDONALD THOMAS</v>
      </c>
      <c r="M170" s="6">
        <f t="shared" si="51"/>
        <v>9.5717592557775788E-3</v>
      </c>
      <c r="N170" s="7">
        <f t="shared" si="68"/>
        <v>13.783333328319713</v>
      </c>
      <c r="O170" s="7"/>
      <c r="P170" s="7"/>
      <c r="Q170" s="22"/>
      <c r="R170" s="170"/>
      <c r="S170" s="213">
        <f t="shared" si="69"/>
        <v>1</v>
      </c>
      <c r="T170" s="195" t="str">
        <f t="shared" si="52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3"/>
        <v>https://d0f6bd738d7f1b3e5a7ca70fe4ff75f0.us-east-1.aws.found.io/app/kibana#/discover/Steve-Slow-Train-Analysis-(2080s-and-2083s)?_g=(refreshInterval:(display:Off,pause:!f,section:0,value:0),time:(from:'2017-08-26T08:55:47-0600',mode:absolute,to:'2017-08-26T11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97" t="str">
        <f>IF(AA170&lt;VLOOKUP(AG170,Variables!$AC$3:$AD$8,2,FALSE),"Y","N")</f>
        <v>N</v>
      </c>
      <c r="X170" s="197">
        <f t="shared" si="70"/>
        <v>1</v>
      </c>
      <c r="Y170" s="197">
        <f t="shared" si="71"/>
        <v>9.8100000000000007E-2</v>
      </c>
      <c r="Z170" s="197">
        <f t="shared" si="56"/>
        <v>5.8917999999999999</v>
      </c>
      <c r="AA170" s="197">
        <f t="shared" si="57"/>
        <v>5.7937000000000003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58"/>
        <v>1809</v>
      </c>
      <c r="AE170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70" s="74" t="str">
        <f t="shared" si="60"/>
        <v>"C:\Program Files (x86)\AstroGrep\AstroGrep.exe" /e /r /s /spath="%USERPROFILE%\AppData\Local\Temp\OnboardLogs" /stypes="app*4006*20170826*" /stext=" 16:.+((SYSTEM_STATE.+slice.+state.+changed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62"/>
        <v>"%USERPROFILE%\Documents\GitHub\eaglep3\Utilities\RefineRTDCRunTimes.py" --tripid 1809-26 --locoid 4006 --swversion DE.1.0.9.0 --startMP 204:981 --initTime 2017-08-26T09:55:47 --startdatetime 2017-08-26T10:21:19 --delay 24 --endMP 300:58918 --enddatetime 2017-08-26T10:35:06 --enforcementcount 0 &gt;&gt;C:\Users\stu\Documents\GitHub\eaglep3-reporting\EC\2017-08-26-refined-times.txt</v>
      </c>
      <c r="AI170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{"issue":{"subject":"","project_id":79,"tracker_id":40,"status_id":1,"priority_id":2,"assigned_to_id":23,"start_date":"2017-08-26","description":"","custom_fields":[{"id":1,"name":"Subdivision","value":"NW"},{"id":4,"name":"Milepost","value":"5.8918"},{"id":17,"name":"Train ID","value":"1809-26"},{"id":16,"name":"Locomotive ID","value":"4006"},{"id":130,"name":"Impact","value":""},{"id":150,"name":"Time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4"/>
        <v>start /low /b %USERPROFILE%\Documents\GitHub\eaglep3\Utilities\DownloadLogsFromS3.py --loco 4006 --day 2017-08-26</v>
      </c>
      <c r="AN170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568</v>
      </c>
      <c r="B171" s="7">
        <v>4005</v>
      </c>
      <c r="C171" s="21" t="s">
        <v>197</v>
      </c>
      <c r="D171" s="21" t="s">
        <v>551</v>
      </c>
      <c r="E171" s="13">
        <v>42973.441793981481</v>
      </c>
      <c r="F171" s="13">
        <v>42973.442916666667</v>
      </c>
      <c r="G171" s="7">
        <v>1</v>
      </c>
      <c r="H171" s="21" t="s">
        <v>860</v>
      </c>
      <c r="I171" s="13">
        <v>42973.455405092594</v>
      </c>
      <c r="J171" s="7">
        <v>0</v>
      </c>
      <c r="K171" s="89" t="str">
        <f t="shared" si="50"/>
        <v>4005/4006</v>
      </c>
      <c r="L171" s="217" t="str">
        <f>VLOOKUP(A171,'Trips&amp;Operators'!$C$1:$G$99911,5,FALSE)</f>
        <v>MACDONALD THOMAS</v>
      </c>
      <c r="M171" s="6">
        <f t="shared" si="51"/>
        <v>1.2488425927585922E-2</v>
      </c>
      <c r="N171" s="7">
        <f t="shared" si="68"/>
        <v>17.983333335723728</v>
      </c>
      <c r="O171" s="7"/>
      <c r="P171" s="7"/>
      <c r="Q171" s="22"/>
      <c r="R171" s="170"/>
      <c r="S171" s="213">
        <f t="shared" si="69"/>
        <v>1</v>
      </c>
      <c r="T171" s="195" t="str">
        <f t="shared" si="52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3"/>
        <v>https://d0f6bd738d7f1b3e5a7ca70fe4ff75f0.us-east-1.aws.found.io/app/kibana#/discover/Steve-Slow-Train-Analysis-(2080s-and-2083s)?_g=(refreshInterval:(display:Off,pause:!f,section:0,value:0),time:(from:'2017-08-26T09:36:11-0600',mode:absolute,to:'2017-08-26T11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97" t="str">
        <f>IF(AA171&lt;VLOOKUP(AG171,Variables!$AC$3:$AD$8,2,FALSE),"Y","N")</f>
        <v>N</v>
      </c>
      <c r="X171" s="197">
        <f t="shared" si="70"/>
        <v>1</v>
      </c>
      <c r="Y171" s="197">
        <f t="shared" si="71"/>
        <v>5.8613</v>
      </c>
      <c r="Z171" s="197">
        <f t="shared" si="56"/>
        <v>8.8800000000000004E-2</v>
      </c>
      <c r="AA171" s="197">
        <f t="shared" si="57"/>
        <v>5.7725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58"/>
        <v>1810</v>
      </c>
      <c r="AE171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71" s="74" t="str">
        <f t="shared" si="60"/>
        <v>"C:\Program Files (x86)\AstroGrep\AstroGrep.exe" /e /r /s /spath="%USERPROFILE%\AppData\Local\Temp\OnboardLogs" /stypes="app*4005*20170826*" /stext=" 16:.+((SYSTEM_STATE.+slice.+state.+changed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62"/>
        <v>"%USERPROFILE%\Documents\GitHub\eaglep3\Utilities\RefineRTDCRunTimes.py" --tripid 1810-26 --locoid 4005 --swversion DE.1.0.9.0 --startMP 300:58613 --initTime 2017-08-26T10:36:11 --startdatetime 2017-08-26T10:37:48 --delay 1 --endMP 204:888 --enddatetime 2017-08-26T10:55:47 --enforcementcount 0 &gt;&gt;C:\Users\stu\Documents\GitHub\eaglep3-reporting\EC\2017-08-26-refined-times.txt</v>
      </c>
      <c r="AI171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{"issue":{"subject":"","project_id":79,"tracker_id":40,"status_id":1,"priority_id":2,"assigned_to_id":23,"start_date":"2017-08-26","description":"","custom_fields":[{"id":1,"name":"Subdivision","value":"NW"},{"id":4,"name":"Milepost","value":"0.0888"},{"id":17,"name":"Train ID","value":"1810-26"},{"id":16,"name":"Locomotive ID","value":"4005"},{"id":130,"name":"Impact","value":""},{"id":150,"name":"Time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4"/>
        <v>start /low /b %USERPROFILE%\Documents\GitHub\eaglep3\Utilities\DownloadLogsFromS3.py --loco 4005 --day 2017-08-26</v>
      </c>
      <c r="AN171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16:55:47"},{"id":29,"name":"Sharepoint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682</v>
      </c>
      <c r="B172" s="7">
        <v>4006</v>
      </c>
      <c r="C172" s="21" t="s">
        <v>197</v>
      </c>
      <c r="D172" s="21" t="s">
        <v>861</v>
      </c>
      <c r="E172" s="13">
        <v>42973.46503472222</v>
      </c>
      <c r="F172" s="13">
        <v>42973.473530092589</v>
      </c>
      <c r="G172" s="7">
        <v>1</v>
      </c>
      <c r="H172" s="21" t="s">
        <v>553</v>
      </c>
      <c r="I172" s="13">
        <v>42973.484236111108</v>
      </c>
      <c r="J172" s="7">
        <v>0</v>
      </c>
      <c r="K172" s="89" t="str">
        <f t="shared" si="50"/>
        <v>4005/4006</v>
      </c>
      <c r="L172" s="217" t="str">
        <f>VLOOKUP(A172,'Trips&amp;Operators'!$C$1:$G$99911,5,FALSE)</f>
        <v>HUFFSMITH MONTY</v>
      </c>
      <c r="M172" s="6">
        <f t="shared" si="51"/>
        <v>1.0706018518249039E-2</v>
      </c>
      <c r="N172" s="7">
        <f t="shared" si="68"/>
        <v>15.416666666278616</v>
      </c>
      <c r="O172" s="7"/>
      <c r="P172" s="7"/>
      <c r="Q172" s="22"/>
      <c r="R172" s="170"/>
      <c r="S172" s="213">
        <f t="shared" si="69"/>
        <v>1</v>
      </c>
      <c r="T172" s="195" t="str">
        <f t="shared" si="52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3"/>
        <v>https://d0f6bd738d7f1b3e5a7ca70fe4ff75f0.us-east-1.aws.found.io/app/kibana#/discover/Steve-Slow-Train-Analysis-(2080s-and-2083s)?_g=(refreshInterval:(display:Off,pause:!f,section:0,value:0),time:(from:'2017-08-26T10:09:39-0600',mode:absolute,to:'2017-08-26T12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97" t="str">
        <f>IF(AA172&lt;VLOOKUP(AG172,Variables!$AC$3:$AD$8,2,FALSE),"Y","N")</f>
        <v>N</v>
      </c>
      <c r="X172" s="197">
        <f t="shared" si="70"/>
        <v>1</v>
      </c>
      <c r="Y172" s="197">
        <f t="shared" si="71"/>
        <v>0.1179</v>
      </c>
      <c r="Z172" s="197">
        <f t="shared" si="56"/>
        <v>5.8975999999999997</v>
      </c>
      <c r="AA172" s="197">
        <f t="shared" si="57"/>
        <v>5.7797000000000001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58"/>
        <v>1811</v>
      </c>
      <c r="AE172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72" s="74" t="str">
        <f t="shared" si="60"/>
        <v>"C:\Program Files (x86)\AstroGrep\AstroGrep.exe" /e /r /s /spath="%USERPROFILE%\AppData\Local\Temp\OnboardLogs" /stypes="app*4006*20170826*" /stext=" 17:.+((SYSTEM_STATE.+slice.+state.+changed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62"/>
        <v>"%USERPROFILE%\Documents\GitHub\eaglep3\Utilities\RefineRTDCRunTimes.py" --tripid 1811-26 --locoid 4006 --swversion DE.1.0.9.0 --startMP 204:1179 --initTime 2017-08-26T11:09:39 --startdatetime 2017-08-26T11:21:53 --delay 1 --endMP 300:58976 --enddatetime 2017-08-26T11:37:18 --enforcementcount 0 &gt;&gt;C:\Users\stu\Documents\GitHub\eaglep3-reporting\EC\2017-08-26-refined-times.txt</v>
      </c>
      <c r="AI172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{"issue":{"subject":"","project_id":79,"tracker_id":40,"status_id":1,"priority_id":2,"assigned_to_id":23,"start_date":"2017-08-26","description":"","custom_fields":[{"id":1,"name":"Subdivision","value":"NW"},{"id":4,"name":"Milepost","value":"5.8976"},{"id":17,"name":"Train ID","value":"1811-26"},{"id":16,"name":"Locomotive ID","value":"4006"},{"id":130,"name":"Impact","value":""},{"id":150,"name":"Time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4"/>
        <v>start /low /b %USERPROFILE%\Documents\GitHub\eaglep3\Utilities\DownloadLogsFromS3.py --loco 4006 --day 2017-08-26</v>
      </c>
      <c r="AN172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688</v>
      </c>
      <c r="B173" s="7">
        <v>4005</v>
      </c>
      <c r="C173" s="21" t="s">
        <v>197</v>
      </c>
      <c r="D173" s="21" t="s">
        <v>862</v>
      </c>
      <c r="E173" s="13">
        <v>42973.485243055555</v>
      </c>
      <c r="F173" s="13">
        <v>42973.486979166664</v>
      </c>
      <c r="G173" s="7">
        <v>1</v>
      </c>
      <c r="H173" s="21" t="s">
        <v>863</v>
      </c>
      <c r="I173" s="13">
        <v>42973.497662037036</v>
      </c>
      <c r="J173" s="7">
        <v>0</v>
      </c>
      <c r="K173" s="89" t="str">
        <f t="shared" si="50"/>
        <v>4005/4006</v>
      </c>
      <c r="L173" s="217" t="str">
        <f>VLOOKUP(A173,'Trips&amp;Operators'!$C$1:$G$99911,5,FALSE)</f>
        <v>HUFFSMITH MONTY</v>
      </c>
      <c r="M173" s="6">
        <f t="shared" si="51"/>
        <v>1.0682870371965691E-2</v>
      </c>
      <c r="N173" s="7">
        <f t="shared" si="68"/>
        <v>15.383333335630596</v>
      </c>
      <c r="O173" s="7"/>
      <c r="P173" s="7"/>
      <c r="Q173" s="22"/>
      <c r="R173" s="170"/>
      <c r="S173" s="213">
        <f t="shared" si="69"/>
        <v>1</v>
      </c>
      <c r="T173" s="195" t="str">
        <f t="shared" si="52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3"/>
        <v>https://d0f6bd738d7f1b3e5a7ca70fe4ff75f0.us-east-1.aws.found.io/app/kibana#/discover/Steve-Slow-Train-Analysis-(2080s-and-2083s)?_g=(refreshInterval:(display:Off,pause:!f,section:0,value:0),time:(from:'2017-08-26T10:38:45-0600',mode:absolute,to:'2017-08-26T12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97" t="str">
        <f>IF(AA173&lt;VLOOKUP(AG173,Variables!$AC$3:$AD$8,2,FALSE),"Y","N")</f>
        <v>N</v>
      </c>
      <c r="X173" s="197">
        <f t="shared" si="70"/>
        <v>1</v>
      </c>
      <c r="Y173" s="197">
        <f t="shared" si="71"/>
        <v>5.8667999999999996</v>
      </c>
      <c r="Z173" s="197">
        <f t="shared" si="56"/>
        <v>1.1299999999999999E-2</v>
      </c>
      <c r="AA173" s="197">
        <f t="shared" si="57"/>
        <v>5.8554999999999993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58"/>
        <v>1812</v>
      </c>
      <c r="AE173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73" s="74" t="str">
        <f t="shared" si="60"/>
        <v>"C:\Program Files (x86)\AstroGrep\AstroGrep.exe" /e /r /s /spath="%USERPROFILE%\AppData\Local\Temp\OnboardLogs" /stypes="app*4005*20170826*" /stext=" 17:.+((SYSTEM_STATE.+slice.+state.+changed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62"/>
        <v>"%USERPROFILE%\Documents\GitHub\eaglep3\Utilities\RefineRTDCRunTimes.py" --tripid 1812-26 --locoid 4005 --swversion DE.1.0.9.0 --startMP 300:58668 --initTime 2017-08-26T11:38:45 --startdatetime 2017-08-26T11:41:15 --delay 1 --endMP 204:113 --enddatetime 2017-08-26T11:56:38 --enforcementcount 0 &gt;&gt;C:\Users\stu\Documents\GitHub\eaglep3-reporting\EC\2017-08-26-refined-times.txt</v>
      </c>
      <c r="AI173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{"issue":{"subject":"","project_id":79,"tracker_id":40,"status_id":1,"priority_id":2,"assigned_to_id":23,"start_date":"2017-08-26","description":"","custom_fields":[{"id":1,"name":"Subdivision","value":"NW"},{"id":4,"name":"Milepost","value":"0.0113"},{"id":17,"name":"Train ID","value":"1812-26"},{"id":16,"name":"Locomotive ID","value":"4005"},{"id":130,"name":"Impact","value":""},{"id":150,"name":"Time of Event (Mountain Time)","value":"11:56:38"},{"id":151,"name":"Denver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4"/>
        <v>start /low /b %USERPROFILE%\Documents\GitHub\eaglep3\Utilities\DownloadLogsFromS3.py --loco 4005 --day 2017-08-26</v>
      </c>
      <c r="AN173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17:56:38"},{"id":29,"name":"Sharepoint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693</v>
      </c>
      <c r="B174" s="7">
        <v>4006</v>
      </c>
      <c r="C174" s="21" t="s">
        <v>197</v>
      </c>
      <c r="D174" s="21" t="s">
        <v>864</v>
      </c>
      <c r="E174" s="13">
        <v>42973.511979166666</v>
      </c>
      <c r="F174" s="13">
        <v>42973.514988425923</v>
      </c>
      <c r="G174" s="7">
        <v>2</v>
      </c>
      <c r="H174" s="21" t="s">
        <v>865</v>
      </c>
      <c r="I174" s="13">
        <v>42973.525023148148</v>
      </c>
      <c r="J174" s="7">
        <v>0</v>
      </c>
      <c r="K174" s="89" t="str">
        <f t="shared" si="50"/>
        <v>4005/4006</v>
      </c>
      <c r="L174" s="217" t="str">
        <f>VLOOKUP(A174,'Trips&amp;Operators'!$C$1:$G$99911,5,FALSE)</f>
        <v>MACDONALD THOMAS</v>
      </c>
      <c r="M174" s="6">
        <f t="shared" si="51"/>
        <v>1.0034722225100268E-2</v>
      </c>
      <c r="N174" s="7">
        <f t="shared" si="68"/>
        <v>14.450000004144385</v>
      </c>
      <c r="O174" s="7"/>
      <c r="P174" s="7"/>
      <c r="Q174" s="22"/>
      <c r="R174" s="170"/>
      <c r="S174" s="213">
        <f t="shared" si="69"/>
        <v>1</v>
      </c>
      <c r="T174" s="195" t="str">
        <f t="shared" si="52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3"/>
        <v>https://d0f6bd738d7f1b3e5a7ca70fe4ff75f0.us-east-1.aws.found.io/app/kibana#/discover/Steve-Slow-Train-Analysis-(2080s-and-2083s)?_g=(refreshInterval:(display:Off,pause:!f,section:0,value:0),time:(from:'2017-08-26T11:17:15-0600',mode:absolute,to:'2017-08-26T13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97" t="str">
        <f>IF(AA174&lt;VLOOKUP(AG174,Variables!$AC$3:$AD$8,2,FALSE),"Y","N")</f>
        <v>N</v>
      </c>
      <c r="X174" s="197">
        <f t="shared" si="70"/>
        <v>1</v>
      </c>
      <c r="Y174" s="197">
        <f t="shared" si="71"/>
        <v>3.9E-2</v>
      </c>
      <c r="Z174" s="197">
        <f t="shared" si="56"/>
        <v>5.8902999999999999</v>
      </c>
      <c r="AA174" s="197">
        <f t="shared" si="57"/>
        <v>5.8513000000000002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58"/>
        <v>1813</v>
      </c>
      <c r="AE174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74" s="74" t="str">
        <f t="shared" si="60"/>
        <v>"C:\Program Files (x86)\AstroGrep\AstroGrep.exe" /e /r /s /spath="%USERPROFILE%\AppData\Local\Temp\OnboardLogs" /stypes="app*4006*20170826*" /stext=" 18:.+((SYSTEM_STATE.+slice.+state.+changed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62"/>
        <v>"%USERPROFILE%\Documents\GitHub\eaglep3\Utilities\RefineRTDCRunTimes.py" --tripid 1813-26 --locoid 4006 --swversion DE.1.0.9.0 --startMP 204:390 --initTime 2017-08-26T12:17:15 --startdatetime 2017-08-26T12:21:35 --delay 2 --endMP 300:58903 --enddatetime 2017-08-26T12:36:02 --enforcementcount 0 &gt;&gt;C:\Users\stu\Documents\GitHub\eaglep3-reporting\EC\2017-08-26-refined-times.txt</v>
      </c>
      <c r="AI174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{"issue":{"subject":"","project_id":79,"tracker_id":40,"status_id":1,"priority_id":2,"assigned_to_id":23,"start_date":"2017-08-26","description":"","custom_fields":[{"id":1,"name":"Subdivision","value":"NW"},{"id":4,"name":"Milepost","value":"5.8903"},{"id":17,"name":"Train ID","value":"1813-26"},{"id":16,"name":"Locomotive ID","value":"4006"},{"id":130,"name":"Impact","value":""},{"id":150,"name":"Time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4"/>
        <v>start /low /b %USERPROFILE%\Documents\GitHub\eaglep3\Utilities\DownloadLogsFromS3.py --loco 4006 --day 2017-08-26</v>
      </c>
      <c r="AN174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697</v>
      </c>
      <c r="B175" s="7">
        <v>4005</v>
      </c>
      <c r="C175" s="21" t="s">
        <v>197</v>
      </c>
      <c r="D175" s="21" t="s">
        <v>849</v>
      </c>
      <c r="E175" s="13">
        <v>42973.525983796295</v>
      </c>
      <c r="F175" s="13">
        <v>42973.527303240742</v>
      </c>
      <c r="G175" s="7">
        <v>1</v>
      </c>
      <c r="H175" s="21" t="s">
        <v>866</v>
      </c>
      <c r="I175" s="13">
        <v>42973.538784722223</v>
      </c>
      <c r="J175" s="7">
        <v>0</v>
      </c>
      <c r="K175" s="89" t="str">
        <f t="shared" si="50"/>
        <v>4005/4006</v>
      </c>
      <c r="L175" s="217" t="str">
        <f>VLOOKUP(A175,'Trips&amp;Operators'!$C$1:$G$99911,5,FALSE)</f>
        <v>MACDONALD THOMAS</v>
      </c>
      <c r="M175" s="6">
        <f t="shared" si="51"/>
        <v>1.1481481480586808E-2</v>
      </c>
      <c r="N175" s="7">
        <f t="shared" si="68"/>
        <v>16.533333332045004</v>
      </c>
      <c r="O175" s="7"/>
      <c r="P175" s="7"/>
      <c r="Q175" s="22"/>
      <c r="R175" s="170"/>
      <c r="S175" s="213">
        <f t="shared" si="69"/>
        <v>1</v>
      </c>
      <c r="T175" s="195" t="str">
        <f t="shared" si="52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3"/>
        <v>https://d0f6bd738d7f1b3e5a7ca70fe4ff75f0.us-east-1.aws.found.io/app/kibana#/discover/Steve-Slow-Train-Analysis-(2080s-and-2083s)?_g=(refreshInterval:(display:Off,pause:!f,section:0,value:0),time:(from:'2017-08-26T11:37:25-0600',mode:absolute,to:'2017-08-26T13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97" t="str">
        <f>IF(AA175&lt;VLOOKUP(AG175,Variables!$AC$3:$AD$8,2,FALSE),"Y","N")</f>
        <v>N</v>
      </c>
      <c r="X175" s="197">
        <f t="shared" si="70"/>
        <v>1</v>
      </c>
      <c r="Y175" s="197">
        <f t="shared" si="71"/>
        <v>5.8592000000000004</v>
      </c>
      <c r="Z175" s="197">
        <f t="shared" si="56"/>
        <v>7.1199999999999999E-2</v>
      </c>
      <c r="AA175" s="197">
        <f t="shared" si="57"/>
        <v>5.7880000000000003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58"/>
        <v>1814</v>
      </c>
      <c r="AE175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75" s="74" t="str">
        <f t="shared" si="60"/>
        <v>"C:\Program Files (x86)\AstroGrep\AstroGrep.exe" /e /r /s /spath="%USERPROFILE%\AppData\Local\Temp\OnboardLogs" /stypes="app*4005*20170826*" /stext=" 18:.+((SYSTEM_STATE.+slice.+state.+changed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62"/>
        <v>"%USERPROFILE%\Documents\GitHub\eaglep3\Utilities\RefineRTDCRunTimes.py" --tripid 1814-26 --locoid 4005 --swversion DE.1.0.9.0 --startMP 300:58592 --initTime 2017-08-26T12:37:25 --startdatetime 2017-08-26T12:39:19 --delay 1 --endMP 204:712 --enddatetime 2017-08-26T12:55:51 --enforcementcount 0 &gt;&gt;C:\Users\stu\Documents\GitHub\eaglep3-reporting\EC\2017-08-26-refined-times.txt</v>
      </c>
      <c r="AI175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{"issue":{"subject":"","project_id":79,"tracker_id":40,"status_id":1,"priority_id":2,"assigned_to_id":23,"start_date":"2017-08-26","description":"","custom_fields":[{"id":1,"name":"Subdivision","value":"NW"},{"id":4,"name":"Milepost","value":"0.0712"},{"id":17,"name":"Train ID","value":"1814-26"},{"id":16,"name":"Locomotive ID","value":"4005"},{"id":130,"name":"Impact","value":""},{"id":150,"name":"Time of Event (Mountain Time)","value":"12:55:51"},{"id":151,"name":"Denver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4"/>
        <v>start /low /b %USERPROFILE%\Documents\GitHub\eaglep3\Utilities\DownloadLogsFromS3.py --loco 4005 --day 2017-08-26</v>
      </c>
      <c r="AN175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18:55:51"},{"id":29,"name":"Sharepoint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704</v>
      </c>
      <c r="B176" s="7">
        <v>4006</v>
      </c>
      <c r="C176" s="21" t="s">
        <v>197</v>
      </c>
      <c r="D176" s="21" t="s">
        <v>558</v>
      </c>
      <c r="E176" s="13">
        <v>42973.539594907408</v>
      </c>
      <c r="F176" s="13">
        <v>42973.556828703702</v>
      </c>
      <c r="G176" s="7">
        <v>22</v>
      </c>
      <c r="H176" s="21" t="s">
        <v>867</v>
      </c>
      <c r="I176" s="13">
        <v>42973.566817129627</v>
      </c>
      <c r="J176" s="7">
        <v>0</v>
      </c>
      <c r="K176" s="89" t="str">
        <f t="shared" si="50"/>
        <v>4005/4006</v>
      </c>
      <c r="L176" s="217" t="str">
        <f>VLOOKUP(A176,'Trips&amp;Operators'!$C$1:$G$99911,5,FALSE)</f>
        <v>MACDONALD THOMAS</v>
      </c>
      <c r="M176" s="6">
        <f t="shared" si="51"/>
        <v>9.9884259252576157E-3</v>
      </c>
      <c r="N176" s="7">
        <f t="shared" si="68"/>
        <v>14.383333332370967</v>
      </c>
      <c r="O176" s="7"/>
      <c r="P176" s="7"/>
      <c r="Q176" s="22"/>
      <c r="R176" s="170"/>
      <c r="S176" s="213">
        <f t="shared" si="69"/>
        <v>1</v>
      </c>
      <c r="T176" s="195" t="str">
        <f t="shared" si="52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3"/>
        <v>https://d0f6bd738d7f1b3e5a7ca70fe4ff75f0.us-east-1.aws.found.io/app/kibana#/discover/Steve-Slow-Train-Analysis-(2080s-and-2083s)?_g=(refreshInterval:(display:Off,pause:!f,section:0,value:0),time:(from:'2017-08-26T11:57:01-0600',mode:absolute,to:'2017-08-26T14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97" t="str">
        <f>IF(AA176&lt;VLOOKUP(AG176,Variables!$AC$3:$AD$8,2,FALSE),"Y","N")</f>
        <v>N</v>
      </c>
      <c r="X176" s="197">
        <f t="shared" si="70"/>
        <v>1</v>
      </c>
      <c r="Y176" s="197">
        <f t="shared" si="71"/>
        <v>0.1004</v>
      </c>
      <c r="Z176" s="197">
        <f t="shared" si="56"/>
        <v>5.8924000000000003</v>
      </c>
      <c r="AA176" s="197">
        <f t="shared" si="57"/>
        <v>5.7920000000000007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58"/>
        <v>1815</v>
      </c>
      <c r="AE176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76" s="74" t="str">
        <f t="shared" si="60"/>
        <v>"C:\Program Files (x86)\AstroGrep\AstroGrep.exe" /e /r /s /spath="%USERPROFILE%\AppData\Local\Temp\OnboardLogs" /stypes="app*4006*20170826*" /stext=" 19:.+((SYSTEM_STATE.+slice.+state.+changed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62"/>
        <v>"%USERPROFILE%\Documents\GitHub\eaglep3\Utilities\RefineRTDCRunTimes.py" --tripid 1815-26 --locoid 4006 --swversion DE.1.0.9.0 --startMP 204:1004 --initTime 2017-08-26T12:57:01 --startdatetime 2017-08-26T13:21:50 --delay 22 --endMP 300:58924 --enddatetime 2017-08-26T13:36:13 --enforcementcount 0 &gt;&gt;C:\Users\stu\Documents\GitHub\eaglep3-reporting\EC\2017-08-26-refined-times.txt</v>
      </c>
      <c r="AI176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{"issue":{"subject":"","project_id":79,"tracker_id":40,"status_id":1,"priority_id":2,"assigned_to_id":23,"start_date":"2017-08-26","description":"","custom_fields":[{"id":1,"name":"Subdivision","value":"NW"},{"id":4,"name":"Milepost","value":"5.8924"},{"id":17,"name":"Train ID","value":"1815-26"},{"id":16,"name":"Locomotive ID","value":"4006"},{"id":130,"name":"Impact","value":""},{"id":150,"name":"Time of Event (Mountain Time)","value":"13:36:13"},{"id":151,"name":"Denver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4"/>
        <v>start /low /b %USERPROFILE%\Documents\GitHub\eaglep3\Utilities\DownloadLogsFromS3.py --loco 4006 --day 2017-08-26</v>
      </c>
      <c r="AN176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573</v>
      </c>
      <c r="B177" s="7">
        <v>4005</v>
      </c>
      <c r="C177" s="21" t="s">
        <v>197</v>
      </c>
      <c r="D177" s="21" t="s">
        <v>562</v>
      </c>
      <c r="E177" s="13">
        <v>42973.567939814813</v>
      </c>
      <c r="F177" s="13">
        <v>42973.56890046296</v>
      </c>
      <c r="G177" s="7">
        <v>0</v>
      </c>
      <c r="H177" s="21" t="s">
        <v>868</v>
      </c>
      <c r="I177" s="13">
        <v>42973.580393518518</v>
      </c>
      <c r="J177" s="7">
        <v>0</v>
      </c>
      <c r="K177" s="89" t="str">
        <f t="shared" si="50"/>
        <v>4005/4006</v>
      </c>
      <c r="L177" s="217" t="str">
        <f>VLOOKUP(A177,'Trips&amp;Operators'!$C$1:$G$99911,5,FALSE)</f>
        <v>MACDONALD THOMAS</v>
      </c>
      <c r="M177" s="6">
        <f t="shared" si="51"/>
        <v>1.1493055557366461E-2</v>
      </c>
      <c r="N177" s="7">
        <f t="shared" si="68"/>
        <v>16.550000002607703</v>
      </c>
      <c r="O177" s="7"/>
      <c r="P177" s="7"/>
      <c r="Q177" s="22"/>
      <c r="R177" s="170"/>
      <c r="S177" s="213">
        <f t="shared" si="69"/>
        <v>1</v>
      </c>
      <c r="T177" s="195" t="str">
        <f t="shared" si="52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3"/>
        <v>https://d0f6bd738d7f1b3e5a7ca70fe4ff75f0.us-east-1.aws.found.io/app/kibana#/discover/Steve-Slow-Train-Analysis-(2080s-and-2083s)?_g=(refreshInterval:(display:Off,pause:!f,section:0,value:0),time:(from:'2017-08-26T12:37:50-0600',mode:absolute,to:'2017-08-26T14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197" t="str">
        <f>IF(AA177&lt;VLOOKUP(AG177,Variables!$AC$3:$AD$8,2,FALSE),"Y","N")</f>
        <v>N</v>
      </c>
      <c r="X177" s="197">
        <f t="shared" si="70"/>
        <v>1</v>
      </c>
      <c r="Y177" s="197">
        <f t="shared" si="71"/>
        <v>5.8609</v>
      </c>
      <c r="Z177" s="197">
        <f t="shared" si="56"/>
        <v>7.3400000000000007E-2</v>
      </c>
      <c r="AA177" s="197">
        <f t="shared" si="57"/>
        <v>5.7874999999999996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58"/>
        <v>1816</v>
      </c>
      <c r="AE177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77" s="74" t="str">
        <f t="shared" si="60"/>
        <v>"C:\Program Files (x86)\AstroGrep\AstroGrep.exe" /e /r /s /spath="%USERPROFILE%\AppData\Local\Temp\OnboardLogs" /stypes="app*4005*20170826*" /stext=" 19:.+((SYSTEM_STATE.+slice.+state.+changed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62"/>
        <v>"%USERPROFILE%\Documents\GitHub\eaglep3\Utilities\RefineRTDCRunTimes.py" --tripid 1816-26 --locoid 4005 --swversion DE.1.0.9.0 --startMP 300:58609 --initTime 2017-08-26T13:37:50 --startdatetime 2017-08-26T13:39:13 --delay 0 --endMP 204:734 --enddatetime 2017-08-26T13:55:46 --enforcementcount 0 &gt;&gt;C:\Users\stu\Documents\GitHub\eaglep3-reporting\EC\2017-08-26-refined-times.txt</v>
      </c>
      <c r="AI177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{"issue":{"subject":"","project_id":79,"tracker_id":40,"status_id":1,"priority_id":2,"assigned_to_id":23,"start_date":"2017-08-26","description":"","custom_fields":[{"id":1,"name":"Subdivision","value":"NW"},{"id":4,"name":"Milepost","value":"0.0734"},{"id":17,"name":"Train ID","value":"1816-26"},{"id":16,"name":"Locomotive ID","value":"4005"},{"id":130,"name":"Impact","value":""},{"id":150,"name":"Time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4"/>
        <v>start /low /b %USERPROFILE%\Documents\GitHub\eaglep3\Utilities\DownloadLogsFromS3.py --loco 4005 --day 2017-08-26</v>
      </c>
      <c r="AN177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19:55:46"},{"id":29,"name":"Sharepoint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711</v>
      </c>
      <c r="B178" s="7">
        <v>4006</v>
      </c>
      <c r="C178" s="21" t="s">
        <v>197</v>
      </c>
      <c r="D178" s="21" t="s">
        <v>869</v>
      </c>
      <c r="E178" s="13">
        <v>42973.58666666667</v>
      </c>
      <c r="F178" s="13">
        <v>42973.598611111112</v>
      </c>
      <c r="G178" s="7">
        <v>7</v>
      </c>
      <c r="H178" s="21" t="s">
        <v>870</v>
      </c>
      <c r="I178" s="13">
        <v>42973.607592592591</v>
      </c>
      <c r="J178" s="7">
        <v>0</v>
      </c>
      <c r="K178" s="89" t="str">
        <f t="shared" si="50"/>
        <v>4005/4006</v>
      </c>
      <c r="L178" s="217" t="str">
        <f>VLOOKUP(A178,'Trips&amp;Operators'!$C$1:$G$99911,5,FALSE)</f>
        <v>SAFIEF AEIMEN</v>
      </c>
      <c r="M178" s="6">
        <f t="shared" si="51"/>
        <v>8.9814814782585017E-3</v>
      </c>
      <c r="N178" s="7">
        <f t="shared" si="68"/>
        <v>12.933333328692243</v>
      </c>
      <c r="O178" s="7"/>
      <c r="P178" s="7"/>
      <c r="Q178" s="22"/>
      <c r="R178" s="170"/>
      <c r="S178" s="213">
        <f t="shared" si="69"/>
        <v>1</v>
      </c>
      <c r="T178" s="195" t="str">
        <f t="shared" si="52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3"/>
        <v>https://d0f6bd738d7f1b3e5a7ca70fe4ff75f0.us-east-1.aws.found.io/app/kibana#/discover/Steve-Slow-Train-Analysis-(2080s-and-2083s)?_g=(refreshInterval:(display:Off,pause:!f,section:0,value:0),time:(from:'2017-08-26T13:04:48-0600',mode:absolute,to:'2017-08-26T15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97" t="str">
        <f>IF(AA178&lt;VLOOKUP(AG178,Variables!$AC$3:$AD$8,2,FALSE),"Y","N")</f>
        <v>N</v>
      </c>
      <c r="X178" s="197">
        <f t="shared" si="70"/>
        <v>1</v>
      </c>
      <c r="Y178" s="197">
        <f t="shared" si="71"/>
        <v>0.1028</v>
      </c>
      <c r="Z178" s="197">
        <f t="shared" si="56"/>
        <v>5.8921999999999999</v>
      </c>
      <c r="AA178" s="197">
        <f t="shared" si="57"/>
        <v>5.7893999999999997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58"/>
        <v>1817</v>
      </c>
      <c r="AE178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78" s="74" t="str">
        <f t="shared" si="60"/>
        <v>"C:\Program Files (x86)\AstroGrep\AstroGrep.exe" /e /r /s /spath="%USERPROFILE%\AppData\Local\Temp\OnboardLogs" /stypes="app*4006*20170826*" /stext=" 20:.+((SYSTEM_STATE.+slice.+state.+changed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62"/>
        <v>"%USERPROFILE%\Documents\GitHub\eaglep3\Utilities\RefineRTDCRunTimes.py" --tripid 1817-26 --locoid 4006 --swversion DE.1.0.9.0 --startMP 204:1028 --initTime 2017-08-26T14:04:48 --startdatetime 2017-08-26T14:22:00 --delay 7 --endMP 300:58922 --enddatetime 2017-08-26T14:34:56 --enforcementcount 0 &gt;&gt;C:\Users\stu\Documents\GitHub\eaglep3-reporting\EC\2017-08-26-refined-times.txt</v>
      </c>
      <c r="AI178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{"issue":{"subject":"","project_id":79,"tracker_id":40,"status_id":1,"priority_id":2,"assigned_to_id":23,"start_date":"2017-08-26","description":"","custom_fields":[{"id":1,"name":"Subdivision","value":"NW"},{"id":4,"name":"Milepost","value":"5.8922"},{"id":17,"name":"Train ID","value":"1817-26"},{"id":16,"name":"Locomotive ID","value":"4006"},{"id":130,"name":"Impact","value":""},{"id":150,"name":"Time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4"/>
        <v>start /low /b %USERPROFILE%\Documents\GitHub\eaglep3\Utilities\DownloadLogsFromS3.py --loco 4006 --day 2017-08-26</v>
      </c>
      <c r="AN178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720</v>
      </c>
      <c r="B179" s="7">
        <v>4005</v>
      </c>
      <c r="C179" s="21" t="s">
        <v>197</v>
      </c>
      <c r="D179" s="21" t="s">
        <v>557</v>
      </c>
      <c r="E179" s="13">
        <v>42973.608668981484</v>
      </c>
      <c r="F179" s="13">
        <v>42973.610613425924</v>
      </c>
      <c r="G179" s="7">
        <v>1</v>
      </c>
      <c r="H179" s="21" t="s">
        <v>555</v>
      </c>
      <c r="I179" s="13">
        <v>42973.624490740738</v>
      </c>
      <c r="J179" s="7">
        <v>0</v>
      </c>
      <c r="K179" s="89" t="str">
        <f t="shared" si="50"/>
        <v>4005/4006</v>
      </c>
      <c r="L179" s="217" t="str">
        <f>VLOOKUP(A179,'Trips&amp;Operators'!$C$1:$G$99911,5,FALSE)</f>
        <v>SAFIEF AEIMEN</v>
      </c>
      <c r="M179" s="6">
        <f t="shared" si="51"/>
        <v>1.3877314813726116E-2</v>
      </c>
      <c r="N179" s="7">
        <f t="shared" si="68"/>
        <v>19.983333331765607</v>
      </c>
      <c r="O179" s="7"/>
      <c r="P179" s="7"/>
      <c r="Q179" s="22"/>
      <c r="R179" s="170"/>
      <c r="S179" s="213">
        <f t="shared" si="69"/>
        <v>1</v>
      </c>
      <c r="T179" s="195" t="str">
        <f t="shared" si="52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3"/>
        <v>https://d0f6bd738d7f1b3e5a7ca70fe4ff75f0.us-east-1.aws.found.io/app/kibana#/discover/Steve-Slow-Train-Analysis-(2080s-and-2083s)?_g=(refreshInterval:(display:Off,pause:!f,section:0,value:0),time:(from:'2017-08-26T13:36:29-0600',mode:absolute,to:'2017-08-26T15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97" t="str">
        <f>IF(AA179&lt;VLOOKUP(AG179,Variables!$AC$3:$AD$8,2,FALSE),"Y","N")</f>
        <v>N</v>
      </c>
      <c r="X179" s="197">
        <f t="shared" si="70"/>
        <v>1</v>
      </c>
      <c r="Y179" s="197">
        <f t="shared" si="71"/>
        <v>5.8601999999999999</v>
      </c>
      <c r="Z179" s="197">
        <f t="shared" si="56"/>
        <v>7.17E-2</v>
      </c>
      <c r="AA179" s="197">
        <f t="shared" si="57"/>
        <v>5.7885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58"/>
        <v>1818</v>
      </c>
      <c r="AE179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79" s="74" t="str">
        <f t="shared" si="60"/>
        <v>"C:\Program Files (x86)\AstroGrep\AstroGrep.exe" /e /r /s /spath="%USERPROFILE%\AppData\Local\Temp\OnboardLogs" /stypes="app*4005*20170826*" /stext=" 20:.+((SYSTEM_STATE.+slice.+state.+changed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62"/>
        <v>"%USERPROFILE%\Documents\GitHub\eaglep3\Utilities\RefineRTDCRunTimes.py" --tripid 1818-26 --locoid 4005 --swversion DE.1.0.9.0 --startMP 300:58602 --initTime 2017-08-26T14:36:29 --startdatetime 2017-08-26T14:39:17 --delay 1 --endMP 204:717 --enddatetime 2017-08-26T14:59:16 --enforcementcount 0 &gt;&gt;C:\Users\stu\Documents\GitHub\eaglep3-reporting\EC\2017-08-26-refined-times.txt</v>
      </c>
      <c r="AI179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{"issue":{"subject":"","project_id":79,"tracker_id":40,"status_id":1,"priority_id":2,"assigned_to_id":23,"start_date":"2017-08-26","description":"","custom_fields":[{"id":1,"name":"Subdivision","value":"NW"},{"id":4,"name":"Milepost","value":"0.0717"},{"id":17,"name":"Train ID","value":"1818-26"},{"id":16,"name":"Locomotive ID","value":"4005"},{"id":130,"name":"Impact","value":""},{"id":150,"name":"Time of Event (Mountain Time)","value":"14:59:16"},{"id":151,"name":"Denver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4"/>
        <v>start /low /b %USERPROFILE%\Documents\GitHub\eaglep3\Utilities\DownloadLogsFromS3.py --loco 4005 --day 2017-08-26</v>
      </c>
      <c r="AN179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20:59:16"},{"id":29,"name":"Sharepoint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725</v>
      </c>
      <c r="B180" s="7">
        <v>4006</v>
      </c>
      <c r="C180" s="21" t="s">
        <v>197</v>
      </c>
      <c r="D180" s="21" t="s">
        <v>855</v>
      </c>
      <c r="E180" s="13">
        <v>42973.628530092596</v>
      </c>
      <c r="F180" s="13">
        <v>42973.639745370368</v>
      </c>
      <c r="G180" s="7">
        <v>1</v>
      </c>
      <c r="H180" s="21" t="s">
        <v>848</v>
      </c>
      <c r="I180" s="13">
        <v>42973.649351851855</v>
      </c>
      <c r="J180" s="7">
        <v>0</v>
      </c>
      <c r="K180" s="89" t="str">
        <f t="shared" si="50"/>
        <v>4005/4006</v>
      </c>
      <c r="L180" s="217" t="str">
        <f>VLOOKUP(A180,'Trips&amp;Operators'!$C$1:$G$99911,5,FALSE)</f>
        <v>SAFIEF AEIMEN</v>
      </c>
      <c r="M180" s="6">
        <f t="shared" si="51"/>
        <v>9.606481486116536E-3</v>
      </c>
      <c r="N180" s="7">
        <f t="shared" si="68"/>
        <v>13.833333340007812</v>
      </c>
      <c r="O180" s="7"/>
      <c r="P180" s="7"/>
      <c r="Q180" s="22"/>
      <c r="R180" s="170"/>
      <c r="S180" s="213">
        <f t="shared" si="69"/>
        <v>1</v>
      </c>
      <c r="T180" s="195" t="str">
        <f t="shared" si="52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3"/>
        <v>https://d0f6bd738d7f1b3e5a7ca70fe4ff75f0.us-east-1.aws.found.io/app/kibana#/discover/Steve-Slow-Train-Analysis-(2080s-and-2083s)?_g=(refreshInterval:(display:Off,pause:!f,section:0,value:0),time:(from:'2017-08-26T14:05:05-0600',mode:absolute,to:'2017-08-26T16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97" t="str">
        <f>IF(AA180&lt;VLOOKUP(AG180,Variables!$AC$3:$AD$8,2,FALSE),"Y","N")</f>
        <v>N</v>
      </c>
      <c r="X180" s="197">
        <f t="shared" si="70"/>
        <v>1</v>
      </c>
      <c r="Y180" s="197">
        <f t="shared" si="71"/>
        <v>0.1</v>
      </c>
      <c r="Z180" s="197">
        <f t="shared" si="56"/>
        <v>5.8914</v>
      </c>
      <c r="AA180" s="197">
        <f t="shared" si="57"/>
        <v>5.7914000000000003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58"/>
        <v>1819</v>
      </c>
      <c r="AE180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80" s="74" t="str">
        <f t="shared" si="60"/>
        <v>"C:\Program Files (x86)\AstroGrep\AstroGrep.exe" /e /r /s /spath="%USERPROFILE%\AppData\Local\Temp\OnboardLogs" /stypes="app*4006*20170826*" /stext=" 21:.+((SYSTEM_STATE.+slice.+state.+changed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62"/>
        <v>"%USERPROFILE%\Documents\GitHub\eaglep3\Utilities\RefineRTDCRunTimes.py" --tripid 1819-26 --locoid 4006 --swversion DE.1.0.9.0 --startMP 204:1000 --initTime 2017-08-26T15:05:05 --startdatetime 2017-08-26T15:21:14 --delay 1 --endMP 300:58914 --enddatetime 2017-08-26T15:35:04 --enforcementcount 0 &gt;&gt;C:\Users\stu\Documents\GitHub\eaglep3-reporting\EC\2017-08-26-refined-times.txt</v>
      </c>
      <c r="AI180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{"issue":{"subject":"","project_id":79,"tracker_id":40,"status_id":1,"priority_id":2,"assigned_to_id":23,"start_date":"2017-08-26","description":"","custom_fields":[{"id":1,"name":"Subdivision","value":"NW"},{"id":4,"name":"Milepost","value":"5.8914"},{"id":17,"name":"Train ID","value":"1819-26"},{"id":16,"name":"Locomotive ID","value":"4006"},{"id":130,"name":"Impact","value":""},{"id":150,"name":"Time of Event (Mountain Time)","value":"15:35:04"},{"id":151,"name":"Denver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4"/>
        <v>start /low /b %USERPROFILE%\Documents\GitHub\eaglep3\Utilities\DownloadLogsFromS3.py --loco 4006 --day 2017-08-26</v>
      </c>
      <c r="AN180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729</v>
      </c>
      <c r="B181" s="7">
        <v>4005</v>
      </c>
      <c r="C181" s="21" t="s">
        <v>197</v>
      </c>
      <c r="D181" s="21" t="s">
        <v>557</v>
      </c>
      <c r="E181" s="13">
        <v>42973.650648148148</v>
      </c>
      <c r="F181" s="13">
        <v>42973.652442129627</v>
      </c>
      <c r="G181" s="7">
        <v>1</v>
      </c>
      <c r="H181" s="21" t="s">
        <v>871</v>
      </c>
      <c r="I181" s="13">
        <v>42973.663275462961</v>
      </c>
      <c r="J181" s="7">
        <v>0</v>
      </c>
      <c r="K181" s="89" t="str">
        <f t="shared" si="50"/>
        <v>4005/4006</v>
      </c>
      <c r="L181" s="217" t="str">
        <f>VLOOKUP(A181,'Trips&amp;Operators'!$C$1:$G$99911,5,FALSE)</f>
        <v>SAFIEF AEIMEN</v>
      </c>
      <c r="M181" s="6">
        <f t="shared" si="51"/>
        <v>1.0833333333721384E-2</v>
      </c>
      <c r="N181" s="7">
        <f t="shared" si="68"/>
        <v>15.600000000558794</v>
      </c>
      <c r="O181" s="7"/>
      <c r="P181" s="7"/>
      <c r="Q181" s="22"/>
      <c r="R181" s="170"/>
      <c r="S181" s="213">
        <f t="shared" si="69"/>
        <v>1</v>
      </c>
      <c r="T181" s="195" t="str">
        <f t="shared" si="52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3"/>
        <v>https://d0f6bd738d7f1b3e5a7ca70fe4ff75f0.us-east-1.aws.found.io/app/kibana#/discover/Steve-Slow-Train-Analysis-(2080s-and-2083s)?_g=(refreshInterval:(display:Off,pause:!f,section:0,value:0),time:(from:'2017-08-26T14:36:56-0600',mode:absolute,to:'2017-08-26T16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97" t="str">
        <f>IF(AA181&lt;VLOOKUP(AG181,Variables!$AC$3:$AD$8,2,FALSE),"Y","N")</f>
        <v>N</v>
      </c>
      <c r="X181" s="197">
        <f t="shared" si="70"/>
        <v>1</v>
      </c>
      <c r="Y181" s="197">
        <f t="shared" si="71"/>
        <v>5.8601999999999999</v>
      </c>
      <c r="Z181" s="197">
        <f t="shared" si="56"/>
        <v>6.7100000000000007E-2</v>
      </c>
      <c r="AA181" s="197">
        <f t="shared" si="57"/>
        <v>5.7930999999999999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58"/>
        <v>1820</v>
      </c>
      <c r="AE181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81" s="74" t="str">
        <f t="shared" si="60"/>
        <v>"C:\Program Files (x86)\AstroGrep\AstroGrep.exe" /e /r /s /spath="%USERPROFILE%\AppData\Local\Temp\OnboardLogs" /stypes="app*4005*20170826*" /stext=" 21:.+((SYSTEM_STATE.+slice.+state.+changed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62"/>
        <v>"%USERPROFILE%\Documents\GitHub\eaglep3\Utilities\RefineRTDCRunTimes.py" --tripid 1820-26 --locoid 4005 --swversion DE.1.0.9.0 --startMP 300:58602 --initTime 2017-08-26T15:36:56 --startdatetime 2017-08-26T15:39:31 --delay 1 --endMP 204:671 --enddatetime 2017-08-26T15:55:07 --enforcementcount 0 &gt;&gt;C:\Users\stu\Documents\GitHub\eaglep3-reporting\EC\2017-08-26-refined-times.txt</v>
      </c>
      <c r="AI181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{"issue":{"subject":"","project_id":79,"tracker_id":40,"status_id":1,"priority_id":2,"assigned_to_id":23,"start_date":"2017-08-26","description":"","custom_fields":[{"id":1,"name":"Subdivision","value":"NW"},{"id":4,"name":"Milepost","value":"0.0671"},{"id":17,"name":"Train ID","value":"1820-26"},{"id":16,"name":"Locomotive ID","value":"4005"},{"id":130,"name":"Impact","value":""},{"id":150,"name":"Time of Event (Mountain Time)","value":"15:55:07"},{"id":151,"name":"Denver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4"/>
        <v>start /low /b %USERPROFILE%\Documents\GitHub\eaglep3\Utilities\DownloadLogsFromS3.py --loco 4005 --day 2017-08-26</v>
      </c>
      <c r="AN181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735</v>
      </c>
      <c r="B182" s="7">
        <v>4006</v>
      </c>
      <c r="C182" s="21" t="s">
        <v>197</v>
      </c>
      <c r="D182" s="21" t="s">
        <v>872</v>
      </c>
      <c r="E182" s="13">
        <v>42973.665405092594</v>
      </c>
      <c r="F182" s="13">
        <v>42973.681423611109</v>
      </c>
      <c r="G182" s="7">
        <v>1</v>
      </c>
      <c r="H182" s="21" t="s">
        <v>873</v>
      </c>
      <c r="I182" s="13">
        <v>42973.690972222219</v>
      </c>
      <c r="J182" s="7">
        <v>0</v>
      </c>
      <c r="K182" s="89" t="str">
        <f t="shared" si="50"/>
        <v>4005/4006</v>
      </c>
      <c r="L182" s="217" t="str">
        <f>VLOOKUP(A182,'Trips&amp;Operators'!$C$1:$G$99911,5,FALSE)</f>
        <v>SAFIEF AEIMEN</v>
      </c>
      <c r="M182" s="6">
        <f t="shared" si="51"/>
        <v>9.5486111094942316E-3</v>
      </c>
      <c r="N182" s="7">
        <f t="shared" si="68"/>
        <v>13.749999997671694</v>
      </c>
      <c r="O182" s="7"/>
      <c r="P182" s="7"/>
      <c r="Q182" s="22"/>
      <c r="R182" s="170"/>
      <c r="S182" s="213">
        <f t="shared" si="69"/>
        <v>1</v>
      </c>
      <c r="T182" s="195" t="str">
        <f t="shared" si="52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3"/>
        <v>https://d0f6bd738d7f1b3e5a7ca70fe4ff75f0.us-east-1.aws.found.io/app/kibana#/discover/Steve-Slow-Train-Analysis-(2080s-and-2083s)?_g=(refreshInterval:(display:Off,pause:!f,section:0,value:0),time:(from:'2017-08-26T14:58:11-0600',mode:absolute,to:'2017-08-26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7" t="str">
        <f>IF(AA182&lt;VLOOKUP(AG182,Variables!$AC$3:$AD$8,2,FALSE),"Y","N")</f>
        <v>N</v>
      </c>
      <c r="X182" s="197">
        <f t="shared" si="70"/>
        <v>1</v>
      </c>
      <c r="Y182" s="197">
        <f t="shared" si="71"/>
        <v>9.64E-2</v>
      </c>
      <c r="Z182" s="197">
        <f t="shared" si="56"/>
        <v>5.8920000000000003</v>
      </c>
      <c r="AA182" s="197">
        <f t="shared" si="57"/>
        <v>5.7956000000000003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58"/>
        <v>1821</v>
      </c>
      <c r="AE182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82" s="74" t="str">
        <f t="shared" si="60"/>
        <v>"C:\Program Files (x86)\AstroGrep\AstroGrep.exe" /e /r /s /spath="%USERPROFILE%\AppData\Local\Temp\OnboardLogs" /stypes="app*4006*20170826*" /stext=" 22:.+((SYSTEM_STATE.+slice.+state.+changed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62"/>
        <v>"%USERPROFILE%\Documents\GitHub\eaglep3\Utilities\RefineRTDCRunTimes.py" --tripid 1821-26 --locoid 4006 --swversion DE.1.0.9.0 --startMP 204:964 --initTime 2017-08-26T15:58:11 --startdatetime 2017-08-26T16:21:15 --delay 1 --endMP 300:58920 --enddatetime 2017-08-26T16:35:00 --enforcementcount 0 &gt;&gt;C:\Users\stu\Documents\GitHub\eaglep3-reporting\EC\2017-08-26-refined-times.txt</v>
      </c>
      <c r="AI182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{"issue":{"subject":"","project_id":79,"tracker_id":40,"status_id":1,"priority_id":2,"assigned_to_id":23,"start_date":"2017-08-26","description":"","custom_fields":[{"id":1,"name":"Subdivision","value":"NW"},{"id":4,"name":"Milepost","value":"5.892"},{"id":17,"name":"Train ID","value":"1821-26"},{"id":16,"name":"Locomotive ID","value":"4006"},{"id":130,"name":"Impact","value":""},{"id":150,"name":"Time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4"/>
        <v>start /low /b %USERPROFILE%\Documents\GitHub\eaglep3\Utilities\DownloadLogsFromS3.py --loco 4006 --day 2017-08-26</v>
      </c>
      <c r="AN182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740</v>
      </c>
      <c r="B183" s="7">
        <v>4005</v>
      </c>
      <c r="C183" s="21" t="s">
        <v>197</v>
      </c>
      <c r="D183" s="21" t="s">
        <v>562</v>
      </c>
      <c r="E183" s="13">
        <v>42973.692245370374</v>
      </c>
      <c r="F183" s="13">
        <v>42973.693715277775</v>
      </c>
      <c r="G183" s="7">
        <v>1</v>
      </c>
      <c r="H183" s="21" t="s">
        <v>399</v>
      </c>
      <c r="I183" s="13">
        <v>42973.704791666663</v>
      </c>
      <c r="J183" s="7">
        <v>0</v>
      </c>
      <c r="K183" s="89" t="str">
        <f t="shared" si="50"/>
        <v>4005/4006</v>
      </c>
      <c r="L183" s="217" t="str">
        <f>VLOOKUP(A183,'Trips&amp;Operators'!$C$1:$G$99911,5,FALSE)</f>
        <v>SAFIEF AEIMEN</v>
      </c>
      <c r="M183" s="6">
        <f t="shared" si="51"/>
        <v>1.1076388887886424E-2</v>
      </c>
      <c r="N183" s="7">
        <f t="shared" si="68"/>
        <v>15.94999999855645</v>
      </c>
      <c r="O183" s="7"/>
      <c r="P183" s="7"/>
      <c r="Q183" s="22"/>
      <c r="R183" s="170"/>
      <c r="S183" s="213">
        <f t="shared" si="69"/>
        <v>1</v>
      </c>
      <c r="T183" s="195" t="str">
        <f t="shared" si="52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3"/>
        <v>https://d0f6bd738d7f1b3e5a7ca70fe4ff75f0.us-east-1.aws.found.io/app/kibana#/discover/Steve-Slow-Train-Analysis-(2080s-and-2083s)?_g=(refreshInterval:(display:Off,pause:!f,section:0,value:0),time:(from:'2017-08-26T15:36:50-0600',mode:absolute,to:'2017-08-26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97" t="str">
        <f>IF(AA183&lt;VLOOKUP(AG183,Variables!$AC$3:$AD$8,2,FALSE),"Y","N")</f>
        <v>N</v>
      </c>
      <c r="X183" s="197">
        <f t="shared" si="70"/>
        <v>1</v>
      </c>
      <c r="Y183" s="197">
        <f t="shared" si="71"/>
        <v>5.8609</v>
      </c>
      <c r="Z183" s="197">
        <f t="shared" si="56"/>
        <v>6.8000000000000005E-2</v>
      </c>
      <c r="AA183" s="197">
        <f t="shared" si="57"/>
        <v>5.7929000000000004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58"/>
        <v>1822</v>
      </c>
      <c r="AE183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83" s="74" t="str">
        <f t="shared" si="60"/>
        <v>"C:\Program Files (x86)\AstroGrep\AstroGrep.exe" /e /r /s /spath="%USERPROFILE%\AppData\Local\Temp\OnboardLogs" /stypes="app*4005*20170826*" /stext=" 22:.+((SYSTEM_STATE.+slice.+state.+changed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62"/>
        <v>"%USERPROFILE%\Documents\GitHub\eaglep3\Utilities\RefineRTDCRunTimes.py" --tripid 1822-26 --locoid 4005 --swversion DE.1.0.9.0 --startMP 300:58609 --initTime 2017-08-26T16:36:50 --startdatetime 2017-08-26T16:38:57 --delay 1 --endMP 204:680 --enddatetime 2017-08-26T16:54:54 --enforcementcount 0 &gt;&gt;C:\Users\stu\Documents\GitHub\eaglep3-reporting\EC\2017-08-26-refined-times.txt</v>
      </c>
      <c r="AI183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{"issue":{"subject":"","project_id":79,"tracker_id":40,"status_id":1,"priority_id":2,"assigned_to_id":23,"start_date":"2017-08-26","description":"","custom_fields":[{"id":1,"name":"Subdivision","value":"NW"},{"id":4,"name":"Milepost","value":"0.068"},{"id":17,"name":"Train ID","value":"1822-26"},{"id":16,"name":"Locomotive ID","value":"4005"},{"id":130,"name":"Impact","value":""},{"id":150,"name":"Time of Event (Mountain Time)","value":"16:54:54"},{"id":151,"name":"Denver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4"/>
        <v>start /low /b %USERPROFILE%\Documents\GitHub\eaglep3\Utilities\DownloadLogsFromS3.py --loco 4005 --day 2017-08-26</v>
      </c>
      <c r="AN183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743</v>
      </c>
      <c r="B184" s="7">
        <v>4006</v>
      </c>
      <c r="C184" s="21" t="s">
        <v>197</v>
      </c>
      <c r="D184" s="21" t="s">
        <v>874</v>
      </c>
      <c r="E184" s="13">
        <v>42973.71020833333</v>
      </c>
      <c r="F184" s="13">
        <v>42973.723090277781</v>
      </c>
      <c r="G184" s="7">
        <v>1</v>
      </c>
      <c r="H184" s="21" t="s">
        <v>852</v>
      </c>
      <c r="I184" s="13">
        <v>42973.732870370368</v>
      </c>
      <c r="J184" s="7">
        <v>0</v>
      </c>
      <c r="K184" s="89" t="str">
        <f t="shared" si="50"/>
        <v>4005/4006</v>
      </c>
      <c r="L184" s="217" t="str">
        <f>VLOOKUP(A184,'Trips&amp;Operators'!$C$1:$G$99911,5,FALSE)</f>
        <v>SAFIEF AEIMEN</v>
      </c>
      <c r="M184" s="6">
        <f t="shared" si="51"/>
        <v>9.7800925868796185E-3</v>
      </c>
      <c r="N184" s="7">
        <f t="shared" si="68"/>
        <v>14.083333325106651</v>
      </c>
      <c r="O184" s="7"/>
      <c r="P184" s="7"/>
      <c r="Q184" s="22"/>
      <c r="R184" s="170"/>
      <c r="S184" s="213">
        <f t="shared" si="69"/>
        <v>1</v>
      </c>
      <c r="T184" s="195" t="str">
        <f t="shared" si="52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3"/>
        <v>https://d0f6bd738d7f1b3e5a7ca70fe4ff75f0.us-east-1.aws.found.io/app/kibana#/discover/Steve-Slow-Train-Analysis-(2080s-and-2083s)?_g=(refreshInterval:(display:Off,pause:!f,section:0,value:0),time:(from:'2017-08-26T16:02:42-0600',mode:absolute,to:'2017-08-26T18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7" t="str">
        <f>IF(AA184&lt;VLOOKUP(AG184,Variables!$AC$3:$AD$8,2,FALSE),"Y","N")</f>
        <v>N</v>
      </c>
      <c r="X184" s="197">
        <f t="shared" si="70"/>
        <v>1</v>
      </c>
      <c r="Y184" s="197">
        <f t="shared" si="71"/>
        <v>9.8500000000000004E-2</v>
      </c>
      <c r="Z184" s="197">
        <f t="shared" si="56"/>
        <v>5.8935000000000004</v>
      </c>
      <c r="AA184" s="197">
        <f t="shared" si="57"/>
        <v>5.7950000000000008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58"/>
        <v>1823</v>
      </c>
      <c r="AE184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84" s="74" t="str">
        <f t="shared" si="60"/>
        <v>"C:\Program Files (x86)\AstroGrep\AstroGrep.exe" /e /r /s /spath="%USERPROFILE%\AppData\Local\Temp\OnboardLogs" /stypes="app*4006*20170826*" /stext=" 23:.+((SYSTEM_STATE.+slice.+state.+changed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62"/>
        <v>"%USERPROFILE%\Documents\GitHub\eaglep3\Utilities\RefineRTDCRunTimes.py" --tripid 1823-26 --locoid 4006 --swversion DE.1.0.9.0 --startMP 204:985 --initTime 2017-08-26T17:02:42 --startdatetime 2017-08-26T17:21:15 --delay 1 --endMP 300:58935 --enddatetime 2017-08-26T17:35:20 --enforcementcount 0 &gt;&gt;C:\Users\stu\Documents\GitHub\eaglep3-reporting\EC\2017-08-26-refined-times.txt</v>
      </c>
      <c r="AI184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{"issue":{"subject":"","project_id":79,"tracker_id":40,"status_id":1,"priority_id":2,"assigned_to_id":23,"start_date":"2017-08-26","description":"","custom_fields":[{"id":1,"name":"Subdivision","value":"NW"},{"id":4,"name":"Milepost","value":"5.8935"},{"id":17,"name":"Train ID","value":"1823-26"},{"id":16,"name":"Locomotive ID","value":"4006"},{"id":130,"name":"Impact","value":""},{"id":150,"name":"Time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4"/>
        <v>start /low /b %USERPROFILE%\Documents\GitHub\eaglep3\Utilities\DownloadLogsFromS3.py --loco 4006 --day 2017-08-26</v>
      </c>
      <c r="AN184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746</v>
      </c>
      <c r="B185" s="7">
        <v>4005</v>
      </c>
      <c r="C185" s="21" t="s">
        <v>197</v>
      </c>
      <c r="D185" s="21" t="s">
        <v>554</v>
      </c>
      <c r="E185" s="13">
        <v>42973.7346412037</v>
      </c>
      <c r="F185" s="13">
        <v>42973.736261574071</v>
      </c>
      <c r="G185" s="7">
        <v>1</v>
      </c>
      <c r="H185" s="21" t="s">
        <v>868</v>
      </c>
      <c r="I185" s="13">
        <v>42973.746863425928</v>
      </c>
      <c r="J185" s="7">
        <v>0</v>
      </c>
      <c r="K185" s="89" t="str">
        <f t="shared" si="50"/>
        <v>4005/4006</v>
      </c>
      <c r="L185" s="217" t="str">
        <f>VLOOKUP(A185,'Trips&amp;Operators'!$C$1:$G$99911,5,FALSE)</f>
        <v>SAFIEF AEIMEN</v>
      </c>
      <c r="M185" s="6">
        <f t="shared" si="51"/>
        <v>1.0601851856335998E-2</v>
      </c>
      <c r="N185" s="7">
        <f t="shared" si="68"/>
        <v>15.266666673123837</v>
      </c>
      <c r="O185" s="7"/>
      <c r="P185" s="7"/>
      <c r="Q185" s="22"/>
      <c r="R185" s="170"/>
      <c r="S185" s="213">
        <f t="shared" si="69"/>
        <v>1</v>
      </c>
      <c r="T185" s="195" t="str">
        <f t="shared" si="52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3"/>
        <v>https://d0f6bd738d7f1b3e5a7ca70fe4ff75f0.us-east-1.aws.found.io/app/kibana#/discover/Steve-Slow-Train-Analysis-(2080s-and-2083s)?_g=(refreshInterval:(display:Off,pause:!f,section:0,value:0),time:(from:'2017-08-26T16:37:53-0600',mode:absolute,to:'2017-08-26T18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7" t="str">
        <f>IF(AA185&lt;VLOOKUP(AG185,Variables!$AC$3:$AD$8,2,FALSE),"Y","N")</f>
        <v>N</v>
      </c>
      <c r="X185" s="197">
        <f t="shared" si="70"/>
        <v>1</v>
      </c>
      <c r="Y185" s="197">
        <f t="shared" si="71"/>
        <v>5.8620999999999999</v>
      </c>
      <c r="Z185" s="197">
        <f t="shared" si="56"/>
        <v>7.3400000000000007E-2</v>
      </c>
      <c r="AA185" s="197">
        <f t="shared" si="57"/>
        <v>5.7886999999999995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58"/>
        <v>1824</v>
      </c>
      <c r="AE185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85" s="74" t="str">
        <f t="shared" si="60"/>
        <v>"C:\Program Files (x86)\AstroGrep\AstroGrep.exe" /e /r /s /spath="%USERPROFILE%\AppData\Local\Temp\OnboardLogs" /stypes="app*4005*20170826*" /stext=" 23:.+((SYSTEM_STATE.+slice.+state.+changed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62"/>
        <v>"%USERPROFILE%\Documents\GitHub\eaglep3\Utilities\RefineRTDCRunTimes.py" --tripid 1824-26 --locoid 4005 --swversion DE.1.0.9.0 --startMP 300:58621 --initTime 2017-08-26T17:37:53 --startdatetime 2017-08-26T17:40:13 --delay 1 --endMP 204:734 --enddatetime 2017-08-26T17:55:29 --enforcementcount 0 &gt;&gt;C:\Users\stu\Documents\GitHub\eaglep3-reporting\EC\2017-08-26-refined-times.txt</v>
      </c>
      <c r="AI185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{"issue":{"subject":"","project_id":79,"tracker_id":40,"status_id":1,"priority_id":2,"assigned_to_id":23,"start_date":"2017-08-26","description":"","custom_fields":[{"id":1,"name":"Subdivision","value":"NW"},{"id":4,"name":"Milepost","value":"0.0734"},{"id":17,"name":"Train ID","value":"1824-26"},{"id":16,"name":"Locomotive ID","value":"4005"},{"id":130,"name":"Impact","value":""},{"id":150,"name":"Time of Event (Mountain Time)","value":"17:55:29"},{"id":151,"name":"Denver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4"/>
        <v>start /low /b %USERPROFILE%\Documents\GitHub\eaglep3\Utilities\DownloadLogsFromS3.py --loco 4005 --day 2017-08-26</v>
      </c>
      <c r="AN185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751</v>
      </c>
      <c r="B186" s="7">
        <v>4006</v>
      </c>
      <c r="C186" s="21" t="s">
        <v>197</v>
      </c>
      <c r="D186" s="21" t="s">
        <v>875</v>
      </c>
      <c r="E186" s="13">
        <v>42973.74858796296</v>
      </c>
      <c r="F186" s="13">
        <v>42973.764745370368</v>
      </c>
      <c r="G186" s="7">
        <v>2</v>
      </c>
      <c r="H186" s="21" t="s">
        <v>486</v>
      </c>
      <c r="I186" s="13">
        <v>42973.774062500001</v>
      </c>
      <c r="J186" s="7">
        <v>0</v>
      </c>
      <c r="K186" s="89" t="str">
        <f t="shared" si="50"/>
        <v>4005/4006</v>
      </c>
      <c r="L186" s="217" t="str">
        <f>VLOOKUP(A186,'Trips&amp;Operators'!$C$1:$G$99911,5,FALSE)</f>
        <v>SAFIEF AEIMEN</v>
      </c>
      <c r="M186" s="6">
        <f t="shared" si="51"/>
        <v>9.3171296321088448E-3</v>
      </c>
      <c r="N186" s="7">
        <f t="shared" si="68"/>
        <v>13.416666670236737</v>
      </c>
      <c r="O186" s="7"/>
      <c r="P186" s="7"/>
      <c r="Q186" s="22"/>
      <c r="R186" s="170"/>
      <c r="S186" s="213">
        <f t="shared" si="69"/>
        <v>1</v>
      </c>
      <c r="T186" s="195" t="str">
        <f t="shared" si="52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3"/>
        <v>https://d0f6bd738d7f1b3e5a7ca70fe4ff75f0.us-east-1.aws.found.io/app/kibana#/discover/Steve-Slow-Train-Analysis-(2080s-and-2083s)?_g=(refreshInterval:(display:Off,pause:!f,section:0,value:0),time:(from:'2017-08-26T16:57:58-0600',mode:absolute,to:'2017-08-26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97" t="str">
        <f>IF(AA186&lt;VLOOKUP(AG186,Variables!$AC$3:$AD$8,2,FALSE),"Y","N")</f>
        <v>N</v>
      </c>
      <c r="X186" s="197">
        <f t="shared" si="70"/>
        <v>1</v>
      </c>
      <c r="Y186" s="197">
        <f t="shared" si="71"/>
        <v>0.1032</v>
      </c>
      <c r="Z186" s="197">
        <f t="shared" si="56"/>
        <v>5.8917999999999999</v>
      </c>
      <c r="AA186" s="197">
        <f t="shared" si="57"/>
        <v>5.7885999999999997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58"/>
        <v>1825</v>
      </c>
      <c r="AE186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86" s="74" t="str">
        <f t="shared" si="60"/>
        <v>"C:\Program Files (x86)\AstroGrep\AstroGrep.exe" /e /r /s /spath="%USERPROFILE%\AppData\Local\Temp\OnboardLogs" /stypes="app*4006*20170827*" /stext=" 00:.+((SYSTEM_STATE.+slice.+state.+changed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62"/>
        <v>"%USERPROFILE%\Documents\GitHub\eaglep3\Utilities\RefineRTDCRunTimes.py" --tripid 1825-26 --locoid 4006 --swversion DE.1.0.9.0 --startMP 204:1032 --initTime 2017-08-26T17:57:58 --startdatetime 2017-08-26T18:21:14 --delay 2 --endMP 300:58918 --enddatetime 2017-08-26T18:34:39 --enforcementcount 0 &gt;&gt;C:\Users\stu\Documents\GitHub\eaglep3-reporting\EC\2017-08-26-refined-times.txt</v>
      </c>
      <c r="AI186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{"issue":{"subject":"","project_id":79,"tracker_id":40,"status_id":1,"priority_id":2,"assigned_to_id":23,"start_date":"2017-08-26","description":"","custom_fields":[{"id":1,"name":"Subdivision","value":"NW"},{"id":4,"name":"Milepost","value":"5.8918"},{"id":17,"name":"Train ID","value":"1825-26"},{"id":16,"name":"Locomotive ID","value":"4006"},{"id":130,"name":"Impact","value":""},{"id":150,"name":"Time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4"/>
        <v>start /low /b %USERPROFILE%\Documents\GitHub\eaglep3\Utilities\DownloadLogsFromS3.py --loco 4006 --day 2017-08-26</v>
      </c>
      <c r="AN186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757</v>
      </c>
      <c r="B187" s="7">
        <v>4005</v>
      </c>
      <c r="C187" s="21" t="s">
        <v>197</v>
      </c>
      <c r="D187" s="21" t="s">
        <v>559</v>
      </c>
      <c r="E187" s="13">
        <v>42973.775185185186</v>
      </c>
      <c r="F187" s="13">
        <v>42973.776701388888</v>
      </c>
      <c r="G187" s="7">
        <v>1</v>
      </c>
      <c r="H187" s="21" t="s">
        <v>487</v>
      </c>
      <c r="I187" s="13">
        <v>42973.78974537037</v>
      </c>
      <c r="J187" s="7">
        <v>0</v>
      </c>
      <c r="K187" s="89" t="str">
        <f t="shared" si="50"/>
        <v>4005/4006</v>
      </c>
      <c r="L187" s="217" t="str">
        <f>VLOOKUP(A187,'Trips&amp;Operators'!$C$1:$G$99911,5,FALSE)</f>
        <v>SAFIEF AEIMEN</v>
      </c>
      <c r="M187" s="6">
        <f t="shared" si="51"/>
        <v>1.3043981482042E-2</v>
      </c>
      <c r="N187" s="7">
        <f t="shared" si="68"/>
        <v>18.78333333414048</v>
      </c>
      <c r="O187" s="7"/>
      <c r="P187" s="7"/>
      <c r="Q187" s="22"/>
      <c r="R187" s="170"/>
      <c r="S187" s="213">
        <f t="shared" si="69"/>
        <v>1</v>
      </c>
      <c r="T187" s="195" t="str">
        <f t="shared" si="52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3"/>
        <v>https://d0f6bd738d7f1b3e5a7ca70fe4ff75f0.us-east-1.aws.found.io/app/kibana#/discover/Steve-Slow-Train-Analysis-(2080s-and-2083s)?_g=(refreshInterval:(display:Off,pause:!f,section:0,value:0),time:(from:'2017-08-26T17:36:16-0600',mode:absolute,to:'2017-08-26T19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97" t="str">
        <f>IF(AA187&lt;VLOOKUP(AG187,Variables!$AC$3:$AD$8,2,FALSE),"Y","N")</f>
        <v>N</v>
      </c>
      <c r="X187" s="197">
        <f t="shared" si="70"/>
        <v>1</v>
      </c>
      <c r="Y187" s="197">
        <f t="shared" si="71"/>
        <v>5.8608000000000002</v>
      </c>
      <c r="Z187" s="197">
        <f t="shared" si="56"/>
        <v>6.9400000000000003E-2</v>
      </c>
      <c r="AA187" s="197">
        <f t="shared" si="57"/>
        <v>5.7914000000000003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58"/>
        <v>1826</v>
      </c>
      <c r="AE187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87" s="74" t="str">
        <f t="shared" si="60"/>
        <v>"C:\Program Files (x86)\AstroGrep\AstroGrep.exe" /e /r /s /spath="%USERPROFILE%\AppData\Local\Temp\OnboardLogs" /stypes="app*4005*20170827*" /stext=" 00:.+((SYSTEM_STATE.+slice.+state.+changed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62"/>
        <v>"%USERPROFILE%\Documents\GitHub\eaglep3\Utilities\RefineRTDCRunTimes.py" --tripid 1826-26 --locoid 4005 --swversion DE.1.0.9.0 --startMP 300:58608 --initTime 2017-08-26T18:36:16 --startdatetime 2017-08-26T18:38:27 --delay 1 --endMP 204:694 --enddatetime 2017-08-26T18:57:14 --enforcementcount 0 &gt;&gt;C:\Users\stu\Documents\GitHub\eaglep3-reporting\EC\2017-08-26-refined-times.txt</v>
      </c>
      <c r="AI187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{"issue":{"subject":"","project_id":79,"tracker_id":40,"status_id":1,"priority_id":2,"assigned_to_id":23,"start_date":"2017-08-26","description":"","custom_fields":[{"id":1,"name":"Subdivision","value":"NW"},{"id":4,"name":"Milepost","value":"0.0694"},{"id":17,"name":"Train ID","value":"1826-26"},{"id":16,"name":"Locomotive ID","value":"4005"},{"id":130,"name":"Impact","value":""},{"id":150,"name":"Time of Event (Mountain Time)","value":"18:57:14"},{"id":151,"name":"Denver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4"/>
        <v>start /low /b %USERPROFILE%\Documents\GitHub\eaglep3\Utilities\DownloadLogsFromS3.py --loco 4005 --day 2017-08-26</v>
      </c>
      <c r="AN187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760</v>
      </c>
      <c r="B188" s="7">
        <v>4006</v>
      </c>
      <c r="C188" s="21" t="s">
        <v>197</v>
      </c>
      <c r="D188" s="21" t="s">
        <v>441</v>
      </c>
      <c r="E188" s="13">
        <v>42973.791701388887</v>
      </c>
      <c r="F188" s="13">
        <v>42973.806516203702</v>
      </c>
      <c r="G188" s="7">
        <v>1</v>
      </c>
      <c r="H188" s="21" t="s">
        <v>873</v>
      </c>
      <c r="I188" s="13">
        <v>42973.816145833334</v>
      </c>
      <c r="J188" s="7">
        <v>0</v>
      </c>
      <c r="K188" s="89" t="str">
        <f t="shared" si="50"/>
        <v>4005/4006</v>
      </c>
      <c r="L188" s="217" t="str">
        <f>VLOOKUP(A188,'Trips&amp;Operators'!$C$1:$G$99911,5,FALSE)</f>
        <v>SAFIEF AEIMEN</v>
      </c>
      <c r="M188" s="6">
        <f t="shared" si="51"/>
        <v>9.6296296323998831E-3</v>
      </c>
      <c r="N188" s="7">
        <f t="shared" si="68"/>
        <v>13.866666670655832</v>
      </c>
      <c r="O188" s="7"/>
      <c r="P188" s="7"/>
      <c r="Q188" s="22"/>
      <c r="R188" s="170"/>
      <c r="S188" s="213">
        <f t="shared" si="69"/>
        <v>1</v>
      </c>
      <c r="T188" s="195" t="str">
        <f t="shared" si="52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3"/>
        <v>https://d0f6bd738d7f1b3e5a7ca70fe4ff75f0.us-east-1.aws.found.io/app/kibana#/discover/Steve-Slow-Train-Analysis-(2080s-and-2083s)?_g=(refreshInterval:(display:Off,pause:!f,section:0,value:0),time:(from:'2017-08-26T18:00:03-0600',mode:absolute,to:'2017-08-26T20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97" t="str">
        <f>IF(AA188&lt;VLOOKUP(AG188,Variables!$AC$3:$AD$8,2,FALSE),"Y","N")</f>
        <v>N</v>
      </c>
      <c r="X188" s="197">
        <f t="shared" si="70"/>
        <v>1</v>
      </c>
      <c r="Y188" s="197">
        <f t="shared" si="71"/>
        <v>9.7100000000000006E-2</v>
      </c>
      <c r="Z188" s="197">
        <f t="shared" si="56"/>
        <v>5.8920000000000003</v>
      </c>
      <c r="AA188" s="197">
        <f t="shared" si="57"/>
        <v>5.7949000000000002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58"/>
        <v>1827</v>
      </c>
      <c r="AE188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88" s="74" t="str">
        <f t="shared" si="60"/>
        <v>"C:\Program Files (x86)\AstroGrep\AstroGrep.exe" /e /r /s /spath="%USERPROFILE%\AppData\Local\Temp\OnboardLogs" /stypes="app*4006*20170827*" /stext=" 01:.+((SYSTEM_STATE.+slice.+state.+changed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62"/>
        <v>"%USERPROFILE%\Documents\GitHub\eaglep3\Utilities\RefineRTDCRunTimes.py" --tripid 1827-26 --locoid 4006 --swversion DE.1.0.9.0 --startMP 204:971 --initTime 2017-08-26T19:00:03 --startdatetime 2017-08-26T19:21:23 --delay 1 --endMP 300:58920 --enddatetime 2017-08-26T19:35:15 --enforcementcount 0 &gt;&gt;C:\Users\stu\Documents\GitHub\eaglep3-reporting\EC\2017-08-26-refined-times.txt</v>
      </c>
      <c r="AI188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{"issue":{"subject":"","project_id":79,"tracker_id":40,"status_id":1,"priority_id":2,"assigned_to_id":23,"start_date":"2017-08-26","description":"","custom_fields":[{"id":1,"name":"Subdivision","value":"NW"},{"id":4,"name":"Milepost","value":"5.892"},{"id":17,"name":"Train ID","value":"1827-26"},{"id":16,"name":"Locomotive ID","value":"4006"},{"id":130,"name":"Impact","value":""},{"id":150,"name":"Time of Event (Mountain Time)","value":"19:35:15"},{"id":151,"name":"Denver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4"/>
        <v>start /low /b %USERPROFILE%\Documents\GitHub\eaglep3\Utilities\DownloadLogsFromS3.py --loco 4006 --day 2017-08-26</v>
      </c>
      <c r="AN188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763</v>
      </c>
      <c r="B189" s="7">
        <v>4005</v>
      </c>
      <c r="C189" s="21" t="s">
        <v>197</v>
      </c>
      <c r="D189" s="21" t="s">
        <v>876</v>
      </c>
      <c r="E189" s="13">
        <v>42973.817476851851</v>
      </c>
      <c r="F189" s="13">
        <v>42973.819363425922</v>
      </c>
      <c r="G189" s="7">
        <v>1</v>
      </c>
      <c r="H189" s="21" t="s">
        <v>858</v>
      </c>
      <c r="I189" s="13">
        <v>42973.829930555556</v>
      </c>
      <c r="J189" s="7">
        <v>0</v>
      </c>
      <c r="K189" s="89" t="str">
        <f t="shared" si="50"/>
        <v>4005/4006</v>
      </c>
      <c r="L189" s="217" t="str">
        <f>VLOOKUP(A189,'Trips&amp;Operators'!$C$1:$G$99911,5,FALSE)</f>
        <v>SAFIEF AEIMEN</v>
      </c>
      <c r="M189" s="6">
        <f t="shared" si="51"/>
        <v>1.0567129633272998E-2</v>
      </c>
      <c r="N189" s="7">
        <f t="shared" si="68"/>
        <v>15.216666671913117</v>
      </c>
      <c r="O189" s="7"/>
      <c r="P189" s="7"/>
      <c r="Q189" s="22"/>
      <c r="R189" s="170"/>
      <c r="S189" s="213">
        <f t="shared" si="69"/>
        <v>1</v>
      </c>
      <c r="T189" s="195" t="str">
        <f t="shared" si="52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3"/>
        <v>https://d0f6bd738d7f1b3e5a7ca70fe4ff75f0.us-east-1.aws.found.io/app/kibana#/discover/Steve-Slow-Train-Analysis-(2080s-and-2083s)?_g=(refreshInterval:(display:Off,pause:!f,section:0,value:0),time:(from:'2017-08-26T18:37:10-0600',mode:absolute,to:'2017-08-26T20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7" t="str">
        <f>IF(AA189&lt;VLOOKUP(AG189,Variables!$AC$3:$AD$8,2,FALSE),"Y","N")</f>
        <v>N</v>
      </c>
      <c r="X189" s="197">
        <f t="shared" si="70"/>
        <v>1</v>
      </c>
      <c r="Y189" s="197">
        <f t="shared" si="71"/>
        <v>5.8593999999999999</v>
      </c>
      <c r="Z189" s="197">
        <f t="shared" si="56"/>
        <v>6.9800000000000001E-2</v>
      </c>
      <c r="AA189" s="197">
        <f t="shared" si="57"/>
        <v>5.7896000000000001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58"/>
        <v>1828</v>
      </c>
      <c r="AE189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89" s="74" t="str">
        <f t="shared" si="60"/>
        <v>"C:\Program Files (x86)\AstroGrep\AstroGrep.exe" /e /r /s /spath="%USERPROFILE%\AppData\Local\Temp\OnboardLogs" /stypes="app*4005*20170827*" /stext=" 01:.+((SYSTEM_STATE.+slice.+state.+changed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62"/>
        <v>"%USERPROFILE%\Documents\GitHub\eaglep3\Utilities\RefineRTDCRunTimes.py" --tripid 1828-26 --locoid 4005 --swversion DE.1.0.9.0 --startMP 300:58594 --initTime 2017-08-26T19:37:10 --startdatetime 2017-08-26T19:39:53 --delay 1 --endMP 204:698 --enddatetime 2017-08-26T19:55:06 --enforcementcount 0 &gt;&gt;C:\Users\stu\Documents\GitHub\eaglep3-reporting\EC\2017-08-26-refined-times.txt</v>
      </c>
      <c r="AI189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{"issue":{"subject":"","project_id":79,"tracker_id":40,"status_id":1,"priority_id":2,"assigned_to_id":23,"start_date":"2017-08-26","description":"","custom_fields":[{"id":1,"name":"Subdivision","value":"NW"},{"id":4,"name":"Milepost","value":"0.0698"},{"id":17,"name":"Train ID","value":"1828-26"},{"id":16,"name":"Locomotive ID","value":"4005"},{"id":130,"name":"Impact","value":""},{"id":150,"name":"Time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4"/>
        <v>start /low /b %USERPROFILE%\Documents\GitHub\eaglep3\Utilities\DownloadLogsFromS3.py --loco 4005 --day 2017-08-26</v>
      </c>
      <c r="AN189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767</v>
      </c>
      <c r="B190" s="7">
        <v>4006</v>
      </c>
      <c r="C190" s="21" t="s">
        <v>197</v>
      </c>
      <c r="D190" s="21" t="s">
        <v>556</v>
      </c>
      <c r="E190" s="13">
        <v>42973.832025462965</v>
      </c>
      <c r="F190" s="13">
        <v>42973.848078703704</v>
      </c>
      <c r="G190" s="7">
        <v>2</v>
      </c>
      <c r="H190" s="21" t="s">
        <v>867</v>
      </c>
      <c r="I190" s="13">
        <v>42973.857905092591</v>
      </c>
      <c r="J190" s="7">
        <v>0</v>
      </c>
      <c r="K190" s="89" t="str">
        <f t="shared" si="50"/>
        <v>4005/4006</v>
      </c>
      <c r="L190" s="217" t="str">
        <f>VLOOKUP(A190,'Trips&amp;Operators'!$C$1:$G$99911,5,FALSE)</f>
        <v>SAFIEF AEIMEN</v>
      </c>
      <c r="M190" s="6">
        <f t="shared" si="51"/>
        <v>9.8263888867222704E-3</v>
      </c>
      <c r="N190" s="7">
        <f t="shared" si="68"/>
        <v>14.149999996880069</v>
      </c>
      <c r="O190" s="7"/>
      <c r="P190" s="7"/>
      <c r="Q190" s="22"/>
      <c r="R190" s="170"/>
      <c r="S190" s="213">
        <f t="shared" si="69"/>
        <v>1</v>
      </c>
      <c r="T190" s="195" t="str">
        <f t="shared" si="52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3"/>
        <v>https://d0f6bd738d7f1b3e5a7ca70fe4ff75f0.us-east-1.aws.found.io/app/kibana#/discover/Steve-Slow-Train-Analysis-(2080s-and-2083s)?_g=(refreshInterval:(display:Off,pause:!f,section:0,value:0),time:(from:'2017-08-26T18:58:07-0600',mode:absolute,to:'2017-08-26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97" t="str">
        <f>IF(AA190&lt;VLOOKUP(AG190,Variables!$AC$3:$AD$8,2,FALSE),"Y","N")</f>
        <v>N</v>
      </c>
      <c r="X190" s="197">
        <f t="shared" si="70"/>
        <v>1</v>
      </c>
      <c r="Y190" s="197">
        <f t="shared" si="71"/>
        <v>9.7799999999999998E-2</v>
      </c>
      <c r="Z190" s="197">
        <f t="shared" si="56"/>
        <v>5.8924000000000003</v>
      </c>
      <c r="AA190" s="197">
        <f t="shared" si="57"/>
        <v>5.7946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58"/>
        <v>1829</v>
      </c>
      <c r="AE190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90" s="74" t="str">
        <f t="shared" si="60"/>
        <v>"C:\Program Files (x86)\AstroGrep\AstroGrep.exe" /e /r /s /spath="%USERPROFILE%\AppData\Local\Temp\OnboardLogs" /stypes="app*4006*20170827*" /stext=" 02:.+((SYSTEM_STATE.+slice.+state.+changed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62"/>
        <v>"%USERPROFILE%\Documents\GitHub\eaglep3\Utilities\RefineRTDCRunTimes.py" --tripid 1829-26 --locoid 4006 --swversion DE.1.0.9.0 --startMP 204:978 --initTime 2017-08-26T19:58:07 --startdatetime 2017-08-26T20:21:14 --delay 2 --endMP 300:58924 --enddatetime 2017-08-26T20:35:23 --enforcementcount 0 &gt;&gt;C:\Users\stu\Documents\GitHub\eaglep3-reporting\EC\2017-08-26-refined-times.txt</v>
      </c>
      <c r="AI190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{"issue":{"subject":"","project_id":79,"tracker_id":40,"status_id":1,"priority_id":2,"assigned_to_id":23,"start_date":"2017-08-26","description":"","custom_fields":[{"id":1,"name":"Subdivision","value":"NW"},{"id":4,"name":"Milepost","value":"5.8924"},{"id":17,"name":"Train ID","value":"1829-26"},{"id":16,"name":"Locomotive ID","value":"4006"},{"id":130,"name":"Impact","value":""},{"id":150,"name":"Time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4"/>
        <v>start /low /b %USERPROFILE%\Documents\GitHub\eaglep3\Utilities\DownloadLogsFromS3.py --loco 4006 --day 2017-08-26</v>
      </c>
      <c r="AN190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770</v>
      </c>
      <c r="B191" s="7">
        <v>4005</v>
      </c>
      <c r="C191" s="21" t="s">
        <v>197</v>
      </c>
      <c r="D191" s="21" t="s">
        <v>551</v>
      </c>
      <c r="E191" s="13">
        <v>42973.858958333331</v>
      </c>
      <c r="F191" s="13">
        <v>42973.86041666667</v>
      </c>
      <c r="G191" s="7">
        <v>1</v>
      </c>
      <c r="H191" s="21" t="s">
        <v>878</v>
      </c>
      <c r="I191" s="13">
        <v>42973.87164351852</v>
      </c>
      <c r="J191" s="7">
        <v>0</v>
      </c>
      <c r="K191" s="89" t="str">
        <f t="shared" si="50"/>
        <v>4005/4006</v>
      </c>
      <c r="L191" s="217" t="str">
        <f>VLOOKUP(A191,'Trips&amp;Operators'!$C$1:$G$99911,5,FALSE)</f>
        <v>SAFIEF AEIMEN</v>
      </c>
      <c r="M191" s="6">
        <f t="shared" si="51"/>
        <v>1.1226851849642117E-2</v>
      </c>
      <c r="N191" s="7">
        <f t="shared" si="68"/>
        <v>16.166666663484648</v>
      </c>
      <c r="O191" s="7"/>
      <c r="P191" s="7"/>
      <c r="Q191" s="22"/>
      <c r="R191" s="170"/>
      <c r="S191" s="213">
        <f t="shared" si="69"/>
        <v>1</v>
      </c>
      <c r="T191" s="195" t="str">
        <f t="shared" si="52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3"/>
        <v>https://d0f6bd738d7f1b3e5a7ca70fe4ff75f0.us-east-1.aws.found.io/app/kibana#/discover/Steve-Slow-Train-Analysis-(2080s-and-2083s)?_g=(refreshInterval:(display:Off,pause:!f,section:0,value:0),time:(from:'2017-08-26T19:36:54-0600',mode:absolute,to:'2017-08-26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97" t="str">
        <f>IF(AA191&lt;VLOOKUP(AG191,Variables!$AC$3:$AD$8,2,FALSE),"Y","N")</f>
        <v>N</v>
      </c>
      <c r="X191" s="197">
        <f t="shared" si="70"/>
        <v>1</v>
      </c>
      <c r="Y191" s="197">
        <f t="shared" si="71"/>
        <v>5.8613</v>
      </c>
      <c r="Z191" s="197">
        <f t="shared" si="56"/>
        <v>6.5699999999999995E-2</v>
      </c>
      <c r="AA191" s="197">
        <f t="shared" si="57"/>
        <v>5.7956000000000003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58"/>
        <v>1830</v>
      </c>
      <c r="AE191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91" s="74" t="str">
        <f t="shared" si="60"/>
        <v>"C:\Program Files (x86)\AstroGrep\AstroGrep.exe" /e /r /s /spath="%USERPROFILE%\AppData\Local\Temp\OnboardLogs" /stypes="app*4005*20170827*" /stext=" 02:.+((SYSTEM_STATE.+slice.+state.+changed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62"/>
        <v>"%USERPROFILE%\Documents\GitHub\eaglep3\Utilities\RefineRTDCRunTimes.py" --tripid 1830-26 --locoid 4005 --swversion DE.1.0.9.0 --startMP 300:58613 --initTime 2017-08-26T20:36:54 --startdatetime 2017-08-26T20:39:00 --delay 1 --endMP 204:657 --enddatetime 2017-08-26T20:55:10 --enforcementcount 0 &gt;&gt;C:\Users\stu\Documents\GitHub\eaglep3-reporting\EC\2017-08-26-refined-times.txt</v>
      </c>
      <c r="AI191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{"issue":{"subject":"","project_id":79,"tracker_id":40,"status_id":1,"priority_id":2,"assigned_to_id":23,"start_date":"2017-08-26","description":"","custom_fields":[{"id":1,"name":"Subdivision","value":"NW"},{"id":4,"name":"Milepost","value":"0.0657"},{"id":17,"name":"Train ID","value":"1830-26"},{"id":16,"name":"Locomotive ID","value":"4005"},{"id":130,"name":"Impact","value":""},{"id":150,"name":"Time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4"/>
        <v>start /low /b %USERPROFILE%\Documents\GitHub\eaglep3\Utilities\DownloadLogsFromS3.py --loco 4005 --day 2017-08-26</v>
      </c>
      <c r="AN191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773</v>
      </c>
      <c r="B192" s="7">
        <v>4006</v>
      </c>
      <c r="C192" s="21" t="s">
        <v>197</v>
      </c>
      <c r="D192" s="21" t="s">
        <v>560</v>
      </c>
      <c r="E192" s="13">
        <v>42973.876631944448</v>
      </c>
      <c r="F192" s="13">
        <v>42973.889756944445</v>
      </c>
      <c r="G192" s="7">
        <v>1</v>
      </c>
      <c r="H192" s="21" t="s">
        <v>867</v>
      </c>
      <c r="I192" s="13">
        <v>42973.899201388886</v>
      </c>
      <c r="J192" s="7">
        <v>0</v>
      </c>
      <c r="K192" s="89" t="str">
        <f t="shared" si="50"/>
        <v>4005/4006</v>
      </c>
      <c r="L192" s="217" t="str">
        <f>VLOOKUP(A192,'Trips&amp;Operators'!$C$1:$G$99911,5,FALSE)</f>
        <v>SAFIEF AEIMEN</v>
      </c>
      <c r="M192" s="6">
        <f t="shared" si="51"/>
        <v>9.444444440305233E-3</v>
      </c>
      <c r="N192" s="7">
        <f t="shared" si="68"/>
        <v>13.599999994039536</v>
      </c>
      <c r="O192" s="7"/>
      <c r="P192" s="7"/>
      <c r="Q192" s="22"/>
      <c r="R192" s="170"/>
      <c r="S192" s="213">
        <f t="shared" si="69"/>
        <v>1</v>
      </c>
      <c r="T192" s="195" t="str">
        <f t="shared" si="52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3"/>
        <v>https://d0f6bd738d7f1b3e5a7ca70fe4ff75f0.us-east-1.aws.found.io/app/kibana#/discover/Steve-Slow-Train-Analysis-(2080s-and-2083s)?_g=(refreshInterval:(display:Off,pause:!f,section:0,value:0),time:(from:'2017-08-26T20:02:21-0600',mode:absolute,to:'2017-08-26T22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97" t="str">
        <f>IF(AA192&lt;VLOOKUP(AG192,Variables!$AC$3:$AD$8,2,FALSE),"Y","N")</f>
        <v>N</v>
      </c>
      <c r="X192" s="197">
        <f t="shared" si="70"/>
        <v>1</v>
      </c>
      <c r="Y192" s="197">
        <f t="shared" si="71"/>
        <v>9.6000000000000002E-2</v>
      </c>
      <c r="Z192" s="197">
        <f t="shared" si="56"/>
        <v>5.8924000000000003</v>
      </c>
      <c r="AA192" s="197">
        <f t="shared" si="57"/>
        <v>5.7964000000000002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58"/>
        <v>1831</v>
      </c>
      <c r="AE192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92" s="74" t="str">
        <f t="shared" si="60"/>
        <v>"C:\Program Files (x86)\AstroGrep\AstroGrep.exe" /e /r /s /spath="%USERPROFILE%\AppData\Local\Temp\OnboardLogs" /stypes="app*4006*20170827*" /stext=" 03:.+((SYSTEM_STATE.+slice.+state.+changed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62"/>
        <v>"%USERPROFILE%\Documents\GitHub\eaglep3\Utilities\RefineRTDCRunTimes.py" --tripid 1831-26 --locoid 4006 --swversion DE.1.0.9.0 --startMP 204:960 --initTime 2017-08-26T21:02:21 --startdatetime 2017-08-26T21:21:15 --delay 1 --endMP 300:58924 --enddatetime 2017-08-26T21:34:51 --enforcementcount 0 &gt;&gt;C:\Users\stu\Documents\GitHub\eaglep3-reporting\EC\2017-08-26-refined-times.txt</v>
      </c>
      <c r="AI192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{"issue":{"subject":"","project_id":79,"tracker_id":40,"status_id":1,"priority_id":2,"assigned_to_id":23,"start_date":"2017-08-26","description":"","custom_fields":[{"id":1,"name":"Subdivision","value":"NW"},{"id":4,"name":"Milepost","value":"5.8924"},{"id":17,"name":"Train ID","value":"1831-26"},{"id":16,"name":"Locomotive ID","value":"4006"},{"id":130,"name":"Impact","value":""},{"id":150,"name":"Time of Event (Mountain Time)","value":"21:34:51"},{"id":151,"name":"Denver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4"/>
        <v>start /low /b %USERPROFILE%\Documents\GitHub\eaglep3\Utilities\DownloadLogsFromS3.py --loco 4006 --day 2017-08-26</v>
      </c>
      <c r="AN192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776</v>
      </c>
      <c r="B193" s="7">
        <v>4005</v>
      </c>
      <c r="C193" s="21" t="s">
        <v>197</v>
      </c>
      <c r="D193" s="21" t="s">
        <v>879</v>
      </c>
      <c r="E193" s="13">
        <v>42973.900347222225</v>
      </c>
      <c r="F193" s="13">
        <v>42973.90184027778</v>
      </c>
      <c r="G193" s="7">
        <v>1</v>
      </c>
      <c r="H193" s="21" t="s">
        <v>853</v>
      </c>
      <c r="I193" s="13">
        <v>42973.913159722222</v>
      </c>
      <c r="J193" s="7">
        <v>0</v>
      </c>
      <c r="K193" s="89" t="str">
        <f t="shared" si="50"/>
        <v>4005/4006</v>
      </c>
      <c r="L193" s="217" t="str">
        <f>VLOOKUP(A193,'Trips&amp;Operators'!$C$1:$G$99911,5,FALSE)</f>
        <v>SAFIEF AEIMEN</v>
      </c>
      <c r="M193" s="6">
        <f t="shared" si="51"/>
        <v>1.1319444442051463E-2</v>
      </c>
      <c r="N193" s="7">
        <f t="shared" ref="N193:P219" si="72">24*60*SUM($M193:$M193)</f>
        <v>16.299999996554106</v>
      </c>
      <c r="O193" s="7"/>
      <c r="P193" s="7"/>
      <c r="Q193" s="22"/>
      <c r="R193" s="170"/>
      <c r="S193" s="213">
        <f t="shared" ref="S193:S219" si="73">1/IF(AG193="EC",12,1)*SUM(U193:U193)</f>
        <v>1</v>
      </c>
      <c r="T193" s="195" t="str">
        <f t="shared" si="52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3"/>
        <v>https://d0f6bd738d7f1b3e5a7ca70fe4ff75f0.us-east-1.aws.found.io/app/kibana#/discover/Steve-Slow-Train-Analysis-(2080s-and-2083s)?_g=(refreshInterval:(display:Off,pause:!f,section:0,value:0),time:(from:'2017-08-26T20:36:30-0600',mode:absolute,to:'2017-08-26T22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97" t="str">
        <f>IF(AA193&lt;VLOOKUP(AG193,Variables!$AC$3:$AD$8,2,FALSE),"Y","N")</f>
        <v>N</v>
      </c>
      <c r="X193" s="197">
        <f t="shared" si="70"/>
        <v>1</v>
      </c>
      <c r="Y193" s="197">
        <f t="shared" si="71"/>
        <v>5.8615000000000004</v>
      </c>
      <c r="Z193" s="197">
        <f t="shared" si="56"/>
        <v>7.2400000000000006E-2</v>
      </c>
      <c r="AA193" s="197">
        <f t="shared" si="57"/>
        <v>5.7891000000000004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58"/>
        <v>1832</v>
      </c>
      <c r="AE193" s="77" t="str">
        <f t="shared" si="59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193" s="74" t="str">
        <f t="shared" si="60"/>
        <v>"C:\Program Files (x86)\AstroGrep\AstroGrep.exe" /e /r /s /spath="%USERPROFILE%\AppData\Local\Temp\OnboardLogs" /stypes="app*4005*20170827*" /stext=" 03:.+((SYSTEM_STATE.+slice.+state.+changed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62"/>
        <v>"%USERPROFILE%\Documents\GitHub\eaglep3\Utilities\RefineRTDCRunTimes.py" --tripid 1832-26 --locoid 4005 --swversion DE.1.0.9.0 --startMP 300:58615 --initTime 2017-08-26T21:36:30 --startdatetime 2017-08-26T21:38:39 --delay 1 --endMP 204:724 --enddatetime 2017-08-26T21:54:57 --enforcementcount 0 &gt;&gt;C:\Users\stu\Documents\GitHub\eaglep3-reporting\EC\2017-08-26-refined-times.txt</v>
      </c>
      <c r="AI193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{"issue":{"subject":"","project_id":79,"tracker_id":40,"status_id":1,"priority_id":2,"assigned_to_id":23,"start_date":"2017-08-26","description":"","custom_fields":[{"id":1,"name":"Subdivision","value":"NW"},{"id":4,"name":"Milepost","value":"0.0724"},{"id":17,"name":"Train ID","value":"1832-26"},{"id":16,"name":"Locomotive ID","value":"4005"},{"id":130,"name":"Impact","value":""},{"id":150,"name":"Time of Event (Mountain Time)","value":"21:54:57"},{"id":151,"name":"Denver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4"/>
        <v>start /low /b %USERPROFILE%\Documents\GitHub\eaglep3\Utilities\DownloadLogsFromS3.py --loco 4005 --day 2017-08-26</v>
      </c>
      <c r="AN193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779</v>
      </c>
      <c r="B194" s="7">
        <v>4006</v>
      </c>
      <c r="C194" s="21" t="s">
        <v>197</v>
      </c>
      <c r="D194" s="21" t="s">
        <v>880</v>
      </c>
      <c r="E194" s="13">
        <v>42973.914907407408</v>
      </c>
      <c r="F194" s="13">
        <v>42973.931423611109</v>
      </c>
      <c r="G194" s="7">
        <v>1</v>
      </c>
      <c r="H194" s="21" t="s">
        <v>550</v>
      </c>
      <c r="I194" s="13">
        <v>42973.941724537035</v>
      </c>
      <c r="J194" s="7">
        <v>0</v>
      </c>
      <c r="K194" s="89" t="str">
        <f t="shared" si="50"/>
        <v>4005/4006</v>
      </c>
      <c r="L194" s="217" t="str">
        <f>VLOOKUP(A194,'Trips&amp;Operators'!$C$1:$G$99911,5,FALSE)</f>
        <v>SAFIEF AEIMEN</v>
      </c>
      <c r="M194" s="6">
        <f t="shared" si="51"/>
        <v>1.0300925925548654E-2</v>
      </c>
      <c r="N194" s="7">
        <f t="shared" si="72"/>
        <v>14.833333332790062</v>
      </c>
      <c r="O194" s="7"/>
      <c r="P194" s="7"/>
      <c r="Q194" s="22"/>
      <c r="R194" s="170"/>
      <c r="S194" s="213">
        <f t="shared" si="73"/>
        <v>1</v>
      </c>
      <c r="T194" s="195" t="str">
        <f t="shared" si="52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3"/>
        <v>https://d0f6bd738d7f1b3e5a7ca70fe4ff75f0.us-east-1.aws.found.io/app/kibana#/discover/Steve-Slow-Train-Analysis-(2080s-and-2083s)?_g=(refreshInterval:(display:Off,pause:!f,section:0,value:0),time:(from:'2017-08-26T20:57:28-0600',mode:absolute,to:'2017-08-26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97" t="str">
        <f>IF(AA194&lt;VLOOKUP(AG194,Variables!$AC$3:$AD$8,2,FALSE),"Y","N")</f>
        <v>N</v>
      </c>
      <c r="X194" s="197">
        <f t="shared" si="70"/>
        <v>1</v>
      </c>
      <c r="Y194" s="197">
        <f t="shared" si="71"/>
        <v>0.1002</v>
      </c>
      <c r="Z194" s="197">
        <f t="shared" si="56"/>
        <v>5.8930999999999996</v>
      </c>
      <c r="AA194" s="197">
        <f t="shared" si="57"/>
        <v>5.7928999999999995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58"/>
        <v>1833</v>
      </c>
      <c r="AE194" s="77" t="str">
        <f t="shared" si="59"/>
        <v>aws s3 cp s3://rtdc.mdm.uploadarchive.raw/RTDC4006/ "%USERPROFILE%\AppData\Local\Temp\OnboardLogs"\RTDC4006\2017-08-26 --exclude "*" --recursive --include "*20170826*" &amp; "%USERPROFILE%\Documents\GitHub\mrs-test-scripts\Headless Mode &amp; Sideloading\WalkAndUnGZ.bat" "%USERPROFILE%\AppData\Local\Temp\OnboardLogs"\RTDC4006\2017-08-26 &amp; 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</v>
      </c>
      <c r="AF194" s="74" t="str">
        <f t="shared" si="60"/>
        <v>"C:\Program Files (x86)\AstroGrep\AstroGrep.exe" /e /r /s /spath="%USERPROFILE%\AppData\Local\Temp\OnboardLogs" /stypes="app*4006*20170827*" /stext=" 04:.+((SYSTEM_STATE.+slice.+state.+changed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62"/>
        <v>"%USERPROFILE%\Documents\GitHub\eaglep3\Utilities\RefineRTDCRunTimes.py" --tripid 1833-26 --locoid 4006 --swversion DE.1.0.9.0 --startMP 204:1002 --initTime 2017-08-26T21:57:28 --startdatetime 2017-08-26T22:21:15 --delay 1 --endMP 300:58931 --enddatetime 2017-08-26T22:36:05 --enforcementcount 0 &gt;&gt;C:\Users\stu\Documents\GitHub\eaglep3-reporting\EC\2017-08-26-refined-times.txt</v>
      </c>
      <c r="AI194" s="96" t="str">
        <f t="shared" si="63"/>
        <v>echo {"issue":{"subject":"","project_id":79,"tracker_id":40,"status_id":1,"priority_id":2,"assigned_to_id":23,"start_date":"2017-08-26","description":"","custom_fields":[{"id":1,"name":"Subdivision","value":"NW"},{"id":4,"name":"Milepost","value":"5.8931"},{"id":17,"name":"Train ID","value":"1833-26"},{"id":16,"name":"Locomotive ID","value":"4006"},{"id":130,"name":"Impact","value":""},{"id":150,"name":"Time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4"/>
        <v>start /low /b %USERPROFILE%\Documents\GitHub\eaglep3\Utilities\DownloadLogsFromS3.py --loco 4006 --day 2017-08-26</v>
      </c>
      <c r="AN194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595</v>
      </c>
      <c r="B195" s="7">
        <v>4051</v>
      </c>
      <c r="C195" s="21" t="s">
        <v>197</v>
      </c>
      <c r="D195" s="21" t="s">
        <v>922</v>
      </c>
      <c r="E195" s="13">
        <v>42973.113344907404</v>
      </c>
      <c r="F195" s="13">
        <v>42973.117881944447</v>
      </c>
      <c r="G195" s="7">
        <v>6</v>
      </c>
      <c r="H195" s="21" t="s">
        <v>439</v>
      </c>
      <c r="I195" s="13">
        <v>42973.123680555553</v>
      </c>
      <c r="J195" s="7">
        <v>0</v>
      </c>
      <c r="K195" s="89" t="str">
        <f t="shared" si="50"/>
        <v>4051/4052</v>
      </c>
      <c r="L195" s="217" t="str">
        <f>VLOOKUP(A195,'Trips&amp;Operators'!$C$1:$G$99911,5,FALSE)</f>
        <v>MAELZER KURT</v>
      </c>
      <c r="M195" s="6">
        <f t="shared" si="51"/>
        <v>5.798611106001772E-3</v>
      </c>
      <c r="N195" s="7">
        <f t="shared" si="72"/>
        <v>8.3499999926425517</v>
      </c>
      <c r="O195" s="7"/>
      <c r="P195" s="7"/>
      <c r="Q195" s="22"/>
      <c r="R195" s="170"/>
      <c r="S195" s="213">
        <f t="shared" si="73"/>
        <v>1</v>
      </c>
      <c r="T195" s="195" t="str">
        <f t="shared" si="52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3"/>
        <v>https://d0f6bd738d7f1b3e5a7ca70fe4ff75f0.us-east-1.aws.found.io/app/kibana#/discover/Steve-Slow-Train-Analysis-(2080s-and-2083s)?_g=(refreshInterval:(display:Off,pause:!f,section:0,value:0),time:(from:'2017-08-26T01:43:13-0600',mode:absolute,to:'2017-08-26T03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5" s="197" t="str">
        <f>IF(AA195&lt;VLOOKUP(AG195,Variables!$AC$3:$AD$8,2,FALSE),"Y","N")</f>
        <v>Y</v>
      </c>
      <c r="X195" s="197">
        <f t="shared" ref="X195:X219" si="74">VALUE(LEFT(AD195,4))-VALUE(LEFT(AD194,4))</f>
        <v>-1533</v>
      </c>
      <c r="Y195" s="197">
        <f t="shared" ref="Y195:Y219" si="75">RIGHT(D195,LEN(D195)-4)/10000</f>
        <v>2.1890000000000001</v>
      </c>
      <c r="Z195" s="197">
        <f t="shared" si="56"/>
        <v>1.2999999999999999E-2</v>
      </c>
      <c r="AA195" s="197">
        <f t="shared" si="57"/>
        <v>2.1760000000000002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58"/>
        <v>300</v>
      </c>
      <c r="AE195" s="77" t="str">
        <f t="shared" si="59"/>
        <v>aws s3 cp s3://rtdc.mdm.uploadarchive.raw/RTDC4051/ "%USERPROFILE%\AppData\Local\Temp\OnboardLogs"\RTDC4051\2017-08-26 --exclude "*" --recursive --include "*20170826*" &amp; "%USERPROFILE%\Documents\GitHub\mrs-test-scripts\Headless Mode &amp; Sideloading\WalkAndUnGZ.bat" "%USERPROFILE%\AppData\Local\Temp\OnboardLogs"\RTDC4051\2017-08-26 &amp; aws s3 cp s3://rtdc.mdm.uploadarchive.raw/RTDC4051/ "%USERPROFILE%\AppData\Local\Temp\OnboardLogs"\RTDC4051\2017-08-27 --exclude "*" --recursive --include "*20170827*" &amp; "%USERPROFILE%\Documents\GitHub\mrs-test-scripts\Headless Mode &amp; Sideloading\WalkAndUnGZ.bat" "%USERPROFILE%\AppData\Local\Temp\OnboardLogs"\RTDC4051\2017-08-27</v>
      </c>
      <c r="AF195" s="74" t="str">
        <f t="shared" si="60"/>
        <v>"C:\Program Files (x86)\AstroGrep\AstroGrep.exe" /e /r /s /spath="%USERPROFILE%\AppData\Local\Temp\OnboardLogs" /stypes="app*4051*20170826*" /stext=" 08:.+((SYSTEM_STATE.+slice.+state.+changed )|(ment ac)|(multiple cpu faults)|(system.+state.+changed )|(\[timeout)|(PRM\|1\|D)|(kpr)|(kdp)|(train st.+moving)|(\|lc)|(penalty))"</v>
      </c>
      <c r="AG195" s="209" t="str">
        <f t="shared" si="61"/>
        <v>Other</v>
      </c>
      <c r="AH195" s="78" t="str">
        <f t="shared" si="62"/>
        <v>"%USERPROFILE%\Documents\GitHub\eaglep3\Utilities\RefineRTDCRunTimes.py" --tripid 300-26 --locoid 4051 --swversion DE.1.0.9.0 --startMP 300:21890 --initTime 2017-08-26T02:43:13 --startdatetime 2017-08-26T02:49:45 --delay 6 --endMP 204:130 --enddatetime 2017-08-26T02:58:06 --enforcementcount 0 &gt;&gt;C:\Users\stu\Documents\GitHub\eaglep3-reporting\EC\2017-08-26-refined-times.txt</v>
      </c>
      <c r="AI195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{"issue":{"subject":"","project_id":79,"tracker_id":40,"status_id":1,"priority_id":2,"assigned_to_id":23,"start_date":"2017-08-26","description":"","custom_fields":[{"id":1,"name":"Subdivision","value":"Other"},{"id":4,"name":"Milepost","value":"0.013"},{"id":17,"name":"Train ID","value":"300-26"},{"id":16,"name":"Locomotive ID","value":"4051"},{"id":130,"name":"Impact","value":""},{"id":150,"name":"Time of Event (Mountain Time)","value":"02:58:06"},{"id":151,"name":"Denver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4"/>
        <v>start /low /b %USERPROFILE%\Documents\GitHub\eaglep3\Utilities\DownloadLogsFromS3.py --loco 4051 --day 2017-08-26</v>
      </c>
      <c r="AN195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08:58:06"},{"id":29,"name":"Sharepoint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796</v>
      </c>
      <c r="B196" s="7">
        <v>4019</v>
      </c>
      <c r="C196" s="21" t="s">
        <v>197</v>
      </c>
      <c r="D196" s="21" t="s">
        <v>923</v>
      </c>
      <c r="E196" s="13">
        <v>42974.108958333331</v>
      </c>
      <c r="F196" s="13">
        <v>42974.112002314818</v>
      </c>
      <c r="G196" s="7">
        <v>4</v>
      </c>
      <c r="H196" s="21" t="s">
        <v>924</v>
      </c>
      <c r="I196" s="13">
        <v>42974.11215277778</v>
      </c>
      <c r="J196" s="7">
        <v>0</v>
      </c>
      <c r="K196" s="89" t="str">
        <f t="shared" si="50"/>
        <v>4019/4020</v>
      </c>
      <c r="L196" s="217" t="str">
        <f>VLOOKUP(A196,'Trips&amp;Operators'!$C$1:$G$99911,5,FALSE)</f>
        <v>THOMPSON LESTER</v>
      </c>
      <c r="M196" s="6">
        <f t="shared" si="51"/>
        <v>1.5046296175569296E-4</v>
      </c>
      <c r="N196" s="7">
        <f t="shared" si="72"/>
        <v>0.21666666492819786</v>
      </c>
      <c r="O196" s="7"/>
      <c r="P196" s="7"/>
      <c r="Q196" s="22"/>
      <c r="R196" s="170"/>
      <c r="S196" s="213">
        <f t="shared" si="73"/>
        <v>0</v>
      </c>
      <c r="T196" s="195" t="str">
        <f t="shared" si="5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96" t="str">
        <f t="shared" si="53"/>
        <v>https://d0f6bd738d7f1b3e5a7ca70fe4ff75f0.us-east-1.aws.found.io/app/kibana#/discover/Steve-Slow-Train-Analysis-(2080s-and-2083s)?_g=(refreshInterval:(display:Off,pause:!f,section:0,value:0),time:(from:'2017-08-27T01:36:54-0600',mode:absolute,to:'2017-08-27T03:41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197" t="str">
        <f>IF(AA196&lt;VLOOKUP(AG196,Variables!$AC$3:$AD$8,2,FALSE),"Y","N")</f>
        <v>Y</v>
      </c>
      <c r="X196" s="197">
        <f t="shared" si="74"/>
        <v>0</v>
      </c>
      <c r="Y196" s="197">
        <f t="shared" si="75"/>
        <v>2.4005999999999998</v>
      </c>
      <c r="Z196" s="197">
        <f t="shared" si="56"/>
        <v>2.3641999999999999</v>
      </c>
      <c r="AA196" s="197">
        <f t="shared" si="57"/>
        <v>3.6399999999999988E-2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58"/>
        <v>300</v>
      </c>
      <c r="AE196" s="77" t="str">
        <f t="shared" si="59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96" s="74" t="str">
        <f t="shared" si="60"/>
        <v>"C:\Program Files (x86)\AstroGrep\AstroGrep.exe" /e /r /s /spath="%USERPROFILE%\AppData\Local\Temp\OnboardLogs" /stypes="app*4019*20170827*" /stext=" 08:.+((SYSTEM_STATE.+slice.+state.+changed )|(ment ac)|(multiple cpu faults)|(system.+state.+changed )|(\[timeout)|(PRM\|1\|D)|(kpr)|(kdp)|(train st.+moving)|(\|lc)|(penalty))"</v>
      </c>
      <c r="AG196" s="209" t="str">
        <f t="shared" si="61"/>
        <v>Other</v>
      </c>
      <c r="AH196" s="78" t="str">
        <f t="shared" si="62"/>
        <v>"%USERPROFILE%\Documents\GitHub\eaglep3\Utilities\RefineRTDCRunTimes.py" --tripid 300-27 --locoid 4019 --swversion DE.1.0.9.0 --startMP 300:24006 --initTime 2017-08-27T02:36:54 --startdatetime 2017-08-27T02:41:17 --delay 4 --endMP 300:23642 --enddatetime 2017-08-27T02:41:30 --enforcementcount 0 &gt;&gt;C:\Users\stu\Documents\GitHub\eaglep3-reporting\EC\2017-08-26-refined-times.txt</v>
      </c>
      <c r="AI196" s="96" t="str">
        <f t="shared" si="63"/>
        <v>echo {"issue":{"subject":"","project_id":79,"tracker_id":40,"status_id":1,"priority_id":2,"assigned_to_id":23,"start_date":"2017-08-27","description":"","custom_fields":[{"id":1,"name":"Subdivision","value":"Other"},{"id":4,"name":"Milepost","value":"2.3642"},{"id":17,"name":"Train ID","value":"300-27"},{"id":16,"name":"Locomotive ID","value":"4019"},{"id":130,"name":"Impact","value":""},{"id":150,"name":"Time of Event (Mountain Time)","value":"02:41:30"},{"id":151,"name":"Denver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4"/>
        <v>start /low /b %USERPROFILE%\Documents\GitHub\eaglep3\Utilities\DownloadLogsFromS3.py --loco 4019 --day 2017-08-27</v>
      </c>
      <c r="AN196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08:41:30"},{"id":29,"name":"Sharepoint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758</v>
      </c>
      <c r="B197" s="7">
        <v>4010</v>
      </c>
      <c r="C197" s="21" t="s">
        <v>197</v>
      </c>
      <c r="D197" s="21" t="s">
        <v>341</v>
      </c>
      <c r="E197" s="13">
        <v>42973.778564814813</v>
      </c>
      <c r="F197" s="13">
        <v>42973.780185185184</v>
      </c>
      <c r="G197" s="7">
        <v>1</v>
      </c>
      <c r="H197" s="21" t="s">
        <v>342</v>
      </c>
      <c r="I197" s="13">
        <v>42973.786377314813</v>
      </c>
      <c r="J197" s="7">
        <v>0</v>
      </c>
      <c r="K197" s="89" t="str">
        <f t="shared" si="50"/>
        <v>4009/4010</v>
      </c>
      <c r="L197" s="217" t="str">
        <f>VLOOKUP(A197,'Trips&amp;Operators'!$C$1:$G$99911,5,FALSE)</f>
        <v>LOPES KIMBERLY</v>
      </c>
      <c r="M197" s="6">
        <f t="shared" si="51"/>
        <v>6.1921296291984618E-3</v>
      </c>
      <c r="N197" s="7">
        <f t="shared" si="72"/>
        <v>8.916666666045785</v>
      </c>
      <c r="O197" s="7"/>
      <c r="P197" s="7"/>
      <c r="Q197" s="22"/>
      <c r="R197" s="170"/>
      <c r="S197" s="213">
        <f t="shared" si="73"/>
        <v>1</v>
      </c>
      <c r="T197" s="195" t="str">
        <f t="shared" si="52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3"/>
        <v>https://d0f6bd738d7f1b3e5a7ca70fe4ff75f0.us-east-1.aws.found.io/app/kibana#/discover/Steve-Slow-Train-Analysis-(2080s-and-2083s)?_g=(refreshInterval:(display:Off,pause:!f,section:0,value:0),time:(from:'2017-08-26T17:41:08-0600',mode:absolute,to:'2017-08-26T19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7" s="197" t="str">
        <f>IF(AA197&lt;VLOOKUP(AG197,Variables!$AC$3:$AD$8,2,FALSE),"Y","N")</f>
        <v>Y</v>
      </c>
      <c r="X197" s="197">
        <f t="shared" si="74"/>
        <v>1</v>
      </c>
      <c r="Y197" s="197">
        <f t="shared" si="75"/>
        <v>4.5100000000000001E-2</v>
      </c>
      <c r="Z197" s="197">
        <f t="shared" si="56"/>
        <v>2.3346</v>
      </c>
      <c r="AA197" s="197">
        <f t="shared" si="57"/>
        <v>2.2894999999999999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58"/>
        <v>301</v>
      </c>
      <c r="AE197" s="77" t="str">
        <f t="shared" si="59"/>
        <v>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 &amp; aws s3 cp s3://rtdc.mdm.uploadarchive.raw/RTDC4010/ "%USERPROFILE%\AppData\Local\Temp\OnboardLogs"\RTDC4010\2017-08-27 --exclude "*" --recursive --include "*20170827*" &amp; "%USERPROFILE%\Documents\GitHub\mrs-test-scripts\Headless Mode &amp; Sideloading\WalkAndUnGZ.bat" "%USERPROFILE%\AppData\Local\Temp\OnboardLogs"\RTDC4010\2017-08-27</v>
      </c>
      <c r="AF197" s="74" t="str">
        <f t="shared" si="60"/>
        <v>"C:\Program Files (x86)\AstroGrep\AstroGrep.exe" /e /r /s /spath="%USERPROFILE%\AppData\Local\Temp\OnboardLogs" /stypes="app*4010*20170827*" /stext=" 00:.+((SYSTEM_STATE.+slice.+state.+changed )|(ment ac)|(multiple cpu faults)|(system.+state.+changed )|(\[timeout)|(PRM\|1\|D)|(kpr)|(kdp)|(train st.+moving)|(\|lc)|(penalty))"</v>
      </c>
      <c r="AG197" s="209" t="str">
        <f t="shared" si="61"/>
        <v>Other</v>
      </c>
      <c r="AH197" s="78" t="str">
        <f t="shared" si="62"/>
        <v>"%USERPROFILE%\Documents\GitHub\eaglep3\Utilities\RefineRTDCRunTimes.py" --tripid 301-26 --locoid 4010 --swversion DE.1.0.9.0 --startMP 204:451 --initTime 2017-08-26T18:41:08 --startdatetime 2017-08-26T18:43:28 --delay 1 --endMP 300:23346 --enddatetime 2017-08-26T18:52:23 --enforcementcount 0 &gt;&gt;C:\Users\stu\Documents\GitHub\eaglep3-reporting\EC\2017-08-26-refined-times.txt</v>
      </c>
      <c r="AI197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{"issue":{"subject":"","project_id":79,"tracker_id":40,"status_id":1,"priority_id":2,"assigned_to_id":23,"start_date":"2017-08-26","description":"","custom_fields":[{"id":1,"name":"Subdivision","value":"Other"},{"id":4,"name":"Milepost","value":"2.3346"},{"id":17,"name":"Train ID","value":"301-26"},{"id":16,"name":"Locomotive ID","value":"4010"},{"id":130,"name":"Impact","value":""},{"id":150,"name":"Time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4"/>
        <v>start /low /b %USERPROFILE%\Documents\GitHub\eaglep3\Utilities\DownloadLogsFromS3.py --loco 4010 --day 2017-08-26</v>
      </c>
      <c r="AN197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601</v>
      </c>
      <c r="B198" s="7">
        <v>4039</v>
      </c>
      <c r="C198" s="21" t="s">
        <v>197</v>
      </c>
      <c r="D198" s="21" t="s">
        <v>925</v>
      </c>
      <c r="E198" s="13">
        <v>42973.136157407411</v>
      </c>
      <c r="F198" s="13">
        <v>42973.139756944445</v>
      </c>
      <c r="G198" s="7">
        <v>5</v>
      </c>
      <c r="H198" s="21" t="s">
        <v>392</v>
      </c>
      <c r="I198" s="13">
        <v>42973.145162037035</v>
      </c>
      <c r="J198" s="7">
        <v>0</v>
      </c>
      <c r="K198" s="89" t="str">
        <f t="shared" si="50"/>
        <v>4039/4040</v>
      </c>
      <c r="L198" s="217" t="str">
        <f>VLOOKUP(A198,'Trips&amp;Operators'!$C$1:$G$99911,5,FALSE)</f>
        <v>WILLIAMS DONTE</v>
      </c>
      <c r="M198" s="6">
        <f t="shared" si="51"/>
        <v>5.4050925900810398E-3</v>
      </c>
      <c r="N198" s="7">
        <f t="shared" si="72"/>
        <v>7.7833333297166973</v>
      </c>
      <c r="O198" s="7"/>
      <c r="P198" s="7"/>
      <c r="Q198" s="22"/>
      <c r="R198" s="170"/>
      <c r="S198" s="213">
        <f t="shared" si="73"/>
        <v>1</v>
      </c>
      <c r="T198" s="195" t="str">
        <f t="shared" si="52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3"/>
        <v>https://d0f6bd738d7f1b3e5a7ca70fe4ff75f0.us-east-1.aws.found.io/app/kibana#/discover/Steve-Slow-Train-Analysis-(2080s-and-2083s)?_g=(refreshInterval:(display:Off,pause:!f,section:0,value:0),time:(from:'2017-08-26T02:16:04-0600',mode:absolute,to:'2017-08-26T04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197" t="str">
        <f>IF(AA198&lt;VLOOKUP(AG198,Variables!$AC$3:$AD$8,2,FALSE),"Y","N")</f>
        <v>Y</v>
      </c>
      <c r="X198" s="197">
        <f t="shared" si="74"/>
        <v>1</v>
      </c>
      <c r="Y198" s="197">
        <f t="shared" si="75"/>
        <v>2.3687999999999998</v>
      </c>
      <c r="Z198" s="197">
        <f t="shared" si="56"/>
        <v>1.5599999999999999E-2</v>
      </c>
      <c r="AA198" s="197">
        <f t="shared" si="57"/>
        <v>2.3531999999999997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58"/>
        <v>302</v>
      </c>
      <c r="AE198" s="77" t="str">
        <f t="shared" si="59"/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AF198" s="74" t="str">
        <f t="shared" si="60"/>
        <v>"C:\Program Files (x86)\AstroGrep\AstroGrep.exe" /e /r /s /spath="%USERPROFILE%\AppData\Local\Temp\OnboardLogs" /stypes="app*4039*20170826*" /stext=" 09:.+((SYSTEM_STATE.+slice.+state.+changed )|(ment ac)|(multiple cpu faults)|(system.+state.+changed )|(\[timeout)|(PRM\|1\|D)|(kpr)|(kdp)|(train st.+moving)|(\|lc)|(penalty))"</v>
      </c>
      <c r="AG198" s="209" t="str">
        <f t="shared" si="61"/>
        <v>Other</v>
      </c>
      <c r="AH198" s="78" t="str">
        <f t="shared" si="62"/>
        <v>"%USERPROFILE%\Documents\GitHub\eaglep3\Utilities\RefineRTDCRunTimes.py" --tripid 302-26 --locoid 4039 --swversion DE.1.0.9.0 --startMP 300:23688 --initTime 2017-08-26T03:16:04 --startdatetime 2017-08-26T03:21:15 --delay 5 --endMP 204:156 --enddatetime 2017-08-26T03:29:02 --enforcementcount 0 &gt;&gt;C:\Users\stu\Documents\GitHub\eaglep3-reporting\EC\2017-08-26-refined-times.txt</v>
      </c>
      <c r="AI198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{"issue":{"subject":"","project_id":79,"tracker_id":40,"status_id":1,"priority_id":2,"assigned_to_id":23,"start_date":"2017-08-26","description":"","custom_fields":[{"id":1,"name":"Subdivision","value":"Other"},{"id":4,"name":"Milepost","value":"0.0156"},{"id":17,"name":"Train ID","value":"302-26"},{"id":16,"name":"Locomotive ID","value":"4039"},{"id":130,"name":"Impact","value":""},{"id":150,"name":"Time of Event (Mountain Time)","value":"03:29:02"},{"id":151,"name":"Denver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4"/>
        <v>start /low /b %USERPROFILE%\Documents\GitHub\eaglep3\Utilities\DownloadLogsFromS3.py --loco 4039 --day 2017-08-26</v>
      </c>
      <c r="AN198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09:29:02"},{"id":29,"name":"Sharepoint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605</v>
      </c>
      <c r="B199" s="7">
        <v>4065</v>
      </c>
      <c r="C199" s="21" t="s">
        <v>197</v>
      </c>
      <c r="D199" s="21" t="s">
        <v>926</v>
      </c>
      <c r="E199" s="13">
        <v>42973.158402777779</v>
      </c>
      <c r="F199" s="13">
        <v>42973.161516203705</v>
      </c>
      <c r="G199" s="7">
        <v>4</v>
      </c>
      <c r="H199" s="21" t="s">
        <v>392</v>
      </c>
      <c r="I199" s="13">
        <v>42973.167361111111</v>
      </c>
      <c r="J199" s="7">
        <v>0</v>
      </c>
      <c r="K199" s="89" t="str">
        <f t="shared" si="50"/>
        <v>4065/4066</v>
      </c>
      <c r="L199" s="217" t="str">
        <f>VLOOKUP(A199,'Trips&amp;Operators'!$C$1:$G$99911,5,FALSE)</f>
        <v>DAVIS WENDY</v>
      </c>
      <c r="M199" s="6">
        <f t="shared" si="51"/>
        <v>5.8449074058444239E-3</v>
      </c>
      <c r="N199" s="7">
        <f t="shared" si="72"/>
        <v>8.4166666644159704</v>
      </c>
      <c r="O199" s="7"/>
      <c r="P199" s="7"/>
      <c r="Q199" s="22"/>
      <c r="R199" s="170"/>
      <c r="S199" s="213">
        <f t="shared" si="73"/>
        <v>1</v>
      </c>
      <c r="T199" s="195" t="str">
        <f t="shared" si="52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3"/>
        <v>https://d0f6bd738d7f1b3e5a7ca70fe4ff75f0.us-east-1.aws.found.io/app/kibana#/discover/Steve-Slow-Train-Analysis-(2080s-and-2083s)?_g=(refreshInterval:(display:Off,pause:!f,section:0,value:0),time:(from:'2017-08-26T02:48:06-0600',mode:absolute,to:'2017-08-26T05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9" s="197" t="str">
        <f>IF(AA199&lt;VLOOKUP(AG199,Variables!$AC$3:$AD$8,2,FALSE),"Y","N")</f>
        <v>Y</v>
      </c>
      <c r="X199" s="197">
        <f t="shared" si="74"/>
        <v>2</v>
      </c>
      <c r="Y199" s="197">
        <f t="shared" si="75"/>
        <v>2.3410000000000002</v>
      </c>
      <c r="Z199" s="197">
        <f t="shared" si="56"/>
        <v>1.5599999999999999E-2</v>
      </c>
      <c r="AA199" s="197">
        <f t="shared" si="57"/>
        <v>2.3254000000000001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58"/>
        <v>304</v>
      </c>
      <c r="AE199" s="77" t="str">
        <f t="shared" si="59"/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AF199" s="74" t="str">
        <f t="shared" si="60"/>
        <v>"C:\Program Files (x86)\AstroGrep\AstroGrep.exe" /e /r /s /spath="%USERPROFILE%\AppData\Local\Temp\OnboardLogs" /stypes="app*4065*20170826*" /stext=" 10:.+((SYSTEM_STATE.+slice.+state.+changed )|(ment ac)|(multiple cpu faults)|(system.+state.+changed )|(\[timeout)|(PRM\|1\|D)|(kpr)|(kdp)|(train st.+moving)|(\|lc)|(penalty))"</v>
      </c>
      <c r="AG199" s="209" t="str">
        <f t="shared" si="61"/>
        <v>Other</v>
      </c>
      <c r="AH199" s="78" t="str">
        <f t="shared" si="62"/>
        <v>"%USERPROFILE%\Documents\GitHub\eaglep3\Utilities\RefineRTDCRunTimes.py" --tripid 304-26 --locoid 4065 --swversion DE.1.0.9.0 --startMP 300:23410 --initTime 2017-08-26T03:48:06 --startdatetime 2017-08-26T03:52:35 --delay 4 --endMP 204:156 --enddatetime 2017-08-26T04:01:00 --enforcementcount 0 &gt;&gt;C:\Users\stu\Documents\GitHub\eaglep3-reporting\EC\2017-08-26-refined-times.txt</v>
      </c>
      <c r="AI199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{"issue":{"subject":"","project_id":79,"tracker_id":40,"status_id":1,"priority_id":2,"assigned_to_id":23,"start_date":"2017-08-26","description":"","custom_fields":[{"id":1,"name":"Subdivision","value":"Other"},{"id":4,"name":"Milepost","value":"0.0156"},{"id":17,"name":"Train ID","value":"304-26"},{"id":16,"name":"Locomotive ID","value":"4065"},{"id":130,"name":"Impact","value":""},{"id":150,"name":"Time of Event (Mountain Time)","value":"04:01:00"},{"id":151,"name":"Denver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4"/>
        <v>start /low /b %USERPROFILE%\Documents\GitHub\eaglep3\Utilities\DownloadLogsFromS3.py --loco 4065 --day 2017-08-26</v>
      </c>
      <c r="AN199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608</v>
      </c>
      <c r="B200" s="7">
        <v>4043</v>
      </c>
      <c r="C200" s="21" t="s">
        <v>197</v>
      </c>
      <c r="D200" s="21" t="s">
        <v>561</v>
      </c>
      <c r="E200" s="13">
        <v>42973.173958333333</v>
      </c>
      <c r="F200" s="13">
        <v>42973.177303240744</v>
      </c>
      <c r="G200" s="7">
        <v>4</v>
      </c>
      <c r="H200" s="21" t="s">
        <v>392</v>
      </c>
      <c r="I200" s="13">
        <v>42973.182245370372</v>
      </c>
      <c r="J200" s="7">
        <v>0</v>
      </c>
      <c r="K200" s="89" t="str">
        <f t="shared" si="50"/>
        <v>4043/4044</v>
      </c>
      <c r="L200" s="217" t="str">
        <f>VLOOKUP(A200,'Trips&amp;Operators'!$C$1:$G$99911,5,FALSE)</f>
        <v>GEBRETEKLE DAGNEW</v>
      </c>
      <c r="M200" s="6">
        <f t="shared" si="51"/>
        <v>4.9421296280343086E-3</v>
      </c>
      <c r="N200" s="7">
        <f t="shared" si="72"/>
        <v>7.1166666643694043</v>
      </c>
      <c r="O200" s="7"/>
      <c r="P200" s="7"/>
      <c r="Q200" s="22"/>
      <c r="R200" s="170"/>
      <c r="S200" s="213">
        <f t="shared" si="73"/>
        <v>1</v>
      </c>
      <c r="T200" s="195" t="str">
        <f t="shared" si="52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3"/>
        <v>https://d0f6bd738d7f1b3e5a7ca70fe4ff75f0.us-east-1.aws.found.io/app/kibana#/discover/Steve-Slow-Train-Analysis-(2080s-and-2083s)?_g=(refreshInterval:(display:Off,pause:!f,section:0,value:0),time:(from:'2017-08-26T03:10:30-0600',mode:absolute,to:'2017-08-26T05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>IF(AA200&lt;VLOOKUP(AG200,Variables!$AC$3:$AD$8,2,FALSE),"Y","N")</f>
        <v>Y</v>
      </c>
      <c r="X200" s="197">
        <f t="shared" si="74"/>
        <v>2</v>
      </c>
      <c r="Y200" s="197">
        <f t="shared" si="75"/>
        <v>2.3647999999999998</v>
      </c>
      <c r="Z200" s="197">
        <f t="shared" si="56"/>
        <v>1.5599999999999999E-2</v>
      </c>
      <c r="AA200" s="197">
        <f t="shared" si="57"/>
        <v>2.3491999999999997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58"/>
        <v>306</v>
      </c>
      <c r="AE200" s="77" t="str">
        <f t="shared" si="59"/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AF200" s="74" t="str">
        <f t="shared" si="60"/>
        <v>"C:\Program Files (x86)\AstroGrep\AstroGrep.exe" /e /r /s /spath="%USERPROFILE%\AppData\Local\Temp\OnboardLogs" /stypes="app*4043*20170826*" /stext=" 10:.+((SYSTEM_STATE.+slice.+state.+changed )|(ment ac)|(multiple cpu faults)|(system.+state.+changed )|(\[timeout)|(PRM\|1\|D)|(kpr)|(kdp)|(train st.+moving)|(\|lc)|(penalty))"</v>
      </c>
      <c r="AG200" s="209" t="str">
        <f t="shared" si="61"/>
        <v>Other</v>
      </c>
      <c r="AH200" s="78" t="str">
        <f t="shared" si="62"/>
        <v>"%USERPROFILE%\Documents\GitHub\eaglep3\Utilities\RefineRTDCRunTimes.py" --tripid 306-26 --locoid 4043 --swversion DE.1.0.9.0 --startMP 300:23648 --initTime 2017-08-26T04:10:30 --startdatetime 2017-08-26T04:15:19 --delay 4 --endMP 204:156 --enddatetime 2017-08-26T04:22:26 --enforcementcount 0 &gt;&gt;C:\Users\stu\Documents\GitHub\eaglep3-reporting\EC\2017-08-26-refined-times.txt</v>
      </c>
      <c r="AI200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{"issue":{"subject":"","project_id":79,"tracker_id":40,"status_id":1,"priority_id":2,"assigned_to_id":23,"start_date":"2017-08-26","description":"","custom_fields":[{"id":1,"name":"Subdivision","value":"Other"},{"id":4,"name":"Milepost","value":"0.0156"},{"id":17,"name":"Train ID","value":"306-26"},{"id":16,"name":"Locomotive ID","value":"4043"},{"id":130,"name":"Impact","value":""},{"id":150,"name":"Time of Event (Mountain Time)","value":"04:22:26"},{"id":151,"name":"Denver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4"/>
        <v>start /low /b %USERPROFILE%\Documents\GitHub\eaglep3\Utilities\DownloadLogsFromS3.py --loco 4043 --day 2017-08-26</v>
      </c>
      <c r="AN200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792</v>
      </c>
      <c r="B201" s="7">
        <v>4040</v>
      </c>
      <c r="C201" s="21" t="s">
        <v>197</v>
      </c>
      <c r="D201" s="21" t="s">
        <v>372</v>
      </c>
      <c r="E201" s="13">
        <v>42974.048958333333</v>
      </c>
      <c r="F201" s="13">
        <v>42974.050347222219</v>
      </c>
      <c r="G201" s="7">
        <v>1</v>
      </c>
      <c r="H201" s="21" t="s">
        <v>549</v>
      </c>
      <c r="I201" s="13">
        <v>42974.059166666666</v>
      </c>
      <c r="J201" s="7">
        <v>0</v>
      </c>
      <c r="K201" s="89" t="str">
        <f t="shared" si="50"/>
        <v>4039/4040</v>
      </c>
      <c r="L201" s="217" t="str">
        <f>VLOOKUP(A201,'Trips&amp;Operators'!$C$1:$G$99911,5,FALSE)</f>
        <v>YANG JAN</v>
      </c>
      <c r="M201" s="6">
        <f t="shared" si="51"/>
        <v>8.819444446999114E-3</v>
      </c>
      <c r="N201" s="7">
        <f t="shared" si="72"/>
        <v>12.700000003678724</v>
      </c>
      <c r="O201" s="7"/>
      <c r="P201" s="7"/>
      <c r="Q201" s="22"/>
      <c r="R201" s="170"/>
      <c r="S201" s="213">
        <f t="shared" si="73"/>
        <v>1</v>
      </c>
      <c r="T201" s="195" t="str">
        <f t="shared" si="52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3"/>
        <v>https://d0f6bd738d7f1b3e5a7ca70fe4ff75f0.us-east-1.aws.found.io/app/kibana#/discover/Steve-Slow-Train-Analysis-(2080s-and-2083s)?_g=(refreshInterval:(display:Off,pause:!f,section:0,value:0),time:(from:'2017-08-27T00:10:30-0600',mode:absolute,to:'2017-08-27T02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197" t="str">
        <f>IF(AA201&lt;VLOOKUP(AG201,Variables!$AC$3:$AD$8,2,FALSE),"Y","N")</f>
        <v>Y</v>
      </c>
      <c r="X201" s="197">
        <f t="shared" si="74"/>
        <v>1</v>
      </c>
      <c r="Y201" s="197">
        <f t="shared" si="75"/>
        <v>4.5699999999999998E-2</v>
      </c>
      <c r="Z201" s="197">
        <f t="shared" si="56"/>
        <v>2.331</v>
      </c>
      <c r="AA201" s="197">
        <f t="shared" si="57"/>
        <v>2.2852999999999999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58"/>
        <v>307</v>
      </c>
      <c r="AE201" s="77" t="str">
        <f t="shared" si="59"/>
        <v>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 &amp; aws s3 cp s3://rtdc.mdm.uploadarchive.raw/RTDC4040/ "%USERPROFILE%\AppData\Local\Temp\OnboardLogs"\RTDC4040\2017-08-28 --exclude "*" --recursive --include "*20170828*" &amp; "%USERPROFILE%\Documents\GitHub\mrs-test-scripts\Headless Mode &amp; Sideloading\WalkAndUnGZ.bat" "%USERPROFILE%\AppData\Local\Temp\OnboardLogs"\RTDC4040\2017-08-28</v>
      </c>
      <c r="AF201" s="74" t="str">
        <f t="shared" si="60"/>
        <v>"C:\Program Files (x86)\AstroGrep\AstroGrep.exe" /e /r /s /spath="%USERPROFILE%\AppData\Local\Temp\OnboardLogs" /stypes="app*4040*20170827*" /stext=" 07:.+((SYSTEM_STATE.+slice.+state.+changed )|(ment ac)|(multiple cpu faults)|(system.+state.+changed )|(\[timeout)|(PRM\|1\|D)|(kpr)|(kdp)|(train st.+moving)|(\|lc)|(penalty))"</v>
      </c>
      <c r="AG201" s="209" t="str">
        <f t="shared" si="61"/>
        <v>Other</v>
      </c>
      <c r="AH201" s="78" t="str">
        <f t="shared" si="62"/>
        <v>"%USERPROFILE%\Documents\GitHub\eaglep3\Utilities\RefineRTDCRunTimes.py" --tripid 307-26 --locoid 4040 --swversion DE.1.0.9.0 --startMP 204:457 --initTime 2017-08-27T01:10:30 --startdatetime 2017-08-27T01:12:30 --delay 1 --endMP 300:23310 --enddatetime 2017-08-27T01:25:12 --enforcementcount 0 &gt;&gt;C:\Users\stu\Documents\GitHub\eaglep3-reporting\EC\2017-08-26-refined-times.txt</v>
      </c>
      <c r="AI201" s="96" t="str">
        <f t="shared" si="63"/>
        <v>echo {"issue":{"subject":"","project_id":79,"tracker_id":40,"status_id":1,"priority_id":2,"assigned_to_id":23,"start_date":"2017-08-27","description":"","custom_fields":[{"id":1,"name":"Subdivision","value":"Other"},{"id":4,"name":"Milepost","value":"2.331"},{"id":17,"name":"Train ID","value":"307-26"},{"id":16,"name":"Locomotive ID","value":"4040"},{"id":130,"name":"Impact","value":""},{"id":150,"name":"Time of Event (Mountain Time)","value":"01:25:12"},{"id":151,"name":"Denver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4"/>
        <v>start /low /b %USERPROFILE%\Documents\GitHub\eaglep3\Utilities\DownloadLogsFromS3.py --loco 4040 --day 2017-08-27</v>
      </c>
      <c r="AN201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611</v>
      </c>
      <c r="B202" s="7">
        <v>4009</v>
      </c>
      <c r="C202" s="21" t="s">
        <v>197</v>
      </c>
      <c r="D202" s="21" t="s">
        <v>927</v>
      </c>
      <c r="E202" s="13">
        <v>42973.177141203705</v>
      </c>
      <c r="F202" s="13">
        <v>42973.181550925925</v>
      </c>
      <c r="G202" s="7">
        <v>6</v>
      </c>
      <c r="H202" s="21" t="s">
        <v>339</v>
      </c>
      <c r="I202" s="13">
        <v>42973.190833333334</v>
      </c>
      <c r="J202" s="7">
        <v>0</v>
      </c>
      <c r="K202" s="89" t="str">
        <f t="shared" si="50"/>
        <v>4009/4010</v>
      </c>
      <c r="L202" s="217" t="str">
        <f>VLOOKUP(A202,'Trips&amp;Operators'!$C$1:$G$99911,5,FALSE)</f>
        <v>LALONDE GREGORY</v>
      </c>
      <c r="M202" s="6">
        <f t="shared" si="51"/>
        <v>9.2824074090458453E-3</v>
      </c>
      <c r="N202" s="7">
        <f t="shared" si="72"/>
        <v>13.366666669026017</v>
      </c>
      <c r="O202" s="7"/>
      <c r="P202" s="7"/>
      <c r="Q202" s="22"/>
      <c r="R202" s="170"/>
      <c r="S202" s="213">
        <f t="shared" si="73"/>
        <v>1</v>
      </c>
      <c r="T202" s="195" t="str">
        <f t="shared" si="52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3"/>
        <v>https://d0f6bd738d7f1b3e5a7ca70fe4ff75f0.us-east-1.aws.found.io/app/kibana#/discover/Steve-Slow-Train-Analysis-(2080s-and-2083s)?_g=(refreshInterval:(display:Off,pause:!f,section:0,value:0),time:(from:'2017-08-26T03:15:05-0600',mode:absolute,to:'2017-08-26T05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2" s="197" t="str">
        <f>IF(AA202&lt;VLOOKUP(AG202,Variables!$AC$3:$AD$8,2,FALSE),"Y","N")</f>
        <v>Y</v>
      </c>
      <c r="X202" s="197">
        <f t="shared" si="74"/>
        <v>1</v>
      </c>
      <c r="Y202" s="197">
        <f t="shared" si="75"/>
        <v>2.3494999999999999</v>
      </c>
      <c r="Z202" s="197">
        <f t="shared" si="56"/>
        <v>1.49E-2</v>
      </c>
      <c r="AA202" s="197">
        <f t="shared" si="57"/>
        <v>2.3346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58"/>
        <v>308</v>
      </c>
      <c r="AE202" s="77" t="str">
        <f t="shared" si="59"/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AF202" s="74" t="str">
        <f t="shared" si="60"/>
        <v>"C:\Program Files (x86)\AstroGrep\AstroGrep.exe" /e /r /s /spath="%USERPROFILE%\AppData\Local\Temp\OnboardLogs" /stypes="app*4009*20170826*" /stext=" 10:.+((SYSTEM_STATE.+slice.+state.+changed )|(ment ac)|(multiple cpu faults)|(system.+state.+changed )|(\[timeout)|(PRM\|1\|D)|(kpr)|(kdp)|(train st.+moving)|(\|lc)|(penalty))"</v>
      </c>
      <c r="AG202" s="209" t="str">
        <f t="shared" si="61"/>
        <v>Other</v>
      </c>
      <c r="AH202" s="78" t="str">
        <f t="shared" si="62"/>
        <v>"%USERPROFILE%\Documents\GitHub\eaglep3\Utilities\RefineRTDCRunTimes.py" --tripid 308-26 --locoid 4009 --swversion DE.1.0.9.0 --startMP 300:23495 --initTime 2017-08-26T04:15:05 --startdatetime 2017-08-26T04:21:26 --delay 6 --endMP 204:149 --enddatetime 2017-08-26T04:34:48 --enforcementcount 0 &gt;&gt;C:\Users\stu\Documents\GitHub\eaglep3-reporting\EC\2017-08-26-refined-times.txt</v>
      </c>
      <c r="AI202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{"issue":{"subject":"","project_id":79,"tracker_id":40,"status_id":1,"priority_id":2,"assigned_to_id":23,"start_date":"2017-08-26","description":"","custom_fields":[{"id":1,"name":"Subdivision","value":"Other"},{"id":4,"name":"Milepost","value":"0.0149"},{"id":17,"name":"Train ID","value":"308-26"},{"id":16,"name":"Locomotive ID","value":"4009"},{"id":130,"name":"Impact","value":""},{"id":150,"name":"Time of Event (Mountain Time)","value":"04:34:48"},{"id":151,"name":"Denver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4"/>
        <v>start /low /b %USERPROFILE%\Documents\GitHub\eaglep3\Utilities\DownloadLogsFromS3.py --loco 4009 --day 2017-08-26</v>
      </c>
      <c r="AN202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793</v>
      </c>
      <c r="B203" s="7">
        <v>4066</v>
      </c>
      <c r="C203" s="21" t="s">
        <v>197</v>
      </c>
      <c r="D203" s="21" t="s">
        <v>386</v>
      </c>
      <c r="E203" s="13">
        <v>42974.070625</v>
      </c>
      <c r="F203" s="13">
        <v>42974.072442129633</v>
      </c>
      <c r="G203" s="7">
        <v>1</v>
      </c>
      <c r="H203" s="21" t="s">
        <v>928</v>
      </c>
      <c r="I203" s="13">
        <v>42974.082349537035</v>
      </c>
      <c r="J203" s="7">
        <v>0</v>
      </c>
      <c r="K203" s="89" t="str">
        <f t="shared" si="50"/>
        <v>4065/4066</v>
      </c>
      <c r="L203" s="217" t="str">
        <f>VLOOKUP(A203,'Trips&amp;Operators'!$C$1:$G$99911,5,FALSE)</f>
        <v>PERKINS DARREN</v>
      </c>
      <c r="M203" s="6">
        <f t="shared" si="51"/>
        <v>9.9074074023519643E-3</v>
      </c>
      <c r="N203" s="7">
        <f t="shared" si="72"/>
        <v>14.266666659386829</v>
      </c>
      <c r="O203" s="7"/>
      <c r="P203" s="7"/>
      <c r="Q203" s="22"/>
      <c r="R203" s="170"/>
      <c r="S203" s="213">
        <f t="shared" si="73"/>
        <v>1</v>
      </c>
      <c r="T203" s="195" t="str">
        <f t="shared" si="52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3"/>
        <v>https://d0f6bd738d7f1b3e5a7ca70fe4ff75f0.us-east-1.aws.found.io/app/kibana#/discover/Steve-Slow-Train-Analysis-(2080s-and-2083s)?_g=(refreshInterval:(display:Off,pause:!f,section:0,value:0),time:(from:'2017-08-27T00:41:42-0600',mode:absolute,to:'2017-08-27T02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3" s="197" t="str">
        <f>IF(AA203&lt;VLOOKUP(AG203,Variables!$AC$3:$AD$8,2,FALSE),"Y","N")</f>
        <v>Y</v>
      </c>
      <c r="X203" s="197">
        <f t="shared" si="74"/>
        <v>1</v>
      </c>
      <c r="Y203" s="197">
        <f t="shared" si="75"/>
        <v>4.4400000000000002E-2</v>
      </c>
      <c r="Z203" s="197">
        <f t="shared" si="56"/>
        <v>2.3292999999999999</v>
      </c>
      <c r="AA203" s="197">
        <f t="shared" si="57"/>
        <v>2.2848999999999999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58"/>
        <v>309</v>
      </c>
      <c r="AE203" s="77" t="str">
        <f t="shared" si="59"/>
        <v>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 &amp; aws s3 cp s3://rtdc.mdm.uploadarchive.raw/RTDC4066/ "%USERPROFILE%\AppData\Local\Temp\OnboardLogs"\RTDC4066\2017-08-28 --exclude "*" --recursive --include "*20170828*" &amp; "%USERPROFILE%\Documents\GitHub\mrs-test-scripts\Headless Mode &amp; Sideloading\WalkAndUnGZ.bat" "%USERPROFILE%\AppData\Local\Temp\OnboardLogs"\RTDC4066\2017-08-28</v>
      </c>
      <c r="AF203" s="74" t="str">
        <f t="shared" si="60"/>
        <v>"C:\Program Files (x86)\AstroGrep\AstroGrep.exe" /e /r /s /spath="%USERPROFILE%\AppData\Local\Temp\OnboardLogs" /stypes="app*4066*20170827*" /stext=" 07:.+((SYSTEM_STATE.+slice.+state.+changed )|(ment ac)|(multiple cpu faults)|(system.+state.+changed )|(\[timeout)|(PRM\|1\|D)|(kpr)|(kdp)|(train st.+moving)|(\|lc)|(penalty))"</v>
      </c>
      <c r="AG203" s="209" t="str">
        <f t="shared" si="61"/>
        <v>Other</v>
      </c>
      <c r="AH203" s="78" t="str">
        <f t="shared" si="62"/>
        <v>"%USERPROFILE%\Documents\GitHub\eaglep3\Utilities\RefineRTDCRunTimes.py" --tripid 309-26 --locoid 4066 --swversion DE.1.0.9.0 --startMP 204:444 --initTime 2017-08-27T01:41:42 --startdatetime 2017-08-27T01:44:19 --delay 1 --endMP 300:23293 --enddatetime 2017-08-27T01:58:35 --enforcementcount 0 &gt;&gt;C:\Users\stu\Documents\GitHub\eaglep3-reporting\EC\2017-08-26-refined-times.txt</v>
      </c>
      <c r="AI203" s="96" t="str">
        <f t="shared" si="63"/>
        <v>echo {"issue":{"subject":"","project_id":79,"tracker_id":40,"status_id":1,"priority_id":2,"assigned_to_id":23,"start_date":"2017-08-27","description":"","custom_fields":[{"id":1,"name":"Subdivision","value":"Other"},{"id":4,"name":"Milepost","value":"2.3293"},{"id":17,"name":"Train ID","value":"309-26"},{"id":16,"name":"Locomotive ID","value":"4066"},{"id":130,"name":"Impact","value":""},{"id":150,"name":"Time of Event (Mountain Time)","value":"01:58:35"},{"id":151,"name":"Denver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4"/>
        <v>start /low /b %USERPROFILE%\Documents\GitHub\eaglep3\Utilities\DownloadLogsFromS3.py --loco 4066 --day 2017-08-27</v>
      </c>
      <c r="AN203" s="151" t="str">
        <f t="shared" si="65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07:58:35"},{"id":29,"name":"Sharepoint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616</v>
      </c>
      <c r="B204" s="7">
        <v>4017</v>
      </c>
      <c r="C204" s="21" t="s">
        <v>197</v>
      </c>
      <c r="D204" s="21" t="s">
        <v>929</v>
      </c>
      <c r="E204" s="13">
        <v>42973.193668981483</v>
      </c>
      <c r="F204" s="13">
        <v>42973.196851851855</v>
      </c>
      <c r="G204" s="7">
        <v>4</v>
      </c>
      <c r="H204" s="21" t="s">
        <v>339</v>
      </c>
      <c r="I204" s="13">
        <v>42973.205682870372</v>
      </c>
      <c r="J204" s="7">
        <v>0</v>
      </c>
      <c r="K204" s="89" t="str">
        <f t="shared" si="50"/>
        <v>4017/4018</v>
      </c>
      <c r="L204" s="217" t="str">
        <f>VLOOKUP(A204,'Trips&amp;Operators'!$C$1:$G$99911,5,FALSE)</f>
        <v>DAVIDSON DAVID</v>
      </c>
      <c r="M204" s="6">
        <f t="shared" si="51"/>
        <v>8.8310185165028088E-3</v>
      </c>
      <c r="N204" s="7">
        <f t="shared" si="72"/>
        <v>12.716666663764045</v>
      </c>
      <c r="O204" s="7"/>
      <c r="P204" s="7"/>
      <c r="Q204" s="22"/>
      <c r="R204" s="170"/>
      <c r="S204" s="213">
        <f t="shared" si="73"/>
        <v>1</v>
      </c>
      <c r="T204" s="195" t="str">
        <f t="shared" si="52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3"/>
        <v>https://d0f6bd738d7f1b3e5a7ca70fe4ff75f0.us-east-1.aws.found.io/app/kibana#/discover/Steve-Slow-Train-Analysis-(2080s-and-2083s)?_g=(refreshInterval:(display:Off,pause:!f,section:0,value:0),time:(from:'2017-08-26T03:38:53-0600',mode:absolute,to:'2017-08-26T05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97" t="str">
        <f>IF(AA204&lt;VLOOKUP(AG204,Variables!$AC$3:$AD$8,2,FALSE),"Y","N")</f>
        <v>Y</v>
      </c>
      <c r="X204" s="197">
        <f t="shared" si="74"/>
        <v>1</v>
      </c>
      <c r="Y204" s="197">
        <f t="shared" si="75"/>
        <v>2.3254000000000001</v>
      </c>
      <c r="Z204" s="197">
        <f t="shared" si="56"/>
        <v>1.49E-2</v>
      </c>
      <c r="AA204" s="197">
        <f t="shared" si="57"/>
        <v>2.3105000000000002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58"/>
        <v>310</v>
      </c>
      <c r="AE204" s="77" t="str">
        <f t="shared" si="59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204" s="74" t="str">
        <f t="shared" si="60"/>
        <v>"C:\Program Files (x86)\AstroGrep\AstroGrep.exe" /e /r /s /spath="%USERPROFILE%\AppData\Local\Temp\OnboardLogs" /stypes="app*4017*20170826*" /stext=" 10:.+((SYSTEM_STATE.+slice.+state.+changed )|(ment ac)|(multiple cpu faults)|(system.+state.+changed )|(\[timeout)|(PRM\|1\|D)|(kpr)|(kdp)|(train st.+moving)|(\|lc)|(penalty))"</v>
      </c>
      <c r="AG204" s="209" t="str">
        <f t="shared" si="61"/>
        <v>Other</v>
      </c>
      <c r="AH204" s="78" t="str">
        <f t="shared" si="62"/>
        <v>"%USERPROFILE%\Documents\GitHub\eaglep3\Utilities\RefineRTDCRunTimes.py" --tripid 310-26 --locoid 4017 --swversion DE.1.0.9.0 --startMP 300:23254 --initTime 2017-08-26T04:38:53 --startdatetime 2017-08-26T04:43:28 --delay 4 --endMP 204:149 --enddatetime 2017-08-26T04:56:11 --enforcementcount 0 &gt;&gt;C:\Users\stu\Documents\GitHub\eaglep3-reporting\EC\2017-08-26-refined-times.txt</v>
      </c>
      <c r="AI204" s="96" t="str">
        <f t="shared" si="63"/>
        <v>echo {"issue":{"subject":"","project_id":79,"tracker_id":40,"status_id":1,"priority_id":2,"assigned_to_id":23,"start_date":"2017-08-26","description":"","custom_fields":[{"id":1,"name":"Subdivision","value":"Other"},{"id":4,"name":"Milepost","value":"0.0149"},{"id":17,"name":"Train ID","value":"310-26"},{"id":16,"name":"Locomotive ID","value":"4017"},{"id":130,"name":"Impact","value":""},{"id":150,"name":"Time of Event (Mountain Time)","value":"04:56:11"},{"id":151,"name":"Denver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4"/>
        <v>start /low /b %USERPROFILE%\Documents\GitHub\eaglep3\Utilities\DownloadLogsFromS3.py --loco 4017 --day 2017-08-26</v>
      </c>
      <c r="AN204" s="151" t="str">
        <f t="shared" si="65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593</v>
      </c>
      <c r="B205" s="7">
        <v>4032</v>
      </c>
      <c r="C205" s="21" t="s">
        <v>197</v>
      </c>
      <c r="D205" s="21" t="s">
        <v>337</v>
      </c>
      <c r="E205" s="13">
        <v>42973.088958333334</v>
      </c>
      <c r="F205" s="13">
        <v>42973.089953703704</v>
      </c>
      <c r="G205" s="7">
        <v>1</v>
      </c>
      <c r="H205" s="21" t="s">
        <v>342</v>
      </c>
      <c r="I205" s="13">
        <v>42973.100104166668</v>
      </c>
      <c r="J205" s="7">
        <v>0</v>
      </c>
      <c r="K205" s="89" t="str">
        <f t="shared" ref="K205:K219" si="76">IF(ISEVEN(B205),(B205-1)&amp;"/"&amp;B205,B205&amp;"/"&amp;(B205+1))</f>
        <v>4031/4032</v>
      </c>
      <c r="L205" s="217" t="str">
        <f>VLOOKUP(A205,'Trips&amp;Operators'!$C$1:$G$99911,5,FALSE)</f>
        <v>FORTUNATO FRANK</v>
      </c>
      <c r="M205" s="6">
        <f t="shared" ref="M205:M219" si="77">I205-F205</f>
        <v>1.0150462963792961E-2</v>
      </c>
      <c r="N205" s="7">
        <f t="shared" si="72"/>
        <v>14.616666667861864</v>
      </c>
      <c r="O205" s="7"/>
      <c r="P205" s="7"/>
      <c r="Q205" s="22"/>
      <c r="R205" s="170"/>
      <c r="S205" s="213">
        <f t="shared" si="73"/>
        <v>1</v>
      </c>
      <c r="T205" s="195" t="str">
        <f t="shared" ref="T205:T219" si="78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9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-26T01:08:06-0600',mode:absolute,to:'2017-08-26T03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97" t="str">
        <f>IF(AA205&lt;VLOOKUP(AG205,Variables!$AC$3:$AD$8,2,FALSE),"Y","N")</f>
        <v>Y</v>
      </c>
      <c r="X205" s="197">
        <f t="shared" si="74"/>
        <v>1</v>
      </c>
      <c r="Y205" s="197">
        <f t="shared" si="75"/>
        <v>4.4600000000000001E-2</v>
      </c>
      <c r="Z205" s="197">
        <f t="shared" ref="Z205:Z219" si="80">RIGHT(H205,LEN(H205)-4)/10000</f>
        <v>2.3346</v>
      </c>
      <c r="AA205" s="197">
        <f t="shared" ref="AA205:AA268" si="81">ABS(Z205-Y205)</f>
        <v>2.29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19" si="82">VALUE(LEFT(A205,LEN(A205)-3))</f>
        <v>311</v>
      </c>
      <c r="AE205" s="77" t="str">
        <f t="shared" ref="AE205:AE219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 &amp; aws s3 cp s3://rtdc.mdm.uploadarchive.raw/RTDC4032/ "%USERPROFILE%\AppData\Local\Temp\OnboardLogs"\RTDC4032\2017-08-27 --exclude "*" --recursive --include "*20170827*" &amp; "%USERPROFILE%\Documents\GitHub\mrs-test-scripts\Headless Mode &amp; Sideloading\WalkAndUnGZ.bat" "%USERPROFILE%\AppData\Local\Temp\OnboardLogs"\RTDC4032\2017-08-27</v>
      </c>
      <c r="AF205" s="74" t="str">
        <f t="shared" ref="AF205:AF219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/stypes="app*4032*20170826*" /stext=" 08:.+((SYSTEM_STATE.+slice.+state.+changed )|(ment ac)|(multiple cpu faults)|(system.+state.+changed )|(\[timeout)|(PRM\|1\|D)|(kpr)|(kdp)|(train st.+moving)|(\|lc)|(penalty))"</v>
      </c>
      <c r="AG205" s="209" t="str">
        <f t="shared" ref="AG205:AG219" si="85">DetSubdiv(A205)</f>
        <v>Other</v>
      </c>
      <c r="AH205" s="78" t="str">
        <f t="shared" ref="AH205:AH219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311-25 --locoid 4032 --swversion DE.1.0.9.0 --startMP 204:446 --initTime 2017-08-26T02:08:06 --startdatetime 2017-08-26T02:09:32 --delay 1 --endMP 300:23346 --enddatetime 2017-08-26T02:24:09 --enforcementcount 0 &gt;&gt;C:\Users\stu\Documents\GitHub\eaglep3-reporting\EC\2017-08-26-refined-times.txt</v>
      </c>
      <c r="AI205" s="96" t="str">
        <f t="shared" ref="AI205:AI219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{"issue":{"subject":"","project_id":79,"tracker_id":40,"status_id":1,"priority_id":2,"assigned_to_id":23,"start_date":"2017-08-26","description":"","custom_fields":[{"id":1,"name":"Subdivision","value":"Other"},{"id":4,"name":"Milepost","value":"2.3346"},{"id":17,"name":"Train ID","value":"311-25"},{"id":16,"name":"Locomotive ID","value":"4032"},{"id":130,"name":"Impact","value":""},{"id":150,"name":"Time of Event (Mountain Time)","value":"02:24:09"},{"id":151,"name":"Denver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9" si="88">"start /low /b "&amp;dls3logs&amp;" --loco "&amp;B205&amp;" --day "&amp;TEXT(F205,"YYYY-MM-DD")</f>
        <v>start /low /b %USERPROFILE%\Documents\GitHub\eaglep3\Utilities\DownloadLogsFromS3.py --loco 4032 --day 2017-08-26</v>
      </c>
      <c r="AN205" s="151" t="str">
        <f t="shared" ref="AN205:AN219" si="8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794</v>
      </c>
      <c r="B206" s="7">
        <v>4062</v>
      </c>
      <c r="C206" s="21" t="s">
        <v>197</v>
      </c>
      <c r="D206" s="21" t="s">
        <v>853</v>
      </c>
      <c r="E206" s="13">
        <v>42974.092662037037</v>
      </c>
      <c r="F206" s="13">
        <v>42974.093946759262</v>
      </c>
      <c r="G206" s="7">
        <v>1</v>
      </c>
      <c r="H206" s="21" t="s">
        <v>342</v>
      </c>
      <c r="I206" s="13">
        <v>25568.708333333332</v>
      </c>
      <c r="J206" s="7">
        <v>0</v>
      </c>
      <c r="K206" s="89" t="str">
        <f t="shared" si="76"/>
        <v>4061/4062</v>
      </c>
      <c r="L206" s="217" t="str">
        <f>VLOOKUP(A206,'Trips&amp;Operators'!$C$1:$G$99911,5,FALSE)</f>
        <v>FORTUNATO FRANK</v>
      </c>
      <c r="M206" s="6">
        <f t="shared" si="77"/>
        <v>-17405.385613425929</v>
      </c>
      <c r="N206" s="7">
        <f t="shared" si="72"/>
        <v>-25063755.283333339</v>
      </c>
      <c r="O206" s="7"/>
      <c r="P206" s="7"/>
      <c r="Q206" s="22"/>
      <c r="R206" s="170"/>
      <c r="S206" s="213">
        <f t="shared" si="73"/>
        <v>1</v>
      </c>
      <c r="T206" s="195" t="str">
        <f t="shared" si="7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9"/>
        <v>https://d0f6bd738d7f1b3e5a7ca70fe4ff75f0.us-east-1.aws.found.io/app/kibana#/discover/Steve-Slow-Train-Analysis-(2080s-and-2083s)?_g=(refreshInterval:(display:Off,pause:!f,section:0,value:0),time:(from:'2017-08-27T01:13:26-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6" s="197" t="str">
        <f>IF(AA206&lt;VLOOKUP(AG206,Variables!$AC$3:$AD$8,2,FALSE),"Y","N")</f>
        <v>Y</v>
      </c>
      <c r="X206" s="197">
        <f t="shared" si="74"/>
        <v>0</v>
      </c>
      <c r="Y206" s="197">
        <f t="shared" si="75"/>
        <v>7.2400000000000006E-2</v>
      </c>
      <c r="Z206" s="197">
        <f t="shared" si="80"/>
        <v>2.3346</v>
      </c>
      <c r="AA206" s="197">
        <f t="shared" si="81"/>
        <v>2.2622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82"/>
        <v>311</v>
      </c>
      <c r="AE206" s="77" t="str">
        <f t="shared" si="83"/>
        <v>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 &amp; aws s3 cp s3://rtdc.mdm.uploadarchive.raw/RTDC4062/ "%USERPROFILE%\AppData\Local\Temp\OnboardLogs"\RTDC4062\2017-08-28 --exclude "*" --recursive --include "*20170828*" &amp; "%USERPROFILE%\Documents\GitHub\mrs-test-scripts\Headless Mode &amp; Sideloading\WalkAndUnGZ.bat" "%USERPROFILE%\AppData\Local\Temp\OnboardLogs"\RTDC4062\2017-08-28</v>
      </c>
      <c r="AF206" s="74" t="str">
        <f t="shared" si="84"/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06" s="209" t="str">
        <f t="shared" si="85"/>
        <v>Other</v>
      </c>
      <c r="AH206" s="78" t="str">
        <f t="shared" si="86"/>
        <v>"%USERPROFILE%\Documents\GitHub\eaglep3\Utilities\RefineRTDCRunTimes.py" --tripid 311-26 --locoid 4062 --swversion DE.1.0.9.0 --startMP 204:724 --initTime 2017-08-27T02:13:26 --startdatetime 2017-08-27T02:15:17 --delay 1 --endMP 300:23346 --enddatetime 1969-12-31T17:00:00 --enforcementcount 0 &gt;&gt;C:\Users\stu\Documents\GitHub\eaglep3-reporting\EC\2017-08-26-refined-times.txt</v>
      </c>
      <c r="AI206" s="96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ID","value":"311-26"},{"id":16,"name":"Locomotive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8"/>
        <v>start /low /b %USERPROFILE%\Documents\GitHub\eaglep3\Utilities\DownloadLogsFromS3.py --loco 4062 --day 2017-08-27</v>
      </c>
      <c r="AN206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622</v>
      </c>
      <c r="B207" s="7">
        <v>4061</v>
      </c>
      <c r="C207" s="21" t="s">
        <v>197</v>
      </c>
      <c r="D207" s="21" t="s">
        <v>930</v>
      </c>
      <c r="E207" s="13">
        <v>42973.219618055555</v>
      </c>
      <c r="F207" s="13">
        <v>42973.223506944443</v>
      </c>
      <c r="G207" s="7">
        <v>5</v>
      </c>
      <c r="H207" s="21" t="s">
        <v>377</v>
      </c>
      <c r="I207" s="13">
        <v>42973.229131944441</v>
      </c>
      <c r="J207" s="7">
        <v>0</v>
      </c>
      <c r="K207" s="89" t="str">
        <f t="shared" si="76"/>
        <v>4061/4062</v>
      </c>
      <c r="L207" s="217" t="str">
        <f>VLOOKUP(A207,'Trips&amp;Operators'!$C$1:$G$99911,5,FALSE)</f>
        <v>GUZMAN DANNY</v>
      </c>
      <c r="M207" s="6">
        <f t="shared" si="77"/>
        <v>5.6249999979627319E-3</v>
      </c>
      <c r="N207" s="7">
        <f t="shared" si="72"/>
        <v>8.0999999970663339</v>
      </c>
      <c r="O207" s="7"/>
      <c r="P207" s="7"/>
      <c r="Q207" s="22"/>
      <c r="R207" s="170"/>
      <c r="S207" s="213">
        <f t="shared" si="73"/>
        <v>1</v>
      </c>
      <c r="T207" s="195" t="str">
        <f t="shared" si="7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9"/>
        <v>https://d0f6bd738d7f1b3e5a7ca70fe4ff75f0.us-east-1.aws.found.io/app/kibana#/discover/Steve-Slow-Train-Analysis-(2080s-and-2083s)?_g=(refreshInterval:(display:Off,pause:!f,section:0,value:0),time:(from:'2017-08-26T04:16:15-0600',mode:absolute,to:'2017-08-26T06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7" s="197" t="str">
        <f>IF(AA207&lt;VLOOKUP(AG207,Variables!$AC$3:$AD$8,2,FALSE),"Y","N")</f>
        <v>Y</v>
      </c>
      <c r="X207" s="197">
        <f t="shared" si="74"/>
        <v>1</v>
      </c>
      <c r="Y207" s="197">
        <f t="shared" si="75"/>
        <v>2.3612000000000002</v>
      </c>
      <c r="Z207" s="197">
        <f t="shared" si="80"/>
        <v>1.4500000000000001E-2</v>
      </c>
      <c r="AA207" s="197">
        <f t="shared" si="81"/>
        <v>2.3467000000000002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82"/>
        <v>312</v>
      </c>
      <c r="AE207" s="77" t="str">
        <f t="shared" si="83"/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AF207" s="74" t="str">
        <f t="shared" si="84"/>
        <v>"C:\Program Files (x86)\AstroGrep\AstroGrep.exe" /e /r /s /spath="%USERPROFILE%\AppData\Local\Temp\OnboardLogs" /stypes="app*4061*20170826*" /stext=" 11:.+((SYSTEM_STATE.+slice.+state.+changed )|(ment ac)|(multiple cpu faults)|(system.+state.+changed )|(\[timeout)|(PRM\|1\|D)|(kpr)|(kdp)|(train st.+moving)|(\|lc)|(penalty))"</v>
      </c>
      <c r="AG207" s="209" t="str">
        <f t="shared" si="85"/>
        <v>Other</v>
      </c>
      <c r="AH207" s="78" t="str">
        <f t="shared" si="86"/>
        <v>"%USERPROFILE%\Documents\GitHub\eaglep3\Utilities\RefineRTDCRunTimes.py" --tripid 312-26 --locoid 4061 --swversion DE.1.0.9.0 --startMP 300:23612 --initTime 2017-08-26T05:16:15 --startdatetime 2017-08-26T05:21:51 --delay 5 --endMP 204:145 --enddatetime 2017-08-26T05:29:57 --enforcementcount 0 &gt;&gt;C:\Users\stu\Documents\GitHub\eaglep3-reporting\EC\2017-08-26-refined-times.txt</v>
      </c>
      <c r="AI207" s="96" t="str">
        <f t="shared" si="87"/>
        <v>echo {"issue":{"subject":"","project_id":79,"tracker_id":40,"status_id":1,"priority_id":2,"assigned_to_id":23,"start_date":"2017-08-26","description":"","custom_fields":[{"id":1,"name":"Subdivision","value":"Other"},{"id":4,"name":"Milepost","value":"0.0145"},{"id":17,"name":"Train ID","value":"312-26"},{"id":16,"name":"Locomotive ID","value":"4061"},{"id":130,"name":"Impact","value":""},{"id":150,"name":"Time of Event (Mountain Time)","value":"05:29:57"},{"id":151,"name":"Denver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8"/>
        <v>start /low /b %USERPROFILE%\Documents\GitHub\eaglep3\Utilities\DownloadLogsFromS3.py --loco 4061 --day 2017-08-26</v>
      </c>
      <c r="AN207" s="151" t="str">
        <f t="shared" si="89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11:29:57"},{"id":29,"name":"Sharepoint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594</v>
      </c>
      <c r="B208" s="7">
        <v>4002</v>
      </c>
      <c r="C208" s="21" t="s">
        <v>197</v>
      </c>
      <c r="D208" s="21" t="s">
        <v>394</v>
      </c>
      <c r="E208" s="13">
        <v>42973.109756944446</v>
      </c>
      <c r="F208" s="13">
        <v>42973.111064814817</v>
      </c>
      <c r="G208" s="7">
        <v>1</v>
      </c>
      <c r="H208" s="21" t="s">
        <v>342</v>
      </c>
      <c r="I208" s="13">
        <v>42973.11891203704</v>
      </c>
      <c r="J208" s="7">
        <v>0</v>
      </c>
      <c r="K208" s="89" t="str">
        <f t="shared" si="76"/>
        <v>4001/4002</v>
      </c>
      <c r="L208" s="217" t="str">
        <f>VLOOKUP(A208,'Trips&amp;Operators'!$C$1:$G$99911,5,FALSE)</f>
        <v>LAMAR NEKESHA</v>
      </c>
      <c r="M208" s="6">
        <f t="shared" si="77"/>
        <v>7.8472222230629995E-3</v>
      </c>
      <c r="N208" s="7">
        <f t="shared" si="72"/>
        <v>11.300000001210719</v>
      </c>
      <c r="O208" s="7"/>
      <c r="P208" s="7"/>
      <c r="Q208" s="22"/>
      <c r="R208" s="170"/>
      <c r="S208" s="213">
        <f t="shared" si="73"/>
        <v>1</v>
      </c>
      <c r="T208" s="195" t="str">
        <f t="shared" si="7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9"/>
        <v>https://d0f6bd738d7f1b3e5a7ca70fe4ff75f0.us-east-1.aws.found.io/app/kibana#/discover/Steve-Slow-Train-Analysis-(2080s-and-2083s)?_g=(refreshInterval:(display:Off,pause:!f,section:0,value:0),time:(from:'2017-08-26T01:38:03-0600',mode:absolute,to:'2017-08-26T03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7" t="str">
        <f>IF(AA208&lt;VLOOKUP(AG208,Variables!$AC$3:$AD$8,2,FALSE),"Y","N")</f>
        <v>Y</v>
      </c>
      <c r="X208" s="197">
        <f t="shared" si="74"/>
        <v>1</v>
      </c>
      <c r="Y208" s="197">
        <f t="shared" si="75"/>
        <v>4.6699999999999998E-2</v>
      </c>
      <c r="Z208" s="197">
        <f t="shared" si="80"/>
        <v>2.3346</v>
      </c>
      <c r="AA208" s="197">
        <f t="shared" si="81"/>
        <v>2.2879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82"/>
        <v>313</v>
      </c>
      <c r="AE208" s="77" t="str">
        <f t="shared" si="83"/>
        <v>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 &amp; aws s3 cp s3://rtdc.mdm.uploadarchive.raw/RTDC4002/ "%USERPROFILE%\AppData\Local\Temp\OnboardLogs"\RTDC4002\2017-08-27 --exclude "*" --recursive --include "*20170827*" &amp; "%USERPROFILE%\Documents\GitHub\mrs-test-scripts\Headless Mode &amp; Sideloading\WalkAndUnGZ.bat" "%USERPROFILE%\AppData\Local\Temp\OnboardLogs"\RTDC4002\2017-08-27</v>
      </c>
      <c r="AF208" s="74" t="str">
        <f t="shared" si="84"/>
        <v>"C:\Program Files (x86)\AstroGrep\AstroGrep.exe" /e /r /s /spath="%USERPROFILE%\AppData\Local\Temp\OnboardLogs" /stypes="app*4002*20170826*" /stext=" 08:.+((SYSTEM_STATE.+slice.+state.+changed )|(ment ac)|(multiple cpu faults)|(system.+state.+changed )|(\[timeout)|(PRM\|1\|D)|(kpr)|(kdp)|(train st.+moving)|(\|lc)|(penalty))"</v>
      </c>
      <c r="AG208" s="209" t="str">
        <f t="shared" si="85"/>
        <v>Other</v>
      </c>
      <c r="AH208" s="78" t="str">
        <f t="shared" si="86"/>
        <v>"%USERPROFILE%\Documents\GitHub\eaglep3\Utilities\RefineRTDCRunTimes.py" --tripid 313-25 --locoid 4002 --swversion DE.1.0.9.0 --startMP 204:467 --initTime 2017-08-26T02:38:03 --startdatetime 2017-08-26T02:39:56 --delay 1 --endMP 300:23346 --enddatetime 2017-08-26T02:51:14 --enforcementcount 0 &gt;&gt;C:\Users\stu\Documents\GitHub\eaglep3-reporting\EC\2017-08-26-refined-times.txt</v>
      </c>
      <c r="AI208" s="96" t="str">
        <f t="shared" si="87"/>
        <v>echo {"issue":{"subject":"","project_id":79,"tracker_id":40,"status_id":1,"priority_id":2,"assigned_to_id":23,"start_date":"2017-08-26","description":"","custom_fields":[{"id":1,"name":"Subdivision","value":"Other"},{"id":4,"name":"Milepost","value":"2.3346"},{"id":17,"name":"Train ID","value":"313-25"},{"id":16,"name":"Locomotive ID","value":"4002"},{"id":130,"name":"Impact","value":""},{"id":150,"name":"Time of Event (Mountain Time)","value":"02:51:14"},{"id":151,"name":"Denver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8"/>
        <v>start /low /b %USERPROFILE%\Documents\GitHub\eaglep3\Utilities\DownloadLogsFromS3.py --loco 4002 --day 2017-08-26</v>
      </c>
      <c r="AN208" s="151" t="str">
        <f t="shared" si="89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782</v>
      </c>
      <c r="B209" s="7">
        <v>4005</v>
      </c>
      <c r="C209" s="21" t="s">
        <v>197</v>
      </c>
      <c r="D209" s="21" t="s">
        <v>884</v>
      </c>
      <c r="E209" s="13">
        <v>42973.94263888889</v>
      </c>
      <c r="F209" s="13">
        <v>42973.94394675926</v>
      </c>
      <c r="G209" s="7">
        <v>1</v>
      </c>
      <c r="H209" s="21" t="s">
        <v>885</v>
      </c>
      <c r="I209" s="13">
        <v>42973.954201388886</v>
      </c>
      <c r="J209" s="7">
        <v>0</v>
      </c>
      <c r="K209" s="89" t="str">
        <f t="shared" si="76"/>
        <v>4005/4006</v>
      </c>
      <c r="L209" s="217" t="str">
        <f>VLOOKUP(A209,'Trips&amp;Operators'!$C$1:$G$99911,5,FALSE)</f>
        <v>SAFIEF AEIMEN</v>
      </c>
      <c r="M209" s="6">
        <f t="shared" si="77"/>
        <v>1.0254629625706002E-2</v>
      </c>
      <c r="N209" s="7">
        <f t="shared" si="72"/>
        <v>14.766666661016643</v>
      </c>
      <c r="O209" s="7"/>
      <c r="P209" s="7"/>
      <c r="Q209" s="22"/>
      <c r="R209" s="170"/>
      <c r="S209" s="213">
        <f t="shared" si="73"/>
        <v>0</v>
      </c>
      <c r="T209" s="195" t="str">
        <f t="shared" si="78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79"/>
        <v>https://d0f6bd738d7f1b3e5a7ca70fe4ff75f0.us-east-1.aws.found.io/app/kibana#/discover/Steve-Slow-Train-Analysis-(2080s-and-2083s)?_g=(refreshInterval:(display:Off,pause:!f,section:0,value:0),time:(from:'2017-08-26T21:37:24-0600',mode:absolute,to:'2017-08-26T23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197" t="str">
        <f>IF(AA209&lt;VLOOKUP(AG209,Variables!$AC$3:$AD$8,2,FALSE),"Y","N")</f>
        <v>Y</v>
      </c>
      <c r="X209" s="197">
        <f t="shared" si="74"/>
        <v>1589</v>
      </c>
      <c r="Y209" s="197">
        <f t="shared" si="75"/>
        <v>5.8605999999999998</v>
      </c>
      <c r="Z209" s="197">
        <f t="shared" si="80"/>
        <v>2.8780000000000001</v>
      </c>
      <c r="AA209" s="197">
        <f t="shared" si="81"/>
        <v>2.9825999999999997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82"/>
        <v>1902</v>
      </c>
      <c r="AE209" s="77" t="str">
        <f t="shared" si="83"/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AF209" s="74" t="str">
        <f t="shared" si="84"/>
        <v>"C:\Program Files (x86)\AstroGrep\AstroGrep.exe" /e /r /s /spath="%USERPROFILE%\AppData\Local\Temp\OnboardLogs" /stypes="app*4005*20170827*" /stext=" 04:.+((SYSTEM_STATE.+slice.+state.+changed )|(ment ac)|(multiple cpu faults)|(system.+state.+changed )|(\[timeout)|(PRM\|1\|D)|(kpr)|(kdp)|(train st.+moving)|(\|lc)|(penalty))"</v>
      </c>
      <c r="AG209" s="209" t="str">
        <f t="shared" si="85"/>
        <v>Other</v>
      </c>
      <c r="AH209" s="78" t="str">
        <f t="shared" si="86"/>
        <v>"%USERPROFILE%\Documents\GitHub\eaglep3\Utilities\RefineRTDCRunTimes.py" --tripid 1902-26 --locoid 4005 --swversion DE.1.0.9.0 --startMP 300:58606 --initTime 2017-08-26T22:37:24 --startdatetime 2017-08-26T22:39:17 --delay 1 --endMP 300:28780 --enddatetime 2017-08-26T22:54:03 --enforcementcount 0 &gt;&gt;C:\Users\stu\Documents\GitHub\eaglep3-reporting\EC\2017-08-26-refined-times.txt</v>
      </c>
      <c r="AI209" s="96" t="str">
        <f t="shared" si="87"/>
        <v>echo {"issue":{"subject":"","project_id":79,"tracker_id":40,"status_id":1,"priority_id":2,"assigned_to_id":23,"start_date":"2017-08-26","description":"","custom_fields":[{"id":1,"name":"Subdivision","value":"Other"},{"id":4,"name":"Milepost","value":"2.878"},{"id":17,"name":"Train ID","value":"1902-26"},{"id":16,"name":"Locomotive ID","value":"4005"},{"id":130,"name":"Impact","value":""},{"id":150,"name":"Time of Event (Mountain Time)","value":"22:54:03"},{"id":151,"name":"Denver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8"/>
        <v>start /low /b %USERPROFILE%\Documents\GitHub\eaglep3\Utilities\DownloadLogsFromS3.py --loco 4005 --day 2017-08-26</v>
      </c>
      <c r="AN209" s="151" t="str">
        <f t="shared" si="89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04:54:03"},{"id":29,"name":"Sharepoint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602</v>
      </c>
      <c r="B210" s="7">
        <v>4052</v>
      </c>
      <c r="C210" s="21" t="s">
        <v>197</v>
      </c>
      <c r="D210" s="21" t="s">
        <v>931</v>
      </c>
      <c r="E210" s="13">
        <v>42973.15179398148</v>
      </c>
      <c r="F210" s="13">
        <v>25568.708333333332</v>
      </c>
      <c r="G210" s="7">
        <v>1</v>
      </c>
      <c r="H210" s="21" t="s">
        <v>932</v>
      </c>
      <c r="I210" s="13">
        <v>25568.708333333332</v>
      </c>
      <c r="J210" s="7">
        <v>0</v>
      </c>
      <c r="K210" s="89" t="str">
        <f t="shared" si="76"/>
        <v>4051/4052</v>
      </c>
      <c r="L210" s="217" t="str">
        <f>VLOOKUP(A210,'Trips&amp;Operators'!$C$1:$G$99911,5,FALSE)</f>
        <v>BEAM ROSS</v>
      </c>
      <c r="M210" s="6">
        <f t="shared" si="77"/>
        <v>0</v>
      </c>
      <c r="N210" s="7">
        <f t="shared" si="72"/>
        <v>0</v>
      </c>
      <c r="O210" s="7"/>
      <c r="P210" s="7"/>
      <c r="Q210" s="22"/>
      <c r="R210" s="170"/>
      <c r="S210" s="213">
        <f t="shared" si="73"/>
        <v>0</v>
      </c>
      <c r="T210" s="195" t="str">
        <f t="shared" si="78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79"/>
        <v>https://d0f6bd738d7f1b3e5a7ca70fe4ff75f0.us-east-1.aws.found.io/app/kibana#/discover/Steve-Slow-Train-Analysis-(2080s-and-2083s)?_g=(refreshInterval:(display:Off,pause:!f,section:0,value:0),time:(from:'2017-08-26T02:38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97" t="str">
        <f>IF(AA210&lt;VLOOKUP(AG210,Variables!$AC$3:$AD$8,2,FALSE),"Y","N")</f>
        <v>Y</v>
      </c>
      <c r="X210" s="197">
        <f t="shared" si="74"/>
        <v>-1837</v>
      </c>
      <c r="Y210" s="197">
        <f t="shared" si="75"/>
        <v>0.14729999999999999</v>
      </c>
      <c r="Z210" s="197">
        <f t="shared" si="80"/>
        <v>0.1469</v>
      </c>
      <c r="AA210" s="197">
        <f t="shared" si="81"/>
        <v>3.999999999999837E-4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82"/>
        <v>65</v>
      </c>
      <c r="AE210" s="77" t="str">
        <f t="shared" si="83"/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10" s="74" t="str">
        <f t="shared" si="84"/>
        <v>"C:\Program Files (x86)\AstroGrep\AstroGrep.exe" /e /r /s /spath="%USERPROFILE%\AppData\Local\Temp\OnboardLogs" /stypes="app*4052*19691231*" /stext=" 23:.+((SYSTEM_STATE.+slice.+state.+changed )|(ment ac)|(multiple cpu faults)|(system.+state.+changed )|(\[timeout)|(PRM\|1\|D)|(kpr)|(kdp)|(train st.+moving)|(\|lc)|(penalty))"</v>
      </c>
      <c r="AG210" s="209" t="str">
        <f t="shared" si="85"/>
        <v>Shuttle/Test</v>
      </c>
      <c r="AH210" s="78" t="str">
        <f t="shared" si="86"/>
        <v>"%USERPROFILE%\Documents\GitHub\eaglep3\Utilities\RefineRTDCRunTimes.py" --tripid 65-26 --locoid 4052 --swversion DE.1.0.9.0 --startMP 204:1473 --initTime 2017-08-26T03:38:35 --startdatetime 1969-12-31T17:00:00 --delay 1 --endMP 204:1469 --enddatetime 1969-12-31T17:00:00 --enforcementcount 0 &gt;&gt;C:\Users\stu\Documents\GitHub\eaglep3-reporting\EC\2017-08-26-refined-times.txt</v>
      </c>
      <c r="AI210" s="96" t="str">
        <f t="shared" si="87"/>
        <v>echo {"issue":{"subject":"","project_id":79,"tracker_id":40,"status_id":1,"priority_id":2,"assigned_to_id":23,"start_date":"1969-12-31","description":"","custom_fields":[{"id":1,"name":"Subdivision","value":"Shuttle/Test"},{"id":4,"name":"Milepost","value":"0.1469"},{"id":17,"name":"Train ID","value":"65-26"},{"id":16,"name":"Locomotive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8"/>
        <v>start /low /b %USERPROFILE%\Documents\GitHub\eaglep3\Utilities\DownloadLogsFromS3.py --loco 4052 --day 1969-12-31</v>
      </c>
      <c r="AN210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604</v>
      </c>
      <c r="B211" s="7">
        <v>4051</v>
      </c>
      <c r="C211" s="21" t="s">
        <v>197</v>
      </c>
      <c r="D211" s="21" t="s">
        <v>933</v>
      </c>
      <c r="E211" s="13">
        <v>42973.154490740744</v>
      </c>
      <c r="F211" s="13">
        <v>25568.708333333332</v>
      </c>
      <c r="G211" s="7">
        <v>1</v>
      </c>
      <c r="H211" s="21" t="s">
        <v>933</v>
      </c>
      <c r="I211" s="13">
        <v>25568.708333333332</v>
      </c>
      <c r="J211" s="7">
        <v>0</v>
      </c>
      <c r="K211" s="89" t="str">
        <f t="shared" si="76"/>
        <v>4051/4052</v>
      </c>
      <c r="L211" s="217" t="str">
        <f>VLOOKUP(A211,'Trips&amp;Operators'!$C$1:$G$99911,5,FALSE)</f>
        <v>BEAM ROSS</v>
      </c>
      <c r="M211" s="6">
        <f t="shared" si="77"/>
        <v>0</v>
      </c>
      <c r="N211" s="7">
        <f t="shared" si="72"/>
        <v>0</v>
      </c>
      <c r="O211" s="7"/>
      <c r="P211" s="7"/>
      <c r="Q211" s="22"/>
      <c r="R211" s="170"/>
      <c r="S211" s="213">
        <f t="shared" si="73"/>
        <v>0</v>
      </c>
      <c r="T211" s="195" t="str">
        <f t="shared" si="78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9"/>
        <v>https://d0f6bd738d7f1b3e5a7ca70fe4ff75f0.us-east-1.aws.found.io/app/kibana#/discover/Steve-Slow-Train-Analysis-(2080s-and-2083s)?_g=(refreshInterval:(display:Off,pause:!f,section:0,value:0),time:(from:'2017-08-26T02:42:28-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197" t="str">
        <f>IF(AA211&lt;VLOOKUP(AG211,Variables!$AC$3:$AD$8,2,FALSE),"Y","N")</f>
        <v>Y</v>
      </c>
      <c r="X211" s="197">
        <f t="shared" si="74"/>
        <v>1</v>
      </c>
      <c r="Y211" s="197">
        <f t="shared" si="75"/>
        <v>0.11600000000000001</v>
      </c>
      <c r="Z211" s="197">
        <f t="shared" si="80"/>
        <v>0.11600000000000001</v>
      </c>
      <c r="AA211" s="197">
        <f t="shared" si="81"/>
        <v>0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82"/>
        <v>66</v>
      </c>
      <c r="AE211" s="77" t="str">
        <f t="shared" si="83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1" s="74" t="str">
        <f t="shared" si="84"/>
        <v>"C:\Program Files (x86)\AstroGrep\AstroGrep.exe" /e /r /s /spath="%USERPROFILE%\AppData\Local\Temp\OnboardLogs" /stypes="app*4051*19691231*" /stext=" 23:.+((SYSTEM_STATE.+slice.+state.+changed )|(ment ac)|(multiple cpu faults)|(system.+state.+changed )|(\[timeout)|(PRM\|1\|D)|(kpr)|(kdp)|(train st.+moving)|(\|lc)|(penalty))"</v>
      </c>
      <c r="AG211" s="209" t="str">
        <f t="shared" si="85"/>
        <v>Shuttle/Test</v>
      </c>
      <c r="AH211" s="78" t="str">
        <f t="shared" si="86"/>
        <v>"%USERPROFILE%\Documents\GitHub\eaglep3\Utilities\RefineRTDCRunTimes.py" --tripid 66-26 --locoid 4051 --swversion DE.1.0.9.0 --startMP 204:1160 --initTime 2017-08-26T03:42:28 --startdatetime 1969-12-31T17:00:00 --delay 1 --endMP 204:1160 --enddatetime 1969-12-31T17:00:00 --enforcementcount 0 &gt;&gt;C:\Users\stu\Documents\GitHub\eaglep3-reporting\EC\2017-08-26-refined-times.txt</v>
      </c>
      <c r="AI211" s="96" t="str">
        <f t="shared" si="87"/>
        <v>echo {"issue":{"subject":"","project_id":79,"tracker_id":40,"status_id":1,"priority_id":2,"assigned_to_id":23,"start_date":"1969-12-31","description":"","custom_fields":[{"id":1,"name":"Subdivision","value":"Shuttle/Test"},{"id":4,"name":"Milepost","value":"0.116"},{"id":17,"name":"Train ID","value":"66-26"},{"id":16,"name":"Locomotive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8"/>
        <v>start /low /b %USERPROFILE%\Documents\GitHub\eaglep3\Utilities\DownloadLogsFromS3.py --loco 4051 --day 1969-12-31</v>
      </c>
      <c r="AN211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584</v>
      </c>
      <c r="B212" s="7">
        <v>4011</v>
      </c>
      <c r="C212" s="21" t="s">
        <v>197</v>
      </c>
      <c r="D212" s="21" t="s">
        <v>934</v>
      </c>
      <c r="E212" s="13">
        <v>42973.878425925926</v>
      </c>
      <c r="F212" s="13">
        <v>42973.826388888891</v>
      </c>
      <c r="G212" s="7">
        <v>1</v>
      </c>
      <c r="H212" s="21" t="s">
        <v>935</v>
      </c>
      <c r="I212" s="13">
        <v>42973.82708333333</v>
      </c>
      <c r="J212" s="7">
        <v>0</v>
      </c>
      <c r="K212" s="89" t="str">
        <f t="shared" si="76"/>
        <v>4011/4012</v>
      </c>
      <c r="L212" s="217" t="str">
        <f>VLOOKUP(A212,'Trips&amp;Operators'!$C$1:$G$99911,5,FALSE)</f>
        <v>ZEWDU DEREJE</v>
      </c>
      <c r="M212" s="6">
        <f t="shared" si="77"/>
        <v>6.9444443943211809E-4</v>
      </c>
      <c r="N212" s="7"/>
      <c r="O212" s="7"/>
      <c r="P212" s="7">
        <f t="shared" si="72"/>
        <v>0.99999999278225005</v>
      </c>
      <c r="Q212" s="22"/>
      <c r="R212" s="170" t="s">
        <v>964</v>
      </c>
      <c r="S212" s="213">
        <f t="shared" si="73"/>
        <v>0</v>
      </c>
      <c r="T212" s="195" t="str">
        <f t="shared" si="78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9"/>
        <v>https://d0f6bd738d7f1b3e5a7ca70fe4ff75f0.us-east-1.aws.found.io/app/kibana#/discover/Steve-Slow-Train-Analysis-(2080s-and-2083s)?_g=(refreshInterval:(display:Off,pause:!f,section:0,value:0),time:(from:'2017-08-26T20:04:56-0600',mode:absolute,to:'2017-08-26T20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2" s="197" t="str">
        <f>IF(AA212&lt;VLOOKUP(AG212,Variables!$AC$3:$AD$8,2,FALSE),"Y","N")</f>
        <v>Y</v>
      </c>
      <c r="X212" s="197">
        <f t="shared" si="74"/>
        <v>5</v>
      </c>
      <c r="Y212" s="197">
        <f t="shared" si="75"/>
        <v>0.53359999999999996</v>
      </c>
      <c r="Z212" s="197">
        <f t="shared" si="80"/>
        <v>0.1956</v>
      </c>
      <c r="AA212" s="197">
        <f t="shared" si="81"/>
        <v>0.33799999999999997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82"/>
        <v>71</v>
      </c>
      <c r="AE212" s="77" t="str">
        <f t="shared" si="83"/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AF212" s="74" t="str">
        <f t="shared" si="84"/>
        <v>"C:\Program Files (x86)\AstroGrep\AstroGrep.exe" /e /r /s /spath="%USERPROFILE%\AppData\Local\Temp\OnboardLogs" /stypes="app*4011*20170827*" /stext=" 01:.+((SYSTEM_STATE.+slice.+state.+changed )|(ment ac)|(multiple cpu faults)|(system.+state.+changed )|(\[timeout)|(PRM\|1\|D)|(kpr)|(kdp)|(train st.+moving)|(\|lc)|(penalty))"</v>
      </c>
      <c r="AG212" s="209" t="str">
        <f t="shared" si="85"/>
        <v>Shuttle/Test</v>
      </c>
      <c r="AH212" s="78" t="str">
        <f t="shared" si="86"/>
        <v>"%USERPROFILE%\Documents\GitHub\eaglep3\Utilities\RefineRTDCRunTimes.py" --tripid 71-26 --locoid 4011 --swversion DE.1.0.9.0 --startMP 300:5336 --initTime 2017-08-26T21:04:56 --startdatetime 2017-08-26T19:50:00 --delay 1 --endMP 204:1956 --enddatetime 2017-08-26T19:51:00 --enforcementcount 0 &gt;&gt;C:\Users\stu\Documents\GitHub\eaglep3-reporting\EC\2017-08-26-refined-times.txt</v>
      </c>
      <c r="AI212" s="96" t="str">
        <f t="shared" si="87"/>
        <v>echo {"issue":{"subject":"Main 3 departure","project_id":79,"tracker_id":40,"status_id":1,"priority_id":2,"assigned_to_id":23,"start_date":"2017-08-26","description":"","custom_fields":[{"id":1,"name":"Subdivision","value":"Shuttle/Test"},{"id":4,"name":"Milepost","value":"0.1956"},{"id":17,"name":"Train ID","value":"71-26"},{"id":16,"name":"Locomotive ID","value":"4011"},{"id":130,"name":"Impact","value":""},{"id":150,"name":"Time of Event (Mountain Time)","value":"19:51:00"},{"id":151,"name":"Denver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8"/>
        <v>start /low /b %USERPROFILE%\Documents\GitHub\eaglep3\Utilities\DownloadLogsFromS3.py --loco 4011 --day 2017-08-26</v>
      </c>
      <c r="AN212" s="151" t="str">
        <f t="shared" si="89"/>
        <v>echo {"issue":{"subject":"Main 3 departure","project_id":30,"tracker_id":4,"status_id":1,"priority_id":1,"assigned_to_id":10,"start_date":"2017-08-27","description":"","custom_fields":[{"id":30,"name":"Category","value":"Issue"},{"id":3,"name":"Functional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584</v>
      </c>
      <c r="B213" s="7">
        <v>4012</v>
      </c>
      <c r="C213" s="21" t="s">
        <v>197</v>
      </c>
      <c r="D213" s="21" t="s">
        <v>936</v>
      </c>
      <c r="E213" s="13">
        <v>42973.874074074076</v>
      </c>
      <c r="F213" s="13">
        <v>25568.708333333332</v>
      </c>
      <c r="G213" s="7">
        <v>1</v>
      </c>
      <c r="H213" s="21" t="s">
        <v>937</v>
      </c>
      <c r="I213" s="13">
        <v>25568.708333333332</v>
      </c>
      <c r="J213" s="7">
        <v>0</v>
      </c>
      <c r="K213" s="89" t="str">
        <f t="shared" si="76"/>
        <v>4011/4012</v>
      </c>
      <c r="L213" s="217" t="str">
        <f>VLOOKUP(A213,'Trips&amp;Operators'!$C$1:$G$99911,5,FALSE)</f>
        <v>ZEWDU DEREJE</v>
      </c>
      <c r="M213" s="6">
        <f t="shared" si="77"/>
        <v>0</v>
      </c>
      <c r="N213" s="7">
        <f t="shared" si="72"/>
        <v>0</v>
      </c>
      <c r="O213" s="7"/>
      <c r="P213" s="7"/>
      <c r="Q213" s="22"/>
      <c r="R213" s="170"/>
      <c r="S213" s="213">
        <f t="shared" si="73"/>
        <v>0</v>
      </c>
      <c r="T213" s="195" t="str">
        <f t="shared" si="78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9"/>
        <v>https://d0f6bd738d7f1b3e5a7ca70fe4ff75f0.us-east-1.aws.found.io/app/kibana#/discover/Steve-Slow-Train-Analysis-(2080s-and-2083s)?_g=(refreshInterval:(display:Off,pause:!f,section:0,value:0),time:(from:'2017-08-26T19:58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197" t="str">
        <f>IF(AA213&lt;VLOOKUP(AG213,Variables!$AC$3:$AD$8,2,FALSE),"Y","N")</f>
        <v>Y</v>
      </c>
      <c r="X213" s="197">
        <f t="shared" si="74"/>
        <v>0</v>
      </c>
      <c r="Y213" s="197">
        <f t="shared" si="75"/>
        <v>0.1173</v>
      </c>
      <c r="Z213" s="197">
        <f t="shared" si="80"/>
        <v>0.55740000000000001</v>
      </c>
      <c r="AA213" s="197">
        <f t="shared" si="81"/>
        <v>0.44009999999999999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82"/>
        <v>71</v>
      </c>
      <c r="AE213" s="77" t="str">
        <f t="shared" si="83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3" s="74" t="str">
        <f t="shared" si="84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13" s="209" t="str">
        <f t="shared" si="85"/>
        <v>Shuttle/Test</v>
      </c>
      <c r="AH213" s="78" t="str">
        <f t="shared" si="86"/>
        <v>"%USERPROFILE%\Documents\GitHub\eaglep3\Utilities\RefineRTDCRunTimes.py" --tripid 71-26 --locoid 4012 --swversion DE.1.0.9.0 --startMP 204:1173 --initTime 2017-08-26T20:58:40 --startdatetime 1969-12-31T17:00:00 --delay 1 --endMP 300:5574 --enddatetime 1969-12-31T17:00:00 --enforcementcount 0 &gt;&gt;C:\Users\stu\Documents\GitHub\eaglep3-reporting\EC\2017-08-26-refined-times.txt</v>
      </c>
      <c r="AI213" s="96" t="str">
        <f t="shared" si="87"/>
        <v>echo {"issue":{"subject":"","project_id":79,"tracker_id":40,"status_id":1,"priority_id":2,"assigned_to_id":23,"start_date":"1969-12-31","description":"","custom_fields":[{"id":1,"name":"Subdivision","value":"Shuttle/Test"},{"id":4,"name":"Milepost","value":"0.5574"},{"id":17,"name":"Train ID","value":"71-26"},{"id":16,"name":"Locomotive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8"/>
        <v>start /low /b %USERPROFILE%\Documents\GitHub\eaglep3\Utilities\DownloadLogsFromS3.py --loco 4012 --day 1969-12-31</v>
      </c>
      <c r="AN213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584</v>
      </c>
      <c r="B214" s="7">
        <v>4062</v>
      </c>
      <c r="C214" s="21" t="s">
        <v>197</v>
      </c>
      <c r="D214" s="21" t="s">
        <v>938</v>
      </c>
      <c r="E214" s="13">
        <v>42973.821620370371</v>
      </c>
      <c r="F214" s="13">
        <v>42973.826296296298</v>
      </c>
      <c r="G214" s="7">
        <v>1</v>
      </c>
      <c r="H214" s="21" t="s">
        <v>939</v>
      </c>
      <c r="I214" s="13">
        <v>42973.82644675926</v>
      </c>
      <c r="J214" s="7">
        <v>0</v>
      </c>
      <c r="K214" s="89" t="str">
        <f t="shared" si="76"/>
        <v>4061/4062</v>
      </c>
      <c r="L214" s="217" t="str">
        <f>VLOOKUP(A214,'Trips&amp;Operators'!$C$1:$G$99911,5,FALSE)</f>
        <v>ZEWDU DEREJE</v>
      </c>
      <c r="M214" s="6">
        <f t="shared" si="77"/>
        <v>1.5046296175569296E-4</v>
      </c>
      <c r="N214" s="7">
        <f t="shared" si="72"/>
        <v>0.21666666492819786</v>
      </c>
      <c r="O214" s="7"/>
      <c r="P214" s="7"/>
      <c r="Q214" s="22"/>
      <c r="R214" s="170"/>
      <c r="S214" s="213">
        <f t="shared" si="73"/>
        <v>0</v>
      </c>
      <c r="T214" s="195" t="str">
        <f t="shared" si="78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9"/>
        <v>https://d0f6bd738d7f1b3e5a7ca70fe4ff75f0.us-east-1.aws.found.io/app/kibana#/discover/Steve-Slow-Train-Analysis-(2080s-and-2083s)?_g=(refreshInterval:(display:Off,pause:!f,section:0,value:0),time:(from:'2017-08-26T18:43:08-0600',mode:absolute,to:'2017-08-26T20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197" t="str">
        <f>IF(AA214&lt;VLOOKUP(AG214,Variables!$AC$3:$AD$8,2,FALSE),"Y","N")</f>
        <v>Y</v>
      </c>
      <c r="X214" s="197">
        <f t="shared" si="74"/>
        <v>0</v>
      </c>
      <c r="Y214" s="197">
        <f t="shared" si="75"/>
        <v>0.14749999999999999</v>
      </c>
      <c r="Z214" s="197">
        <f t="shared" si="80"/>
        <v>0.1895</v>
      </c>
      <c r="AA214" s="197">
        <f t="shared" si="81"/>
        <v>4.200000000000001E-2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82"/>
        <v>71</v>
      </c>
      <c r="AE214" s="77" t="str">
        <f t="shared" si="83"/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AF214" s="74" t="str">
        <f t="shared" si="84"/>
        <v>"C:\Program Files (x86)\AstroGrep\AstroGrep.exe" /e /r /s /spath="%USERPROFILE%\AppData\Local\Temp\OnboardLogs" /stypes="app*4062*20170827*" /stext=" 01:.+((SYSTEM_STATE.+slice.+state.+changed )|(ment ac)|(multiple cpu faults)|(system.+state.+changed )|(\[timeout)|(PRM\|1\|D)|(kpr)|(kdp)|(train st.+moving)|(\|lc)|(penalty))"</v>
      </c>
      <c r="AG214" s="209" t="str">
        <f t="shared" si="85"/>
        <v>Shuttle/Test</v>
      </c>
      <c r="AH214" s="78" t="str">
        <f t="shared" si="86"/>
        <v>"%USERPROFILE%\Documents\GitHub\eaglep3\Utilities\RefineRTDCRunTimes.py" --tripid 71-26 --locoid 4062 --swversion DE.1.0.9.0 --startMP 204:1475 --initTime 2017-08-26T19:43:08 --startdatetime 2017-08-26T19:49:52 --delay 1 --endMP 204:1895 --enddatetime 2017-08-26T19:50:05 --enforcementcount 0 &gt;&gt;C:\Users\stu\Documents\GitHub\eaglep3-reporting\EC\2017-08-26-refined-times.txt</v>
      </c>
      <c r="AI214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0.1895"},{"id":17,"name":"Train ID","value":"71-26"},{"id":16,"name":"Locomotive ID","value":"4062"},{"id":130,"name":"Impact","value":""},{"id":150,"name":"Time of Event (Mountain Time)","value":"19:50:05"},{"id":151,"name":"Denver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8"/>
        <v>start /low /b %USERPROFILE%\Documents\GitHub\eaglep3\Utilities\DownloadLogsFromS3.py --loco 4062 --day 2017-08-26</v>
      </c>
      <c r="AN214" s="151" t="str">
        <f t="shared" si="89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766</v>
      </c>
      <c r="B215" s="7">
        <v>4017</v>
      </c>
      <c r="C215" s="21" t="s">
        <v>197</v>
      </c>
      <c r="D215" s="21" t="s">
        <v>940</v>
      </c>
      <c r="E215" s="13">
        <v>42973.832152777781</v>
      </c>
      <c r="F215" s="13">
        <v>42973.833726851852</v>
      </c>
      <c r="G215" s="7">
        <v>1</v>
      </c>
      <c r="H215" s="21" t="s">
        <v>377</v>
      </c>
      <c r="I215" s="13">
        <v>42973.836678240739</v>
      </c>
      <c r="J215" s="7">
        <v>0</v>
      </c>
      <c r="K215" s="89" t="str">
        <f t="shared" si="76"/>
        <v>4017/4018</v>
      </c>
      <c r="L215" s="217" t="str">
        <f>VLOOKUP(A215,'Trips&amp;Operators'!$C$1:$G$99911,5,FALSE)</f>
        <v>ZEWDU DEREJE</v>
      </c>
      <c r="M215" s="6">
        <f t="shared" si="77"/>
        <v>2.9513888875953853E-3</v>
      </c>
      <c r="N215" s="7">
        <f t="shared" si="72"/>
        <v>4.2499999981373549</v>
      </c>
      <c r="O215" s="7"/>
      <c r="P215" s="7"/>
      <c r="Q215" s="22"/>
      <c r="R215" s="170"/>
      <c r="S215" s="213">
        <f t="shared" si="73"/>
        <v>0</v>
      </c>
      <c r="T215" s="195" t="str">
        <f t="shared" si="78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9"/>
        <v>https://d0f6bd738d7f1b3e5a7ca70fe4ff75f0.us-east-1.aws.found.io/app/kibana#/discover/Steve-Slow-Train-Analysis-(2080s-and-2083s)?_g=(refreshInterval:(display:Off,pause:!f,section:0,value:0),time:(from:'2017-08-26T18:58:18-0600',mode:absolute,to:'2017-08-26T21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7" t="str">
        <f>IF(AA215&lt;VLOOKUP(AG215,Variables!$AC$3:$AD$8,2,FALSE),"Y","N")</f>
        <v>Y</v>
      </c>
      <c r="X215" s="197">
        <f t="shared" si="74"/>
        <v>2</v>
      </c>
      <c r="Y215" s="197">
        <f t="shared" si="75"/>
        <v>0.34210000000000002</v>
      </c>
      <c r="Z215" s="197">
        <f t="shared" si="80"/>
        <v>1.4500000000000001E-2</v>
      </c>
      <c r="AA215" s="197">
        <f t="shared" si="81"/>
        <v>0.3276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82"/>
        <v>73</v>
      </c>
      <c r="AE215" s="77" t="str">
        <f t="shared" si="83"/>
        <v>aws s3 cp s3://rtdc.mdm.uploadarchive.raw/RTDC4017/ "%USERPROFILE%\AppData\Local\Temp\OnboardLogs"\RTDC4017\2017-08-26 --exclude "*" --recursive --include "*20170826*" &amp; "%USERPROFILE%\Documents\GitHub\mrs-test-scripts\Headless Mode &amp; Sideloading\WalkAndUnGZ.bat" "%USERPROFILE%\AppData\Local\Temp\OnboardLogs"\RTDC4017\2017-08-26 &amp; 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</v>
      </c>
      <c r="AF215" s="74" t="str">
        <f t="shared" si="84"/>
        <v>"C:\Program Files (x86)\AstroGrep\AstroGrep.exe" /e /r /s /spath="%USERPROFILE%\AppData\Local\Temp\OnboardLogs" /stypes="app*4017*20170827*" /stext=" 02:.+((SYSTEM_STATE.+slice.+state.+changed )|(ment ac)|(multiple cpu faults)|(system.+state.+changed )|(\[timeout)|(PRM\|1\|D)|(kpr)|(kdp)|(train st.+moving)|(\|lc)|(penalty))"</v>
      </c>
      <c r="AG215" s="209" t="str">
        <f t="shared" si="85"/>
        <v>Shuttle/Test</v>
      </c>
      <c r="AH215" s="78" t="str">
        <f t="shared" si="86"/>
        <v>"%USERPROFILE%\Documents\GitHub\eaglep3\Utilities\RefineRTDCRunTimes.py" --tripid 73-26 --locoid 4017 --swversion DE.1.0.9.0 --startMP 204:3421 --initTime 2017-08-26T19:58:18 --startdatetime 2017-08-26T20:00:34 --delay 1 --endMP 204:145 --enddatetime 2017-08-26T20:04:49 --enforcementcount 0 &gt;&gt;C:\Users\stu\Documents\GitHub\eaglep3-reporting\EC\2017-08-26-refined-times.txt</v>
      </c>
      <c r="AI215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0.0145"},{"id":17,"name":"Train ID","value":"73-26"},{"id":16,"name":"Locomotive ID","value":"4017"},{"id":130,"name":"Impact","value":""},{"id":150,"name":"Time of Event (Mountain Time)","value":"20:04:49"},{"id":151,"name":"Denver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88"/>
        <v>start /low /b %USERPROFILE%\Documents\GitHub\eaglep3\Utilities\DownloadLogsFromS3.py --loco 4017 --day 2017-08-26</v>
      </c>
      <c r="AN215" s="151" t="str">
        <f t="shared" si="89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580</v>
      </c>
      <c r="B216" s="7">
        <v>4011</v>
      </c>
      <c r="C216" s="21" t="s">
        <v>197</v>
      </c>
      <c r="D216" s="21" t="s">
        <v>941</v>
      </c>
      <c r="E216" s="13">
        <v>42973.746805555558</v>
      </c>
      <c r="F216" s="13">
        <v>42973.748310185183</v>
      </c>
      <c r="G216" s="7">
        <v>1</v>
      </c>
      <c r="H216" s="21" t="s">
        <v>942</v>
      </c>
      <c r="I216" s="13">
        <v>42973.754432870373</v>
      </c>
      <c r="J216" s="7">
        <v>0</v>
      </c>
      <c r="K216" s="89" t="str">
        <f t="shared" si="76"/>
        <v>4011/4012</v>
      </c>
      <c r="L216" s="217" t="str">
        <f>VLOOKUP(A216,'Trips&amp;Operators'!$C$1:$G$99911,5,FALSE)</f>
        <v>BERLING GARY</v>
      </c>
      <c r="M216" s="6">
        <f t="shared" si="77"/>
        <v>6.1226851903484203E-3</v>
      </c>
      <c r="N216" s="7">
        <f t="shared" si="72"/>
        <v>8.8166666741017252</v>
      </c>
      <c r="O216" s="7"/>
      <c r="P216" s="7"/>
      <c r="Q216" s="22"/>
      <c r="R216" s="170"/>
      <c r="S216" s="213">
        <f t="shared" si="73"/>
        <v>0</v>
      </c>
      <c r="T216" s="195" t="str">
        <f t="shared" si="78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9"/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197" t="str">
        <f>IF(AA216&lt;VLOOKUP(AG216,Variables!$AC$3:$AD$8,2,FALSE),"Y","N")</f>
        <v>Y</v>
      </c>
      <c r="X216" s="197">
        <f t="shared" si="74"/>
        <v>2</v>
      </c>
      <c r="Y216" s="197">
        <f t="shared" si="75"/>
        <v>2.3107000000000002</v>
      </c>
      <c r="Z216" s="197">
        <f t="shared" si="80"/>
        <v>8.5900000000000004E-2</v>
      </c>
      <c r="AA216" s="197">
        <f t="shared" si="81"/>
        <v>2.2248000000000001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82"/>
        <v>75</v>
      </c>
      <c r="AE216" s="77" t="str">
        <f t="shared" si="83"/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AF216" s="74" t="str">
        <f t="shared" si="84"/>
        <v>"C:\Program Files (x86)\AstroGrep\AstroGrep.exe" /e /r /s /spath="%USERPROFILE%\AppData\Local\Temp\OnboardLogs" /stypes="app*4011*20170827*" /stext=" 00:.+((SYSTEM_STATE.+slice.+state.+changed )|(ment ac)|(multiple cpu faults)|(system.+state.+changed )|(\[timeout)|(PRM\|1\|D)|(kpr)|(kdp)|(train st.+moving)|(\|lc)|(penalty))"</v>
      </c>
      <c r="AG216" s="209" t="str">
        <f t="shared" si="85"/>
        <v>Shuttle/Test</v>
      </c>
      <c r="AH216" s="78" t="str">
        <f t="shared" si="86"/>
        <v>"%USERPROFILE%\Documents\GitHub\eaglep3\Utilities\RefineRTDCRunTimes.py" --tripid 75-26 --locoid 4011 --swversion DE.1.0.9.0 --startMP 300:23107 --initTime 2017-08-26T17:55:24 --startdatetime 2017-08-26T17:57:34 --delay 1 --endMP 204:859 --enddatetime 2017-08-26T18:06:23 --enforcementcount 0 &gt;&gt;C:\Users\stu\Documents\GitHub\eaglep3-reporting\EC\2017-08-26-refined-times.txt</v>
      </c>
      <c r="AI216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0.0859"},{"id":17,"name":"Train ID","value":"75-26"},{"id":16,"name":"Locomotive ID","value":"4011"},{"id":130,"name":"Impact","value":""},{"id":150,"name":"Time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8"/>
        <v>start /low /b %USERPROFILE%\Documents\GitHub\eaglep3\Utilities\DownloadLogsFromS3.py --loco 4011 --day 2017-08-26</v>
      </c>
      <c r="AN216" s="151" t="str">
        <f t="shared" si="89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580</v>
      </c>
      <c r="B217" s="7">
        <v>4011</v>
      </c>
      <c r="C217" s="21" t="s">
        <v>197</v>
      </c>
      <c r="D217" s="21" t="s">
        <v>943</v>
      </c>
      <c r="E217" s="13">
        <v>42973.736516203702</v>
      </c>
      <c r="F217" s="13">
        <v>42973.748310185183</v>
      </c>
      <c r="G217" s="7">
        <v>10</v>
      </c>
      <c r="H217" s="21" t="s">
        <v>944</v>
      </c>
      <c r="I217" s="13">
        <v>42973.754432870373</v>
      </c>
      <c r="J217" s="7">
        <v>0</v>
      </c>
      <c r="K217" s="89" t="str">
        <f t="shared" si="76"/>
        <v>4011/4012</v>
      </c>
      <c r="L217" s="217" t="str">
        <f>VLOOKUP(A217,'Trips&amp;Operators'!$C$1:$G$99911,5,FALSE)</f>
        <v>BERLING GARY</v>
      </c>
      <c r="M217" s="6">
        <f t="shared" si="77"/>
        <v>6.1226851903484203E-3</v>
      </c>
      <c r="N217" s="7">
        <f t="shared" si="72"/>
        <v>8.8166666741017252</v>
      </c>
      <c r="O217" s="7"/>
      <c r="P217" s="7"/>
      <c r="Q217" s="22"/>
      <c r="R217" s="170"/>
      <c r="S217" s="213">
        <f t="shared" si="73"/>
        <v>0</v>
      </c>
      <c r="T217" s="195" t="str">
        <f t="shared" si="7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79"/>
        <v>https://d0f6bd738d7f1b3e5a7ca70fe4ff75f0.us-east-1.aws.found.io/app/kibana#/discover/Steve-Slow-Train-Analysis-(2080s-and-2083s)?_g=(refreshInterval:(display:Off,pause:!f,section:0,value:0),time:(from:'2017-08-26T16:40:35-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197" t="str">
        <f>IF(AA217&lt;VLOOKUP(AG217,Variables!$AC$3:$AD$8,2,FALSE),"Y","N")</f>
        <v>Y</v>
      </c>
      <c r="X217" s="197">
        <f t="shared" si="74"/>
        <v>0</v>
      </c>
      <c r="Y217" s="197">
        <f t="shared" si="75"/>
        <v>2.4455</v>
      </c>
      <c r="Z217" s="197">
        <f t="shared" si="80"/>
        <v>2.3809</v>
      </c>
      <c r="AA217" s="197">
        <f t="shared" si="81"/>
        <v>6.4599999999999991E-2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82"/>
        <v>75</v>
      </c>
      <c r="AE217" s="77" t="str">
        <f t="shared" si="83"/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AF217" s="74" t="str">
        <f t="shared" si="84"/>
        <v>"C:\Program Files (x86)\AstroGrep\AstroGrep.exe" /e /r /s /spath="%USERPROFILE%\AppData\Local\Temp\OnboardLogs" /stypes="app*4011*20170827*" /stext=" 00:.+((SYSTEM_STATE.+slice.+state.+changed )|(ment ac)|(multiple cpu faults)|(system.+state.+changed )|(\[timeout)|(PRM\|1\|D)|(kpr)|(kdp)|(train st.+moving)|(\|lc)|(penalty))"</v>
      </c>
      <c r="AG217" s="209" t="str">
        <f t="shared" si="85"/>
        <v>Shuttle/Test</v>
      </c>
      <c r="AH217" s="78" t="str">
        <f t="shared" si="86"/>
        <v>"%USERPROFILE%\Documents\GitHub\eaglep3\Utilities\RefineRTDCRunTimes.py" --tripid 75-26 --locoid 4011 --swversion DE.1.0.9.0 --startMP 300:24455 --initTime 2017-08-26T17:40:35 --startdatetime 2017-08-26T17:57:34 --delay 10 --endMP 300:23809 --enddatetime 2017-08-26T18:06:23 --enforcementcount 0 &gt;&gt;C:\Users\stu\Documents\GitHub\eaglep3-reporting\EC\2017-08-26-refined-times.txt</v>
      </c>
      <c r="AI217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2.3809"},{"id":17,"name":"Train ID","value":"75-26"},{"id":16,"name":"Locomotive ID","value":"4011"},{"id":130,"name":"Impact","value":""},{"id":150,"name":"Time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8"/>
        <v>start /low /b %USERPROFILE%\Documents\GitHub\eaglep3\Utilities\DownloadLogsFromS3.py --loco 4011 --day 2017-08-26</v>
      </c>
      <c r="AN217" s="151" t="str">
        <f t="shared" si="89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580</v>
      </c>
      <c r="B218" s="7">
        <v>4052</v>
      </c>
      <c r="C218" s="21" t="s">
        <v>197</v>
      </c>
      <c r="D218" s="21" t="s">
        <v>945</v>
      </c>
      <c r="E218" s="13">
        <v>42973.649618055555</v>
      </c>
      <c r="F218" s="13">
        <v>42973.651122685187</v>
      </c>
      <c r="G218" s="7">
        <v>1</v>
      </c>
      <c r="H218" s="21" t="s">
        <v>342</v>
      </c>
      <c r="I218" s="13">
        <v>42973.658263888887</v>
      </c>
      <c r="J218" s="7">
        <v>0</v>
      </c>
      <c r="K218" s="89" t="str">
        <f t="shared" si="76"/>
        <v>4051/4052</v>
      </c>
      <c r="L218" s="217" t="str">
        <f>VLOOKUP(A218,'Trips&amp;Operators'!$C$1:$G$99911,5,FALSE)</f>
        <v>BERLING GARY</v>
      </c>
      <c r="M218" s="6">
        <f t="shared" si="77"/>
        <v>7.1412036995752715E-3</v>
      </c>
      <c r="N218" s="7">
        <f t="shared" si="72"/>
        <v>10.283333327388391</v>
      </c>
      <c r="O218" s="7"/>
      <c r="P218" s="7"/>
      <c r="Q218" s="22"/>
      <c r="R218" s="170"/>
      <c r="S218" s="213">
        <f t="shared" si="73"/>
        <v>1</v>
      </c>
      <c r="T218" s="195" t="str">
        <f t="shared" si="78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9"/>
        <v>https://d0f6bd738d7f1b3e5a7ca70fe4ff75f0.us-east-1.aws.found.io/app/kibana#/discover/Steve-Slow-Train-Analysis-(2080s-and-2083s)?_g=(refreshInterval:(display:Off,pause:!f,section:0,value:0),time:(from:'2017-08-26T14:35:27-0600',mode:absolute,to:'2017-08-26T16:47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197" t="str">
        <f>IF(AA218&lt;VLOOKUP(AG218,Variables!$AC$3:$AD$8,2,FALSE),"Y","N")</f>
        <v>Y</v>
      </c>
      <c r="X218" s="197">
        <f t="shared" si="74"/>
        <v>0</v>
      </c>
      <c r="Y218" s="197">
        <f t="shared" si="75"/>
        <v>0.14879999999999999</v>
      </c>
      <c r="Z218" s="197">
        <f t="shared" si="80"/>
        <v>2.3346</v>
      </c>
      <c r="AA218" s="197">
        <f t="shared" si="81"/>
        <v>2.1858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82"/>
        <v>75</v>
      </c>
      <c r="AE218" s="77" t="str">
        <f t="shared" si="83"/>
        <v>aws s3 cp s3://rtdc.mdm.uploadarchive.raw/RTDC4052/ "%USERPROFILE%\AppData\Local\Temp\OnboardLogs"\RTDC4052\2017-08-26 --exclude "*" --recursive --include "*20170826*" &amp; "%USERPROFILE%\Documents\GitHub\mrs-test-scripts\Headless Mode &amp; Sideloading\WalkAndUnGZ.bat" "%USERPROFILE%\AppData\Local\Temp\OnboardLogs"\RTDC4052\2017-08-26 &amp; aws s3 cp s3://rtdc.mdm.uploadarchive.raw/RTDC4052/ "%USERPROFILE%\AppData\Local\Temp\OnboardLogs"\RTDC4052\2017-08-27 --exclude "*" --recursive --include "*20170827*" &amp; "%USERPROFILE%\Documents\GitHub\mrs-test-scripts\Headless Mode &amp; Sideloading\WalkAndUnGZ.bat" "%USERPROFILE%\AppData\Local\Temp\OnboardLogs"\RTDC4052\2017-08-27</v>
      </c>
      <c r="AF218" s="74" t="str">
        <f t="shared" si="84"/>
        <v>"C:\Program Files (x86)\AstroGrep\AstroGrep.exe" /e /r /s /spath="%USERPROFILE%\AppData\Local\Temp\OnboardLogs" /stypes="app*4052*20170826*" /stext=" 21:.+((SYSTEM_STATE.+slice.+state.+changed )|(ment ac)|(multiple cpu faults)|(system.+state.+changed )|(\[timeout)|(PRM\|1\|D)|(kpr)|(kdp)|(train st.+moving)|(\|lc)|(penalty))"</v>
      </c>
      <c r="AG218" s="209" t="str">
        <f t="shared" si="85"/>
        <v>Shuttle/Test</v>
      </c>
      <c r="AH218" s="78" t="str">
        <f t="shared" si="86"/>
        <v>"%USERPROFILE%\Documents\GitHub\eaglep3\Utilities\RefineRTDCRunTimes.py" --tripid 75-26 --locoid 4052 --swversion DE.1.0.9.0 --startMP 204:1488 --initTime 2017-08-26T15:35:27 --startdatetime 2017-08-26T15:37:37 --delay 1 --endMP 300:23346 --enddatetime 2017-08-26T15:47:54 --enforcementcount 0 &gt;&gt;C:\Users\stu\Documents\GitHub\eaglep3-reporting\EC\2017-08-26-refined-times.txt</v>
      </c>
      <c r="AI218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2.3346"},{"id":17,"name":"Train ID","value":"75-26"},{"id":16,"name":"Locomotive ID","value":"4052"},{"id":130,"name":"Impact","value":""},{"id":150,"name":"Time of Event (Mountain Time)","value":"15:47:54"},{"id":151,"name":"Denver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8"/>
        <v>start /low /b %USERPROFILE%\Documents\GitHub\eaglep3\Utilities\DownloadLogsFromS3.py --loco 4052 --day 2017-08-26</v>
      </c>
      <c r="AN218" s="151" t="str">
        <f t="shared" si="89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21:47:54"},{"id":29,"name":"Sharepoint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576</v>
      </c>
      <c r="B219" s="7">
        <v>4056</v>
      </c>
      <c r="C219" s="21" t="s">
        <v>197</v>
      </c>
      <c r="D219" s="21" t="s">
        <v>946</v>
      </c>
      <c r="E219" s="13">
        <v>42973.720601851855</v>
      </c>
      <c r="F219" s="13">
        <v>42973.723043981481</v>
      </c>
      <c r="G219" s="7">
        <v>2</v>
      </c>
      <c r="H219" s="21" t="s">
        <v>440</v>
      </c>
      <c r="I219" s="13">
        <v>42973.730196759258</v>
      </c>
      <c r="J219" s="7">
        <v>0</v>
      </c>
      <c r="K219" s="89" t="str">
        <f t="shared" si="76"/>
        <v>4055/4056</v>
      </c>
      <c r="L219" s="217" t="str">
        <f>VLOOKUP(A219,'Trips&amp;Operators'!$C$1:$G$99911,5,FALSE)</f>
        <v>NEWELL JAMES</v>
      </c>
      <c r="M219" s="6">
        <f t="shared" si="77"/>
        <v>7.1527777763549238E-3</v>
      </c>
      <c r="N219" s="7">
        <f t="shared" si="72"/>
        <v>10.29999999795109</v>
      </c>
      <c r="O219" s="7"/>
      <c r="P219" s="7"/>
      <c r="Q219" s="22"/>
      <c r="R219" s="170"/>
      <c r="S219" s="213">
        <f t="shared" si="73"/>
        <v>1</v>
      </c>
      <c r="T219" s="195" t="str">
        <f t="shared" si="78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9"/>
        <v>https://d0f6bd738d7f1b3e5a7ca70fe4ff75f0.us-east-1.aws.found.io/app/kibana#/discover/Steve-Slow-Train-Analysis-(2080s-and-2083s)?_g=(refreshInterval:(display:Off,pause:!f,section:0,value:0),time:(from:'2017-08-26T16:17:40-0600',mode:absolute,to:'2017-08-26T18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197" t="str">
        <f>IF(AA219&lt;VLOOKUP(AG219,Variables!$AC$3:$AD$8,2,FALSE),"Y","N")</f>
        <v>Y</v>
      </c>
      <c r="X219" s="197">
        <f t="shared" si="74"/>
        <v>2</v>
      </c>
      <c r="Y219" s="197">
        <f t="shared" si="75"/>
        <v>0.1135</v>
      </c>
      <c r="Z219" s="197">
        <f t="shared" si="80"/>
        <v>2.3304</v>
      </c>
      <c r="AA219" s="197">
        <f t="shared" si="81"/>
        <v>2.2168999999999999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82"/>
        <v>77</v>
      </c>
      <c r="AE219" s="77" t="str">
        <f t="shared" si="83"/>
        <v>aws s3 cp s3://rtdc.mdm.uploadarchive.raw/RTDC4056/ "%USERPROFILE%\AppData\Local\Temp\OnboardLogs"\RTDC4056\2017-08-26 --exclude "*" --recursive --include "*20170826*" &amp; "%USERPROFILE%\Documents\GitHub\mrs-test-scripts\Headless Mode &amp; Sideloading\WalkAndUnGZ.bat" "%USERPROFILE%\AppData\Local\Temp\OnboardLogs"\RTDC4056\2017-08-26 &amp; aws s3 cp s3://rtdc.mdm.uploadarchive.raw/RTDC4056/ "%USERPROFILE%\AppData\Local\Temp\OnboardLogs"\RTDC4056\2017-08-27 --exclude "*" --recursive --include "*20170827*" &amp; "%USERPROFILE%\Documents\GitHub\mrs-test-scripts\Headless Mode &amp; Sideloading\WalkAndUnGZ.bat" "%USERPROFILE%\AppData\Local\Temp\OnboardLogs"\RTDC4056\2017-08-27</v>
      </c>
      <c r="AF219" s="74" t="str">
        <f t="shared" si="84"/>
        <v>"C:\Program Files (x86)\AstroGrep\AstroGrep.exe" /e /r /s /spath="%USERPROFILE%\AppData\Local\Temp\OnboardLogs" /stypes="app*4056*20170826*" /stext=" 23:.+((SYSTEM_STATE.+slice.+state.+changed )|(ment ac)|(multiple cpu faults)|(system.+state.+changed )|(\[timeout)|(PRM\|1\|D)|(kpr)|(kdp)|(train st.+moving)|(\|lc)|(penalty))"</v>
      </c>
      <c r="AG219" s="209" t="str">
        <f t="shared" si="85"/>
        <v>Shuttle/Test</v>
      </c>
      <c r="AH219" s="78" t="str">
        <f t="shared" si="86"/>
        <v>"%USERPROFILE%\Documents\GitHub\eaglep3\Utilities\RefineRTDCRunTimes.py" --tripid 77-26 --locoid 4056 --swversion DE.1.0.9.0 --startMP 204:1135 --initTime 2017-08-26T17:17:40 --startdatetime 2017-08-26T17:21:11 --delay 2 --endMP 300:23304 --enddatetime 2017-08-26T17:31:29 --enforcementcount 0 &gt;&gt;C:\Users\stu\Documents\GitHub\eaglep3-reporting\EC\2017-08-26-refined-times.txt</v>
      </c>
      <c r="AI219" s="96" t="str">
        <f t="shared" si="87"/>
        <v>echo {"issue":{"subject":"","project_id":79,"tracker_id":40,"status_id":1,"priority_id":2,"assigned_to_id":23,"start_date":"2017-08-26","description":"","custom_fields":[{"id":1,"name":"Subdivision","value":"Shuttle/Test"},{"id":4,"name":"Milepost","value":"2.3304"},{"id":17,"name":"Train ID","value":"77-26"},{"id":16,"name":"Locomotive ID","value":"4056"},{"id":130,"name":"Impact","value":""},{"id":150,"name":"Time of Event (Mountain Time)","value":"17:31:29"},{"id":151,"name":"Denver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8"/>
        <v>start /low /b %USERPROFILE%\Documents\GitHub\eaglep3\Utilities\DownloadLogsFromS3.py --loco 4056 --day 2017-08-26</v>
      </c>
      <c r="AN219" s="151" t="str">
        <f t="shared" si="89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23:31:29"},{"id":29,"name":"Sharepoint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</sheetData>
  <autoFilter ref="A12:AG252">
    <sortState ref="A13:AG252">
      <sortCondition ref="AG13:AG219"/>
      <sortCondition ref="AD13:AD219"/>
    </sortState>
  </autoFilter>
  <sortState ref="A13:AN207">
    <sortCondition ref="AG13:AG207"/>
    <sortCondition ref="AD13:AD207"/>
  </sortState>
  <mergeCells count="1">
    <mergeCell ref="A11:P11"/>
  </mergeCells>
  <conditionalFormatting sqref="W11:W12 W258:X1048576 W13:X219">
    <cfRule type="cellIs" dxfId="10" priority="415" operator="equal">
      <formula>"Y"</formula>
    </cfRule>
  </conditionalFormatting>
  <conditionalFormatting sqref="X258:X1048576 X13:X219">
    <cfRule type="cellIs" dxfId="9" priority="398" operator="greaterThan">
      <formula>1</formula>
    </cfRule>
  </conditionalFormatting>
  <conditionalFormatting sqref="X258:X1048576 X12:X219">
    <cfRule type="cellIs" dxfId="8" priority="395" operator="equal">
      <formula>0</formula>
    </cfRule>
  </conditionalFormatting>
  <conditionalFormatting sqref="A13:S219">
    <cfRule type="expression" dxfId="3" priority="389" stopIfTrue="1">
      <formula>$P13&gt;0</formula>
    </cfRule>
    <cfRule type="expression" dxfId="2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abSelected="1" topLeftCell="A2" workbookViewId="0">
      <selection activeCell="S12" sqref="S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- 2017-08-26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365</v>
      </c>
      <c r="X6" s="208" t="s">
        <v>358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42973.609502314815</v>
      </c>
      <c r="B7" s="30" t="s">
        <v>565</v>
      </c>
      <c r="C7" s="30" t="s">
        <v>574</v>
      </c>
      <c r="D7" s="30" t="s">
        <v>49</v>
      </c>
      <c r="E7" s="30" t="s">
        <v>187</v>
      </c>
      <c r="F7" s="42">
        <v>0</v>
      </c>
      <c r="G7" s="42">
        <v>208</v>
      </c>
      <c r="H7" s="42">
        <v>26966</v>
      </c>
      <c r="I7" s="42">
        <v>27278</v>
      </c>
      <c r="J7" s="30" t="s">
        <v>188</v>
      </c>
      <c r="K7" s="42">
        <v>27053</v>
      </c>
      <c r="L7" s="131" t="s">
        <v>50</v>
      </c>
      <c r="M7" s="132">
        <f t="shared" ref="M7:M36" si="0">CONVERT((I7-K7)/10000,"mi","ft")*IF(L7="Increasing Mileposts (1)",-1,1)</f>
        <v>-118.8</v>
      </c>
      <c r="N7" s="133" t="str">
        <f>VLOOKUP(C7,'Trips&amp;Operators'!$C$1:$G$99911,5,FALSE)</f>
        <v>HOLCOMB KAMDEN</v>
      </c>
      <c r="O7" s="203" t="s">
        <v>180</v>
      </c>
      <c r="P7" s="134" t="s">
        <v>390</v>
      </c>
      <c r="Q7" s="30"/>
      <c r="R7" s="81" t="str">
        <f>VLOOKUP(C7,'Train Runs'!$A$13:$AE$9911,31,0)</f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S7" s="84" t="str">
        <f>VLOOKUP(C7,'Train Runs'!$A$13:$AE$9911,22,0)</f>
        <v>https://d0f6bd738d7f1b3e5a7ca70fe4ff75f0.us-east-1.aws.found.io/app/kibana#/discover/Steve-Slow-Train-Analysis-(2080s-and-2083s)?_g=(refreshInterval:(display:Off,pause:!f,section:0,value:0),time:(from:'2017-08-26T13:21:55-0600',mode:absolute,to:'2017-08-26T16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7" s="86" t="str">
        <f t="shared" ref="T7:T3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/stypes="*4062*201708262*" /stext=" 20:.+((SYSTEM_STATE.+slice.+state.+changed )|(ment ac)|(multiple cpu faults)|(system.+state.+changed )|(\[timeout)|(PRM\|1\|D)|(kpr)|(kdp)|(train st.+moving)|(\|lc)|(penalty))"</v>
      </c>
      <c r="U7" s="9" t="str">
        <f t="shared" ref="U7:U36" si="2">MID(B7,13,4)</f>
        <v>4062</v>
      </c>
      <c r="V7" s="31">
        <f t="shared" ref="V7:V36" si="3">A7-utc_offset/24</f>
        <v>42973.859502314815</v>
      </c>
      <c r="W7" s="45" t="str">
        <f t="shared" ref="W7:W36" si="4">DetSubdiv(C7)</f>
        <v>EC</v>
      </c>
      <c r="X7" s="22">
        <f t="shared" ref="X7:X36" si="5">VALUE(LEFT(C7,LEN(C7)-3))</f>
        <v>187</v>
      </c>
      <c r="Y7" s="96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Arrival","project_id":79,"tracker_id":40,"status_id":1,"priority_id":2,"assigned_to_id":23,"start_date":"2017-08-26","description":"","custom_fields":[{"id":1,"name":"Subdivision","value":"EC"},{"id":4,"name":"Milepost","value":"2.7053"},{"id":17,"name":"Train ID","value":"187-26"},{"id":16,"name":"Locomotive ID","value":"4062"},{"id":130,"name":"Impact","value":""},{"id":150,"name":"Time of Event (Mountain Time)","value":"14:37:41"},{"id":151,"name":"Denver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/c/Users/stu/AppData/Local/Temp/OnboardLogs/RTDC4062 --include="*4062*201708262*"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"%USERPROFILE%\AppData\Local\Temp\OnboardLogs"\RTDC4062\*4062*201708262* &gt;&gt; 2017-08-26-SliceDisagreementCheck.txt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4062 --day 2017-08-26</v>
      </c>
    </row>
    <row r="8" spans="1:32" s="1" customFormat="1" x14ac:dyDescent="0.25">
      <c r="A8" s="31">
        <v>42973.485520833332</v>
      </c>
      <c r="B8" s="30" t="s">
        <v>570</v>
      </c>
      <c r="C8" s="30" t="s">
        <v>571</v>
      </c>
      <c r="D8" s="30" t="s">
        <v>49</v>
      </c>
      <c r="E8" s="30" t="s">
        <v>187</v>
      </c>
      <c r="F8" s="42">
        <v>400</v>
      </c>
      <c r="G8" s="42">
        <v>453</v>
      </c>
      <c r="H8" s="42">
        <v>32805</v>
      </c>
      <c r="I8" s="42">
        <v>33955</v>
      </c>
      <c r="J8" s="30" t="s">
        <v>188</v>
      </c>
      <c r="K8" s="42">
        <v>33137</v>
      </c>
      <c r="L8" s="131" t="s">
        <v>50</v>
      </c>
      <c r="M8" s="132">
        <f t="shared" si="0"/>
        <v>-431.904</v>
      </c>
      <c r="N8" s="133" t="str">
        <f>VLOOKUP(C8,'Trips&amp;Operators'!$C$1:$G$99911,5,FALSE)</f>
        <v>BROWN JACOB</v>
      </c>
      <c r="O8" s="203" t="s">
        <v>180</v>
      </c>
      <c r="P8" s="134" t="s">
        <v>390</v>
      </c>
      <c r="Q8" s="30"/>
      <c r="R8" s="81" t="str">
        <f>VLOOKUP(C8,'Train Runs'!$A$13:$AE$9911,31,0)</f>
        <v>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 &amp; aws s3 cp s3://rtdc.mdm.uploadarchive.raw/RTDC4044/ "%USERPROFILE%\AppData\Local\Temp\OnboardLogs"\RTDC4044\2017-08-27 --exclude "*" --recursive --include "*20170827*" &amp; "%USERPROFILE%\Documents\GitHub\mrs-test-scripts\Headless Mode &amp; Sideloading\WalkAndUnGZ.bat" "%USERPROFILE%\AppData\Local\Temp\OnboardLogs"\RTDC4044\2017-08-27</v>
      </c>
      <c r="S8" s="84" t="str">
        <f>VLOOKUP(C8,'Train Runs'!$A$13:$AE$9911,22,0)</f>
        <v>https://d0f6bd738d7f1b3e5a7ca70fe4ff75f0.us-east-1.aws.found.io/app/kibana#/discover/Steve-Slow-Train-Analysis-(2080s-and-2083s)?_g=(refreshInterval:(display:Off,pause:!f,section:0,value:0),time:(from:'2017-08-26T10:23:37-0600',mode:absolute,to:'2017-08-26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8" s="86" t="str">
        <f t="shared" si="1"/>
        <v>"C:\Program Files (x86)\AstroGrep\AstroGrep.exe" /e /r /s /spath="%USERPROFILE%\AppData\Local\Temp\OnboardLogs" /stypes="*4044*201708261*"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4044</v>
      </c>
      <c r="V8" s="31">
        <f t="shared" si="3"/>
        <v>42973.735520833332</v>
      </c>
      <c r="W8" s="45" t="str">
        <f t="shared" si="4"/>
        <v>EC</v>
      </c>
      <c r="X8" s="22">
        <f t="shared" si="5"/>
        <v>163</v>
      </c>
      <c r="Y8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Arrival","project_id":79,"tracker_id":40,"status_id":1,"priority_id":2,"assigned_to_id":23,"start_date":"2017-08-26","description":"","custom_fields":[{"id":1,"name":"Subdivision","value":"EC"},{"id":4,"name":"Milepost","value":"3.3137"},{"id":17,"name":"Train ID","value":"163-26"},{"id":16,"name":"Locomotive ID","value":"4044"},{"id":130,"name":"Impact","value":""},{"id":150,"name":"Time of Event (Mountain Time)","value":"11:39:09"},{"id":151,"name":"Denver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/c/Users/stu/AppData/Local/Temp/OnboardLogs/RTDC4044 --include="*4044*201708261*"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"%USERPROFILE%\AppData\Local\Temp\OnboardLogs"\RTDC4044\*4044*201708261* &gt;&gt; 2017-08-26-SliceDisagreementCheck.txt</v>
      </c>
      <c r="AE8" s="145" t="str">
        <f t="shared" ref="AE8:AE36" si="9">"start /low /b "&amp;dls3logs&amp;" --loco "&amp;U8&amp;" --day "&amp;TEXT(V8,"YYYY-MM-DD")</f>
        <v>start /low /b %USERPROFILE%\Documents\GitHub\eaglep3\Utilities\DownloadLogsFromS3.py --loco 4044 --day 2017-08-26</v>
      </c>
    </row>
    <row r="9" spans="1:32" s="1" customFormat="1" x14ac:dyDescent="0.25">
      <c r="A9" s="31">
        <v>42973.320960648147</v>
      </c>
      <c r="B9" s="30" t="s">
        <v>565</v>
      </c>
      <c r="C9" s="30" t="s">
        <v>566</v>
      </c>
      <c r="D9" s="30" t="s">
        <v>49</v>
      </c>
      <c r="E9" s="30" t="s">
        <v>187</v>
      </c>
      <c r="F9" s="42">
        <v>390</v>
      </c>
      <c r="G9" s="42">
        <v>454</v>
      </c>
      <c r="H9" s="42">
        <v>41879</v>
      </c>
      <c r="I9" s="42">
        <v>43265</v>
      </c>
      <c r="J9" s="30" t="s">
        <v>188</v>
      </c>
      <c r="K9" s="42">
        <v>42779</v>
      </c>
      <c r="L9" s="131" t="s">
        <v>50</v>
      </c>
      <c r="M9" s="132">
        <f t="shared" si="0"/>
        <v>-256.608</v>
      </c>
      <c r="N9" s="133" t="str">
        <f>VLOOKUP(C9,'Trips&amp;Operators'!$C$1:$G$99911,5,FALSE)</f>
        <v>THOMPSON LESTER</v>
      </c>
      <c r="O9" s="203" t="s">
        <v>180</v>
      </c>
      <c r="P9" s="134" t="s">
        <v>390</v>
      </c>
      <c r="Q9" s="30"/>
      <c r="R9" s="81" t="str">
        <f>VLOOKUP(C9,'Train Runs'!$A$13:$AE$9911,31,0)</f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S9" s="84" t="str">
        <f>VLOOKUP(C9,'Train Runs'!$A$13:$AE$9911,22,0)</f>
        <v>https://d0f6bd738d7f1b3e5a7ca70fe4ff75f0.us-east-1.aws.found.io/app/kibana#/discover/Steve-Slow-Train-Analysis-(2080s-and-2083s)?_g=(refreshInterval:(display:Off,pause:!f,section:0,value:0),time:(from:'2017-08-26T06:23:34-0600',mode:absolute,to:'2017-08-26T09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9" s="86" t="str">
        <f t="shared" si="1"/>
        <v>"C:\Program Files (x86)\AstroGrep\AstroGrep.exe" /e /r /s /spath="%USERPROFILE%\AppData\Local\Temp\OnboardLogs" /stypes="*4062*201708261*"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4062</v>
      </c>
      <c r="V9" s="31">
        <f t="shared" si="3"/>
        <v>42973.570960648147</v>
      </c>
      <c r="W9" s="45" t="str">
        <f t="shared" si="4"/>
        <v>EC</v>
      </c>
      <c r="X9" s="22">
        <f t="shared" si="5"/>
        <v>131</v>
      </c>
      <c r="Y9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Arrival","project_id":79,"tracker_id":40,"status_id":1,"priority_id":2,"assigned_to_id":23,"start_date":"2017-08-26","description":"","custom_fields":[{"id":1,"name":"Subdivision","value":"EC"},{"id":4,"name":"Milepost","value":"4.2779"},{"id":17,"name":"Train ID","value":"131-26"},{"id":16,"name":"Locomotive ID","value":"4062"},{"id":130,"name":"Impact","value":""},{"id":150,"name":"Time of Event (Mountain Time)","value":"07:42:11"},{"id":151,"name":"Denver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/c/Users/stu/AppData/Local/Temp/OnboardLogs/RTDC4062 --include="*4062*201708261*"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"%USERPROFILE%\AppData\Local\Temp\OnboardLogs"\RTDC4062\*4062*201708261* &gt;&gt; 2017-08-26-SliceDisagreementCheck.txt</v>
      </c>
      <c r="AE9" s="145" t="str">
        <f t="shared" si="9"/>
        <v>start /low /b %USERPROFILE%\Documents\GitHub\eaglep3\Utilities\DownloadLogsFromS3.py --loco 4062 --day 2017-08-26</v>
      </c>
    </row>
    <row r="10" spans="1:32" s="1" customFormat="1" x14ac:dyDescent="0.25">
      <c r="A10" s="31">
        <v>42973.473564814813</v>
      </c>
      <c r="B10" s="30" t="s">
        <v>411</v>
      </c>
      <c r="C10" s="30" t="s">
        <v>569</v>
      </c>
      <c r="D10" s="30" t="s">
        <v>49</v>
      </c>
      <c r="E10" s="30" t="s">
        <v>187</v>
      </c>
      <c r="F10" s="42">
        <v>0</v>
      </c>
      <c r="G10" s="42">
        <v>312</v>
      </c>
      <c r="H10" s="42">
        <v>58663</v>
      </c>
      <c r="I10" s="42">
        <v>57824</v>
      </c>
      <c r="J10" s="30" t="s">
        <v>188</v>
      </c>
      <c r="K10" s="42">
        <v>58301</v>
      </c>
      <c r="L10" s="131" t="s">
        <v>51</v>
      </c>
      <c r="M10" s="132">
        <f t="shared" si="0"/>
        <v>-251.85599999999999</v>
      </c>
      <c r="N10" s="133" t="str">
        <f>VLOOKUP(C10,'Trips&amp;Operators'!$C$1:$G$99911,5,FALSE)</f>
        <v>LALONDE GREGORY</v>
      </c>
      <c r="O10" s="203" t="s">
        <v>180</v>
      </c>
      <c r="P10" s="134" t="s">
        <v>390</v>
      </c>
      <c r="Q10" s="30"/>
      <c r="R10" s="81" t="str">
        <f>VLOOKUP(C10,'Train Runs'!$A$13:$AE$9911,31,0)</f>
        <v>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 &amp; aws s3 cp s3://rtdc.mdm.uploadarchive.raw/RTDC4009/ "%USERPROFILE%\AppData\Local\Temp\OnboardLogs"\RTDC4009\2017-08-27 --exclude "*" --recursive --include "*20170827*" &amp; "%USERPROFILE%\Documents\GitHub\mrs-test-scripts\Headless Mode &amp; Sideloading\WalkAndUnGZ.bat" "%USERPROFILE%\AppData\Local\Temp\OnboardLogs"\RTDC4009\2017-08-27</v>
      </c>
      <c r="S10" s="84" t="str">
        <f>VLOOKUP(C10,'Train Runs'!$A$13:$AE$9911,22,0)</f>
        <v>https://d0f6bd738d7f1b3e5a7ca70fe4ff75f0.us-east-1.aws.found.io/app/kibana#/discover/Steve-Slow-Train-Analysis-(2080s-and-2083s)?_g=(refreshInterval:(display:Off,pause:!f,section:0,value:0),time:(from:'2017-08-26T09:37:29-0600',mode:absolute,to:'2017-08-26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/stypes="*4009*201708261*"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42973.723564814813</v>
      </c>
      <c r="W10" s="45" t="str">
        <f t="shared" si="4"/>
        <v>EC</v>
      </c>
      <c r="X10" s="22">
        <f t="shared" si="5"/>
        <v>152</v>
      </c>
      <c r="Y10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Arrival","project_id":79,"tracker_id":40,"status_id":1,"priority_id":2,"assigned_to_id":23,"start_date":"2017-08-26","description":"","custom_fields":[{"id":1,"name":"Subdivision","value":"EC"},{"id":4,"name":"Milepost","value":"5.8301"},{"id":17,"name":"Train ID","value":"152-26"},{"id":16,"name":"Locomotive ID","value":"4009"},{"id":130,"name":"Impact","value":""},{"id":150,"name":"Time of Event (Mountain Time)","value":"11:21:56"},{"id":151,"name":"Denver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/c/Users/stu/AppData/Local/Temp/OnboardLogs/RTDC4009 --include="*4009*201708261*"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"%USERPROFILE%\AppData\Local\Temp\OnboardLogs"\RTDC4009\*4009*201708261* &gt;&gt; 2017-08-26-SliceDisagreementCheck.txt</v>
      </c>
      <c r="AE10" s="145" t="str">
        <f t="shared" si="9"/>
        <v>start /low /b %USERPROFILE%\Documents\GitHub\eaglep3\Utilities\DownloadLogsFromS3.py --loco 4009 --day 2017-08-26</v>
      </c>
    </row>
    <row r="11" spans="1:32" s="1" customFormat="1" x14ac:dyDescent="0.25">
      <c r="A11" s="31">
        <v>42973.740324074075</v>
      </c>
      <c r="B11" s="30" t="s">
        <v>447</v>
      </c>
      <c r="C11" s="30" t="s">
        <v>579</v>
      </c>
      <c r="D11" s="30" t="s">
        <v>49</v>
      </c>
      <c r="E11" s="30" t="s">
        <v>187</v>
      </c>
      <c r="F11" s="42">
        <v>70</v>
      </c>
      <c r="G11" s="42">
        <v>156</v>
      </c>
      <c r="H11" s="42">
        <v>104698</v>
      </c>
      <c r="I11" s="42">
        <v>104517</v>
      </c>
      <c r="J11" s="30" t="s">
        <v>188</v>
      </c>
      <c r="K11" s="42">
        <v>103800</v>
      </c>
      <c r="L11" s="131" t="s">
        <v>51</v>
      </c>
      <c r="M11" s="132">
        <f t="shared" si="0"/>
        <v>378.57600000000002</v>
      </c>
      <c r="N11" s="133" t="str">
        <f>VLOOKUP(C11,'Trips&amp;Operators'!$C$1:$G$99911,5,FALSE)</f>
        <v>DAVIS MICHAEL</v>
      </c>
      <c r="O11" s="203" t="s">
        <v>180</v>
      </c>
      <c r="P11" s="134" t="s">
        <v>390</v>
      </c>
      <c r="Q11" s="30"/>
      <c r="R11" s="81" t="str">
        <f>VLOOKUP(C11,'Train Runs'!$A$13:$AE$9911,31,0)</f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S11" s="84" t="str">
        <f>VLOOKUP(C11,'Train Runs'!$A$13:$AE$9911,22,0)</f>
        <v>https://d0f6bd738d7f1b3e5a7ca70fe4ff75f0.us-east-1.aws.found.io/app/kibana#/discover/Steve-Slow-Train-Analysis-(2080s-and-2083s)?_g=(refreshInterval:(display:Off,pause:!f,section:0,value:0),time:(from:'2017-08-26T16:24:45-0600',mode:absolute,to:'2017-08-26T19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1" s="86" t="str">
        <f t="shared" si="1"/>
        <v>"C:\Program Files (x86)\AstroGrep\AstroGrep.exe" /e /r /s /spath="%USERPROFILE%\AppData\Local\Temp\OnboardLogs" /stypes="*4065*201708262*"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4065</v>
      </c>
      <c r="V11" s="31">
        <f t="shared" si="3"/>
        <v>42973.990324074075</v>
      </c>
      <c r="W11" s="45" t="str">
        <f t="shared" si="4"/>
        <v>EC</v>
      </c>
      <c r="X11" s="22">
        <f t="shared" si="5"/>
        <v>204</v>
      </c>
      <c r="Y11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Arrival","project_id":79,"tracker_id":40,"status_id":1,"priority_id":2,"assigned_to_id":23,"start_date":"2017-08-26","description":"","custom_fields":[{"id":1,"name":"Subdivision","value":"EC"},{"id":4,"name":"Milepost","value":"10.38"},{"id":17,"name":"Train ID","value":"204-26"},{"id":16,"name":"Locomotive ID","value":"4065"},{"id":130,"name":"Impact","value":""},{"id":150,"name":"Time of Event (Mountain Time)","value":"17:46:04"},{"id":151,"name":"Denver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/c/Users/stu/AppData/Local/Temp/OnboardLogs/RTDC4065 --include="*4065*201708262*"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"%USERPROFILE%\AppData\Local\Temp\OnboardLogs"\RTDC4065\*4065*201708262* &gt;&gt; 2017-08-26-SliceDisagreementCheck.txt</v>
      </c>
      <c r="AE11" s="145" t="str">
        <f t="shared" si="9"/>
        <v>start /low /b %USERPROFILE%\Documents\GitHub\eaglep3\Utilities\DownloadLogsFromS3.py --loco 4065 --day 2017-08-26</v>
      </c>
    </row>
    <row r="12" spans="1:32" x14ac:dyDescent="0.25">
      <c r="A12" s="31">
        <v>42973.802523148152</v>
      </c>
      <c r="B12" s="30" t="s">
        <v>577</v>
      </c>
      <c r="C12" s="30" t="s">
        <v>581</v>
      </c>
      <c r="D12" s="30" t="s">
        <v>49</v>
      </c>
      <c r="E12" s="30" t="s">
        <v>187</v>
      </c>
      <c r="F12" s="42">
        <v>500</v>
      </c>
      <c r="G12" s="42">
        <v>555</v>
      </c>
      <c r="H12" s="42">
        <v>105546</v>
      </c>
      <c r="I12" s="42">
        <v>103748</v>
      </c>
      <c r="J12" s="30" t="s">
        <v>188</v>
      </c>
      <c r="K12" s="42">
        <v>103800</v>
      </c>
      <c r="L12" s="131" t="s">
        <v>51</v>
      </c>
      <c r="M12" s="132">
        <f t="shared" si="0"/>
        <v>-27.456</v>
      </c>
      <c r="N12" s="133" t="str">
        <f>VLOOKUP(C12,'Trips&amp;Operators'!$C$1:$G$99911,5,FALSE)</f>
        <v>HOLCOMB KAMDEN</v>
      </c>
      <c r="O12" s="203" t="s">
        <v>180</v>
      </c>
      <c r="P12" s="134" t="s">
        <v>390</v>
      </c>
      <c r="Q12" s="30"/>
      <c r="R12" s="81" t="str">
        <f>VLOOKUP(C12,'Train Runs'!$A$13:$AE$9911,31,0)</f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S12" s="84" t="str">
        <f>VLOOKUP(C12,'Train Runs'!$A$13:$AE$9911,22,0)</f>
        <v>https://d0f6bd738d7f1b3e5a7ca70fe4ff75f0.us-east-1.aws.found.io/app/kibana#/discover/Steve-Slow-Train-Analysis-(2080s-and-2083s)?_g=(refreshInterval:(display:Off,pause:!f,section:0,value:0),time:(from:'2017-08-26T17:51:20-0600',mode:absolute,to:'2017-08-26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2" s="86" t="str">
        <f t="shared" si="1"/>
        <v>"C:\Program Files (x86)\AstroGrep\AstroGrep.exe" /e /r /s /spath="%USERPROFILE%\AppData\Local\Temp\OnboardLogs" /stypes="*4061*201708270*"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4061</v>
      </c>
      <c r="V12" s="31">
        <f t="shared" si="3"/>
        <v>42974.052523148152</v>
      </c>
      <c r="W12" s="45" t="str">
        <f t="shared" si="4"/>
        <v>EC</v>
      </c>
      <c r="X12" s="22">
        <f t="shared" si="5"/>
        <v>216</v>
      </c>
      <c r="Y12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Arrival","project_id":79,"tracker_id":40,"status_id":1,"priority_id":2,"assigned_to_id":23,"start_date":"2017-08-26","description":"","custom_fields":[{"id":1,"name":"Subdivision","value":"EC"},{"id":4,"name":"Milepost","value":"10.38"},{"id":17,"name":"Train ID","value":"216-26"},{"id":16,"name":"Locomotive ID","value":"4061"},{"id":130,"name":"Impact","value":""},{"id":150,"name":"Time of Event (Mountain Time)","value":"19:15:38"},{"id":151,"name":"Denver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/c/Users/stu/AppData/Local/Temp/OnboardLogs/RTDC4061 --include="*4061*201708270*"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"%USERPROFILE%\AppData\Local\Temp\OnboardLogs"\RTDC4061\*4061*201708270* &gt;&gt; 2017-08-26-SliceDisagreementCheck.txt</v>
      </c>
      <c r="AE12" s="145" t="str">
        <f t="shared" si="9"/>
        <v>start /low /b %USERPROFILE%\Documents\GitHub\eaglep3\Utilities\DownloadLogsFromS3.py --loco 4061 --day 2017-08-27</v>
      </c>
      <c r="AF12" s="1"/>
    </row>
    <row r="13" spans="1:32" x14ac:dyDescent="0.25">
      <c r="A13" s="31">
        <v>42973.824062500003</v>
      </c>
      <c r="B13" s="30" t="s">
        <v>582</v>
      </c>
      <c r="C13" s="30" t="s">
        <v>583</v>
      </c>
      <c r="D13" s="30" t="s">
        <v>49</v>
      </c>
      <c r="E13" s="30" t="s">
        <v>187</v>
      </c>
      <c r="F13" s="42">
        <v>330</v>
      </c>
      <c r="G13" s="42">
        <v>405</v>
      </c>
      <c r="H13" s="42">
        <v>110358</v>
      </c>
      <c r="I13" s="42">
        <v>109053</v>
      </c>
      <c r="J13" s="30" t="s">
        <v>188</v>
      </c>
      <c r="K13" s="42">
        <v>109135</v>
      </c>
      <c r="L13" s="131" t="s">
        <v>51</v>
      </c>
      <c r="M13" s="132">
        <f t="shared" si="0"/>
        <v>-43.296000000000006</v>
      </c>
      <c r="N13" s="133" t="str">
        <f>VLOOKUP(C13,'Trips&amp;Operators'!$C$1:$G$99911,5,FALSE)</f>
        <v>FORTUNATO FRANK</v>
      </c>
      <c r="O13" s="203" t="s">
        <v>180</v>
      </c>
      <c r="P13" s="134" t="s">
        <v>390</v>
      </c>
      <c r="Q13" s="30"/>
      <c r="R13" s="81" t="str">
        <f>VLOOKUP(C13,'Train Runs'!$A$13:$AE$9911,31,0)</f>
        <v>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 &amp; 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</v>
      </c>
      <c r="S13" s="84" t="str">
        <f>VLOOKUP(C13,'Train Runs'!$A$13:$AE$9911,22,0)</f>
        <v>https://d0f6bd738d7f1b3e5a7ca70fe4ff75f0.us-east-1.aws.found.io/app/kibana#/discover/Steve-Slow-Train-Analysis-(2080s-and-2083s)?_g=(refreshInterval:(display:Off,pause:!f,section:0,value:0),time:(from:'2017-08-26T18:12:58-0600',mode:absolute,to:'2017-08-26T21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/stypes="*4043*201708270*"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42974.074062500003</v>
      </c>
      <c r="W13" s="45" t="str">
        <f t="shared" si="4"/>
        <v>EC</v>
      </c>
      <c r="X13" s="22">
        <f t="shared" si="5"/>
        <v>220</v>
      </c>
      <c r="Y13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Arrival","project_id":79,"tracker_id":40,"status_id":1,"priority_id":2,"assigned_to_id":23,"start_date":"2017-08-26","description":"","custom_fields":[{"id":1,"name":"Subdivision","value":"EC"},{"id":4,"name":"Milepost","value":"10.9135"},{"id":17,"name":"Train ID","value":"220-26"},{"id":16,"name":"Locomotive ID","value":"4043"},{"id":130,"name":"Impact","value":""},{"id":150,"name":"Time of Event (Mountain Time)","value":"19:46:39"},{"id":151,"name":"Denver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/c/Users/stu/AppData/Local/Temp/OnboardLogs/RTDC4043 --include="*4043*201708270*"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"%USERPROFILE%\AppData\Local\Temp\OnboardLogs"\RTDC4043\*4043*201708270* &gt;&gt; 2017-08-26-SliceDisagreementCheck.txt</v>
      </c>
      <c r="AE13" s="145" t="str">
        <f t="shared" si="9"/>
        <v>start /low /b %USERPROFILE%\Documents\GitHub\eaglep3\Utilities\DownloadLogsFromS3.py --loco 4043 --day 2017-08-27</v>
      </c>
      <c r="AF13" s="1"/>
    </row>
    <row r="14" spans="1:32" x14ac:dyDescent="0.25">
      <c r="A14" s="31">
        <v>42973.400092592594</v>
      </c>
      <c r="B14" s="30" t="s">
        <v>446</v>
      </c>
      <c r="C14" s="30" t="s">
        <v>567</v>
      </c>
      <c r="D14" s="30" t="s">
        <v>96</v>
      </c>
      <c r="E14" s="30" t="s">
        <v>195</v>
      </c>
      <c r="F14" s="42">
        <v>300</v>
      </c>
      <c r="G14" s="42">
        <v>355</v>
      </c>
      <c r="H14" s="42">
        <v>20358</v>
      </c>
      <c r="I14" s="42">
        <v>21177</v>
      </c>
      <c r="J14" s="30" t="s">
        <v>196</v>
      </c>
      <c r="K14" s="42">
        <v>20338</v>
      </c>
      <c r="L14" s="131" t="s">
        <v>50</v>
      </c>
      <c r="M14" s="132">
        <f t="shared" si="0"/>
        <v>-442.99200000000002</v>
      </c>
      <c r="N14" s="133" t="str">
        <f>VLOOKUP(C14,'Trips&amp;Operators'!$C$1:$G$99911,5,FALSE)</f>
        <v>DAVIS WENDY</v>
      </c>
      <c r="O14" s="203" t="s">
        <v>180</v>
      </c>
      <c r="P14" s="134"/>
      <c r="Q14" s="30"/>
      <c r="R14" s="81" t="str">
        <f>VLOOKUP(C14,'Train Runs'!$A$13:$AE$9911,31,0)</f>
        <v>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 &amp; aws s3 cp s3://rtdc.mdm.uploadarchive.raw/RTDC4066/ "%USERPROFILE%\AppData\Local\Temp\OnboardLogs"\RTDC4066\2017-08-27 --exclude "*" --recursive --include "*20170827*" &amp; "%USERPROFILE%\Documents\GitHub\mrs-test-scripts\Headless Mode &amp; Sideloading\WalkAndUnGZ.bat" "%USERPROFILE%\AppData\Local\Temp\OnboardLogs"\RTDC4066\2017-08-27</v>
      </c>
      <c r="S14" s="84" t="str">
        <f>VLOOKUP(C14,'Train Runs'!$A$13:$AE$9911,22,0)</f>
        <v>https://d0f6bd738d7f1b3e5a7ca70fe4ff75f0.us-east-1.aws.found.io/app/kibana#/discover/Steve-Slow-Train-Analysis-(2080s-and-2083s)?_g=(refreshInterval:(display:Off,pause:!f,section:0,value:0),time:(from:'2017-08-26T08:23:28-0600',mode:absolute,to:'2017-08-26T11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4" s="86" t="str">
        <f t="shared" si="1"/>
        <v>"C:\Program Files (x86)\AstroGrep\AstroGrep.exe" /e /r /s /spath="%USERPROFILE%\AppData\Local\Temp\OnboardLogs" /stypes="*4066*201708261*"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4066</v>
      </c>
      <c r="V14" s="31">
        <f t="shared" si="3"/>
        <v>42973.650092592594</v>
      </c>
      <c r="W14" s="45" t="str">
        <f t="shared" si="4"/>
        <v>EC</v>
      </c>
      <c r="X14" s="22">
        <f t="shared" si="5"/>
        <v>147</v>
      </c>
      <c r="Y14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{"issue":{"subject":"","project_id":79,"tracker_id":40,"status_id":1,"priority_id":2,"assigned_to_id":23,"start_date":"2017-08-26","description":"","custom_fields":[{"id":1,"name":"Subdivision","value":"EC"},{"id":4,"name":"Milepost","value":"2.0338"},{"id":17,"name":"Train ID","value":"147-26"},{"id":16,"name":"Locomotive ID","value":"4066"},{"id":130,"name":"Impact","value":""},{"id":150,"name":"Time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/c/Users/stu/AppData/Local/Temp/OnboardLogs/RTDC4066 --include="*4066*201708261*"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"%USERPROFILE%\AppData\Local\Temp\OnboardLogs"\RTDC4066\*4066*201708261* &gt;&gt; 2017-08-26-SliceDisagreementCheck.txt</v>
      </c>
      <c r="AE14" s="145" t="str">
        <f t="shared" si="9"/>
        <v>start /low /b %USERPROFILE%\Documents\GitHub\eaglep3\Utilities\DownloadLogsFromS3.py --loco 4066 --day 2017-08-26</v>
      </c>
      <c r="AF14" s="1"/>
    </row>
    <row r="15" spans="1:32" x14ac:dyDescent="0.25">
      <c r="A15" s="31">
        <v>42973.562094907407</v>
      </c>
      <c r="B15" s="30" t="s">
        <v>489</v>
      </c>
      <c r="C15" s="30" t="s">
        <v>572</v>
      </c>
      <c r="D15" s="30" t="s">
        <v>49</v>
      </c>
      <c r="E15" s="30" t="s">
        <v>195</v>
      </c>
      <c r="F15" s="42">
        <v>300</v>
      </c>
      <c r="G15" s="42">
        <v>410</v>
      </c>
      <c r="H15" s="42">
        <v>23185</v>
      </c>
      <c r="I15" s="42">
        <v>21863</v>
      </c>
      <c r="J15" s="30" t="s">
        <v>196</v>
      </c>
      <c r="K15" s="42">
        <v>21848</v>
      </c>
      <c r="L15" s="131" t="s">
        <v>51</v>
      </c>
      <c r="M15" s="132">
        <f t="shared" si="0"/>
        <v>7.92</v>
      </c>
      <c r="N15" s="133" t="str">
        <f>VLOOKUP(C15,'Trips&amp;Operators'!$C$1:$G$99911,5,FALSE)</f>
        <v>BERLING GARY</v>
      </c>
      <c r="O15" s="203" t="s">
        <v>180</v>
      </c>
      <c r="P15" s="134"/>
      <c r="Q15" s="30"/>
      <c r="R15" s="81" t="str">
        <f>VLOOKUP(C15,'Train Runs'!$A$13:$AE$9911,31,0)</f>
        <v>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 &amp; aws s3 cp s3://rtdc.mdm.uploadarchive.raw/RTDC4007/ "%USERPROFILE%\AppData\Local\Temp\OnboardLogs"\RTDC4007\2017-08-27 --exclude "*" --recursive --include "*20170827*" &amp; "%USERPROFILE%\Documents\GitHub\mrs-test-scripts\Headless Mode &amp; Sideloading\WalkAndUnGZ.bat" "%USERPROFILE%\AppData\Local\Temp\OnboardLogs"\RTDC4007\2017-08-27</v>
      </c>
      <c r="S15" s="84" t="str">
        <f>VLOOKUP(C15,'Train Runs'!$A$13:$AE$9911,22,0)</f>
        <v>https://d0f6bd738d7f1b3e5a7ca70fe4ff75f0.us-east-1.aws.found.io/app/kibana#/discover/Steve-Slow-Train-Analysis-(2080s-and-2083s)?_g=(refreshInterval:(display:Off,pause:!f,section:0,value:0),time:(from:'2017-08-26T11:49:37-0600',mode:absolute,to:'2017-08-26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6" t="str">
        <f t="shared" si="1"/>
        <v>"C:\Program Files (x86)\AstroGrep\AstroGrep.exe" /e /r /s /spath="%USERPROFILE%\AppData\Local\Temp\OnboardLogs" /stypes="*4007*201708261*"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4007</v>
      </c>
      <c r="V15" s="31">
        <f t="shared" si="3"/>
        <v>42973.812094907407</v>
      </c>
      <c r="W15" s="45" t="str">
        <f t="shared" si="4"/>
        <v>EC</v>
      </c>
      <c r="X15" s="22">
        <f t="shared" si="5"/>
        <v>168</v>
      </c>
      <c r="Y15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{"issue":{"subject":"","project_id":79,"tracker_id":40,"status_id":1,"priority_id":2,"assigned_to_id":23,"start_date":"2017-08-26","description":"","custom_fields":[{"id":1,"name":"Subdivision","value":"EC"},{"id":4,"name":"Milepost","value":"2.1848"},{"id":17,"name":"Train ID","value":"168-26"},{"id":16,"name":"Locomotive ID","value":"4007"},{"id":130,"name":"Impact","value":""},{"id":150,"name":"Time of Event (Mountain Time)","value":"13:29:25"},{"id":151,"name":"Denver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/c/Users/stu/AppData/Local/Temp/OnboardLogs/RTDC4007 --include="*4007*201708261*"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"%USERPROFILE%\AppData\Local\Temp\OnboardLogs"\RTDC4007\*4007*201708261* &gt;&gt; 2017-08-26-SliceDisagreementCheck.txt</v>
      </c>
      <c r="AE15" s="145" t="str">
        <f t="shared" si="9"/>
        <v>start /low /b %USERPROFILE%\Documents\GitHub\eaglep3\Utilities\DownloadLogsFromS3.py --loco 4007 --day 2017-08-26</v>
      </c>
      <c r="AF15" s="1"/>
    </row>
    <row r="16" spans="1:32" x14ac:dyDescent="0.25">
      <c r="A16" s="31">
        <v>42973.727453703701</v>
      </c>
      <c r="B16" s="30" t="s">
        <v>577</v>
      </c>
      <c r="C16" s="30" t="s">
        <v>578</v>
      </c>
      <c r="D16" s="30" t="s">
        <v>49</v>
      </c>
      <c r="E16" s="30" t="s">
        <v>195</v>
      </c>
      <c r="F16" s="42">
        <v>400</v>
      </c>
      <c r="G16" s="42">
        <v>576</v>
      </c>
      <c r="H16" s="42">
        <v>122587</v>
      </c>
      <c r="I16" s="42">
        <v>120657</v>
      </c>
      <c r="J16" s="30" t="s">
        <v>196</v>
      </c>
      <c r="K16" s="42">
        <v>119716</v>
      </c>
      <c r="L16" s="131" t="s">
        <v>51</v>
      </c>
      <c r="M16" s="132">
        <f t="shared" si="0"/>
        <v>496.84800000000001</v>
      </c>
      <c r="N16" s="133" t="str">
        <f>VLOOKUP(C16,'Trips&amp;Operators'!$C$1:$G$99911,5,FALSE)</f>
        <v>HOLCOMB KAMDEN</v>
      </c>
      <c r="O16" s="203" t="s">
        <v>180</v>
      </c>
      <c r="P16" s="134"/>
      <c r="Q16" s="30"/>
      <c r="R16" s="81" t="str">
        <f>VLOOKUP(C16,'Train Runs'!$A$13:$AE$9911,31,0)</f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S16" s="84" t="str">
        <f>VLOOKUP(C16,'Train Runs'!$A$13:$AE$9911,22,0)</f>
        <v>https://d0f6bd738d7f1b3e5a7ca70fe4ff75f0.us-east-1.aws.found.io/app/kibana#/discover/Steve-Slow-Train-Analysis-(2080s-and-2083s)?_g=(refreshInterval:(display:Off,pause:!f,section:0,value:0),time:(from:'2017-08-26T16:07:46-0600',mode:absolute,to:'2017-08-26T18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6" s="86" t="str">
        <f t="shared" si="1"/>
        <v>"C:\Program Files (x86)\AstroGrep\AstroGrep.exe" /e /r /s /spath="%USERPROFILE%\AppData\Local\Temp\OnboardLogs" /stypes="*4061*201708262*"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4061</v>
      </c>
      <c r="V16" s="31">
        <f t="shared" si="3"/>
        <v>42973.977453703701</v>
      </c>
      <c r="W16" s="45" t="str">
        <f t="shared" si="4"/>
        <v>EC</v>
      </c>
      <c r="X16" s="22">
        <f t="shared" si="5"/>
        <v>202</v>
      </c>
      <c r="Y16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{"issue":{"subject":"","project_id":79,"tracker_id":40,"status_id":1,"priority_id":2,"assigned_to_id":23,"start_date":"2017-08-26","description":"","custom_fields":[{"id":1,"name":"Subdivision","value":"EC"},{"id":4,"name":"Milepost","value":"11.9716"},{"id":17,"name":"Train ID","value":"202-26"},{"id":16,"name":"Locomotive ID","value":"4061"},{"id":130,"name":"Impact","value":""},{"id":150,"name":"Time of Event (Mountain Time)","value":"17:27:32"},{"id":151,"name":"Denver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/c/Users/stu/AppData/Local/Temp/OnboardLogs/RTDC4061 --include="*4061*201708262*"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"%USERPROFILE%\AppData\Local\Temp\OnboardLogs"\RTDC4061\*4061*201708262* &gt;&gt; 2017-08-26-SliceDisagreementCheck.txt</v>
      </c>
      <c r="AE16" s="145" t="str">
        <f t="shared" si="9"/>
        <v>start /low /b %USERPROFILE%\Documents\GitHub\eaglep3\Utilities\DownloadLogsFromS3.py --loco 4061 --day 2017-08-26</v>
      </c>
      <c r="AF16" s="1"/>
    </row>
    <row r="17" spans="1:32" x14ac:dyDescent="0.25">
      <c r="A17" s="31">
        <v>42973.246446759258</v>
      </c>
      <c r="B17" s="30" t="s">
        <v>413</v>
      </c>
      <c r="C17" s="30" t="s">
        <v>564</v>
      </c>
      <c r="D17" s="30" t="s">
        <v>96</v>
      </c>
      <c r="E17" s="30" t="s">
        <v>195</v>
      </c>
      <c r="F17" s="42">
        <v>600</v>
      </c>
      <c r="G17" s="42">
        <v>651</v>
      </c>
      <c r="H17" s="42">
        <v>125911</v>
      </c>
      <c r="I17" s="42">
        <v>128160</v>
      </c>
      <c r="J17" s="30" t="s">
        <v>196</v>
      </c>
      <c r="K17" s="42">
        <v>119716</v>
      </c>
      <c r="L17" s="131" t="s">
        <v>50</v>
      </c>
      <c r="M17" s="132">
        <f t="shared" si="0"/>
        <v>-4458.4319999999998</v>
      </c>
      <c r="N17" s="133" t="str">
        <f>VLOOKUP(C17,'Trips&amp;Operators'!$C$1:$G$99911,5,FALSE)</f>
        <v>WILLIAMS DONTE</v>
      </c>
      <c r="O17" s="203" t="s">
        <v>180</v>
      </c>
      <c r="P17" s="134"/>
      <c r="Q17" s="30"/>
      <c r="R17" s="81" t="str">
        <f>VLOOKUP(C17,'Train Runs'!$A$13:$AE$9911,31,0)</f>
        <v>aws s3 cp s3://rtdc.mdm.uploadarchive.raw/RTDC4040/ "%USERPROFILE%\AppData\Local\Temp\OnboardLogs"\RTDC4040\2017-08-26 --exclude "*" --recursive --include "*20170826*" &amp; "%USERPROFILE%\Documents\GitHub\mrs-test-scripts\Headless Mode &amp; Sideloading\WalkAndUnGZ.bat" "%USERPROFILE%\AppData\Local\Temp\OnboardLogs"\RTDC4040\2017-08-26 &amp; aws s3 cp s3://rtdc.mdm.uploadarchive.raw/RTDC4040/ "%USERPROFILE%\AppData\Local\Temp\OnboardLogs"\RTDC4040\2017-08-27 --exclude "*" --recursive --include "*20170827*" &amp; "%USERPROFILE%\Documents\GitHub\mrs-test-scripts\Headless Mode &amp; Sideloading\WalkAndUnGZ.bat" "%USERPROFILE%\AppData\Local\Temp\OnboardLogs"\RTDC4040\2017-08-27</v>
      </c>
      <c r="S17" s="84" t="str">
        <f>VLOOKUP(C17,'Train Runs'!$A$13:$AE$9911,22,0)</f>
        <v>https://d0f6bd738d7f1b3e5a7ca70fe4ff75f0.us-east-1.aws.found.io/app/kibana#/discover/Steve-Slow-Train-Analysis-(2080s-and-2083s)?_g=(refreshInterval:(display:Off,pause:!f,section:0,value:0),time:(from:'2017-08-26T04:26:46-0600',mode:absolute,to:'2017-08-26T07:12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7" s="86" t="str">
        <f t="shared" si="1"/>
        <v>"C:\Program Files (x86)\AstroGrep\AstroGrep.exe" /e /r /s /spath="%USERPROFILE%\AppData\Local\Temp\OnboardLogs" /stypes="*4040*201708261*"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4040</v>
      </c>
      <c r="V17" s="31">
        <f t="shared" si="3"/>
        <v>42973.496446759258</v>
      </c>
      <c r="W17" s="45" t="str">
        <f t="shared" si="4"/>
        <v>EC</v>
      </c>
      <c r="X17" s="22">
        <f t="shared" si="5"/>
        <v>115</v>
      </c>
      <c r="Y17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{"issue":{"subject":"","project_id":79,"tracker_id":40,"status_id":1,"priority_id":2,"assigned_to_id":23,"start_date":"2017-08-26","description":"","custom_fields":[{"id":1,"name":"Subdivision","value":"EC"},{"id":4,"name":"Milepost","value":"11.9716"},{"id":17,"name":"Train ID","value":"115-26"},{"id":16,"name":"Locomotive ID","value":"4040"},{"id":130,"name":"Impact","value":""},{"id":150,"name":"Time of Event (Mountain Time)","value":"05:54:53"},{"id":151,"name":"Denver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/c/Users/stu/AppData/Local/Temp/OnboardLogs/RTDC4040 --include="*4040*201708261*"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"%USERPROFILE%\AppData\Local\Temp\OnboardLogs"\RTDC4040\*4040*201708261* &gt;&gt; 2017-08-26-SliceDisagreementCheck.txt</v>
      </c>
      <c r="AE17" s="145" t="str">
        <f t="shared" si="9"/>
        <v>start /low /b %USERPROFILE%\Documents\GitHub\eaglep3\Utilities\DownloadLogsFromS3.py --loco 4040 --day 2017-08-26</v>
      </c>
      <c r="AF17" s="1"/>
    </row>
    <row r="18" spans="1:32" x14ac:dyDescent="0.25">
      <c r="A18" s="31">
        <v>42974.042800925927</v>
      </c>
      <c r="B18" s="30" t="s">
        <v>565</v>
      </c>
      <c r="C18" s="30" t="s">
        <v>585</v>
      </c>
      <c r="D18" s="30" t="s">
        <v>49</v>
      </c>
      <c r="E18" s="30" t="s">
        <v>195</v>
      </c>
      <c r="F18" s="42">
        <v>600</v>
      </c>
      <c r="G18" s="42">
        <v>680</v>
      </c>
      <c r="H18" s="42">
        <v>182601</v>
      </c>
      <c r="I18" s="42">
        <v>185090</v>
      </c>
      <c r="J18" s="30" t="s">
        <v>196</v>
      </c>
      <c r="K18" s="42">
        <v>183829</v>
      </c>
      <c r="L18" s="131" t="s">
        <v>50</v>
      </c>
      <c r="M18" s="132">
        <f t="shared" si="0"/>
        <v>-665.80799999999988</v>
      </c>
      <c r="N18" s="133" t="str">
        <f>VLOOKUP(C18,'Trips&amp;Operators'!$C$1:$G$99911,5,FALSE)</f>
        <v>FORTUNATO FRANK</v>
      </c>
      <c r="O18" s="203" t="s">
        <v>180</v>
      </c>
      <c r="P18" s="134"/>
      <c r="Q18" s="30"/>
      <c r="R18" s="81" t="str">
        <f>VLOOKUP(C18,'Train Runs'!$A$13:$AE$9911,31,0)</f>
        <v>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 &amp; aws s3 cp s3://rtdc.mdm.uploadarchive.raw/RTDC4062/ "%USERPROFILE%\AppData\Local\Temp\OnboardLogs"\RTDC4062\2017-08-28 --exclude "*" --recursive --include "*20170828*" &amp; "%USERPROFILE%\Documents\GitHub\mrs-test-scripts\Headless Mode &amp; Sideloading\WalkAndUnGZ.bat" "%USERPROFILE%\AppData\Local\Temp\OnboardLogs"\RTDC4062\2017-08-28</v>
      </c>
      <c r="S18" s="84" t="str">
        <f>VLOOKUP(C18,'Train Runs'!$A$13:$AE$9911,22,0)</f>
        <v>https://d0f6bd738d7f1b3e5a7ca70fe4ff75f0.us-east-1.aws.found.io/app/kibana#/discover/Steve-Slow-Train-Analysis-(2080s-and-2083s)?_g=(refreshInterval:(display:Off,pause:!f,section:0,value:0),time:(from:'2017-08-26T23:14:05-0600',mode:absolute,to:'2017-08-27T02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8" s="86" t="str">
        <f t="shared" si="1"/>
        <v>"C:\Program Files (x86)\AstroGrep\AstroGrep.exe" /e /r /s /spath="%USERPROFILE%\AppData\Local\Temp\OnboardLogs" /stypes="*4062*201708270*" /stext=" 07:.+((SYSTEM_STATE.+slice.+state.+changed )|(ment ac)|(multiple cpu faults)|(system.+state.+changed )|(\[timeout)|(PRM\|1\|D)|(kpr)|(kdp)|(train st.+moving)|(\|lc)|(penalty))"</v>
      </c>
      <c r="U18" s="9" t="str">
        <f t="shared" si="2"/>
        <v>4062</v>
      </c>
      <c r="V18" s="31">
        <f t="shared" si="3"/>
        <v>42974.292800925927</v>
      </c>
      <c r="W18" s="45" t="str">
        <f t="shared" si="4"/>
        <v>EC</v>
      </c>
      <c r="X18" s="22">
        <f t="shared" si="5"/>
        <v>243</v>
      </c>
      <c r="Y18" s="96" t="str">
        <f t="shared" si="6"/>
        <v>echo {"issue":{"subject":"","project_id":79,"tracker_id":40,"status_id":1,"priority_id":2,"assigned_to_id":23,"start_date":"2017-08-27","description":"","custom_fields":[{"id":1,"name":"Subdivision","value":"EC"},{"id":4,"name":"Milepost","value":"18.3829"},{"id":17,"name":"Train ID","value":"243-26"},{"id":16,"name":"Locomotive ID","value":"4062"},{"id":130,"name":"Impact","value":""},{"id":150,"name":"Time of Event (Mountain Time)","value":"01:01:38"},{"id":151,"name":"Denver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/c/Users/stu/AppData/Local/Temp/OnboardLogs/RTDC4062 --include="*4062*201708270*"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"%USERPROFILE%\AppData\Local\Temp\OnboardLogs"\RTDC4062\*4062*201708270* &gt;&gt; 2017-08-26-SliceDisagreementCheck.txt</v>
      </c>
      <c r="AE18" s="145" t="str">
        <f t="shared" si="9"/>
        <v>start /low /b %USERPROFILE%\Documents\GitHub\eaglep3\Utilities\DownloadLogsFromS3.py --loco 4062 --day 2017-08-27</v>
      </c>
      <c r="AF18" s="1"/>
    </row>
    <row r="19" spans="1:32" x14ac:dyDescent="0.25">
      <c r="A19" s="31">
        <v>42974.046724537038</v>
      </c>
      <c r="B19" s="30" t="s">
        <v>565</v>
      </c>
      <c r="C19" s="30" t="s">
        <v>585</v>
      </c>
      <c r="D19" s="30" t="s">
        <v>96</v>
      </c>
      <c r="E19" s="30" t="s">
        <v>195</v>
      </c>
      <c r="F19" s="42">
        <v>350</v>
      </c>
      <c r="G19" s="42">
        <v>405</v>
      </c>
      <c r="H19" s="42">
        <v>228997</v>
      </c>
      <c r="I19" s="42">
        <v>230000</v>
      </c>
      <c r="J19" s="30" t="s">
        <v>196</v>
      </c>
      <c r="K19" s="42">
        <v>224578</v>
      </c>
      <c r="L19" s="131" t="s">
        <v>50</v>
      </c>
      <c r="M19" s="132">
        <f t="shared" si="0"/>
        <v>-2862.8159999999998</v>
      </c>
      <c r="N19" s="133" t="str">
        <f>VLOOKUP(C19,'Trips&amp;Operators'!$C$1:$G$99911,5,FALSE)</f>
        <v>FORTUNATO FRANK</v>
      </c>
      <c r="O19" s="203" t="s">
        <v>180</v>
      </c>
      <c r="P19" s="134"/>
      <c r="Q19" s="30"/>
      <c r="R19" s="81" t="str">
        <f>VLOOKUP(C19,'Train Runs'!$A$13:$AE$9911,31,0)</f>
        <v>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 &amp; aws s3 cp s3://rtdc.mdm.uploadarchive.raw/RTDC4062/ "%USERPROFILE%\AppData\Local\Temp\OnboardLogs"\RTDC4062\2017-08-28 --exclude "*" --recursive --include "*20170828*" &amp; "%USERPROFILE%\Documents\GitHub\mrs-test-scripts\Headless Mode &amp; Sideloading\WalkAndUnGZ.bat" "%USERPROFILE%\AppData\Local\Temp\OnboardLogs"\RTDC4062\2017-08-28</v>
      </c>
      <c r="S19" s="84" t="str">
        <f>VLOOKUP(C19,'Train Runs'!$A$13:$AE$9911,22,0)</f>
        <v>https://d0f6bd738d7f1b3e5a7ca70fe4ff75f0.us-east-1.aws.found.io/app/kibana#/discover/Steve-Slow-Train-Analysis-(2080s-and-2083s)?_g=(refreshInterval:(display:Off,pause:!f,section:0,value:0),time:(from:'2017-08-26T23:14:05-0600',mode:absolute,to:'2017-08-27T02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86" t="str">
        <f t="shared" si="1"/>
        <v>"C:\Program Files (x86)\AstroGrep\AstroGrep.exe" /e /r /s /spath="%USERPROFILE%\AppData\Local\Temp\OnboardLogs" /stypes="*4062*201708270*"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42974.296724537038</v>
      </c>
      <c r="W19" s="45" t="str">
        <f t="shared" si="4"/>
        <v>EC</v>
      </c>
      <c r="X19" s="22">
        <f t="shared" si="5"/>
        <v>243</v>
      </c>
      <c r="Y19" s="96" t="str">
        <f t="shared" si="6"/>
        <v>echo {"issue":{"subject":"","project_id":79,"tracker_id":40,"status_id":1,"priority_id":2,"assigned_to_id":23,"start_date":"2017-08-27","description":"","custom_fields":[{"id":1,"name":"Subdivision","value":"EC"},{"id":4,"name":"Milepost","value":"22.4578"},{"id":17,"name":"Train ID","value":"243-26"},{"id":16,"name":"Locomotive ID","value":"4062"},{"id":130,"name":"Impact","value":""},{"id":150,"name":"Time of Event (Mountain Time)","value":"01:07:17"},{"id":151,"name":"Denver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/c/Users/stu/AppData/Local/Temp/OnboardLogs/RTDC4062 --include="*4062*201708270*"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"%USERPROFILE%\AppData\Local\Temp\OnboardLogs"\RTDC4062\*4062*201708270* &gt;&gt; 2017-08-26-SliceDisagreementCheck.txt</v>
      </c>
      <c r="AE19" s="145" t="str">
        <f t="shared" si="9"/>
        <v>start /low /b %USERPROFILE%\Documents\GitHub\eaglep3\Utilities\DownloadLogsFromS3.py --loco 4062 --day 2017-08-27</v>
      </c>
      <c r="AF19" s="1"/>
    </row>
    <row r="20" spans="1:32" x14ac:dyDescent="0.25">
      <c r="A20" s="31">
        <v>42973.688657407409</v>
      </c>
      <c r="B20" s="30" t="s">
        <v>565</v>
      </c>
      <c r="C20" s="30" t="s">
        <v>575</v>
      </c>
      <c r="D20" s="30" t="s">
        <v>49</v>
      </c>
      <c r="E20" s="30" t="s">
        <v>373</v>
      </c>
      <c r="F20" s="42">
        <v>0</v>
      </c>
      <c r="G20" s="42">
        <v>790</v>
      </c>
      <c r="H20" s="42">
        <v>80941</v>
      </c>
      <c r="I20" s="42">
        <v>85047</v>
      </c>
      <c r="J20" s="30" t="s">
        <v>374</v>
      </c>
      <c r="K20" s="42">
        <v>81738</v>
      </c>
      <c r="L20" s="131" t="s">
        <v>50</v>
      </c>
      <c r="M20" s="132">
        <f t="shared" si="0"/>
        <v>-1747.152</v>
      </c>
      <c r="N20" s="133" t="str">
        <f>VLOOKUP(C20,'Trips&amp;Operators'!$C$1:$G$99911,5,FALSE)</f>
        <v>HOLCOMB KAMDEN</v>
      </c>
      <c r="O20" s="203" t="s">
        <v>376</v>
      </c>
      <c r="P20" s="134" t="s">
        <v>442</v>
      </c>
      <c r="Q20" s="30"/>
      <c r="R20" s="81" t="str">
        <f>VLOOKUP(C20,'Train Runs'!$A$13:$AE$9911,31,0)</f>
        <v>aws s3 cp s3://rtdc.mdm.uploadarchive.raw/RTDC4062/ "%USERPROFILE%\AppData\Local\Temp\OnboardLogs"\RTDC4062\2017-08-26 --exclude "*" --recursive --include "*20170826*" &amp; "%USERPROFILE%\Documents\GitHub\mrs-test-scripts\Headless Mode &amp; Sideloading\WalkAndUnGZ.bat" "%USERPROFILE%\AppData\Local\Temp\OnboardLogs"\RTDC4062\2017-08-26 &amp; 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</v>
      </c>
      <c r="S20" s="84" t="str">
        <f>VLOOKUP(C20,'Train Runs'!$A$13:$AE$9911,22,0)</f>
        <v>https://d0f6bd738d7f1b3e5a7ca70fe4ff75f0.us-east-1.aws.found.io/app/kibana#/discover/Steve-Slow-Train-Analysis-(2080s-and-2083s)?_g=(refreshInterval:(display:Off,pause:!f,section:0,value:0),time:(from:'2017-08-26T15:10:53-0600',mode:absolute,to:'2017-08-26T17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0" s="86" t="str">
        <f t="shared" si="1"/>
        <v>"C:\Program Files (x86)\AstroGrep\AstroGrep.exe" /e /r /s /spath="%USERPROFILE%\AppData\Local\Temp\OnboardLogs" /stypes="*4062*201708262*"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4062</v>
      </c>
      <c r="V20" s="31">
        <f t="shared" si="3"/>
        <v>42973.938657407409</v>
      </c>
      <c r="W20" s="45" t="str">
        <f t="shared" si="4"/>
        <v>EC</v>
      </c>
      <c r="X20" s="22">
        <f t="shared" si="5"/>
        <v>201</v>
      </c>
      <c r="Y20" s="96" t="str">
        <f t="shared" si="6"/>
        <v>echo {"issue":{"subject":"Wi-MAX data drop","project_id":79,"tracker_id":40,"status_id":1,"priority_id":2,"assigned_to_id":23,"start_date":"2017-08-26","description":"","custom_fields":[{"id":1,"name":"Subdivision","value":"EC"},{"id":4,"name":"Milepost","value":"8.1738"},{"id":17,"name":"Train ID","value":"201-26"},{"id":16,"name":"Locomotive ID","value":"4062"},{"id":130,"name":"Impact","value":""},{"id":150,"name":"Time of Event (Mountain Time)","value":"16:31:40"},{"id":151,"name":"Denver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/c/Users/stu/AppData/Local/Temp/OnboardLogs/RTDC4062 --include="*4062*201708262*"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"%USERPROFILE%\AppData\Local\Temp\OnboardLogs"\RTDC4062\*4062*201708262* &gt;&gt; 2017-08-26-SliceDisagreementCheck.txt</v>
      </c>
      <c r="AE20" s="145" t="str">
        <f t="shared" si="9"/>
        <v>start /low /b %USERPROFILE%\Documents\GitHub\eaglep3\Utilities\DownloadLogsFromS3.py --loco 4062 --day 2017-08-26</v>
      </c>
      <c r="AF20" s="1"/>
    </row>
    <row r="21" spans="1:32" x14ac:dyDescent="0.25">
      <c r="A21" s="31">
        <v>42974.087372685186</v>
      </c>
      <c r="B21" s="30" t="s">
        <v>582</v>
      </c>
      <c r="C21" s="30" t="s">
        <v>587</v>
      </c>
      <c r="D21" s="30" t="s">
        <v>49</v>
      </c>
      <c r="E21" s="30" t="s">
        <v>373</v>
      </c>
      <c r="F21" s="42">
        <v>0</v>
      </c>
      <c r="G21" s="42">
        <v>577</v>
      </c>
      <c r="H21" s="42">
        <v>165937</v>
      </c>
      <c r="I21" s="42">
        <v>163615</v>
      </c>
      <c r="J21" s="30" t="s">
        <v>374</v>
      </c>
      <c r="K21" s="42">
        <v>162262</v>
      </c>
      <c r="L21" s="131" t="s">
        <v>51</v>
      </c>
      <c r="M21" s="132">
        <f t="shared" si="0"/>
        <v>714.38400000000001</v>
      </c>
      <c r="N21" s="133" t="str">
        <f>VLOOKUP(C21,'Trips&amp;Operators'!$C$1:$G$99911,5,FALSE)</f>
        <v>RESPASS AARON</v>
      </c>
      <c r="O21" s="203" t="s">
        <v>376</v>
      </c>
      <c r="P21" s="134" t="s">
        <v>442</v>
      </c>
      <c r="Q21" s="30"/>
      <c r="R21" s="81" t="str">
        <f>VLOOKUP(C21,'Train Runs'!$A$13:$AE$9911,31,0)</f>
        <v>aws s3 cp s3://rtdc.mdm.uploadarchive.raw/RTDC4043/ "%USERPROFILE%\AppData\Local\Temp\OnboardLogs"\RTDC4043\2017-08-27 --exclude "*" --recursive --include "*20170827*" &amp; "%USERPROFILE%\Documents\GitHub\mrs-test-scripts\Headless Mode &amp; Sideloading\WalkAndUnGZ.bat" "%USERPROFILE%\AppData\Local\Temp\OnboardLogs"\RTDC4043\2017-08-27 &amp; aws s3 cp s3://rtdc.mdm.uploadarchive.raw/RTDC4043/ "%USERPROFILE%\AppData\Local\Temp\OnboardLogs"\RTDC4043\2017-08-28 --exclude "*" --recursive --include "*20170828*" &amp; "%USERPROFILE%\Documents\GitHub\mrs-test-scripts\Headless Mode &amp; Sideloading\WalkAndUnGZ.bat" "%USERPROFILE%\AppData\Local\Temp\OnboardLogs"\RTDC4043\2017-08-28</v>
      </c>
      <c r="S21" s="84" t="str">
        <f>VLOOKUP(C21,'Train Runs'!$A$13:$AE$9911,22,0)</f>
        <v>https://d0f6bd738d7f1b3e5a7ca70fe4ff75f0.us-east-1.aws.found.io/app/kibana#/discover/Steve-Slow-Train-Analysis-(2080s-and-2083s)?_g=(refreshInterval:(display:Off,pause:!f,section:0,value:0),time:(from:'2017-08-27T01:08:34-0600',mode:absolute,to:'2017-08-27T03:46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86" t="str">
        <f t="shared" si="1"/>
        <v>"C:\Program Files (x86)\AstroGrep\AstroGrep.exe" /e /r /s /spath="%USERPROFILE%\AppData\Local\Temp\OnboardLogs" /stypes="*4043*201708270*" /stext=" 08:.+((SYSTEM_STATE.+slice.+state.+changed )|(ment ac)|(multiple cpu faults)|(system.+state.+changed )|(\[timeout)|(PRM\|1\|D)|(kpr)|(kdp)|(train st.+moving)|(\|lc)|(penalty))"</v>
      </c>
      <c r="U21" s="9" t="str">
        <f t="shared" si="2"/>
        <v>4043</v>
      </c>
      <c r="V21" s="31">
        <f t="shared" si="3"/>
        <v>42974.337372685186</v>
      </c>
      <c r="W21" s="45" t="str">
        <f t="shared" si="4"/>
        <v>EC</v>
      </c>
      <c r="X21" s="22">
        <f t="shared" si="5"/>
        <v>246</v>
      </c>
      <c r="Y21" s="96" t="str">
        <f t="shared" si="6"/>
        <v>echo {"issue":{"subject":"Wi-MAX data drop","project_id":79,"tracker_id":40,"status_id":1,"priority_id":2,"assigned_to_id":23,"start_date":"2017-08-27","description":"","custom_fields":[{"id":1,"name":"Subdivision","value":"EC"},{"id":4,"name":"Milepost","value":"16.2262"},{"id":17,"name":"Train ID","value":"246-26"},{"id":16,"name":"Locomotive ID","value":"4043"},{"id":130,"name":"Impact","value":""},{"id":150,"name":"Time of Event (Mountain Time)","value":"02:05:49"},{"id":151,"name":"Denver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/c/Users/stu/AppData/Local/Temp/OnboardLogs/RTDC4043 --include="*4043*201708270*"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"%USERPROFILE%\AppData\Local\Temp\OnboardLogs"\RTDC4043\*4043*201708270* &gt;&gt; 2017-08-26-SliceDisagreementCheck.txt</v>
      </c>
      <c r="AE21" s="145" t="str">
        <f t="shared" si="9"/>
        <v>start /low /b %USERPROFILE%\Documents\GitHub\eaglep3\Utilities\DownloadLogsFromS3.py --loco 4043 --day 2017-08-27</v>
      </c>
      <c r="AF21" s="1"/>
    </row>
    <row r="22" spans="1:32" x14ac:dyDescent="0.25">
      <c r="A22" s="31">
        <v>42974.087129629632</v>
      </c>
      <c r="B22" s="30" t="s">
        <v>490</v>
      </c>
      <c r="C22" s="30" t="s">
        <v>586</v>
      </c>
      <c r="D22" s="30" t="s">
        <v>49</v>
      </c>
      <c r="E22" s="30" t="s">
        <v>383</v>
      </c>
      <c r="F22" s="42">
        <v>0</v>
      </c>
      <c r="G22" s="42">
        <v>156</v>
      </c>
      <c r="H22" s="42">
        <v>3207</v>
      </c>
      <c r="I22" s="42">
        <v>2911</v>
      </c>
      <c r="J22" s="30" t="s">
        <v>384</v>
      </c>
      <c r="K22" s="42">
        <v>2822</v>
      </c>
      <c r="L22" s="131" t="s">
        <v>51</v>
      </c>
      <c r="M22" s="132">
        <f t="shared" si="0"/>
        <v>46.991999999999997</v>
      </c>
      <c r="N22" s="133" t="str">
        <f>VLOOKUP(C22,'Trips&amp;Operators'!$C$1:$G$99911,5,FALSE)</f>
        <v>FORTUNATO FRANK</v>
      </c>
      <c r="O22" s="203" t="s">
        <v>376</v>
      </c>
      <c r="P22" s="134" t="s">
        <v>442</v>
      </c>
      <c r="Q22" s="30"/>
      <c r="R22" s="81" t="str">
        <f>VLOOKUP(C22,'Train Runs'!$A$13:$AE$9911,31,0)</f>
        <v>aws s3 cp s3://rtdc.mdm.uploadarchive.raw/RTDC4017/ "%USERPROFILE%\AppData\Local\Temp\OnboardLogs"\RTDC4017\2017-08-27 --exclude "*" --recursive --include "*20170827*" &amp; "%USERPROFILE%\Documents\GitHub\mrs-test-scripts\Headless Mode &amp; Sideloading\WalkAndUnGZ.bat" "%USERPROFILE%\AppData\Local\Temp\OnboardLogs"\RTDC4017\2017-08-27 &amp; aws s3 cp s3://rtdc.mdm.uploadarchive.raw/RTDC4017/ "%USERPROFILE%\AppData\Local\Temp\OnboardLogs"\RTDC4017\2017-08-28 --exclude "*" --recursive --include "*20170828*" &amp; "%USERPROFILE%\Documents\GitHub\mrs-test-scripts\Headless Mode &amp; Sideloading\WalkAndUnGZ.bat" "%USERPROFILE%\AppData\Local\Temp\OnboardLogs"\RTDC4017\2017-08-28</v>
      </c>
      <c r="S22" s="84" t="str">
        <f>VLOOKUP(C22,'Train Runs'!$A$13:$AE$9911,22,0)</f>
        <v>https://d0f6bd738d7f1b3e5a7ca70fe4ff75f0.us-east-1.aws.found.io/app/kibana#/discover/Steve-Slow-Train-Analysis-(2080s-and-2083s)?_g=(refreshInterval:(display:Off,pause:!f,section:0,value:0),time:(from:'2017-08-27T00:12:29-0600',mode:absolute,to:'2017-08-27T03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86" t="str">
        <f t="shared" si="1"/>
        <v>"C:\Program Files (x86)\AstroGrep\AstroGrep.exe" /e /r /s /spath="%USERPROFILE%\AppData\Local\Temp\OnboardLogs" /stypes="*4017*201708270*" /stext=" 08:.+((SYSTEM_STATE.+slice.+state.+changed )|(ment ac)|(multiple cpu faults)|(system.+state.+changed )|(\[timeout)|(PRM\|1\|D)|(kpr)|(kdp)|(train st.+moving)|(\|lc)|(penalty))"</v>
      </c>
      <c r="U22" s="9" t="str">
        <f t="shared" si="2"/>
        <v>4017</v>
      </c>
      <c r="V22" s="31">
        <f t="shared" si="3"/>
        <v>42974.337129629632</v>
      </c>
      <c r="W22" s="45" t="str">
        <f t="shared" si="4"/>
        <v>EC</v>
      </c>
      <c r="X22" s="22">
        <f t="shared" si="5"/>
        <v>244</v>
      </c>
      <c r="Y22" s="96" t="str">
        <f t="shared" si="6"/>
        <v>echo {"issue":{"subject":"Wi-MAX data drop","project_id":79,"tracker_id":40,"status_id":1,"priority_id":2,"assigned_to_id":23,"start_date":"2017-08-27","description":"","custom_fields":[{"id":1,"name":"Subdivision","value":"EC"},{"id":4,"name":"Milepost","value":"0.2822"},{"id":17,"name":"Train ID","value":"244-26"},{"id":16,"name":"Locomotive ID","value":"4017"},{"id":130,"name":"Impact","value":""},{"id":150,"name":"Time of Event (Mountain Time)","value":"02:05:28"},{"id":151,"name":"Denver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/c/Users/stu/AppData/Local/Temp/OnboardLogs/RTDC4017 --include="*4017*201708270*"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"%USERPROFILE%\AppData\Local\Temp\OnboardLogs"\RTDC4017\*4017*201708270* &gt;&gt; 2017-08-26-SliceDisagreementCheck.txt</v>
      </c>
      <c r="AE22" s="145" t="str">
        <f t="shared" si="9"/>
        <v>start /low /b %USERPROFILE%\Documents\GitHub\eaglep3\Utilities\DownloadLogsFromS3.py --loco 4017 --day 2017-08-27</v>
      </c>
      <c r="AF22" s="1"/>
    </row>
    <row r="23" spans="1:32" x14ac:dyDescent="0.25">
      <c r="A23" s="31">
        <v>42973.739849537036</v>
      </c>
      <c r="B23" s="30" t="s">
        <v>447</v>
      </c>
      <c r="C23" s="30" t="s">
        <v>579</v>
      </c>
      <c r="D23" s="30" t="s">
        <v>49</v>
      </c>
      <c r="E23" s="30" t="s">
        <v>383</v>
      </c>
      <c r="F23" s="42">
        <v>0</v>
      </c>
      <c r="G23" s="42">
        <v>526</v>
      </c>
      <c r="H23" s="42">
        <v>107360</v>
      </c>
      <c r="I23" s="42">
        <v>104946</v>
      </c>
      <c r="J23" s="30" t="s">
        <v>384</v>
      </c>
      <c r="K23" s="42">
        <v>104776</v>
      </c>
      <c r="L23" s="131" t="s">
        <v>51</v>
      </c>
      <c r="M23" s="132">
        <f t="shared" si="0"/>
        <v>89.76</v>
      </c>
      <c r="N23" s="133" t="str">
        <f>VLOOKUP(C23,'Trips&amp;Operators'!$C$1:$G$99911,5,FALSE)</f>
        <v>DAVIS MICHAEL</v>
      </c>
      <c r="O23" s="203" t="s">
        <v>376</v>
      </c>
      <c r="P23" s="134" t="s">
        <v>442</v>
      </c>
      <c r="Q23" s="30"/>
      <c r="R23" s="81" t="str">
        <f>VLOOKUP(C23,'Train Runs'!$A$13:$AE$9911,31,0)</f>
        <v>aws s3 cp s3://rtdc.mdm.uploadarchive.raw/RTDC4065/ "%USERPROFILE%\AppData\Local\Temp\OnboardLogs"\RTDC4065\2017-08-26 --exclude "*" --recursive --include "*20170826*" &amp; "%USERPROFILE%\Documents\GitHub\mrs-test-scripts\Headless Mode &amp; Sideloading\WalkAndUnGZ.bat" "%USERPROFILE%\AppData\Local\Temp\OnboardLogs"\RTDC4065\2017-08-26 &amp; aws s3 cp s3://rtdc.mdm.uploadarchive.raw/RTDC4065/ "%USERPROFILE%\AppData\Local\Temp\OnboardLogs"\RTDC4065\2017-08-27 --exclude "*" --recursive --include "*20170827*" &amp; "%USERPROFILE%\Documents\GitHub\mrs-test-scripts\Headless Mode &amp; Sideloading\WalkAndUnGZ.bat" "%USERPROFILE%\AppData\Local\Temp\OnboardLogs"\RTDC4065\2017-08-27</v>
      </c>
      <c r="S23" s="84" t="str">
        <f>VLOOKUP(C23,'Train Runs'!$A$13:$AE$9911,22,0)</f>
        <v>https://d0f6bd738d7f1b3e5a7ca70fe4ff75f0.us-east-1.aws.found.io/app/kibana#/discover/Steve-Slow-Train-Analysis-(2080s-and-2083s)?_g=(refreshInterval:(display:Off,pause:!f,section:0,value:0),time:(from:'2017-08-26T16:24:45-0600',mode:absolute,to:'2017-08-26T19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3" s="86" t="str">
        <f t="shared" si="1"/>
        <v>"C:\Program Files (x86)\AstroGrep\AstroGrep.exe" /e /r /s /spath="%USERPROFILE%\AppData\Local\Temp\OnboardLogs" /stypes="*4065*201708262*"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4065</v>
      </c>
      <c r="V23" s="31">
        <f t="shared" si="3"/>
        <v>42973.989849537036</v>
      </c>
      <c r="W23" s="45" t="str">
        <f t="shared" si="4"/>
        <v>EC</v>
      </c>
      <c r="X23" s="22">
        <f t="shared" si="5"/>
        <v>204</v>
      </c>
      <c r="Y23" s="96" t="str">
        <f t="shared" si="6"/>
        <v>echo {"issue":{"subject":"Wi-MAX data drop","project_id":79,"tracker_id":40,"status_id":1,"priority_id":2,"assigned_to_id":23,"start_date":"2017-08-26","description":"","custom_fields":[{"id":1,"name":"Subdivision","value":"EC"},{"id":4,"name":"Milepost","value":"10.4776"},{"id":17,"name":"Train ID","value":"204-26"},{"id":16,"name":"Locomotive ID","value":"4065"},{"id":130,"name":"Impact","value":""},{"id":150,"name":"Time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/c/Users/stu/AppData/Local/Temp/OnboardLogs/RTDC4065 --include="*4065*201708262*"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"%USERPROFILE%\AppData\Local\Temp\OnboardLogs"\RTDC4065\*4065*201708262* &gt;&gt; 2017-08-26-SliceDisagreementCheck.txt</v>
      </c>
      <c r="AE23" s="145" t="str">
        <f t="shared" si="9"/>
        <v>start /low /b %USERPROFILE%\Documents\GitHub\eaglep3\Utilities\DownloadLogsFromS3.py --loco 4065 --day 2017-08-26</v>
      </c>
      <c r="AF23" s="1"/>
    </row>
    <row r="24" spans="1:32" x14ac:dyDescent="0.25">
      <c r="A24" s="31">
        <v>42973.224363425928</v>
      </c>
      <c r="B24" s="30" t="s">
        <v>409</v>
      </c>
      <c r="C24" s="30" t="s">
        <v>563</v>
      </c>
      <c r="D24" s="30" t="s">
        <v>49</v>
      </c>
      <c r="E24" s="30" t="s">
        <v>181</v>
      </c>
      <c r="F24" s="42">
        <v>0</v>
      </c>
      <c r="G24" s="42">
        <v>45</v>
      </c>
      <c r="H24" s="42">
        <v>176</v>
      </c>
      <c r="I24" s="42">
        <v>145</v>
      </c>
      <c r="J24" s="30" t="s">
        <v>182</v>
      </c>
      <c r="K24" s="42">
        <v>1</v>
      </c>
      <c r="L24" s="131" t="s">
        <v>51</v>
      </c>
      <c r="M24" s="132">
        <f t="shared" si="0"/>
        <v>76.031999999999996</v>
      </c>
      <c r="N24" s="133" t="str">
        <f>VLOOKUP(C24,'Trips&amp;Operators'!$C$1:$G$99911,5,FALSE)</f>
        <v>WILLIAMS DONTE</v>
      </c>
      <c r="O24" s="203" t="s">
        <v>180</v>
      </c>
      <c r="P24" s="134"/>
      <c r="Q24" s="30"/>
      <c r="R24" s="81" t="str">
        <f>VLOOKUP(C24,'Train Runs'!$A$13:$AE$9911,31,0)</f>
        <v>aws s3 cp s3://rtdc.mdm.uploadarchive.raw/RTDC4039/ "%USERPROFILE%\AppData\Local\Temp\OnboardLogs"\RTDC4039\2017-08-26 --exclude "*" --recursive --include "*20170826*" &amp; "%USERPROFILE%\Documents\GitHub\mrs-test-scripts\Headless Mode &amp; Sideloading\WalkAndUnGZ.bat" "%USERPROFILE%\AppData\Local\Temp\OnboardLogs"\RTDC4039\2017-08-26 &amp; aws s3 cp s3://rtdc.mdm.uploadarchive.raw/RTDC4039/ "%USERPROFILE%\AppData\Local\Temp\OnboardLogs"\RTDC4039\2017-08-27 --exclude "*" --recursive --include "*20170827*" &amp; "%USERPROFILE%\Documents\GitHub\mrs-test-scripts\Headless Mode &amp; Sideloading\WalkAndUnGZ.bat" "%USERPROFILE%\AppData\Local\Temp\OnboardLogs"\RTDC4039\2017-08-27</v>
      </c>
      <c r="S24" s="84" t="str">
        <f>VLOOKUP(C24,'Train Runs'!$A$13:$AE$9911,22,0)</f>
        <v>https://d0f6bd738d7f1b3e5a7ca70fe4ff75f0.us-east-1.aws.found.io/app/kibana#/discover/Steve-Slow-Train-Analysis-(2080s-and-2083s)?_g=(refreshInterval:(display:Off,pause:!f,section:0,value:0),time:(from:'2017-08-26T03:38:34-0600',mode:absolute,to:'2017-08-26T06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6" t="str">
        <f t="shared" si="1"/>
        <v>"C:\Program Files (x86)\AstroGrep\AstroGrep.exe" /e /r /s /spath="%USERPROFILE%\AppData\Local\Temp\OnboardLogs" /stypes="*4039*201708261*"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4039</v>
      </c>
      <c r="V24" s="31">
        <f t="shared" si="3"/>
        <v>42973.474363425928</v>
      </c>
      <c r="W24" s="45" t="str">
        <f t="shared" si="4"/>
        <v>EC</v>
      </c>
      <c r="X24" s="22">
        <f t="shared" si="5"/>
        <v>104</v>
      </c>
      <c r="Y24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{"issue":{"subject":"","project_id":79,"tracker_id":40,"status_id":1,"priority_id":2,"assigned_to_id":23,"start_date":"2017-08-26","description":"","custom_fields":[{"id":1,"name":"Subdivision","value":"EC"},{"id":4,"name":"Milepost","value":"0.0001"},{"id":17,"name":"Train ID","value":"104-26"},{"id":16,"name":"Locomotive ID","value":"4039"},{"id":130,"name":"Impact","value":""},{"id":150,"name":"Time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/c/Users/stu/AppData/Local/Temp/OnboardLogs/RTDC4039 --include="*4039*201708261*"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"%USERPROFILE%\AppData\Local\Temp\OnboardLogs"\RTDC4039\*4039*201708261* &gt;&gt; 2017-08-26-SliceDisagreementCheck.txt</v>
      </c>
      <c r="AE24" s="145" t="str">
        <f t="shared" si="9"/>
        <v>start /low /b %USERPROFILE%\Documents\GitHub\eaglep3\Utilities\DownloadLogsFromS3.py --loco 4039 --day 2017-08-26</v>
      </c>
      <c r="AF24" s="1"/>
    </row>
    <row r="25" spans="1:32" x14ac:dyDescent="0.25">
      <c r="A25" s="31">
        <v>42973.74322916667</v>
      </c>
      <c r="B25" s="30" t="s">
        <v>577</v>
      </c>
      <c r="C25" s="30" t="s">
        <v>578</v>
      </c>
      <c r="D25" s="30" t="s">
        <v>49</v>
      </c>
      <c r="E25" s="30" t="s">
        <v>181</v>
      </c>
      <c r="F25" s="42">
        <v>0</v>
      </c>
      <c r="G25" s="42">
        <v>57</v>
      </c>
      <c r="H25" s="42">
        <v>181</v>
      </c>
      <c r="I25" s="42">
        <v>123</v>
      </c>
      <c r="J25" s="30" t="s">
        <v>182</v>
      </c>
      <c r="K25" s="42">
        <v>1</v>
      </c>
      <c r="L25" s="131" t="s">
        <v>51</v>
      </c>
      <c r="M25" s="132">
        <f t="shared" si="0"/>
        <v>64.415999999999997</v>
      </c>
      <c r="N25" s="133" t="str">
        <f>VLOOKUP(C25,'Trips&amp;Operators'!$C$1:$G$99911,5,FALSE)</f>
        <v>HOLCOMB KAMDEN</v>
      </c>
      <c r="O25" s="203" t="s">
        <v>180</v>
      </c>
      <c r="P25" s="134"/>
      <c r="Q25" s="30"/>
      <c r="R25" s="81" t="str">
        <f>VLOOKUP(C25,'Train Runs'!$A$13:$AE$9911,31,0)</f>
        <v>aws s3 cp s3://rtdc.mdm.uploadarchive.raw/RTDC4061/ "%USERPROFILE%\AppData\Local\Temp\OnboardLogs"\RTDC4061\2017-08-26 --exclude "*" --recursive --include "*20170826*" &amp; "%USERPROFILE%\Documents\GitHub\mrs-test-scripts\Headless Mode &amp; Sideloading\WalkAndUnGZ.bat" "%USERPROFILE%\AppData\Local\Temp\OnboardLogs"\RTDC4061\2017-08-26 &amp; aws s3 cp s3://rtdc.mdm.uploadarchive.raw/RTDC4061/ "%USERPROFILE%\AppData\Local\Temp\OnboardLogs"\RTDC4061\2017-08-27 --exclude "*" --recursive --include "*20170827*" &amp; "%USERPROFILE%\Documents\GitHub\mrs-test-scripts\Headless Mode &amp; Sideloading\WalkAndUnGZ.bat" "%USERPROFILE%\AppData\Local\Temp\OnboardLogs"\RTDC4061\2017-08-27</v>
      </c>
      <c r="S25" s="84" t="str">
        <f>VLOOKUP(C25,'Train Runs'!$A$13:$AE$9911,22,0)</f>
        <v>https://d0f6bd738d7f1b3e5a7ca70fe4ff75f0.us-east-1.aws.found.io/app/kibana#/discover/Steve-Slow-Train-Analysis-(2080s-and-2083s)?_g=(refreshInterval:(display:Off,pause:!f,section:0,value:0),time:(from:'2017-08-26T16:07:46-0600',mode:absolute,to:'2017-08-26T18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5" s="86" t="str">
        <f t="shared" si="1"/>
        <v>"C:\Program Files (x86)\AstroGrep\AstroGrep.exe" /e /r /s /spath="%USERPROFILE%\AppData\Local\Temp\OnboardLogs" /stypes="*4061*201708262*"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4061</v>
      </c>
      <c r="V25" s="31">
        <f t="shared" si="3"/>
        <v>42973.99322916667</v>
      </c>
      <c r="W25" s="45" t="str">
        <f t="shared" si="4"/>
        <v>EC</v>
      </c>
      <c r="X25" s="22">
        <f t="shared" si="5"/>
        <v>202</v>
      </c>
      <c r="Y25" s="96" t="str">
        <f t="shared" si="6"/>
        <v>echo {"issue":{"subject":"","project_id":79,"tracker_id":40,"status_id":1,"priority_id":2,"assigned_to_id":23,"start_date":"2017-08-26","description":"","custom_fields":[{"id":1,"name":"Subdivision","value":"EC"},{"id":4,"name":"Milepost","value":"0.0001"},{"id":17,"name":"Train ID","value":"202-26"},{"id":16,"name":"Locomotive ID","value":"4061"},{"id":130,"name":"Impact","value":""},{"id":150,"name":"Time of Event (Mountain Time)","value":"17:50:15"},{"id":151,"name":"Denver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/c/Users/stu/AppData/Local/Temp/OnboardLogs/RTDC4061 --include="*4061*201708262*"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"%USERPROFILE%\AppData\Local\Temp\OnboardLogs"\RTDC4061\*4061*201708262* &gt;&gt; 2017-08-26-SliceDisagreementCheck.txt</v>
      </c>
      <c r="AE25" s="145" t="str">
        <f t="shared" si="9"/>
        <v>start /low /b %USERPROFILE%\Documents\GitHub\eaglep3\Utilities\DownloadLogsFromS3.py --loco 4061 --day 2017-08-26</v>
      </c>
      <c r="AF25" s="1"/>
    </row>
    <row r="26" spans="1:32" x14ac:dyDescent="0.25">
      <c r="A26" s="31">
        <v>42973.575370370374</v>
      </c>
      <c r="B26" s="30" t="s">
        <v>503</v>
      </c>
      <c r="C26" s="30" t="s">
        <v>573</v>
      </c>
      <c r="D26" s="30" t="s">
        <v>49</v>
      </c>
      <c r="E26" s="30" t="s">
        <v>195</v>
      </c>
      <c r="F26" s="42">
        <v>300</v>
      </c>
      <c r="G26" s="42">
        <v>587</v>
      </c>
      <c r="H26" s="42">
        <v>26391</v>
      </c>
      <c r="I26" s="42">
        <v>24366</v>
      </c>
      <c r="J26" s="30" t="s">
        <v>196</v>
      </c>
      <c r="K26" s="42">
        <v>23561</v>
      </c>
      <c r="L26" s="131" t="s">
        <v>51</v>
      </c>
      <c r="M26" s="132">
        <f t="shared" si="0"/>
        <v>425.04</v>
      </c>
      <c r="N26" s="133" t="str">
        <f>VLOOKUP(C26,'Trips&amp;Operators'!$C$1:$G$99911,5,FALSE)</f>
        <v>MACDONALD THOMAS</v>
      </c>
      <c r="O26" s="203" t="s">
        <v>180</v>
      </c>
      <c r="P26" s="134"/>
      <c r="Q26" s="30"/>
      <c r="R26" s="81" t="str">
        <f>VLOOKUP(C26,'Train Runs'!$A$13:$AE$9911,31,0)</f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S26" s="84" t="str">
        <f>VLOOKUP(C26,'Train Runs'!$A$13:$AE$9911,22,0)</f>
        <v>https://d0f6bd738d7f1b3e5a7ca70fe4ff75f0.us-east-1.aws.found.io/app/kibana#/discover/Steve-Slow-Train-Analysis-(2080s-and-2083s)?_g=(refreshInterval:(display:Off,pause:!f,section:0,value:0),time:(from:'2017-08-26T12:37:50-0600',mode:absolute,to:'2017-08-26T14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 t="shared" si="1"/>
        <v>"C:\Program Files (x86)\AstroGrep\AstroGrep.exe" /e /r /s /spath="%USERPROFILE%\AppData\Local\Temp\OnboardLogs" /stypes="*4005*201708261*"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42973.825370370374</v>
      </c>
      <c r="W26" s="45" t="str">
        <f t="shared" si="4"/>
        <v>NW</v>
      </c>
      <c r="X26" s="22">
        <f t="shared" si="5"/>
        <v>1816</v>
      </c>
      <c r="Y26" s="96" t="str">
        <f t="shared" si="6"/>
        <v>echo {"issue":{"subject":"","project_id":79,"tracker_id":40,"status_id":1,"priority_id":2,"assigned_to_id":23,"start_date":"2017-08-26","description":"","custom_fields":[{"id":1,"name":"Subdivision","value":"NW"},{"id":4,"name":"Milepost","value":"2.3561"},{"id":17,"name":"Train ID","value":"1816-26"},{"id":16,"name":"Locomotive ID","value":"4005"},{"id":130,"name":"Impact","value":""},{"id":150,"name":"Time of Event (Mountain Time)","value":"13:48:32"},{"id":151,"name":"Denver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/c/Users/stu/AppData/Local/Temp/OnboardLogs/RTDC4005 --include="*4005*201708261*"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"%USERPROFILE%\AppData\Local\Temp\OnboardLogs"\RTDC4005\*4005*201708261* &gt;&gt; 2017-08-26-SliceDisagreementCheck.txt</v>
      </c>
      <c r="AE26" s="145" t="str">
        <f t="shared" si="9"/>
        <v>start /low /b %USERPROFILE%\Documents\GitHub\eaglep3\Utilities\DownloadLogsFromS3.py --loco 4005 --day 2017-08-26</v>
      </c>
      <c r="AF26" s="1"/>
    </row>
    <row r="27" spans="1:32" x14ac:dyDescent="0.25">
      <c r="A27" s="31">
        <v>42973.454953703702</v>
      </c>
      <c r="B27" s="30" t="s">
        <v>503</v>
      </c>
      <c r="C27" s="30" t="s">
        <v>568</v>
      </c>
      <c r="D27" s="30" t="s">
        <v>49</v>
      </c>
      <c r="E27" s="30" t="s">
        <v>181</v>
      </c>
      <c r="F27" s="42">
        <v>0</v>
      </c>
      <c r="G27" s="42">
        <v>124</v>
      </c>
      <c r="H27" s="42">
        <v>1081</v>
      </c>
      <c r="I27" s="42">
        <v>955</v>
      </c>
      <c r="J27" s="30" t="s">
        <v>182</v>
      </c>
      <c r="K27" s="42">
        <v>575</v>
      </c>
      <c r="L27" s="131" t="s">
        <v>51</v>
      </c>
      <c r="M27" s="132">
        <f t="shared" si="0"/>
        <v>200.64</v>
      </c>
      <c r="N27" s="133" t="str">
        <f>VLOOKUP(C27,'Trips&amp;Operators'!$C$1:$G$99911,5,FALSE)</f>
        <v>MACDONALD THOMAS</v>
      </c>
      <c r="O27" s="203" t="s">
        <v>180</v>
      </c>
      <c r="P27" s="134"/>
      <c r="Q27" s="30"/>
      <c r="R27" s="81" t="str">
        <f>VLOOKUP(C27,'Train Runs'!$A$13:$AE$9911,31,0)</f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S27" s="84" t="str">
        <f>VLOOKUP(C27,'Train Runs'!$A$13:$AE$9911,22,0)</f>
        <v>https://d0f6bd738d7f1b3e5a7ca70fe4ff75f0.us-east-1.aws.found.io/app/kibana#/discover/Steve-Slow-Train-Analysis-(2080s-and-2083s)?_g=(refreshInterval:(display:Off,pause:!f,section:0,value:0),time:(from:'2017-08-26T09:36:11-0600',mode:absolute,to:'2017-08-26T11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/stypes="*4005*201708261*"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42973.704953703702</v>
      </c>
      <c r="W27" s="45" t="str">
        <f t="shared" si="4"/>
        <v>NW</v>
      </c>
      <c r="X27" s="22">
        <f t="shared" si="5"/>
        <v>1810</v>
      </c>
      <c r="Y27" s="96" t="str">
        <f t="shared" si="6"/>
        <v>echo {"issue":{"subject":"","project_id":79,"tracker_id":40,"status_id":1,"priority_id":2,"assigned_to_id":23,"start_date":"2017-08-26","description":"","custom_fields":[{"id":1,"name":"Subdivision","value":"NW"},{"id":4,"name":"Milepost","value":"0.0575"},{"id":17,"name":"Train ID","value":"1810-26"},{"id":16,"name":"Locomotive ID","value":"4005"},{"id":130,"name":"Impact","value":""},{"id":150,"name":"Time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/c/Users/stu/AppData/Local/Temp/OnboardLogs/RTDC4005 --include="*4005*201708261*"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"%USERPROFILE%\AppData\Local\Temp\OnboardLogs"\RTDC4005\*4005*201708261* &gt;&gt; 2017-08-26-SliceDisagreementCheck.txt</v>
      </c>
      <c r="AE27" s="145" t="str">
        <f t="shared" si="9"/>
        <v>start /low /b %USERPROFILE%\Documents\GitHub\eaglep3\Utilities\DownloadLogsFromS3.py --loco 4005 --day 2017-08-26</v>
      </c>
      <c r="AF27" s="1"/>
    </row>
    <row r="28" spans="1:32" x14ac:dyDescent="0.25">
      <c r="A28" s="31">
        <v>42973.455393518518</v>
      </c>
      <c r="B28" s="30" t="s">
        <v>503</v>
      </c>
      <c r="C28" s="30" t="s">
        <v>568</v>
      </c>
      <c r="D28" s="30" t="s">
        <v>49</v>
      </c>
      <c r="E28" s="30" t="s">
        <v>181</v>
      </c>
      <c r="F28" s="42">
        <v>0</v>
      </c>
      <c r="G28" s="42">
        <v>58</v>
      </c>
      <c r="H28" s="42">
        <v>902</v>
      </c>
      <c r="I28" s="42">
        <v>860</v>
      </c>
      <c r="J28" s="30" t="s">
        <v>182</v>
      </c>
      <c r="K28" s="42">
        <v>575</v>
      </c>
      <c r="L28" s="131" t="s">
        <v>51</v>
      </c>
      <c r="M28" s="132">
        <f t="shared" si="0"/>
        <v>150.47999999999999</v>
      </c>
      <c r="N28" s="133" t="str">
        <f>VLOOKUP(C28,'Trips&amp;Operators'!$C$1:$G$99911,5,FALSE)</f>
        <v>MACDONALD THOMAS</v>
      </c>
      <c r="O28" s="203" t="s">
        <v>180</v>
      </c>
      <c r="P28" s="134"/>
      <c r="Q28" s="30"/>
      <c r="R28" s="81" t="str">
        <f>VLOOKUP(C28,'Train Runs'!$A$13:$AE$9911,31,0)</f>
        <v>aws s3 cp s3://rtdc.mdm.uploadarchive.raw/RTDC4005/ "%USERPROFILE%\AppData\Local\Temp\OnboardLogs"\RTDC4005\2017-08-26 --exclude "*" --recursive --include "*20170826*" &amp; "%USERPROFILE%\Documents\GitHub\mrs-test-scripts\Headless Mode &amp; Sideloading\WalkAndUnGZ.bat" "%USERPROFILE%\AppData\Local\Temp\OnboardLogs"\RTDC4005\2017-08-26 &amp; 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</v>
      </c>
      <c r="S28" s="84" t="str">
        <f>VLOOKUP(C28,'Train Runs'!$A$13:$AE$9911,22,0)</f>
        <v>https://d0f6bd738d7f1b3e5a7ca70fe4ff75f0.us-east-1.aws.found.io/app/kibana#/discover/Steve-Slow-Train-Analysis-(2080s-and-2083s)?_g=(refreshInterval:(display:Off,pause:!f,section:0,value:0),time:(from:'2017-08-26T09:36:11-0600',mode:absolute,to:'2017-08-26T11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6" t="str">
        <f t="shared" si="1"/>
        <v>"C:\Program Files (x86)\AstroGrep\AstroGrep.exe" /e /r /s /spath="%USERPROFILE%\AppData\Local\Temp\OnboardLogs" /stypes="*4005*201708261*"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4005</v>
      </c>
      <c r="V28" s="31">
        <f t="shared" si="3"/>
        <v>42973.705393518518</v>
      </c>
      <c r="W28" s="45" t="str">
        <f t="shared" si="4"/>
        <v>NW</v>
      </c>
      <c r="X28" s="22">
        <f t="shared" si="5"/>
        <v>1810</v>
      </c>
      <c r="Y28" s="96" t="str">
        <f t="shared" si="6"/>
        <v>echo {"issue":{"subject":"","project_id":79,"tracker_id":40,"status_id":1,"priority_id":2,"assigned_to_id":23,"start_date":"2017-08-26","description":"","custom_fields":[{"id":1,"name":"Subdivision","value":"NW"},{"id":4,"name":"Milepost","value":"0.0575"},{"id":17,"name":"Train ID","value":"1810-26"},{"id":16,"name":"Locomotive ID","value":"4005"},{"id":130,"name":"Impact","value":""},{"id":150,"name":"Time of Event (Mountain Time)","value":"10:55:46"},{"id":151,"name":"Denver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/c/Users/stu/AppData/Local/Temp/OnboardLogs/RTDC4005 --include="*4005*201708261*"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"%USERPROFILE%\AppData\Local\Temp\OnboardLogs"\RTDC4005\*4005*201708261* &gt;&gt; 2017-08-26-SliceDisagreementCheck.txt</v>
      </c>
      <c r="AE28" s="145" t="str">
        <f t="shared" si="9"/>
        <v>start /low /b %USERPROFILE%\Documents\GitHub\eaglep3\Utilities\DownloadLogsFromS3.py --loco 4005 --day 2017-08-26</v>
      </c>
      <c r="AF28" s="1"/>
    </row>
    <row r="29" spans="1:32" x14ac:dyDescent="0.25">
      <c r="A29" s="31">
        <v>42973.725983796299</v>
      </c>
      <c r="B29" s="30" t="s">
        <v>424</v>
      </c>
      <c r="C29" s="30" t="s">
        <v>576</v>
      </c>
      <c r="D29" s="30" t="s">
        <v>96</v>
      </c>
      <c r="E29" s="30" t="s">
        <v>195</v>
      </c>
      <c r="F29" s="42">
        <v>200</v>
      </c>
      <c r="G29" s="42">
        <v>259</v>
      </c>
      <c r="H29" s="42">
        <v>6131</v>
      </c>
      <c r="I29" s="42">
        <v>6714</v>
      </c>
      <c r="J29" s="30" t="s">
        <v>196</v>
      </c>
      <c r="K29" s="42">
        <v>4790</v>
      </c>
      <c r="L29" s="131" t="s">
        <v>50</v>
      </c>
      <c r="M29" s="132">
        <f t="shared" si="0"/>
        <v>-1015.872</v>
      </c>
      <c r="N29" s="133" t="str">
        <f>VLOOKUP(C29,'Trips&amp;Operators'!$C$1:$G$99911,5,FALSE)</f>
        <v>NEWELL JAMES</v>
      </c>
      <c r="O29" s="203" t="s">
        <v>180</v>
      </c>
      <c r="P29" s="134"/>
      <c r="Q29" s="30"/>
      <c r="R29" s="81" t="str">
        <f>VLOOKUP(C29,'Train Runs'!$A$13:$AE$9911,31,0)</f>
        <v>aws s3 cp s3://rtdc.mdm.uploadarchive.raw/RTDC4056/ "%USERPROFILE%\AppData\Local\Temp\OnboardLogs"\RTDC4056\2017-08-26 --exclude "*" --recursive --include "*20170826*" &amp; "%USERPROFILE%\Documents\GitHub\mrs-test-scripts\Headless Mode &amp; Sideloading\WalkAndUnGZ.bat" "%USERPROFILE%\AppData\Local\Temp\OnboardLogs"\RTDC4056\2017-08-26 &amp; aws s3 cp s3://rtdc.mdm.uploadarchive.raw/RTDC4056/ "%USERPROFILE%\AppData\Local\Temp\OnboardLogs"\RTDC4056\2017-08-27 --exclude "*" --recursive --include "*20170827*" &amp; "%USERPROFILE%\Documents\GitHub\mrs-test-scripts\Headless Mode &amp; Sideloading\WalkAndUnGZ.bat" "%USERPROFILE%\AppData\Local\Temp\OnboardLogs"\RTDC4056\2017-08-27</v>
      </c>
      <c r="S29" s="84" t="str">
        <f>VLOOKUP(C29,'Train Runs'!$A$13:$AE$9911,22,0)</f>
        <v>https://d0f6bd738d7f1b3e5a7ca70fe4ff75f0.us-east-1.aws.found.io/app/kibana#/discover/Steve-Slow-Train-Analysis-(2080s-and-2083s)?_g=(refreshInterval:(display:Off,pause:!f,section:0,value:0),time:(from:'2017-08-26T16:17:40-0600',mode:absolute,to:'2017-08-26T18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9" s="86" t="str">
        <f t="shared" si="1"/>
        <v>"C:\Program Files (x86)\AstroGrep\AstroGrep.exe" /e /r /s /spath="%USERPROFILE%\AppData\Local\Temp\OnboardLogs" /stypes="*4056*201708262*"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4056</v>
      </c>
      <c r="V29" s="31">
        <f t="shared" si="3"/>
        <v>42973.975983796299</v>
      </c>
      <c r="W29" s="45" t="str">
        <f t="shared" si="4"/>
        <v>Shuttle/Test</v>
      </c>
      <c r="X29" s="22">
        <f t="shared" si="5"/>
        <v>77</v>
      </c>
      <c r="Y29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0.479"},{"id":17,"name":"Train ID","value":"77-26"},{"id":16,"name":"Locomotive ID","value":"4056"},{"id":130,"name":"Impact","value":""},{"id":150,"name":"Time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/c/Users/stu/AppData/Local/Temp/OnboardLogs/RTDC4056 --include="*4056*201708262*"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"%USERPROFILE%\AppData\Local\Temp\OnboardLogs"\RTDC4056\*4056*201708262* &gt;&gt; 2017-08-26-SliceDisagreementCheck.txt</v>
      </c>
      <c r="AE29" s="145" t="str">
        <f t="shared" si="9"/>
        <v>start /low /b %USERPROFILE%\Documents\GitHub\eaglep3\Utilities\DownloadLogsFromS3.py --loco 4056 --day 2017-08-26</v>
      </c>
      <c r="AF29" s="1"/>
    </row>
    <row r="30" spans="1:32" x14ac:dyDescent="0.25">
      <c r="A30" s="31">
        <v>42973.82644675926</v>
      </c>
      <c r="B30" s="30" t="s">
        <v>565</v>
      </c>
      <c r="C30" s="30" t="s">
        <v>584</v>
      </c>
      <c r="D30" s="30" t="s">
        <v>96</v>
      </c>
      <c r="E30" s="30" t="s">
        <v>373</v>
      </c>
      <c r="F30" s="42">
        <v>0</v>
      </c>
      <c r="G30" s="42">
        <v>52</v>
      </c>
      <c r="H30" s="42">
        <v>1806</v>
      </c>
      <c r="I30" s="42">
        <v>1886</v>
      </c>
      <c r="J30" s="30" t="s">
        <v>374</v>
      </c>
      <c r="K30" s="42">
        <v>1692</v>
      </c>
      <c r="L30" s="131" t="s">
        <v>50</v>
      </c>
      <c r="M30" s="132">
        <f t="shared" si="0"/>
        <v>-102.432</v>
      </c>
      <c r="N30" s="133" t="str">
        <f>VLOOKUP(C30,'Trips&amp;Operators'!$C$1:$G$99911,5,FALSE)</f>
        <v>ZEWDU DEREJE</v>
      </c>
      <c r="O30" s="203" t="s">
        <v>180</v>
      </c>
      <c r="P30" s="134"/>
      <c r="Q30" s="30"/>
      <c r="R30" s="81" t="str">
        <f>VLOOKUP(C30,'Train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0" s="84" t="str">
        <f>VLOOKUP(C30,'Train Runs'!$A$13:$AE$9911,22,0)</f>
        <v>https://d0f6bd738d7f1b3e5a7ca70fe4ff75f0.us-east-1.aws.found.io/app/kibana#/discover/Steve-Slow-Train-Analysis-(2080s-and-2083s)?_g=(refreshInterval:(display:Off,pause:!f,section:0,value:0),time:(from:'2017-08-26T20:04:56-0600',mode:absolute,to:'2017-08-26T20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86" t="str">
        <f t="shared" si="1"/>
        <v>"C:\Program Files (x86)\AstroGrep\AstroGrep.exe" /e /r /s /spath="%USERPROFILE%\AppData\Local\Temp\OnboardLogs" /stypes="*4062*201708270*"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4062</v>
      </c>
      <c r="V30" s="31">
        <f t="shared" si="3"/>
        <v>42974.07644675926</v>
      </c>
      <c r="W30" s="45" t="str">
        <f t="shared" si="4"/>
        <v>Shuttle/Test</v>
      </c>
      <c r="X30" s="22">
        <f t="shared" si="5"/>
        <v>71</v>
      </c>
      <c r="Y30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0.1692"},{"id":17,"name":"Train ID","value":"71-26"},{"id":16,"name":"Locomotive ID","value":"4062"},{"id":130,"name":"Impact","value":""},{"id":150,"name":"Time of Event (Mountain Time)","value":"19:50:05"},{"id":151,"name":"Denver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/c/Users/stu/AppData/Local/Temp/OnboardLogs/RTDC4062 --include="*4062*201708270*"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"%USERPROFILE%\AppData\Local\Temp\OnboardLogs"\RTDC4062\*4062*201708270* &gt;&gt; 2017-08-26-SliceDisagreementCheck.txt</v>
      </c>
      <c r="AE30" s="145" t="str">
        <f t="shared" si="9"/>
        <v>start /low /b %USERPROFILE%\Documents\GitHub\eaglep3\Utilities\DownloadLogsFromS3.py --loco 4062 --day 2017-08-27</v>
      </c>
      <c r="AF30" s="1"/>
    </row>
    <row r="31" spans="1:32" x14ac:dyDescent="0.25">
      <c r="A31" s="31">
        <v>42973.826874999999</v>
      </c>
      <c r="B31" s="30" t="s">
        <v>565</v>
      </c>
      <c r="C31" s="30" t="s">
        <v>584</v>
      </c>
      <c r="D31" s="30" t="s">
        <v>96</v>
      </c>
      <c r="E31" s="30" t="s">
        <v>373</v>
      </c>
      <c r="F31" s="42">
        <v>0</v>
      </c>
      <c r="G31" s="42">
        <v>9</v>
      </c>
      <c r="H31" s="42">
        <v>1893</v>
      </c>
      <c r="I31" s="42">
        <v>1921</v>
      </c>
      <c r="J31" s="30" t="s">
        <v>374</v>
      </c>
      <c r="K31" s="42">
        <v>1692</v>
      </c>
      <c r="L31" s="131" t="s">
        <v>50</v>
      </c>
      <c r="M31" s="132">
        <f t="shared" si="0"/>
        <v>-120.91200000000001</v>
      </c>
      <c r="N31" s="133" t="str">
        <f>VLOOKUP(C31,'Trips&amp;Operators'!$C$1:$G$99911,5,FALSE)</f>
        <v>ZEWDU DEREJE</v>
      </c>
      <c r="O31" s="203" t="s">
        <v>180</v>
      </c>
      <c r="P31" s="134"/>
      <c r="Q31" s="30"/>
      <c r="R31" s="81" t="str">
        <f>VLOOKUP(C31,'Train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1" s="84" t="str">
        <f>VLOOKUP(C31,'Train Runs'!$A$13:$AE$9911,22,0)</f>
        <v>https://d0f6bd738d7f1b3e5a7ca70fe4ff75f0.us-east-1.aws.found.io/app/kibana#/discover/Steve-Slow-Train-Analysis-(2080s-and-2083s)?_g=(refreshInterval:(display:Off,pause:!f,section:0,value:0),time:(from:'2017-08-26T20:04:56-0600',mode:absolute,to:'2017-08-26T20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86" t="str">
        <f t="shared" si="1"/>
        <v>"C:\Program Files (x86)\AstroGrep\AstroGrep.exe" /e /r /s /spath="%USERPROFILE%\AppData\Local\Temp\OnboardLogs" /stypes="*4062*201708270*" /stext=" 01:.+((SYSTEM_STATE.+slice.+state.+changed )|(ment ac)|(multiple cpu faults)|(system.+state.+changed )|(\[timeout)|(PRM\|1\|D)|(kpr)|(kdp)|(train st.+moving)|(\|lc)|(penalty))"</v>
      </c>
      <c r="U31" s="9" t="str">
        <f t="shared" si="2"/>
        <v>4062</v>
      </c>
      <c r="V31" s="31">
        <f t="shared" si="3"/>
        <v>42974.076874999999</v>
      </c>
      <c r="W31" s="45" t="str">
        <f t="shared" si="4"/>
        <v>Shuttle/Test</v>
      </c>
      <c r="X31" s="22">
        <f t="shared" si="5"/>
        <v>71</v>
      </c>
      <c r="Y31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0.1692"},{"id":17,"name":"Train ID","value":"71-26"},{"id":16,"name":"Locomotive ID","value":"4062"},{"id":130,"name":"Impact","value":""},{"id":150,"name":"Time of Event (Mountain Time)","value":"19:50:42"},{"id":151,"name":"Denver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/c/Users/stu/AppData/Local/Temp/OnboardLogs/RTDC4062 --include="*4062*201708270*"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"%USERPROFILE%\AppData\Local\Temp\OnboardLogs"\RTDC4062\*4062*201708270* &gt;&gt; 2017-08-26-SliceDisagreementCheck.txt</v>
      </c>
      <c r="AE31" s="145" t="str">
        <f t="shared" si="9"/>
        <v>start /low /b %USERPROFILE%\Documents\GitHub\eaglep3\Utilities\DownloadLogsFromS3.py --loco 4062 --day 2017-08-27</v>
      </c>
      <c r="AF31" s="1"/>
    </row>
    <row r="32" spans="1:32" x14ac:dyDescent="0.25">
      <c r="A32" s="31">
        <v>42973.744027777779</v>
      </c>
      <c r="B32" s="30" t="s">
        <v>385</v>
      </c>
      <c r="C32" s="30" t="s">
        <v>580</v>
      </c>
      <c r="D32" s="30" t="s">
        <v>96</v>
      </c>
      <c r="E32" s="30" t="s">
        <v>373</v>
      </c>
      <c r="F32" s="42">
        <v>0</v>
      </c>
      <c r="G32" s="42">
        <v>108</v>
      </c>
      <c r="H32" s="42">
        <v>23966</v>
      </c>
      <c r="I32" s="42">
        <v>23819</v>
      </c>
      <c r="J32" s="30" t="s">
        <v>374</v>
      </c>
      <c r="K32" s="42">
        <v>24235</v>
      </c>
      <c r="L32" s="131" t="s">
        <v>51</v>
      </c>
      <c r="M32" s="132">
        <f t="shared" si="0"/>
        <v>-219.648</v>
      </c>
      <c r="N32" s="133" t="str">
        <f>VLOOKUP(C32,'Trips&amp;Operators'!$C$1:$G$99911,5,FALSE)</f>
        <v>BERLING GARY</v>
      </c>
      <c r="O32" s="203" t="s">
        <v>180</v>
      </c>
      <c r="P32" s="134"/>
      <c r="Q32" s="30"/>
      <c r="R32" s="81" t="str">
        <f>VLOOKUP(C32,'Train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2" s="84" t="str">
        <f>VLOOKUP(C32,'Train Runs'!$A$13:$AE$9911,22,0)</f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86" t="str">
        <f t="shared" si="1"/>
        <v>"C:\Program Files (x86)\AstroGrep\AstroGrep.exe" /e /r /s /spath="%USERPROFILE%\AppData\Local\Temp\OnboardLogs" /stypes="*4011*201708262*"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4011</v>
      </c>
      <c r="V32" s="31">
        <f t="shared" si="3"/>
        <v>42973.994027777779</v>
      </c>
      <c r="W32" s="45" t="str">
        <f t="shared" si="4"/>
        <v>Shuttle/Test</v>
      </c>
      <c r="X32" s="22">
        <f t="shared" si="5"/>
        <v>75</v>
      </c>
      <c r="Y32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2.4235"},{"id":17,"name":"Train ID","value":"75-26"},{"id":16,"name":"Locomotive ID","value":"4011"},{"id":130,"name":"Impact","value":""},{"id":150,"name":"Time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/c/Users/stu/AppData/Local/Temp/OnboardLogs/RTDC4011 --include="*4011*201708262*"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"%USERPROFILE%\AppData\Local\Temp\OnboardLogs"\RTDC4011\*4011*201708262* &gt;&gt; 2017-08-26-SliceDisagreementCheck.txt</v>
      </c>
      <c r="AE32" s="145" t="str">
        <f t="shared" si="9"/>
        <v>start /low /b %USERPROFILE%\Documents\GitHub\eaglep3\Utilities\DownloadLogsFromS3.py --loco 4011 --day 2017-08-26</v>
      </c>
      <c r="AF32" s="1"/>
    </row>
    <row r="33" spans="1:32" x14ac:dyDescent="0.25">
      <c r="A33" s="31">
        <v>42973.744386574072</v>
      </c>
      <c r="B33" s="30" t="s">
        <v>385</v>
      </c>
      <c r="C33" s="30" t="s">
        <v>580</v>
      </c>
      <c r="D33" s="30" t="s">
        <v>96</v>
      </c>
      <c r="E33" s="30" t="s">
        <v>373</v>
      </c>
      <c r="F33" s="42">
        <v>0</v>
      </c>
      <c r="G33" s="42">
        <v>3</v>
      </c>
      <c r="H33" s="42">
        <v>23817</v>
      </c>
      <c r="I33" s="42">
        <v>23800</v>
      </c>
      <c r="J33" s="30" t="s">
        <v>374</v>
      </c>
      <c r="K33" s="42">
        <v>24235</v>
      </c>
      <c r="L33" s="131" t="s">
        <v>51</v>
      </c>
      <c r="M33" s="132">
        <f t="shared" si="0"/>
        <v>-229.68</v>
      </c>
      <c r="N33" s="133" t="str">
        <f>VLOOKUP(C33,'Trips&amp;Operators'!$C$1:$G$99911,5,FALSE)</f>
        <v>BERLING GARY</v>
      </c>
      <c r="O33" s="203" t="s">
        <v>180</v>
      </c>
      <c r="P33" s="134"/>
      <c r="Q33" s="30"/>
      <c r="R33" s="81" t="str">
        <f>VLOOKUP(C33,'Train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3" s="84" t="str">
        <f>VLOOKUP(C33,'Train Runs'!$A$13:$AE$9911,22,0)</f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86" t="str">
        <f t="shared" si="1"/>
        <v>"C:\Program Files (x86)\AstroGrep\AstroGrep.exe" /e /r /s /spath="%USERPROFILE%\AppData\Local\Temp\OnboardLogs" /stypes="*4011*201708262*"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4011</v>
      </c>
      <c r="V33" s="31">
        <f t="shared" si="3"/>
        <v>42973.994386574072</v>
      </c>
      <c r="W33" s="45" t="str">
        <f t="shared" si="4"/>
        <v>Shuttle/Test</v>
      </c>
      <c r="X33" s="22">
        <f t="shared" si="5"/>
        <v>75</v>
      </c>
      <c r="Y33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2.4235"},{"id":17,"name":"Train ID","value":"75-26"},{"id":16,"name":"Locomotive ID","value":"4011"},{"id":130,"name":"Impact","value":""},{"id":150,"name":"Time of Event (Mountain Time)","value":"17:51:55"},{"id":151,"name":"Denver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/c/Users/stu/AppData/Local/Temp/OnboardLogs/RTDC4011 --include="*4011*201708262*"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"%USERPROFILE%\AppData\Local\Temp\OnboardLogs"\RTDC4011\*4011*201708262* &gt;&gt; 2017-08-26-SliceDisagreementCheck.txt</v>
      </c>
      <c r="AE33" s="145" t="str">
        <f t="shared" si="9"/>
        <v>start /low /b %USERPROFILE%\Documents\GitHub\eaglep3\Utilities\DownloadLogsFromS3.py --loco 4011 --day 2017-08-26</v>
      </c>
      <c r="AF33" s="1"/>
    </row>
    <row r="34" spans="1:32" x14ac:dyDescent="0.25">
      <c r="A34" s="31">
        <v>42973.745069444441</v>
      </c>
      <c r="B34" s="30" t="s">
        <v>385</v>
      </c>
      <c r="C34" s="30" t="s">
        <v>580</v>
      </c>
      <c r="D34" s="30" t="s">
        <v>96</v>
      </c>
      <c r="E34" s="30" t="s">
        <v>373</v>
      </c>
      <c r="F34" s="42">
        <v>0</v>
      </c>
      <c r="G34" s="42">
        <v>6</v>
      </c>
      <c r="H34" s="42">
        <v>23794</v>
      </c>
      <c r="I34" s="42">
        <v>23779</v>
      </c>
      <c r="J34" s="30" t="s">
        <v>374</v>
      </c>
      <c r="K34" s="42">
        <v>24235</v>
      </c>
      <c r="L34" s="131" t="s">
        <v>51</v>
      </c>
      <c r="M34" s="132">
        <f t="shared" si="0"/>
        <v>-240.768</v>
      </c>
      <c r="N34" s="133" t="str">
        <f>VLOOKUP(C34,'Trips&amp;Operators'!$C$1:$G$99911,5,FALSE)</f>
        <v>BERLING GARY</v>
      </c>
      <c r="O34" s="203" t="s">
        <v>180</v>
      </c>
      <c r="P34" s="134"/>
      <c r="Q34" s="30"/>
      <c r="R34" s="81" t="str">
        <f>VLOOKUP(C34,'Train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4" s="84" t="str">
        <f>VLOOKUP(C34,'Train Runs'!$A$13:$AE$9911,22,0)</f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4" s="86" t="str">
        <f t="shared" si="1"/>
        <v>"C:\Program Files (x86)\AstroGrep\AstroGrep.exe" /e /r /s /spath="%USERPROFILE%\AppData\Local\Temp\OnboardLogs" /stypes="*4011*201708262*"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4011</v>
      </c>
      <c r="V34" s="31">
        <f t="shared" si="3"/>
        <v>42973.995069444441</v>
      </c>
      <c r="W34" s="45" t="str">
        <f t="shared" si="4"/>
        <v>Shuttle/Test</v>
      </c>
      <c r="X34" s="22">
        <f t="shared" si="5"/>
        <v>75</v>
      </c>
      <c r="Y34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2.4235"},{"id":17,"name":"Train ID","value":"75-26"},{"id":16,"name":"Locomotive ID","value":"4011"},{"id":130,"name":"Impact","value":""},{"id":150,"name":"Time of Event (Mountain Time)","value":"17:52:54"},{"id":151,"name":"Denver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/c/Users/stu/AppData/Local/Temp/OnboardLogs/RTDC4011 --include="*4011*201708262*"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"%USERPROFILE%\AppData\Local\Temp\OnboardLogs"\RTDC4011\*4011*201708262* &gt;&gt; 2017-08-26-SliceDisagreementCheck.txt</v>
      </c>
      <c r="AE34" s="145" t="str">
        <f t="shared" si="9"/>
        <v>start /low /b %USERPROFILE%\Documents\GitHub\eaglep3\Utilities\DownloadLogsFromS3.py --loco 4011 --day 2017-08-26</v>
      </c>
      <c r="AF34" s="1"/>
    </row>
    <row r="35" spans="1:32" x14ac:dyDescent="0.25">
      <c r="A35" s="31">
        <v>42973.754432870373</v>
      </c>
      <c r="B35" s="30" t="s">
        <v>385</v>
      </c>
      <c r="C35" s="30" t="s">
        <v>580</v>
      </c>
      <c r="D35" s="30" t="s">
        <v>49</v>
      </c>
      <c r="E35" s="30" t="s">
        <v>181</v>
      </c>
      <c r="F35" s="42">
        <v>0</v>
      </c>
      <c r="G35" s="42">
        <v>17</v>
      </c>
      <c r="H35" s="42">
        <v>874</v>
      </c>
      <c r="I35" s="42">
        <v>867</v>
      </c>
      <c r="J35" s="30" t="s">
        <v>182</v>
      </c>
      <c r="K35" s="42">
        <v>826</v>
      </c>
      <c r="L35" s="131" t="s">
        <v>51</v>
      </c>
      <c r="M35" s="132">
        <f t="shared" si="0"/>
        <v>21.648000000000003</v>
      </c>
      <c r="N35" s="133" t="str">
        <f>VLOOKUP(C35,'Trips&amp;Operators'!$C$1:$G$99911,5,FALSE)</f>
        <v>BERLING GARY</v>
      </c>
      <c r="O35" s="203" t="s">
        <v>180</v>
      </c>
      <c r="P35" s="134"/>
      <c r="Q35" s="30"/>
      <c r="R35" s="81" t="str">
        <f>VLOOKUP(C35,'Train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5" s="84" t="str">
        <f>VLOOKUP(C35,'Train Runs'!$A$13:$AE$9911,22,0)</f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5" s="86" t="str">
        <f t="shared" si="1"/>
        <v>"C:\Program Files (x86)\AstroGrep\AstroGrep.exe" /e /r /s /spath="%USERPROFILE%\AppData\Local\Temp\OnboardLogs" /stypes="*4011*201708270*"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4011</v>
      </c>
      <c r="V35" s="31">
        <f t="shared" si="3"/>
        <v>42974.004432870373</v>
      </c>
      <c r="W35" s="45" t="str">
        <f t="shared" si="4"/>
        <v>Shuttle/Test</v>
      </c>
      <c r="X35" s="22">
        <f t="shared" si="5"/>
        <v>75</v>
      </c>
      <c r="Y35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0.0826"},{"id":17,"name":"Train ID","value":"75-26"},{"id":16,"name":"Locomotive ID","value":"4011"},{"id":130,"name":"Impact","value":""},{"id":150,"name":"Time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/c/Users/stu/AppData/Local/Temp/OnboardLogs/RTDC4011 --include="*4011*201708270*"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"%USERPROFILE%\AppData\Local\Temp\OnboardLogs"\RTDC4011\*4011*201708270* &gt;&gt; 2017-08-26-SliceDisagreementCheck.txt</v>
      </c>
      <c r="AE35" s="145" t="str">
        <f t="shared" si="9"/>
        <v>start /low /b %USERPROFILE%\Documents\GitHub\eaglep3\Utilities\DownloadLogsFromS3.py --loco 4011 --day 2017-08-27</v>
      </c>
      <c r="AF35" s="1"/>
    </row>
    <row r="36" spans="1:32" x14ac:dyDescent="0.25">
      <c r="A36" s="31">
        <v>42973.755069444444</v>
      </c>
      <c r="B36" s="30" t="s">
        <v>385</v>
      </c>
      <c r="C36" s="30" t="s">
        <v>580</v>
      </c>
      <c r="D36" s="30" t="s">
        <v>96</v>
      </c>
      <c r="E36" s="30" t="s">
        <v>181</v>
      </c>
      <c r="F36" s="42">
        <v>0</v>
      </c>
      <c r="G36" s="42">
        <v>3</v>
      </c>
      <c r="H36" s="42">
        <v>826</v>
      </c>
      <c r="I36" s="42">
        <v>828</v>
      </c>
      <c r="J36" s="30" t="s">
        <v>182</v>
      </c>
      <c r="K36" s="42">
        <v>826</v>
      </c>
      <c r="L36" s="131" t="s">
        <v>51</v>
      </c>
      <c r="M36" s="132">
        <f t="shared" si="0"/>
        <v>1.056</v>
      </c>
      <c r="N36" s="133" t="str">
        <f>VLOOKUP(C36,'Trips&amp;Operators'!$C$1:$G$99911,5,FALSE)</f>
        <v>BERLING GARY</v>
      </c>
      <c r="O36" s="203" t="s">
        <v>180</v>
      </c>
      <c r="P36" s="134"/>
      <c r="Q36" s="30"/>
      <c r="R36" s="81" t="str">
        <f>VLOOKUP(C36,'Train Runs'!$A$13:$AE$9911,31,0)</f>
        <v>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 &amp; 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</v>
      </c>
      <c r="S36" s="84" t="str">
        <f>VLOOKUP(C36,'Train Runs'!$A$13:$AE$9911,22,0)</f>
        <v>https://d0f6bd738d7f1b3e5a7ca70fe4ff75f0.us-east-1.aws.found.io/app/kibana#/discover/Steve-Slow-Train-Analysis-(2080s-and-2083s)?_g=(refreshInterval:(display:Off,pause:!f,section:0,value:0),time:(from:'2017-08-26T16:55:24-0600',mode:absolute,to:'2017-08-26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86" t="str">
        <f t="shared" si="1"/>
        <v>"C:\Program Files (x86)\AstroGrep\AstroGrep.exe" /e /r /s /spath="%USERPROFILE%\AppData\Local\Temp\OnboardLogs" /stypes="*4011*201708270*"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4011</v>
      </c>
      <c r="V36" s="31">
        <f t="shared" si="3"/>
        <v>42974.005069444444</v>
      </c>
      <c r="W36" s="45" t="str">
        <f t="shared" si="4"/>
        <v>Shuttle/Test</v>
      </c>
      <c r="X36" s="22">
        <f t="shared" si="5"/>
        <v>75</v>
      </c>
      <c r="Y36" s="96" t="str">
        <f t="shared" si="6"/>
        <v>echo {"issue":{"subject":"","project_id":79,"tracker_id":40,"status_id":1,"priority_id":2,"assigned_to_id":23,"start_date":"2017-08-26","description":"","custom_fields":[{"id":1,"name":"Subdivision","value":"Shuttle/Test"},{"id":4,"name":"Milepost","value":"0.0826"},{"id":17,"name":"Train ID","value":"75-26"},{"id":16,"name":"Locomotive ID","value":"4011"},{"id":130,"name":"Impact","value":""},{"id":150,"name":"Time of Event (Mountain Time)","value":"18:07:18"},{"id":151,"name":"Denver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/c/Users/stu/AppData/Local/Temp/OnboardLogs/RTDC4011 --include="*4011*201708270*"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"%USERPROFILE%\AppData\Local\Temp\OnboardLogs"\RTDC4011\*4011*201708270* &gt;&gt; 2017-08-26-SliceDisagreementCheck.txt</v>
      </c>
      <c r="AE36" s="145" t="str">
        <f t="shared" si="9"/>
        <v>start /low /b %USERPROFILE%\Documents\GitHub\eaglep3\Utilities\DownloadLogsFromS3.py --loco 4011 --day 2017-08-27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36"/>
      <sortCondition ref="E7:E36"/>
      <sortCondition ref="K7:K36"/>
      <sortCondition ref="F7:F36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36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36">
    <cfRule type="expression" dxfId="5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:XFD4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9" t="str">
        <f>"Trips that did not appear in PTC Data "&amp;TEXT(Variables!$A$2,"YYYY-mm-dd")</f>
        <v>Trips that did not appear in PTC Data 2017-08-26</v>
      </c>
      <c r="C1" s="219"/>
      <c r="D1" s="219"/>
      <c r="E1" s="219"/>
      <c r="F1" s="219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-26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Runs'!$A$13:$A$99908,1,FALSE)</f>
        <v>#N/A</v>
      </c>
    </row>
    <row r="4" spans="1:10" x14ac:dyDescent="0.25">
      <c r="A4" s="195"/>
      <c r="B4" s="42" t="str">
        <f>A4&amp;"-"&amp;IF(DAY(Variables!$A$2)&lt;10,0,"")&amp;DAY(Variables!$A$2)</f>
        <v>-26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Runs'!$A$13:$A$99908,1,FALSE)</f>
        <v>#N/A</v>
      </c>
    </row>
    <row r="5" spans="1:10" x14ac:dyDescent="0.25">
      <c r="A5" s="195"/>
      <c r="B5" s="42" t="str">
        <f>A5&amp;"-"&amp;IF(DAY(Variables!$A$2)&lt;10,0,"")&amp;DAY(Variables!$A$2)</f>
        <v>-26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Runs'!$A$13:$A$99908,1,FALSE)</f>
        <v>#N/A</v>
      </c>
    </row>
    <row r="6" spans="1:10" x14ac:dyDescent="0.25">
      <c r="A6" s="195"/>
      <c r="B6" s="42" t="str">
        <f>A6&amp;"-"&amp;IF(DAY(Variables!$A$2)&lt;10,0,"")&amp;DAY(Variables!$A$2)</f>
        <v>-26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Runs'!$A$13:$A$99908,1,FALSE)</f>
        <v>#N/A</v>
      </c>
    </row>
    <row r="7" spans="1:10" x14ac:dyDescent="0.25">
      <c r="A7" s="195"/>
      <c r="B7" s="42" t="str">
        <f>A7&amp;"-"&amp;IF(DAY(Variables!$A$2)&lt;10,0,"")&amp;DAY(Variables!$A$2)</f>
        <v>-26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Runs'!$A$13:$A$99908,1,FALSE)</f>
        <v>#N/A</v>
      </c>
    </row>
    <row r="8" spans="1:10" x14ac:dyDescent="0.25">
      <c r="A8" s="195"/>
      <c r="B8" s="42" t="str">
        <f>A8&amp;"-"&amp;IF(DAY(Variables!$A$2)&lt;10,0,"")&amp;DAY(Variables!$A$2)</f>
        <v>-26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Runs'!$A$13:$A$99908,1,FALSE)</f>
        <v>#N/A</v>
      </c>
    </row>
    <row r="9" spans="1:10" x14ac:dyDescent="0.25">
      <c r="A9" s="195"/>
      <c r="B9" s="42" t="str">
        <f>A9&amp;"-"&amp;IF(DAY(Variables!$A$2)&lt;10,0,"")&amp;DAY(Variables!$A$2)</f>
        <v>-26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Runs'!$A$13:$A$99908,1,FALSE)</f>
        <v>#N/A</v>
      </c>
    </row>
    <row r="10" spans="1:10" x14ac:dyDescent="0.25">
      <c r="A10" s="195"/>
      <c r="B10" s="42" t="str">
        <f>A10&amp;"-"&amp;IF(DAY(Variables!$A$2)&lt;10,0,"")&amp;DAY(Variables!$A$2)</f>
        <v>-26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Runs'!$A$13:$A$99908,1,FALSE)</f>
        <v>#N/A</v>
      </c>
    </row>
    <row r="11" spans="1:10" x14ac:dyDescent="0.25">
      <c r="A11" s="195"/>
      <c r="B11" s="42" t="str">
        <f>A11&amp;"-"&amp;IF(DAY(Variables!$A$2)&lt;10,0,"")&amp;DAY(Variables!$A$2)</f>
        <v>-26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Runs'!$A$13:$A$99908,1,FALSE)</f>
        <v>#N/A</v>
      </c>
    </row>
    <row r="12" spans="1:10" x14ac:dyDescent="0.25">
      <c r="A12" s="195"/>
      <c r="B12" s="42" t="str">
        <f>A12&amp;"-"&amp;IF(DAY(Variables!$A$2)&lt;10,0,"")&amp;DAY(Variables!$A$2)</f>
        <v>-26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Runs'!$A$13:$A$99908,1,FALSE)</f>
        <v>#N/A</v>
      </c>
    </row>
    <row r="13" spans="1:10" x14ac:dyDescent="0.25">
      <c r="A13" s="195"/>
      <c r="B13" s="42" t="str">
        <f>A13&amp;"-"&amp;IF(DAY(Variables!$A$2)&lt;10,0,"")&amp;DAY(Variables!$A$2)</f>
        <v>-26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Runs'!$A$13:$A$99908,1,FALSE)</f>
        <v>#N/A</v>
      </c>
    </row>
    <row r="14" spans="1:10" x14ac:dyDescent="0.25">
      <c r="A14" s="195"/>
      <c r="B14" s="42" t="str">
        <f>A14&amp;"-"&amp;IF(DAY(Variables!$A$2)&lt;10,0,"")&amp;DAY(Variables!$A$2)</f>
        <v>-26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Runs'!$A$13:$A$99908,1,FALSE)</f>
        <v>#N/A</v>
      </c>
    </row>
    <row r="15" spans="1:10" x14ac:dyDescent="0.25">
      <c r="A15" s="195"/>
      <c r="B15" s="42" t="str">
        <f>A15&amp;"-"&amp;IF(DAY(Variables!$A$2)&lt;10,0,"")&amp;DAY(Variables!$A$2)</f>
        <v>-26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Runs'!$A$13:$A$99908,1,FALSE)</f>
        <v>#N/A</v>
      </c>
    </row>
    <row r="16" spans="1:10" x14ac:dyDescent="0.25">
      <c r="A16" s="195"/>
      <c r="B16" s="42" t="str">
        <f>A16&amp;"-"&amp;IF(DAY(Variables!$A$2)&lt;10,0,"")&amp;DAY(Variables!$A$2)</f>
        <v>-26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Runs'!$A$13:$A$99908,1,FALSE)</f>
        <v>#N/A</v>
      </c>
    </row>
    <row r="17" spans="1:10" x14ac:dyDescent="0.25">
      <c r="A17" s="195"/>
      <c r="B17" s="42" t="str">
        <f>A17&amp;"-"&amp;IF(DAY(Variables!$A$2)&lt;10,0,"")&amp;DAY(Variables!$A$2)</f>
        <v>-26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Runs'!$A$13:$A$99908,1,FALSE)</f>
        <v>#N/A</v>
      </c>
    </row>
    <row r="18" spans="1:10" x14ac:dyDescent="0.25">
      <c r="A18" s="195"/>
      <c r="B18" s="42" t="str">
        <f>A18&amp;"-"&amp;IF(DAY(Variables!$A$2)&lt;10,0,"")&amp;DAY(Variables!$A$2)</f>
        <v>-26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Runs'!$A$13:$A$99908,1,FALSE)</f>
        <v>#N/A</v>
      </c>
    </row>
    <row r="19" spans="1:10" x14ac:dyDescent="0.25">
      <c r="A19" s="195"/>
      <c r="B19" s="42" t="str">
        <f>A19&amp;"-"&amp;IF(DAY(Variables!$A$2)&lt;10,0,"")&amp;DAY(Variables!$A$2)</f>
        <v>-26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Runs'!$A$13:$A$99908,1,FALSE)</f>
        <v>#N/A</v>
      </c>
    </row>
    <row r="20" spans="1:10" x14ac:dyDescent="0.25">
      <c r="A20" s="195"/>
      <c r="B20" s="42" t="str">
        <f>A20&amp;"-"&amp;IF(DAY(Variables!$A$2)&lt;10,0,"")&amp;DAY(Variables!$A$2)</f>
        <v>-26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Runs'!$A$13:$A$99908,1,FALSE)</f>
        <v>#N/A</v>
      </c>
    </row>
    <row r="21" spans="1:10" x14ac:dyDescent="0.25">
      <c r="A21" s="195"/>
      <c r="B21" s="42" t="str">
        <f>A21&amp;"-"&amp;IF(DAY(Variables!$A$2)&lt;10,0,"")&amp;DAY(Variables!$A$2)</f>
        <v>-26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Runs'!$A$13:$A$99908,1,FALSE)</f>
        <v>#N/A</v>
      </c>
    </row>
    <row r="22" spans="1:10" x14ac:dyDescent="0.25">
      <c r="A22" s="195"/>
      <c r="B22" s="42" t="str">
        <f>A22&amp;"-"&amp;IF(DAY(Variables!$A$2)&lt;10,0,"")&amp;DAY(Variables!$A$2)</f>
        <v>-26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Runs'!$A$13:$A$99908,1,FALSE)</f>
        <v>#N/A</v>
      </c>
    </row>
    <row r="23" spans="1:10" x14ac:dyDescent="0.25">
      <c r="A23" s="195"/>
      <c r="B23" s="42" t="str">
        <f>A23&amp;"-"&amp;IF(DAY(Variables!$A$2)&lt;10,0,"")&amp;DAY(Variables!$A$2)</f>
        <v>-26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Runs'!$A$13:$A$99908,1,FALSE)</f>
        <v>#N/A</v>
      </c>
    </row>
    <row r="24" spans="1:10" x14ac:dyDescent="0.25">
      <c r="A24" s="195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5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42973.047534722224</v>
      </c>
      <c r="B2" s="20" t="s">
        <v>425</v>
      </c>
      <c r="C2" s="20" t="s">
        <v>588</v>
      </c>
      <c r="D2" s="138">
        <v>3490000</v>
      </c>
      <c r="E2" s="20" t="s">
        <v>417</v>
      </c>
      <c r="F2" s="20" t="s">
        <v>418</v>
      </c>
      <c r="G2" s="8" t="str">
        <f>E2&amp;" "&amp;F2</f>
        <v>WEST BRYAN</v>
      </c>
    </row>
    <row r="3" spans="1:7" x14ac:dyDescent="0.25">
      <c r="A3" s="8">
        <v>42973.048460648148</v>
      </c>
      <c r="B3" s="20" t="s">
        <v>491</v>
      </c>
      <c r="C3" s="20" t="s">
        <v>589</v>
      </c>
      <c r="D3" s="138">
        <v>3000000</v>
      </c>
      <c r="E3" s="20" t="s">
        <v>430</v>
      </c>
      <c r="F3" s="20" t="s">
        <v>431</v>
      </c>
      <c r="G3" s="8" t="str">
        <f t="shared" ref="G3:G66" si="0">E3&amp;" "&amp;F3</f>
        <v>FORTUNATO FRANK</v>
      </c>
    </row>
    <row r="4" spans="1:7" x14ac:dyDescent="0.25">
      <c r="A4" s="8">
        <v>42973.069467592592</v>
      </c>
      <c r="B4" s="20" t="s">
        <v>590</v>
      </c>
      <c r="C4" s="20" t="s">
        <v>591</v>
      </c>
      <c r="D4" s="138">
        <v>2620000</v>
      </c>
      <c r="E4" s="20" t="s">
        <v>510</v>
      </c>
      <c r="F4" s="20" t="s">
        <v>511</v>
      </c>
      <c r="G4" s="8" t="str">
        <f t="shared" si="0"/>
        <v>PERKINS DARREN</v>
      </c>
    </row>
    <row r="5" spans="1:7" x14ac:dyDescent="0.25">
      <c r="A5" s="8">
        <v>42973.078472222223</v>
      </c>
      <c r="B5" s="20" t="s">
        <v>429</v>
      </c>
      <c r="C5" s="20" t="s">
        <v>592</v>
      </c>
      <c r="D5" s="138">
        <v>3090000</v>
      </c>
      <c r="E5" s="20" t="s">
        <v>458</v>
      </c>
      <c r="F5" s="20" t="s">
        <v>459</v>
      </c>
      <c r="G5" s="8" t="str">
        <f t="shared" si="0"/>
        <v>LAMAR NEKESHA</v>
      </c>
    </row>
    <row r="6" spans="1:7" x14ac:dyDescent="0.25">
      <c r="A6" s="8">
        <v>42973.089259259257</v>
      </c>
      <c r="B6" s="20" t="s">
        <v>493</v>
      </c>
      <c r="C6" s="20" t="s">
        <v>593</v>
      </c>
      <c r="D6" s="138">
        <v>3000000</v>
      </c>
      <c r="E6" s="20" t="s">
        <v>430</v>
      </c>
      <c r="F6" s="20" t="s">
        <v>431</v>
      </c>
      <c r="G6" s="8" t="str">
        <f t="shared" si="0"/>
        <v>FORTUNATO FRANK</v>
      </c>
    </row>
    <row r="7" spans="1:7" x14ac:dyDescent="0.25">
      <c r="A7" s="8">
        <v>42973.110034722224</v>
      </c>
      <c r="B7" s="20" t="s">
        <v>445</v>
      </c>
      <c r="C7" s="20" t="s">
        <v>594</v>
      </c>
      <c r="D7" s="138">
        <v>3090000</v>
      </c>
      <c r="E7" s="20" t="s">
        <v>458</v>
      </c>
      <c r="F7" s="20" t="s">
        <v>459</v>
      </c>
      <c r="G7" s="8" t="str">
        <f t="shared" si="0"/>
        <v>LAMAR NEKESHA</v>
      </c>
    </row>
    <row r="8" spans="1:7" x14ac:dyDescent="0.25">
      <c r="A8" s="8">
        <v>42973.113935185182</v>
      </c>
      <c r="B8" s="20" t="s">
        <v>497</v>
      </c>
      <c r="C8" s="20" t="s">
        <v>595</v>
      </c>
      <c r="D8" s="138">
        <v>2010000</v>
      </c>
      <c r="E8" s="20" t="s">
        <v>596</v>
      </c>
      <c r="F8" s="20" t="s">
        <v>597</v>
      </c>
      <c r="G8" s="8" t="str">
        <f t="shared" si="0"/>
        <v>MAELZER KURT</v>
      </c>
    </row>
    <row r="9" spans="1:7" ht="15.75" thickBot="1" x14ac:dyDescent="0.3">
      <c r="A9" s="24">
        <v>42973.129317129627</v>
      </c>
      <c r="B9" s="20" t="s">
        <v>488</v>
      </c>
      <c r="C9" s="20" t="s">
        <v>598</v>
      </c>
      <c r="D9" s="138">
        <v>2010000</v>
      </c>
      <c r="E9" s="20" t="s">
        <v>596</v>
      </c>
      <c r="F9" s="20" t="s">
        <v>597</v>
      </c>
      <c r="G9" s="8" t="str">
        <f t="shared" si="0"/>
        <v>MAELZER KURT</v>
      </c>
    </row>
    <row r="10" spans="1:7" x14ac:dyDescent="0.25">
      <c r="A10" s="8">
        <v>42973.132916666669</v>
      </c>
      <c r="B10" s="20" t="s">
        <v>498</v>
      </c>
      <c r="C10" s="20" t="s">
        <v>599</v>
      </c>
      <c r="D10" s="138">
        <v>1340000</v>
      </c>
      <c r="E10" s="20" t="s">
        <v>501</v>
      </c>
      <c r="F10" s="20" t="s">
        <v>502</v>
      </c>
      <c r="G10" s="8" t="str">
        <f t="shared" si="0"/>
        <v>BEAM ROSS</v>
      </c>
    </row>
    <row r="11" spans="1:7" x14ac:dyDescent="0.25">
      <c r="A11" s="8">
        <v>42973.133449074077</v>
      </c>
      <c r="B11" s="20" t="s">
        <v>498</v>
      </c>
      <c r="C11" s="20" t="s">
        <v>600</v>
      </c>
      <c r="D11" s="138">
        <v>1340000</v>
      </c>
      <c r="E11" s="20" t="s">
        <v>501</v>
      </c>
      <c r="F11" s="20" t="s">
        <v>502</v>
      </c>
      <c r="G11" s="8" t="str">
        <f t="shared" si="0"/>
        <v>BEAM ROSS</v>
      </c>
    </row>
    <row r="12" spans="1:7" x14ac:dyDescent="0.25">
      <c r="A12" s="8">
        <v>42973.134351851855</v>
      </c>
      <c r="B12" s="20" t="s">
        <v>498</v>
      </c>
      <c r="C12" s="20" t="s">
        <v>599</v>
      </c>
      <c r="D12" s="138">
        <v>1340000</v>
      </c>
      <c r="E12" s="20" t="s">
        <v>501</v>
      </c>
      <c r="F12" s="20" t="s">
        <v>502</v>
      </c>
      <c r="G12" s="8" t="str">
        <f t="shared" si="0"/>
        <v>BEAM ROSS</v>
      </c>
    </row>
    <row r="13" spans="1:7" x14ac:dyDescent="0.25">
      <c r="A13" s="8">
        <v>42973.135115740741</v>
      </c>
      <c r="B13" s="20" t="s">
        <v>498</v>
      </c>
      <c r="C13" s="20" t="s">
        <v>599</v>
      </c>
      <c r="D13" s="138">
        <v>1340000</v>
      </c>
      <c r="E13" s="20" t="s">
        <v>501</v>
      </c>
      <c r="F13" s="20" t="s">
        <v>502</v>
      </c>
      <c r="G13" s="8" t="str">
        <f t="shared" si="0"/>
        <v>BEAM ROSS</v>
      </c>
    </row>
    <row r="14" spans="1:7" x14ac:dyDescent="0.25">
      <c r="A14" s="8">
        <v>42973.136828703704</v>
      </c>
      <c r="B14" s="20" t="s">
        <v>409</v>
      </c>
      <c r="C14" s="20" t="s">
        <v>601</v>
      </c>
      <c r="D14" s="138">
        <v>3040000</v>
      </c>
      <c r="E14" s="20" t="s">
        <v>499</v>
      </c>
      <c r="F14" s="20" t="s">
        <v>500</v>
      </c>
      <c r="G14" s="8" t="str">
        <f t="shared" si="0"/>
        <v>WILLIAMS DONTE</v>
      </c>
    </row>
    <row r="15" spans="1:7" x14ac:dyDescent="0.25">
      <c r="A15" s="8">
        <v>42973.15221064815</v>
      </c>
      <c r="B15" s="20" t="s">
        <v>498</v>
      </c>
      <c r="C15" s="20" t="s">
        <v>602</v>
      </c>
      <c r="D15" s="138">
        <v>1340000</v>
      </c>
      <c r="E15" s="20" t="s">
        <v>501</v>
      </c>
      <c r="F15" s="20" t="s">
        <v>502</v>
      </c>
      <c r="G15" s="8" t="str">
        <f t="shared" si="0"/>
        <v>BEAM ROSS</v>
      </c>
    </row>
    <row r="16" spans="1:7" x14ac:dyDescent="0.25">
      <c r="A16" s="8">
        <v>42973.154548611114</v>
      </c>
      <c r="B16" s="20" t="s">
        <v>413</v>
      </c>
      <c r="C16" s="20" t="s">
        <v>603</v>
      </c>
      <c r="D16" s="138">
        <v>3040000</v>
      </c>
      <c r="E16" s="20" t="s">
        <v>499</v>
      </c>
      <c r="F16" s="20" t="s">
        <v>500</v>
      </c>
      <c r="G16" s="8" t="str">
        <f t="shared" si="0"/>
        <v>WILLIAMS DONTE</v>
      </c>
    </row>
    <row r="17" spans="1:7" x14ac:dyDescent="0.25">
      <c r="A17" s="8">
        <v>42973.154849537037</v>
      </c>
      <c r="B17" s="20" t="s">
        <v>497</v>
      </c>
      <c r="C17" s="20" t="s">
        <v>604</v>
      </c>
      <c r="D17" s="138">
        <v>1340000</v>
      </c>
      <c r="E17" s="20" t="s">
        <v>501</v>
      </c>
      <c r="F17" s="20" t="s">
        <v>502</v>
      </c>
      <c r="G17" s="8" t="str">
        <f t="shared" si="0"/>
        <v>BEAM ROSS</v>
      </c>
    </row>
    <row r="18" spans="1:7" x14ac:dyDescent="0.25">
      <c r="A18" s="8">
        <v>42973.158993055556</v>
      </c>
      <c r="B18" s="20" t="s">
        <v>447</v>
      </c>
      <c r="C18" s="20" t="s">
        <v>605</v>
      </c>
      <c r="D18" s="138">
        <v>1990000</v>
      </c>
      <c r="E18" s="20" t="s">
        <v>351</v>
      </c>
      <c r="F18" s="20" t="s">
        <v>448</v>
      </c>
      <c r="G18" s="8" t="str">
        <f t="shared" si="0"/>
        <v>DAVIS WENDY</v>
      </c>
    </row>
    <row r="19" spans="1:7" x14ac:dyDescent="0.25">
      <c r="A19" s="8">
        <v>42973.169444444444</v>
      </c>
      <c r="B19" s="20" t="s">
        <v>446</v>
      </c>
      <c r="C19" s="20" t="s">
        <v>606</v>
      </c>
      <c r="D19" s="138">
        <v>1990000</v>
      </c>
      <c r="E19" s="20" t="s">
        <v>351</v>
      </c>
      <c r="F19" s="20" t="s">
        <v>448</v>
      </c>
      <c r="G19" s="8" t="str">
        <f t="shared" si="0"/>
        <v>DAVIS WENDY</v>
      </c>
    </row>
    <row r="20" spans="1:7" x14ac:dyDescent="0.25">
      <c r="A20" s="8">
        <v>42973.171377314815</v>
      </c>
      <c r="B20" s="20" t="s">
        <v>489</v>
      </c>
      <c r="C20" s="20" t="s">
        <v>607</v>
      </c>
      <c r="D20" s="138">
        <v>2010000</v>
      </c>
      <c r="E20" s="20" t="s">
        <v>596</v>
      </c>
      <c r="F20" s="20" t="s">
        <v>597</v>
      </c>
      <c r="G20" s="8" t="str">
        <f t="shared" si="0"/>
        <v>MAELZER KURT</v>
      </c>
    </row>
    <row r="21" spans="1:7" x14ac:dyDescent="0.25">
      <c r="A21" s="8">
        <v>42973.174513888887</v>
      </c>
      <c r="B21" s="20" t="s">
        <v>582</v>
      </c>
      <c r="C21" s="20" t="s">
        <v>608</v>
      </c>
      <c r="D21" s="138">
        <v>1100000</v>
      </c>
      <c r="E21" s="20" t="s">
        <v>609</v>
      </c>
      <c r="F21" s="20" t="s">
        <v>610</v>
      </c>
      <c r="G21" s="8" t="str">
        <f t="shared" si="0"/>
        <v>GEBRETEKLE DAGNEW</v>
      </c>
    </row>
    <row r="22" spans="1:7" x14ac:dyDescent="0.25">
      <c r="A22" s="26">
        <v>42973.177673611113</v>
      </c>
      <c r="B22" s="20" t="s">
        <v>411</v>
      </c>
      <c r="C22" s="20" t="s">
        <v>611</v>
      </c>
      <c r="D22" s="138">
        <v>2530000</v>
      </c>
      <c r="E22" s="20" t="s">
        <v>612</v>
      </c>
      <c r="F22" s="20" t="s">
        <v>613</v>
      </c>
      <c r="G22" s="8" t="str">
        <f t="shared" si="0"/>
        <v>LALONDE GREGORY</v>
      </c>
    </row>
    <row r="23" spans="1:7" x14ac:dyDescent="0.25">
      <c r="A23" s="8">
        <v>42973.185370370367</v>
      </c>
      <c r="B23" s="20" t="s">
        <v>570</v>
      </c>
      <c r="C23" s="20" t="s">
        <v>614</v>
      </c>
      <c r="D23" s="138">
        <v>1100000</v>
      </c>
      <c r="E23" s="20" t="s">
        <v>609</v>
      </c>
      <c r="F23" s="20" t="s">
        <v>610</v>
      </c>
      <c r="G23" s="8" t="str">
        <f t="shared" si="0"/>
        <v>GEBRETEKLE DAGNEW</v>
      </c>
    </row>
    <row r="24" spans="1:7" x14ac:dyDescent="0.25">
      <c r="A24" s="8">
        <v>42973.192847222221</v>
      </c>
      <c r="B24" s="20" t="s">
        <v>412</v>
      </c>
      <c r="C24" s="20" t="s">
        <v>615</v>
      </c>
      <c r="D24" s="138">
        <v>2530000</v>
      </c>
      <c r="E24" s="20" t="s">
        <v>612</v>
      </c>
      <c r="F24" s="20" t="s">
        <v>613</v>
      </c>
      <c r="G24" s="8" t="str">
        <f t="shared" si="0"/>
        <v>LALONDE GREGORY</v>
      </c>
    </row>
    <row r="25" spans="1:7" x14ac:dyDescent="0.25">
      <c r="A25" s="8">
        <v>42973.193865740737</v>
      </c>
      <c r="B25" s="20" t="s">
        <v>409</v>
      </c>
      <c r="C25" s="20" t="s">
        <v>563</v>
      </c>
      <c r="D25" s="138">
        <v>3040000</v>
      </c>
      <c r="E25" s="20" t="s">
        <v>499</v>
      </c>
      <c r="F25" s="20" t="s">
        <v>500</v>
      </c>
      <c r="G25" s="8" t="str">
        <f t="shared" si="0"/>
        <v>WILLIAMS DONTE</v>
      </c>
    </row>
    <row r="26" spans="1:7" x14ac:dyDescent="0.25">
      <c r="A26" s="8">
        <v>42973.194594907407</v>
      </c>
      <c r="B26" s="20" t="s">
        <v>490</v>
      </c>
      <c r="C26" s="20" t="s">
        <v>616</v>
      </c>
      <c r="D26" s="138">
        <v>2600000</v>
      </c>
      <c r="E26" s="20" t="s">
        <v>617</v>
      </c>
      <c r="F26" s="20" t="s">
        <v>414</v>
      </c>
      <c r="G26" s="8" t="str">
        <f t="shared" si="0"/>
        <v>DAVIDSON DAVID</v>
      </c>
    </row>
    <row r="27" spans="1:7" x14ac:dyDescent="0.25">
      <c r="A27" s="8">
        <v>42973.204733796294</v>
      </c>
      <c r="B27" s="20" t="s">
        <v>488</v>
      </c>
      <c r="C27" s="20" t="s">
        <v>618</v>
      </c>
      <c r="D27" s="138">
        <v>2010000</v>
      </c>
      <c r="E27" s="20" t="s">
        <v>596</v>
      </c>
      <c r="F27" s="20" t="s">
        <v>597</v>
      </c>
      <c r="G27" s="8" t="str">
        <f t="shared" si="0"/>
        <v>MAELZER KURT</v>
      </c>
    </row>
    <row r="28" spans="1:7" x14ac:dyDescent="0.25">
      <c r="A28" s="8">
        <v>42973.208414351851</v>
      </c>
      <c r="B28" s="20" t="s">
        <v>366</v>
      </c>
      <c r="C28" s="20" t="s">
        <v>619</v>
      </c>
      <c r="D28" s="138">
        <v>2600000</v>
      </c>
      <c r="E28" s="20" t="s">
        <v>617</v>
      </c>
      <c r="F28" s="20" t="s">
        <v>414</v>
      </c>
      <c r="G28" s="8" t="str">
        <f t="shared" si="0"/>
        <v>DAVIDSON DAVID</v>
      </c>
    </row>
    <row r="29" spans="1:7" x14ac:dyDescent="0.25">
      <c r="A29" s="8">
        <v>42973.213946759257</v>
      </c>
      <c r="B29" s="20" t="s">
        <v>582</v>
      </c>
      <c r="C29" s="20" t="s">
        <v>620</v>
      </c>
      <c r="D29" s="138">
        <v>1100000</v>
      </c>
      <c r="E29" s="20" t="s">
        <v>609</v>
      </c>
      <c r="F29" s="20" t="s">
        <v>610</v>
      </c>
      <c r="G29" s="8" t="str">
        <f t="shared" si="0"/>
        <v>GEBRETEKLE DAGNEW</v>
      </c>
    </row>
    <row r="30" spans="1:7" x14ac:dyDescent="0.25">
      <c r="A30" s="8">
        <v>42973.214641203704</v>
      </c>
      <c r="B30" s="20" t="s">
        <v>447</v>
      </c>
      <c r="C30" s="20" t="s">
        <v>621</v>
      </c>
      <c r="D30" s="138">
        <v>1990000</v>
      </c>
      <c r="E30" s="20" t="s">
        <v>351</v>
      </c>
      <c r="F30" s="20" t="s">
        <v>448</v>
      </c>
      <c r="G30" s="8" t="str">
        <f t="shared" si="0"/>
        <v>DAVIS WENDY</v>
      </c>
    </row>
    <row r="31" spans="1:7" x14ac:dyDescent="0.25">
      <c r="A31" s="8">
        <v>42973.22016203704</v>
      </c>
      <c r="B31" s="20" t="s">
        <v>577</v>
      </c>
      <c r="C31" s="20" t="s">
        <v>622</v>
      </c>
      <c r="D31" s="138">
        <v>2970000</v>
      </c>
      <c r="E31" s="20" t="s">
        <v>504</v>
      </c>
      <c r="F31" s="20" t="s">
        <v>505</v>
      </c>
      <c r="G31" s="8" t="str">
        <f t="shared" si="0"/>
        <v>GUZMAN DANNY</v>
      </c>
    </row>
    <row r="32" spans="1:7" x14ac:dyDescent="0.25">
      <c r="A32" s="8">
        <v>42973.224479166667</v>
      </c>
      <c r="B32" s="20" t="s">
        <v>411</v>
      </c>
      <c r="C32" s="20" t="s">
        <v>623</v>
      </c>
      <c r="D32" s="138">
        <v>2530000</v>
      </c>
      <c r="E32" s="20" t="s">
        <v>612</v>
      </c>
      <c r="F32" s="20" t="s">
        <v>613</v>
      </c>
      <c r="G32" s="8" t="str">
        <f t="shared" si="0"/>
        <v>LALONDE GREGORY</v>
      </c>
    </row>
    <row r="33" spans="1:7" x14ac:dyDescent="0.25">
      <c r="A33" s="8">
        <v>42973.225740740738</v>
      </c>
      <c r="B33" s="20" t="s">
        <v>492</v>
      </c>
      <c r="C33" s="20" t="s">
        <v>624</v>
      </c>
      <c r="D33" s="138">
        <v>2560000</v>
      </c>
      <c r="E33" s="20" t="s">
        <v>625</v>
      </c>
      <c r="F33" s="20" t="s">
        <v>348</v>
      </c>
      <c r="G33" s="8" t="str">
        <f t="shared" si="0"/>
        <v>MACDONALD THOMAS</v>
      </c>
    </row>
    <row r="34" spans="1:7" x14ac:dyDescent="0.25">
      <c r="A34" s="8">
        <v>42973.227708333332</v>
      </c>
      <c r="B34" s="20" t="s">
        <v>413</v>
      </c>
      <c r="C34" s="20" t="s">
        <v>564</v>
      </c>
      <c r="D34" s="138">
        <v>3040000</v>
      </c>
      <c r="E34" s="20" t="s">
        <v>499</v>
      </c>
      <c r="F34" s="20" t="s">
        <v>500</v>
      </c>
      <c r="G34" s="8" t="str">
        <f t="shared" si="0"/>
        <v>WILLIAMS DONTE</v>
      </c>
    </row>
    <row r="35" spans="1:7" x14ac:dyDescent="0.25">
      <c r="A35" s="8">
        <v>42973.232303240744</v>
      </c>
      <c r="B35" s="20" t="s">
        <v>565</v>
      </c>
      <c r="C35" s="20" t="s">
        <v>626</v>
      </c>
      <c r="D35" s="138">
        <v>2970000</v>
      </c>
      <c r="E35" s="20" t="s">
        <v>504</v>
      </c>
      <c r="F35" s="20" t="s">
        <v>505</v>
      </c>
      <c r="G35" s="8" t="str">
        <f t="shared" si="0"/>
        <v>GUZMAN DANNY</v>
      </c>
    </row>
    <row r="36" spans="1:7" x14ac:dyDescent="0.25">
      <c r="A36" s="8">
        <v>42973.235648148147</v>
      </c>
      <c r="B36" s="20" t="s">
        <v>503</v>
      </c>
      <c r="C36" s="20" t="s">
        <v>627</v>
      </c>
      <c r="D36" s="138">
        <v>2560000</v>
      </c>
      <c r="E36" s="20" t="s">
        <v>625</v>
      </c>
      <c r="F36" s="20" t="s">
        <v>348</v>
      </c>
      <c r="G36" s="8" t="str">
        <f t="shared" si="0"/>
        <v>MACDONALD THOMAS</v>
      </c>
    </row>
    <row r="37" spans="1:7" x14ac:dyDescent="0.25">
      <c r="A37" s="8">
        <v>42973.24559027778</v>
      </c>
      <c r="B37" s="20" t="s">
        <v>489</v>
      </c>
      <c r="C37" s="20" t="s">
        <v>628</v>
      </c>
      <c r="D37" s="138">
        <v>2010000</v>
      </c>
      <c r="E37" s="20" t="s">
        <v>596</v>
      </c>
      <c r="F37" s="20" t="s">
        <v>597</v>
      </c>
      <c r="G37" s="8" t="str">
        <f t="shared" si="0"/>
        <v>MAELZER KURT</v>
      </c>
    </row>
    <row r="38" spans="1:7" x14ac:dyDescent="0.25">
      <c r="A38" s="8">
        <v>42973.246712962966</v>
      </c>
      <c r="B38" s="20" t="s">
        <v>446</v>
      </c>
      <c r="C38" s="20" t="s">
        <v>629</v>
      </c>
      <c r="D38" s="138">
        <v>1990000</v>
      </c>
      <c r="E38" s="20" t="s">
        <v>351</v>
      </c>
      <c r="F38" s="20" t="s">
        <v>448</v>
      </c>
      <c r="G38" s="8" t="str">
        <f t="shared" si="0"/>
        <v>DAVIS WENDY</v>
      </c>
    </row>
    <row r="39" spans="1:7" x14ac:dyDescent="0.25">
      <c r="A39" s="8">
        <v>42973.247708333336</v>
      </c>
      <c r="B39" s="20" t="s">
        <v>492</v>
      </c>
      <c r="C39" s="20" t="s">
        <v>630</v>
      </c>
      <c r="D39" s="138">
        <v>2560000</v>
      </c>
      <c r="E39" s="20" t="s">
        <v>625</v>
      </c>
      <c r="F39" s="20" t="s">
        <v>348</v>
      </c>
      <c r="G39" s="8" t="str">
        <f t="shared" si="0"/>
        <v>MACDONALD THOMAS</v>
      </c>
    </row>
    <row r="40" spans="1:7" x14ac:dyDescent="0.25">
      <c r="A40" s="8">
        <v>42973.249039351853</v>
      </c>
      <c r="B40" s="25" t="s">
        <v>490</v>
      </c>
      <c r="C40" s="20" t="s">
        <v>631</v>
      </c>
      <c r="D40" s="138">
        <v>2600000</v>
      </c>
      <c r="E40" s="20" t="s">
        <v>617</v>
      </c>
      <c r="F40" s="20" t="s">
        <v>414</v>
      </c>
      <c r="G40" s="8" t="str">
        <f t="shared" si="0"/>
        <v>DAVIDSON DAVID</v>
      </c>
    </row>
    <row r="41" spans="1:7" x14ac:dyDescent="0.25">
      <c r="A41" s="8">
        <v>42973.255624999998</v>
      </c>
      <c r="B41" s="20" t="s">
        <v>570</v>
      </c>
      <c r="C41" s="20" t="s">
        <v>632</v>
      </c>
      <c r="D41" s="138">
        <v>1100000</v>
      </c>
      <c r="E41" s="20" t="s">
        <v>609</v>
      </c>
      <c r="F41" s="20" t="s">
        <v>610</v>
      </c>
      <c r="G41" s="8" t="str">
        <f t="shared" si="0"/>
        <v>GEBRETEKLE DAGNEW</v>
      </c>
    </row>
    <row r="42" spans="1:7" x14ac:dyDescent="0.25">
      <c r="A42" s="8">
        <v>42973.266134259262</v>
      </c>
      <c r="B42" s="20" t="s">
        <v>409</v>
      </c>
      <c r="C42" s="20" t="s">
        <v>633</v>
      </c>
      <c r="D42" s="138">
        <v>3040000</v>
      </c>
      <c r="E42" s="20" t="s">
        <v>499</v>
      </c>
      <c r="F42" s="20" t="s">
        <v>500</v>
      </c>
      <c r="G42" s="8" t="str">
        <f t="shared" si="0"/>
        <v>WILLIAMS DONTE</v>
      </c>
    </row>
    <row r="43" spans="1:7" x14ac:dyDescent="0.25">
      <c r="A43" s="8">
        <v>42973.269386574073</v>
      </c>
      <c r="B43" s="20" t="s">
        <v>412</v>
      </c>
      <c r="C43" s="20" t="s">
        <v>634</v>
      </c>
      <c r="D43" s="138">
        <v>2530000</v>
      </c>
      <c r="E43" s="20" t="s">
        <v>612</v>
      </c>
      <c r="F43" s="20" t="s">
        <v>613</v>
      </c>
      <c r="G43" s="8" t="str">
        <f t="shared" si="0"/>
        <v>LALONDE GREGORY</v>
      </c>
    </row>
    <row r="44" spans="1:7" x14ac:dyDescent="0.25">
      <c r="A44" s="8">
        <v>42973.269849537035</v>
      </c>
      <c r="B44" s="20" t="s">
        <v>577</v>
      </c>
      <c r="C44" s="20" t="s">
        <v>635</v>
      </c>
      <c r="D44" s="138">
        <v>2970000</v>
      </c>
      <c r="E44" s="20" t="s">
        <v>504</v>
      </c>
      <c r="F44" s="20" t="s">
        <v>505</v>
      </c>
      <c r="G44" s="8" t="str">
        <f t="shared" si="0"/>
        <v>GUZMAN DANNY</v>
      </c>
    </row>
    <row r="45" spans="1:7" x14ac:dyDescent="0.25">
      <c r="A45" s="8">
        <v>42973.275254629632</v>
      </c>
      <c r="B45" s="20" t="s">
        <v>503</v>
      </c>
      <c r="C45" s="20" t="s">
        <v>636</v>
      </c>
      <c r="D45" s="138">
        <v>2560000</v>
      </c>
      <c r="E45" s="20" t="s">
        <v>625</v>
      </c>
      <c r="F45" s="20" t="s">
        <v>348</v>
      </c>
      <c r="G45" s="8" t="str">
        <f t="shared" si="0"/>
        <v>MACDONALD THOMAS</v>
      </c>
    </row>
    <row r="46" spans="1:7" x14ac:dyDescent="0.25">
      <c r="A46" s="8">
        <v>42973.278773148151</v>
      </c>
      <c r="B46" s="20" t="s">
        <v>488</v>
      </c>
      <c r="C46" s="20" t="s">
        <v>637</v>
      </c>
      <c r="D46" s="138">
        <v>2010000</v>
      </c>
      <c r="E46" s="20" t="s">
        <v>596</v>
      </c>
      <c r="F46" s="20" t="s">
        <v>597</v>
      </c>
      <c r="G46" s="8" t="str">
        <f t="shared" si="0"/>
        <v>MAELZER KURT</v>
      </c>
    </row>
    <row r="47" spans="1:7" x14ac:dyDescent="0.25">
      <c r="A47" s="8">
        <v>42973.286585648151</v>
      </c>
      <c r="B47" s="20" t="s">
        <v>582</v>
      </c>
      <c r="C47" s="20" t="s">
        <v>638</v>
      </c>
      <c r="D47" s="138">
        <v>1100000</v>
      </c>
      <c r="E47" s="20" t="s">
        <v>609</v>
      </c>
      <c r="F47" s="20" t="s">
        <v>610</v>
      </c>
      <c r="G47" s="8" t="str">
        <f t="shared" si="0"/>
        <v>GEBRETEKLE DAGNEW</v>
      </c>
    </row>
    <row r="48" spans="1:7" x14ac:dyDescent="0.25">
      <c r="A48" s="8">
        <v>42973.28738425926</v>
      </c>
      <c r="B48" s="20" t="s">
        <v>447</v>
      </c>
      <c r="C48" s="20" t="s">
        <v>639</v>
      </c>
      <c r="D48" s="138">
        <v>1990000</v>
      </c>
      <c r="E48" s="20" t="s">
        <v>351</v>
      </c>
      <c r="F48" s="20" t="s">
        <v>448</v>
      </c>
      <c r="G48" s="8" t="str">
        <f t="shared" si="0"/>
        <v>DAVIS WENDY</v>
      </c>
    </row>
    <row r="49" spans="1:7" x14ac:dyDescent="0.25">
      <c r="A49" s="8">
        <v>42973.287858796299</v>
      </c>
      <c r="B49" s="20" t="s">
        <v>366</v>
      </c>
      <c r="C49" s="20" t="s">
        <v>640</v>
      </c>
      <c r="D49" s="138">
        <v>2600000</v>
      </c>
      <c r="E49" s="20" t="s">
        <v>617</v>
      </c>
      <c r="F49" s="20" t="s">
        <v>414</v>
      </c>
      <c r="G49" s="8" t="str">
        <f t="shared" si="0"/>
        <v>DAVIDSON DAVID</v>
      </c>
    </row>
    <row r="50" spans="1:7" x14ac:dyDescent="0.25">
      <c r="A50" s="8">
        <v>42973.297662037039</v>
      </c>
      <c r="B50" s="20" t="s">
        <v>411</v>
      </c>
      <c r="C50" s="20" t="s">
        <v>641</v>
      </c>
      <c r="D50" s="138">
        <v>2530000</v>
      </c>
      <c r="E50" s="20" t="s">
        <v>612</v>
      </c>
      <c r="F50" s="20" t="s">
        <v>613</v>
      </c>
      <c r="G50" s="8" t="str">
        <f t="shared" si="0"/>
        <v>LALONDE GREGORY</v>
      </c>
    </row>
    <row r="51" spans="1:7" x14ac:dyDescent="0.25">
      <c r="A51" s="8">
        <v>42973.298368055555</v>
      </c>
      <c r="B51" s="20" t="s">
        <v>413</v>
      </c>
      <c r="C51" s="20" t="s">
        <v>642</v>
      </c>
      <c r="D51" s="138">
        <v>3040000</v>
      </c>
      <c r="E51" s="20" t="s">
        <v>499</v>
      </c>
      <c r="F51" s="20" t="s">
        <v>500</v>
      </c>
      <c r="G51" s="8" t="str">
        <f t="shared" si="0"/>
        <v>WILLIAMS DONTE</v>
      </c>
    </row>
    <row r="52" spans="1:7" x14ac:dyDescent="0.25">
      <c r="A52" s="8">
        <v>42973.305300925924</v>
      </c>
      <c r="B52" s="20" t="s">
        <v>492</v>
      </c>
      <c r="C52" s="20" t="s">
        <v>643</v>
      </c>
      <c r="D52" s="138">
        <v>2560000</v>
      </c>
      <c r="E52" s="20" t="s">
        <v>625</v>
      </c>
      <c r="F52" s="20" t="s">
        <v>348</v>
      </c>
      <c r="G52" s="8" t="str">
        <f t="shared" si="0"/>
        <v>MACDONALD THOMAS</v>
      </c>
    </row>
    <row r="53" spans="1:7" x14ac:dyDescent="0.25">
      <c r="A53" s="8">
        <v>42973.308692129627</v>
      </c>
      <c r="B53" s="20" t="s">
        <v>565</v>
      </c>
      <c r="C53" s="20" t="s">
        <v>566</v>
      </c>
      <c r="D53" s="138">
        <v>3120000</v>
      </c>
      <c r="E53" s="20" t="s">
        <v>644</v>
      </c>
      <c r="F53" s="20" t="s">
        <v>645</v>
      </c>
      <c r="G53" s="8" t="str">
        <f t="shared" si="0"/>
        <v>THOMPSON LESTER</v>
      </c>
    </row>
    <row r="54" spans="1:7" x14ac:dyDescent="0.25">
      <c r="A54" s="8">
        <v>42973.314780092594</v>
      </c>
      <c r="B54" s="20" t="s">
        <v>489</v>
      </c>
      <c r="C54" s="20" t="s">
        <v>646</v>
      </c>
      <c r="D54" s="138">
        <v>2010000</v>
      </c>
      <c r="E54" s="20" t="s">
        <v>596</v>
      </c>
      <c r="F54" s="20" t="s">
        <v>597</v>
      </c>
      <c r="G54" s="8" t="str">
        <f t="shared" si="0"/>
        <v>MAELZER KURT</v>
      </c>
    </row>
    <row r="55" spans="1:7" x14ac:dyDescent="0.25">
      <c r="A55" s="8">
        <v>42973.316620370373</v>
      </c>
      <c r="B55" s="20" t="s">
        <v>503</v>
      </c>
      <c r="C55" s="20" t="s">
        <v>647</v>
      </c>
      <c r="D55" s="138">
        <v>2560000</v>
      </c>
      <c r="E55" s="20" t="s">
        <v>625</v>
      </c>
      <c r="F55" s="20" t="s">
        <v>348</v>
      </c>
      <c r="G55" s="8" t="str">
        <f t="shared" si="0"/>
        <v>MACDONALD THOMAS</v>
      </c>
    </row>
    <row r="56" spans="1:7" x14ac:dyDescent="0.25">
      <c r="A56" s="8">
        <v>42973.318020833336</v>
      </c>
      <c r="B56" s="20" t="s">
        <v>446</v>
      </c>
      <c r="C56" s="20" t="s">
        <v>648</v>
      </c>
      <c r="D56" s="138">
        <v>1990000</v>
      </c>
      <c r="E56" s="20" t="s">
        <v>351</v>
      </c>
      <c r="F56" s="20" t="s">
        <v>448</v>
      </c>
      <c r="G56" s="8" t="str">
        <f t="shared" si="0"/>
        <v>DAVIS WENDY</v>
      </c>
    </row>
    <row r="57" spans="1:7" x14ac:dyDescent="0.25">
      <c r="A57" s="8">
        <v>42973.319814814815</v>
      </c>
      <c r="B57" s="20" t="s">
        <v>490</v>
      </c>
      <c r="C57" s="20" t="s">
        <v>649</v>
      </c>
      <c r="D57" s="138">
        <v>2600000</v>
      </c>
      <c r="E57" s="20" t="s">
        <v>617</v>
      </c>
      <c r="F57" s="20" t="s">
        <v>414</v>
      </c>
      <c r="G57" s="8" t="str">
        <f t="shared" si="0"/>
        <v>DAVIDSON DAVID</v>
      </c>
    </row>
    <row r="58" spans="1:7" x14ac:dyDescent="0.25">
      <c r="A58" s="8">
        <v>42973.329872685186</v>
      </c>
      <c r="B58" s="20" t="s">
        <v>570</v>
      </c>
      <c r="C58" s="20" t="s">
        <v>650</v>
      </c>
      <c r="D58" s="138">
        <v>1100000</v>
      </c>
      <c r="E58" s="20" t="s">
        <v>609</v>
      </c>
      <c r="F58" s="20" t="s">
        <v>610</v>
      </c>
      <c r="G58" s="8" t="str">
        <f t="shared" si="0"/>
        <v>GEBRETEKLE DAGNEW</v>
      </c>
    </row>
    <row r="59" spans="1:7" x14ac:dyDescent="0.25">
      <c r="A59" s="8">
        <v>42973.331493055557</v>
      </c>
      <c r="B59" s="20" t="s">
        <v>492</v>
      </c>
      <c r="C59" s="20" t="s">
        <v>651</v>
      </c>
      <c r="D59" s="138">
        <v>2560000</v>
      </c>
      <c r="E59" s="20" t="s">
        <v>625</v>
      </c>
      <c r="F59" s="20" t="s">
        <v>348</v>
      </c>
      <c r="G59" s="8" t="str">
        <f t="shared" si="0"/>
        <v>MACDONALD THOMAS</v>
      </c>
    </row>
    <row r="60" spans="1:7" x14ac:dyDescent="0.25">
      <c r="A60" s="8">
        <v>42973.337719907409</v>
      </c>
      <c r="B60" s="20" t="s">
        <v>409</v>
      </c>
      <c r="C60" s="20" t="s">
        <v>652</v>
      </c>
      <c r="D60" s="138">
        <v>3040000</v>
      </c>
      <c r="E60" s="20" t="s">
        <v>499</v>
      </c>
      <c r="F60" s="20" t="s">
        <v>500</v>
      </c>
      <c r="G60" s="8" t="str">
        <f t="shared" si="0"/>
        <v>WILLIAMS DONTE</v>
      </c>
    </row>
    <row r="61" spans="1:7" x14ac:dyDescent="0.25">
      <c r="A61" s="8">
        <v>42973.338101851848</v>
      </c>
      <c r="B61" s="20" t="s">
        <v>412</v>
      </c>
      <c r="C61" s="20" t="s">
        <v>653</v>
      </c>
      <c r="D61" s="138">
        <v>2530000</v>
      </c>
      <c r="E61" s="20" t="s">
        <v>612</v>
      </c>
      <c r="F61" s="20" t="s">
        <v>613</v>
      </c>
      <c r="G61" s="8" t="str">
        <f t="shared" si="0"/>
        <v>LALONDE GREGORY</v>
      </c>
    </row>
    <row r="62" spans="1:7" x14ac:dyDescent="0.25">
      <c r="A62" s="8">
        <v>42973.349861111114</v>
      </c>
      <c r="B62" s="20" t="s">
        <v>577</v>
      </c>
      <c r="C62" s="20" t="s">
        <v>654</v>
      </c>
      <c r="D62" s="138">
        <v>3120000</v>
      </c>
      <c r="E62" s="20" t="s">
        <v>644</v>
      </c>
      <c r="F62" s="20" t="s">
        <v>645</v>
      </c>
      <c r="G62" s="8" t="str">
        <f t="shared" si="0"/>
        <v>THOMPSON LESTER</v>
      </c>
    </row>
    <row r="63" spans="1:7" x14ac:dyDescent="0.25">
      <c r="A63" s="8">
        <v>42973.350046296298</v>
      </c>
      <c r="B63" s="20" t="s">
        <v>488</v>
      </c>
      <c r="C63" s="20" t="s">
        <v>655</v>
      </c>
      <c r="D63" s="138">
        <v>2010000</v>
      </c>
      <c r="E63" s="20" t="s">
        <v>596</v>
      </c>
      <c r="F63" s="20" t="s">
        <v>597</v>
      </c>
      <c r="G63" s="8" t="str">
        <f t="shared" si="0"/>
        <v>MAELZER KURT</v>
      </c>
    </row>
    <row r="64" spans="1:7" x14ac:dyDescent="0.25">
      <c r="A64" s="26">
        <v>42973.358738425923</v>
      </c>
      <c r="B64" s="20" t="s">
        <v>503</v>
      </c>
      <c r="C64" s="20" t="s">
        <v>656</v>
      </c>
      <c r="D64" s="138">
        <v>2560000</v>
      </c>
      <c r="E64" s="20" t="s">
        <v>625</v>
      </c>
      <c r="F64" s="20" t="s">
        <v>348</v>
      </c>
      <c r="G64" s="8" t="str">
        <f t="shared" si="0"/>
        <v>MACDONALD THOMAS</v>
      </c>
    </row>
    <row r="65" spans="1:7" x14ac:dyDescent="0.25">
      <c r="A65" s="8">
        <v>42973.358761574076</v>
      </c>
      <c r="B65" s="20" t="s">
        <v>447</v>
      </c>
      <c r="C65" s="20" t="s">
        <v>657</v>
      </c>
      <c r="D65" s="138">
        <v>1990000</v>
      </c>
      <c r="E65" s="20" t="s">
        <v>351</v>
      </c>
      <c r="F65" s="20" t="s">
        <v>448</v>
      </c>
      <c r="G65" s="8" t="str">
        <f t="shared" si="0"/>
        <v>DAVIS WENDY</v>
      </c>
    </row>
    <row r="66" spans="1:7" x14ac:dyDescent="0.25">
      <c r="A66" s="8">
        <v>42973.360150462962</v>
      </c>
      <c r="B66" s="20" t="s">
        <v>582</v>
      </c>
      <c r="C66" s="20" t="s">
        <v>658</v>
      </c>
      <c r="D66" s="138">
        <v>1100000</v>
      </c>
      <c r="E66" s="20" t="s">
        <v>609</v>
      </c>
      <c r="F66" s="20" t="s">
        <v>610</v>
      </c>
      <c r="G66" s="8" t="str">
        <f t="shared" si="0"/>
        <v>GEBRETEKLE DAGNEW</v>
      </c>
    </row>
    <row r="67" spans="1:7" x14ac:dyDescent="0.25">
      <c r="A67" s="8">
        <v>42973.360914351855</v>
      </c>
      <c r="B67" s="20" t="s">
        <v>366</v>
      </c>
      <c r="C67" s="20" t="s">
        <v>659</v>
      </c>
      <c r="D67" s="138">
        <v>2600000</v>
      </c>
      <c r="E67" s="20" t="s">
        <v>617</v>
      </c>
      <c r="F67" s="20" t="s">
        <v>414</v>
      </c>
      <c r="G67" s="8" t="str">
        <f t="shared" ref="G67:G130" si="1">E67&amp;" "&amp;F67</f>
        <v>DAVIDSON DAVID</v>
      </c>
    </row>
    <row r="68" spans="1:7" x14ac:dyDescent="0.25">
      <c r="A68" s="8">
        <v>42973.370752314811</v>
      </c>
      <c r="B68" s="20" t="s">
        <v>411</v>
      </c>
      <c r="C68" s="20" t="s">
        <v>660</v>
      </c>
      <c r="D68" s="138">
        <v>2530000</v>
      </c>
      <c r="E68" s="20" t="s">
        <v>612</v>
      </c>
      <c r="F68" s="20" t="s">
        <v>613</v>
      </c>
      <c r="G68" s="8" t="str">
        <f t="shared" si="1"/>
        <v>LALONDE GREGORY</v>
      </c>
    </row>
    <row r="69" spans="1:7" x14ac:dyDescent="0.25">
      <c r="A69" s="8">
        <v>42973.37228009259</v>
      </c>
      <c r="B69" s="20" t="s">
        <v>413</v>
      </c>
      <c r="C69" s="20" t="s">
        <v>661</v>
      </c>
      <c r="D69" s="138">
        <v>3040000</v>
      </c>
      <c r="E69" s="20" t="s">
        <v>499</v>
      </c>
      <c r="F69" s="20" t="s">
        <v>500</v>
      </c>
      <c r="G69" s="8" t="str">
        <f t="shared" si="1"/>
        <v>WILLIAMS DONTE</v>
      </c>
    </row>
    <row r="70" spans="1:7" x14ac:dyDescent="0.25">
      <c r="A70" s="8">
        <v>42973.372974537036</v>
      </c>
      <c r="B70" s="20" t="s">
        <v>492</v>
      </c>
      <c r="C70" s="20" t="s">
        <v>662</v>
      </c>
      <c r="D70" s="138">
        <v>2560000</v>
      </c>
      <c r="E70" s="20" t="s">
        <v>625</v>
      </c>
      <c r="F70" s="20" t="s">
        <v>348</v>
      </c>
      <c r="G70" s="8" t="str">
        <f t="shared" si="1"/>
        <v>MACDONALD THOMAS</v>
      </c>
    </row>
    <row r="71" spans="1:7" x14ac:dyDescent="0.25">
      <c r="A71" s="8">
        <v>42973.382488425923</v>
      </c>
      <c r="B71" s="20" t="s">
        <v>565</v>
      </c>
      <c r="C71" s="20" t="s">
        <v>663</v>
      </c>
      <c r="D71" s="138">
        <v>2970000</v>
      </c>
      <c r="E71" s="20" t="s">
        <v>504</v>
      </c>
      <c r="F71" s="20" t="s">
        <v>505</v>
      </c>
      <c r="G71" s="8" t="str">
        <f t="shared" si="1"/>
        <v>GUZMAN DANNY</v>
      </c>
    </row>
    <row r="72" spans="1:7" x14ac:dyDescent="0.25">
      <c r="A72" s="8">
        <v>42973.389317129629</v>
      </c>
      <c r="B72" s="20" t="s">
        <v>489</v>
      </c>
      <c r="C72" s="20" t="s">
        <v>664</v>
      </c>
      <c r="D72" s="138">
        <v>2010000</v>
      </c>
      <c r="E72" s="20" t="s">
        <v>596</v>
      </c>
      <c r="F72" s="20" t="s">
        <v>597</v>
      </c>
      <c r="G72" s="8" t="str">
        <f t="shared" si="1"/>
        <v>MAELZER KURT</v>
      </c>
    </row>
    <row r="73" spans="1:7" x14ac:dyDescent="0.25">
      <c r="A73" s="8">
        <v>42973.39167824074</v>
      </c>
      <c r="B73" s="20" t="s">
        <v>490</v>
      </c>
      <c r="C73" s="20" t="s">
        <v>665</v>
      </c>
      <c r="D73" s="138">
        <v>2600000</v>
      </c>
      <c r="E73" s="20" t="s">
        <v>617</v>
      </c>
      <c r="F73" s="20" t="s">
        <v>414</v>
      </c>
      <c r="G73" s="8" t="str">
        <f t="shared" si="1"/>
        <v>DAVIDSON DAVID</v>
      </c>
    </row>
    <row r="74" spans="1:7" x14ac:dyDescent="0.25">
      <c r="A74" s="8">
        <v>42973.391782407409</v>
      </c>
      <c r="B74" s="20" t="s">
        <v>446</v>
      </c>
      <c r="C74" s="20" t="s">
        <v>567</v>
      </c>
      <c r="D74" s="138">
        <v>1990000</v>
      </c>
      <c r="E74" s="20" t="s">
        <v>351</v>
      </c>
      <c r="F74" s="20" t="s">
        <v>448</v>
      </c>
      <c r="G74" s="8" t="str">
        <f t="shared" si="1"/>
        <v>DAVIS WENDY</v>
      </c>
    </row>
    <row r="75" spans="1:7" x14ac:dyDescent="0.25">
      <c r="A75" s="8">
        <v>42973.40016203704</v>
      </c>
      <c r="B75" s="20" t="s">
        <v>503</v>
      </c>
      <c r="C75" s="20" t="s">
        <v>666</v>
      </c>
      <c r="D75" s="138">
        <v>2560000</v>
      </c>
      <c r="E75" s="20" t="s">
        <v>625</v>
      </c>
      <c r="F75" s="20" t="s">
        <v>348</v>
      </c>
      <c r="G75" s="8" t="str">
        <f t="shared" si="1"/>
        <v>MACDONALD THOMAS</v>
      </c>
    </row>
    <row r="76" spans="1:7" x14ac:dyDescent="0.25">
      <c r="A76" s="8">
        <v>42973.401643518519</v>
      </c>
      <c r="B76" s="20" t="s">
        <v>570</v>
      </c>
      <c r="C76" s="20" t="s">
        <v>667</v>
      </c>
      <c r="D76" s="138">
        <v>1100000</v>
      </c>
      <c r="E76" s="20" t="s">
        <v>609</v>
      </c>
      <c r="F76" s="20" t="s">
        <v>610</v>
      </c>
      <c r="G76" s="8" t="str">
        <f t="shared" si="1"/>
        <v>GEBRETEKLE DAGNEW</v>
      </c>
    </row>
    <row r="77" spans="1:7" x14ac:dyDescent="0.25">
      <c r="A77" s="8">
        <v>42973.411585648151</v>
      </c>
      <c r="B77" s="20" t="s">
        <v>412</v>
      </c>
      <c r="C77" s="20" t="s">
        <v>668</v>
      </c>
      <c r="D77" s="138">
        <v>2530000</v>
      </c>
      <c r="E77" s="20" t="s">
        <v>612</v>
      </c>
      <c r="F77" s="20" t="s">
        <v>613</v>
      </c>
      <c r="G77" s="8" t="str">
        <f t="shared" si="1"/>
        <v>LALONDE GREGORY</v>
      </c>
    </row>
    <row r="78" spans="1:7" x14ac:dyDescent="0.25">
      <c r="A78" s="8">
        <v>42973.412812499999</v>
      </c>
      <c r="B78" s="20" t="s">
        <v>409</v>
      </c>
      <c r="C78" s="20" t="s">
        <v>669</v>
      </c>
      <c r="D78" s="138">
        <v>3040000</v>
      </c>
      <c r="E78" s="20" t="s">
        <v>499</v>
      </c>
      <c r="F78" s="20" t="s">
        <v>500</v>
      </c>
      <c r="G78" s="8" t="str">
        <f t="shared" si="1"/>
        <v>WILLIAMS DONTE</v>
      </c>
    </row>
    <row r="79" spans="1:7" x14ac:dyDescent="0.25">
      <c r="A79" s="8">
        <v>42973.413298611114</v>
      </c>
      <c r="B79" s="20" t="s">
        <v>577</v>
      </c>
      <c r="C79" s="20" t="s">
        <v>670</v>
      </c>
      <c r="D79" s="138">
        <v>2970000</v>
      </c>
      <c r="E79" s="20" t="s">
        <v>504</v>
      </c>
      <c r="F79" s="20" t="s">
        <v>505</v>
      </c>
      <c r="G79" s="8" t="str">
        <f t="shared" si="1"/>
        <v>GUZMAN DANNY</v>
      </c>
    </row>
    <row r="80" spans="1:7" x14ac:dyDescent="0.25">
      <c r="A80" s="8">
        <v>42973.414155092592</v>
      </c>
      <c r="B80" s="20" t="s">
        <v>492</v>
      </c>
      <c r="C80" s="20" t="s">
        <v>671</v>
      </c>
      <c r="D80" s="138">
        <v>2560000</v>
      </c>
      <c r="E80" s="20" t="s">
        <v>625</v>
      </c>
      <c r="F80" s="20" t="s">
        <v>348</v>
      </c>
      <c r="G80" s="8" t="str">
        <f t="shared" si="1"/>
        <v>MACDONALD THOMAS</v>
      </c>
    </row>
    <row r="81" spans="1:7" x14ac:dyDescent="0.25">
      <c r="A81" s="8">
        <v>42973.425034722219</v>
      </c>
      <c r="B81" s="20" t="s">
        <v>488</v>
      </c>
      <c r="C81" s="20" t="s">
        <v>672</v>
      </c>
      <c r="D81" s="138">
        <v>1800000</v>
      </c>
      <c r="E81" s="20" t="s">
        <v>673</v>
      </c>
      <c r="F81" s="20" t="s">
        <v>674</v>
      </c>
      <c r="G81" s="8" t="str">
        <f t="shared" si="1"/>
        <v>CHANDLER KELVIN</v>
      </c>
    </row>
    <row r="82" spans="1:7" x14ac:dyDescent="0.25">
      <c r="A82" s="8">
        <v>42973.433715277781</v>
      </c>
      <c r="B82" s="20" t="s">
        <v>447</v>
      </c>
      <c r="C82" s="20" t="s">
        <v>675</v>
      </c>
      <c r="D82" s="138">
        <v>1990000</v>
      </c>
      <c r="E82" s="20" t="s">
        <v>351</v>
      </c>
      <c r="F82" s="20" t="s">
        <v>448</v>
      </c>
      <c r="G82" s="8" t="str">
        <f t="shared" si="1"/>
        <v>DAVIS WENDY</v>
      </c>
    </row>
    <row r="83" spans="1:7" x14ac:dyDescent="0.25">
      <c r="A83" s="8">
        <v>42973.434155092589</v>
      </c>
      <c r="B83" s="20" t="s">
        <v>366</v>
      </c>
      <c r="C83" s="20" t="s">
        <v>676</v>
      </c>
      <c r="D83" s="138">
        <v>2600000</v>
      </c>
      <c r="E83" s="20" t="s">
        <v>617</v>
      </c>
      <c r="F83" s="20" t="s">
        <v>414</v>
      </c>
      <c r="G83" s="8" t="str">
        <f t="shared" si="1"/>
        <v>DAVIDSON DAVID</v>
      </c>
    </row>
    <row r="84" spans="1:7" x14ac:dyDescent="0.25">
      <c r="A84" s="8">
        <v>42973.434583333335</v>
      </c>
      <c r="B84" s="20" t="s">
        <v>582</v>
      </c>
      <c r="C84" s="20" t="s">
        <v>677</v>
      </c>
      <c r="D84" s="138">
        <v>1100000</v>
      </c>
      <c r="E84" s="20" t="s">
        <v>609</v>
      </c>
      <c r="F84" s="20" t="s">
        <v>610</v>
      </c>
      <c r="G84" s="8" t="str">
        <f t="shared" si="1"/>
        <v>GEBRETEKLE DAGNEW</v>
      </c>
    </row>
    <row r="85" spans="1:7" x14ac:dyDescent="0.25">
      <c r="A85" s="8">
        <v>42973.442106481481</v>
      </c>
      <c r="B85" s="20" t="s">
        <v>503</v>
      </c>
      <c r="C85" s="20" t="s">
        <v>568</v>
      </c>
      <c r="D85" s="138">
        <v>2560000</v>
      </c>
      <c r="E85" s="20" t="s">
        <v>625</v>
      </c>
      <c r="F85" s="20" t="s">
        <v>348</v>
      </c>
      <c r="G85" s="8" t="str">
        <f t="shared" si="1"/>
        <v>MACDONALD THOMAS</v>
      </c>
    </row>
    <row r="86" spans="1:7" x14ac:dyDescent="0.25">
      <c r="A86" s="8">
        <v>42973.443020833336</v>
      </c>
      <c r="B86" s="20" t="s">
        <v>411</v>
      </c>
      <c r="C86" s="20" t="s">
        <v>569</v>
      </c>
      <c r="D86" s="138">
        <v>2530000</v>
      </c>
      <c r="E86" s="20" t="s">
        <v>612</v>
      </c>
      <c r="F86" s="20" t="s">
        <v>613</v>
      </c>
      <c r="G86" s="8" t="str">
        <f t="shared" si="1"/>
        <v>LALONDE GREGORY</v>
      </c>
    </row>
    <row r="87" spans="1:7" x14ac:dyDescent="0.25">
      <c r="A87" s="8">
        <v>42973.444606481484</v>
      </c>
      <c r="B87" s="20" t="s">
        <v>413</v>
      </c>
      <c r="C87" s="20" t="s">
        <v>678</v>
      </c>
      <c r="D87" s="138">
        <v>1830000</v>
      </c>
      <c r="E87" s="20" t="s">
        <v>450</v>
      </c>
      <c r="F87" s="20" t="s">
        <v>451</v>
      </c>
      <c r="G87" s="8" t="str">
        <f t="shared" si="1"/>
        <v>YORK EDGAR</v>
      </c>
    </row>
    <row r="88" spans="1:7" x14ac:dyDescent="0.25">
      <c r="A88" s="8">
        <v>42973.45417824074</v>
      </c>
      <c r="B88" s="20" t="s">
        <v>565</v>
      </c>
      <c r="C88" s="20" t="s">
        <v>679</v>
      </c>
      <c r="D88" s="138">
        <v>2970000</v>
      </c>
      <c r="E88" s="20" t="s">
        <v>504</v>
      </c>
      <c r="F88" s="20" t="s">
        <v>505</v>
      </c>
      <c r="G88" s="8" t="str">
        <f t="shared" si="1"/>
        <v>GUZMAN DANNY</v>
      </c>
    </row>
    <row r="89" spans="1:7" x14ac:dyDescent="0.25">
      <c r="A89" s="8">
        <v>42973.463101851848</v>
      </c>
      <c r="B89" s="20" t="s">
        <v>489</v>
      </c>
      <c r="C89" s="20" t="s">
        <v>680</v>
      </c>
      <c r="D89" s="138">
        <v>1800000</v>
      </c>
      <c r="E89" s="20" t="s">
        <v>673</v>
      </c>
      <c r="F89" s="20" t="s">
        <v>674</v>
      </c>
      <c r="G89" s="8" t="str">
        <f t="shared" si="1"/>
        <v>CHANDLER KELVIN</v>
      </c>
    </row>
    <row r="90" spans="1:7" x14ac:dyDescent="0.25">
      <c r="A90" s="8">
        <v>42973.465613425928</v>
      </c>
      <c r="B90" s="20" t="s">
        <v>446</v>
      </c>
      <c r="C90" s="20" t="s">
        <v>681</v>
      </c>
      <c r="D90" s="138">
        <v>920000</v>
      </c>
      <c r="E90" s="20" t="s">
        <v>351</v>
      </c>
      <c r="F90" s="20" t="s">
        <v>191</v>
      </c>
      <c r="G90" s="8" t="str">
        <f t="shared" si="1"/>
        <v>DAVIS MICHAEL</v>
      </c>
    </row>
    <row r="91" spans="1:7" x14ac:dyDescent="0.25">
      <c r="A91" s="8">
        <v>42973.465624999997</v>
      </c>
      <c r="B91" s="20" t="s">
        <v>492</v>
      </c>
      <c r="C91" s="20" t="s">
        <v>682</v>
      </c>
      <c r="D91" s="138">
        <v>3180000</v>
      </c>
      <c r="E91" s="20" t="s">
        <v>456</v>
      </c>
      <c r="F91" s="20" t="s">
        <v>457</v>
      </c>
      <c r="G91" s="8" t="str">
        <f t="shared" si="1"/>
        <v>HUFFSMITH MONTY</v>
      </c>
    </row>
    <row r="92" spans="1:7" x14ac:dyDescent="0.25">
      <c r="A92" s="8">
        <v>42973.46665509259</v>
      </c>
      <c r="B92" s="20" t="s">
        <v>490</v>
      </c>
      <c r="C92" s="20" t="s">
        <v>683</v>
      </c>
      <c r="D92" s="138">
        <v>2600000</v>
      </c>
      <c r="E92" s="20" t="s">
        <v>617</v>
      </c>
      <c r="F92" s="20" t="s">
        <v>414</v>
      </c>
      <c r="G92" s="8" t="str">
        <f t="shared" si="1"/>
        <v>DAVIDSON DAVID</v>
      </c>
    </row>
    <row r="93" spans="1:7" x14ac:dyDescent="0.25">
      <c r="A93" s="8">
        <v>42973.473877314813</v>
      </c>
      <c r="B93" s="20" t="s">
        <v>409</v>
      </c>
      <c r="C93" s="20" t="s">
        <v>684</v>
      </c>
      <c r="D93" s="138">
        <v>1830000</v>
      </c>
      <c r="E93" s="20" t="s">
        <v>450</v>
      </c>
      <c r="F93" s="20" t="s">
        <v>451</v>
      </c>
      <c r="G93" s="8" t="str">
        <f t="shared" si="1"/>
        <v>YORK EDGAR</v>
      </c>
    </row>
    <row r="94" spans="1:7" x14ac:dyDescent="0.25">
      <c r="A94" s="8">
        <v>42973.475162037037</v>
      </c>
      <c r="B94" s="20" t="s">
        <v>570</v>
      </c>
      <c r="C94" s="20" t="s">
        <v>571</v>
      </c>
      <c r="D94" s="138">
        <v>2270000</v>
      </c>
      <c r="E94" s="20" t="s">
        <v>685</v>
      </c>
      <c r="F94" s="20" t="s">
        <v>686</v>
      </c>
      <c r="G94" s="8" t="str">
        <f t="shared" si="1"/>
        <v>BROWN JACOB</v>
      </c>
    </row>
    <row r="95" spans="1:7" x14ac:dyDescent="0.25">
      <c r="A95" s="8">
        <v>42973.485289351855</v>
      </c>
      <c r="B95" s="20" t="s">
        <v>412</v>
      </c>
      <c r="C95" s="20" t="s">
        <v>687</v>
      </c>
      <c r="D95" s="138">
        <v>2440000</v>
      </c>
      <c r="E95" s="20" t="s">
        <v>452</v>
      </c>
      <c r="F95" s="20" t="s">
        <v>453</v>
      </c>
      <c r="G95" s="8" t="str">
        <f t="shared" si="1"/>
        <v>LOPES KIMBERLY</v>
      </c>
    </row>
    <row r="96" spans="1:7" x14ac:dyDescent="0.25">
      <c r="A96" s="8">
        <v>42973.485682870371</v>
      </c>
      <c r="B96" s="20" t="s">
        <v>503</v>
      </c>
      <c r="C96" s="20" t="s">
        <v>688</v>
      </c>
      <c r="D96" s="138">
        <v>3180000</v>
      </c>
      <c r="E96" s="20" t="s">
        <v>456</v>
      </c>
      <c r="F96" s="20" t="s">
        <v>457</v>
      </c>
      <c r="G96" s="8" t="str">
        <f t="shared" si="1"/>
        <v>HUFFSMITH MONTY</v>
      </c>
    </row>
    <row r="97" spans="1:7" x14ac:dyDescent="0.25">
      <c r="A97" s="8">
        <v>42973.486620370371</v>
      </c>
      <c r="B97" s="20" t="s">
        <v>577</v>
      </c>
      <c r="C97" s="20" t="s">
        <v>689</v>
      </c>
      <c r="D97" s="138">
        <v>2970000</v>
      </c>
      <c r="E97" s="20" t="s">
        <v>504</v>
      </c>
      <c r="F97" s="20" t="s">
        <v>505</v>
      </c>
      <c r="G97" s="8" t="str">
        <f t="shared" si="1"/>
        <v>GUZMAN DANNY</v>
      </c>
    </row>
    <row r="98" spans="1:7" x14ac:dyDescent="0.25">
      <c r="A98" s="8">
        <v>42973.49658564815</v>
      </c>
      <c r="B98" s="20" t="s">
        <v>488</v>
      </c>
      <c r="C98" s="20" t="s">
        <v>690</v>
      </c>
      <c r="D98" s="138">
        <v>2350000</v>
      </c>
      <c r="E98" s="20" t="s">
        <v>508</v>
      </c>
      <c r="F98" s="20" t="s">
        <v>509</v>
      </c>
      <c r="G98" s="8" t="str">
        <f t="shared" si="1"/>
        <v>BERLING GARY</v>
      </c>
    </row>
    <row r="99" spans="1:7" x14ac:dyDescent="0.25">
      <c r="A99" s="8">
        <v>42973.507268518515</v>
      </c>
      <c r="B99" s="20" t="s">
        <v>366</v>
      </c>
      <c r="C99" s="20" t="s">
        <v>691</v>
      </c>
      <c r="D99" s="138">
        <v>2370000</v>
      </c>
      <c r="E99" s="20" t="s">
        <v>506</v>
      </c>
      <c r="F99" s="20" t="s">
        <v>507</v>
      </c>
      <c r="G99" s="8" t="str">
        <f t="shared" si="1"/>
        <v>DELGADO DIANAH</v>
      </c>
    </row>
    <row r="100" spans="1:7" x14ac:dyDescent="0.25">
      <c r="A100" s="8">
        <v>42973.507384259261</v>
      </c>
      <c r="B100" s="20" t="s">
        <v>447</v>
      </c>
      <c r="C100" s="20" t="s">
        <v>692</v>
      </c>
      <c r="D100" s="138">
        <v>920000</v>
      </c>
      <c r="E100" s="20" t="s">
        <v>351</v>
      </c>
      <c r="F100" s="20" t="s">
        <v>191</v>
      </c>
      <c r="G100" s="8" t="str">
        <f t="shared" si="1"/>
        <v>DAVIS MICHAEL</v>
      </c>
    </row>
    <row r="101" spans="1:7" x14ac:dyDescent="0.25">
      <c r="A101" s="8">
        <v>42973.513298611113</v>
      </c>
      <c r="B101" s="20" t="s">
        <v>492</v>
      </c>
      <c r="C101" s="20" t="s">
        <v>693</v>
      </c>
      <c r="D101" s="138">
        <v>2560000</v>
      </c>
      <c r="E101" s="20" t="s">
        <v>625</v>
      </c>
      <c r="F101" s="20" t="s">
        <v>348</v>
      </c>
      <c r="G101" s="8" t="str">
        <f t="shared" si="1"/>
        <v>MACDONALD THOMAS</v>
      </c>
    </row>
    <row r="102" spans="1:7" x14ac:dyDescent="0.25">
      <c r="A102" s="8">
        <v>42973.514675925922</v>
      </c>
      <c r="B102" s="20" t="s">
        <v>413</v>
      </c>
      <c r="C102" s="20" t="s">
        <v>694</v>
      </c>
      <c r="D102" s="138">
        <v>1830000</v>
      </c>
      <c r="E102" s="20" t="s">
        <v>450</v>
      </c>
      <c r="F102" s="20" t="s">
        <v>451</v>
      </c>
      <c r="G102" s="8" t="str">
        <f t="shared" si="1"/>
        <v>YORK EDGAR</v>
      </c>
    </row>
    <row r="103" spans="1:7" x14ac:dyDescent="0.25">
      <c r="A103" s="8">
        <v>42973.517581018517</v>
      </c>
      <c r="B103" s="20" t="s">
        <v>582</v>
      </c>
      <c r="C103" s="20" t="s">
        <v>695</v>
      </c>
      <c r="D103" s="138">
        <v>2270000</v>
      </c>
      <c r="E103" s="20" t="s">
        <v>685</v>
      </c>
      <c r="F103" s="20" t="s">
        <v>686</v>
      </c>
      <c r="G103" s="8" t="str">
        <f t="shared" si="1"/>
        <v>BROWN JACOB</v>
      </c>
    </row>
    <row r="104" spans="1:7" x14ac:dyDescent="0.25">
      <c r="A104" s="8">
        <v>42973.519525462965</v>
      </c>
      <c r="B104" s="20" t="s">
        <v>411</v>
      </c>
      <c r="C104" s="20" t="s">
        <v>696</v>
      </c>
      <c r="D104" s="138">
        <v>2440000</v>
      </c>
      <c r="E104" s="20" t="s">
        <v>452</v>
      </c>
      <c r="F104" s="20" t="s">
        <v>453</v>
      </c>
      <c r="G104" s="8" t="str">
        <f t="shared" si="1"/>
        <v>LOPES KIMBERLY</v>
      </c>
    </row>
    <row r="105" spans="1:7" x14ac:dyDescent="0.25">
      <c r="A105" s="8">
        <v>42973.526562500003</v>
      </c>
      <c r="B105" s="20" t="s">
        <v>503</v>
      </c>
      <c r="C105" s="20" t="s">
        <v>697</v>
      </c>
      <c r="D105" s="138">
        <v>2560000</v>
      </c>
      <c r="E105" s="20" t="s">
        <v>625</v>
      </c>
      <c r="F105" s="20" t="s">
        <v>348</v>
      </c>
      <c r="G105" s="8" t="str">
        <f t="shared" si="1"/>
        <v>MACDONALD THOMAS</v>
      </c>
    </row>
    <row r="106" spans="1:7" x14ac:dyDescent="0.25">
      <c r="A106" s="8">
        <v>42973.527060185188</v>
      </c>
      <c r="B106" s="20" t="s">
        <v>565</v>
      </c>
      <c r="C106" s="20" t="s">
        <v>698</v>
      </c>
      <c r="D106" s="138">
        <v>1810000</v>
      </c>
      <c r="E106" s="20" t="s">
        <v>699</v>
      </c>
      <c r="F106" s="20" t="s">
        <v>700</v>
      </c>
      <c r="G106" s="8" t="str">
        <f t="shared" si="1"/>
        <v>NEWELL JAMES</v>
      </c>
    </row>
    <row r="107" spans="1:7" x14ac:dyDescent="0.25">
      <c r="A107" s="8">
        <v>42973.535428240742</v>
      </c>
      <c r="B107" s="20" t="s">
        <v>489</v>
      </c>
      <c r="C107" s="20" t="s">
        <v>572</v>
      </c>
      <c r="D107" s="138">
        <v>2350000</v>
      </c>
      <c r="E107" s="20" t="s">
        <v>508</v>
      </c>
      <c r="F107" s="20" t="s">
        <v>509</v>
      </c>
      <c r="G107" s="8" t="str">
        <f t="shared" si="1"/>
        <v>BERLING GARY</v>
      </c>
    </row>
    <row r="108" spans="1:7" x14ac:dyDescent="0.25">
      <c r="A108" s="8">
        <v>42973.539664351854</v>
      </c>
      <c r="B108" s="20" t="s">
        <v>446</v>
      </c>
      <c r="C108" s="20" t="s">
        <v>701</v>
      </c>
      <c r="D108" s="138">
        <v>920000</v>
      </c>
      <c r="E108" s="20" t="s">
        <v>351</v>
      </c>
      <c r="F108" s="20" t="s">
        <v>191</v>
      </c>
      <c r="G108" s="8" t="str">
        <f t="shared" si="1"/>
        <v>DAVIS MICHAEL</v>
      </c>
    </row>
    <row r="109" spans="1:7" x14ac:dyDescent="0.25">
      <c r="A109" s="8">
        <v>42973.544120370374</v>
      </c>
      <c r="B109" s="20" t="s">
        <v>490</v>
      </c>
      <c r="C109" s="20" t="s">
        <v>702</v>
      </c>
      <c r="D109" s="138">
        <v>2370000</v>
      </c>
      <c r="E109" s="20" t="s">
        <v>506</v>
      </c>
      <c r="F109" s="20" t="s">
        <v>507</v>
      </c>
      <c r="G109" s="8" t="str">
        <f t="shared" si="1"/>
        <v>DELGADO DIANAH</v>
      </c>
    </row>
    <row r="110" spans="1:7" x14ac:dyDescent="0.25">
      <c r="A110" s="8">
        <v>42973.549328703702</v>
      </c>
      <c r="B110" s="20" t="s">
        <v>570</v>
      </c>
      <c r="C110" s="20" t="s">
        <v>703</v>
      </c>
      <c r="D110" s="138">
        <v>2270000</v>
      </c>
      <c r="E110" s="20" t="s">
        <v>685</v>
      </c>
      <c r="F110" s="20" t="s">
        <v>686</v>
      </c>
      <c r="G110" s="8" t="str">
        <f t="shared" si="1"/>
        <v>BROWN JACOB</v>
      </c>
    </row>
    <row r="111" spans="1:7" x14ac:dyDescent="0.25">
      <c r="A111" s="8">
        <v>42973.554293981484</v>
      </c>
      <c r="B111" s="20" t="s">
        <v>492</v>
      </c>
      <c r="C111" s="20" t="s">
        <v>704</v>
      </c>
      <c r="D111" s="138">
        <v>2560000</v>
      </c>
      <c r="E111" s="20" t="s">
        <v>625</v>
      </c>
      <c r="F111" s="20" t="s">
        <v>348</v>
      </c>
      <c r="G111" s="8" t="str">
        <f t="shared" si="1"/>
        <v>MACDONALD THOMAS</v>
      </c>
    </row>
    <row r="112" spans="1:7" x14ac:dyDescent="0.25">
      <c r="A112" s="8">
        <v>42973.555960648147</v>
      </c>
      <c r="B112" s="20" t="s">
        <v>409</v>
      </c>
      <c r="C112" s="20" t="s">
        <v>705</v>
      </c>
      <c r="D112" s="138">
        <v>1830000</v>
      </c>
      <c r="E112" s="20" t="s">
        <v>450</v>
      </c>
      <c r="F112" s="20" t="s">
        <v>451</v>
      </c>
      <c r="G112" s="8" t="str">
        <f t="shared" si="1"/>
        <v>YORK EDGAR</v>
      </c>
    </row>
    <row r="113" spans="1:7" x14ac:dyDescent="0.25">
      <c r="A113" s="8">
        <v>42973.557384259257</v>
      </c>
      <c r="B113" s="20" t="s">
        <v>577</v>
      </c>
      <c r="C113" s="20" t="s">
        <v>706</v>
      </c>
      <c r="D113" s="138">
        <v>1810000</v>
      </c>
      <c r="E113" s="20" t="s">
        <v>699</v>
      </c>
      <c r="F113" s="20" t="s">
        <v>700</v>
      </c>
      <c r="G113" s="8" t="str">
        <f t="shared" si="1"/>
        <v>NEWELL JAMES</v>
      </c>
    </row>
    <row r="114" spans="1:7" x14ac:dyDescent="0.25">
      <c r="A114" s="8">
        <v>42973.560671296298</v>
      </c>
      <c r="B114" s="20" t="s">
        <v>412</v>
      </c>
      <c r="C114" s="20" t="s">
        <v>707</v>
      </c>
      <c r="D114" s="138">
        <v>2440000</v>
      </c>
      <c r="E114" s="20" t="s">
        <v>452</v>
      </c>
      <c r="F114" s="20" t="s">
        <v>453</v>
      </c>
      <c r="G114" s="8" t="str">
        <f t="shared" si="1"/>
        <v>LOPES KIMBERLY</v>
      </c>
    </row>
    <row r="115" spans="1:7" x14ac:dyDescent="0.25">
      <c r="A115" s="8">
        <v>42973.568252314813</v>
      </c>
      <c r="B115" s="20" t="s">
        <v>503</v>
      </c>
      <c r="C115" s="20" t="s">
        <v>573</v>
      </c>
      <c r="D115" s="138">
        <v>2560000</v>
      </c>
      <c r="E115" s="20" t="s">
        <v>625</v>
      </c>
      <c r="F115" s="20" t="s">
        <v>348</v>
      </c>
      <c r="G115" s="8" t="str">
        <f t="shared" si="1"/>
        <v>MACDONALD THOMAS</v>
      </c>
    </row>
    <row r="116" spans="1:7" x14ac:dyDescent="0.25">
      <c r="A116" s="8">
        <v>42973.571006944447</v>
      </c>
      <c r="B116" s="20" t="s">
        <v>488</v>
      </c>
      <c r="C116" s="20" t="s">
        <v>708</v>
      </c>
      <c r="D116" s="138">
        <v>1800000</v>
      </c>
      <c r="E116" s="20" t="s">
        <v>673</v>
      </c>
      <c r="F116" s="20" t="s">
        <v>674</v>
      </c>
      <c r="G116" s="8" t="str">
        <f t="shared" si="1"/>
        <v>CHANDLER KELVIN</v>
      </c>
    </row>
    <row r="117" spans="1:7" x14ac:dyDescent="0.25">
      <c r="A117" s="8">
        <v>42973.579479166663</v>
      </c>
      <c r="B117" s="20" t="s">
        <v>366</v>
      </c>
      <c r="C117" s="20" t="s">
        <v>709</v>
      </c>
      <c r="D117" s="138">
        <v>2370000</v>
      </c>
      <c r="E117" s="20" t="s">
        <v>506</v>
      </c>
      <c r="F117" s="20" t="s">
        <v>507</v>
      </c>
      <c r="G117" s="8" t="str">
        <f t="shared" si="1"/>
        <v>DELGADO DIANAH</v>
      </c>
    </row>
    <row r="118" spans="1:7" x14ac:dyDescent="0.25">
      <c r="A118" s="8">
        <v>42973.580289351848</v>
      </c>
      <c r="B118" s="20" t="s">
        <v>447</v>
      </c>
      <c r="C118" s="20" t="s">
        <v>710</v>
      </c>
      <c r="D118" s="138">
        <v>920000</v>
      </c>
      <c r="E118" s="20" t="s">
        <v>351</v>
      </c>
      <c r="F118" s="20" t="s">
        <v>191</v>
      </c>
      <c r="G118" s="8" t="str">
        <f t="shared" si="1"/>
        <v>DAVIS MICHAEL</v>
      </c>
    </row>
    <row r="119" spans="1:7" x14ac:dyDescent="0.25">
      <c r="A119" s="8">
        <v>42973.585740740738</v>
      </c>
      <c r="B119" s="20" t="s">
        <v>492</v>
      </c>
      <c r="C119" s="20" t="s">
        <v>711</v>
      </c>
      <c r="D119" s="138">
        <v>2630000</v>
      </c>
      <c r="E119" s="20" t="s">
        <v>712</v>
      </c>
      <c r="F119" s="20" t="s">
        <v>713</v>
      </c>
      <c r="G119" s="8" t="str">
        <f t="shared" si="1"/>
        <v>SAFIEF AEIMEN</v>
      </c>
    </row>
    <row r="120" spans="1:7" x14ac:dyDescent="0.25">
      <c r="A120" s="8">
        <v>42973.587222222224</v>
      </c>
      <c r="B120" s="20" t="s">
        <v>492</v>
      </c>
      <c r="C120" s="20" t="s">
        <v>711</v>
      </c>
      <c r="D120" s="138">
        <v>2630000</v>
      </c>
      <c r="E120" s="20" t="s">
        <v>712</v>
      </c>
      <c r="F120" s="20" t="s">
        <v>713</v>
      </c>
      <c r="G120" s="8" t="str">
        <f t="shared" si="1"/>
        <v>SAFIEF AEIMEN</v>
      </c>
    </row>
    <row r="121" spans="1:7" x14ac:dyDescent="0.25">
      <c r="A121" s="8">
        <v>42973.587951388887</v>
      </c>
      <c r="B121" s="20" t="s">
        <v>413</v>
      </c>
      <c r="C121" s="20" t="s">
        <v>714</v>
      </c>
      <c r="D121" s="138">
        <v>1830000</v>
      </c>
      <c r="E121" s="20" t="s">
        <v>450</v>
      </c>
      <c r="F121" s="20" t="s">
        <v>451</v>
      </c>
      <c r="G121" s="8" t="str">
        <f t="shared" si="1"/>
        <v>YORK EDGAR</v>
      </c>
    </row>
    <row r="122" spans="1:7" x14ac:dyDescent="0.25">
      <c r="A122" s="8">
        <v>42973.588252314818</v>
      </c>
      <c r="B122" s="25" t="s">
        <v>582</v>
      </c>
      <c r="C122" s="20" t="s">
        <v>715</v>
      </c>
      <c r="D122" s="138">
        <v>2270000</v>
      </c>
      <c r="E122" s="20" t="s">
        <v>685</v>
      </c>
      <c r="F122" s="20" t="s">
        <v>686</v>
      </c>
      <c r="G122" s="8" t="str">
        <f t="shared" si="1"/>
        <v>BROWN JACOB</v>
      </c>
    </row>
    <row r="123" spans="1:7" x14ac:dyDescent="0.25">
      <c r="A123" s="8">
        <v>42973.597256944442</v>
      </c>
      <c r="B123" s="20" t="s">
        <v>411</v>
      </c>
      <c r="C123" s="20" t="s">
        <v>716</v>
      </c>
      <c r="D123" s="138">
        <v>2440000</v>
      </c>
      <c r="E123" s="20" t="s">
        <v>452</v>
      </c>
      <c r="F123" s="20" t="s">
        <v>453</v>
      </c>
      <c r="G123" s="8" t="str">
        <f t="shared" si="1"/>
        <v>LOPES KIMBERLY</v>
      </c>
    </row>
    <row r="124" spans="1:7" x14ac:dyDescent="0.25">
      <c r="A124" s="8">
        <v>42973.59920138889</v>
      </c>
      <c r="B124" s="20" t="s">
        <v>565</v>
      </c>
      <c r="C124" s="20" t="s">
        <v>574</v>
      </c>
      <c r="D124" s="138">
        <v>2420000</v>
      </c>
      <c r="E124" s="20" t="s">
        <v>717</v>
      </c>
      <c r="F124" s="20" t="s">
        <v>718</v>
      </c>
      <c r="G124" s="8" t="str">
        <f t="shared" si="1"/>
        <v>HOLCOMB KAMDEN</v>
      </c>
    </row>
    <row r="125" spans="1:7" x14ac:dyDescent="0.25">
      <c r="A125" s="8">
        <v>42973.608865740738</v>
      </c>
      <c r="B125" s="20" t="s">
        <v>489</v>
      </c>
      <c r="C125" s="20" t="s">
        <v>719</v>
      </c>
      <c r="D125" s="138">
        <v>1800000</v>
      </c>
      <c r="E125" s="20" t="s">
        <v>673</v>
      </c>
      <c r="F125" s="20" t="s">
        <v>674</v>
      </c>
      <c r="G125" s="8" t="str">
        <f t="shared" si="1"/>
        <v>CHANDLER KELVIN</v>
      </c>
    </row>
    <row r="126" spans="1:7" x14ac:dyDescent="0.25">
      <c r="A126" s="8">
        <v>42973.609247685185</v>
      </c>
      <c r="B126" s="20" t="s">
        <v>503</v>
      </c>
      <c r="C126" s="20" t="s">
        <v>720</v>
      </c>
      <c r="D126" s="138">
        <v>2630000</v>
      </c>
      <c r="E126" s="20" t="s">
        <v>712</v>
      </c>
      <c r="F126" s="20" t="s">
        <v>713</v>
      </c>
      <c r="G126" s="8" t="str">
        <f t="shared" si="1"/>
        <v>SAFIEF AEIMEN</v>
      </c>
    </row>
    <row r="127" spans="1:7" x14ac:dyDescent="0.25">
      <c r="A127" s="8">
        <v>42973.613067129627</v>
      </c>
      <c r="B127" s="20" t="s">
        <v>446</v>
      </c>
      <c r="C127" s="20" t="s">
        <v>721</v>
      </c>
      <c r="D127" s="138">
        <v>920000</v>
      </c>
      <c r="E127" s="20" t="s">
        <v>351</v>
      </c>
      <c r="F127" s="20" t="s">
        <v>191</v>
      </c>
      <c r="G127" s="8" t="str">
        <f t="shared" si="1"/>
        <v>DAVIS MICHAEL</v>
      </c>
    </row>
    <row r="128" spans="1:7" x14ac:dyDescent="0.25">
      <c r="A128" s="8">
        <v>42973.6171412037</v>
      </c>
      <c r="B128" s="20" t="s">
        <v>490</v>
      </c>
      <c r="C128" s="20" t="s">
        <v>722</v>
      </c>
      <c r="D128" s="138">
        <v>2370000</v>
      </c>
      <c r="E128" s="20" t="s">
        <v>506</v>
      </c>
      <c r="F128" s="20" t="s">
        <v>507</v>
      </c>
      <c r="G128" s="8" t="str">
        <f t="shared" si="1"/>
        <v>DELGADO DIANAH</v>
      </c>
    </row>
    <row r="129" spans="1:7" x14ac:dyDescent="0.25">
      <c r="A129" s="8">
        <v>42973.620127314818</v>
      </c>
      <c r="B129" s="20" t="s">
        <v>409</v>
      </c>
      <c r="C129" s="20" t="s">
        <v>723</v>
      </c>
      <c r="D129" s="138">
        <v>1830000</v>
      </c>
      <c r="E129" s="20" t="s">
        <v>450</v>
      </c>
      <c r="F129" s="20" t="s">
        <v>451</v>
      </c>
      <c r="G129" s="8" t="str">
        <f t="shared" si="1"/>
        <v>YORK EDGAR</v>
      </c>
    </row>
    <row r="130" spans="1:7" x14ac:dyDescent="0.25">
      <c r="A130" s="8">
        <v>42973.622743055559</v>
      </c>
      <c r="B130" s="20" t="s">
        <v>570</v>
      </c>
      <c r="C130" s="20" t="s">
        <v>724</v>
      </c>
      <c r="D130" s="138">
        <v>2270000</v>
      </c>
      <c r="E130" s="20" t="s">
        <v>685</v>
      </c>
      <c r="F130" s="20" t="s">
        <v>686</v>
      </c>
      <c r="G130" s="8" t="str">
        <f t="shared" si="1"/>
        <v>BROWN JACOB</v>
      </c>
    </row>
    <row r="131" spans="1:7" x14ac:dyDescent="0.25">
      <c r="A131" s="8">
        <v>42973.629293981481</v>
      </c>
      <c r="B131" s="20" t="s">
        <v>492</v>
      </c>
      <c r="C131" s="20" t="s">
        <v>725</v>
      </c>
      <c r="D131" s="138">
        <v>2630000</v>
      </c>
      <c r="E131" s="20" t="s">
        <v>712</v>
      </c>
      <c r="F131" s="20" t="s">
        <v>713</v>
      </c>
      <c r="G131" s="8" t="str">
        <f t="shared" ref="G131:G194" si="2">E131&amp;" "&amp;F131</f>
        <v>SAFIEF AEIMEN</v>
      </c>
    </row>
    <row r="132" spans="1:7" x14ac:dyDescent="0.25">
      <c r="A132" s="8">
        <v>42973.629629629628</v>
      </c>
      <c r="B132" s="20" t="s">
        <v>412</v>
      </c>
      <c r="C132" s="20" t="s">
        <v>726</v>
      </c>
      <c r="D132" s="138">
        <v>1810000</v>
      </c>
      <c r="E132" s="20" t="s">
        <v>699</v>
      </c>
      <c r="F132" s="20" t="s">
        <v>700</v>
      </c>
      <c r="G132" s="8" t="str">
        <f t="shared" si="2"/>
        <v>NEWELL JAMES</v>
      </c>
    </row>
    <row r="133" spans="1:7" x14ac:dyDescent="0.25">
      <c r="A133" s="8">
        <v>42973.641956018517</v>
      </c>
      <c r="B133" s="20" t="s">
        <v>577</v>
      </c>
      <c r="C133" s="20" t="s">
        <v>727</v>
      </c>
      <c r="D133" s="138">
        <v>2420000</v>
      </c>
      <c r="E133" s="20" t="s">
        <v>717</v>
      </c>
      <c r="F133" s="20" t="s">
        <v>718</v>
      </c>
      <c r="G133" s="8" t="str">
        <f t="shared" si="2"/>
        <v>HOLCOMB KAMDEN</v>
      </c>
    </row>
    <row r="134" spans="1:7" x14ac:dyDescent="0.25">
      <c r="A134" s="8">
        <v>42973.64334490741</v>
      </c>
      <c r="B134" s="20" t="s">
        <v>488</v>
      </c>
      <c r="C134" s="20" t="s">
        <v>728</v>
      </c>
      <c r="D134" s="138">
        <v>1800000</v>
      </c>
      <c r="E134" s="20" t="s">
        <v>673</v>
      </c>
      <c r="F134" s="20" t="s">
        <v>674</v>
      </c>
      <c r="G134" s="8" t="str">
        <f t="shared" si="2"/>
        <v>CHANDLER KELVIN</v>
      </c>
    </row>
    <row r="135" spans="1:7" x14ac:dyDescent="0.25">
      <c r="A135" s="8">
        <v>42973.650289351855</v>
      </c>
      <c r="B135" s="20" t="s">
        <v>498</v>
      </c>
      <c r="C135" s="20" t="s">
        <v>580</v>
      </c>
      <c r="D135" s="138">
        <v>2350000</v>
      </c>
      <c r="E135" s="20" t="s">
        <v>508</v>
      </c>
      <c r="F135" s="20" t="s">
        <v>509</v>
      </c>
      <c r="G135" s="8" t="str">
        <f t="shared" si="2"/>
        <v>BERLING GARY</v>
      </c>
    </row>
    <row r="136" spans="1:7" x14ac:dyDescent="0.25">
      <c r="A136" s="8">
        <v>42973.651145833333</v>
      </c>
      <c r="B136" s="20" t="s">
        <v>503</v>
      </c>
      <c r="C136" s="20" t="s">
        <v>729</v>
      </c>
      <c r="D136" s="138">
        <v>2630000</v>
      </c>
      <c r="E136" s="20" t="s">
        <v>712</v>
      </c>
      <c r="F136" s="20" t="s">
        <v>713</v>
      </c>
      <c r="G136" s="8" t="str">
        <f t="shared" si="2"/>
        <v>SAFIEF AEIMEN</v>
      </c>
    </row>
    <row r="137" spans="1:7" x14ac:dyDescent="0.25">
      <c r="A137" s="8">
        <v>42973.651273148149</v>
      </c>
      <c r="B137" s="20" t="s">
        <v>366</v>
      </c>
      <c r="C137" s="20" t="s">
        <v>730</v>
      </c>
      <c r="D137" s="138">
        <v>2370000</v>
      </c>
      <c r="E137" s="20" t="s">
        <v>506</v>
      </c>
      <c r="F137" s="20" t="s">
        <v>507</v>
      </c>
      <c r="G137" s="8" t="str">
        <f t="shared" si="2"/>
        <v>DELGADO DIANAH</v>
      </c>
    </row>
    <row r="138" spans="1:7" x14ac:dyDescent="0.25">
      <c r="A138" s="8">
        <v>42973.652453703704</v>
      </c>
      <c r="B138" s="20" t="s">
        <v>447</v>
      </c>
      <c r="C138" s="20" t="s">
        <v>731</v>
      </c>
      <c r="D138" s="138">
        <v>920000</v>
      </c>
      <c r="E138" s="20" t="s">
        <v>351</v>
      </c>
      <c r="F138" s="20" t="s">
        <v>191</v>
      </c>
      <c r="G138" s="8" t="str">
        <f t="shared" si="2"/>
        <v>DAVIS MICHAEL</v>
      </c>
    </row>
    <row r="139" spans="1:7" x14ac:dyDescent="0.25">
      <c r="A139" s="8">
        <v>42973.654664351852</v>
      </c>
      <c r="B139" s="20" t="s">
        <v>582</v>
      </c>
      <c r="C139" s="20" t="s">
        <v>732</v>
      </c>
      <c r="D139" s="138">
        <v>2270000</v>
      </c>
      <c r="E139" s="20" t="s">
        <v>685</v>
      </c>
      <c r="F139" s="20" t="s">
        <v>686</v>
      </c>
      <c r="G139" s="8" t="str">
        <f t="shared" si="2"/>
        <v>BROWN JACOB</v>
      </c>
    </row>
    <row r="140" spans="1:7" x14ac:dyDescent="0.25">
      <c r="A140" s="8">
        <v>42973.661053240743</v>
      </c>
      <c r="B140" s="20" t="s">
        <v>413</v>
      </c>
      <c r="C140" s="20" t="s">
        <v>733</v>
      </c>
      <c r="D140" s="138">
        <v>1830000</v>
      </c>
      <c r="E140" s="20" t="s">
        <v>450</v>
      </c>
      <c r="F140" s="20" t="s">
        <v>451</v>
      </c>
      <c r="G140" s="8" t="str">
        <f t="shared" si="2"/>
        <v>YORK EDGAR</v>
      </c>
    </row>
    <row r="141" spans="1:7" x14ac:dyDescent="0.25">
      <c r="A141" s="8">
        <v>42973.662766203706</v>
      </c>
      <c r="B141" s="20" t="s">
        <v>411</v>
      </c>
      <c r="C141" s="20" t="s">
        <v>734</v>
      </c>
      <c r="D141" s="138">
        <v>1810000</v>
      </c>
      <c r="E141" s="20" t="s">
        <v>699</v>
      </c>
      <c r="F141" s="20" t="s">
        <v>700</v>
      </c>
      <c r="G141" s="8" t="str">
        <f t="shared" si="2"/>
        <v>NEWELL JAMES</v>
      </c>
    </row>
    <row r="142" spans="1:7" x14ac:dyDescent="0.25">
      <c r="A142" s="8">
        <v>42973.665914351855</v>
      </c>
      <c r="B142" s="20" t="s">
        <v>492</v>
      </c>
      <c r="C142" s="20" t="s">
        <v>735</v>
      </c>
      <c r="D142" s="138">
        <v>2630000</v>
      </c>
      <c r="E142" s="20" t="s">
        <v>712</v>
      </c>
      <c r="F142" s="20" t="s">
        <v>713</v>
      </c>
      <c r="G142" s="8" t="str">
        <f t="shared" si="2"/>
        <v>SAFIEF AEIMEN</v>
      </c>
    </row>
    <row r="143" spans="1:7" x14ac:dyDescent="0.25">
      <c r="A143" s="8">
        <v>42973.674814814818</v>
      </c>
      <c r="B143" s="20" t="s">
        <v>565</v>
      </c>
      <c r="C143" s="20" t="s">
        <v>575</v>
      </c>
      <c r="D143" s="138">
        <v>2420000</v>
      </c>
      <c r="E143" s="20" t="s">
        <v>717</v>
      </c>
      <c r="F143" s="20" t="s">
        <v>718</v>
      </c>
      <c r="G143" s="8" t="str">
        <f t="shared" si="2"/>
        <v>HOLCOMB KAMDEN</v>
      </c>
    </row>
    <row r="144" spans="1:7" x14ac:dyDescent="0.25">
      <c r="A144" s="8">
        <v>42973.684108796297</v>
      </c>
      <c r="B144" s="20" t="s">
        <v>490</v>
      </c>
      <c r="C144" s="20" t="s">
        <v>736</v>
      </c>
      <c r="D144" s="138">
        <v>2370000</v>
      </c>
      <c r="E144" s="20" t="s">
        <v>506</v>
      </c>
      <c r="F144" s="20" t="s">
        <v>507</v>
      </c>
      <c r="G144" s="8" t="str">
        <f t="shared" si="2"/>
        <v>DELGADO DIANAH</v>
      </c>
    </row>
    <row r="145" spans="1:7" x14ac:dyDescent="0.25">
      <c r="A145" s="8">
        <v>42973.684212962966</v>
      </c>
      <c r="B145" s="20" t="s">
        <v>489</v>
      </c>
      <c r="C145" s="20" t="s">
        <v>737</v>
      </c>
      <c r="D145" s="138">
        <v>1800000</v>
      </c>
      <c r="E145" s="20" t="s">
        <v>673</v>
      </c>
      <c r="F145" s="20" t="s">
        <v>674</v>
      </c>
      <c r="G145" s="8" t="str">
        <f t="shared" si="2"/>
        <v>CHANDLER KELVIN</v>
      </c>
    </row>
    <row r="146" spans="1:7" x14ac:dyDescent="0.25">
      <c r="A146" s="8">
        <v>42973.685416666667</v>
      </c>
      <c r="B146" s="20" t="s">
        <v>446</v>
      </c>
      <c r="C146" s="20" t="s">
        <v>738</v>
      </c>
      <c r="D146" s="138">
        <v>920000</v>
      </c>
      <c r="E146" s="20" t="s">
        <v>351</v>
      </c>
      <c r="F146" s="20" t="s">
        <v>191</v>
      </c>
      <c r="G146" s="8" t="str">
        <f t="shared" si="2"/>
        <v>DAVIS MICHAEL</v>
      </c>
    </row>
    <row r="147" spans="1:7" x14ac:dyDescent="0.25">
      <c r="A147" s="8">
        <v>42973.692569444444</v>
      </c>
      <c r="B147" s="20" t="s">
        <v>409</v>
      </c>
      <c r="C147" s="20" t="s">
        <v>739</v>
      </c>
      <c r="D147" s="138">
        <v>1830000</v>
      </c>
      <c r="E147" s="20" t="s">
        <v>450</v>
      </c>
      <c r="F147" s="20" t="s">
        <v>451</v>
      </c>
      <c r="G147" s="8" t="str">
        <f t="shared" si="2"/>
        <v>YORK EDGAR</v>
      </c>
    </row>
    <row r="148" spans="1:7" x14ac:dyDescent="0.25">
      <c r="A148" s="8">
        <v>42973.692685185182</v>
      </c>
      <c r="B148" s="20" t="s">
        <v>503</v>
      </c>
      <c r="C148" s="20" t="s">
        <v>740</v>
      </c>
      <c r="D148" s="138">
        <v>2630000</v>
      </c>
      <c r="E148" s="20" t="s">
        <v>712</v>
      </c>
      <c r="F148" s="20" t="s">
        <v>713</v>
      </c>
      <c r="G148" s="8" t="str">
        <f t="shared" si="2"/>
        <v>SAFIEF AEIMEN</v>
      </c>
    </row>
    <row r="149" spans="1:7" x14ac:dyDescent="0.25">
      <c r="A149" s="8">
        <v>42973.695428240739</v>
      </c>
      <c r="B149" s="20" t="s">
        <v>570</v>
      </c>
      <c r="C149" s="20" t="s">
        <v>741</v>
      </c>
      <c r="D149" s="138">
        <v>2270000</v>
      </c>
      <c r="E149" s="20" t="s">
        <v>685</v>
      </c>
      <c r="F149" s="20" t="s">
        <v>686</v>
      </c>
      <c r="G149" s="8" t="str">
        <f t="shared" si="2"/>
        <v>BROWN JACOB</v>
      </c>
    </row>
    <row r="150" spans="1:7" x14ac:dyDescent="0.25">
      <c r="A150" s="8">
        <v>42973.7031712963</v>
      </c>
      <c r="B150" s="20" t="s">
        <v>412</v>
      </c>
      <c r="C150" s="20" t="s">
        <v>742</v>
      </c>
      <c r="D150" s="138">
        <v>2440000</v>
      </c>
      <c r="E150" s="20" t="s">
        <v>452</v>
      </c>
      <c r="F150" s="20" t="s">
        <v>453</v>
      </c>
      <c r="G150" s="8" t="str">
        <f t="shared" si="2"/>
        <v>LOPES KIMBERLY</v>
      </c>
    </row>
    <row r="151" spans="1:7" x14ac:dyDescent="0.25">
      <c r="A151" s="8">
        <v>42973.710659722223</v>
      </c>
      <c r="B151" s="20" t="s">
        <v>492</v>
      </c>
      <c r="C151" s="20" t="s">
        <v>743</v>
      </c>
      <c r="D151" s="138">
        <v>2630000</v>
      </c>
      <c r="E151" s="20" t="s">
        <v>712</v>
      </c>
      <c r="F151" s="20" t="s">
        <v>713</v>
      </c>
      <c r="G151" s="8" t="str">
        <f t="shared" si="2"/>
        <v>SAFIEF AEIMEN</v>
      </c>
    </row>
    <row r="152" spans="1:7" x14ac:dyDescent="0.25">
      <c r="A152" s="8">
        <v>42973.714004629626</v>
      </c>
      <c r="B152" s="20" t="s">
        <v>577</v>
      </c>
      <c r="C152" s="20" t="s">
        <v>578</v>
      </c>
      <c r="D152" s="138">
        <v>2420000</v>
      </c>
      <c r="E152" s="20" t="s">
        <v>717</v>
      </c>
      <c r="F152" s="20" t="s">
        <v>718</v>
      </c>
      <c r="G152" s="8" t="str">
        <f t="shared" si="2"/>
        <v>HOLCOMB KAMDEN</v>
      </c>
    </row>
    <row r="153" spans="1:7" x14ac:dyDescent="0.25">
      <c r="A153" s="8">
        <v>42973.71733796296</v>
      </c>
      <c r="B153" s="20" t="s">
        <v>488</v>
      </c>
      <c r="C153" s="20" t="s">
        <v>744</v>
      </c>
      <c r="D153" s="138">
        <v>1800000</v>
      </c>
      <c r="E153" s="20" t="s">
        <v>673</v>
      </c>
      <c r="F153" s="20" t="s">
        <v>674</v>
      </c>
      <c r="G153" s="8" t="str">
        <f t="shared" si="2"/>
        <v>CHANDLER KELVIN</v>
      </c>
    </row>
    <row r="154" spans="1:7" x14ac:dyDescent="0.25">
      <c r="A154" s="8">
        <v>42973.721446759257</v>
      </c>
      <c r="B154" s="20" t="s">
        <v>424</v>
      </c>
      <c r="C154" s="20" t="s">
        <v>576</v>
      </c>
      <c r="D154" s="138">
        <v>1810000</v>
      </c>
      <c r="E154" s="20" t="s">
        <v>699</v>
      </c>
      <c r="F154" s="20" t="s">
        <v>700</v>
      </c>
      <c r="G154" s="8" t="str">
        <f t="shared" si="2"/>
        <v>NEWELL JAMES</v>
      </c>
    </row>
    <row r="155" spans="1:7" x14ac:dyDescent="0.25">
      <c r="A155" s="8">
        <v>42973.726076388892</v>
      </c>
      <c r="B155" s="20" t="s">
        <v>447</v>
      </c>
      <c r="C155" s="20" t="s">
        <v>579</v>
      </c>
      <c r="D155" s="138">
        <v>920000</v>
      </c>
      <c r="E155" s="20" t="s">
        <v>351</v>
      </c>
      <c r="F155" s="20" t="s">
        <v>191</v>
      </c>
      <c r="G155" s="8" t="str">
        <f t="shared" si="2"/>
        <v>DAVIS MICHAEL</v>
      </c>
    </row>
    <row r="156" spans="1:7" x14ac:dyDescent="0.25">
      <c r="A156" s="8">
        <v>42973.726354166669</v>
      </c>
      <c r="B156" s="20" t="s">
        <v>366</v>
      </c>
      <c r="C156" s="20" t="s">
        <v>745</v>
      </c>
      <c r="D156" s="138">
        <v>2370000</v>
      </c>
      <c r="E156" s="20" t="s">
        <v>506</v>
      </c>
      <c r="F156" s="20" t="s">
        <v>507</v>
      </c>
      <c r="G156" s="8" t="str">
        <f t="shared" si="2"/>
        <v>DELGADO DIANAH</v>
      </c>
    </row>
    <row r="157" spans="1:7" x14ac:dyDescent="0.25">
      <c r="A157" s="8">
        <v>42973.735208333332</v>
      </c>
      <c r="B157" s="20" t="s">
        <v>503</v>
      </c>
      <c r="C157" s="20" t="s">
        <v>746</v>
      </c>
      <c r="D157" s="138">
        <v>2630000</v>
      </c>
      <c r="E157" s="20" t="s">
        <v>712</v>
      </c>
      <c r="F157" s="20" t="s">
        <v>713</v>
      </c>
      <c r="G157" s="8" t="str">
        <f t="shared" si="2"/>
        <v>SAFIEF AEIMEN</v>
      </c>
    </row>
    <row r="158" spans="1:7" x14ac:dyDescent="0.25">
      <c r="A158" s="8">
        <v>42973.735277777778</v>
      </c>
      <c r="B158" s="20" t="s">
        <v>582</v>
      </c>
      <c r="C158" s="20" t="s">
        <v>747</v>
      </c>
      <c r="D158" s="138">
        <v>2270000</v>
      </c>
      <c r="E158" s="20" t="s">
        <v>685</v>
      </c>
      <c r="F158" s="20" t="s">
        <v>686</v>
      </c>
      <c r="G158" s="8" t="str">
        <f t="shared" si="2"/>
        <v>BROWN JACOB</v>
      </c>
    </row>
    <row r="159" spans="1:7" x14ac:dyDescent="0.25">
      <c r="A159" s="8">
        <v>42973.736296296294</v>
      </c>
      <c r="B159" s="20" t="s">
        <v>413</v>
      </c>
      <c r="C159" s="20" t="s">
        <v>748</v>
      </c>
      <c r="D159" s="138">
        <v>2730000</v>
      </c>
      <c r="E159" s="20" t="s">
        <v>427</v>
      </c>
      <c r="F159" s="20" t="s">
        <v>428</v>
      </c>
      <c r="G159" s="8" t="str">
        <f t="shared" si="2"/>
        <v>YANG JAN</v>
      </c>
    </row>
    <row r="160" spans="1:7" x14ac:dyDescent="0.25">
      <c r="A160" s="8">
        <v>42973.737071759257</v>
      </c>
      <c r="B160" s="20" t="s">
        <v>385</v>
      </c>
      <c r="C160" s="20" t="s">
        <v>580</v>
      </c>
      <c r="D160" s="138">
        <v>3130000</v>
      </c>
      <c r="E160" s="20" t="s">
        <v>512</v>
      </c>
      <c r="F160" s="20" t="s">
        <v>513</v>
      </c>
      <c r="G160" s="8" t="str">
        <f t="shared" si="2"/>
        <v>ZEWDU DEREJE</v>
      </c>
    </row>
    <row r="161" spans="1:7" x14ac:dyDescent="0.25">
      <c r="A161" s="8">
        <v>42973.74009259259</v>
      </c>
      <c r="B161" s="20" t="s">
        <v>411</v>
      </c>
      <c r="C161" s="20" t="s">
        <v>749</v>
      </c>
      <c r="D161" s="138">
        <v>2440000</v>
      </c>
      <c r="E161" s="20" t="s">
        <v>452</v>
      </c>
      <c r="F161" s="20" t="s">
        <v>453</v>
      </c>
      <c r="G161" s="8" t="str">
        <f t="shared" si="2"/>
        <v>LOPES KIMBERLY</v>
      </c>
    </row>
    <row r="162" spans="1:7" x14ac:dyDescent="0.25">
      <c r="A162" s="8">
        <v>42973.747094907405</v>
      </c>
      <c r="B162" s="20" t="s">
        <v>385</v>
      </c>
      <c r="C162" s="20" t="s">
        <v>580</v>
      </c>
      <c r="D162" s="138">
        <v>3130000</v>
      </c>
      <c r="E162" s="20" t="s">
        <v>512</v>
      </c>
      <c r="F162" s="20" t="s">
        <v>513</v>
      </c>
      <c r="G162" s="8" t="str">
        <f t="shared" si="2"/>
        <v>ZEWDU DEREJE</v>
      </c>
    </row>
    <row r="163" spans="1:7" x14ac:dyDescent="0.25">
      <c r="A163" s="8">
        <v>42973.747766203705</v>
      </c>
      <c r="B163" s="20" t="s">
        <v>565</v>
      </c>
      <c r="C163" s="20" t="s">
        <v>750</v>
      </c>
      <c r="D163" s="138">
        <v>2420000</v>
      </c>
      <c r="E163" s="20" t="s">
        <v>717</v>
      </c>
      <c r="F163" s="20" t="s">
        <v>718</v>
      </c>
      <c r="G163" s="8" t="str">
        <f t="shared" si="2"/>
        <v>HOLCOMB KAMDEN</v>
      </c>
    </row>
    <row r="164" spans="1:7" x14ac:dyDescent="0.25">
      <c r="A164" s="8">
        <v>42973.749166666668</v>
      </c>
      <c r="B164" s="20" t="s">
        <v>492</v>
      </c>
      <c r="C164" s="20" t="s">
        <v>751</v>
      </c>
      <c r="D164" s="138">
        <v>2630000</v>
      </c>
      <c r="E164" s="20" t="s">
        <v>712</v>
      </c>
      <c r="F164" s="20" t="s">
        <v>713</v>
      </c>
      <c r="G164" s="8" t="str">
        <f t="shared" si="2"/>
        <v>SAFIEF AEIMEN</v>
      </c>
    </row>
    <row r="165" spans="1:7" x14ac:dyDescent="0.25">
      <c r="A165" s="8">
        <v>42973.753900462965</v>
      </c>
      <c r="B165" s="20" t="s">
        <v>565</v>
      </c>
      <c r="C165" s="20" t="s">
        <v>750</v>
      </c>
      <c r="D165" s="138">
        <v>2420000</v>
      </c>
      <c r="E165" s="20" t="s">
        <v>717</v>
      </c>
      <c r="F165" s="20" t="s">
        <v>718</v>
      </c>
      <c r="G165" s="8" t="str">
        <f t="shared" si="2"/>
        <v>HOLCOMB KAMDEN</v>
      </c>
    </row>
    <row r="166" spans="1:7" x14ac:dyDescent="0.25">
      <c r="A166" s="8">
        <v>42973.754849537036</v>
      </c>
      <c r="B166" s="20" t="s">
        <v>489</v>
      </c>
      <c r="C166" s="20" t="s">
        <v>752</v>
      </c>
      <c r="D166" s="138">
        <v>1800000</v>
      </c>
      <c r="E166" s="20" t="s">
        <v>673</v>
      </c>
      <c r="F166" s="20" t="s">
        <v>674</v>
      </c>
      <c r="G166" s="8" t="str">
        <f t="shared" si="2"/>
        <v>CHANDLER KELVIN</v>
      </c>
    </row>
    <row r="167" spans="1:7" x14ac:dyDescent="0.25">
      <c r="A167" s="8">
        <v>42973.759282407409</v>
      </c>
      <c r="B167" s="20" t="s">
        <v>490</v>
      </c>
      <c r="C167" s="20" t="s">
        <v>753</v>
      </c>
      <c r="D167" s="138">
        <v>2370000</v>
      </c>
      <c r="E167" s="20" t="s">
        <v>506</v>
      </c>
      <c r="F167" s="20" t="s">
        <v>507</v>
      </c>
      <c r="G167" s="8" t="str">
        <f t="shared" si="2"/>
        <v>DELGADO DIANAH</v>
      </c>
    </row>
    <row r="168" spans="1:7" x14ac:dyDescent="0.25">
      <c r="A168" s="8">
        <v>42973.760011574072</v>
      </c>
      <c r="B168" s="20" t="s">
        <v>446</v>
      </c>
      <c r="C168" s="20" t="s">
        <v>754</v>
      </c>
      <c r="D168" s="138">
        <v>2620000</v>
      </c>
      <c r="E168" s="20" t="s">
        <v>510</v>
      </c>
      <c r="F168" s="20" t="s">
        <v>511</v>
      </c>
      <c r="G168" s="8" t="str">
        <f t="shared" si="2"/>
        <v>PERKINS DARREN</v>
      </c>
    </row>
    <row r="169" spans="1:7" x14ac:dyDescent="0.25">
      <c r="A169" s="8">
        <v>42973.766770833332</v>
      </c>
      <c r="B169" s="20" t="s">
        <v>570</v>
      </c>
      <c r="C169" s="20" t="s">
        <v>755</v>
      </c>
      <c r="D169" s="138">
        <v>3000000</v>
      </c>
      <c r="E169" s="20" t="s">
        <v>430</v>
      </c>
      <c r="F169" s="20" t="s">
        <v>431</v>
      </c>
      <c r="G169" s="8" t="str">
        <f t="shared" si="2"/>
        <v>FORTUNATO FRANK</v>
      </c>
    </row>
    <row r="170" spans="1:7" x14ac:dyDescent="0.25">
      <c r="A170" s="8">
        <v>42973.774861111109</v>
      </c>
      <c r="B170" s="20" t="s">
        <v>409</v>
      </c>
      <c r="C170" s="20" t="s">
        <v>756</v>
      </c>
      <c r="D170" s="138">
        <v>2730000</v>
      </c>
      <c r="E170" s="20" t="s">
        <v>427</v>
      </c>
      <c r="F170" s="20" t="s">
        <v>428</v>
      </c>
      <c r="G170" s="8" t="str">
        <f t="shared" si="2"/>
        <v>YANG JAN</v>
      </c>
    </row>
    <row r="171" spans="1:7" x14ac:dyDescent="0.25">
      <c r="A171" s="8">
        <v>42973.775694444441</v>
      </c>
      <c r="B171" s="20" t="s">
        <v>503</v>
      </c>
      <c r="C171" s="20" t="s">
        <v>757</v>
      </c>
      <c r="D171" s="138">
        <v>2630000</v>
      </c>
      <c r="E171" s="20" t="s">
        <v>712</v>
      </c>
      <c r="F171" s="20" t="s">
        <v>713</v>
      </c>
      <c r="G171" s="8" t="str">
        <f t="shared" si="2"/>
        <v>SAFIEF AEIMEN</v>
      </c>
    </row>
    <row r="172" spans="1:7" x14ac:dyDescent="0.25">
      <c r="A172" s="8">
        <v>42973.778819444444</v>
      </c>
      <c r="B172" s="20" t="s">
        <v>412</v>
      </c>
      <c r="C172" s="20" t="s">
        <v>758</v>
      </c>
      <c r="D172" s="138">
        <v>2440000</v>
      </c>
      <c r="E172" s="20" t="s">
        <v>452</v>
      </c>
      <c r="F172" s="20" t="s">
        <v>453</v>
      </c>
      <c r="G172" s="8" t="str">
        <f t="shared" si="2"/>
        <v>LOPES KIMBERLY</v>
      </c>
    </row>
    <row r="173" spans="1:7" x14ac:dyDescent="0.25">
      <c r="A173" s="8">
        <v>42973.786319444444</v>
      </c>
      <c r="B173" s="20" t="s">
        <v>577</v>
      </c>
      <c r="C173" s="20" t="s">
        <v>581</v>
      </c>
      <c r="D173" s="138">
        <v>2420000</v>
      </c>
      <c r="E173" s="20" t="s">
        <v>717</v>
      </c>
      <c r="F173" s="20" t="s">
        <v>718</v>
      </c>
      <c r="G173" s="8" t="str">
        <f t="shared" si="2"/>
        <v>HOLCOMB KAMDEN</v>
      </c>
    </row>
    <row r="174" spans="1:7" x14ac:dyDescent="0.25">
      <c r="A174" s="8">
        <v>42973.790810185186</v>
      </c>
      <c r="B174" s="20" t="s">
        <v>488</v>
      </c>
      <c r="C174" s="20" t="s">
        <v>759</v>
      </c>
      <c r="D174" s="138">
        <v>3220000</v>
      </c>
      <c r="E174" s="20" t="s">
        <v>454</v>
      </c>
      <c r="F174" s="20" t="s">
        <v>455</v>
      </c>
      <c r="G174" s="8" t="str">
        <f t="shared" si="2"/>
        <v>RESPASS AARON</v>
      </c>
    </row>
    <row r="175" spans="1:7" x14ac:dyDescent="0.25">
      <c r="A175" s="8">
        <v>42973.792245370372</v>
      </c>
      <c r="B175" s="20" t="s">
        <v>492</v>
      </c>
      <c r="C175" s="20" t="s">
        <v>760</v>
      </c>
      <c r="D175" s="138">
        <v>2630000</v>
      </c>
      <c r="E175" s="20" t="s">
        <v>712</v>
      </c>
      <c r="F175" s="20" t="s">
        <v>713</v>
      </c>
      <c r="G175" s="8" t="str">
        <f t="shared" si="2"/>
        <v>SAFIEF AEIMEN</v>
      </c>
    </row>
    <row r="176" spans="1:7" x14ac:dyDescent="0.25">
      <c r="A176" s="8">
        <v>42973.79347222222</v>
      </c>
      <c r="B176" s="20" t="s">
        <v>447</v>
      </c>
      <c r="C176" s="20" t="s">
        <v>761</v>
      </c>
      <c r="D176" s="138">
        <v>2620000</v>
      </c>
      <c r="E176" s="20" t="s">
        <v>510</v>
      </c>
      <c r="F176" s="20" t="s">
        <v>511</v>
      </c>
      <c r="G176" s="8" t="str">
        <f t="shared" si="2"/>
        <v>PERKINS DARREN</v>
      </c>
    </row>
    <row r="177" spans="1:7" x14ac:dyDescent="0.25">
      <c r="A177" s="8">
        <v>42973.801157407404</v>
      </c>
      <c r="B177" s="20" t="s">
        <v>582</v>
      </c>
      <c r="C177" s="20" t="s">
        <v>583</v>
      </c>
      <c r="D177" s="138">
        <v>3000000</v>
      </c>
      <c r="E177" s="20" t="s">
        <v>430</v>
      </c>
      <c r="F177" s="20" t="s">
        <v>431</v>
      </c>
      <c r="G177" s="8" t="str">
        <f t="shared" si="2"/>
        <v>FORTUNATO FRANK</v>
      </c>
    </row>
    <row r="178" spans="1:7" x14ac:dyDescent="0.25">
      <c r="A178" s="8">
        <v>42973.810358796298</v>
      </c>
      <c r="B178" s="20" t="s">
        <v>413</v>
      </c>
      <c r="C178" s="20" t="s">
        <v>762</v>
      </c>
      <c r="D178" s="138">
        <v>2730000</v>
      </c>
      <c r="E178" s="20" t="s">
        <v>427</v>
      </c>
      <c r="F178" s="20" t="s">
        <v>428</v>
      </c>
      <c r="G178" s="8" t="str">
        <f t="shared" si="2"/>
        <v>YANG JAN</v>
      </c>
    </row>
    <row r="179" spans="1:7" x14ac:dyDescent="0.25">
      <c r="A179" s="8">
        <v>42973.817962962959</v>
      </c>
      <c r="B179" s="20" t="s">
        <v>503</v>
      </c>
      <c r="C179" s="20" t="s">
        <v>763</v>
      </c>
      <c r="D179" s="138">
        <v>2630000</v>
      </c>
      <c r="E179" s="20" t="s">
        <v>712</v>
      </c>
      <c r="F179" s="20" t="s">
        <v>713</v>
      </c>
      <c r="G179" s="8" t="str">
        <f t="shared" si="2"/>
        <v>SAFIEF AEIMEN</v>
      </c>
    </row>
    <row r="180" spans="1:7" x14ac:dyDescent="0.25">
      <c r="A180" s="8">
        <v>42973.822233796294</v>
      </c>
      <c r="B180" s="20" t="s">
        <v>565</v>
      </c>
      <c r="C180" s="20" t="s">
        <v>584</v>
      </c>
      <c r="D180" s="138">
        <v>3130000</v>
      </c>
      <c r="E180" s="20" t="s">
        <v>512</v>
      </c>
      <c r="F180" s="20" t="s">
        <v>513</v>
      </c>
      <c r="G180" s="8" t="str">
        <f t="shared" si="2"/>
        <v>ZEWDU DEREJE</v>
      </c>
    </row>
    <row r="181" spans="1:7" x14ac:dyDescent="0.25">
      <c r="A181" s="8">
        <v>42973.823622685188</v>
      </c>
      <c r="B181" s="20" t="s">
        <v>489</v>
      </c>
      <c r="C181" s="20" t="s">
        <v>764</v>
      </c>
      <c r="D181" s="138">
        <v>3220000</v>
      </c>
      <c r="E181" s="20" t="s">
        <v>454</v>
      </c>
      <c r="F181" s="20" t="s">
        <v>455</v>
      </c>
      <c r="G181" s="8" t="str">
        <f t="shared" si="2"/>
        <v>RESPASS AARON</v>
      </c>
    </row>
    <row r="182" spans="1:7" x14ac:dyDescent="0.25">
      <c r="A182" s="8">
        <v>42973.82949074074</v>
      </c>
      <c r="B182" s="20" t="s">
        <v>446</v>
      </c>
      <c r="C182" s="20" t="s">
        <v>765</v>
      </c>
      <c r="D182" s="138">
        <v>2620000</v>
      </c>
      <c r="E182" s="20" t="s">
        <v>510</v>
      </c>
      <c r="F182" s="20" t="s">
        <v>511</v>
      </c>
      <c r="G182" s="8" t="str">
        <f t="shared" si="2"/>
        <v>PERKINS DARREN</v>
      </c>
    </row>
    <row r="183" spans="1:7" x14ac:dyDescent="0.25">
      <c r="A183" s="8">
        <v>42973.832673611112</v>
      </c>
      <c r="B183" s="20" t="s">
        <v>490</v>
      </c>
      <c r="C183" s="20" t="s">
        <v>766</v>
      </c>
      <c r="D183" s="138">
        <v>3130000</v>
      </c>
      <c r="E183" s="20" t="s">
        <v>512</v>
      </c>
      <c r="F183" s="20" t="s">
        <v>513</v>
      </c>
      <c r="G183" s="8" t="str">
        <f t="shared" si="2"/>
        <v>ZEWDU DEREJE</v>
      </c>
    </row>
    <row r="184" spans="1:7" x14ac:dyDescent="0.25">
      <c r="A184" s="8">
        <v>42973.832754629628</v>
      </c>
      <c r="B184" s="20" t="s">
        <v>492</v>
      </c>
      <c r="C184" s="20" t="s">
        <v>767</v>
      </c>
      <c r="D184" s="138">
        <v>2630000</v>
      </c>
      <c r="E184" s="20" t="s">
        <v>712</v>
      </c>
      <c r="F184" s="20" t="s">
        <v>713</v>
      </c>
      <c r="G184" s="8" t="str">
        <f t="shared" si="2"/>
        <v>SAFIEF AEIMEN</v>
      </c>
    </row>
    <row r="185" spans="1:7" x14ac:dyDescent="0.25">
      <c r="A185" s="8">
        <v>42973.846655092595</v>
      </c>
      <c r="B185" s="20" t="s">
        <v>565</v>
      </c>
      <c r="C185" s="20" t="s">
        <v>768</v>
      </c>
      <c r="D185" s="138">
        <v>3000000</v>
      </c>
      <c r="E185" s="20" t="s">
        <v>430</v>
      </c>
      <c r="F185" s="20" t="s">
        <v>431</v>
      </c>
      <c r="G185" s="8" t="str">
        <f t="shared" si="2"/>
        <v>FORTUNATO FRANK</v>
      </c>
    </row>
    <row r="186" spans="1:7" x14ac:dyDescent="0.25">
      <c r="A186" s="8">
        <v>42973.848229166666</v>
      </c>
      <c r="B186" s="20" t="s">
        <v>409</v>
      </c>
      <c r="C186" s="20" t="s">
        <v>769</v>
      </c>
      <c r="D186" s="138">
        <v>2730000</v>
      </c>
      <c r="E186" s="20" t="s">
        <v>427</v>
      </c>
      <c r="F186" s="20" t="s">
        <v>428</v>
      </c>
      <c r="G186" s="8" t="str">
        <f t="shared" si="2"/>
        <v>YANG JAN</v>
      </c>
    </row>
    <row r="187" spans="1:7" x14ac:dyDescent="0.25">
      <c r="A187" s="8">
        <v>42973.859444444446</v>
      </c>
      <c r="B187" s="20" t="s">
        <v>503</v>
      </c>
      <c r="C187" s="20" t="s">
        <v>770</v>
      </c>
      <c r="D187" s="138">
        <v>2630000</v>
      </c>
      <c r="E187" s="20" t="s">
        <v>712</v>
      </c>
      <c r="F187" s="20" t="s">
        <v>713</v>
      </c>
      <c r="G187" s="8" t="str">
        <f t="shared" si="2"/>
        <v>SAFIEF AEIMEN</v>
      </c>
    </row>
    <row r="188" spans="1:7" x14ac:dyDescent="0.25">
      <c r="A188" s="8">
        <v>42973.861296296294</v>
      </c>
      <c r="B188" s="20" t="s">
        <v>447</v>
      </c>
      <c r="C188" s="20" t="s">
        <v>771</v>
      </c>
      <c r="D188" s="138">
        <v>2620000</v>
      </c>
      <c r="E188" s="20" t="s">
        <v>510</v>
      </c>
      <c r="F188" s="20" t="s">
        <v>511</v>
      </c>
      <c r="G188" s="8" t="str">
        <f t="shared" si="2"/>
        <v>PERKINS DARREN</v>
      </c>
    </row>
    <row r="189" spans="1:7" x14ac:dyDescent="0.25">
      <c r="A189" s="8">
        <v>42973.865729166668</v>
      </c>
      <c r="B189" s="20" t="s">
        <v>488</v>
      </c>
      <c r="C189" s="20" t="s">
        <v>772</v>
      </c>
      <c r="D189" s="138">
        <v>3220000</v>
      </c>
      <c r="E189" s="20" t="s">
        <v>454</v>
      </c>
      <c r="F189" s="20" t="s">
        <v>455</v>
      </c>
      <c r="G189" s="8" t="str">
        <f t="shared" si="2"/>
        <v>RESPASS AARON</v>
      </c>
    </row>
    <row r="190" spans="1:7" x14ac:dyDescent="0.25">
      <c r="A190" s="8">
        <v>42973.87462962963</v>
      </c>
      <c r="B190" s="20" t="s">
        <v>382</v>
      </c>
      <c r="C190" s="20" t="s">
        <v>584</v>
      </c>
      <c r="D190" s="138">
        <v>3130000</v>
      </c>
      <c r="E190" s="20" t="s">
        <v>512</v>
      </c>
      <c r="F190" s="20" t="s">
        <v>513</v>
      </c>
      <c r="G190" s="8" t="str">
        <f t="shared" si="2"/>
        <v>ZEWDU DEREJE</v>
      </c>
    </row>
    <row r="191" spans="1:7" x14ac:dyDescent="0.25">
      <c r="A191" s="8">
        <v>42973.877233796295</v>
      </c>
      <c r="B191" s="20" t="s">
        <v>492</v>
      </c>
      <c r="C191" s="20" t="s">
        <v>773</v>
      </c>
      <c r="D191" s="138">
        <v>2630000</v>
      </c>
      <c r="E191" s="20" t="s">
        <v>712</v>
      </c>
      <c r="F191" s="20" t="s">
        <v>713</v>
      </c>
      <c r="G191" s="8" t="str">
        <f t="shared" si="2"/>
        <v>SAFIEF AEIMEN</v>
      </c>
    </row>
    <row r="192" spans="1:7" x14ac:dyDescent="0.25">
      <c r="A192" s="8">
        <v>42973.878750000003</v>
      </c>
      <c r="B192" s="20" t="s">
        <v>385</v>
      </c>
      <c r="C192" s="20" t="s">
        <v>584</v>
      </c>
      <c r="D192" s="138">
        <v>3130000</v>
      </c>
      <c r="E192" s="20" t="s">
        <v>512</v>
      </c>
      <c r="F192" s="20" t="s">
        <v>513</v>
      </c>
      <c r="G192" s="8" t="str">
        <f t="shared" si="2"/>
        <v>ZEWDU DEREJE</v>
      </c>
    </row>
    <row r="193" spans="1:7" x14ac:dyDescent="0.25">
      <c r="A193" s="8">
        <v>42973.883622685185</v>
      </c>
      <c r="B193" s="20" t="s">
        <v>385</v>
      </c>
      <c r="C193" s="20" t="s">
        <v>584</v>
      </c>
      <c r="D193" s="138">
        <v>3130000</v>
      </c>
      <c r="E193" s="20" t="s">
        <v>512</v>
      </c>
      <c r="F193" s="20" t="s">
        <v>513</v>
      </c>
      <c r="G193" s="8" t="str">
        <f t="shared" si="2"/>
        <v>ZEWDU DEREJE</v>
      </c>
    </row>
    <row r="194" spans="1:7" x14ac:dyDescent="0.25">
      <c r="A194" s="8">
        <v>42973.886145833334</v>
      </c>
      <c r="B194" s="20" t="s">
        <v>490</v>
      </c>
      <c r="C194" s="20" t="s">
        <v>774</v>
      </c>
      <c r="D194" s="138">
        <v>3000000</v>
      </c>
      <c r="E194" s="20" t="s">
        <v>430</v>
      </c>
      <c r="F194" s="20" t="s">
        <v>431</v>
      </c>
      <c r="G194" s="8" t="str">
        <f t="shared" si="2"/>
        <v>FORTUNATO FRANK</v>
      </c>
    </row>
    <row r="195" spans="1:7" x14ac:dyDescent="0.25">
      <c r="A195" s="8">
        <v>42973.887256944443</v>
      </c>
      <c r="B195" s="20" t="s">
        <v>490</v>
      </c>
      <c r="C195" s="20" t="s">
        <v>774</v>
      </c>
      <c r="D195" s="138">
        <v>3000000</v>
      </c>
      <c r="E195" s="20" t="s">
        <v>430</v>
      </c>
      <c r="F195" s="20" t="s">
        <v>431</v>
      </c>
      <c r="G195" s="8" t="str">
        <f t="shared" ref="G195:G258" si="3">E195&amp;" "&amp;F195</f>
        <v>FORTUNATO FRANK</v>
      </c>
    </row>
    <row r="196" spans="1:7" x14ac:dyDescent="0.25">
      <c r="A196" s="8">
        <v>42973.888460648152</v>
      </c>
      <c r="B196" s="20" t="s">
        <v>413</v>
      </c>
      <c r="C196" s="20" t="s">
        <v>775</v>
      </c>
      <c r="D196" s="138">
        <v>2730000</v>
      </c>
      <c r="E196" s="20" t="s">
        <v>427</v>
      </c>
      <c r="F196" s="20" t="s">
        <v>428</v>
      </c>
      <c r="G196" s="8" t="str">
        <f t="shared" si="3"/>
        <v>YANG JAN</v>
      </c>
    </row>
    <row r="197" spans="1:7" x14ac:dyDescent="0.25">
      <c r="A197" s="8">
        <v>42973.88853009259</v>
      </c>
      <c r="B197" s="20" t="s">
        <v>490</v>
      </c>
      <c r="C197" s="20" t="s">
        <v>774</v>
      </c>
      <c r="D197" s="138">
        <v>3000000</v>
      </c>
      <c r="E197" s="20" t="s">
        <v>430</v>
      </c>
      <c r="F197" s="20" t="s">
        <v>431</v>
      </c>
      <c r="G197" s="8" t="str">
        <f t="shared" si="3"/>
        <v>FORTUNATO FRANK</v>
      </c>
    </row>
    <row r="198" spans="1:7" x14ac:dyDescent="0.25">
      <c r="A198" s="8">
        <v>42973.900833333333</v>
      </c>
      <c r="B198" s="20" t="s">
        <v>503</v>
      </c>
      <c r="C198" s="20" t="s">
        <v>776</v>
      </c>
      <c r="D198" s="138">
        <v>2630000</v>
      </c>
      <c r="E198" s="20" t="s">
        <v>712</v>
      </c>
      <c r="F198" s="20" t="s">
        <v>713</v>
      </c>
      <c r="G198" s="8" t="str">
        <f t="shared" si="3"/>
        <v>SAFIEF AEIMEN</v>
      </c>
    </row>
    <row r="199" spans="1:7" x14ac:dyDescent="0.25">
      <c r="A199" s="8">
        <v>42973.907951388886</v>
      </c>
      <c r="B199" s="20" t="s">
        <v>446</v>
      </c>
      <c r="C199" s="20" t="s">
        <v>777</v>
      </c>
      <c r="D199" s="138">
        <v>2620000</v>
      </c>
      <c r="E199" s="20" t="s">
        <v>510</v>
      </c>
      <c r="F199" s="20" t="s">
        <v>511</v>
      </c>
      <c r="G199" s="8" t="str">
        <f t="shared" si="3"/>
        <v>PERKINS DARREN</v>
      </c>
    </row>
    <row r="200" spans="1:7" x14ac:dyDescent="0.25">
      <c r="A200" s="8">
        <v>42973.908761574072</v>
      </c>
      <c r="B200" s="20" t="s">
        <v>582</v>
      </c>
      <c r="C200" s="20" t="s">
        <v>778</v>
      </c>
      <c r="D200" s="138">
        <v>3220000</v>
      </c>
      <c r="E200" s="20" t="s">
        <v>454</v>
      </c>
      <c r="F200" s="20" t="s">
        <v>455</v>
      </c>
      <c r="G200" s="8" t="str">
        <f t="shared" si="3"/>
        <v>RESPASS AARON</v>
      </c>
    </row>
    <row r="201" spans="1:7" x14ac:dyDescent="0.25">
      <c r="A201" s="8">
        <v>42973.91542824074</v>
      </c>
      <c r="B201" s="20" t="s">
        <v>492</v>
      </c>
      <c r="C201" s="20" t="s">
        <v>779</v>
      </c>
      <c r="D201" s="138">
        <v>2630000</v>
      </c>
      <c r="E201" s="20" t="s">
        <v>712</v>
      </c>
      <c r="F201" s="20" t="s">
        <v>713</v>
      </c>
      <c r="G201" s="8" t="str">
        <f t="shared" si="3"/>
        <v>SAFIEF AEIMEN</v>
      </c>
    </row>
    <row r="202" spans="1:7" x14ac:dyDescent="0.25">
      <c r="A202" s="26">
        <v>42973.927615740744</v>
      </c>
      <c r="B202" s="20" t="s">
        <v>565</v>
      </c>
      <c r="C202" s="20" t="s">
        <v>780</v>
      </c>
      <c r="D202" s="138">
        <v>3000000</v>
      </c>
      <c r="E202" s="20" t="s">
        <v>430</v>
      </c>
      <c r="F202" s="20" t="s">
        <v>431</v>
      </c>
      <c r="G202" s="8" t="str">
        <f t="shared" si="3"/>
        <v>FORTUNATO FRANK</v>
      </c>
    </row>
    <row r="203" spans="1:7" x14ac:dyDescent="0.25">
      <c r="A203" s="8">
        <v>42973.929085648146</v>
      </c>
      <c r="B203" s="20" t="s">
        <v>565</v>
      </c>
      <c r="C203" s="20" t="s">
        <v>780</v>
      </c>
      <c r="D203" s="138">
        <v>3000000</v>
      </c>
      <c r="E203" s="20" t="s">
        <v>430</v>
      </c>
      <c r="F203" s="20" t="s">
        <v>431</v>
      </c>
      <c r="G203" s="8" t="str">
        <f t="shared" si="3"/>
        <v>FORTUNATO FRANK</v>
      </c>
    </row>
    <row r="204" spans="1:7" x14ac:dyDescent="0.25">
      <c r="A204" s="8">
        <v>42973.93178240741</v>
      </c>
      <c r="B204" s="20" t="s">
        <v>409</v>
      </c>
      <c r="C204" s="20" t="s">
        <v>781</v>
      </c>
      <c r="D204" s="138">
        <v>2730000</v>
      </c>
      <c r="E204" s="20" t="s">
        <v>427</v>
      </c>
      <c r="F204" s="20" t="s">
        <v>428</v>
      </c>
      <c r="G204" s="8" t="str">
        <f t="shared" si="3"/>
        <v>YANG JAN</v>
      </c>
    </row>
    <row r="205" spans="1:7" x14ac:dyDescent="0.25">
      <c r="A205" s="8">
        <v>42973.943043981482</v>
      </c>
      <c r="B205" s="20" t="s">
        <v>503</v>
      </c>
      <c r="C205" s="20" t="s">
        <v>782</v>
      </c>
      <c r="D205" s="138">
        <v>2630000</v>
      </c>
      <c r="E205" s="20" t="s">
        <v>712</v>
      </c>
      <c r="F205" s="20" t="s">
        <v>713</v>
      </c>
      <c r="G205" s="8" t="str">
        <f t="shared" si="3"/>
        <v>SAFIEF AEIMEN</v>
      </c>
    </row>
    <row r="206" spans="1:7" x14ac:dyDescent="0.25">
      <c r="A206" s="8">
        <v>42973.950219907405</v>
      </c>
      <c r="B206" s="20" t="s">
        <v>488</v>
      </c>
      <c r="C206" s="20" t="s">
        <v>783</v>
      </c>
      <c r="D206" s="138">
        <v>3220000</v>
      </c>
      <c r="E206" s="20" t="s">
        <v>454</v>
      </c>
      <c r="F206" s="20" t="s">
        <v>455</v>
      </c>
      <c r="G206" s="8" t="str">
        <f t="shared" si="3"/>
        <v>RESPASS AARON</v>
      </c>
    </row>
    <row r="207" spans="1:7" x14ac:dyDescent="0.25">
      <c r="A207" s="8">
        <v>42973.952268518522</v>
      </c>
      <c r="B207" s="20" t="s">
        <v>447</v>
      </c>
      <c r="C207" s="20" t="s">
        <v>784</v>
      </c>
      <c r="D207" s="138">
        <v>2620000</v>
      </c>
      <c r="E207" s="20" t="s">
        <v>510</v>
      </c>
      <c r="F207" s="20" t="s">
        <v>511</v>
      </c>
      <c r="G207" s="8" t="str">
        <f t="shared" si="3"/>
        <v>PERKINS DARREN</v>
      </c>
    </row>
    <row r="208" spans="1:7" x14ac:dyDescent="0.25">
      <c r="A208" s="8">
        <v>42973.969178240739</v>
      </c>
      <c r="B208" s="20" t="s">
        <v>490</v>
      </c>
      <c r="C208" s="20" t="s">
        <v>785</v>
      </c>
      <c r="D208" s="138">
        <v>3000000</v>
      </c>
      <c r="E208" s="20" t="s">
        <v>430</v>
      </c>
      <c r="F208" s="20" t="s">
        <v>431</v>
      </c>
      <c r="G208" s="8" t="str">
        <f t="shared" si="3"/>
        <v>FORTUNATO FRANK</v>
      </c>
    </row>
    <row r="209" spans="1:7" x14ac:dyDescent="0.25">
      <c r="A209" s="8">
        <v>42973.970057870371</v>
      </c>
      <c r="B209" s="20" t="s">
        <v>490</v>
      </c>
      <c r="C209" s="20" t="s">
        <v>785</v>
      </c>
      <c r="D209" s="138">
        <v>3000000</v>
      </c>
      <c r="E209" s="20" t="s">
        <v>430</v>
      </c>
      <c r="F209" s="20" t="s">
        <v>431</v>
      </c>
      <c r="G209" s="8" t="str">
        <f t="shared" si="3"/>
        <v>FORTUNATO FRANK</v>
      </c>
    </row>
    <row r="210" spans="1:7" x14ac:dyDescent="0.25">
      <c r="A210" s="8">
        <v>42973.971851851849</v>
      </c>
      <c r="B210" s="20" t="s">
        <v>413</v>
      </c>
      <c r="C210" s="20" t="s">
        <v>786</v>
      </c>
      <c r="D210" s="138">
        <v>2730000</v>
      </c>
      <c r="E210" s="20" t="s">
        <v>427</v>
      </c>
      <c r="F210" s="20" t="s">
        <v>428</v>
      </c>
      <c r="G210" s="8" t="str">
        <f t="shared" si="3"/>
        <v>YANG JAN</v>
      </c>
    </row>
    <row r="211" spans="1:7" x14ac:dyDescent="0.25">
      <c r="A211" s="8">
        <v>42973.990335648145</v>
      </c>
      <c r="B211" s="20" t="s">
        <v>446</v>
      </c>
      <c r="C211" s="20" t="s">
        <v>787</v>
      </c>
      <c r="D211" s="138">
        <v>2620000</v>
      </c>
      <c r="E211" s="20" t="s">
        <v>510</v>
      </c>
      <c r="F211" s="20" t="s">
        <v>511</v>
      </c>
      <c r="G211" s="8" t="str">
        <f t="shared" si="3"/>
        <v>PERKINS DARREN</v>
      </c>
    </row>
    <row r="212" spans="1:7" x14ac:dyDescent="0.25">
      <c r="A212" s="8">
        <v>42973.994247685187</v>
      </c>
      <c r="B212" s="20" t="s">
        <v>582</v>
      </c>
      <c r="C212" s="20" t="s">
        <v>788</v>
      </c>
      <c r="D212" s="138">
        <v>3220000</v>
      </c>
      <c r="E212" s="20" t="s">
        <v>454</v>
      </c>
      <c r="F212" s="20" t="s">
        <v>455</v>
      </c>
      <c r="G212" s="8" t="str">
        <f t="shared" si="3"/>
        <v>RESPASS AARON</v>
      </c>
    </row>
    <row r="213" spans="1:7" x14ac:dyDescent="0.25">
      <c r="A213" s="8">
        <v>42974.010150462964</v>
      </c>
      <c r="B213" s="20" t="s">
        <v>565</v>
      </c>
      <c r="C213" s="20" t="s">
        <v>585</v>
      </c>
      <c r="D213" s="138">
        <v>3000000</v>
      </c>
      <c r="E213" s="20" t="s">
        <v>430</v>
      </c>
      <c r="F213" s="20" t="s">
        <v>431</v>
      </c>
      <c r="G213" s="8" t="str">
        <f t="shared" si="3"/>
        <v>FORTUNATO FRANK</v>
      </c>
    </row>
    <row r="214" spans="1:7" x14ac:dyDescent="0.25">
      <c r="A214" s="8">
        <v>42974.015138888892</v>
      </c>
      <c r="B214" s="20" t="s">
        <v>409</v>
      </c>
      <c r="C214" s="20" t="s">
        <v>789</v>
      </c>
      <c r="D214" s="138">
        <v>2730000</v>
      </c>
      <c r="E214" s="20" t="s">
        <v>427</v>
      </c>
      <c r="F214" s="20" t="s">
        <v>428</v>
      </c>
      <c r="G214" s="8" t="str">
        <f t="shared" si="3"/>
        <v>YANG JAN</v>
      </c>
    </row>
    <row r="215" spans="1:7" x14ac:dyDescent="0.25">
      <c r="A215" s="8">
        <v>42974.033136574071</v>
      </c>
      <c r="B215" s="20" t="s">
        <v>447</v>
      </c>
      <c r="C215" s="20" t="s">
        <v>790</v>
      </c>
      <c r="D215" s="138">
        <v>2620000</v>
      </c>
      <c r="E215" s="20" t="s">
        <v>510</v>
      </c>
      <c r="F215" s="20" t="s">
        <v>511</v>
      </c>
      <c r="G215" s="8" t="str">
        <f t="shared" si="3"/>
        <v>PERKINS DARREN</v>
      </c>
    </row>
    <row r="216" spans="1:7" x14ac:dyDescent="0.25">
      <c r="A216" s="8">
        <v>42974.034120370372</v>
      </c>
      <c r="B216" s="20" t="s">
        <v>488</v>
      </c>
      <c r="C216" s="20" t="s">
        <v>791</v>
      </c>
      <c r="D216" s="138">
        <v>3220000</v>
      </c>
      <c r="E216" s="20" t="s">
        <v>454</v>
      </c>
      <c r="F216" s="20" t="s">
        <v>455</v>
      </c>
      <c r="G216" s="8" t="str">
        <f t="shared" si="3"/>
        <v>RESPASS AARON</v>
      </c>
    </row>
    <row r="217" spans="1:7" x14ac:dyDescent="0.25">
      <c r="A217" s="8">
        <v>42974.049317129633</v>
      </c>
      <c r="B217" s="20" t="s">
        <v>413</v>
      </c>
      <c r="C217" s="20" t="s">
        <v>792</v>
      </c>
      <c r="D217" s="138">
        <v>2730000</v>
      </c>
      <c r="E217" s="20" t="s">
        <v>427</v>
      </c>
      <c r="F217" s="20" t="s">
        <v>428</v>
      </c>
      <c r="G217" s="8" t="str">
        <f t="shared" si="3"/>
        <v>YANG JAN</v>
      </c>
    </row>
    <row r="218" spans="1:7" x14ac:dyDescent="0.25">
      <c r="A218" s="8">
        <v>42974.05097222222</v>
      </c>
      <c r="B218" s="20" t="s">
        <v>490</v>
      </c>
      <c r="C218" s="20" t="s">
        <v>586</v>
      </c>
      <c r="D218" s="138">
        <v>3000000</v>
      </c>
      <c r="E218" s="20" t="s">
        <v>430</v>
      </c>
      <c r="F218" s="20" t="s">
        <v>431</v>
      </c>
      <c r="G218" s="8" t="str">
        <f t="shared" si="3"/>
        <v>FORTUNATO FRANK</v>
      </c>
    </row>
    <row r="219" spans="1:7" x14ac:dyDescent="0.25">
      <c r="A219" s="8">
        <v>42974.071226851855</v>
      </c>
      <c r="B219" s="20" t="s">
        <v>446</v>
      </c>
      <c r="C219" s="20" t="s">
        <v>793</v>
      </c>
      <c r="D219" s="138">
        <v>2620000</v>
      </c>
      <c r="E219" s="20" t="s">
        <v>510</v>
      </c>
      <c r="F219" s="20" t="s">
        <v>511</v>
      </c>
      <c r="G219" s="8" t="str">
        <f t="shared" si="3"/>
        <v>PERKINS DARREN</v>
      </c>
    </row>
    <row r="220" spans="1:7" x14ac:dyDescent="0.25">
      <c r="A220" s="8">
        <v>42974.07603009259</v>
      </c>
      <c r="B220" s="20" t="s">
        <v>582</v>
      </c>
      <c r="C220" s="20" t="s">
        <v>587</v>
      </c>
      <c r="D220" s="138">
        <v>3220000</v>
      </c>
      <c r="E220" s="20" t="s">
        <v>454</v>
      </c>
      <c r="F220" s="20" t="s">
        <v>455</v>
      </c>
      <c r="G220" s="8" t="str">
        <f t="shared" si="3"/>
        <v>RESPASS AARON</v>
      </c>
    </row>
    <row r="221" spans="1:7" x14ac:dyDescent="0.25">
      <c r="A221" s="8">
        <v>42974.089456018519</v>
      </c>
      <c r="B221" s="20" t="s">
        <v>582</v>
      </c>
      <c r="C221" s="20" t="s">
        <v>587</v>
      </c>
      <c r="D221" s="138">
        <v>3220000</v>
      </c>
      <c r="E221" s="20" t="s">
        <v>454</v>
      </c>
      <c r="F221" s="20" t="s">
        <v>455</v>
      </c>
      <c r="G221" s="8" t="str">
        <f t="shared" si="3"/>
        <v>RESPASS AARON</v>
      </c>
    </row>
    <row r="222" spans="1:7" x14ac:dyDescent="0.25">
      <c r="A222" s="8">
        <v>42974.091990740744</v>
      </c>
      <c r="B222" s="20" t="s">
        <v>565</v>
      </c>
      <c r="C222" s="20" t="s">
        <v>794</v>
      </c>
      <c r="D222" s="138">
        <v>3000000</v>
      </c>
      <c r="E222" s="20" t="s">
        <v>430</v>
      </c>
      <c r="F222" s="20" t="s">
        <v>431</v>
      </c>
      <c r="G222" s="8" t="str">
        <f t="shared" si="3"/>
        <v>FORTUNATO FRANK</v>
      </c>
    </row>
    <row r="223" spans="1:7" x14ac:dyDescent="0.25">
      <c r="A223" s="8">
        <v>42974.092939814815</v>
      </c>
      <c r="B223" s="20" t="s">
        <v>565</v>
      </c>
      <c r="C223" s="20" t="s">
        <v>794</v>
      </c>
      <c r="D223" s="138">
        <v>3000000</v>
      </c>
      <c r="E223" s="20" t="s">
        <v>430</v>
      </c>
      <c r="F223" s="20" t="s">
        <v>431</v>
      </c>
      <c r="G223" s="8" t="str">
        <f t="shared" si="3"/>
        <v>FORTUNATO FRANK</v>
      </c>
    </row>
    <row r="224" spans="1:7" x14ac:dyDescent="0.25">
      <c r="A224" s="8">
        <v>42974.109652777777</v>
      </c>
      <c r="B224" t="s">
        <v>795</v>
      </c>
      <c r="C224" t="s">
        <v>796</v>
      </c>
      <c r="D224" s="138">
        <v>3120000</v>
      </c>
      <c r="E224" t="s">
        <v>644</v>
      </c>
      <c r="F224" s="20" t="s">
        <v>645</v>
      </c>
      <c r="G224" s="8" t="str">
        <f t="shared" si="3"/>
        <v>THOMPSON LESTER</v>
      </c>
    </row>
    <row r="225" spans="1:7" x14ac:dyDescent="0.25">
      <c r="A225" s="8">
        <v>42971.925763888888</v>
      </c>
      <c r="B225" t="s">
        <v>493</v>
      </c>
      <c r="C225" t="s">
        <v>494</v>
      </c>
      <c r="D225" s="138">
        <v>3220000</v>
      </c>
      <c r="E225" t="s">
        <v>454</v>
      </c>
      <c r="F225" s="20" t="s">
        <v>455</v>
      </c>
      <c r="G225" s="8" t="str">
        <f t="shared" si="3"/>
        <v>RESPASS AARON</v>
      </c>
    </row>
    <row r="226" spans="1:7" x14ac:dyDescent="0.25">
      <c r="A226" s="8">
        <v>42971.930833333332</v>
      </c>
      <c r="B226" t="s">
        <v>411</v>
      </c>
      <c r="C226" t="s">
        <v>514</v>
      </c>
      <c r="D226" s="138">
        <v>3490000</v>
      </c>
      <c r="E226" t="s">
        <v>417</v>
      </c>
      <c r="F226" s="20" t="s">
        <v>418</v>
      </c>
      <c r="G226" s="8" t="str">
        <f t="shared" si="3"/>
        <v>WEST BRYAN</v>
      </c>
    </row>
    <row r="227" spans="1:7" x14ac:dyDescent="0.25">
      <c r="A227" s="8">
        <v>42971.944861111115</v>
      </c>
      <c r="B227" t="s">
        <v>489</v>
      </c>
      <c r="C227" t="s">
        <v>515</v>
      </c>
      <c r="D227" s="138">
        <v>2620000</v>
      </c>
      <c r="E227" t="s">
        <v>510</v>
      </c>
      <c r="F227" s="20" t="s">
        <v>511</v>
      </c>
      <c r="G227" s="8" t="str">
        <f t="shared" si="3"/>
        <v>PERKINS DARREN</v>
      </c>
    </row>
    <row r="228" spans="1:7" x14ac:dyDescent="0.25">
      <c r="A228" s="8">
        <v>42971.947627314818</v>
      </c>
      <c r="B228" t="s">
        <v>491</v>
      </c>
      <c r="C228" t="s">
        <v>516</v>
      </c>
      <c r="D228" s="138">
        <v>3220000</v>
      </c>
      <c r="E228" t="s">
        <v>454</v>
      </c>
      <c r="F228" s="20" t="s">
        <v>455</v>
      </c>
      <c r="G228" s="8" t="str">
        <f t="shared" si="3"/>
        <v>RESPASS AARON</v>
      </c>
    </row>
    <row r="229" spans="1:7" x14ac:dyDescent="0.25">
      <c r="A229" s="8">
        <v>42971.953472222223</v>
      </c>
      <c r="B229" t="s">
        <v>366</v>
      </c>
      <c r="C229" t="s">
        <v>517</v>
      </c>
      <c r="D229" s="138">
        <v>3030000</v>
      </c>
      <c r="E229" t="s">
        <v>518</v>
      </c>
      <c r="F229" s="20" t="s">
        <v>348</v>
      </c>
      <c r="G229" s="8" t="str">
        <f t="shared" si="3"/>
        <v>BIRENBAUM THOMAS</v>
      </c>
    </row>
    <row r="230" spans="1:7" x14ac:dyDescent="0.25">
      <c r="A230" s="8">
        <v>42971.965324074074</v>
      </c>
      <c r="B230" t="s">
        <v>447</v>
      </c>
      <c r="C230" t="s">
        <v>519</v>
      </c>
      <c r="D230" s="138">
        <v>3000000</v>
      </c>
      <c r="E230" t="s">
        <v>430</v>
      </c>
      <c r="F230" s="20" t="s">
        <v>431</v>
      </c>
      <c r="G230" s="8" t="str">
        <f t="shared" si="3"/>
        <v>FORTUNATO FRANK</v>
      </c>
    </row>
    <row r="231" spans="1:7" x14ac:dyDescent="0.25">
      <c r="A231" s="8">
        <v>42971.976157407407</v>
      </c>
      <c r="B231" t="s">
        <v>412</v>
      </c>
      <c r="C231" t="s">
        <v>520</v>
      </c>
      <c r="D231" s="138">
        <v>3490000</v>
      </c>
      <c r="E231" t="s">
        <v>417</v>
      </c>
      <c r="F231" s="20" t="s">
        <v>418</v>
      </c>
      <c r="G231" s="8" t="str">
        <f t="shared" si="3"/>
        <v>WEST BRYAN</v>
      </c>
    </row>
    <row r="232" spans="1:7" x14ac:dyDescent="0.25">
      <c r="A232" s="8">
        <v>42971.987060185187</v>
      </c>
      <c r="B232" t="s">
        <v>488</v>
      </c>
      <c r="C232" t="s">
        <v>521</v>
      </c>
      <c r="D232" s="138">
        <v>2620000</v>
      </c>
      <c r="E232" t="s">
        <v>510</v>
      </c>
      <c r="F232" s="20" t="s">
        <v>511</v>
      </c>
      <c r="G232" s="8" t="str">
        <f t="shared" si="3"/>
        <v>PERKINS DARREN</v>
      </c>
    </row>
    <row r="233" spans="1:7" x14ac:dyDescent="0.25">
      <c r="A233" s="8">
        <v>42971.995717592596</v>
      </c>
      <c r="B233" t="s">
        <v>490</v>
      </c>
      <c r="C233" t="s">
        <v>495</v>
      </c>
      <c r="D233" s="138">
        <v>3030000</v>
      </c>
      <c r="E233" t="s">
        <v>518</v>
      </c>
      <c r="F233" s="20" t="s">
        <v>348</v>
      </c>
      <c r="G233" s="8" t="str">
        <f t="shared" si="3"/>
        <v>BIRENBAUM THOMAS</v>
      </c>
    </row>
    <row r="234" spans="1:7" x14ac:dyDescent="0.25">
      <c r="A234" s="8">
        <v>42972.01489583333</v>
      </c>
      <c r="B234" t="s">
        <v>411</v>
      </c>
      <c r="C234" t="s">
        <v>522</v>
      </c>
      <c r="D234" s="138">
        <v>3490000</v>
      </c>
      <c r="E234" t="s">
        <v>417</v>
      </c>
      <c r="F234" s="20" t="s">
        <v>418</v>
      </c>
      <c r="G234" s="8" t="str">
        <f t="shared" si="3"/>
        <v>WEST BRYAN</v>
      </c>
    </row>
    <row r="235" spans="1:7" x14ac:dyDescent="0.25">
      <c r="A235" s="8">
        <v>42972.018043981479</v>
      </c>
      <c r="B235" t="s">
        <v>382</v>
      </c>
      <c r="C235" t="s">
        <v>523</v>
      </c>
      <c r="D235" s="138">
        <v>3000000</v>
      </c>
      <c r="E235" t="s">
        <v>430</v>
      </c>
      <c r="F235" s="20" t="s">
        <v>431</v>
      </c>
      <c r="G235" s="8" t="str">
        <f t="shared" si="3"/>
        <v>FORTUNATO FRANK</v>
      </c>
    </row>
    <row r="236" spans="1:7" x14ac:dyDescent="0.25">
      <c r="A236" s="8">
        <v>42972.027118055557</v>
      </c>
      <c r="B236" t="s">
        <v>366</v>
      </c>
      <c r="C236" t="s">
        <v>524</v>
      </c>
      <c r="D236" s="138">
        <v>3030000</v>
      </c>
      <c r="E236" t="s">
        <v>518</v>
      </c>
      <c r="F236" s="20" t="s">
        <v>348</v>
      </c>
      <c r="G236" s="8" t="str">
        <f t="shared" si="3"/>
        <v>BIRENBAUM THOMAS</v>
      </c>
    </row>
    <row r="237" spans="1:7" x14ac:dyDescent="0.25">
      <c r="A237" s="8">
        <v>42972.02716435185</v>
      </c>
      <c r="B237" t="s">
        <v>489</v>
      </c>
      <c r="C237" t="s">
        <v>525</v>
      </c>
      <c r="D237" s="138">
        <v>2620000</v>
      </c>
      <c r="E237" t="s">
        <v>510</v>
      </c>
      <c r="F237" s="20" t="s">
        <v>511</v>
      </c>
      <c r="G237" s="8" t="str">
        <f t="shared" si="3"/>
        <v>PERKINS DARREN</v>
      </c>
    </row>
    <row r="238" spans="1:7" x14ac:dyDescent="0.25">
      <c r="A238" s="8">
        <v>42972.047430555554</v>
      </c>
      <c r="B238" t="s">
        <v>385</v>
      </c>
      <c r="C238" t="s">
        <v>496</v>
      </c>
      <c r="D238" s="138">
        <v>3000000</v>
      </c>
      <c r="E238" t="s">
        <v>430</v>
      </c>
      <c r="F238" s="20" t="s">
        <v>431</v>
      </c>
      <c r="G238" s="8" t="str">
        <f t="shared" si="3"/>
        <v>FORTUNATO FRANK</v>
      </c>
    </row>
    <row r="239" spans="1:7" x14ac:dyDescent="0.25">
      <c r="A239" s="8">
        <v>42972.049305555556</v>
      </c>
      <c r="B239" t="s">
        <v>412</v>
      </c>
      <c r="C239" t="s">
        <v>526</v>
      </c>
      <c r="D239" s="138">
        <v>3490000</v>
      </c>
      <c r="E239" t="s">
        <v>417</v>
      </c>
      <c r="F239" s="20" t="s">
        <v>418</v>
      </c>
      <c r="G239" s="8" t="str">
        <f t="shared" si="3"/>
        <v>WEST BRYAN</v>
      </c>
    </row>
    <row r="240" spans="1:7" x14ac:dyDescent="0.25">
      <c r="A240" s="8">
        <v>42972.050162037034</v>
      </c>
      <c r="B240" t="s">
        <v>412</v>
      </c>
      <c r="C240" t="s">
        <v>526</v>
      </c>
      <c r="D240" s="138">
        <v>3490000</v>
      </c>
      <c r="E240" t="s">
        <v>417</v>
      </c>
      <c r="F240" s="20" t="s">
        <v>418</v>
      </c>
      <c r="G240" s="8" t="str">
        <f t="shared" si="3"/>
        <v>WEST BRYAN</v>
      </c>
    </row>
    <row r="241" spans="1:7" x14ac:dyDescent="0.25">
      <c r="A241" s="8">
        <v>42972.051261574074</v>
      </c>
      <c r="B241" t="s">
        <v>412</v>
      </c>
      <c r="C241" t="s">
        <v>526</v>
      </c>
      <c r="D241" s="138">
        <v>3490000</v>
      </c>
      <c r="E241" t="s">
        <v>417</v>
      </c>
      <c r="F241" s="20" t="s">
        <v>418</v>
      </c>
      <c r="G241" s="8" t="str">
        <f t="shared" si="3"/>
        <v>WEST BRYAN</v>
      </c>
    </row>
    <row r="242" spans="1:7" x14ac:dyDescent="0.25">
      <c r="A242" s="8">
        <v>42972.068784722222</v>
      </c>
      <c r="B242" t="s">
        <v>488</v>
      </c>
      <c r="C242" t="s">
        <v>527</v>
      </c>
      <c r="D242" s="138">
        <v>2620000</v>
      </c>
      <c r="E242" t="s">
        <v>510</v>
      </c>
      <c r="F242" s="20" t="s">
        <v>511</v>
      </c>
      <c r="G242" s="8" t="str">
        <f t="shared" si="3"/>
        <v>PERKINS DARREN</v>
      </c>
    </row>
    <row r="243" spans="1:7" x14ac:dyDescent="0.25">
      <c r="A243" s="8">
        <v>42972.09034722222</v>
      </c>
      <c r="B243" t="s">
        <v>446</v>
      </c>
      <c r="C243" t="s">
        <v>528</v>
      </c>
      <c r="D243" s="138">
        <v>3000000</v>
      </c>
      <c r="E243" t="s">
        <v>430</v>
      </c>
      <c r="F243" s="20" t="s">
        <v>431</v>
      </c>
      <c r="G243" s="8" t="str">
        <f t="shared" si="3"/>
        <v>FORTUNATO FRANK</v>
      </c>
    </row>
    <row r="244" spans="1:7" x14ac:dyDescent="0.25">
      <c r="A244" s="8">
        <v>42970.931840277779</v>
      </c>
      <c r="B244" t="s">
        <v>444</v>
      </c>
      <c r="C244" t="s">
        <v>460</v>
      </c>
      <c r="D244" s="138">
        <v>3220000</v>
      </c>
      <c r="E244" t="s">
        <v>454</v>
      </c>
      <c r="F244" s="20" t="s">
        <v>455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425</v>
      </c>
      <c r="C245" t="s">
        <v>461</v>
      </c>
      <c r="D245" s="138">
        <v>3090000</v>
      </c>
      <c r="E245" t="s">
        <v>458</v>
      </c>
      <c r="F245" s="20" t="s">
        <v>459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447</v>
      </c>
      <c r="C246" t="s">
        <v>462</v>
      </c>
      <c r="D246" s="138">
        <v>3510000</v>
      </c>
      <c r="E246" t="s">
        <v>415</v>
      </c>
      <c r="F246" s="20" t="s">
        <v>416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449</v>
      </c>
      <c r="C247" t="s">
        <v>463</v>
      </c>
      <c r="D247" s="138">
        <v>3000000</v>
      </c>
      <c r="E247" t="s">
        <v>430</v>
      </c>
      <c r="F247" s="20" t="s">
        <v>431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400</v>
      </c>
      <c r="C248" t="s">
        <v>464</v>
      </c>
      <c r="D248" s="138">
        <v>3490000</v>
      </c>
      <c r="E248" t="s">
        <v>417</v>
      </c>
      <c r="F248" s="20" t="s">
        <v>418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426</v>
      </c>
      <c r="C249" t="s">
        <v>465</v>
      </c>
      <c r="D249" s="138">
        <v>3090000</v>
      </c>
      <c r="E249" t="s">
        <v>458</v>
      </c>
      <c r="F249" s="20" t="s">
        <v>459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410</v>
      </c>
      <c r="C250" t="s">
        <v>466</v>
      </c>
      <c r="D250" s="138">
        <v>3220000</v>
      </c>
      <c r="E250" t="s">
        <v>454</v>
      </c>
      <c r="F250" s="20" t="s">
        <v>455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443</v>
      </c>
      <c r="C251" t="s">
        <v>467</v>
      </c>
      <c r="D251" s="138">
        <v>3000000</v>
      </c>
      <c r="E251" t="s">
        <v>430</v>
      </c>
      <c r="F251" s="20" t="s">
        <v>431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401</v>
      </c>
      <c r="C252" t="s">
        <v>468</v>
      </c>
      <c r="D252" s="138">
        <v>3490000</v>
      </c>
      <c r="E252" t="s">
        <v>417</v>
      </c>
      <c r="F252" s="20" t="s">
        <v>418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444</v>
      </c>
      <c r="C253" t="s">
        <v>469</v>
      </c>
      <c r="D253" s="138">
        <v>3220000</v>
      </c>
      <c r="E253" t="s">
        <v>454</v>
      </c>
      <c r="F253" s="20" t="s">
        <v>455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425</v>
      </c>
      <c r="C254" t="s">
        <v>470</v>
      </c>
      <c r="D254" s="138">
        <v>3090000</v>
      </c>
      <c r="E254" t="s">
        <v>458</v>
      </c>
      <c r="F254" s="20" t="s">
        <v>459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449</v>
      </c>
      <c r="C255" t="s">
        <v>471</v>
      </c>
      <c r="D255" s="138">
        <v>3000000</v>
      </c>
      <c r="E255" t="s">
        <v>430</v>
      </c>
      <c r="F255" s="20" t="s">
        <v>431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400</v>
      </c>
      <c r="C256" t="s">
        <v>472</v>
      </c>
      <c r="D256" s="138">
        <v>3490000</v>
      </c>
      <c r="E256" t="s">
        <v>417</v>
      </c>
      <c r="F256" s="20" t="s">
        <v>418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410</v>
      </c>
      <c r="C257" t="s">
        <v>473</v>
      </c>
      <c r="D257" s="138">
        <v>3220000</v>
      </c>
      <c r="E257" t="s">
        <v>454</v>
      </c>
      <c r="F257" s="20" t="s">
        <v>455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426</v>
      </c>
      <c r="C258" t="s">
        <v>474</v>
      </c>
      <c r="D258" s="138">
        <v>3090000</v>
      </c>
      <c r="E258" t="s">
        <v>458</v>
      </c>
      <c r="F258" s="20" t="s">
        <v>459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401</v>
      </c>
      <c r="C259" t="s">
        <v>475</v>
      </c>
      <c r="D259" s="138">
        <v>3490000</v>
      </c>
      <c r="E259" t="s">
        <v>417</v>
      </c>
      <c r="F259" s="20" t="s">
        <v>418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425</v>
      </c>
      <c r="C260" t="s">
        <v>476</v>
      </c>
      <c r="D260" s="138">
        <v>3090000</v>
      </c>
      <c r="E260" t="s">
        <v>458</v>
      </c>
      <c r="F260" s="20" t="s">
        <v>459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355</v>
      </c>
      <c r="O1" s="171" t="s">
        <v>156</v>
      </c>
      <c r="P1" s="171" t="s">
        <v>163</v>
      </c>
      <c r="Q1" s="171" t="s">
        <v>356</v>
      </c>
      <c r="R1" s="171" t="s">
        <v>160</v>
      </c>
      <c r="S1"/>
    </row>
    <row r="2" spans="1:19" x14ac:dyDescent="0.25">
      <c r="A2" s="172">
        <v>67.95</v>
      </c>
      <c r="B2" s="172">
        <v>0.04</v>
      </c>
      <c r="C2" s="172">
        <v>45.19</v>
      </c>
      <c r="D2" s="8">
        <v>42973</v>
      </c>
      <c r="E2" s="172">
        <v>0.44</v>
      </c>
      <c r="F2" s="172" t="s">
        <v>381</v>
      </c>
      <c r="G2" s="172">
        <v>281.76</v>
      </c>
      <c r="H2" s="172">
        <v>0</v>
      </c>
      <c r="I2" s="172">
        <v>0</v>
      </c>
      <c r="J2" s="172">
        <v>1013.78</v>
      </c>
      <c r="K2" s="172" t="s">
        <v>380</v>
      </c>
      <c r="L2" s="172">
        <v>67.95</v>
      </c>
      <c r="M2" s="172">
        <v>1503727200</v>
      </c>
      <c r="N2" s="172">
        <v>0</v>
      </c>
      <c r="O2" s="172">
        <v>10</v>
      </c>
      <c r="P2" s="172">
        <v>210</v>
      </c>
      <c r="Q2" s="172">
        <v>7.69</v>
      </c>
      <c r="R2" s="172">
        <v>1.49</v>
      </c>
      <c r="S2"/>
    </row>
    <row r="3" spans="1:19" x14ac:dyDescent="0.25">
      <c r="A3" s="172">
        <v>65.849999999999994</v>
      </c>
      <c r="B3" s="172">
        <v>0.05</v>
      </c>
      <c r="C3" s="172">
        <v>45.64</v>
      </c>
      <c r="D3" s="8">
        <v>42973.041666666664</v>
      </c>
      <c r="E3" s="172">
        <v>0.48</v>
      </c>
      <c r="F3" s="172" t="s">
        <v>381</v>
      </c>
      <c r="G3" s="172">
        <v>280.93</v>
      </c>
      <c r="H3" s="172">
        <v>0</v>
      </c>
      <c r="I3" s="172">
        <v>0</v>
      </c>
      <c r="J3" s="172">
        <v>1013.77</v>
      </c>
      <c r="K3" s="172" t="s">
        <v>380</v>
      </c>
      <c r="L3" s="172">
        <v>65.849999999999994</v>
      </c>
      <c r="M3" s="172">
        <v>1503730800</v>
      </c>
      <c r="N3" s="172">
        <v>0</v>
      </c>
      <c r="O3" s="172">
        <v>2.76</v>
      </c>
      <c r="P3" s="172">
        <v>230</v>
      </c>
      <c r="Q3" s="172">
        <v>3.35</v>
      </c>
      <c r="R3" s="172">
        <v>1.1299999999999999</v>
      </c>
      <c r="S3"/>
    </row>
    <row r="4" spans="1:19" x14ac:dyDescent="0.25">
      <c r="A4" s="172">
        <v>63.46</v>
      </c>
      <c r="B4" s="172">
        <v>0.03</v>
      </c>
      <c r="C4" s="172">
        <v>45.47</v>
      </c>
      <c r="D4" s="8">
        <v>42973.083333333336</v>
      </c>
      <c r="E4" s="172">
        <v>0.52</v>
      </c>
      <c r="F4" s="172" t="s">
        <v>381</v>
      </c>
      <c r="G4" s="172">
        <v>280.23</v>
      </c>
      <c r="H4" s="172">
        <v>0</v>
      </c>
      <c r="I4" s="172">
        <v>0</v>
      </c>
      <c r="J4" s="172">
        <v>1014.14</v>
      </c>
      <c r="K4" s="172" t="s">
        <v>380</v>
      </c>
      <c r="L4" s="172">
        <v>63.46</v>
      </c>
      <c r="M4" s="172">
        <v>1503734400</v>
      </c>
      <c r="N4" s="172">
        <v>0</v>
      </c>
      <c r="O4" s="172">
        <v>2.76</v>
      </c>
      <c r="P4" s="172">
        <v>209</v>
      </c>
      <c r="Q4" s="172">
        <v>2.46</v>
      </c>
      <c r="R4" s="172">
        <v>1</v>
      </c>
      <c r="S4"/>
    </row>
    <row r="5" spans="1:19" x14ac:dyDescent="0.25">
      <c r="A5" s="172">
        <v>61.57</v>
      </c>
      <c r="B5" s="172">
        <v>0.02</v>
      </c>
      <c r="C5" s="172">
        <v>45.67</v>
      </c>
      <c r="D5" s="8">
        <v>42973.125</v>
      </c>
      <c r="E5" s="172">
        <v>0.56000000000000005</v>
      </c>
      <c r="F5" s="172" t="s">
        <v>381</v>
      </c>
      <c r="G5" s="172">
        <v>279.87</v>
      </c>
      <c r="H5" s="172">
        <v>0</v>
      </c>
      <c r="I5" s="172">
        <v>0</v>
      </c>
      <c r="J5" s="172">
        <v>1014.93</v>
      </c>
      <c r="K5" s="172" t="s">
        <v>380</v>
      </c>
      <c r="L5" s="172">
        <v>61.57</v>
      </c>
      <c r="M5" s="172">
        <v>1503738000</v>
      </c>
      <c r="N5" s="172">
        <v>0</v>
      </c>
      <c r="O5" s="172">
        <v>3.52</v>
      </c>
      <c r="P5" s="172">
        <v>201</v>
      </c>
      <c r="Q5" s="172">
        <v>2.4500000000000002</v>
      </c>
      <c r="R5" s="172">
        <v>1.03</v>
      </c>
      <c r="S5"/>
    </row>
    <row r="6" spans="1:19" x14ac:dyDescent="0.25">
      <c r="A6" s="172">
        <v>60.48</v>
      </c>
      <c r="B6" s="172">
        <v>0.01</v>
      </c>
      <c r="C6" s="172">
        <v>45.53</v>
      </c>
      <c r="D6" s="8">
        <v>42973.166666666664</v>
      </c>
      <c r="E6" s="172">
        <v>0.57999999999999996</v>
      </c>
      <c r="F6" s="172" t="s">
        <v>381</v>
      </c>
      <c r="G6" s="172">
        <v>280.11</v>
      </c>
      <c r="H6" s="172">
        <v>0</v>
      </c>
      <c r="I6" s="172">
        <v>0</v>
      </c>
      <c r="J6" s="172">
        <v>1015.18</v>
      </c>
      <c r="K6" s="172" t="s">
        <v>380</v>
      </c>
      <c r="L6" s="172">
        <v>60.48</v>
      </c>
      <c r="M6" s="172">
        <v>1503741600</v>
      </c>
      <c r="N6" s="172">
        <v>0</v>
      </c>
      <c r="O6" s="172">
        <v>3.52</v>
      </c>
      <c r="P6" s="172">
        <v>218</v>
      </c>
      <c r="Q6" s="172">
        <v>2.63</v>
      </c>
      <c r="R6" s="172">
        <v>1.23</v>
      </c>
      <c r="S6"/>
    </row>
    <row r="7" spans="1:19" x14ac:dyDescent="0.25">
      <c r="A7" s="172">
        <v>59.31</v>
      </c>
      <c r="B7" s="172">
        <v>0</v>
      </c>
      <c r="C7" s="172">
        <v>45.3</v>
      </c>
      <c r="D7" s="8">
        <v>42973.208333333336</v>
      </c>
      <c r="E7" s="172">
        <v>0.6</v>
      </c>
      <c r="F7" s="172" t="s">
        <v>381</v>
      </c>
      <c r="G7" s="172">
        <v>280.58</v>
      </c>
      <c r="H7" s="172">
        <v>0</v>
      </c>
      <c r="I7" s="172">
        <v>0</v>
      </c>
      <c r="J7" s="172">
        <v>1015.59</v>
      </c>
      <c r="K7" s="172" t="s">
        <v>380</v>
      </c>
      <c r="L7" s="172">
        <v>59.31</v>
      </c>
      <c r="M7" s="172">
        <v>1503745200</v>
      </c>
      <c r="N7" s="172">
        <v>0</v>
      </c>
      <c r="O7" s="172">
        <v>3.33</v>
      </c>
      <c r="P7" s="172">
        <v>215</v>
      </c>
      <c r="Q7" s="172">
        <v>2.83</v>
      </c>
      <c r="R7" s="172">
        <v>1.05</v>
      </c>
      <c r="S7"/>
    </row>
    <row r="8" spans="1:19" x14ac:dyDescent="0.25">
      <c r="A8" s="172">
        <v>58.24</v>
      </c>
      <c r="B8" s="172">
        <v>0.02</v>
      </c>
      <c r="C8" s="172">
        <v>45.33</v>
      </c>
      <c r="D8" s="8">
        <v>42973.25</v>
      </c>
      <c r="E8" s="172">
        <v>0.62</v>
      </c>
      <c r="F8" s="172" t="s">
        <v>381</v>
      </c>
      <c r="G8" s="172">
        <v>281.41000000000003</v>
      </c>
      <c r="H8" s="172">
        <v>0</v>
      </c>
      <c r="I8" s="172">
        <v>0</v>
      </c>
      <c r="J8" s="172">
        <v>1015.67</v>
      </c>
      <c r="K8" s="172" t="s">
        <v>380</v>
      </c>
      <c r="L8" s="172">
        <v>58.24</v>
      </c>
      <c r="M8" s="172">
        <v>1503748800</v>
      </c>
      <c r="N8" s="172">
        <v>0</v>
      </c>
      <c r="O8" s="172">
        <v>3.51</v>
      </c>
      <c r="P8" s="172">
        <v>209</v>
      </c>
      <c r="Q8" s="172">
        <v>2.79</v>
      </c>
      <c r="R8" s="172">
        <v>1.48</v>
      </c>
      <c r="S8"/>
    </row>
    <row r="9" spans="1:19" x14ac:dyDescent="0.25">
      <c r="A9" s="172">
        <v>58.6</v>
      </c>
      <c r="B9" s="172">
        <v>0.02</v>
      </c>
      <c r="C9" s="172">
        <v>45.46</v>
      </c>
      <c r="D9" s="8">
        <v>42973.291666666664</v>
      </c>
      <c r="E9" s="172">
        <v>0.62</v>
      </c>
      <c r="F9" s="172" t="s">
        <v>379</v>
      </c>
      <c r="G9" s="172">
        <v>282.23</v>
      </c>
      <c r="H9" s="172">
        <v>0</v>
      </c>
      <c r="I9" s="172">
        <v>0</v>
      </c>
      <c r="J9" s="172">
        <v>1016.23</v>
      </c>
      <c r="K9" s="172" t="s">
        <v>380</v>
      </c>
      <c r="L9" s="172">
        <v>58.6</v>
      </c>
      <c r="M9" s="172">
        <v>1503752400</v>
      </c>
      <c r="N9" s="172">
        <v>0</v>
      </c>
      <c r="O9" s="172">
        <v>3.52</v>
      </c>
      <c r="P9" s="172">
        <v>195</v>
      </c>
      <c r="Q9" s="172">
        <v>3.39</v>
      </c>
      <c r="R9" s="172">
        <v>1.49</v>
      </c>
      <c r="S9"/>
    </row>
    <row r="10" spans="1:19" x14ac:dyDescent="0.25">
      <c r="A10" s="172">
        <v>64.67</v>
      </c>
      <c r="B10" s="172">
        <v>0.04</v>
      </c>
      <c r="C10" s="172">
        <v>46.66</v>
      </c>
      <c r="D10" s="8">
        <v>42973.333333333336</v>
      </c>
      <c r="E10" s="172">
        <v>0.52</v>
      </c>
      <c r="F10" s="172" t="s">
        <v>379</v>
      </c>
      <c r="G10" s="172">
        <v>283.05</v>
      </c>
      <c r="H10" s="172">
        <v>0</v>
      </c>
      <c r="I10" s="172">
        <v>0</v>
      </c>
      <c r="J10" s="172">
        <v>1016.5</v>
      </c>
      <c r="K10" s="172" t="s">
        <v>380</v>
      </c>
      <c r="L10" s="172">
        <v>64.67</v>
      </c>
      <c r="M10" s="172">
        <v>1503756000</v>
      </c>
      <c r="N10" s="172">
        <v>1</v>
      </c>
      <c r="O10" s="172">
        <v>4.09</v>
      </c>
      <c r="P10" s="172">
        <v>217</v>
      </c>
      <c r="Q10" s="172">
        <v>4.25</v>
      </c>
      <c r="R10" s="172">
        <v>1.96</v>
      </c>
      <c r="S10"/>
    </row>
    <row r="11" spans="1:19" x14ac:dyDescent="0.25">
      <c r="A11" s="172">
        <v>71.84</v>
      </c>
      <c r="B11" s="172">
        <v>7.0000000000000007E-2</v>
      </c>
      <c r="C11" s="172">
        <v>47.52</v>
      </c>
      <c r="D11" s="8">
        <v>42973.375</v>
      </c>
      <c r="E11" s="172">
        <v>0.42</v>
      </c>
      <c r="F11" s="172" t="s">
        <v>379</v>
      </c>
      <c r="G11" s="172">
        <v>283.98</v>
      </c>
      <c r="H11" s="172">
        <v>0</v>
      </c>
      <c r="I11" s="172">
        <v>0</v>
      </c>
      <c r="J11" s="172">
        <v>1016.37</v>
      </c>
      <c r="K11" s="172" t="s">
        <v>380</v>
      </c>
      <c r="L11" s="172">
        <v>71.84</v>
      </c>
      <c r="M11" s="172">
        <v>1503759600</v>
      </c>
      <c r="N11" s="172">
        <v>2</v>
      </c>
      <c r="O11" s="172">
        <v>4.2300000000000004</v>
      </c>
      <c r="P11" s="172">
        <v>212</v>
      </c>
      <c r="Q11" s="172">
        <v>5.2</v>
      </c>
      <c r="R11" s="172">
        <v>1.87</v>
      </c>
      <c r="S11"/>
    </row>
    <row r="12" spans="1:19" x14ac:dyDescent="0.25">
      <c r="A12" s="172">
        <v>78.55</v>
      </c>
      <c r="B12" s="172">
        <v>0.05</v>
      </c>
      <c r="C12" s="172">
        <v>47.13</v>
      </c>
      <c r="D12" s="8">
        <v>42973.416666666664</v>
      </c>
      <c r="E12" s="172">
        <v>0.33</v>
      </c>
      <c r="F12" s="172" t="s">
        <v>379</v>
      </c>
      <c r="G12" s="172">
        <v>284.91000000000003</v>
      </c>
      <c r="H12" s="172">
        <v>0</v>
      </c>
      <c r="I12" s="172">
        <v>0</v>
      </c>
      <c r="J12" s="172">
        <v>1016.59</v>
      </c>
      <c r="K12" s="172" t="s">
        <v>380</v>
      </c>
      <c r="L12" s="172">
        <v>78.55</v>
      </c>
      <c r="M12" s="172">
        <v>1503763200</v>
      </c>
      <c r="N12" s="172">
        <v>4</v>
      </c>
      <c r="O12" s="172">
        <v>3.66</v>
      </c>
      <c r="P12" s="172">
        <v>166</v>
      </c>
      <c r="Q12" s="172">
        <v>3.96</v>
      </c>
      <c r="R12" s="172">
        <v>0.82</v>
      </c>
      <c r="S12"/>
    </row>
    <row r="13" spans="1:19" x14ac:dyDescent="0.25">
      <c r="A13" s="172">
        <v>83.82</v>
      </c>
      <c r="B13" s="172">
        <v>0.06</v>
      </c>
      <c r="C13" s="172">
        <v>44.76</v>
      </c>
      <c r="D13" s="8">
        <v>42973.458333333336</v>
      </c>
      <c r="E13" s="172">
        <v>0.26</v>
      </c>
      <c r="F13" s="172" t="s">
        <v>379</v>
      </c>
      <c r="G13" s="172">
        <v>285.95</v>
      </c>
      <c r="H13" s="172">
        <v>0</v>
      </c>
      <c r="I13" s="172">
        <v>0</v>
      </c>
      <c r="J13" s="172">
        <v>1015.81</v>
      </c>
      <c r="K13" s="172" t="s">
        <v>380</v>
      </c>
      <c r="L13" s="172">
        <v>83.82</v>
      </c>
      <c r="M13" s="172">
        <v>1503766800</v>
      </c>
      <c r="N13" s="172">
        <v>6</v>
      </c>
      <c r="O13" s="172">
        <v>4.47</v>
      </c>
      <c r="P13" s="172">
        <v>65</v>
      </c>
      <c r="Q13" s="172">
        <v>5.45</v>
      </c>
      <c r="R13" s="172">
        <v>0.98</v>
      </c>
      <c r="S13"/>
    </row>
    <row r="14" spans="1:19" x14ac:dyDescent="0.25">
      <c r="A14" s="172">
        <v>86.71</v>
      </c>
      <c r="B14" s="172">
        <v>7.0000000000000007E-2</v>
      </c>
      <c r="C14" s="172">
        <v>42.63</v>
      </c>
      <c r="D14" s="8">
        <v>42973.5</v>
      </c>
      <c r="E14" s="172">
        <v>0.21</v>
      </c>
      <c r="F14" s="172" t="s">
        <v>379</v>
      </c>
      <c r="G14" s="172">
        <v>287.55</v>
      </c>
      <c r="H14" s="172">
        <v>0</v>
      </c>
      <c r="I14" s="172">
        <v>0</v>
      </c>
      <c r="J14" s="172">
        <v>1015.35</v>
      </c>
      <c r="K14" s="172" t="s">
        <v>380</v>
      </c>
      <c r="L14" s="172">
        <v>86.71</v>
      </c>
      <c r="M14" s="172">
        <v>1503770400</v>
      </c>
      <c r="N14" s="172">
        <v>8</v>
      </c>
      <c r="O14" s="172">
        <v>4.3600000000000003</v>
      </c>
      <c r="P14" s="172">
        <v>55</v>
      </c>
      <c r="Q14" s="172">
        <v>7.91</v>
      </c>
      <c r="R14" s="172">
        <v>2.04</v>
      </c>
      <c r="S14"/>
    </row>
    <row r="15" spans="1:19" x14ac:dyDescent="0.25">
      <c r="A15" s="172">
        <v>88.79</v>
      </c>
      <c r="B15" s="172">
        <v>0.12</v>
      </c>
      <c r="C15" s="172">
        <v>39.979999999999997</v>
      </c>
      <c r="D15" s="8">
        <v>42973.541666666664</v>
      </c>
      <c r="E15" s="172">
        <v>0.18</v>
      </c>
      <c r="F15" s="172" t="s">
        <v>379</v>
      </c>
      <c r="G15" s="172">
        <v>287.77999999999997</v>
      </c>
      <c r="H15" s="172">
        <v>0</v>
      </c>
      <c r="I15" s="172">
        <v>0</v>
      </c>
      <c r="J15" s="172">
        <v>1014.83</v>
      </c>
      <c r="K15" s="172" t="s">
        <v>380</v>
      </c>
      <c r="L15" s="172">
        <v>88.79</v>
      </c>
      <c r="M15" s="172">
        <v>1503774000</v>
      </c>
      <c r="N15" s="172">
        <v>9</v>
      </c>
      <c r="O15" s="172">
        <v>4.76</v>
      </c>
      <c r="P15" s="172">
        <v>29</v>
      </c>
      <c r="Q15" s="172">
        <v>9.65</v>
      </c>
      <c r="R15" s="172">
        <v>2.82</v>
      </c>
      <c r="S15"/>
    </row>
    <row r="16" spans="1:19" x14ac:dyDescent="0.25">
      <c r="A16" s="172">
        <v>89.98</v>
      </c>
      <c r="B16" s="172">
        <v>7.0000000000000007E-2</v>
      </c>
      <c r="C16" s="172">
        <v>39.18</v>
      </c>
      <c r="D16" s="8">
        <v>42973.583333333336</v>
      </c>
      <c r="E16" s="172">
        <v>0.17</v>
      </c>
      <c r="F16" s="172" t="s">
        <v>379</v>
      </c>
      <c r="G16" s="172">
        <v>287.64999999999998</v>
      </c>
      <c r="H16" s="172">
        <v>0</v>
      </c>
      <c r="I16" s="172">
        <v>0</v>
      </c>
      <c r="J16" s="172">
        <v>1014.49</v>
      </c>
      <c r="K16" s="172" t="s">
        <v>380</v>
      </c>
      <c r="L16" s="172">
        <v>89.98</v>
      </c>
      <c r="M16" s="172">
        <v>1503777600</v>
      </c>
      <c r="N16" s="172">
        <v>9</v>
      </c>
      <c r="O16" s="172">
        <v>4.88</v>
      </c>
      <c r="P16" s="172">
        <v>18</v>
      </c>
      <c r="Q16" s="172">
        <v>9.18</v>
      </c>
      <c r="R16" s="172">
        <v>2.5499999999999998</v>
      </c>
      <c r="S16"/>
    </row>
    <row r="17" spans="1:19" x14ac:dyDescent="0.25">
      <c r="A17" s="172">
        <v>90.6</v>
      </c>
      <c r="B17" s="172">
        <v>0.13</v>
      </c>
      <c r="C17" s="172">
        <v>38.89</v>
      </c>
      <c r="D17" s="8">
        <v>42973.625</v>
      </c>
      <c r="E17" s="172">
        <v>0.16</v>
      </c>
      <c r="F17" s="172" t="s">
        <v>379</v>
      </c>
      <c r="G17" s="172">
        <v>287.42</v>
      </c>
      <c r="H17" s="172">
        <v>0</v>
      </c>
      <c r="I17" s="172">
        <v>0</v>
      </c>
      <c r="J17" s="172">
        <v>1014.19</v>
      </c>
      <c r="K17" s="172" t="s">
        <v>380</v>
      </c>
      <c r="L17" s="172">
        <v>90.6</v>
      </c>
      <c r="M17" s="172">
        <v>1503781200</v>
      </c>
      <c r="N17" s="172">
        <v>6</v>
      </c>
      <c r="O17" s="172">
        <v>4.6500000000000004</v>
      </c>
      <c r="P17" s="172">
        <v>19</v>
      </c>
      <c r="Q17" s="172">
        <v>9.24</v>
      </c>
      <c r="R17" s="172">
        <v>2.44</v>
      </c>
      <c r="S17"/>
    </row>
    <row r="18" spans="1:19" x14ac:dyDescent="0.25">
      <c r="A18" s="172">
        <v>89.93</v>
      </c>
      <c r="B18" s="172">
        <v>0.13</v>
      </c>
      <c r="C18" s="172">
        <v>38.49</v>
      </c>
      <c r="D18" s="8">
        <v>42973.666666666664</v>
      </c>
      <c r="E18" s="172">
        <v>0.17</v>
      </c>
      <c r="F18" s="172" t="s">
        <v>379</v>
      </c>
      <c r="G18" s="172">
        <v>287.07</v>
      </c>
      <c r="H18" s="172">
        <v>0</v>
      </c>
      <c r="I18" s="172">
        <v>0</v>
      </c>
      <c r="J18" s="172">
        <v>1013.72</v>
      </c>
      <c r="K18" s="172" t="s">
        <v>380</v>
      </c>
      <c r="L18" s="172">
        <v>89.93</v>
      </c>
      <c r="M18" s="172">
        <v>1503784800</v>
      </c>
      <c r="N18" s="172">
        <v>4</v>
      </c>
      <c r="O18" s="172">
        <v>4.9000000000000004</v>
      </c>
      <c r="P18" s="172">
        <v>8</v>
      </c>
      <c r="Q18" s="172">
        <v>7.72</v>
      </c>
      <c r="R18" s="172">
        <v>2.2999999999999998</v>
      </c>
      <c r="S18"/>
    </row>
    <row r="19" spans="1:19" x14ac:dyDescent="0.25">
      <c r="A19" s="172">
        <v>89.59</v>
      </c>
      <c r="B19" s="172">
        <v>0.15</v>
      </c>
      <c r="C19" s="172">
        <v>38.380000000000003</v>
      </c>
      <c r="D19" s="8">
        <v>42973.708333333336</v>
      </c>
      <c r="E19" s="172">
        <v>0.17</v>
      </c>
      <c r="F19" s="172" t="s">
        <v>379</v>
      </c>
      <c r="G19" s="172">
        <v>286.62</v>
      </c>
      <c r="H19" s="172">
        <v>0</v>
      </c>
      <c r="I19" s="172">
        <v>0</v>
      </c>
      <c r="J19" s="172">
        <v>1013.99</v>
      </c>
      <c r="K19" s="172" t="s">
        <v>380</v>
      </c>
      <c r="L19" s="172">
        <v>89.59</v>
      </c>
      <c r="M19" s="172">
        <v>1503788400</v>
      </c>
      <c r="N19" s="172">
        <v>2</v>
      </c>
      <c r="O19" s="172">
        <v>4.63</v>
      </c>
      <c r="P19" s="172">
        <v>4</v>
      </c>
      <c r="Q19" s="172">
        <v>8.8800000000000008</v>
      </c>
      <c r="R19" s="172">
        <v>3.18</v>
      </c>
      <c r="S19"/>
    </row>
    <row r="20" spans="1:19" x14ac:dyDescent="0.25">
      <c r="A20" s="172">
        <v>88.66</v>
      </c>
      <c r="B20" s="172">
        <v>7.0000000000000007E-2</v>
      </c>
      <c r="C20" s="172">
        <v>39.43</v>
      </c>
      <c r="D20" s="8">
        <v>42973.75</v>
      </c>
      <c r="E20" s="172">
        <v>0.18</v>
      </c>
      <c r="F20" s="172" t="s">
        <v>379</v>
      </c>
      <c r="G20" s="172">
        <v>284.31</v>
      </c>
      <c r="H20" s="172">
        <v>0</v>
      </c>
      <c r="I20" s="172">
        <v>0</v>
      </c>
      <c r="J20" s="172">
        <v>1014.19</v>
      </c>
      <c r="K20" s="172" t="s">
        <v>380</v>
      </c>
      <c r="L20" s="172">
        <v>88.66</v>
      </c>
      <c r="M20" s="172">
        <v>1503792000</v>
      </c>
      <c r="N20" s="172">
        <v>1</v>
      </c>
      <c r="O20" s="172">
        <v>4.63</v>
      </c>
      <c r="P20" s="172">
        <v>14</v>
      </c>
      <c r="Q20" s="172">
        <v>6.28</v>
      </c>
      <c r="R20" s="172">
        <v>2.39</v>
      </c>
      <c r="S20"/>
    </row>
    <row r="21" spans="1:19" x14ac:dyDescent="0.25">
      <c r="A21" s="172">
        <v>86.01</v>
      </c>
      <c r="B21" s="172">
        <v>0.06</v>
      </c>
      <c r="C21" s="172">
        <v>40.65</v>
      </c>
      <c r="D21" s="8">
        <v>42973.791666666664</v>
      </c>
      <c r="E21" s="172">
        <v>0.2</v>
      </c>
      <c r="F21" s="172" t="s">
        <v>379</v>
      </c>
      <c r="G21" s="172">
        <v>284.08999999999997</v>
      </c>
      <c r="H21" s="172">
        <v>0</v>
      </c>
      <c r="I21" s="172">
        <v>0</v>
      </c>
      <c r="J21" s="172">
        <v>1014.12</v>
      </c>
      <c r="K21" s="172" t="s">
        <v>380</v>
      </c>
      <c r="L21" s="172">
        <v>86.01</v>
      </c>
      <c r="M21" s="172">
        <v>1503795600</v>
      </c>
      <c r="N21" s="172">
        <v>0</v>
      </c>
      <c r="O21" s="172">
        <v>4.63</v>
      </c>
      <c r="P21" s="172">
        <v>15</v>
      </c>
      <c r="Q21" s="172">
        <v>3.49</v>
      </c>
      <c r="R21" s="172">
        <v>1.1499999999999999</v>
      </c>
      <c r="S21"/>
    </row>
    <row r="22" spans="1:19" x14ac:dyDescent="0.25">
      <c r="A22" s="172">
        <v>80.3</v>
      </c>
      <c r="B22" s="172">
        <v>0.18</v>
      </c>
      <c r="C22" s="172">
        <v>42.52</v>
      </c>
      <c r="D22" s="8">
        <v>42973.833333333336</v>
      </c>
      <c r="E22" s="172">
        <v>0.26</v>
      </c>
      <c r="F22" s="172" t="s">
        <v>381</v>
      </c>
      <c r="G22" s="172">
        <v>284.45999999999998</v>
      </c>
      <c r="H22" s="172">
        <v>0</v>
      </c>
      <c r="I22" s="172">
        <v>0</v>
      </c>
      <c r="J22" s="172">
        <v>1014.38</v>
      </c>
      <c r="K22" s="172" t="s">
        <v>380</v>
      </c>
      <c r="L22" s="172">
        <v>80.3</v>
      </c>
      <c r="M22" s="172">
        <v>1503799200</v>
      </c>
      <c r="N22" s="172">
        <v>0</v>
      </c>
      <c r="O22" s="172">
        <v>5.09</v>
      </c>
      <c r="P22" s="172">
        <v>243</v>
      </c>
      <c r="Q22" s="172">
        <v>2.72</v>
      </c>
      <c r="R22" s="172">
        <v>0.82</v>
      </c>
      <c r="S22"/>
    </row>
    <row r="23" spans="1:19" x14ac:dyDescent="0.25">
      <c r="A23" s="172">
        <v>77.33</v>
      </c>
      <c r="B23" s="172">
        <v>0.11</v>
      </c>
      <c r="C23" s="172">
        <v>40.799999999999997</v>
      </c>
      <c r="D23" s="8">
        <v>42973.875</v>
      </c>
      <c r="E23" s="172">
        <v>0.27</v>
      </c>
      <c r="F23" s="172" t="s">
        <v>381</v>
      </c>
      <c r="G23" s="172">
        <v>284.94</v>
      </c>
      <c r="H23" s="172">
        <v>0</v>
      </c>
      <c r="I23" s="172">
        <v>0</v>
      </c>
      <c r="J23" s="172">
        <v>1014.62</v>
      </c>
      <c r="K23" s="172" t="s">
        <v>380</v>
      </c>
      <c r="L23" s="172">
        <v>77.33</v>
      </c>
      <c r="M23" s="172">
        <v>1503802800</v>
      </c>
      <c r="N23" s="172">
        <v>0</v>
      </c>
      <c r="O23" s="172">
        <v>6.37</v>
      </c>
      <c r="P23" s="172">
        <v>260</v>
      </c>
      <c r="Q23" s="172">
        <v>3.65</v>
      </c>
      <c r="R23" s="172">
        <v>1.26</v>
      </c>
      <c r="S23"/>
    </row>
    <row r="24" spans="1:19" x14ac:dyDescent="0.25">
      <c r="A24" s="172">
        <v>77.83</v>
      </c>
      <c r="B24" s="172">
        <v>0.09</v>
      </c>
      <c r="C24" s="172">
        <v>39.29</v>
      </c>
      <c r="D24" s="8">
        <v>42973.916666666664</v>
      </c>
      <c r="E24" s="172">
        <v>0.25</v>
      </c>
      <c r="F24" s="172" t="s">
        <v>381</v>
      </c>
      <c r="G24" s="172">
        <v>285.88</v>
      </c>
      <c r="H24" s="172">
        <v>0</v>
      </c>
      <c r="I24" s="172">
        <v>0</v>
      </c>
      <c r="J24" s="172">
        <v>1014.84</v>
      </c>
      <c r="K24" s="172" t="s">
        <v>380</v>
      </c>
      <c r="L24" s="172">
        <v>77.83</v>
      </c>
      <c r="M24" s="172">
        <v>1503806400</v>
      </c>
      <c r="N24" s="172">
        <v>0</v>
      </c>
      <c r="O24" s="172">
        <v>4.18</v>
      </c>
      <c r="P24" s="172">
        <v>248</v>
      </c>
      <c r="Q24" s="172">
        <v>7.18</v>
      </c>
      <c r="R24" s="172">
        <v>2.06</v>
      </c>
      <c r="S24"/>
    </row>
    <row r="25" spans="1:19" x14ac:dyDescent="0.25">
      <c r="A25" s="172">
        <v>73.95</v>
      </c>
      <c r="B25" s="172">
        <v>0.06</v>
      </c>
      <c r="C25" s="172">
        <v>41.33</v>
      </c>
      <c r="D25" s="8">
        <v>42973.958333333336</v>
      </c>
      <c r="E25" s="172">
        <v>0.31</v>
      </c>
      <c r="F25" s="172" t="s">
        <v>381</v>
      </c>
      <c r="G25" s="172">
        <v>287.14999999999998</v>
      </c>
      <c r="H25" s="172">
        <v>0</v>
      </c>
      <c r="I25" s="172">
        <v>0</v>
      </c>
      <c r="J25" s="172">
        <v>1015.45</v>
      </c>
      <c r="K25" s="172" t="s">
        <v>380</v>
      </c>
      <c r="L25" s="172">
        <v>73.95</v>
      </c>
      <c r="M25" s="172">
        <v>1503810000</v>
      </c>
      <c r="N25" s="172">
        <v>0</v>
      </c>
      <c r="O25" s="172">
        <v>5.2</v>
      </c>
      <c r="P25" s="172">
        <v>237</v>
      </c>
      <c r="Q25" s="172">
        <v>5.46</v>
      </c>
      <c r="R25" s="172">
        <v>0.89</v>
      </c>
      <c r="S25"/>
    </row>
    <row r="26" spans="1:19" x14ac:dyDescent="0.25">
      <c r="A26" s="172">
        <v>70.73</v>
      </c>
      <c r="B26" s="172">
        <v>0.14000000000000001</v>
      </c>
      <c r="C26" s="172">
        <v>42.3</v>
      </c>
      <c r="D26" s="8">
        <v>42974</v>
      </c>
      <c r="E26" s="172">
        <v>0.36</v>
      </c>
      <c r="F26" s="172" t="s">
        <v>381</v>
      </c>
      <c r="G26" s="172">
        <v>288.41000000000003</v>
      </c>
      <c r="H26" s="172">
        <v>0</v>
      </c>
      <c r="I26" s="172">
        <v>0</v>
      </c>
      <c r="J26" s="172">
        <v>1015.82</v>
      </c>
      <c r="K26" s="172" t="s">
        <v>380</v>
      </c>
      <c r="L26" s="172">
        <v>70.73</v>
      </c>
      <c r="M26" s="172">
        <v>1503813600</v>
      </c>
      <c r="N26" s="172">
        <v>0</v>
      </c>
      <c r="O26" s="172">
        <v>3.36</v>
      </c>
      <c r="P26" s="172">
        <v>262</v>
      </c>
      <c r="Q26" s="172">
        <v>4.21</v>
      </c>
      <c r="R26" s="172">
        <v>0.59</v>
      </c>
      <c r="S26"/>
    </row>
    <row r="27" spans="1:19" x14ac:dyDescent="0.25">
      <c r="A27" s="172">
        <v>69.06</v>
      </c>
      <c r="B27" s="172">
        <v>0.03</v>
      </c>
      <c r="C27" s="172">
        <v>42.75</v>
      </c>
      <c r="D27" s="8">
        <v>42974.041666666664</v>
      </c>
      <c r="E27" s="172">
        <v>0.39</v>
      </c>
      <c r="F27" s="172" t="s">
        <v>381</v>
      </c>
      <c r="G27" s="172">
        <v>289.55</v>
      </c>
      <c r="H27" s="172">
        <v>0</v>
      </c>
      <c r="I27" s="172">
        <v>0</v>
      </c>
      <c r="J27" s="172">
        <v>1016.19</v>
      </c>
      <c r="K27" s="172" t="s">
        <v>380</v>
      </c>
      <c r="L27" s="172">
        <v>69.06</v>
      </c>
      <c r="M27" s="172">
        <v>1503817200</v>
      </c>
      <c r="N27" s="172">
        <v>0</v>
      </c>
      <c r="O27" s="172">
        <v>3.37</v>
      </c>
      <c r="P27" s="172">
        <v>238</v>
      </c>
      <c r="Q27" s="172">
        <v>3.72</v>
      </c>
      <c r="R27" s="172">
        <v>0.67</v>
      </c>
      <c r="S27"/>
    </row>
    <row r="28" spans="1:19" x14ac:dyDescent="0.25">
      <c r="A28" s="172">
        <v>66.19</v>
      </c>
      <c r="B28" s="172">
        <v>0.02</v>
      </c>
      <c r="C28" s="172">
        <v>43.17</v>
      </c>
      <c r="D28" s="8">
        <v>42974.083333333336</v>
      </c>
      <c r="E28" s="172">
        <v>0.43</v>
      </c>
      <c r="F28" s="172" t="s">
        <v>381</v>
      </c>
      <c r="G28" s="172">
        <v>290.67</v>
      </c>
      <c r="H28" s="172">
        <v>0</v>
      </c>
      <c r="I28" s="172">
        <v>0</v>
      </c>
      <c r="J28" s="172">
        <v>1015.9</v>
      </c>
      <c r="K28" s="172" t="s">
        <v>380</v>
      </c>
      <c r="L28" s="172">
        <v>66.19</v>
      </c>
      <c r="M28" s="172">
        <v>1503820800</v>
      </c>
      <c r="N28" s="172">
        <v>0</v>
      </c>
      <c r="O28" s="172">
        <v>3.34</v>
      </c>
      <c r="P28" s="172">
        <v>314</v>
      </c>
      <c r="Q28" s="172">
        <v>3.13</v>
      </c>
      <c r="R28" s="172">
        <v>0.8</v>
      </c>
      <c r="S28"/>
    </row>
    <row r="29" spans="1:19" x14ac:dyDescent="0.25">
      <c r="A29" s="172">
        <v>64.91</v>
      </c>
      <c r="B29" s="172">
        <v>0.02</v>
      </c>
      <c r="C29" s="172">
        <v>42.93</v>
      </c>
      <c r="D29" s="8">
        <v>42974.125</v>
      </c>
      <c r="E29" s="172">
        <v>0.45</v>
      </c>
      <c r="F29" s="172" t="s">
        <v>381</v>
      </c>
      <c r="G29" s="172">
        <v>291.45999999999998</v>
      </c>
      <c r="H29" s="172">
        <v>0</v>
      </c>
      <c r="I29" s="172">
        <v>0</v>
      </c>
      <c r="J29" s="172">
        <v>1016.01</v>
      </c>
      <c r="K29" s="172" t="s">
        <v>380</v>
      </c>
      <c r="L29" s="172">
        <v>64.91</v>
      </c>
      <c r="M29" s="172">
        <v>1503824400</v>
      </c>
      <c r="N29" s="172">
        <v>0</v>
      </c>
      <c r="O29" s="172">
        <v>3</v>
      </c>
      <c r="P29" s="172">
        <v>257</v>
      </c>
      <c r="Q29" s="172">
        <v>3.75</v>
      </c>
      <c r="R29" s="172">
        <v>1.53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359</v>
      </c>
      <c r="AE2" s="56" t="s">
        <v>362</v>
      </c>
      <c r="AF2" s="56" t="s">
        <v>363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352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947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948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949</v>
      </c>
      <c r="J20" s="140" t="s">
        <v>87</v>
      </c>
      <c r="M20" s="154" t="s">
        <v>347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953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954</v>
      </c>
      <c r="J25" s="140" t="s">
        <v>146</v>
      </c>
      <c r="M25" s="154" t="b">
        <v>1</v>
      </c>
    </row>
    <row r="26" spans="3:24" x14ac:dyDescent="0.25">
      <c r="C26" t="s">
        <v>955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C:\Users\stu\Documents\GitHub\eaglep3-reporting\EC\2017-08-26-refined-times.txt</v>
      </c>
    </row>
    <row r="27" spans="3:24" x14ac:dyDescent="0.25">
      <c r="C27" t="s">
        <v>956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C:\Users\stu\Documents\GitHub\eaglep3-reporting\EC\2017-08-26-Enforcements.txt</v>
      </c>
    </row>
    <row r="28" spans="3:24" x14ac:dyDescent="0.25">
      <c r="C28" t="s">
        <v>957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C:\Users\stu\Documents\GitHub\eaglep3-reporting\EC\2017-08-26-Runs-refined.txt</v>
      </c>
    </row>
    <row r="29" spans="3:24" x14ac:dyDescent="0.25">
      <c r="C29" t="s">
        <v>958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C:\Users\stu\Documents\GitHub\eaglep3-reporting\EC\2017-08-26-Trips.txt</v>
      </c>
    </row>
    <row r="30" spans="3:24" x14ac:dyDescent="0.25">
      <c r="C30" t="s">
        <v>959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C:\Users\stu\Documents\GitHub\eaglep3-reporting\EC\2017-08-26-Weather.txt</v>
      </c>
    </row>
    <row r="31" spans="3:24" x14ac:dyDescent="0.25">
      <c r="C31" t="s">
        <v>960</v>
      </c>
      <c r="J31" s="140" t="s">
        <v>193</v>
      </c>
      <c r="M31" s="154" t="s">
        <v>194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2017-08-28T20:41:49Z</dcterms:modified>
</cp:coreProperties>
</file>