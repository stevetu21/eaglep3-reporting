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Enforcements!$A$6:$AC$52</definedName>
    <definedName name="_xlnm._FilterDatabase" localSheetId="2" hidden="1">'Missing Trips'!$A$2:$J$69</definedName>
    <definedName name="_xlnm._FilterDatabase" localSheetId="0" hidden="1">'Train Runs'!$A$12:$AG$275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Runs'!$A$12:$J$76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97" i="1" l="1"/>
  <c r="X198" i="1"/>
  <c r="X199" i="1"/>
  <c r="X200" i="1"/>
  <c r="X201" i="1"/>
  <c r="P197" i="1"/>
  <c r="K198" i="1"/>
  <c r="L198" i="1"/>
  <c r="M198" i="1"/>
  <c r="V198" i="1"/>
  <c r="Z198" i="1"/>
  <c r="AA198" i="1"/>
  <c r="AB198" i="1"/>
  <c r="AC198" i="1"/>
  <c r="AD198" i="1"/>
  <c r="T198" i="1" s="1"/>
  <c r="AE198" i="1"/>
  <c r="AF198" i="1"/>
  <c r="AH198" i="1"/>
  <c r="AM198" i="1"/>
  <c r="AN198" i="1"/>
  <c r="P114" i="1"/>
  <c r="X95" i="1"/>
  <c r="X96" i="1"/>
  <c r="X97" i="1"/>
  <c r="X98" i="1"/>
  <c r="X99" i="1"/>
  <c r="X100" i="1"/>
  <c r="X101" i="1"/>
  <c r="X102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G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G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X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K24" i="1"/>
  <c r="L24" i="1"/>
  <c r="M24" i="1"/>
  <c r="N24" i="1" s="1"/>
  <c r="V24" i="1"/>
  <c r="Y24" i="1"/>
  <c r="Z24" i="1"/>
  <c r="AA24" i="1" s="1"/>
  <c r="W24" i="1" s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G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P27" i="1" s="1"/>
  <c r="V27" i="1"/>
  <c r="Y27" i="1"/>
  <c r="Z27" i="1"/>
  <c r="AA27" i="1" s="1"/>
  <c r="AB27" i="1"/>
  <c r="AC27" i="1"/>
  <c r="AD27" i="1"/>
  <c r="AE27" i="1"/>
  <c r="R24" i="3" s="1"/>
  <c r="AF27" i="1"/>
  <c r="AH27" i="1"/>
  <c r="AM27" i="1"/>
  <c r="AN27" i="1"/>
  <c r="K28" i="1"/>
  <c r="L28" i="1"/>
  <c r="M28" i="1"/>
  <c r="N28" i="1" s="1"/>
  <c r="V28" i="1"/>
  <c r="S9" i="3" s="1"/>
  <c r="Y28" i="1"/>
  <c r="Z28" i="1"/>
  <c r="AI28" i="1" s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G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V32" i="1"/>
  <c r="Y32" i="1"/>
  <c r="Z32" i="1"/>
  <c r="AI32" i="1" s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G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AI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P44" i="1" s="1"/>
  <c r="V44" i="1"/>
  <c r="Y44" i="1"/>
  <c r="Z44" i="1"/>
  <c r="AI44" i="1" s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V45" i="1"/>
  <c r="Y45" i="1"/>
  <c r="Z45" i="1"/>
  <c r="AB45" i="1"/>
  <c r="AC45" i="1"/>
  <c r="AD45" i="1"/>
  <c r="AG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A50" i="1" s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N51" i="1"/>
  <c r="V51" i="1"/>
  <c r="Y51" i="1"/>
  <c r="Z51" i="1"/>
  <c r="AB51" i="1"/>
  <c r="AC51" i="1"/>
  <c r="AD51" i="1"/>
  <c r="T51" i="1" s="1"/>
  <c r="AE51" i="1"/>
  <c r="AF51" i="1"/>
  <c r="AG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A53" i="1" s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G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R30" i="3" s="1"/>
  <c r="AF57" i="1"/>
  <c r="AH57" i="1"/>
  <c r="AM57" i="1"/>
  <c r="AN57" i="1"/>
  <c r="K58" i="1"/>
  <c r="L58" i="1"/>
  <c r="M58" i="1"/>
  <c r="P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X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AH71" i="1"/>
  <c r="AM71" i="1"/>
  <c r="AN71" i="1"/>
  <c r="K72" i="1"/>
  <c r="L72" i="1"/>
  <c r="M72" i="1"/>
  <c r="N72" i="1" s="1"/>
  <c r="V72" i="1"/>
  <c r="S23" i="3" s="1"/>
  <c r="Y72" i="1"/>
  <c r="AA72" i="1" s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X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AA80" i="1" s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X89" i="1"/>
  <c r="Y89" i="1"/>
  <c r="Z89" i="1"/>
  <c r="AB89" i="1"/>
  <c r="AC89" i="1"/>
  <c r="AD89" i="1"/>
  <c r="T89" i="1" s="1"/>
  <c r="AE89" i="1"/>
  <c r="AF89" i="1"/>
  <c r="AG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A95" i="1" s="1"/>
  <c r="W95" i="1" s="1"/>
  <c r="AB95" i="1"/>
  <c r="AC95" i="1"/>
  <c r="AD95" i="1"/>
  <c r="AG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02" i="1"/>
  <c r="AI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K104" i="1"/>
  <c r="L104" i="1"/>
  <c r="M104" i="1"/>
  <c r="N104" i="1" s="1"/>
  <c r="V104" i="1"/>
  <c r="S13" i="3" s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05" i="1"/>
  <c r="AM105" i="1"/>
  <c r="AN105" i="1"/>
  <c r="K106" i="1"/>
  <c r="L106" i="1"/>
  <c r="M106" i="1"/>
  <c r="N106" i="1"/>
  <c r="V106" i="1"/>
  <c r="Y106" i="1"/>
  <c r="Z106" i="1"/>
  <c r="AB106" i="1"/>
  <c r="AC106" i="1"/>
  <c r="AD106" i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R31" i="3" s="1"/>
  <c r="AF111" i="1"/>
  <c r="AH111" i="1"/>
  <c r="AM111" i="1"/>
  <c r="AN111" i="1"/>
  <c r="K112" i="1"/>
  <c r="L112" i="1"/>
  <c r="M112" i="1"/>
  <c r="N112" i="1" s="1"/>
  <c r="V112" i="1"/>
  <c r="Y112" i="1"/>
  <c r="AB112" i="1"/>
  <c r="AC112" i="1"/>
  <c r="AD112" i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K114" i="1"/>
  <c r="L114" i="1"/>
  <c r="M114" i="1"/>
  <c r="V114" i="1"/>
  <c r="Y114" i="1"/>
  <c r="Z114" i="1"/>
  <c r="AB114" i="1"/>
  <c r="AC114" i="1"/>
  <c r="AD114" i="1"/>
  <c r="T114" i="1" s="1"/>
  <c r="AE114" i="1"/>
  <c r="R26" i="3" s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AH116" i="1"/>
  <c r="AM116" i="1"/>
  <c r="AN116" i="1"/>
  <c r="K117" i="1"/>
  <c r="L117" i="1"/>
  <c r="M117" i="1"/>
  <c r="N117" i="1" s="1"/>
  <c r="V117" i="1"/>
  <c r="X117" i="1"/>
  <c r="Y117" i="1"/>
  <c r="Z117" i="1"/>
  <c r="AB117" i="1"/>
  <c r="AC117" i="1"/>
  <c r="AD117" i="1"/>
  <c r="T117" i="1" s="1"/>
  <c r="AE117" i="1"/>
  <c r="AF117" i="1"/>
  <c r="AG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A119" i="1" s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AA120" i="1" s="1"/>
  <c r="Z120" i="1"/>
  <c r="AB120" i="1"/>
  <c r="AC120" i="1"/>
  <c r="AD120" i="1"/>
  <c r="AG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R32" i="3" s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S11" i="3" s="1"/>
  <c r="Y124" i="1"/>
  <c r="Z124" i="1"/>
  <c r="AB124" i="1"/>
  <c r="AC124" i="1"/>
  <c r="AD124" i="1"/>
  <c r="AG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S35" i="3" s="1"/>
  <c r="Y127" i="1"/>
  <c r="Z127" i="1"/>
  <c r="AA127" i="1" s="1"/>
  <c r="AB127" i="1"/>
  <c r="AC127" i="1"/>
  <c r="AD127" i="1"/>
  <c r="T127" i="1" s="1"/>
  <c r="AE127" i="1"/>
  <c r="R35" i="3" s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A131" i="1" s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AH139" i="1"/>
  <c r="AM139" i="1"/>
  <c r="AN139" i="1"/>
  <c r="K140" i="1"/>
  <c r="L140" i="1"/>
  <c r="M140" i="1"/>
  <c r="N140" i="1" s="1"/>
  <c r="T140" i="1"/>
  <c r="V140" i="1"/>
  <c r="Y140" i="1"/>
  <c r="Z140" i="1"/>
  <c r="AA140" i="1" s="1"/>
  <c r="AB140" i="1"/>
  <c r="AC140" i="1"/>
  <c r="AD140" i="1"/>
  <c r="AE140" i="1"/>
  <c r="AF140" i="1"/>
  <c r="AH140" i="1"/>
  <c r="AM140" i="1"/>
  <c r="AN140" i="1"/>
  <c r="K141" i="1"/>
  <c r="L141" i="1"/>
  <c r="M141" i="1"/>
  <c r="N141" i="1" s="1"/>
  <c r="V141" i="1"/>
  <c r="S33" i="3" s="1"/>
  <c r="Y141" i="1"/>
  <c r="Z141" i="1"/>
  <c r="AB141" i="1"/>
  <c r="AC141" i="1"/>
  <c r="AD141" i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44" i="1"/>
  <c r="AM144" i="1"/>
  <c r="AN144" i="1"/>
  <c r="K145" i="1"/>
  <c r="L145" i="1"/>
  <c r="M145" i="1"/>
  <c r="N145" i="1" s="1"/>
  <c r="V145" i="1"/>
  <c r="S25" i="3" s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A146" i="1" s="1"/>
  <c r="AB146" i="1"/>
  <c r="AC146" i="1"/>
  <c r="AD146" i="1"/>
  <c r="T146" i="1" s="1"/>
  <c r="AE146" i="1"/>
  <c r="R14" i="3" s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G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N154" i="1" s="1"/>
  <c r="V154" i="1"/>
  <c r="S7" i="3" s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57" i="1"/>
  <c r="AM157" i="1"/>
  <c r="AN157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58" i="1"/>
  <c r="AM158" i="1"/>
  <c r="AN158" i="1"/>
  <c r="K207" i="1"/>
  <c r="L207" i="1"/>
  <c r="M207" i="1"/>
  <c r="N207" i="1" s="1"/>
  <c r="V207" i="1"/>
  <c r="Y207" i="1"/>
  <c r="Z207" i="1"/>
  <c r="AA207" i="1" s="1"/>
  <c r="AB207" i="1"/>
  <c r="AC207" i="1"/>
  <c r="AD207" i="1"/>
  <c r="AE207" i="1"/>
  <c r="AF207" i="1"/>
  <c r="AH159" i="1"/>
  <c r="AM159" i="1"/>
  <c r="AN159" i="1"/>
  <c r="K208" i="1"/>
  <c r="L208" i="1"/>
  <c r="M208" i="1"/>
  <c r="N208" i="1" s="1"/>
  <c r="T208" i="1"/>
  <c r="V208" i="1"/>
  <c r="X208" i="1"/>
  <c r="Y208" i="1"/>
  <c r="Z208" i="1"/>
  <c r="AB208" i="1"/>
  <c r="AC208" i="1"/>
  <c r="AD208" i="1"/>
  <c r="AG208" i="1" s="1"/>
  <c r="AE208" i="1"/>
  <c r="AF208" i="1"/>
  <c r="AH160" i="1"/>
  <c r="AM160" i="1"/>
  <c r="AN160" i="1"/>
  <c r="K209" i="1"/>
  <c r="L209" i="1"/>
  <c r="M209" i="1"/>
  <c r="N209" i="1" s="1"/>
  <c r="T209" i="1"/>
  <c r="V209" i="1"/>
  <c r="X209" i="1"/>
  <c r="Y209" i="1"/>
  <c r="Z209" i="1"/>
  <c r="AB209" i="1"/>
  <c r="AC209" i="1"/>
  <c r="AD209" i="1"/>
  <c r="AE209" i="1"/>
  <c r="AF209" i="1"/>
  <c r="AG209" i="1"/>
  <c r="AH161" i="1"/>
  <c r="AM161" i="1"/>
  <c r="AN161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2" i="1"/>
  <c r="AM162" i="1"/>
  <c r="AN162" i="1"/>
  <c r="K211" i="1"/>
  <c r="L211" i="1"/>
  <c r="M211" i="1"/>
  <c r="N211" i="1" s="1"/>
  <c r="V211" i="1"/>
  <c r="Y211" i="1"/>
  <c r="Z211" i="1"/>
  <c r="AA211" i="1" s="1"/>
  <c r="AB211" i="1"/>
  <c r="AC211" i="1"/>
  <c r="AD211" i="1"/>
  <c r="AG211" i="1" s="1"/>
  <c r="AE211" i="1"/>
  <c r="AF211" i="1"/>
  <c r="AH163" i="1"/>
  <c r="AM163" i="1"/>
  <c r="AN163" i="1"/>
  <c r="K212" i="1"/>
  <c r="L212" i="1"/>
  <c r="M212" i="1"/>
  <c r="N212" i="1" s="1"/>
  <c r="T212" i="1"/>
  <c r="V212" i="1"/>
  <c r="Y212" i="1"/>
  <c r="Z212" i="1"/>
  <c r="AA212" i="1" s="1"/>
  <c r="AB212" i="1"/>
  <c r="AC212" i="1"/>
  <c r="AD212" i="1"/>
  <c r="AE212" i="1"/>
  <c r="AF212" i="1"/>
  <c r="AH164" i="1"/>
  <c r="AM164" i="1"/>
  <c r="AN164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5" i="1"/>
  <c r="AM165" i="1"/>
  <c r="AN165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6" i="1"/>
  <c r="AM166" i="1"/>
  <c r="AN166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7" i="1"/>
  <c r="AM167" i="1"/>
  <c r="AN167" i="1"/>
  <c r="K216" i="1"/>
  <c r="L216" i="1"/>
  <c r="M216" i="1"/>
  <c r="N216" i="1" s="1"/>
  <c r="V216" i="1"/>
  <c r="Y216" i="1"/>
  <c r="Z216" i="1"/>
  <c r="AB216" i="1"/>
  <c r="AC216" i="1"/>
  <c r="AD216" i="1"/>
  <c r="AG216" i="1" s="1"/>
  <c r="AI216" i="1" s="1"/>
  <c r="AE216" i="1"/>
  <c r="AF216" i="1"/>
  <c r="AH168" i="1"/>
  <c r="AM168" i="1"/>
  <c r="AN168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69" i="1"/>
  <c r="AM169" i="1"/>
  <c r="AN169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70" i="1"/>
  <c r="AM170" i="1"/>
  <c r="AN170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171" i="1"/>
  <c r="AM171" i="1"/>
  <c r="AN171" i="1"/>
  <c r="K226" i="1"/>
  <c r="L226" i="1"/>
  <c r="M226" i="1"/>
  <c r="N226" i="1" s="1"/>
  <c r="V226" i="1"/>
  <c r="Y226" i="1"/>
  <c r="Z226" i="1"/>
  <c r="AB226" i="1"/>
  <c r="AC226" i="1"/>
  <c r="AD226" i="1"/>
  <c r="AG226" i="1" s="1"/>
  <c r="AE226" i="1"/>
  <c r="AF226" i="1"/>
  <c r="AH172" i="1"/>
  <c r="AM172" i="1"/>
  <c r="AN172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3" i="1"/>
  <c r="AM173" i="1"/>
  <c r="AN173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4" i="1"/>
  <c r="AM174" i="1"/>
  <c r="AN174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5" i="1"/>
  <c r="AM175" i="1"/>
  <c r="AN175" i="1"/>
  <c r="K230" i="1"/>
  <c r="L230" i="1"/>
  <c r="M230" i="1"/>
  <c r="N230" i="1" s="1"/>
  <c r="V230" i="1"/>
  <c r="X230" i="1"/>
  <c r="Y230" i="1"/>
  <c r="Z230" i="1"/>
  <c r="AB230" i="1"/>
  <c r="AC230" i="1"/>
  <c r="AD230" i="1"/>
  <c r="AG230" i="1" s="1"/>
  <c r="AE230" i="1"/>
  <c r="AF230" i="1"/>
  <c r="AH176" i="1"/>
  <c r="AM176" i="1"/>
  <c r="AN176" i="1"/>
  <c r="K231" i="1"/>
  <c r="L231" i="1"/>
  <c r="M231" i="1"/>
  <c r="N231" i="1" s="1"/>
  <c r="V231" i="1"/>
  <c r="Y231" i="1"/>
  <c r="Z231" i="1"/>
  <c r="AB231" i="1"/>
  <c r="AC231" i="1"/>
  <c r="AD231" i="1"/>
  <c r="AE231" i="1"/>
  <c r="R59" i="3" s="1"/>
  <c r="AF231" i="1"/>
  <c r="AH177" i="1"/>
  <c r="AM177" i="1"/>
  <c r="AN177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78" i="1"/>
  <c r="AM178" i="1"/>
  <c r="AN178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AH179" i="1"/>
  <c r="AM179" i="1"/>
  <c r="AN179" i="1"/>
  <c r="K234" i="1"/>
  <c r="L234" i="1"/>
  <c r="M234" i="1"/>
  <c r="N234" i="1" s="1"/>
  <c r="V234" i="1"/>
  <c r="Y234" i="1"/>
  <c r="Z234" i="1"/>
  <c r="AB234" i="1"/>
  <c r="AC234" i="1"/>
  <c r="AD234" i="1"/>
  <c r="AG234" i="1" s="1"/>
  <c r="AE234" i="1"/>
  <c r="AF234" i="1"/>
  <c r="AH180" i="1"/>
  <c r="AM180" i="1"/>
  <c r="AN180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1" i="1"/>
  <c r="AM181" i="1"/>
  <c r="AN181" i="1"/>
  <c r="K236" i="1"/>
  <c r="L236" i="1"/>
  <c r="M236" i="1"/>
  <c r="N236" i="1" s="1"/>
  <c r="V236" i="1"/>
  <c r="S55" i="3" s="1"/>
  <c r="Y236" i="1"/>
  <c r="Z236" i="1"/>
  <c r="AB236" i="1"/>
  <c r="AC236" i="1"/>
  <c r="AD236" i="1"/>
  <c r="AE236" i="1"/>
  <c r="AF236" i="1"/>
  <c r="AH182" i="1"/>
  <c r="AM182" i="1"/>
  <c r="AN182" i="1"/>
  <c r="K237" i="1"/>
  <c r="L237" i="1"/>
  <c r="M237" i="1"/>
  <c r="N237" i="1" s="1"/>
  <c r="V237" i="1"/>
  <c r="Y237" i="1"/>
  <c r="Z237" i="1"/>
  <c r="AB237" i="1"/>
  <c r="AC237" i="1"/>
  <c r="AD237" i="1"/>
  <c r="AE237" i="1"/>
  <c r="AF237" i="1"/>
  <c r="AH183" i="1"/>
  <c r="AM183" i="1"/>
  <c r="AN183" i="1"/>
  <c r="K238" i="1"/>
  <c r="L238" i="1"/>
  <c r="M238" i="1"/>
  <c r="N238" i="1" s="1"/>
  <c r="V238" i="1"/>
  <c r="Y238" i="1"/>
  <c r="Z238" i="1"/>
  <c r="AB238" i="1"/>
  <c r="AC238" i="1"/>
  <c r="AD238" i="1"/>
  <c r="AG238" i="1" s="1"/>
  <c r="AE238" i="1"/>
  <c r="AF238" i="1"/>
  <c r="AH184" i="1"/>
  <c r="AM184" i="1"/>
  <c r="AN184" i="1"/>
  <c r="K239" i="1"/>
  <c r="L239" i="1"/>
  <c r="M239" i="1"/>
  <c r="N239" i="1" s="1"/>
  <c r="V239" i="1"/>
  <c r="Y239" i="1"/>
  <c r="Z239" i="1"/>
  <c r="AB239" i="1"/>
  <c r="AC239" i="1"/>
  <c r="AD239" i="1"/>
  <c r="AE239" i="1"/>
  <c r="AF239" i="1"/>
  <c r="AH185" i="1"/>
  <c r="AM185" i="1"/>
  <c r="AN185" i="1"/>
  <c r="K240" i="1"/>
  <c r="L240" i="1"/>
  <c r="M240" i="1"/>
  <c r="N240" i="1" s="1"/>
  <c r="V240" i="1"/>
  <c r="Y240" i="1"/>
  <c r="Z240" i="1"/>
  <c r="AB240" i="1"/>
  <c r="AC240" i="1"/>
  <c r="AD240" i="1"/>
  <c r="AE240" i="1"/>
  <c r="AF240" i="1"/>
  <c r="AH186" i="1"/>
  <c r="AM186" i="1"/>
  <c r="AN186" i="1"/>
  <c r="K241" i="1"/>
  <c r="L241" i="1"/>
  <c r="M241" i="1"/>
  <c r="N241" i="1" s="1"/>
  <c r="V241" i="1"/>
  <c r="Y241" i="1"/>
  <c r="Z241" i="1"/>
  <c r="AB241" i="1"/>
  <c r="AC241" i="1"/>
  <c r="AD241" i="1"/>
  <c r="AG241" i="1" s="1"/>
  <c r="AE241" i="1"/>
  <c r="AF241" i="1"/>
  <c r="AH187" i="1"/>
  <c r="AM187" i="1"/>
  <c r="AN187" i="1"/>
  <c r="K242" i="1"/>
  <c r="L242" i="1"/>
  <c r="M242" i="1"/>
  <c r="N242" i="1" s="1"/>
  <c r="V242" i="1"/>
  <c r="Y242" i="1"/>
  <c r="Z242" i="1"/>
  <c r="AB242" i="1"/>
  <c r="AC242" i="1"/>
  <c r="AD242" i="1"/>
  <c r="AG242" i="1" s="1"/>
  <c r="AE242" i="1"/>
  <c r="AF242" i="1"/>
  <c r="AH188" i="1"/>
  <c r="AM188" i="1"/>
  <c r="AN188" i="1"/>
  <c r="K243" i="1"/>
  <c r="L243" i="1"/>
  <c r="M243" i="1"/>
  <c r="N243" i="1" s="1"/>
  <c r="V243" i="1"/>
  <c r="Y243" i="1"/>
  <c r="Z243" i="1"/>
  <c r="AB243" i="1"/>
  <c r="AC243" i="1"/>
  <c r="AD243" i="1"/>
  <c r="T243" i="1" s="1"/>
  <c r="AE243" i="1"/>
  <c r="AF243" i="1"/>
  <c r="AH189" i="1"/>
  <c r="AM189" i="1"/>
  <c r="AN189" i="1"/>
  <c r="K244" i="1"/>
  <c r="L244" i="1"/>
  <c r="M244" i="1"/>
  <c r="N244" i="1" s="1"/>
  <c r="V244" i="1"/>
  <c r="Y244" i="1"/>
  <c r="Z244" i="1"/>
  <c r="AB244" i="1"/>
  <c r="AC244" i="1"/>
  <c r="AD244" i="1"/>
  <c r="AE244" i="1"/>
  <c r="AF244" i="1"/>
  <c r="AH190" i="1"/>
  <c r="AM190" i="1"/>
  <c r="AN190" i="1"/>
  <c r="K245" i="1"/>
  <c r="L245" i="1"/>
  <c r="M245" i="1"/>
  <c r="N245" i="1" s="1"/>
  <c r="V245" i="1"/>
  <c r="Y245" i="1"/>
  <c r="Z245" i="1"/>
  <c r="AB245" i="1"/>
  <c r="AC245" i="1"/>
  <c r="AD245" i="1"/>
  <c r="AE245" i="1"/>
  <c r="AF245" i="1"/>
  <c r="AH191" i="1"/>
  <c r="AM191" i="1"/>
  <c r="AN191" i="1"/>
  <c r="K246" i="1"/>
  <c r="L246" i="1"/>
  <c r="M246" i="1"/>
  <c r="N246" i="1" s="1"/>
  <c r="V246" i="1"/>
  <c r="Y246" i="1"/>
  <c r="Z246" i="1"/>
  <c r="AB246" i="1"/>
  <c r="AC246" i="1"/>
  <c r="AD246" i="1"/>
  <c r="AG246" i="1" s="1"/>
  <c r="AE246" i="1"/>
  <c r="AF246" i="1"/>
  <c r="AH192" i="1"/>
  <c r="AM192" i="1"/>
  <c r="AN192" i="1"/>
  <c r="K247" i="1"/>
  <c r="L247" i="1"/>
  <c r="M247" i="1"/>
  <c r="N247" i="1" s="1"/>
  <c r="V247" i="1"/>
  <c r="Y247" i="1"/>
  <c r="AA247" i="1" s="1"/>
  <c r="Z247" i="1"/>
  <c r="AB247" i="1"/>
  <c r="AC247" i="1"/>
  <c r="AD247" i="1"/>
  <c r="AE247" i="1"/>
  <c r="AF247" i="1"/>
  <c r="AH193" i="1"/>
  <c r="AM193" i="1"/>
  <c r="AN193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94" i="1"/>
  <c r="AM194" i="1"/>
  <c r="AN194" i="1"/>
  <c r="K159" i="1"/>
  <c r="L159" i="1"/>
  <c r="M159" i="1"/>
  <c r="N159" i="1" s="1"/>
  <c r="V159" i="1"/>
  <c r="Y159" i="1"/>
  <c r="AA159" i="1" s="1"/>
  <c r="Z159" i="1"/>
  <c r="AB159" i="1"/>
  <c r="AC159" i="1"/>
  <c r="AD159" i="1"/>
  <c r="AG159" i="1" s="1"/>
  <c r="AE159" i="1"/>
  <c r="AF159" i="1"/>
  <c r="AH195" i="1"/>
  <c r="AM195" i="1"/>
  <c r="AN195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AF160" i="1"/>
  <c r="AH196" i="1"/>
  <c r="AM196" i="1"/>
  <c r="AN196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G161" i="1"/>
  <c r="AH197" i="1"/>
  <c r="AM197" i="1"/>
  <c r="AN197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99" i="1"/>
  <c r="AM199" i="1"/>
  <c r="AN199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200" i="1"/>
  <c r="AM200" i="1"/>
  <c r="AN200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AH201" i="1"/>
  <c r="AM201" i="1"/>
  <c r="AN201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202" i="1"/>
  <c r="AM202" i="1"/>
  <c r="AN202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203" i="1"/>
  <c r="AM203" i="1"/>
  <c r="AN203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204" i="1"/>
  <c r="AM204" i="1"/>
  <c r="AN204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AH205" i="1"/>
  <c r="AM205" i="1"/>
  <c r="AN205" i="1"/>
  <c r="K169" i="1"/>
  <c r="L169" i="1"/>
  <c r="M169" i="1"/>
  <c r="N169" i="1" s="1"/>
  <c r="T169" i="1"/>
  <c r="V169" i="1"/>
  <c r="Y169" i="1"/>
  <c r="Z169" i="1"/>
  <c r="AB169" i="1"/>
  <c r="AC169" i="1"/>
  <c r="AD169" i="1"/>
  <c r="AE169" i="1"/>
  <c r="AF169" i="1"/>
  <c r="AH206" i="1"/>
  <c r="AM206" i="1"/>
  <c r="AN206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207" i="1"/>
  <c r="AM207" i="1"/>
  <c r="AN207" i="1"/>
  <c r="K171" i="1"/>
  <c r="L171" i="1"/>
  <c r="M171" i="1"/>
  <c r="N171" i="1" s="1"/>
  <c r="V171" i="1"/>
  <c r="Y171" i="1"/>
  <c r="Z171" i="1"/>
  <c r="AA171" i="1" s="1"/>
  <c r="AB171" i="1"/>
  <c r="AC171" i="1"/>
  <c r="AD171" i="1"/>
  <c r="T171" i="1" s="1"/>
  <c r="AE171" i="1"/>
  <c r="AF171" i="1"/>
  <c r="AH208" i="1"/>
  <c r="AM208" i="1"/>
  <c r="AN208" i="1"/>
  <c r="K172" i="1"/>
  <c r="L172" i="1"/>
  <c r="M172" i="1"/>
  <c r="N172" i="1" s="1"/>
  <c r="V172" i="1"/>
  <c r="X172" i="1"/>
  <c r="Y172" i="1"/>
  <c r="Z172" i="1"/>
  <c r="AB172" i="1"/>
  <c r="AC172" i="1"/>
  <c r="AD172" i="1"/>
  <c r="AE172" i="1"/>
  <c r="AF172" i="1"/>
  <c r="AH209" i="1"/>
  <c r="AM209" i="1"/>
  <c r="AN209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210" i="1"/>
  <c r="AM210" i="1"/>
  <c r="AN210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211" i="1"/>
  <c r="AM211" i="1"/>
  <c r="AN211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212" i="1"/>
  <c r="AM212" i="1"/>
  <c r="AN212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AH213" i="1"/>
  <c r="AM213" i="1"/>
  <c r="AN213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14" i="1"/>
  <c r="AM214" i="1"/>
  <c r="AN214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15" i="1"/>
  <c r="AM215" i="1"/>
  <c r="AN215" i="1"/>
  <c r="K179" i="1"/>
  <c r="L179" i="1"/>
  <c r="M179" i="1"/>
  <c r="N179" i="1" s="1"/>
  <c r="V179" i="1"/>
  <c r="S40" i="3" s="1"/>
  <c r="Y179" i="1"/>
  <c r="Z179" i="1"/>
  <c r="AB179" i="1"/>
  <c r="AC179" i="1"/>
  <c r="AD179" i="1"/>
  <c r="AG179" i="1" s="1"/>
  <c r="AE179" i="1"/>
  <c r="R40" i="3" s="1"/>
  <c r="AF179" i="1"/>
  <c r="AH216" i="1"/>
  <c r="AM216" i="1"/>
  <c r="AN216" i="1"/>
  <c r="K180" i="1"/>
  <c r="L180" i="1"/>
  <c r="M180" i="1"/>
  <c r="N180" i="1" s="1"/>
  <c r="V180" i="1"/>
  <c r="Y180" i="1"/>
  <c r="Z180" i="1"/>
  <c r="AB180" i="1"/>
  <c r="AC180" i="1"/>
  <c r="AD180" i="1"/>
  <c r="AE180" i="1"/>
  <c r="R39" i="3" s="1"/>
  <c r="AF180" i="1"/>
  <c r="AH217" i="1"/>
  <c r="AM217" i="1"/>
  <c r="AN217" i="1"/>
  <c r="K181" i="1"/>
  <c r="L181" i="1"/>
  <c r="M181" i="1"/>
  <c r="P181" i="1" s="1"/>
  <c r="V181" i="1"/>
  <c r="Y181" i="1"/>
  <c r="Z181" i="1"/>
  <c r="AB181" i="1"/>
  <c r="AC181" i="1"/>
  <c r="AD181" i="1"/>
  <c r="AG181" i="1" s="1"/>
  <c r="AE181" i="1"/>
  <c r="AF181" i="1"/>
  <c r="AH218" i="1"/>
  <c r="AM218" i="1"/>
  <c r="AN218" i="1"/>
  <c r="K182" i="1"/>
  <c r="L182" i="1"/>
  <c r="M182" i="1"/>
  <c r="N182" i="1" s="1"/>
  <c r="V182" i="1"/>
  <c r="Y182" i="1"/>
  <c r="Z182" i="1"/>
  <c r="AB182" i="1"/>
  <c r="AC182" i="1"/>
  <c r="AD182" i="1"/>
  <c r="AE182" i="1"/>
  <c r="R49" i="3" s="1"/>
  <c r="AF182" i="1"/>
  <c r="AH219" i="1"/>
  <c r="AM219" i="1"/>
  <c r="AN219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20" i="1"/>
  <c r="AM220" i="1"/>
  <c r="AN220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21" i="1"/>
  <c r="AM221" i="1"/>
  <c r="AN221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22" i="1"/>
  <c r="AM222" i="1"/>
  <c r="AN222" i="1"/>
  <c r="K186" i="1"/>
  <c r="L186" i="1"/>
  <c r="M186" i="1"/>
  <c r="N186" i="1" s="1"/>
  <c r="V186" i="1"/>
  <c r="S51" i="3" s="1"/>
  <c r="Y186" i="1"/>
  <c r="Z186" i="1"/>
  <c r="AB186" i="1"/>
  <c r="AC186" i="1"/>
  <c r="AD186" i="1"/>
  <c r="AE186" i="1"/>
  <c r="R51" i="3" s="1"/>
  <c r="AF186" i="1"/>
  <c r="AH223" i="1"/>
  <c r="AM223" i="1"/>
  <c r="AN223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224" i="1"/>
  <c r="AM224" i="1"/>
  <c r="AN224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25" i="1"/>
  <c r="AM225" i="1"/>
  <c r="AN225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R41" i="3" s="1"/>
  <c r="AF189" i="1"/>
  <c r="AH226" i="1"/>
  <c r="AM226" i="1"/>
  <c r="AN226" i="1"/>
  <c r="K190" i="1"/>
  <c r="L190" i="1"/>
  <c r="M190" i="1"/>
  <c r="N190" i="1" s="1"/>
  <c r="V190" i="1"/>
  <c r="S42" i="3" s="1"/>
  <c r="Y190" i="1"/>
  <c r="Z190" i="1"/>
  <c r="AA190" i="1" s="1"/>
  <c r="AB190" i="1"/>
  <c r="AC190" i="1"/>
  <c r="AD190" i="1"/>
  <c r="AE190" i="1"/>
  <c r="R42" i="3" s="1"/>
  <c r="AF190" i="1"/>
  <c r="AH227" i="1"/>
  <c r="AM227" i="1"/>
  <c r="AN227" i="1"/>
  <c r="K191" i="1"/>
  <c r="L191" i="1"/>
  <c r="M191" i="1"/>
  <c r="N191" i="1" s="1"/>
  <c r="V191" i="1"/>
  <c r="Y191" i="1"/>
  <c r="AA191" i="1" s="1"/>
  <c r="Z191" i="1"/>
  <c r="AB191" i="1"/>
  <c r="AC191" i="1"/>
  <c r="AD191" i="1"/>
  <c r="T191" i="1" s="1"/>
  <c r="AE191" i="1"/>
  <c r="AF191" i="1"/>
  <c r="AG191" i="1"/>
  <c r="AH228" i="1"/>
  <c r="AM228" i="1"/>
  <c r="AN228" i="1"/>
  <c r="K192" i="1"/>
  <c r="L192" i="1"/>
  <c r="M192" i="1"/>
  <c r="N192" i="1" s="1"/>
  <c r="V192" i="1"/>
  <c r="Y192" i="1"/>
  <c r="Z192" i="1"/>
  <c r="AB192" i="1"/>
  <c r="AC192" i="1"/>
  <c r="AD192" i="1"/>
  <c r="X192" i="1" s="1"/>
  <c r="AE192" i="1"/>
  <c r="AF192" i="1"/>
  <c r="AH229" i="1"/>
  <c r="AM229" i="1"/>
  <c r="AN229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30" i="1"/>
  <c r="AM230" i="1"/>
  <c r="AN230" i="1"/>
  <c r="K194" i="1"/>
  <c r="L194" i="1"/>
  <c r="M194" i="1"/>
  <c r="N194" i="1"/>
  <c r="V194" i="1"/>
  <c r="Y194" i="1"/>
  <c r="Z194" i="1"/>
  <c r="AB194" i="1"/>
  <c r="AC194" i="1"/>
  <c r="AD194" i="1"/>
  <c r="AE194" i="1"/>
  <c r="AF194" i="1"/>
  <c r="AH231" i="1"/>
  <c r="AM231" i="1"/>
  <c r="AN231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32" i="1"/>
  <c r="AM232" i="1"/>
  <c r="AN232" i="1"/>
  <c r="K196" i="1"/>
  <c r="L196" i="1"/>
  <c r="M196" i="1"/>
  <c r="N196" i="1" s="1"/>
  <c r="V196" i="1"/>
  <c r="S52" i="3" s="1"/>
  <c r="Y196" i="1"/>
  <c r="Z196" i="1"/>
  <c r="AB196" i="1"/>
  <c r="AC196" i="1"/>
  <c r="AD196" i="1"/>
  <c r="X196" i="1" s="1"/>
  <c r="AE196" i="1"/>
  <c r="AF196" i="1"/>
  <c r="AH233" i="1"/>
  <c r="AM233" i="1"/>
  <c r="AN233" i="1"/>
  <c r="K197" i="1"/>
  <c r="L197" i="1"/>
  <c r="M197" i="1"/>
  <c r="V197" i="1"/>
  <c r="Y197" i="1"/>
  <c r="AB197" i="1"/>
  <c r="AC197" i="1"/>
  <c r="AD197" i="1"/>
  <c r="T197" i="1" s="1"/>
  <c r="AE197" i="1"/>
  <c r="R45" i="3" s="1"/>
  <c r="AF197" i="1"/>
  <c r="AH234" i="1"/>
  <c r="AM234" i="1"/>
  <c r="AN234" i="1"/>
  <c r="K199" i="1"/>
  <c r="L199" i="1"/>
  <c r="M199" i="1"/>
  <c r="N199" i="1" s="1"/>
  <c r="V199" i="1"/>
  <c r="S53" i="3" s="1"/>
  <c r="Y199" i="1"/>
  <c r="Z199" i="1"/>
  <c r="AB199" i="1"/>
  <c r="AC199" i="1"/>
  <c r="AD199" i="1"/>
  <c r="AE199" i="1"/>
  <c r="AF199" i="1"/>
  <c r="AH235" i="1"/>
  <c r="AM235" i="1"/>
  <c r="AN235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36" i="1"/>
  <c r="AM236" i="1"/>
  <c r="AN236" i="1"/>
  <c r="K201" i="1"/>
  <c r="L201" i="1"/>
  <c r="M201" i="1"/>
  <c r="N201" i="1" s="1"/>
  <c r="T201" i="1"/>
  <c r="V201" i="1"/>
  <c r="Y201" i="1"/>
  <c r="Z201" i="1"/>
  <c r="AA201" i="1" s="1"/>
  <c r="AB201" i="1"/>
  <c r="AC201" i="1"/>
  <c r="AD201" i="1"/>
  <c r="AE201" i="1"/>
  <c r="AF201" i="1"/>
  <c r="AH237" i="1"/>
  <c r="AM237" i="1"/>
  <c r="AN237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38" i="1"/>
  <c r="AM238" i="1"/>
  <c r="AN238" i="1"/>
  <c r="K203" i="1"/>
  <c r="L203" i="1"/>
  <c r="M203" i="1"/>
  <c r="N203" i="1" s="1"/>
  <c r="V203" i="1"/>
  <c r="S54" i="3" s="1"/>
  <c r="Y203" i="1"/>
  <c r="Z203" i="1"/>
  <c r="AB203" i="1"/>
  <c r="AC203" i="1"/>
  <c r="AD203" i="1"/>
  <c r="AE203" i="1"/>
  <c r="R54" i="3" s="1"/>
  <c r="AF203" i="1"/>
  <c r="AH239" i="1"/>
  <c r="AM239" i="1"/>
  <c r="AN239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AH240" i="1"/>
  <c r="AM240" i="1"/>
  <c r="AN240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41" i="1"/>
  <c r="AM241" i="1"/>
  <c r="AN241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42" i="1"/>
  <c r="AM242" i="1"/>
  <c r="AN242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43" i="1"/>
  <c r="AM243" i="1"/>
  <c r="AN243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244" i="1"/>
  <c r="AM244" i="1"/>
  <c r="AN244" i="1"/>
  <c r="K223" i="1"/>
  <c r="L223" i="1"/>
  <c r="M223" i="1"/>
  <c r="N223" i="1" s="1"/>
  <c r="V223" i="1"/>
  <c r="S56" i="3" s="1"/>
  <c r="Y223" i="1"/>
  <c r="Z223" i="1"/>
  <c r="AB223" i="1"/>
  <c r="AC223" i="1"/>
  <c r="AD223" i="1"/>
  <c r="AE223" i="1"/>
  <c r="R57" i="3" s="1"/>
  <c r="AF223" i="1"/>
  <c r="AH245" i="1"/>
  <c r="AM245" i="1"/>
  <c r="AN245" i="1"/>
  <c r="K224" i="1"/>
  <c r="L224" i="1"/>
  <c r="M224" i="1"/>
  <c r="N224" i="1" s="1"/>
  <c r="V224" i="1"/>
  <c r="Y224" i="1"/>
  <c r="Z224" i="1"/>
  <c r="AB224" i="1"/>
  <c r="AC224" i="1"/>
  <c r="AD224" i="1"/>
  <c r="AG224" i="1" s="1"/>
  <c r="AI224" i="1" s="1"/>
  <c r="AE224" i="1"/>
  <c r="AF224" i="1"/>
  <c r="AH246" i="1"/>
  <c r="AM246" i="1"/>
  <c r="AN246" i="1"/>
  <c r="K225" i="1"/>
  <c r="L225" i="1"/>
  <c r="M225" i="1"/>
  <c r="N225" i="1" s="1"/>
  <c r="V225" i="1"/>
  <c r="Y225" i="1"/>
  <c r="Z225" i="1"/>
  <c r="AB225" i="1"/>
  <c r="AC225" i="1"/>
  <c r="AD225" i="1"/>
  <c r="AG225" i="1" s="1"/>
  <c r="AE225" i="1"/>
  <c r="AF225" i="1"/>
  <c r="AH247" i="1"/>
  <c r="AM247" i="1"/>
  <c r="AN247" i="1"/>
  <c r="M24" i="3"/>
  <c r="S24" i="3"/>
  <c r="U24" i="3"/>
  <c r="T24" i="3" s="1"/>
  <c r="V24" i="3"/>
  <c r="W24" i="3"/>
  <c r="X24" i="3"/>
  <c r="AC24" i="3"/>
  <c r="M27" i="3"/>
  <c r="R27" i="3"/>
  <c r="S27" i="3"/>
  <c r="U27" i="3"/>
  <c r="V27" i="3"/>
  <c r="W27" i="3"/>
  <c r="X27" i="3"/>
  <c r="M9" i="3"/>
  <c r="R9" i="3"/>
  <c r="U9" i="3"/>
  <c r="AC9" i="3" s="1"/>
  <c r="V9" i="3"/>
  <c r="W9" i="3"/>
  <c r="Y9" i="3" s="1"/>
  <c r="X9" i="3"/>
  <c r="M43" i="3"/>
  <c r="R43" i="3"/>
  <c r="S43" i="3"/>
  <c r="U43" i="3"/>
  <c r="T43" i="3" s="1"/>
  <c r="V43" i="3"/>
  <c r="AE43" i="3" s="1"/>
  <c r="W43" i="3"/>
  <c r="Y43" i="3" s="1"/>
  <c r="X43" i="3"/>
  <c r="AC43" i="3"/>
  <c r="M29" i="3"/>
  <c r="R29" i="3"/>
  <c r="S29" i="3"/>
  <c r="U29" i="3"/>
  <c r="T29" i="3" s="1"/>
  <c r="V29" i="3"/>
  <c r="W29" i="3"/>
  <c r="X29" i="3"/>
  <c r="AC29" i="3"/>
  <c r="M47" i="3"/>
  <c r="R47" i="3"/>
  <c r="S47" i="3"/>
  <c r="U47" i="3"/>
  <c r="V47" i="3"/>
  <c r="W47" i="3"/>
  <c r="X47" i="3"/>
  <c r="AC47" i="3"/>
  <c r="M16" i="3"/>
  <c r="R16" i="3"/>
  <c r="S16" i="3"/>
  <c r="U16" i="3"/>
  <c r="AC16" i="3" s="1"/>
  <c r="V16" i="3"/>
  <c r="W16" i="3"/>
  <c r="X16" i="3"/>
  <c r="M18" i="3"/>
  <c r="R18" i="3"/>
  <c r="S18" i="3"/>
  <c r="U18" i="3"/>
  <c r="T18" i="3" s="1"/>
  <c r="V18" i="3"/>
  <c r="W18" i="3"/>
  <c r="X18" i="3"/>
  <c r="AC18" i="3"/>
  <c r="M17" i="3"/>
  <c r="R17" i="3"/>
  <c r="S17" i="3"/>
  <c r="U17" i="3"/>
  <c r="T17" i="3" s="1"/>
  <c r="V17" i="3"/>
  <c r="W17" i="3"/>
  <c r="X17" i="3"/>
  <c r="AC17" i="3"/>
  <c r="M19" i="3"/>
  <c r="R19" i="3"/>
  <c r="S19" i="3"/>
  <c r="U19" i="3"/>
  <c r="AD17" i="3" s="1"/>
  <c r="V19" i="3"/>
  <c r="W19" i="3"/>
  <c r="X19" i="3"/>
  <c r="M30" i="3"/>
  <c r="S30" i="3"/>
  <c r="U30" i="3"/>
  <c r="AC30" i="3" s="1"/>
  <c r="V30" i="3"/>
  <c r="W30" i="3"/>
  <c r="X30" i="3"/>
  <c r="M23" i="3"/>
  <c r="R23" i="3"/>
  <c r="U23" i="3"/>
  <c r="AD23" i="3" s="1"/>
  <c r="V23" i="3"/>
  <c r="W23" i="3"/>
  <c r="X23" i="3"/>
  <c r="AC23" i="3"/>
  <c r="M12" i="3"/>
  <c r="R12" i="3"/>
  <c r="S12" i="3"/>
  <c r="U12" i="3"/>
  <c r="T12" i="3" s="1"/>
  <c r="V12" i="3"/>
  <c r="W12" i="3"/>
  <c r="X12" i="3"/>
  <c r="AC12" i="3"/>
  <c r="M55" i="3"/>
  <c r="R55" i="3"/>
  <c r="U55" i="3"/>
  <c r="AC55" i="3" s="1"/>
  <c r="V55" i="3"/>
  <c r="W55" i="3"/>
  <c r="X55" i="3"/>
  <c r="Y55" i="3"/>
  <c r="M36" i="3"/>
  <c r="R36" i="3"/>
  <c r="S36" i="3"/>
  <c r="U36" i="3"/>
  <c r="AC36" i="3" s="1"/>
  <c r="V36" i="3"/>
  <c r="W36" i="3"/>
  <c r="X36" i="3"/>
  <c r="M40" i="3"/>
  <c r="U40" i="3"/>
  <c r="V40" i="3"/>
  <c r="W40" i="3"/>
  <c r="X40" i="3"/>
  <c r="AC40" i="3"/>
  <c r="M20" i="3"/>
  <c r="R20" i="3"/>
  <c r="S20" i="3"/>
  <c r="U20" i="3"/>
  <c r="T20" i="3" s="1"/>
  <c r="V20" i="3"/>
  <c r="W20" i="3"/>
  <c r="X20" i="3"/>
  <c r="AC20" i="3"/>
  <c r="M39" i="3"/>
  <c r="S39" i="3"/>
  <c r="U39" i="3"/>
  <c r="V39" i="3"/>
  <c r="W39" i="3"/>
  <c r="X39" i="3"/>
  <c r="M48" i="3"/>
  <c r="R48" i="3"/>
  <c r="S48" i="3"/>
  <c r="U48" i="3"/>
  <c r="AC48" i="3" s="1"/>
  <c r="V48" i="3"/>
  <c r="W48" i="3"/>
  <c r="X48" i="3"/>
  <c r="M49" i="3"/>
  <c r="S49" i="3"/>
  <c r="U49" i="3"/>
  <c r="T49" i="3" s="1"/>
  <c r="V49" i="3"/>
  <c r="W49" i="3"/>
  <c r="X49" i="3"/>
  <c r="AC49" i="3"/>
  <c r="M13" i="3"/>
  <c r="R13" i="3"/>
  <c r="U13" i="3"/>
  <c r="T13" i="3" s="1"/>
  <c r="V13" i="3"/>
  <c r="W13" i="3"/>
  <c r="X13" i="3"/>
  <c r="AC13" i="3"/>
  <c r="M56" i="3"/>
  <c r="R56" i="3"/>
  <c r="U56" i="3"/>
  <c r="V56" i="3"/>
  <c r="W56" i="3"/>
  <c r="X56" i="3"/>
  <c r="AC56" i="3"/>
  <c r="M22" i="3"/>
  <c r="R22" i="3"/>
  <c r="S22" i="3"/>
  <c r="U22" i="3"/>
  <c r="V22" i="3"/>
  <c r="W22" i="3"/>
  <c r="Y22" i="3" s="1"/>
  <c r="X22" i="3"/>
  <c r="M57" i="3"/>
  <c r="T57" i="3"/>
  <c r="U57" i="3"/>
  <c r="V57" i="3"/>
  <c r="W57" i="3"/>
  <c r="X57" i="3"/>
  <c r="AC57" i="3"/>
  <c r="M58" i="3"/>
  <c r="S58" i="3"/>
  <c r="U58" i="3"/>
  <c r="T58" i="3" s="1"/>
  <c r="V58" i="3"/>
  <c r="W58" i="3"/>
  <c r="X58" i="3"/>
  <c r="AC58" i="3"/>
  <c r="M50" i="3"/>
  <c r="R50" i="3"/>
  <c r="S50" i="3"/>
  <c r="U50" i="3"/>
  <c r="V50" i="3"/>
  <c r="W50" i="3"/>
  <c r="X50" i="3"/>
  <c r="Y50" i="3"/>
  <c r="M37" i="3"/>
  <c r="R37" i="3"/>
  <c r="S37" i="3"/>
  <c r="U37" i="3"/>
  <c r="V37" i="3"/>
  <c r="W37" i="3"/>
  <c r="X37" i="3"/>
  <c r="M51" i="3"/>
  <c r="U51" i="3"/>
  <c r="V51" i="3"/>
  <c r="AE51" i="3" s="1"/>
  <c r="W51" i="3"/>
  <c r="X51" i="3"/>
  <c r="AC51" i="3"/>
  <c r="M21" i="3"/>
  <c r="R21" i="3"/>
  <c r="S21" i="3"/>
  <c r="U21" i="3"/>
  <c r="T21" i="3" s="1"/>
  <c r="V21" i="3"/>
  <c r="W21" i="3"/>
  <c r="Y21" i="3" s="1"/>
  <c r="X21" i="3"/>
  <c r="AC21" i="3"/>
  <c r="M26" i="3"/>
  <c r="S26" i="3"/>
  <c r="U26" i="3"/>
  <c r="V26" i="3"/>
  <c r="W26" i="3"/>
  <c r="X26" i="3"/>
  <c r="M41" i="3"/>
  <c r="S41" i="3"/>
  <c r="U41" i="3"/>
  <c r="V41" i="3"/>
  <c r="W41" i="3"/>
  <c r="X41" i="3"/>
  <c r="M42" i="3"/>
  <c r="U42" i="3"/>
  <c r="V42" i="3"/>
  <c r="W42" i="3"/>
  <c r="X42" i="3"/>
  <c r="AC42" i="3"/>
  <c r="AD39" i="3"/>
  <c r="M31" i="3"/>
  <c r="S31" i="3"/>
  <c r="U31" i="3"/>
  <c r="T31" i="3" s="1"/>
  <c r="V31" i="3"/>
  <c r="W31" i="3"/>
  <c r="X31" i="3"/>
  <c r="AC31" i="3"/>
  <c r="M10" i="3"/>
  <c r="R10" i="3"/>
  <c r="U10" i="3"/>
  <c r="V10" i="3"/>
  <c r="W10" i="3"/>
  <c r="X10" i="3"/>
  <c r="M11" i="3"/>
  <c r="R11" i="3"/>
  <c r="U11" i="3"/>
  <c r="V11" i="3"/>
  <c r="W11" i="3"/>
  <c r="X11" i="3"/>
  <c r="M59" i="3"/>
  <c r="S59" i="3"/>
  <c r="U59" i="3"/>
  <c r="T59" i="3" s="1"/>
  <c r="V59" i="3"/>
  <c r="W59" i="3"/>
  <c r="X59" i="3"/>
  <c r="AC59" i="3"/>
  <c r="M60" i="3"/>
  <c r="S60" i="3"/>
  <c r="U60" i="3"/>
  <c r="T60" i="3" s="1"/>
  <c r="V60" i="3"/>
  <c r="W60" i="3"/>
  <c r="X60" i="3"/>
  <c r="AC60" i="3"/>
  <c r="M32" i="3"/>
  <c r="S32" i="3"/>
  <c r="U32" i="3"/>
  <c r="AC32" i="3" s="1"/>
  <c r="V32" i="3"/>
  <c r="W32" i="3"/>
  <c r="X32" i="3"/>
  <c r="M52" i="3"/>
  <c r="R52" i="3"/>
  <c r="U52" i="3"/>
  <c r="AD52" i="3" s="1"/>
  <c r="V52" i="3"/>
  <c r="W52" i="3"/>
  <c r="Y52" i="3" s="1"/>
  <c r="X52" i="3"/>
  <c r="M44" i="3"/>
  <c r="S44" i="3"/>
  <c r="T44" i="3"/>
  <c r="U44" i="3"/>
  <c r="AD44" i="3" s="1"/>
  <c r="V44" i="3"/>
  <c r="AE47" i="3" s="1"/>
  <c r="W44" i="3"/>
  <c r="X44" i="3"/>
  <c r="AC44" i="3"/>
  <c r="AD47" i="3"/>
  <c r="M45" i="3"/>
  <c r="S45" i="3"/>
  <c r="U45" i="3"/>
  <c r="T45" i="3" s="1"/>
  <c r="V45" i="3"/>
  <c r="W45" i="3"/>
  <c r="X45" i="3"/>
  <c r="AC45" i="3"/>
  <c r="M46" i="3"/>
  <c r="S46" i="3"/>
  <c r="U46" i="3"/>
  <c r="V46" i="3"/>
  <c r="W46" i="3"/>
  <c r="X46" i="3"/>
  <c r="M34" i="3"/>
  <c r="S34" i="3"/>
  <c r="U34" i="3"/>
  <c r="V34" i="3"/>
  <c r="W34" i="3"/>
  <c r="X34" i="3"/>
  <c r="M35" i="3"/>
  <c r="U35" i="3"/>
  <c r="AD51" i="3" s="1"/>
  <c r="V35" i="3"/>
  <c r="W35" i="3"/>
  <c r="X35" i="3"/>
  <c r="AC35" i="3"/>
  <c r="M53" i="3"/>
  <c r="R53" i="3"/>
  <c r="U53" i="3"/>
  <c r="T53" i="3" s="1"/>
  <c r="V53" i="3"/>
  <c r="W53" i="3"/>
  <c r="X53" i="3"/>
  <c r="AC53" i="3"/>
  <c r="M15" i="3"/>
  <c r="R15" i="3"/>
  <c r="S15" i="3"/>
  <c r="U15" i="3"/>
  <c r="AC15" i="3" s="1"/>
  <c r="V15" i="3"/>
  <c r="W15" i="3"/>
  <c r="Y15" i="3" s="1"/>
  <c r="X15" i="3"/>
  <c r="M54" i="3"/>
  <c r="U54" i="3"/>
  <c r="V54" i="3"/>
  <c r="W54" i="3"/>
  <c r="X54" i="3"/>
  <c r="M33" i="3"/>
  <c r="R33" i="3"/>
  <c r="U33" i="3"/>
  <c r="AC33" i="3" s="1"/>
  <c r="V33" i="3"/>
  <c r="W33" i="3"/>
  <c r="X33" i="3"/>
  <c r="M14" i="3"/>
  <c r="S14" i="3"/>
  <c r="U14" i="3"/>
  <c r="T14" i="3" s="1"/>
  <c r="V14" i="3"/>
  <c r="W14" i="3"/>
  <c r="X14" i="3"/>
  <c r="AC14" i="3"/>
  <c r="M25" i="3"/>
  <c r="R25" i="3"/>
  <c r="U25" i="3"/>
  <c r="AC25" i="3" s="1"/>
  <c r="V25" i="3"/>
  <c r="W25" i="3"/>
  <c r="X25" i="3"/>
  <c r="M38" i="3"/>
  <c r="R38" i="3"/>
  <c r="S38" i="3"/>
  <c r="U38" i="3"/>
  <c r="V38" i="3"/>
  <c r="W38" i="3"/>
  <c r="Y38" i="3" s="1"/>
  <c r="X38" i="3"/>
  <c r="M8" i="3"/>
  <c r="R8" i="3"/>
  <c r="S8" i="3"/>
  <c r="U8" i="3"/>
  <c r="AD8" i="3" s="1"/>
  <c r="V8" i="3"/>
  <c r="W8" i="3"/>
  <c r="X8" i="3"/>
  <c r="AC8" i="3"/>
  <c r="AD59" i="3"/>
  <c r="AE59" i="3"/>
  <c r="M7" i="3"/>
  <c r="R7" i="3"/>
  <c r="U7" i="3"/>
  <c r="T7" i="3" s="1"/>
  <c r="V7" i="3"/>
  <c r="W7" i="3"/>
  <c r="X7" i="3"/>
  <c r="AC7" i="3"/>
  <c r="AE54" i="3" l="1"/>
  <c r="Y26" i="3"/>
  <c r="Y19" i="3"/>
  <c r="Y17" i="3"/>
  <c r="Y16" i="3"/>
  <c r="Y47" i="3"/>
  <c r="W198" i="1"/>
  <c r="AG198" i="1"/>
  <c r="X68" i="1"/>
  <c r="T54" i="3"/>
  <c r="Y46" i="3"/>
  <c r="AE39" i="3"/>
  <c r="AD36" i="3"/>
  <c r="R58" i="3"/>
  <c r="AI179" i="1"/>
  <c r="AA179" i="1"/>
  <c r="AG178" i="1"/>
  <c r="X178" i="1"/>
  <c r="AG177" i="1"/>
  <c r="U177" i="1" s="1"/>
  <c r="S177" i="1" s="1"/>
  <c r="X177" i="1"/>
  <c r="X176" i="1"/>
  <c r="AA241" i="1"/>
  <c r="AA235" i="1"/>
  <c r="AG213" i="1"/>
  <c r="AA135" i="1"/>
  <c r="X125" i="1"/>
  <c r="AA116" i="1"/>
  <c r="W116" i="1" s="1"/>
  <c r="AG59" i="1"/>
  <c r="X59" i="1"/>
  <c r="AA57" i="1"/>
  <c r="AA21" i="1"/>
  <c r="W21" i="1" s="1"/>
  <c r="AG18" i="1"/>
  <c r="X67" i="1"/>
  <c r="Y11" i="3"/>
  <c r="AD41" i="3"/>
  <c r="Y39" i="3"/>
  <c r="AG220" i="1"/>
  <c r="R34" i="3"/>
  <c r="S10" i="3"/>
  <c r="Y48" i="3"/>
  <c r="AE23" i="3"/>
  <c r="Y27" i="3"/>
  <c r="Y24" i="3"/>
  <c r="X182" i="1"/>
  <c r="AG243" i="1"/>
  <c r="AA227" i="1"/>
  <c r="AA219" i="1"/>
  <c r="W219" i="1" s="1"/>
  <c r="T216" i="1"/>
  <c r="AA215" i="1"/>
  <c r="AI136" i="1"/>
  <c r="AA99" i="1"/>
  <c r="AG81" i="1"/>
  <c r="AA69" i="1"/>
  <c r="AA61" i="1"/>
  <c r="AA58" i="1"/>
  <c r="AA46" i="1"/>
  <c r="AA20" i="1"/>
  <c r="R60" i="3"/>
  <c r="AE27" i="3"/>
  <c r="AA220" i="1"/>
  <c r="AA204" i="1"/>
  <c r="W204" i="1" s="1"/>
  <c r="AA181" i="1"/>
  <c r="W181" i="1" s="1"/>
  <c r="AA178" i="1"/>
  <c r="AA176" i="1"/>
  <c r="W176" i="1" s="1"/>
  <c r="T176" i="1"/>
  <c r="AA166" i="1"/>
  <c r="AA139" i="1"/>
  <c r="W139" i="1" s="1"/>
  <c r="AA137" i="1"/>
  <c r="AA102" i="1"/>
  <c r="W102" i="1" s="1"/>
  <c r="AA98" i="1"/>
  <c r="W98" i="1" s="1"/>
  <c r="AA68" i="1"/>
  <c r="AI45" i="1"/>
  <c r="AA36" i="1"/>
  <c r="W36" i="1" s="1"/>
  <c r="AA18" i="1"/>
  <c r="AA16" i="1"/>
  <c r="X69" i="1"/>
  <c r="X65" i="1"/>
  <c r="T80" i="1"/>
  <c r="AG80" i="1"/>
  <c r="AI80" i="1" s="1"/>
  <c r="R44" i="3"/>
  <c r="T40" i="3"/>
  <c r="Y35" i="3"/>
  <c r="AE50" i="3"/>
  <c r="AD45" i="3"/>
  <c r="AE11" i="3"/>
  <c r="Y36" i="3"/>
  <c r="Y12" i="3"/>
  <c r="AG201" i="1"/>
  <c r="AA170" i="1"/>
  <c r="T168" i="1"/>
  <c r="AA167" i="1"/>
  <c r="AG219" i="1"/>
  <c r="T219" i="1"/>
  <c r="AG212" i="1"/>
  <c r="AI212" i="1" s="1"/>
  <c r="X212" i="1"/>
  <c r="AG140" i="1"/>
  <c r="X140" i="1"/>
  <c r="AA133" i="1"/>
  <c r="AA123" i="1"/>
  <c r="AA101" i="1"/>
  <c r="AI98" i="1"/>
  <c r="T88" i="1"/>
  <c r="AG88" i="1"/>
  <c r="AI88" i="1" s="1"/>
  <c r="X81" i="1"/>
  <c r="AG16" i="1"/>
  <c r="AI16" i="1" s="1"/>
  <c r="T16" i="1"/>
  <c r="AE55" i="3"/>
  <c r="R46" i="3"/>
  <c r="AD29" i="3"/>
  <c r="AD56" i="3"/>
  <c r="W191" i="1"/>
  <c r="AA182" i="1"/>
  <c r="AA163" i="1"/>
  <c r="AA245" i="1"/>
  <c r="X141" i="1"/>
  <c r="AG141" i="1"/>
  <c r="AA132" i="1"/>
  <c r="W132" i="1" s="1"/>
  <c r="AA114" i="1"/>
  <c r="AA112" i="1"/>
  <c r="AA76" i="1"/>
  <c r="T57" i="1"/>
  <c r="X58" i="1"/>
  <c r="X17" i="1"/>
  <c r="T17" i="1"/>
  <c r="W137" i="1"/>
  <c r="AG112" i="1"/>
  <c r="X112" i="1"/>
  <c r="T38" i="1"/>
  <c r="X38" i="1"/>
  <c r="AG38" i="1"/>
  <c r="AD49" i="3"/>
  <c r="AD37" i="3"/>
  <c r="X223" i="1"/>
  <c r="AA200" i="1"/>
  <c r="T231" i="1"/>
  <c r="AG231" i="1"/>
  <c r="W212" i="1"/>
  <c r="AA208" i="1"/>
  <c r="AI208" i="1"/>
  <c r="T141" i="1"/>
  <c r="W140" i="1"/>
  <c r="AG137" i="1"/>
  <c r="X137" i="1"/>
  <c r="X29" i="1"/>
  <c r="W16" i="1"/>
  <c r="Y34" i="3"/>
  <c r="Y44" i="3"/>
  <c r="Y10" i="3"/>
  <c r="Y41" i="3"/>
  <c r="Y37" i="3"/>
  <c r="Y57" i="3"/>
  <c r="Y56" i="3"/>
  <c r="Y49" i="3"/>
  <c r="AD9" i="3"/>
  <c r="AA225" i="1"/>
  <c r="AA199" i="1"/>
  <c r="AA237" i="1"/>
  <c r="AA230" i="1"/>
  <c r="W230" i="1" s="1"/>
  <c r="T230" i="1"/>
  <c r="AA229" i="1"/>
  <c r="AA218" i="1"/>
  <c r="AA151" i="1"/>
  <c r="X129" i="1"/>
  <c r="AA126" i="1"/>
  <c r="AA124" i="1"/>
  <c r="W124" i="1" s="1"/>
  <c r="AA115" i="1"/>
  <c r="X103" i="1"/>
  <c r="AA103" i="1"/>
  <c r="AA91" i="1"/>
  <c r="W91" i="1" s="1"/>
  <c r="AA87" i="1"/>
  <c r="W87" i="1" s="1"/>
  <c r="AA75" i="1"/>
  <c r="AA73" i="1"/>
  <c r="X70" i="1"/>
  <c r="AA62" i="1"/>
  <c r="AA51" i="1"/>
  <c r="AI50" i="1"/>
  <c r="AA45" i="1"/>
  <c r="X34" i="1"/>
  <c r="AA34" i="1"/>
  <c r="AA29" i="1"/>
  <c r="AA19" i="1"/>
  <c r="AA233" i="1"/>
  <c r="U209" i="1"/>
  <c r="AA206" i="1"/>
  <c r="X149" i="1"/>
  <c r="AA147" i="1"/>
  <c r="AA130" i="1"/>
  <c r="AA128" i="1"/>
  <c r="W128" i="1" s="1"/>
  <c r="AA122" i="1"/>
  <c r="X113" i="1"/>
  <c r="AA97" i="1"/>
  <c r="AA96" i="1"/>
  <c r="AA89" i="1"/>
  <c r="AA81" i="1"/>
  <c r="AI77" i="1"/>
  <c r="AA71" i="1"/>
  <c r="W71" i="1" s="1"/>
  <c r="AA67" i="1"/>
  <c r="AI49" i="1"/>
  <c r="AA37" i="1"/>
  <c r="W37" i="1" s="1"/>
  <c r="AA28" i="1"/>
  <c r="W28" i="1" s="1"/>
  <c r="AA15" i="1"/>
  <c r="W179" i="1"/>
  <c r="AG233" i="1"/>
  <c r="T233" i="1"/>
  <c r="W211" i="1"/>
  <c r="W50" i="1"/>
  <c r="AA224" i="1"/>
  <c r="W224" i="1" s="1"/>
  <c r="AA222" i="1"/>
  <c r="AG200" i="1"/>
  <c r="U200" i="1" s="1"/>
  <c r="S200" i="1" s="1"/>
  <c r="AA197" i="1"/>
  <c r="W197" i="1" s="1"/>
  <c r="AA195" i="1"/>
  <c r="AA192" i="1"/>
  <c r="W192" i="1" s="1"/>
  <c r="T192" i="1"/>
  <c r="AA189" i="1"/>
  <c r="AA187" i="1"/>
  <c r="W187" i="1" s="1"/>
  <c r="AG183" i="1"/>
  <c r="AI183" i="1" s="1"/>
  <c r="X183" i="1"/>
  <c r="AA173" i="1"/>
  <c r="T165" i="1"/>
  <c r="AG165" i="1"/>
  <c r="AI165" i="1" s="1"/>
  <c r="W159" i="1"/>
  <c r="W241" i="1"/>
  <c r="X222" i="1"/>
  <c r="W201" i="1"/>
  <c r="T163" i="1"/>
  <c r="AG163" i="1"/>
  <c r="AI163" i="1" s="1"/>
  <c r="T247" i="1"/>
  <c r="AG247" i="1"/>
  <c r="U247" i="1" s="1"/>
  <c r="S247" i="1" s="1"/>
  <c r="T239" i="1"/>
  <c r="AG239" i="1"/>
  <c r="T238" i="1"/>
  <c r="U238" i="1" s="1"/>
  <c r="S238" i="1" s="1"/>
  <c r="W220" i="1"/>
  <c r="AA221" i="1"/>
  <c r="AG197" i="1"/>
  <c r="U197" i="1" s="1"/>
  <c r="S197" i="1" s="1"/>
  <c r="AG192" i="1"/>
  <c r="U192" i="1" s="1"/>
  <c r="S192" i="1" s="1"/>
  <c r="AG189" i="1"/>
  <c r="U189" i="1" s="1"/>
  <c r="S189" i="1" s="1"/>
  <c r="AA185" i="1"/>
  <c r="AA183" i="1"/>
  <c r="AG182" i="1"/>
  <c r="W182" i="1" s="1"/>
  <c r="X180" i="1"/>
  <c r="AA175" i="1"/>
  <c r="AG172" i="1"/>
  <c r="T172" i="1"/>
  <c r="X169" i="1"/>
  <c r="AG169" i="1"/>
  <c r="T159" i="1"/>
  <c r="U159" i="1" s="1"/>
  <c r="S159" i="1" s="1"/>
  <c r="AG245" i="1"/>
  <c r="W245" i="1" s="1"/>
  <c r="T245" i="1"/>
  <c r="T241" i="1"/>
  <c r="U241" i="1" s="1"/>
  <c r="S241" i="1" s="1"/>
  <c r="W233" i="1"/>
  <c r="AA168" i="1"/>
  <c r="W168" i="1" s="1"/>
  <c r="AA244" i="1"/>
  <c r="AA232" i="1"/>
  <c r="AG217" i="1"/>
  <c r="AA216" i="1"/>
  <c r="W216" i="1" s="1"/>
  <c r="X216" i="1"/>
  <c r="T211" i="1"/>
  <c r="AA210" i="1"/>
  <c r="X157" i="1"/>
  <c r="AA157" i="1"/>
  <c r="AG153" i="1"/>
  <c r="X153" i="1"/>
  <c r="X152" i="1"/>
  <c r="T149" i="1"/>
  <c r="AA148" i="1"/>
  <c r="W148" i="1" s="1"/>
  <c r="T148" i="1"/>
  <c r="AG145" i="1"/>
  <c r="U145" i="1" s="1"/>
  <c r="S145" i="1" s="1"/>
  <c r="X145" i="1"/>
  <c r="X144" i="1"/>
  <c r="AA142" i="1"/>
  <c r="AA136" i="1"/>
  <c r="W136" i="1" s="1"/>
  <c r="T129" i="1"/>
  <c r="U129" i="1" s="1"/>
  <c r="S129" i="1" s="1"/>
  <c r="T125" i="1"/>
  <c r="AG121" i="1"/>
  <c r="U121" i="1" s="1"/>
  <c r="X121" i="1"/>
  <c r="X120" i="1"/>
  <c r="T113" i="1"/>
  <c r="AA110" i="1"/>
  <c r="AG104" i="1"/>
  <c r="U104" i="1" s="1"/>
  <c r="S104" i="1" s="1"/>
  <c r="X104" i="1"/>
  <c r="AG100" i="1"/>
  <c r="AA90" i="1"/>
  <c r="X84" i="1"/>
  <c r="AA82" i="1"/>
  <c r="X78" i="1"/>
  <c r="AA78" i="1"/>
  <c r="T74" i="1"/>
  <c r="U74" i="1" s="1"/>
  <c r="S74" i="1" s="1"/>
  <c r="AG70" i="1"/>
  <c r="U70" i="1" s="1"/>
  <c r="S70" i="1" s="1"/>
  <c r="T66" i="1"/>
  <c r="AA65" i="1"/>
  <c r="AG63" i="1"/>
  <c r="U63" i="1" s="1"/>
  <c r="S63" i="1" s="1"/>
  <c r="X63" i="1"/>
  <c r="AG54" i="1"/>
  <c r="AI54" i="1" s="1"/>
  <c r="X54" i="1"/>
  <c r="X51" i="1"/>
  <c r="T50" i="1"/>
  <c r="U50" i="1" s="1"/>
  <c r="S50" i="1" s="1"/>
  <c r="AA41" i="1"/>
  <c r="AA40" i="1"/>
  <c r="W40" i="1" s="1"/>
  <c r="W18" i="1"/>
  <c r="W147" i="1"/>
  <c r="X108" i="1"/>
  <c r="X93" i="1"/>
  <c r="AA31" i="1"/>
  <c r="AA25" i="1"/>
  <c r="W25" i="1" s="1"/>
  <c r="AI24" i="1"/>
  <c r="AA22" i="1"/>
  <c r="U18" i="1"/>
  <c r="S18" i="1" s="1"/>
  <c r="AA172" i="1"/>
  <c r="W172" i="1" s="1"/>
  <c r="AA162" i="1"/>
  <c r="AA238" i="1"/>
  <c r="W238" i="1" s="1"/>
  <c r="X238" i="1"/>
  <c r="AA154" i="1"/>
  <c r="AA152" i="1"/>
  <c r="T152" i="1"/>
  <c r="AG149" i="1"/>
  <c r="X148" i="1"/>
  <c r="AA144" i="1"/>
  <c r="T144" i="1"/>
  <c r="U144" i="1" s="1"/>
  <c r="S144" i="1" s="1"/>
  <c r="AA143" i="1"/>
  <c r="X136" i="1"/>
  <c r="AG129" i="1"/>
  <c r="AG125" i="1"/>
  <c r="U125" i="1" s="1"/>
  <c r="S125" i="1" s="1"/>
  <c r="AA118" i="1"/>
  <c r="AG113" i="1"/>
  <c r="AA111" i="1"/>
  <c r="AA109" i="1"/>
  <c r="AA107" i="1"/>
  <c r="AG103" i="1"/>
  <c r="AI103" i="1" s="1"/>
  <c r="AG99" i="1"/>
  <c r="AI99" i="1" s="1"/>
  <c r="AG96" i="1"/>
  <c r="AI96" i="1" s="1"/>
  <c r="AA92" i="1"/>
  <c r="AA88" i="1"/>
  <c r="W88" i="1" s="1"/>
  <c r="AA84" i="1"/>
  <c r="W84" i="1" s="1"/>
  <c r="AA83" i="1"/>
  <c r="W83" i="1" s="1"/>
  <c r="AG74" i="1"/>
  <c r="AG66" i="1"/>
  <c r="AG57" i="1"/>
  <c r="AI36" i="1"/>
  <c r="X128" i="1"/>
  <c r="W120" i="1"/>
  <c r="AA77" i="1"/>
  <c r="W77" i="1" s="1"/>
  <c r="X62" i="1"/>
  <c r="AA44" i="1"/>
  <c r="W44" i="1" s="1"/>
  <c r="AG42" i="1"/>
  <c r="X42" i="1"/>
  <c r="AA38" i="1"/>
  <c r="W38" i="1" s="1"/>
  <c r="AA33" i="1"/>
  <c r="W33" i="1" s="1"/>
  <c r="AA32" i="1"/>
  <c r="AG30" i="1"/>
  <c r="U30" i="1" s="1"/>
  <c r="S30" i="1" s="1"/>
  <c r="X30" i="1"/>
  <c r="X26" i="1"/>
  <c r="AI20" i="1"/>
  <c r="AI187" i="1"/>
  <c r="AI204" i="1"/>
  <c r="S57" i="3"/>
  <c r="T225" i="1"/>
  <c r="AA223" i="1"/>
  <c r="T223" i="1"/>
  <c r="AG222" i="1"/>
  <c r="AG205" i="1"/>
  <c r="U205" i="1" s="1"/>
  <c r="X205" i="1"/>
  <c r="T204" i="1"/>
  <c r="U204" i="1" s="1"/>
  <c r="S204" i="1" s="1"/>
  <c r="AA203" i="1"/>
  <c r="AA202" i="1"/>
  <c r="AA196" i="1"/>
  <c r="T196" i="1"/>
  <c r="AG195" i="1"/>
  <c r="AG193" i="1"/>
  <c r="X191" i="1"/>
  <c r="AG188" i="1"/>
  <c r="U188" i="1" s="1"/>
  <c r="S188" i="1" s="1"/>
  <c r="X188" i="1"/>
  <c r="T187" i="1"/>
  <c r="U187" i="1" s="1"/>
  <c r="S187" i="1" s="1"/>
  <c r="AA186" i="1"/>
  <c r="T182" i="1"/>
  <c r="AA180" i="1"/>
  <c r="AA177" i="1"/>
  <c r="AG175" i="1"/>
  <c r="AI175" i="1" s="1"/>
  <c r="AG173" i="1"/>
  <c r="U173" i="1" s="1"/>
  <c r="S173" i="1" s="1"/>
  <c r="X173" i="1"/>
  <c r="AG171" i="1"/>
  <c r="AI171" i="1" s="1"/>
  <c r="AA165" i="1"/>
  <c r="X164" i="1"/>
  <c r="AA160" i="1"/>
  <c r="T160" i="1"/>
  <c r="X159" i="1"/>
  <c r="W247" i="1"/>
  <c r="X246" i="1"/>
  <c r="AA242" i="1"/>
  <c r="T242" i="1"/>
  <c r="X241" i="1"/>
  <c r="AA239" i="1"/>
  <c r="W239" i="1" s="1"/>
  <c r="T237" i="1"/>
  <c r="AA236" i="1"/>
  <c r="X234" i="1"/>
  <c r="AG229" i="1"/>
  <c r="U229" i="1" s="1"/>
  <c r="S229" i="1" s="1"/>
  <c r="AG227" i="1"/>
  <c r="AA226" i="1"/>
  <c r="T226" i="1"/>
  <c r="U226" i="1" s="1"/>
  <c r="S226" i="1" s="1"/>
  <c r="X219" i="1"/>
  <c r="AA217" i="1"/>
  <c r="W217" i="1" s="1"/>
  <c r="T215" i="1"/>
  <c r="AA214" i="1"/>
  <c r="T157" i="1"/>
  <c r="AA156" i="1"/>
  <c r="W156" i="1" s="1"/>
  <c r="T156" i="1"/>
  <c r="AG155" i="1"/>
  <c r="AI155" i="1" s="1"/>
  <c r="AA150" i="1"/>
  <c r="AA149" i="1"/>
  <c r="T138" i="1"/>
  <c r="X138" i="1"/>
  <c r="AG138" i="1"/>
  <c r="U38" i="1"/>
  <c r="T222" i="1"/>
  <c r="U220" i="1"/>
  <c r="S220" i="1" s="1"/>
  <c r="X204" i="1"/>
  <c r="U191" i="1"/>
  <c r="S191" i="1" s="1"/>
  <c r="X187" i="1"/>
  <c r="AI200" i="1"/>
  <c r="AI191" i="1"/>
  <c r="X237" i="1"/>
  <c r="X215" i="1"/>
  <c r="T143" i="1"/>
  <c r="AG143" i="1"/>
  <c r="W143" i="1" s="1"/>
  <c r="W62" i="1"/>
  <c r="U201" i="1"/>
  <c r="S201" i="1" s="1"/>
  <c r="X225" i="1"/>
  <c r="AG223" i="1"/>
  <c r="AA205" i="1"/>
  <c r="AG202" i="1"/>
  <c r="AG196" i="1"/>
  <c r="AA194" i="1"/>
  <c r="AA193" i="1"/>
  <c r="AA188" i="1"/>
  <c r="AG185" i="1"/>
  <c r="W185" i="1" s="1"/>
  <c r="AA184" i="1"/>
  <c r="AA174" i="1"/>
  <c r="AA169" i="1"/>
  <c r="W169" i="1" s="1"/>
  <c r="AG167" i="1"/>
  <c r="AA164" i="1"/>
  <c r="W164" i="1" s="1"/>
  <c r="T164" i="1"/>
  <c r="X163" i="1"/>
  <c r="AA161" i="1"/>
  <c r="W161" i="1" s="1"/>
  <c r="X160" i="1"/>
  <c r="AA246" i="1"/>
  <c r="W246" i="1" s="1"/>
  <c r="T246" i="1"/>
  <c r="X245" i="1"/>
  <c r="AA243" i="1"/>
  <c r="W243" i="1" s="1"/>
  <c r="X242" i="1"/>
  <c r="AG237" i="1"/>
  <c r="AG235" i="1"/>
  <c r="U235" i="1" s="1"/>
  <c r="S235" i="1" s="1"/>
  <c r="AA234" i="1"/>
  <c r="W234" i="1" s="1"/>
  <c r="T234" i="1"/>
  <c r="X233" i="1"/>
  <c r="AA231" i="1"/>
  <c r="W231" i="1" s="1"/>
  <c r="AA228" i="1"/>
  <c r="X226" i="1"/>
  <c r="AG215" i="1"/>
  <c r="U215" i="1" s="1"/>
  <c r="S215" i="1" s="1"/>
  <c r="AA213" i="1"/>
  <c r="W213" i="1" s="1"/>
  <c r="X211" i="1"/>
  <c r="AG157" i="1"/>
  <c r="U157" i="1" s="1"/>
  <c r="X156" i="1"/>
  <c r="AA155" i="1"/>
  <c r="U153" i="1"/>
  <c r="S153" i="1" s="1"/>
  <c r="T151" i="1"/>
  <c r="AG151" i="1"/>
  <c r="W151" i="1" s="1"/>
  <c r="AI139" i="1"/>
  <c r="U137" i="1"/>
  <c r="S137" i="1" s="1"/>
  <c r="AI137" i="1"/>
  <c r="T136" i="1"/>
  <c r="U136" i="1" s="1"/>
  <c r="S136" i="1" s="1"/>
  <c r="AI62" i="1"/>
  <c r="X195" i="1"/>
  <c r="U169" i="1"/>
  <c r="X168" i="1"/>
  <c r="U163" i="1"/>
  <c r="S163" i="1" s="1"/>
  <c r="U161" i="1"/>
  <c r="S161" i="1" s="1"/>
  <c r="AA158" i="1"/>
  <c r="U243" i="1"/>
  <c r="S243" i="1" s="1"/>
  <c r="AA240" i="1"/>
  <c r="X229" i="1"/>
  <c r="W227" i="1"/>
  <c r="U211" i="1"/>
  <c r="S211" i="1" s="1"/>
  <c r="AI159" i="1"/>
  <c r="T207" i="1"/>
  <c r="AG207" i="1"/>
  <c r="AI147" i="1"/>
  <c r="U141" i="1"/>
  <c r="S141" i="1" s="1"/>
  <c r="X133" i="1"/>
  <c r="AG133" i="1"/>
  <c r="U133" i="1" s="1"/>
  <c r="AI84" i="1"/>
  <c r="U42" i="1"/>
  <c r="S42" i="1" s="1"/>
  <c r="AA141" i="1"/>
  <c r="W141" i="1" s="1"/>
  <c r="T132" i="1"/>
  <c r="AA125" i="1"/>
  <c r="W125" i="1" s="1"/>
  <c r="T124" i="1"/>
  <c r="U124" i="1" s="1"/>
  <c r="S124" i="1" s="1"/>
  <c r="AA117" i="1"/>
  <c r="W117" i="1" s="1"/>
  <c r="T116" i="1"/>
  <c r="X110" i="1"/>
  <c r="AG107" i="1"/>
  <c r="T103" i="1"/>
  <c r="U103" i="1" s="1"/>
  <c r="S103" i="1" s="1"/>
  <c r="T99" i="1"/>
  <c r="U99" i="1" s="1"/>
  <c r="S99" i="1" s="1"/>
  <c r="T96" i="1"/>
  <c r="AA94" i="1"/>
  <c r="AA93" i="1"/>
  <c r="T93" i="1"/>
  <c r="AG92" i="1"/>
  <c r="X88" i="1"/>
  <c r="AG85" i="1"/>
  <c r="X85" i="1"/>
  <c r="AA79" i="1"/>
  <c r="W79" i="1" s="1"/>
  <c r="T78" i="1"/>
  <c r="X77" i="1"/>
  <c r="AA74" i="1"/>
  <c r="W74" i="1" s="1"/>
  <c r="T73" i="1"/>
  <c r="AA66" i="1"/>
  <c r="W66" i="1" s="1"/>
  <c r="T62" i="1"/>
  <c r="U62" i="1" s="1"/>
  <c r="S62" i="1" s="1"/>
  <c r="AA60" i="1"/>
  <c r="W60" i="1" s="1"/>
  <c r="AA59" i="1"/>
  <c r="W59" i="1" s="1"/>
  <c r="AG58" i="1"/>
  <c r="W58" i="1" s="1"/>
  <c r="AA42" i="1"/>
  <c r="AA35" i="1"/>
  <c r="T34" i="1"/>
  <c r="T29" i="1"/>
  <c r="X25" i="1"/>
  <c r="AA23" i="1"/>
  <c r="X21" i="1"/>
  <c r="W20" i="1"/>
  <c r="X18" i="1"/>
  <c r="U117" i="1"/>
  <c r="S117" i="1" s="1"/>
  <c r="X92" i="1"/>
  <c r="T84" i="1"/>
  <c r="U84" i="1" s="1"/>
  <c r="S84" i="1" s="1"/>
  <c r="W81" i="1"/>
  <c r="U66" i="1"/>
  <c r="AA64" i="1"/>
  <c r="W64" i="1" s="1"/>
  <c r="AA63" i="1"/>
  <c r="AA56" i="1"/>
  <c r="W56" i="1" s="1"/>
  <c r="AA55" i="1"/>
  <c r="W55" i="1" s="1"/>
  <c r="AA54" i="1"/>
  <c r="W54" i="1" s="1"/>
  <c r="AG53" i="1"/>
  <c r="AA49" i="1"/>
  <c r="W49" i="1" s="1"/>
  <c r="AA48" i="1"/>
  <c r="X47" i="1"/>
  <c r="AG46" i="1"/>
  <c r="U46" i="1" s="1"/>
  <c r="S46" i="1" s="1"/>
  <c r="X46" i="1"/>
  <c r="T45" i="1"/>
  <c r="T41" i="1"/>
  <c r="U41" i="1" s="1"/>
  <c r="S41" i="1" s="1"/>
  <c r="T37" i="1"/>
  <c r="T33" i="1"/>
  <c r="T22" i="1"/>
  <c r="AA209" i="1"/>
  <c r="W209" i="1" s="1"/>
  <c r="AA153" i="1"/>
  <c r="W153" i="1" s="1"/>
  <c r="AA145" i="1"/>
  <c r="W145" i="1" s="1"/>
  <c r="AA138" i="1"/>
  <c r="W138" i="1" s="1"/>
  <c r="AA134" i="1"/>
  <c r="W134" i="1" s="1"/>
  <c r="X132" i="1"/>
  <c r="AA129" i="1"/>
  <c r="W129" i="1" s="1"/>
  <c r="T128" i="1"/>
  <c r="X124" i="1"/>
  <c r="AA121" i="1"/>
  <c r="W121" i="1" s="1"/>
  <c r="T120" i="1"/>
  <c r="U120" i="1" s="1"/>
  <c r="S120" i="1" s="1"/>
  <c r="X116" i="1"/>
  <c r="AA113" i="1"/>
  <c r="W113" i="1" s="1"/>
  <c r="T112" i="1"/>
  <c r="AA108" i="1"/>
  <c r="AA106" i="1"/>
  <c r="AG93" i="1"/>
  <c r="U93" i="1" s="1"/>
  <c r="S93" i="1" s="1"/>
  <c r="AA86" i="1"/>
  <c r="AA85" i="1"/>
  <c r="AG79" i="1"/>
  <c r="X79" i="1"/>
  <c r="AG78" i="1"/>
  <c r="W78" i="1" s="1"/>
  <c r="T77" i="1"/>
  <c r="U77" i="1" s="1"/>
  <c r="S77" i="1" s="1"/>
  <c r="X73" i="1"/>
  <c r="AA70" i="1"/>
  <c r="T69" i="1"/>
  <c r="U59" i="1"/>
  <c r="S59" i="1" s="1"/>
  <c r="W51" i="1"/>
  <c r="AG34" i="1"/>
  <c r="W34" i="1" s="1"/>
  <c r="AA26" i="1"/>
  <c r="T25" i="1"/>
  <c r="AG22" i="1"/>
  <c r="T21" i="1"/>
  <c r="U21" i="1" s="1"/>
  <c r="S21" i="1" s="1"/>
  <c r="AA17" i="1"/>
  <c r="U113" i="1"/>
  <c r="S113" i="1" s="1"/>
  <c r="W89" i="1"/>
  <c r="U88" i="1"/>
  <c r="S88" i="1" s="1"/>
  <c r="AA52" i="1"/>
  <c r="U51" i="1"/>
  <c r="X49" i="1"/>
  <c r="X45" i="1"/>
  <c r="AA43" i="1"/>
  <c r="X41" i="1"/>
  <c r="AA39" i="1"/>
  <c r="X37" i="1"/>
  <c r="X33" i="1"/>
  <c r="AA30" i="1"/>
  <c r="AG26" i="1"/>
  <c r="AI26" i="1" s="1"/>
  <c r="AG17" i="1"/>
  <c r="AI17" i="1" s="1"/>
  <c r="U14" i="1"/>
  <c r="S14" i="1" s="1"/>
  <c r="U225" i="1"/>
  <c r="S225" i="1" s="1"/>
  <c r="AI247" i="1"/>
  <c r="U193" i="1"/>
  <c r="AI246" i="1"/>
  <c r="U202" i="1"/>
  <c r="S202" i="1" s="1"/>
  <c r="W225" i="1"/>
  <c r="X224" i="1"/>
  <c r="T224" i="1"/>
  <c r="U224" i="1" s="1"/>
  <c r="S224" i="1" s="1"/>
  <c r="AG221" i="1"/>
  <c r="X220" i="1"/>
  <c r="AI241" i="1"/>
  <c r="S205" i="1"/>
  <c r="AG203" i="1"/>
  <c r="X202" i="1"/>
  <c r="AI237" i="1"/>
  <c r="AG199" i="1"/>
  <c r="AI233" i="1"/>
  <c r="AG194" i="1"/>
  <c r="X193" i="1"/>
  <c r="AI229" i="1"/>
  <c r="AG190" i="1"/>
  <c r="W190" i="1" s="1"/>
  <c r="X189" i="1"/>
  <c r="AI225" i="1"/>
  <c r="AG186" i="1"/>
  <c r="W186" i="1" s="1"/>
  <c r="X185" i="1"/>
  <c r="X181" i="1"/>
  <c r="T181" i="1"/>
  <c r="U181" i="1" s="1"/>
  <c r="S181" i="1" s="1"/>
  <c r="AI215" i="1"/>
  <c r="AI209" i="1"/>
  <c r="U171" i="1"/>
  <c r="S171" i="1" s="1"/>
  <c r="W160" i="1"/>
  <c r="W242" i="1"/>
  <c r="U230" i="1"/>
  <c r="S230" i="1" s="1"/>
  <c r="AI176" i="1"/>
  <c r="U227" i="1"/>
  <c r="S227" i="1" s="1"/>
  <c r="W226" i="1"/>
  <c r="U212" i="1"/>
  <c r="S212" i="1" s="1"/>
  <c r="AI164" i="1"/>
  <c r="U156" i="1"/>
  <c r="S156" i="1" s="1"/>
  <c r="AI156" i="1"/>
  <c r="U148" i="1"/>
  <c r="S148" i="1" s="1"/>
  <c r="AI148" i="1"/>
  <c r="U147" i="1"/>
  <c r="S147" i="1" s="1"/>
  <c r="U140" i="1"/>
  <c r="S140" i="1" s="1"/>
  <c r="AI140" i="1"/>
  <c r="X221" i="1"/>
  <c r="AI242" i="1"/>
  <c r="X203" i="1"/>
  <c r="T203" i="1"/>
  <c r="AI238" i="1"/>
  <c r="T199" i="1"/>
  <c r="AI234" i="1"/>
  <c r="X194" i="1"/>
  <c r="T194" i="1"/>
  <c r="AI230" i="1"/>
  <c r="S193" i="1"/>
  <c r="X190" i="1"/>
  <c r="T190" i="1"/>
  <c r="AI226" i="1"/>
  <c r="X186" i="1"/>
  <c r="T186" i="1"/>
  <c r="AI222" i="1"/>
  <c r="U160" i="1"/>
  <c r="S160" i="1" s="1"/>
  <c r="AI196" i="1"/>
  <c r="U242" i="1"/>
  <c r="S242" i="1" s="1"/>
  <c r="AI172" i="1"/>
  <c r="U217" i="1"/>
  <c r="S217" i="1" s="1"/>
  <c r="W208" i="1"/>
  <c r="W152" i="1"/>
  <c r="W144" i="1"/>
  <c r="AG184" i="1"/>
  <c r="AI184" i="1" s="1"/>
  <c r="AG180" i="1"/>
  <c r="AI180" i="1" s="1"/>
  <c r="T180" i="1"/>
  <c r="W178" i="1"/>
  <c r="U178" i="1"/>
  <c r="S178" i="1" s="1"/>
  <c r="U168" i="1"/>
  <c r="S168" i="1" s="1"/>
  <c r="AI205" i="1"/>
  <c r="U216" i="1"/>
  <c r="S216" i="1" s="1"/>
  <c r="AI168" i="1"/>
  <c r="U208" i="1"/>
  <c r="S208" i="1" s="1"/>
  <c r="AI160" i="1"/>
  <c r="U152" i="1"/>
  <c r="S152" i="1" s="1"/>
  <c r="AI152" i="1"/>
  <c r="AI144" i="1"/>
  <c r="X184" i="1"/>
  <c r="AI220" i="1"/>
  <c r="T179" i="1"/>
  <c r="U179" i="1" s="1"/>
  <c r="S179" i="1" s="1"/>
  <c r="X179" i="1"/>
  <c r="U176" i="1"/>
  <c r="S176" i="1" s="1"/>
  <c r="AI213" i="1"/>
  <c r="U175" i="1"/>
  <c r="S175" i="1" s="1"/>
  <c r="T174" i="1"/>
  <c r="X174" i="1"/>
  <c r="AG174" i="1"/>
  <c r="U164" i="1"/>
  <c r="S164" i="1" s="1"/>
  <c r="AI201" i="1"/>
  <c r="U246" i="1"/>
  <c r="S246" i="1" s="1"/>
  <c r="AI192" i="1"/>
  <c r="U234" i="1"/>
  <c r="S234" i="1" s="1"/>
  <c r="U231" i="1"/>
  <c r="S231" i="1" s="1"/>
  <c r="U213" i="1"/>
  <c r="S213" i="1" s="1"/>
  <c r="AG170" i="1"/>
  <c r="AG166" i="1"/>
  <c r="X165" i="1"/>
  <c r="AG162" i="1"/>
  <c r="X161" i="1"/>
  <c r="AG158" i="1"/>
  <c r="W158" i="1" s="1"/>
  <c r="X247" i="1"/>
  <c r="AG244" i="1"/>
  <c r="AI244" i="1" s="1"/>
  <c r="X243" i="1"/>
  <c r="AG240" i="1"/>
  <c r="X239" i="1"/>
  <c r="AG236" i="1"/>
  <c r="AI236" i="1" s="1"/>
  <c r="X235" i="1"/>
  <c r="AG232" i="1"/>
  <c r="X231" i="1"/>
  <c r="AG228" i="1"/>
  <c r="AI228" i="1" s="1"/>
  <c r="X227" i="1"/>
  <c r="AG218" i="1"/>
  <c r="X217" i="1"/>
  <c r="AG214" i="1"/>
  <c r="W214" i="1" s="1"/>
  <c r="X213" i="1"/>
  <c r="AG210" i="1"/>
  <c r="AI210" i="1" s="1"/>
  <c r="AG206" i="1"/>
  <c r="W206" i="1" s="1"/>
  <c r="AG154" i="1"/>
  <c r="AG150" i="1"/>
  <c r="AG146" i="1"/>
  <c r="AG142" i="1"/>
  <c r="W142" i="1" s="1"/>
  <c r="T139" i="1"/>
  <c r="U139" i="1" s="1"/>
  <c r="S139" i="1" s="1"/>
  <c r="X139" i="1"/>
  <c r="AI124" i="1"/>
  <c r="U116" i="1"/>
  <c r="S116" i="1" s="1"/>
  <c r="AI116" i="1"/>
  <c r="X170" i="1"/>
  <c r="S169" i="1"/>
  <c r="X166" i="1"/>
  <c r="AI202" i="1"/>
  <c r="X162" i="1"/>
  <c r="T162" i="1"/>
  <c r="AI197" i="1"/>
  <c r="X158" i="1"/>
  <c r="T158" i="1"/>
  <c r="AI193" i="1"/>
  <c r="X244" i="1"/>
  <c r="T244" i="1"/>
  <c r="X240" i="1"/>
  <c r="T240" i="1"/>
  <c r="AI185" i="1"/>
  <c r="X236" i="1"/>
  <c r="T236" i="1"/>
  <c r="AI181" i="1"/>
  <c r="X232" i="1"/>
  <c r="T232" i="1"/>
  <c r="AI177" i="1"/>
  <c r="X228" i="1"/>
  <c r="T228" i="1"/>
  <c r="X218" i="1"/>
  <c r="T218" i="1"/>
  <c r="AI169" i="1"/>
  <c r="X214" i="1"/>
  <c r="T214" i="1"/>
  <c r="X210" i="1"/>
  <c r="T210" i="1"/>
  <c r="AI161" i="1"/>
  <c r="S209" i="1"/>
  <c r="X206" i="1"/>
  <c r="AI157" i="1"/>
  <c r="S157" i="1"/>
  <c r="X154" i="1"/>
  <c r="AI153" i="1"/>
  <c r="X150" i="1"/>
  <c r="X146" i="1"/>
  <c r="X142" i="1"/>
  <c r="AI141" i="1"/>
  <c r="AI138" i="1"/>
  <c r="T134" i="1"/>
  <c r="U134" i="1" s="1"/>
  <c r="S134" i="1" s="1"/>
  <c r="X134" i="1"/>
  <c r="X175" i="1"/>
  <c r="X171" i="1"/>
  <c r="X167" i="1"/>
  <c r="X207" i="1"/>
  <c r="X155" i="1"/>
  <c r="X151" i="1"/>
  <c r="X147" i="1"/>
  <c r="X143" i="1"/>
  <c r="T135" i="1"/>
  <c r="X135" i="1"/>
  <c r="AG135" i="1"/>
  <c r="AI134" i="1"/>
  <c r="W133" i="1"/>
  <c r="U128" i="1"/>
  <c r="S128" i="1" s="1"/>
  <c r="AI128" i="1"/>
  <c r="AI120" i="1"/>
  <c r="U112" i="1"/>
  <c r="S112" i="1" s="1"/>
  <c r="AI112" i="1"/>
  <c r="S133" i="1"/>
  <c r="AI133" i="1"/>
  <c r="U132" i="1"/>
  <c r="S132" i="1" s="1"/>
  <c r="AI132" i="1"/>
  <c r="AG130" i="1"/>
  <c r="W130" i="1" s="1"/>
  <c r="AG126" i="1"/>
  <c r="W126" i="1" s="1"/>
  <c r="AG122" i="1"/>
  <c r="AG118" i="1"/>
  <c r="W118" i="1" s="1"/>
  <c r="AG114" i="1"/>
  <c r="W114" i="1" s="1"/>
  <c r="AG110" i="1"/>
  <c r="W110" i="1" s="1"/>
  <c r="T110" i="1"/>
  <c r="AG106" i="1"/>
  <c r="W106" i="1" s="1"/>
  <c r="T106" i="1"/>
  <c r="X106" i="1"/>
  <c r="AI105" i="1"/>
  <c r="AI100" i="1"/>
  <c r="AI91" i="1"/>
  <c r="AG131" i="1"/>
  <c r="X130" i="1"/>
  <c r="AI129" i="1"/>
  <c r="AG127" i="1"/>
  <c r="X126" i="1"/>
  <c r="AG123" i="1"/>
  <c r="X122" i="1"/>
  <c r="AI121" i="1"/>
  <c r="S121" i="1"/>
  <c r="AG119" i="1"/>
  <c r="X118" i="1"/>
  <c r="AI117" i="1"/>
  <c r="AG115" i="1"/>
  <c r="X114" i="1"/>
  <c r="AI113" i="1"/>
  <c r="AG111" i="1"/>
  <c r="T109" i="1"/>
  <c r="X109" i="1"/>
  <c r="T108" i="1"/>
  <c r="U105" i="1"/>
  <c r="S105" i="1" s="1"/>
  <c r="AI104" i="1"/>
  <c r="AI95" i="1"/>
  <c r="X131" i="1"/>
  <c r="X127" i="1"/>
  <c r="X123" i="1"/>
  <c r="X119" i="1"/>
  <c r="X115" i="1"/>
  <c r="X111" i="1"/>
  <c r="AG109" i="1"/>
  <c r="AG108" i="1"/>
  <c r="X107" i="1"/>
  <c r="AA105" i="1"/>
  <c r="W105" i="1" s="1"/>
  <c r="AA100" i="1"/>
  <c r="W100" i="1" s="1"/>
  <c r="U100" i="1"/>
  <c r="S100" i="1" s="1"/>
  <c r="T97" i="1"/>
  <c r="AG97" i="1"/>
  <c r="AI83" i="1"/>
  <c r="T105" i="1"/>
  <c r="X105" i="1"/>
  <c r="AA104" i="1"/>
  <c r="T101" i="1"/>
  <c r="AG101" i="1"/>
  <c r="AI87" i="1"/>
  <c r="T102" i="1"/>
  <c r="U102" i="1" s="1"/>
  <c r="S102" i="1" s="1"/>
  <c r="T98" i="1"/>
  <c r="U98" i="1" s="1"/>
  <c r="S98" i="1" s="1"/>
  <c r="T95" i="1"/>
  <c r="U95" i="1" s="1"/>
  <c r="S95" i="1" s="1"/>
  <c r="X91" i="1"/>
  <c r="T91" i="1"/>
  <c r="U91" i="1" s="1"/>
  <c r="S91" i="1" s="1"/>
  <c r="X87" i="1"/>
  <c r="T87" i="1"/>
  <c r="U87" i="1" s="1"/>
  <c r="S87" i="1" s="1"/>
  <c r="X83" i="1"/>
  <c r="T83" i="1"/>
  <c r="U83" i="1" s="1"/>
  <c r="S83" i="1" s="1"/>
  <c r="AI75" i="1"/>
  <c r="AI73" i="1"/>
  <c r="U73" i="1"/>
  <c r="S73" i="1" s="1"/>
  <c r="AI67" i="1"/>
  <c r="U89" i="1"/>
  <c r="S89" i="1" s="1"/>
  <c r="U85" i="1"/>
  <c r="S85" i="1" s="1"/>
  <c r="U81" i="1"/>
  <c r="S81" i="1" s="1"/>
  <c r="X80" i="1"/>
  <c r="AI79" i="1"/>
  <c r="U78" i="1"/>
  <c r="S78" i="1" s="1"/>
  <c r="W69" i="1"/>
  <c r="AI60" i="1"/>
  <c r="AG94" i="1"/>
  <c r="AG90" i="1"/>
  <c r="W90" i="1" s="1"/>
  <c r="AG86" i="1"/>
  <c r="AG82" i="1"/>
  <c r="AI71" i="1"/>
  <c r="AI69" i="1"/>
  <c r="U69" i="1"/>
  <c r="S69" i="1" s="1"/>
  <c r="AI64" i="1"/>
  <c r="AI56" i="1"/>
  <c r="X94" i="1"/>
  <c r="X90" i="1"/>
  <c r="AI89" i="1"/>
  <c r="X86" i="1"/>
  <c r="AI85" i="1"/>
  <c r="X82" i="1"/>
  <c r="AI81" i="1"/>
  <c r="U79" i="1"/>
  <c r="S79" i="1" s="1"/>
  <c r="AI78" i="1"/>
  <c r="W75" i="1"/>
  <c r="W73" i="1"/>
  <c r="W67" i="1"/>
  <c r="U55" i="1"/>
  <c r="S55" i="1" s="1"/>
  <c r="AG76" i="1"/>
  <c r="X75" i="1"/>
  <c r="T75" i="1"/>
  <c r="U75" i="1" s="1"/>
  <c r="S75" i="1" s="1"/>
  <c r="AI74" i="1"/>
  <c r="AG72" i="1"/>
  <c r="W72" i="1" s="1"/>
  <c r="X71" i="1"/>
  <c r="T71" i="1"/>
  <c r="U71" i="1" s="1"/>
  <c r="S71" i="1" s="1"/>
  <c r="AI70" i="1"/>
  <c r="AG68" i="1"/>
  <c r="T67" i="1"/>
  <c r="U67" i="1" s="1"/>
  <c r="S67" i="1" s="1"/>
  <c r="AI66" i="1"/>
  <c r="S66" i="1"/>
  <c r="AG65" i="1"/>
  <c r="W65" i="1" s="1"/>
  <c r="X64" i="1"/>
  <c r="T64" i="1"/>
  <c r="U64" i="1" s="1"/>
  <c r="S64" i="1" s="1"/>
  <c r="AI63" i="1"/>
  <c r="AG61" i="1"/>
  <c r="X60" i="1"/>
  <c r="T60" i="1"/>
  <c r="U60" i="1" s="1"/>
  <c r="S60" i="1" s="1"/>
  <c r="AI59" i="1"/>
  <c r="X56" i="1"/>
  <c r="T56" i="1"/>
  <c r="U56" i="1" s="1"/>
  <c r="S56" i="1" s="1"/>
  <c r="AI55" i="1"/>
  <c r="X52" i="1"/>
  <c r="S51" i="1"/>
  <c r="AI51" i="1"/>
  <c r="U45" i="1"/>
  <c r="S38" i="1"/>
  <c r="AI38" i="1"/>
  <c r="AI37" i="1"/>
  <c r="U37" i="1"/>
  <c r="S37" i="1" s="1"/>
  <c r="AI25" i="1"/>
  <c r="U25" i="1"/>
  <c r="S25" i="1" s="1"/>
  <c r="T23" i="1"/>
  <c r="X23" i="1"/>
  <c r="AG23" i="1"/>
  <c r="W22" i="1"/>
  <c r="T19" i="1"/>
  <c r="X19" i="1"/>
  <c r="AG19" i="1"/>
  <c r="X76" i="1"/>
  <c r="X72" i="1"/>
  <c r="X61" i="1"/>
  <c r="X57" i="1"/>
  <c r="U54" i="1"/>
  <c r="S54" i="1" s="1"/>
  <c r="X53" i="1"/>
  <c r="X50" i="1"/>
  <c r="T49" i="1"/>
  <c r="U49" i="1" s="1"/>
  <c r="S49" i="1" s="1"/>
  <c r="AA47" i="1"/>
  <c r="AI46" i="1"/>
  <c r="T43" i="1"/>
  <c r="X43" i="1"/>
  <c r="AG43" i="1"/>
  <c r="W42" i="1"/>
  <c r="W41" i="1"/>
  <c r="T35" i="1"/>
  <c r="X35" i="1"/>
  <c r="AG35" i="1"/>
  <c r="AI22" i="1"/>
  <c r="AI21" i="1"/>
  <c r="AI18" i="1"/>
  <c r="AA14" i="1"/>
  <c r="W14" i="1" s="1"/>
  <c r="T48" i="1"/>
  <c r="X48" i="1"/>
  <c r="T47" i="1"/>
  <c r="AI42" i="1"/>
  <c r="AI41" i="1"/>
  <c r="AI33" i="1"/>
  <c r="U33" i="1"/>
  <c r="S33" i="1" s="1"/>
  <c r="T31" i="1"/>
  <c r="X31" i="1"/>
  <c r="AG31" i="1"/>
  <c r="W30" i="1"/>
  <c r="W29" i="1"/>
  <c r="T15" i="1"/>
  <c r="X15" i="1"/>
  <c r="AG15" i="1"/>
  <c r="W15" i="1" s="1"/>
  <c r="X16" i="1"/>
  <c r="X55" i="1"/>
  <c r="AG52" i="1"/>
  <c r="AG48" i="1"/>
  <c r="W48" i="1" s="1"/>
  <c r="AG47" i="1"/>
  <c r="W45" i="1"/>
  <c r="T39" i="1"/>
  <c r="X39" i="1"/>
  <c r="AG39" i="1"/>
  <c r="W32" i="1"/>
  <c r="AI30" i="1"/>
  <c r="AI29" i="1"/>
  <c r="U29" i="1"/>
  <c r="S29" i="1" s="1"/>
  <c r="T27" i="1"/>
  <c r="X27" i="1"/>
  <c r="AG27" i="1"/>
  <c r="W27" i="1" s="1"/>
  <c r="AI14" i="1"/>
  <c r="X44" i="1"/>
  <c r="T44" i="1"/>
  <c r="U44" i="1" s="1"/>
  <c r="S44" i="1" s="1"/>
  <c r="X40" i="1"/>
  <c r="T40" i="1"/>
  <c r="U40" i="1" s="1"/>
  <c r="S40" i="1" s="1"/>
  <c r="X36" i="1"/>
  <c r="T36" i="1"/>
  <c r="U36" i="1" s="1"/>
  <c r="S36" i="1" s="1"/>
  <c r="X32" i="1"/>
  <c r="T32" i="1"/>
  <c r="U32" i="1" s="1"/>
  <c r="S32" i="1" s="1"/>
  <c r="X28" i="1"/>
  <c r="T28" i="1"/>
  <c r="U28" i="1" s="1"/>
  <c r="S28" i="1" s="1"/>
  <c r="X24" i="1"/>
  <c r="T24" i="1"/>
  <c r="U24" i="1" s="1"/>
  <c r="S24" i="1" s="1"/>
  <c r="X20" i="1"/>
  <c r="T20" i="1"/>
  <c r="U20" i="1" s="1"/>
  <c r="S20" i="1" s="1"/>
  <c r="AD33" i="3"/>
  <c r="AD19" i="3"/>
  <c r="AD12" i="3"/>
  <c r="AD21" i="3"/>
  <c r="T8" i="3"/>
  <c r="Y25" i="3"/>
  <c r="Y54" i="3"/>
  <c r="Y53" i="3"/>
  <c r="Y45" i="3"/>
  <c r="T42" i="3"/>
  <c r="AD31" i="3"/>
  <c r="AE31" i="3"/>
  <c r="AD20" i="3"/>
  <c r="Y30" i="3"/>
  <c r="Y18" i="3"/>
  <c r="Y8" i="3"/>
  <c r="Y32" i="3"/>
  <c r="Y59" i="3"/>
  <c r="AC26" i="3"/>
  <c r="AD35" i="3"/>
  <c r="Y58" i="3"/>
  <c r="AD25" i="3"/>
  <c r="AD15" i="3"/>
  <c r="AE15" i="3"/>
  <c r="AD13" i="3"/>
  <c r="Y7" i="3"/>
  <c r="Y33" i="3"/>
  <c r="AD60" i="3"/>
  <c r="Y14" i="3"/>
  <c r="AD55" i="3"/>
  <c r="T35" i="3"/>
  <c r="AD48" i="3"/>
  <c r="Y60" i="3"/>
  <c r="AD43" i="3"/>
  <c r="AC10" i="3"/>
  <c r="Y42" i="3"/>
  <c r="T51" i="3"/>
  <c r="AD32" i="3"/>
  <c r="Y13" i="3"/>
  <c r="AD27" i="3"/>
  <c r="AC39" i="3"/>
  <c r="Y40" i="3"/>
  <c r="T23" i="3"/>
  <c r="AD16" i="3"/>
  <c r="Y29" i="3"/>
  <c r="AD11" i="3"/>
  <c r="AC27" i="3"/>
  <c r="Y31" i="3"/>
  <c r="AE35" i="3"/>
  <c r="Y51" i="3"/>
  <c r="Y20" i="3"/>
  <c r="AE19" i="3"/>
  <c r="Y23" i="3"/>
  <c r="T33" i="3"/>
  <c r="AC46" i="3"/>
  <c r="AD40" i="3"/>
  <c r="AC50" i="3"/>
  <c r="AD24" i="3"/>
  <c r="AC19" i="3"/>
  <c r="AC38" i="3"/>
  <c r="AD58" i="3"/>
  <c r="T38" i="3"/>
  <c r="AC41" i="3"/>
  <c r="AD38" i="3"/>
  <c r="T41" i="3"/>
  <c r="AE38" i="3"/>
  <c r="AC34" i="3"/>
  <c r="AD50" i="3"/>
  <c r="T34" i="3"/>
  <c r="AC37" i="3"/>
  <c r="T37" i="3"/>
  <c r="AE34" i="3"/>
  <c r="AD34" i="3"/>
  <c r="AD53" i="3"/>
  <c r="T15" i="3"/>
  <c r="AE53" i="3"/>
  <c r="AE58" i="3"/>
  <c r="AD57" i="3"/>
  <c r="T25" i="3"/>
  <c r="AE57" i="3"/>
  <c r="AC54" i="3"/>
  <c r="AD54" i="3"/>
  <c r="AC52" i="3"/>
  <c r="AD46" i="3"/>
  <c r="T52" i="3"/>
  <c r="AE46" i="3"/>
  <c r="AC22" i="3"/>
  <c r="T22" i="3"/>
  <c r="AE30" i="3"/>
  <c r="AD30" i="3"/>
  <c r="AC11" i="3"/>
  <c r="T11" i="3"/>
  <c r="AE42" i="3"/>
  <c r="AD42" i="3"/>
  <c r="AE26" i="3"/>
  <c r="T48" i="3"/>
  <c r="AE22" i="3"/>
  <c r="T36" i="3"/>
  <c r="AE18" i="3"/>
  <c r="T30" i="3"/>
  <c r="AE14" i="3"/>
  <c r="T16" i="3"/>
  <c r="AE10" i="3"/>
  <c r="T9" i="3"/>
  <c r="AE49" i="3"/>
  <c r="AE45" i="3"/>
  <c r="T32" i="3"/>
  <c r="AE41" i="3"/>
  <c r="T10" i="3"/>
  <c r="AE37" i="3"/>
  <c r="T26" i="3"/>
  <c r="AE33" i="3"/>
  <c r="T50" i="3"/>
  <c r="AE29" i="3"/>
  <c r="T56" i="3"/>
  <c r="AD26" i="3"/>
  <c r="AE25" i="3"/>
  <c r="T39" i="3"/>
  <c r="AD22" i="3"/>
  <c r="AE21" i="3"/>
  <c r="T55" i="3"/>
  <c r="AD18" i="3"/>
  <c r="AE17" i="3"/>
  <c r="T19" i="3"/>
  <c r="AD14" i="3"/>
  <c r="AE13" i="3"/>
  <c r="T47" i="3"/>
  <c r="AD10" i="3"/>
  <c r="AE9" i="3"/>
  <c r="T27" i="3"/>
  <c r="T46" i="3"/>
  <c r="AE60" i="3"/>
  <c r="AE56" i="3"/>
  <c r="AE52" i="3"/>
  <c r="AE48" i="3"/>
  <c r="AE44" i="3"/>
  <c r="AE40" i="3"/>
  <c r="AE36" i="3"/>
  <c r="AE32" i="3"/>
  <c r="AE24" i="3"/>
  <c r="AE20" i="3"/>
  <c r="AE16" i="3"/>
  <c r="AE12" i="3"/>
  <c r="AE8" i="3"/>
  <c r="S28" i="3"/>
  <c r="M28" i="3"/>
  <c r="R28" i="3"/>
  <c r="U28" i="3"/>
  <c r="V28" i="3"/>
  <c r="W28" i="3"/>
  <c r="X28" i="3"/>
  <c r="AI198" i="1" l="1"/>
  <c r="U198" i="1"/>
  <c r="U34" i="1"/>
  <c r="S34" i="1" s="1"/>
  <c r="AI189" i="1"/>
  <c r="W63" i="1"/>
  <c r="W193" i="1"/>
  <c r="U165" i="1"/>
  <c r="S165" i="1" s="1"/>
  <c r="U149" i="1"/>
  <c r="S149" i="1" s="1"/>
  <c r="W39" i="1"/>
  <c r="AI125" i="1"/>
  <c r="U207" i="1"/>
  <c r="S207" i="1" s="1"/>
  <c r="W155" i="1"/>
  <c r="U196" i="1"/>
  <c r="S196" i="1" s="1"/>
  <c r="U223" i="1"/>
  <c r="S223" i="1" s="1"/>
  <c r="U172" i="1"/>
  <c r="S172" i="1" s="1"/>
  <c r="U26" i="1"/>
  <c r="S26" i="1" s="1"/>
  <c r="AI34" i="1"/>
  <c r="AI93" i="1"/>
  <c r="W166" i="1"/>
  <c r="U155" i="1"/>
  <c r="S155" i="1" s="1"/>
  <c r="U96" i="1"/>
  <c r="S96" i="1" s="1"/>
  <c r="W189" i="1"/>
  <c r="W177" i="1"/>
  <c r="W112" i="1"/>
  <c r="W23" i="1"/>
  <c r="W82" i="1"/>
  <c r="AI149" i="1"/>
  <c r="AI173" i="1"/>
  <c r="W218" i="1"/>
  <c r="AI188" i="1"/>
  <c r="AI245" i="1"/>
  <c r="W70" i="1"/>
  <c r="U245" i="1"/>
  <c r="S245" i="1" s="1"/>
  <c r="W183" i="1"/>
  <c r="W149" i="1"/>
  <c r="U80" i="1"/>
  <c r="S80" i="1" s="1"/>
  <c r="W104" i="1"/>
  <c r="AI145" i="1"/>
  <c r="AI206" i="1"/>
  <c r="U183" i="1"/>
  <c r="S183" i="1" s="1"/>
  <c r="U185" i="1"/>
  <c r="S185" i="1" s="1"/>
  <c r="U16" i="1"/>
  <c r="S16" i="1" s="1"/>
  <c r="W205" i="1"/>
  <c r="W80" i="1"/>
  <c r="AE28" i="3"/>
  <c r="U17" i="1"/>
  <c r="S17" i="1" s="1"/>
  <c r="W31" i="1"/>
  <c r="W19" i="1"/>
  <c r="W94" i="1"/>
  <c r="W173" i="1"/>
  <c r="U237" i="1"/>
  <c r="S237" i="1" s="1"/>
  <c r="W188" i="1"/>
  <c r="U182" i="1"/>
  <c r="S182" i="1" s="1"/>
  <c r="U138" i="1"/>
  <c r="S138" i="1" s="1"/>
  <c r="W165" i="1"/>
  <c r="U219" i="1"/>
  <c r="S219" i="1" s="1"/>
  <c r="AI219" i="1"/>
  <c r="W103" i="1"/>
  <c r="W96" i="1"/>
  <c r="U233" i="1"/>
  <c r="S233" i="1" s="1"/>
  <c r="W47" i="1"/>
  <c r="U22" i="1"/>
  <c r="S22" i="1" s="1"/>
  <c r="W85" i="1"/>
  <c r="U57" i="1"/>
  <c r="S57" i="1" s="1"/>
  <c r="AI57" i="1"/>
  <c r="W57" i="1"/>
  <c r="U239" i="1"/>
  <c r="S239" i="1" s="1"/>
  <c r="W171" i="1"/>
  <c r="W163" i="1"/>
  <c r="W200" i="1"/>
  <c r="W26" i="1"/>
  <c r="W99" i="1"/>
  <c r="W228" i="1"/>
  <c r="W17" i="1"/>
  <c r="U53" i="1"/>
  <c r="S53" i="1" s="1"/>
  <c r="AI53" i="1"/>
  <c r="W46" i="1"/>
  <c r="U92" i="1"/>
  <c r="S92" i="1" s="1"/>
  <c r="AI92" i="1"/>
  <c r="W53" i="1"/>
  <c r="W235" i="1"/>
  <c r="W196" i="1"/>
  <c r="W223" i="1"/>
  <c r="W215" i="1"/>
  <c r="W229" i="1"/>
  <c r="W232" i="1"/>
  <c r="AI232" i="1"/>
  <c r="W240" i="1"/>
  <c r="AI240" i="1"/>
  <c r="AI218" i="1"/>
  <c r="U58" i="1"/>
  <c r="S58" i="1" s="1"/>
  <c r="AI58" i="1"/>
  <c r="U167" i="1"/>
  <c r="S167" i="1" s="1"/>
  <c r="AI167" i="1"/>
  <c r="W157" i="1"/>
  <c r="W202" i="1"/>
  <c r="W167" i="1"/>
  <c r="W237" i="1"/>
  <c r="AI214" i="1"/>
  <c r="W93" i="1"/>
  <c r="W92" i="1"/>
  <c r="U151" i="1"/>
  <c r="S151" i="1" s="1"/>
  <c r="AI151" i="1"/>
  <c r="U143" i="1"/>
  <c r="S143" i="1" s="1"/>
  <c r="AI143" i="1"/>
  <c r="U195" i="1"/>
  <c r="S195" i="1" s="1"/>
  <c r="AI195" i="1"/>
  <c r="U222" i="1"/>
  <c r="S222" i="1" s="1"/>
  <c r="W195" i="1"/>
  <c r="U107" i="1"/>
  <c r="S107" i="1" s="1"/>
  <c r="AI107" i="1"/>
  <c r="W107" i="1"/>
  <c r="W207" i="1"/>
  <c r="W175" i="1"/>
  <c r="W222" i="1"/>
  <c r="AI47" i="1"/>
  <c r="U47" i="1"/>
  <c r="S47" i="1" s="1"/>
  <c r="U86" i="1"/>
  <c r="S86" i="1" s="1"/>
  <c r="AI86" i="1"/>
  <c r="U101" i="1"/>
  <c r="S101" i="1" s="1"/>
  <c r="AI101" i="1"/>
  <c r="U97" i="1"/>
  <c r="S97" i="1" s="1"/>
  <c r="AI97" i="1"/>
  <c r="AI108" i="1"/>
  <c r="U108" i="1"/>
  <c r="S108" i="1" s="1"/>
  <c r="AI111" i="1"/>
  <c r="U111" i="1"/>
  <c r="S111" i="1" s="1"/>
  <c r="AI115" i="1"/>
  <c r="U115" i="1"/>
  <c r="S115" i="1" s="1"/>
  <c r="AI119" i="1"/>
  <c r="U119" i="1"/>
  <c r="S119" i="1" s="1"/>
  <c r="AI123" i="1"/>
  <c r="U123" i="1"/>
  <c r="S123" i="1" s="1"/>
  <c r="AI127" i="1"/>
  <c r="U127" i="1"/>
  <c r="S127" i="1" s="1"/>
  <c r="U131" i="1"/>
  <c r="S131" i="1" s="1"/>
  <c r="AI131" i="1"/>
  <c r="U135" i="1"/>
  <c r="S135" i="1" s="1"/>
  <c r="AI135" i="1"/>
  <c r="W115" i="1"/>
  <c r="W131" i="1"/>
  <c r="AI150" i="1"/>
  <c r="U150" i="1"/>
  <c r="S150" i="1" s="1"/>
  <c r="AI207" i="1"/>
  <c r="U170" i="1"/>
  <c r="S170" i="1" s="1"/>
  <c r="AI211" i="1"/>
  <c r="U174" i="1"/>
  <c r="S174" i="1" s="1"/>
  <c r="U184" i="1"/>
  <c r="S184" i="1" s="1"/>
  <c r="AI221" i="1"/>
  <c r="W170" i="1"/>
  <c r="W184" i="1"/>
  <c r="U35" i="1"/>
  <c r="S35" i="1" s="1"/>
  <c r="AI35" i="1"/>
  <c r="U23" i="1"/>
  <c r="S23" i="1" s="1"/>
  <c r="AI23" i="1"/>
  <c r="AI68" i="1"/>
  <c r="U68" i="1"/>
  <c r="S68" i="1" s="1"/>
  <c r="W68" i="1"/>
  <c r="AI122" i="1"/>
  <c r="U122" i="1"/>
  <c r="S122" i="1" s="1"/>
  <c r="W111" i="1"/>
  <c r="W127" i="1"/>
  <c r="U39" i="1"/>
  <c r="S39" i="1" s="1"/>
  <c r="AI39" i="1"/>
  <c r="U48" i="1"/>
  <c r="S48" i="1" s="1"/>
  <c r="AI48" i="1"/>
  <c r="U15" i="1"/>
  <c r="S15" i="1" s="1"/>
  <c r="AI15" i="1"/>
  <c r="W35" i="1"/>
  <c r="AI72" i="1"/>
  <c r="U72" i="1"/>
  <c r="S72" i="1" s="1"/>
  <c r="U90" i="1"/>
  <c r="S90" i="1" s="1"/>
  <c r="AI90" i="1"/>
  <c r="W101" i="1"/>
  <c r="W109" i="1"/>
  <c r="U109" i="1"/>
  <c r="S109" i="1" s="1"/>
  <c r="AI109" i="1"/>
  <c r="U110" i="1"/>
  <c r="S110" i="1" s="1"/>
  <c r="AI110" i="1"/>
  <c r="AI126" i="1"/>
  <c r="U126" i="1"/>
  <c r="S126" i="1" s="1"/>
  <c r="W122" i="1"/>
  <c r="AI154" i="1"/>
  <c r="U154" i="1"/>
  <c r="S154" i="1" s="1"/>
  <c r="AI166" i="1"/>
  <c r="U214" i="1"/>
  <c r="S214" i="1" s="1"/>
  <c r="AI174" i="1"/>
  <c r="U228" i="1"/>
  <c r="S228" i="1" s="1"/>
  <c r="AI182" i="1"/>
  <c r="U236" i="1"/>
  <c r="S236" i="1" s="1"/>
  <c r="AI190" i="1"/>
  <c r="U244" i="1"/>
  <c r="S244" i="1" s="1"/>
  <c r="AI199" i="1"/>
  <c r="U162" i="1"/>
  <c r="S162" i="1" s="1"/>
  <c r="W135" i="1"/>
  <c r="W154" i="1"/>
  <c r="U52" i="1"/>
  <c r="S52" i="1" s="1"/>
  <c r="AI52" i="1"/>
  <c r="U31" i="1"/>
  <c r="S31" i="1" s="1"/>
  <c r="AI31" i="1"/>
  <c r="AI61" i="1"/>
  <c r="U61" i="1"/>
  <c r="S61" i="1" s="1"/>
  <c r="U76" i="1"/>
  <c r="S76" i="1" s="1"/>
  <c r="AI76" i="1"/>
  <c r="W76" i="1"/>
  <c r="U94" i="1"/>
  <c r="S94" i="1" s="1"/>
  <c r="AI94" i="1"/>
  <c r="W61" i="1"/>
  <c r="W86" i="1"/>
  <c r="U106" i="1"/>
  <c r="S106" i="1" s="1"/>
  <c r="AI106" i="1"/>
  <c r="AI114" i="1"/>
  <c r="U114" i="1"/>
  <c r="S114" i="1" s="1"/>
  <c r="AI130" i="1"/>
  <c r="U130" i="1"/>
  <c r="S130" i="1" s="1"/>
  <c r="W119" i="1"/>
  <c r="W123" i="1"/>
  <c r="AI142" i="1"/>
  <c r="U142" i="1"/>
  <c r="S142" i="1" s="1"/>
  <c r="AI158" i="1"/>
  <c r="U206" i="1"/>
  <c r="S206" i="1" s="1"/>
  <c r="W150" i="1"/>
  <c r="W174" i="1"/>
  <c r="W244" i="1"/>
  <c r="W162" i="1"/>
  <c r="W236" i="1"/>
  <c r="AI223" i="1"/>
  <c r="U186" i="1"/>
  <c r="S186" i="1" s="1"/>
  <c r="AI227" i="1"/>
  <c r="U190" i="1"/>
  <c r="S190" i="1" s="1"/>
  <c r="AI231" i="1"/>
  <c r="U194" i="1"/>
  <c r="S194" i="1" s="1"/>
  <c r="AI235" i="1"/>
  <c r="U199" i="1"/>
  <c r="S199" i="1" s="1"/>
  <c r="AI239" i="1"/>
  <c r="U203" i="1"/>
  <c r="S203" i="1" s="1"/>
  <c r="AI243" i="1"/>
  <c r="U221" i="1"/>
  <c r="S221" i="1" s="1"/>
  <c r="W221" i="1"/>
  <c r="W194" i="1"/>
  <c r="U27" i="1"/>
  <c r="S27" i="1" s="1"/>
  <c r="AI27" i="1"/>
  <c r="U43" i="1"/>
  <c r="S43" i="1" s="1"/>
  <c r="AI43" i="1"/>
  <c r="U19" i="1"/>
  <c r="S19" i="1" s="1"/>
  <c r="AI19" i="1"/>
  <c r="W43" i="1"/>
  <c r="AI65" i="1"/>
  <c r="U65" i="1"/>
  <c r="S65" i="1" s="1"/>
  <c r="W52" i="1"/>
  <c r="U82" i="1"/>
  <c r="S82" i="1" s="1"/>
  <c r="AI82" i="1"/>
  <c r="W97" i="1"/>
  <c r="W108" i="1"/>
  <c r="AI118" i="1"/>
  <c r="U118" i="1"/>
  <c r="S118" i="1" s="1"/>
  <c r="AI146" i="1"/>
  <c r="U146" i="1"/>
  <c r="S146" i="1" s="1"/>
  <c r="AI162" i="1"/>
  <c r="U210" i="1"/>
  <c r="S210" i="1" s="1"/>
  <c r="AI170" i="1"/>
  <c r="U218" i="1"/>
  <c r="S218" i="1" s="1"/>
  <c r="AI178" i="1"/>
  <c r="U232" i="1"/>
  <c r="S232" i="1" s="1"/>
  <c r="AI186" i="1"/>
  <c r="U240" i="1"/>
  <c r="S240" i="1" s="1"/>
  <c r="AI194" i="1"/>
  <c r="U158" i="1"/>
  <c r="S158" i="1" s="1"/>
  <c r="AI203" i="1"/>
  <c r="U166" i="1"/>
  <c r="S166" i="1" s="1"/>
  <c r="U180" i="1"/>
  <c r="S180" i="1"/>
  <c r="AI217" i="1"/>
  <c r="W146" i="1"/>
  <c r="W210" i="1"/>
  <c r="W180" i="1"/>
  <c r="W203" i="1"/>
  <c r="W199" i="1"/>
  <c r="T28" i="3"/>
  <c r="AD28" i="3"/>
  <c r="AC28" i="3"/>
  <c r="Y28" i="3"/>
  <c r="Z13" i="1"/>
  <c r="Y13" i="1"/>
  <c r="O2" i="3" l="1"/>
  <c r="B3" i="6" l="1"/>
  <c r="M28" i="5"/>
  <c r="B4" i="6" l="1"/>
  <c r="F3" i="6"/>
  <c r="I3" i="6"/>
  <c r="G3" i="6"/>
  <c r="J3" i="6"/>
  <c r="M23" i="5"/>
  <c r="B5" i="6" l="1"/>
  <c r="G4" i="6"/>
  <c r="I4" i="6"/>
  <c r="J4" i="6"/>
  <c r="F4" i="6"/>
  <c r="AD7" i="3"/>
  <c r="AN13" i="1"/>
  <c r="F5" i="6" l="1"/>
  <c r="I5" i="6"/>
  <c r="G5" i="6"/>
  <c r="J5" i="6"/>
  <c r="B6" i="6"/>
  <c r="AE7" i="3"/>
  <c r="G6" i="6" l="1"/>
  <c r="I6" i="6"/>
  <c r="F6" i="6"/>
  <c r="J6" i="6"/>
  <c r="B7" i="6"/>
  <c r="K13" i="1"/>
  <c r="M13" i="1"/>
  <c r="N13" i="1" s="1"/>
  <c r="AB13" i="1"/>
  <c r="AC13" i="1"/>
  <c r="AD13" i="1"/>
  <c r="X14" i="1" s="1"/>
  <c r="AE13" i="1"/>
  <c r="AM13" i="1"/>
  <c r="F7" i="6" l="1"/>
  <c r="I7" i="6"/>
  <c r="G7" i="6"/>
  <c r="J7" i="6"/>
  <c r="B8" i="6"/>
  <c r="AG13" i="1"/>
  <c r="AI13" i="1" s="1"/>
  <c r="X13" i="1"/>
  <c r="AA13" i="1"/>
  <c r="T13" i="1"/>
  <c r="G8" i="6" l="1"/>
  <c r="I8" i="6"/>
  <c r="J8" i="6"/>
  <c r="F8" i="6"/>
  <c r="B9" i="6"/>
  <c r="W13" i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B10" i="6" l="1"/>
  <c r="F9" i="6"/>
  <c r="G9" i="6"/>
  <c r="I9" i="6"/>
  <c r="J9" i="6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G10" i="6" l="1"/>
  <c r="I10" i="6"/>
  <c r="J10" i="6"/>
  <c r="F10" i="6"/>
  <c r="B11" i="6"/>
  <c r="B87" i="9"/>
  <c r="B88" i="9"/>
  <c r="B89" i="9"/>
  <c r="B90" i="9"/>
  <c r="B91" i="9"/>
  <c r="B92" i="9"/>
  <c r="B12" i="6" l="1"/>
  <c r="F11" i="6"/>
  <c r="G11" i="6"/>
  <c r="I11" i="6"/>
  <c r="J11" i="6"/>
  <c r="C88" i="9"/>
  <c r="C92" i="9"/>
  <c r="C93" i="9"/>
  <c r="C90" i="9"/>
  <c r="C89" i="9"/>
  <c r="C91" i="9"/>
  <c r="B13" i="6" l="1"/>
  <c r="G12" i="6"/>
  <c r="I12" i="6"/>
  <c r="J12" i="6"/>
  <c r="F12" i="6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F13" i="6" l="1"/>
  <c r="G13" i="6"/>
  <c r="I13" i="6"/>
  <c r="J13" i="6"/>
  <c r="B14" i="6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I14" i="6" l="1"/>
  <c r="F14" i="6"/>
  <c r="G14" i="6"/>
  <c r="J14" i="6"/>
  <c r="B15" i="6"/>
  <c r="B55" i="9"/>
  <c r="B56" i="9"/>
  <c r="B57" i="9"/>
  <c r="B58" i="9"/>
  <c r="B59" i="9"/>
  <c r="B60" i="9"/>
  <c r="B61" i="9"/>
  <c r="B62" i="9"/>
  <c r="C63" i="9" s="1"/>
  <c r="F15" i="6" l="1"/>
  <c r="I15" i="6"/>
  <c r="G15" i="6"/>
  <c r="J15" i="6"/>
  <c r="B16" i="6"/>
  <c r="C61" i="9"/>
  <c r="C57" i="9"/>
  <c r="C59" i="9"/>
  <c r="C62" i="9"/>
  <c r="C60" i="9"/>
  <c r="C58" i="9"/>
  <c r="C56" i="9"/>
  <c r="G16" i="6" l="1"/>
  <c r="I16" i="6"/>
  <c r="J16" i="6"/>
  <c r="F16" i="6"/>
  <c r="B17" i="6"/>
  <c r="B50" i="9"/>
  <c r="B51" i="9"/>
  <c r="B52" i="9"/>
  <c r="B53" i="9"/>
  <c r="B54" i="9"/>
  <c r="F17" i="6" l="1"/>
  <c r="G17" i="6"/>
  <c r="I17" i="6"/>
  <c r="J17" i="6"/>
  <c r="B18" i="6"/>
  <c r="C52" i="9"/>
  <c r="C54" i="9"/>
  <c r="C55" i="9"/>
  <c r="C53" i="9"/>
  <c r="C51" i="9"/>
  <c r="G18" i="6" l="1"/>
  <c r="I18" i="6"/>
  <c r="J18" i="6"/>
  <c r="F18" i="6"/>
  <c r="B19" i="6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B20" i="6" l="1"/>
  <c r="F19" i="6"/>
  <c r="G19" i="6"/>
  <c r="I19" i="6"/>
  <c r="J19" i="6"/>
  <c r="C46" i="9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G20" i="6" l="1"/>
  <c r="I20" i="6"/>
  <c r="J20" i="6"/>
  <c r="F20" i="6"/>
  <c r="B21" i="6"/>
  <c r="V13" i="1"/>
  <c r="B31" i="9"/>
  <c r="B32" i="9"/>
  <c r="C33" i="9" s="1"/>
  <c r="F21" i="6" l="1"/>
  <c r="G21" i="6"/>
  <c r="I21" i="6"/>
  <c r="J21" i="6"/>
  <c r="B22" i="6"/>
  <c r="C32" i="9"/>
  <c r="G22" i="6" l="1"/>
  <c r="I22" i="6"/>
  <c r="F22" i="6"/>
  <c r="H22" i="6"/>
  <c r="J22" i="6"/>
  <c r="B23" i="6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N24" i="3" s="1"/>
  <c r="G32" i="4"/>
  <c r="G33" i="4"/>
  <c r="N27" i="3" s="1"/>
  <c r="G34" i="4"/>
  <c r="G35" i="4"/>
  <c r="G36" i="4"/>
  <c r="G37" i="4"/>
  <c r="G38" i="4"/>
  <c r="G39" i="4"/>
  <c r="G40" i="4"/>
  <c r="G41" i="4"/>
  <c r="N9" i="3" s="1"/>
  <c r="G42" i="4"/>
  <c r="G43" i="4"/>
  <c r="G44" i="4"/>
  <c r="G45" i="4"/>
  <c r="G46" i="4"/>
  <c r="G47" i="4"/>
  <c r="G48" i="4"/>
  <c r="G49" i="4"/>
  <c r="G50" i="4"/>
  <c r="N43" i="3" s="1"/>
  <c r="G51" i="4"/>
  <c r="G52" i="4"/>
  <c r="G53" i="4"/>
  <c r="G54" i="4"/>
  <c r="N29" i="3" s="1"/>
  <c r="G55" i="4"/>
  <c r="G56" i="4"/>
  <c r="G57" i="4"/>
  <c r="G58" i="4"/>
  <c r="G59" i="4"/>
  <c r="G60" i="4"/>
  <c r="N16" i="3" s="1"/>
  <c r="G61" i="4"/>
  <c r="G62" i="4"/>
  <c r="G63" i="4"/>
  <c r="N47" i="3" s="1"/>
  <c r="G64" i="4"/>
  <c r="G65" i="4"/>
  <c r="N19" i="3" s="1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N30" i="3" s="1"/>
  <c r="G90" i="4"/>
  <c r="G91" i="4"/>
  <c r="G92" i="4"/>
  <c r="G93" i="4"/>
  <c r="G94" i="4"/>
  <c r="G95" i="4"/>
  <c r="G96" i="4"/>
  <c r="G97" i="4"/>
  <c r="G98" i="4"/>
  <c r="G99" i="4"/>
  <c r="G100" i="4"/>
  <c r="G101" i="4"/>
  <c r="N23" i="3" s="1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H5" i="6" s="1"/>
  <c r="G117" i="4"/>
  <c r="G118" i="4"/>
  <c r="G119" i="4"/>
  <c r="G120" i="4"/>
  <c r="G121" i="4"/>
  <c r="G122" i="4"/>
  <c r="G123" i="4"/>
  <c r="N36" i="3" s="1"/>
  <c r="G124" i="4"/>
  <c r="G125" i="4"/>
  <c r="N12" i="3" s="1"/>
  <c r="G126" i="4"/>
  <c r="G127" i="4"/>
  <c r="G128" i="4"/>
  <c r="G129" i="4"/>
  <c r="G130" i="4"/>
  <c r="N55" i="3" s="1"/>
  <c r="G131" i="4"/>
  <c r="G132" i="4"/>
  <c r="G133" i="4"/>
  <c r="N20" i="3" s="1"/>
  <c r="G134" i="4"/>
  <c r="G135" i="4"/>
  <c r="N40" i="3" s="1"/>
  <c r="G136" i="4"/>
  <c r="G137" i="4"/>
  <c r="G138" i="4"/>
  <c r="G139" i="4"/>
  <c r="G140" i="4"/>
  <c r="G141" i="4"/>
  <c r="G142" i="4"/>
  <c r="H19" i="6" s="1"/>
  <c r="G143" i="4"/>
  <c r="G144" i="4"/>
  <c r="G145" i="4"/>
  <c r="G146" i="4"/>
  <c r="G147" i="4"/>
  <c r="G148" i="4"/>
  <c r="G149" i="4"/>
  <c r="G150" i="4"/>
  <c r="G151" i="4"/>
  <c r="G152" i="4"/>
  <c r="G153" i="4"/>
  <c r="N49" i="3" s="1"/>
  <c r="G154" i="4"/>
  <c r="G155" i="4"/>
  <c r="G156" i="4"/>
  <c r="G157" i="4"/>
  <c r="G158" i="4"/>
  <c r="G159" i="4"/>
  <c r="G160" i="4"/>
  <c r="G161" i="4"/>
  <c r="G162" i="4"/>
  <c r="G163" i="4"/>
  <c r="G164" i="4"/>
  <c r="G165" i="4"/>
  <c r="N50" i="3" s="1"/>
  <c r="G166" i="4"/>
  <c r="G167" i="4"/>
  <c r="N37" i="3" s="1"/>
  <c r="G168" i="4"/>
  <c r="G169" i="4"/>
  <c r="N21" i="3" s="1"/>
  <c r="G170" i="4"/>
  <c r="G171" i="4"/>
  <c r="N51" i="3" s="1"/>
  <c r="G172" i="4"/>
  <c r="N26" i="3" s="1"/>
  <c r="G173" i="4"/>
  <c r="G174" i="4"/>
  <c r="G175" i="4"/>
  <c r="G176" i="4"/>
  <c r="N41" i="3" s="1"/>
  <c r="G177" i="4"/>
  <c r="N31" i="3" s="1"/>
  <c r="G178" i="4"/>
  <c r="G179" i="4"/>
  <c r="G180" i="4"/>
  <c r="G181" i="4"/>
  <c r="G182" i="4"/>
  <c r="G183" i="4"/>
  <c r="G184" i="4"/>
  <c r="N42" i="3" s="1"/>
  <c r="G185" i="4"/>
  <c r="G186" i="4"/>
  <c r="G187" i="4"/>
  <c r="G188" i="4"/>
  <c r="G189" i="4"/>
  <c r="G190" i="4"/>
  <c r="G191" i="4"/>
  <c r="G192" i="4"/>
  <c r="G193" i="4"/>
  <c r="G194" i="4"/>
  <c r="G195" i="4"/>
  <c r="N32" i="3" s="1"/>
  <c r="G196" i="4"/>
  <c r="G197" i="4"/>
  <c r="G198" i="4"/>
  <c r="G199" i="4"/>
  <c r="G200" i="4"/>
  <c r="G201" i="4"/>
  <c r="G202" i="4"/>
  <c r="G203" i="4"/>
  <c r="G204" i="4"/>
  <c r="N52" i="3" s="1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N53" i="3" s="1"/>
  <c r="G220" i="4"/>
  <c r="G221" i="4"/>
  <c r="G222" i="4"/>
  <c r="G223" i="4"/>
  <c r="G224" i="4"/>
  <c r="G225" i="4"/>
  <c r="G226" i="4"/>
  <c r="G227" i="4"/>
  <c r="G228" i="4"/>
  <c r="G229" i="4"/>
  <c r="G230" i="4"/>
  <c r="G231" i="4"/>
  <c r="N15" i="3" s="1"/>
  <c r="G232" i="4"/>
  <c r="G233" i="4"/>
  <c r="G234" i="4"/>
  <c r="G235" i="4"/>
  <c r="N33" i="3" s="1"/>
  <c r="G236" i="4"/>
  <c r="N54" i="3" s="1"/>
  <c r="G237" i="4"/>
  <c r="N14" i="3" s="1"/>
  <c r="G238" i="4"/>
  <c r="G239" i="4"/>
  <c r="G240" i="4"/>
  <c r="G241" i="4"/>
  <c r="N25" i="3" s="1"/>
  <c r="G242" i="4"/>
  <c r="G243" i="4"/>
  <c r="G244" i="4"/>
  <c r="G245" i="4"/>
  <c r="G246" i="4"/>
  <c r="N38" i="3" s="1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8" i="3" l="1"/>
  <c r="N7" i="3"/>
  <c r="N39" i="3"/>
  <c r="N48" i="3"/>
  <c r="N60" i="3"/>
  <c r="N59" i="3"/>
  <c r="N34" i="3"/>
  <c r="N35" i="3"/>
  <c r="N56" i="3"/>
  <c r="N58" i="3"/>
  <c r="N57" i="3"/>
  <c r="N17" i="3"/>
  <c r="N18" i="3"/>
  <c r="N45" i="3"/>
  <c r="N44" i="3"/>
  <c r="N46" i="3"/>
  <c r="N10" i="3"/>
  <c r="N11" i="3"/>
  <c r="N13" i="3"/>
  <c r="N22" i="3"/>
  <c r="N28" i="3"/>
  <c r="H4" i="6"/>
  <c r="H13" i="6"/>
  <c r="H3" i="6"/>
  <c r="H21" i="6"/>
  <c r="H16" i="6"/>
  <c r="H7" i="6"/>
  <c r="H20" i="6"/>
  <c r="H14" i="6"/>
  <c r="H11" i="6"/>
  <c r="H6" i="6"/>
  <c r="H10" i="6"/>
  <c r="H12" i="6"/>
  <c r="H9" i="6"/>
  <c r="H17" i="6"/>
  <c r="H18" i="6"/>
  <c r="H15" i="6"/>
  <c r="H8" i="6"/>
  <c r="F23" i="6"/>
  <c r="I23" i="6"/>
  <c r="G23" i="6"/>
  <c r="H23" i="6"/>
  <c r="J23" i="6"/>
  <c r="B24" i="6"/>
  <c r="L13" i="1"/>
  <c r="G24" i="6" l="1"/>
  <c r="I24" i="6"/>
  <c r="J24" i="6"/>
  <c r="F24" i="6"/>
  <c r="H24" i="6"/>
  <c r="B25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25" i="6" l="1"/>
  <c r="G25" i="6"/>
  <c r="I25" i="6"/>
  <c r="J25" i="6"/>
  <c r="H25" i="6"/>
  <c r="B26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26" i="6" l="1"/>
  <c r="H26" i="6"/>
  <c r="J26" i="6"/>
  <c r="I26" i="6"/>
  <c r="F26" i="6"/>
  <c r="B27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28" i="6" l="1"/>
  <c r="F27" i="6"/>
  <c r="G27" i="6"/>
  <c r="I27" i="6"/>
  <c r="H27" i="6"/>
  <c r="J27" i="6"/>
  <c r="M30" i="5"/>
  <c r="M29" i="5"/>
  <c r="M27" i="5"/>
  <c r="G28" i="6" l="1"/>
  <c r="I28" i="6"/>
  <c r="J28" i="6"/>
  <c r="H28" i="6"/>
  <c r="F28" i="6"/>
  <c r="B29" i="6"/>
  <c r="M26" i="5"/>
  <c r="B30" i="6" l="1"/>
  <c r="F29" i="6"/>
  <c r="G29" i="6"/>
  <c r="H29" i="6"/>
  <c r="J29" i="6"/>
  <c r="I29" i="6"/>
  <c r="AH13" i="1"/>
  <c r="J7" i="1"/>
  <c r="G30" i="6" l="1"/>
  <c r="F30" i="6"/>
  <c r="H30" i="6"/>
  <c r="J30" i="6"/>
  <c r="I30" i="6"/>
  <c r="B31" i="6"/>
  <c r="X6" i="1"/>
  <c r="W6" i="1"/>
  <c r="V6" i="1"/>
  <c r="S6" i="1"/>
  <c r="R2" i="1"/>
  <c r="I2" i="1"/>
  <c r="O6" i="1"/>
  <c r="N6" i="1"/>
  <c r="M6" i="1"/>
  <c r="J6" i="1"/>
  <c r="B32" i="6" l="1"/>
  <c r="I31" i="6"/>
  <c r="G31" i="6"/>
  <c r="H31" i="6"/>
  <c r="J31" i="6"/>
  <c r="F31" i="6"/>
  <c r="P3" i="5"/>
  <c r="G32" i="6" l="1"/>
  <c r="I32" i="6"/>
  <c r="J32" i="6"/>
  <c r="F32" i="6"/>
  <c r="H32" i="6"/>
  <c r="B33" i="6"/>
  <c r="M18" i="5"/>
  <c r="B34" i="6" l="1"/>
  <c r="F33" i="6"/>
  <c r="G33" i="6"/>
  <c r="I33" i="6"/>
  <c r="J33" i="6"/>
  <c r="H33" i="6"/>
  <c r="AF13" i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34" i="6" l="1"/>
  <c r="I34" i="6"/>
  <c r="J34" i="6"/>
  <c r="F34" i="6"/>
  <c r="H34" i="6"/>
  <c r="B35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36" i="6" l="1"/>
  <c r="F35" i="6"/>
  <c r="G35" i="6"/>
  <c r="I35" i="6"/>
  <c r="H35" i="6"/>
  <c r="J35" i="6"/>
  <c r="G259" i="4"/>
  <c r="G260" i="4"/>
  <c r="G261" i="4"/>
  <c r="G262" i="4"/>
  <c r="G263" i="4"/>
  <c r="G264" i="4"/>
  <c r="G265" i="4"/>
  <c r="B37" i="6" l="1"/>
  <c r="G36" i="6"/>
  <c r="I36" i="6"/>
  <c r="H36" i="6"/>
  <c r="J36" i="6"/>
  <c r="F36" i="6"/>
  <c r="M14" i="5"/>
  <c r="M13" i="5"/>
  <c r="M12" i="5"/>
  <c r="M11" i="5"/>
  <c r="M10" i="5"/>
  <c r="M9" i="5"/>
  <c r="M8" i="5"/>
  <c r="M7" i="5"/>
  <c r="M6" i="5"/>
  <c r="M5" i="5"/>
  <c r="M4" i="5"/>
  <c r="M3" i="5"/>
  <c r="F37" i="6" l="1"/>
  <c r="G37" i="6"/>
  <c r="I37" i="6"/>
  <c r="J37" i="6"/>
  <c r="H37" i="6"/>
  <c r="B38" i="6"/>
  <c r="U13" i="1"/>
  <c r="S13" i="1" s="1"/>
  <c r="O3" i="3"/>
  <c r="H38" i="6" l="1"/>
  <c r="I38" i="6"/>
  <c r="F38" i="6"/>
  <c r="G38" i="6"/>
  <c r="J38" i="6"/>
  <c r="B39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40" i="6" l="1"/>
  <c r="F40" i="6" s="1"/>
  <c r="F39" i="6"/>
  <c r="G39" i="6"/>
  <c r="I39" i="6"/>
  <c r="H39" i="6"/>
  <c r="J39" i="6"/>
  <c r="J8" i="1"/>
  <c r="J4" i="1"/>
  <c r="S8" i="1"/>
  <c r="S4" i="1"/>
  <c r="J40" i="6" l="1"/>
  <c r="I40" i="6"/>
  <c r="G40" i="6"/>
  <c r="H40" i="6"/>
  <c r="B41" i="6"/>
  <c r="S9" i="1"/>
  <c r="J9" i="1"/>
  <c r="B42" i="6" l="1"/>
  <c r="H41" i="6"/>
  <c r="J41" i="6"/>
  <c r="F41" i="6"/>
  <c r="G41" i="6"/>
  <c r="I41" i="6"/>
  <c r="S11" i="1"/>
  <c r="A11" i="1"/>
  <c r="B43" i="6" l="1"/>
  <c r="F42" i="6"/>
  <c r="I42" i="6"/>
  <c r="J42" i="6"/>
  <c r="G42" i="6"/>
  <c r="H42" i="6"/>
  <c r="B1" i="6"/>
  <c r="A5" i="3"/>
  <c r="B44" i="6" l="1"/>
  <c r="G43" i="6"/>
  <c r="H43" i="6"/>
  <c r="F43" i="6"/>
  <c r="I43" i="6"/>
  <c r="J43" i="6"/>
  <c r="G44" i="6" l="1"/>
  <c r="H44" i="6"/>
  <c r="I44" i="6"/>
  <c r="J44" i="6"/>
  <c r="F44" i="6"/>
  <c r="B45" i="6"/>
  <c r="H45" i="6" l="1"/>
  <c r="F45" i="6"/>
  <c r="G45" i="6"/>
  <c r="I45" i="6"/>
  <c r="J45" i="6"/>
  <c r="B46" i="6"/>
  <c r="B47" i="6" l="1"/>
  <c r="G46" i="6"/>
  <c r="H46" i="6"/>
  <c r="I46" i="6"/>
  <c r="J46" i="6"/>
  <c r="F46" i="6"/>
  <c r="B48" i="6" l="1"/>
  <c r="I47" i="6"/>
  <c r="G47" i="6"/>
  <c r="F47" i="6"/>
  <c r="H47" i="6"/>
  <c r="J47" i="6"/>
  <c r="G48" i="6" l="1"/>
  <c r="F48" i="6"/>
  <c r="H48" i="6"/>
  <c r="I48" i="6"/>
  <c r="J48" i="6"/>
  <c r="B49" i="6"/>
  <c r="H49" i="6" l="1"/>
  <c r="J49" i="6"/>
  <c r="F49" i="6"/>
  <c r="G49" i="6"/>
  <c r="I49" i="6"/>
  <c r="B50" i="6"/>
  <c r="B51" i="6" l="1"/>
  <c r="F50" i="6"/>
  <c r="G50" i="6"/>
  <c r="I50" i="6"/>
  <c r="H50" i="6"/>
  <c r="J50" i="6"/>
  <c r="F51" i="6" l="1"/>
  <c r="G51" i="6"/>
  <c r="J51" i="6"/>
  <c r="H51" i="6"/>
  <c r="I51" i="6"/>
  <c r="B52" i="6"/>
  <c r="G52" i="6" l="1"/>
  <c r="J52" i="6"/>
  <c r="F52" i="6"/>
  <c r="H52" i="6"/>
  <c r="I52" i="6"/>
  <c r="B53" i="6"/>
  <c r="B54" i="6" l="1"/>
  <c r="F53" i="6"/>
  <c r="G53" i="6"/>
  <c r="H53" i="6"/>
  <c r="I53" i="6"/>
  <c r="J53" i="6"/>
  <c r="B55" i="6" l="1"/>
  <c r="J54" i="6"/>
  <c r="F54" i="6"/>
  <c r="I54" i="6"/>
  <c r="G54" i="6"/>
  <c r="H54" i="6"/>
  <c r="B56" i="6" l="1"/>
  <c r="G55" i="6"/>
  <c r="H55" i="6"/>
  <c r="F55" i="6"/>
  <c r="I55" i="6"/>
  <c r="J55" i="6"/>
  <c r="G56" i="6" l="1"/>
  <c r="I56" i="6"/>
  <c r="J56" i="6"/>
  <c r="F56" i="6"/>
  <c r="H56" i="6"/>
  <c r="B57" i="6"/>
  <c r="B58" i="6" l="1"/>
  <c r="J57" i="6"/>
  <c r="F57" i="6"/>
  <c r="H57" i="6"/>
  <c r="G57" i="6"/>
  <c r="I57" i="6"/>
  <c r="B59" i="6" l="1"/>
  <c r="H58" i="6"/>
  <c r="F58" i="6"/>
  <c r="I58" i="6"/>
  <c r="J58" i="6"/>
  <c r="G58" i="6"/>
  <c r="B61" i="6" l="1"/>
  <c r="B60" i="6"/>
  <c r="G59" i="6"/>
  <c r="H59" i="6"/>
  <c r="F59" i="6"/>
  <c r="I59" i="6"/>
  <c r="J59" i="6"/>
  <c r="G60" i="6" l="1"/>
  <c r="H60" i="6"/>
  <c r="I60" i="6"/>
  <c r="J60" i="6"/>
  <c r="F60" i="6"/>
  <c r="H61" i="6"/>
  <c r="J61" i="6"/>
  <c r="G61" i="6"/>
  <c r="I61" i="6"/>
  <c r="F61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<sst xmlns="http://schemas.openxmlformats.org/spreadsheetml/2006/main" count="3048" uniqueCount="1040">
  <si>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</si>
  <si>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</si>
  <si>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</si>
  <si>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</si>
  <si>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</si>
  <si>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</si>
  <si>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</si>
  <si>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</si>
  <si>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</si>
  <si>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</si>
  <si>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</si>
  <si>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</si>
  <si>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</si>
  <si>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</si>
  <si>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</si>
  <si>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</si>
  <si>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</si>
  <si>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</si>
  <si>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</si>
  <si>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</si>
  <si>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</si>
  <si>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</si>
  <si>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</si>
  <si>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</si>
  <si>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</si>
  <si>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</si>
  <si>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</si>
  <si>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</si>
  <si>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</si>
  <si>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</si>
  <si>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</si>
  <si>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</si>
  <si>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</si>
  <si>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</si>
  <si>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</si>
  <si>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</si>
  <si>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</si>
  <si>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</si>
  <si>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</si>
  <si>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</si>
  <si>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</si>
  <si>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</si>
  <si>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</si>
  <si>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</si>
  <si>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</si>
  <si>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</si>
  <si>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</si>
  <si>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</si>
  <si>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</si>
  <si>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</si>
  <si>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</si>
  <si>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</si>
  <si>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</si>
  <si>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</si>
  <si>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</si>
  <si>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</si>
  <si>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</si>
  <si>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</si>
  <si>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</si>
  <si>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</si>
  <si>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</si>
  <si>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</si>
  <si>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</si>
  <si>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</si>
  <si>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</si>
  <si>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</si>
  <si>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</si>
  <si>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</si>
  <si>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</si>
  <si>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</si>
  <si>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</si>
  <si>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</si>
  <si>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</si>
  <si>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</si>
  <si>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</si>
  <si>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</si>
  <si>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</si>
  <si>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</si>
  <si>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</si>
  <si>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</si>
  <si>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</si>
  <si>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</si>
  <si>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</si>
  <si>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</si>
  <si>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</si>
  <si>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</si>
  <si>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</si>
  <si>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</si>
  <si>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</si>
  <si>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</si>
  <si>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</si>
  <si>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</si>
  <si>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</si>
  <si>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</si>
  <si>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</si>
  <si>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</si>
  <si>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</si>
  <si>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</si>
  <si>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</si>
  <si>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</si>
  <si>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</si>
  <si>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</si>
  <si>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</si>
  <si>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</si>
  <si>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</si>
  <si>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</si>
  <si>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</si>
  <si>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</si>
  <si>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</si>
  <si>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</si>
  <si>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</si>
  <si>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</si>
  <si>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</si>
  <si>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</si>
  <si>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</si>
  <si>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</si>
  <si>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</si>
  <si>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</si>
  <si>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</si>
  <si>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</si>
  <si>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</si>
  <si>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</si>
  <si>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</si>
  <si>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</si>
  <si>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</si>
  <si>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</si>
  <si>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</si>
  <si>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</si>
  <si>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</si>
  <si>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</si>
  <si>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</si>
  <si>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</si>
  <si>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</si>
  <si>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</si>
  <si>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</si>
  <si>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</si>
  <si>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</si>
  <si>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</si>
  <si>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</si>
  <si>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</si>
  <si>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</si>
  <si>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</si>
  <si>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</si>
  <si>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</si>
  <si>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</si>
  <si>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</si>
  <si>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</si>
  <si>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</si>
  <si>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</si>
  <si>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</si>
  <si>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</si>
  <si>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</si>
  <si>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</si>
  <si>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</si>
  <si>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</si>
  <si>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</si>
  <si>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</si>
  <si>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</si>
  <si>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</si>
  <si>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</si>
  <si>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</si>
  <si>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</si>
  <si>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</si>
  <si>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</si>
  <si>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</si>
  <si>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</si>
  <si>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</si>
  <si>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</si>
  <si>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</si>
  <si>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</si>
  <si>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</si>
  <si>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</si>
  <si>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</si>
  <si>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</si>
  <si>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</si>
  <si>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</si>
  <si>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</si>
  <si>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</si>
  <si>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</si>
  <si>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</si>
  <si>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</si>
  <si>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</si>
  <si>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</si>
  <si>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</si>
  <si>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</si>
  <si>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</si>
  <si>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</si>
  <si>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</si>
  <si>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</si>
  <si>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</si>
  <si>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</si>
  <si>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</si>
  <si>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</si>
  <si>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</si>
  <si>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</si>
  <si>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</si>
  <si>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</si>
  <si>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</si>
  <si>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</si>
  <si>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</si>
  <si>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</si>
  <si>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</si>
  <si>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</si>
  <si>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</si>
  <si>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</si>
  <si>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</si>
  <si>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</si>
  <si>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</si>
  <si>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</si>
  <si>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</si>
  <si>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</si>
  <si>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</si>
  <si>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</si>
  <si>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</si>
  <si>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</si>
  <si>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</si>
  <si>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</si>
  <si>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</si>
  <si>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</si>
  <si>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</si>
  <si>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</si>
  <si>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</si>
  <si>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</si>
  <si>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</si>
  <si>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</si>
  <si>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</si>
  <si>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</si>
  <si>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</si>
  <si>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</si>
  <si>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</si>
  <si>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</si>
  <si>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</si>
  <si>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</si>
  <si>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</si>
  <si>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</si>
  <si>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</si>
  <si>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</si>
  <si>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</si>
  <si>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</si>
  <si>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</si>
  <si>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</si>
  <si>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</si>
  <si>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</si>
  <si>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</si>
  <si>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</si>
  <si>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</si>
  <si>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</si>
  <si>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</si>
  <si>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</si>
  <si>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</si>
  <si>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</si>
  <si>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</si>
  <si>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</si>
  <si>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</si>
  <si>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</si>
  <si>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</si>
  <si>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</si>
  <si>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</si>
  <si>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</si>
  <si>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</si>
  <si>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</si>
  <si>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</si>
  <si>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</si>
  <si>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</si>
  <si>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</si>
  <si>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</si>
  <si>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</si>
  <si>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</si>
  <si>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</si>
  <si>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</si>
  <si>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</si>
  <si>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</si>
  <si>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</si>
  <si>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</si>
  <si>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</si>
  <si>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</si>
  <si>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</si>
  <si>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</si>
  <si>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</si>
  <si>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</si>
  <si>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</si>
  <si>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</si>
  <si>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</si>
  <si>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</si>
  <si>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</si>
  <si>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</si>
  <si>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</si>
  <si>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</si>
  <si>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</si>
  <si>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</si>
  <si>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</si>
  <si>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</si>
  <si>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</si>
  <si>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</si>
  <si>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</si>
  <si>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</si>
  <si>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</si>
  <si>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</si>
  <si>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</si>
  <si>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</si>
  <si>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</si>
  <si>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</si>
  <si>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</si>
  <si>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</si>
  <si>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</si>
  <si>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</si>
  <si>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</si>
  <si>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</si>
  <si>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</si>
  <si>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</si>
  <si>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</si>
  <si>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</si>
  <si>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</si>
  <si>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</si>
  <si>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</si>
  <si>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</si>
  <si>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</si>
  <si>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</si>
  <si>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</si>
  <si>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</si>
  <si>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</si>
  <si>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</si>
  <si>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</si>
  <si>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</si>
  <si>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</si>
  <si>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</si>
  <si>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</si>
  <si>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</si>
  <si>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</si>
  <si>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</si>
  <si>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</si>
  <si>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</si>
  <si>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</si>
  <si>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</si>
  <si>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</si>
  <si>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</si>
  <si>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</si>
  <si>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</si>
  <si>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</si>
  <si>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</si>
  <si>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</si>
  <si>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</si>
  <si>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</si>
  <si>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</si>
  <si>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</si>
  <si>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</si>
  <si>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WCR Redmine cURL</t>
  </si>
  <si>
    <t>27f4683f8c668ceb395ce0223286e38dfe180cf8</t>
  </si>
  <si>
    <t>https://ptcsupport.wabtec.com/issues.json</t>
  </si>
  <si>
    <t>204:446</t>
  </si>
  <si>
    <t>204:160</t>
  </si>
  <si>
    <t>204:458</t>
  </si>
  <si>
    <t>204:150</t>
  </si>
  <si>
    <t>204:149</t>
  </si>
  <si>
    <t>204:143</t>
  </si>
  <si>
    <t>204:466</t>
  </si>
  <si>
    <t>204:451</t>
  </si>
  <si>
    <t>300:23346</t>
  </si>
  <si>
    <t>204:464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</si>
  <si>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</si>
  <si>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</si>
  <si>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</si>
  <si>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</si>
  <si>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</si>
  <si>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</si>
  <si>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</si>
  <si>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</si>
  <si>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</si>
  <si>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204:455</t>
  </si>
  <si>
    <t>rtdc.l.rtdc.4033:itc</t>
  </si>
  <si>
    <t>rtdc.l.rtdc.4034:itc</t>
  </si>
  <si>
    <t>rtdc.l.rtdc.4021:itc</t>
  </si>
  <si>
    <t>THOMAS</t>
  </si>
  <si>
    <t>NEWELL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</si>
  <si>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</si>
  <si>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</si>
  <si>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</si>
  <si>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</si>
  <si>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</si>
  <si>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</si>
  <si>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</si>
  <si>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</si>
  <si>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</si>
  <si>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</si>
  <si>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</si>
  <si>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</si>
  <si>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</si>
  <si>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</si>
  <si>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</si>
  <si>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</si>
  <si>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</si>
  <si>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</si>
  <si>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315-08</t>
  </si>
  <si>
    <t>242-08</t>
  </si>
  <si>
    <t>309-08</t>
  </si>
  <si>
    <t>311-08</t>
  </si>
  <si>
    <t>313-08</t>
  </si>
  <si>
    <t>204:462</t>
  </si>
  <si>
    <t>204:233293</t>
  </si>
  <si>
    <t>SULLIVAN</t>
  </si>
  <si>
    <t>BRANDON</t>
  </si>
  <si>
    <t>204:154</t>
  </si>
  <si>
    <t>Early arrival</t>
  </si>
  <si>
    <t>204:232982</t>
  </si>
  <si>
    <t>204:473</t>
  </si>
  <si>
    <t>rtdc.l.rtdc.4049:itc</t>
  </si>
  <si>
    <t>rtdc.l.rtdc.4050:itc</t>
  </si>
  <si>
    <t>rtdc.l.rtdc.4008:itc</t>
  </si>
  <si>
    <t>rtdc.l.rtdc.4054:itc</t>
  </si>
  <si>
    <t>rtdc.l.rtdc.4059:itc</t>
  </si>
  <si>
    <t>59-16</t>
  </si>
  <si>
    <t>66-16</t>
  </si>
  <si>
    <t>rtdc.l.rtdc.4060:itc</t>
  </si>
  <si>
    <t>60-16</t>
  </si>
  <si>
    <t>309-16</t>
  </si>
  <si>
    <t>244-16</t>
  </si>
  <si>
    <t>311-16</t>
  </si>
  <si>
    <t>313-16</t>
  </si>
  <si>
    <t>Y</t>
  </si>
  <si>
    <t>Wi-MAX data drop</t>
  </si>
  <si>
    <t>Track device (7)</t>
  </si>
  <si>
    <t>ROBINSON</t>
  </si>
  <si>
    <t>KADDIBA</t>
  </si>
  <si>
    <t>rtdc.l.rtdc.4026:itc</t>
  </si>
  <si>
    <t>SWITCH UNKNOWN</t>
  </si>
  <si>
    <t>rtdc.l.rtdc.4041:itc</t>
  </si>
  <si>
    <t>STAMBAUGH</t>
  </si>
  <si>
    <t>DAVIS</t>
  </si>
  <si>
    <t>DUNCAN</t>
  </si>
  <si>
    <t>SHEILA</t>
  </si>
  <si>
    <t>MAGEE</t>
  </si>
  <si>
    <t>KENYA</t>
  </si>
  <si>
    <t>204:232998</t>
  </si>
  <si>
    <t>204:161</t>
  </si>
  <si>
    <t>204:232977</t>
  </si>
  <si>
    <t>rtdc.l.rtdc.4025:itc</t>
  </si>
  <si>
    <t>204:232994</t>
  </si>
  <si>
    <t>204:145</t>
  </si>
  <si>
    <t>204:232980</t>
  </si>
  <si>
    <t>204:442</t>
  </si>
  <si>
    <t>rtdc.l.rtdc.4043:itc</t>
  </si>
  <si>
    <t>rtdc.l.rtdc.4019:itc</t>
  </si>
  <si>
    <t>80-23</t>
  </si>
  <si>
    <t>rtdc.l.rtdc.4020:itc</t>
  </si>
  <si>
    <t>rtdc.l.rtdc.4044:itc</t>
  </si>
  <si>
    <t>FORTUNATO</t>
  </si>
  <si>
    <t>FRANK</t>
  </si>
  <si>
    <t>81-23</t>
  </si>
  <si>
    <t>908-23</t>
  </si>
  <si>
    <t>238-23</t>
  </si>
  <si>
    <t>241-23</t>
  </si>
  <si>
    <t>240-23</t>
  </si>
  <si>
    <t>243-23</t>
  </si>
  <si>
    <t>307-23</t>
  </si>
  <si>
    <t>242-23</t>
  </si>
  <si>
    <t>309-23</t>
  </si>
  <si>
    <t>244-23</t>
  </si>
  <si>
    <t>311-23</t>
  </si>
  <si>
    <t>313-23</t>
  </si>
  <si>
    <t>204:233297</t>
  </si>
  <si>
    <t>M - F = 49 trips</t>
  </si>
  <si>
    <t>Sat - Sun = 35 Trips</t>
  </si>
  <si>
    <t>rtdc.l.rtdc.4010:itc</t>
  </si>
  <si>
    <t>204:232987</t>
  </si>
  <si>
    <t>204:233305</t>
  </si>
  <si>
    <t>204:467</t>
  </si>
  <si>
    <t>204:156</t>
  </si>
  <si>
    <t>rtdc.l.rtdc.4009:itc</t>
  </si>
  <si>
    <t>clear-night</t>
  </si>
  <si>
    <t>Clear</t>
  </si>
  <si>
    <t>204:138</t>
  </si>
  <si>
    <t>204:469</t>
  </si>
  <si>
    <t>204:233309</t>
  </si>
  <si>
    <t>204:233312</t>
  </si>
  <si>
    <t>204:232978</t>
  </si>
  <si>
    <t>rtdc.l.rtdc.4001:itc</t>
  </si>
  <si>
    <t>rtdc.l.rtdc.4002:itc</t>
  </si>
  <si>
    <t>SAFIEF</t>
  </si>
  <si>
    <t>AEIMEN</t>
  </si>
  <si>
    <t>204:163</t>
  </si>
  <si>
    <t>204:233002</t>
  </si>
  <si>
    <t>204:978</t>
  </si>
  <si>
    <t>MOSES</t>
  </si>
  <si>
    <t>BRADLEY</t>
  </si>
  <si>
    <t>204:233315</t>
  </si>
  <si>
    <t>204:232988</t>
  </si>
  <si>
    <t>204:233289</t>
  </si>
  <si>
    <t>204:165</t>
  </si>
  <si>
    <t>rtdc.l.rtdc.4007:itc</t>
  </si>
  <si>
    <t>THOMPSON</t>
  </si>
  <si>
    <t>LESTER</t>
  </si>
  <si>
    <t>81-01</t>
  </si>
  <si>
    <t>SUR-02</t>
  </si>
  <si>
    <t>SUR</t>
  </si>
  <si>
    <t>JEREMY</t>
  </si>
  <si>
    <t>313-01</t>
  </si>
  <si>
    <t>204:480</t>
  </si>
  <si>
    <t>204:232993</t>
  </si>
  <si>
    <t>204:444</t>
  </si>
  <si>
    <t>204:233299</t>
  </si>
  <si>
    <t>204:233308</t>
  </si>
  <si>
    <t>204:685</t>
  </si>
  <si>
    <t>rtdc.l.rtdc.4003:itc</t>
  </si>
  <si>
    <t>rtdc.l.rtdc.4011:itc</t>
  </si>
  <si>
    <t>rtdc.l.rtdc.4012:itc</t>
  </si>
  <si>
    <t>LALONDE</t>
  </si>
  <si>
    <t>GREGORY</t>
  </si>
  <si>
    <t>DAVIDSON</t>
  </si>
  <si>
    <t>DAVID</t>
  </si>
  <si>
    <t>MACDONALD</t>
  </si>
  <si>
    <t>BROWN</t>
  </si>
  <si>
    <t>JACOB</t>
  </si>
  <si>
    <t>BRUDER</t>
  </si>
  <si>
    <t>RICHARD</t>
  </si>
  <si>
    <t>BRANDNER</t>
  </si>
  <si>
    <t>MELINDA</t>
  </si>
  <si>
    <t>MCREYNOLDS</t>
  </si>
  <si>
    <t>KYLE</t>
  </si>
  <si>
    <t>PERKINS</t>
  </si>
  <si>
    <t>DARREN</t>
  </si>
  <si>
    <t>MAELZER</t>
  </si>
  <si>
    <t>KURT</t>
  </si>
  <si>
    <t>204:232991</t>
  </si>
  <si>
    <t>204:232984</t>
  </si>
  <si>
    <t>204:233307</t>
  </si>
  <si>
    <t>204:233324</t>
  </si>
  <si>
    <t>204:233301</t>
  </si>
  <si>
    <t>204:233310</t>
  </si>
  <si>
    <t>204:233302</t>
  </si>
  <si>
    <t>204:233311</t>
  </si>
  <si>
    <t>300:58950</t>
  </si>
  <si>
    <t>204:979</t>
  </si>
  <si>
    <t>204:233372</t>
  </si>
  <si>
    <t>204:482</t>
  </si>
  <si>
    <t>204:232972</t>
  </si>
  <si>
    <t>204:233359</t>
  </si>
  <si>
    <t>204:233011</t>
  </si>
  <si>
    <t>204:233325</t>
  </si>
  <si>
    <t>204:233009</t>
  </si>
  <si>
    <t>204:233025</t>
  </si>
  <si>
    <t>204:437</t>
  </si>
  <si>
    <t>204:233013</t>
  </si>
  <si>
    <t>204:129</t>
  </si>
  <si>
    <t>300:23308</t>
  </si>
  <si>
    <t>rtdc.l.rtdc.4016:itc</t>
  </si>
  <si>
    <t>HAITHCOX</t>
  </si>
  <si>
    <t>242-04</t>
  </si>
  <si>
    <t>309-04</t>
  </si>
  <si>
    <t>244-04</t>
  </si>
  <si>
    <t>311-04</t>
  </si>
  <si>
    <t>50-05</t>
  </si>
  <si>
    <t>partly-cloudy-day</t>
  </si>
  <si>
    <t>Partly Cloudy</t>
  </si>
  <si>
    <t>204:232989</t>
  </si>
  <si>
    <t>204:440</t>
  </si>
  <si>
    <t>204:232942</t>
  </si>
  <si>
    <t>204:233053</t>
  </si>
  <si>
    <t>204:233374</t>
  </si>
  <si>
    <t>204:232986</t>
  </si>
  <si>
    <t>204:484</t>
  </si>
  <si>
    <t>204:233338</t>
  </si>
  <si>
    <t>204:233364</t>
  </si>
  <si>
    <t>204:233017</t>
  </si>
  <si>
    <t>204:477</t>
  </si>
  <si>
    <t>204:233349</t>
  </si>
  <si>
    <t>300:58636</t>
  </si>
  <si>
    <t>204:995</t>
  </si>
  <si>
    <t>300:58954</t>
  </si>
  <si>
    <t>204:703</t>
  </si>
  <si>
    <t>300:58638</t>
  </si>
  <si>
    <t>204:993</t>
  </si>
  <si>
    <t>300:58632</t>
  </si>
  <si>
    <t>204:976</t>
  </si>
  <si>
    <t>204:232967</t>
  </si>
  <si>
    <t>204:233381</t>
  </si>
  <si>
    <t>204:233291</t>
  </si>
  <si>
    <t>204:172</t>
  </si>
  <si>
    <t>204:1171</t>
  </si>
  <si>
    <t>204:1503</t>
  </si>
  <si>
    <t>115-05</t>
  </si>
  <si>
    <t>rtdc.l.rtdc.4062:itc</t>
  </si>
  <si>
    <t>117-05</t>
  </si>
  <si>
    <t>116-05</t>
  </si>
  <si>
    <t>806-05</t>
  </si>
  <si>
    <t>131-05</t>
  </si>
  <si>
    <t>810-05</t>
  </si>
  <si>
    <t>rtdc.l.rtdc.4031:itc</t>
  </si>
  <si>
    <t>128-05</t>
  </si>
  <si>
    <t>rtdc.l.rtdc.4015:itc</t>
  </si>
  <si>
    <t>134-05</t>
  </si>
  <si>
    <t>rtdc.l.rtdc.4061:itc</t>
  </si>
  <si>
    <t>132-05</t>
  </si>
  <si>
    <t>144-05</t>
  </si>
  <si>
    <t>159-05</t>
  </si>
  <si>
    <t>171-05</t>
  </si>
  <si>
    <t>rtdc.l.rtdc.4032:itc</t>
  </si>
  <si>
    <t>59-05</t>
  </si>
  <si>
    <t>169-05</t>
  </si>
  <si>
    <t>rtdc.l.rtdc.4046:itc</t>
  </si>
  <si>
    <t>821-05</t>
  </si>
  <si>
    <t>170-05</t>
  </si>
  <si>
    <t>rtdc.l.rtdc.4045:itc</t>
  </si>
  <si>
    <t>822-05</t>
  </si>
  <si>
    <t>824-05</t>
  </si>
  <si>
    <t>191-05</t>
  </si>
  <si>
    <t>904-05</t>
  </si>
  <si>
    <t>826-05</t>
  </si>
  <si>
    <t>197-05</t>
  </si>
  <si>
    <t>828-05</t>
  </si>
  <si>
    <t>rtdc.l.rtdc.4058:itc</t>
  </si>
  <si>
    <t>199-05</t>
  </si>
  <si>
    <t>201-05</t>
  </si>
  <si>
    <t>831-05</t>
  </si>
  <si>
    <t>832-05</t>
  </si>
  <si>
    <t>198-05</t>
  </si>
  <si>
    <t>211-05</t>
  </si>
  <si>
    <t>54-05</t>
  </si>
  <si>
    <t>208-05</t>
  </si>
  <si>
    <t>838-05</t>
  </si>
  <si>
    <t>839-05</t>
  </si>
  <si>
    <t>rtdc.l.rtdc.4057:itc</t>
  </si>
  <si>
    <t>214-05</t>
  </si>
  <si>
    <t>840-05</t>
  </si>
  <si>
    <t>229-05</t>
  </si>
  <si>
    <t>844-05</t>
  </si>
  <si>
    <t>228-05</t>
  </si>
  <si>
    <t>233-05</t>
  </si>
  <si>
    <t>232-05</t>
  </si>
  <si>
    <t>239-05</t>
  </si>
  <si>
    <t>241-05</t>
  </si>
  <si>
    <t>300-05</t>
  </si>
  <si>
    <t>67-05</t>
  </si>
  <si>
    <t>SPECTOR</t>
  </si>
  <si>
    <t>101-05</t>
  </si>
  <si>
    <t>302-05</t>
  </si>
  <si>
    <t>68-05</t>
  </si>
  <si>
    <t>103-05</t>
  </si>
  <si>
    <t>304-05</t>
  </si>
  <si>
    <t>STARKS</t>
  </si>
  <si>
    <t>ANGELINA</t>
  </si>
  <si>
    <t>102-05</t>
  </si>
  <si>
    <t>306-05</t>
  </si>
  <si>
    <t>105-05</t>
  </si>
  <si>
    <t>308-05</t>
  </si>
  <si>
    <t>107-05</t>
  </si>
  <si>
    <t>104-05</t>
  </si>
  <si>
    <t>109-05</t>
  </si>
  <si>
    <t>901-05</t>
  </si>
  <si>
    <t>310-05</t>
  </si>
  <si>
    <t>HELVIE</t>
  </si>
  <si>
    <t>ADAM</t>
  </si>
  <si>
    <t>106-05</t>
  </si>
  <si>
    <t>111-05</t>
  </si>
  <si>
    <t>800-05</t>
  </si>
  <si>
    <t>113-05</t>
  </si>
  <si>
    <t>108-05</t>
  </si>
  <si>
    <t>312-05</t>
  </si>
  <si>
    <t>110-05</t>
  </si>
  <si>
    <t>801-05</t>
  </si>
  <si>
    <t>112-05</t>
  </si>
  <si>
    <t>902-05</t>
  </si>
  <si>
    <t>LOZA</t>
  </si>
  <si>
    <t>FIDEL</t>
  </si>
  <si>
    <t>119-05</t>
  </si>
  <si>
    <t>802-05</t>
  </si>
  <si>
    <t>121-05</t>
  </si>
  <si>
    <t>114-05</t>
  </si>
  <si>
    <t>803-05</t>
  </si>
  <si>
    <t>123-05</t>
  </si>
  <si>
    <t>805-05</t>
  </si>
  <si>
    <t>804-05</t>
  </si>
  <si>
    <t>120-05</t>
  </si>
  <si>
    <t>118-05</t>
  </si>
  <si>
    <t>125-05</t>
  </si>
  <si>
    <t>CUSHING</t>
  </si>
  <si>
    <t>HARRY</t>
  </si>
  <si>
    <t>122-05</t>
  </si>
  <si>
    <t>127-05</t>
  </si>
  <si>
    <t>129-05</t>
  </si>
  <si>
    <t>124-05</t>
  </si>
  <si>
    <t>807-05</t>
  </si>
  <si>
    <t>809-05</t>
  </si>
  <si>
    <t>126-05</t>
  </si>
  <si>
    <t>808-05</t>
  </si>
  <si>
    <t>133-05</t>
  </si>
  <si>
    <t>135-05</t>
  </si>
  <si>
    <t>811-05</t>
  </si>
  <si>
    <t>130-05</t>
  </si>
  <si>
    <t>137-05</t>
  </si>
  <si>
    <t>139-05</t>
  </si>
  <si>
    <t>903-05</t>
  </si>
  <si>
    <t>812-05</t>
  </si>
  <si>
    <t>136-05</t>
  </si>
  <si>
    <t>141-05</t>
  </si>
  <si>
    <t>143-05</t>
  </si>
  <si>
    <t>52-05</t>
  </si>
  <si>
    <t>138-05</t>
  </si>
  <si>
    <t>813-05</t>
  </si>
  <si>
    <t>145-05</t>
  </si>
  <si>
    <t>140-05</t>
  </si>
  <si>
    <t>147-05</t>
  </si>
  <si>
    <t>149-05</t>
  </si>
  <si>
    <t>814-05</t>
  </si>
  <si>
    <t>142-05</t>
  </si>
  <si>
    <t>151-05</t>
  </si>
  <si>
    <t>146-05</t>
  </si>
  <si>
    <t>153-05</t>
  </si>
  <si>
    <t>815-05</t>
  </si>
  <si>
    <t>150-05</t>
  </si>
  <si>
    <t>148-05</t>
  </si>
  <si>
    <t>155-05</t>
  </si>
  <si>
    <t>816-05</t>
  </si>
  <si>
    <t>152-05</t>
  </si>
  <si>
    <t>157-05</t>
  </si>
  <si>
    <t>56-05</t>
  </si>
  <si>
    <t>154-05</t>
  </si>
  <si>
    <t>161-05</t>
  </si>
  <si>
    <t>817-05</t>
  </si>
  <si>
    <t>156-05</t>
  </si>
  <si>
    <t>53-05</t>
  </si>
  <si>
    <t>163-05</t>
  </si>
  <si>
    <t>57-05</t>
  </si>
  <si>
    <t>818-05</t>
  </si>
  <si>
    <t>158-05</t>
  </si>
  <si>
    <t>160-05</t>
  </si>
  <si>
    <t>165-05</t>
  </si>
  <si>
    <t>LEVERE</t>
  </si>
  <si>
    <t>CRAIG</t>
  </si>
  <si>
    <t>167-05</t>
  </si>
  <si>
    <t>819-05</t>
  </si>
  <si>
    <t>55-05</t>
  </si>
  <si>
    <t>162-05</t>
  </si>
  <si>
    <t>164-05</t>
  </si>
  <si>
    <t>166-05</t>
  </si>
  <si>
    <t>820-05</t>
  </si>
  <si>
    <t>173-05</t>
  </si>
  <si>
    <t>168-05</t>
  </si>
  <si>
    <t>175-05</t>
  </si>
  <si>
    <t>177-05</t>
  </si>
  <si>
    <t>LEVIN</t>
  </si>
  <si>
    <t>SCOTT</t>
  </si>
  <si>
    <t>172-05</t>
  </si>
  <si>
    <t>179-05</t>
  </si>
  <si>
    <t>174-05</t>
  </si>
  <si>
    <t>61-05</t>
  </si>
  <si>
    <t>181-05</t>
  </si>
  <si>
    <t>176-05</t>
  </si>
  <si>
    <t>183-05</t>
  </si>
  <si>
    <t>178-05</t>
  </si>
  <si>
    <t>185-05</t>
  </si>
  <si>
    <t>823-05</t>
  </si>
  <si>
    <t>180-05</t>
  </si>
  <si>
    <t>187-05</t>
  </si>
  <si>
    <t>182-05</t>
  </si>
  <si>
    <t>189-05</t>
  </si>
  <si>
    <t>184-05</t>
  </si>
  <si>
    <t>186-05</t>
  </si>
  <si>
    <t>193-05</t>
  </si>
  <si>
    <t>825-05</t>
  </si>
  <si>
    <t>188-05</t>
  </si>
  <si>
    <t>195-05</t>
  </si>
  <si>
    <t>827-05</t>
  </si>
  <si>
    <t>190-05</t>
  </si>
  <si>
    <t>192-05</t>
  </si>
  <si>
    <t>194-05</t>
  </si>
  <si>
    <t>829-05</t>
  </si>
  <si>
    <t>196-05</t>
  </si>
  <si>
    <t>203-05</t>
  </si>
  <si>
    <t>830-05</t>
  </si>
  <si>
    <t>205-05</t>
  </si>
  <si>
    <t>207-05</t>
  </si>
  <si>
    <t>200-05</t>
  </si>
  <si>
    <t>65-05</t>
  </si>
  <si>
    <t>STORY</t>
  </si>
  <si>
    <t>SAMANTHA</t>
  </si>
  <si>
    <t>202-05</t>
  </si>
  <si>
    <t>209-05</t>
  </si>
  <si>
    <t>833-05</t>
  </si>
  <si>
    <t>71-05</t>
  </si>
  <si>
    <t>204-05</t>
  </si>
  <si>
    <t>834-05</t>
  </si>
  <si>
    <t>206-05</t>
  </si>
  <si>
    <t>213-05</t>
  </si>
  <si>
    <t>835-05</t>
  </si>
  <si>
    <t>215-05</t>
  </si>
  <si>
    <t>210-05</t>
  </si>
  <si>
    <t>836-05</t>
  </si>
  <si>
    <t>217-05</t>
  </si>
  <si>
    <t>837-05</t>
  </si>
  <si>
    <t>212-05</t>
  </si>
  <si>
    <t>219-05</t>
  </si>
  <si>
    <t>301-05</t>
  </si>
  <si>
    <t>216-05</t>
  </si>
  <si>
    <t>221-05</t>
  </si>
  <si>
    <t>218-05</t>
  </si>
  <si>
    <t>75-05</t>
  </si>
  <si>
    <t>303-05</t>
  </si>
  <si>
    <t>220-05</t>
  </si>
  <si>
    <t>906-05</t>
  </si>
  <si>
    <t>841-05</t>
  </si>
  <si>
    <t>223-05</t>
  </si>
  <si>
    <t>305-05</t>
  </si>
  <si>
    <t>222-05</t>
  </si>
  <si>
    <t>225-05</t>
  </si>
  <si>
    <t>227-05</t>
  </si>
  <si>
    <t>843-05</t>
  </si>
  <si>
    <t>224-05</t>
  </si>
  <si>
    <t>842-05</t>
  </si>
  <si>
    <t>226-05</t>
  </si>
  <si>
    <t>845-05</t>
  </si>
  <si>
    <t>231-05</t>
  </si>
  <si>
    <t>230-05</t>
  </si>
  <si>
    <t>847-05</t>
  </si>
  <si>
    <t>235-05</t>
  </si>
  <si>
    <t>908-05</t>
  </si>
  <si>
    <t>234-05</t>
  </si>
  <si>
    <t>237-05</t>
  </si>
  <si>
    <t>236-05</t>
  </si>
  <si>
    <t>238-05</t>
  </si>
  <si>
    <t>240-05</t>
  </si>
  <si>
    <t>243-05</t>
  </si>
  <si>
    <t>307-05</t>
  </si>
  <si>
    <t>242-05</t>
  </si>
  <si>
    <t>309-05</t>
  </si>
  <si>
    <t>244-05</t>
  </si>
  <si>
    <t>311-05</t>
  </si>
  <si>
    <t>313-05</t>
  </si>
  <si>
    <t>precipType</t>
  </si>
  <si>
    <t>partly-cloudy-night</t>
  </si>
  <si>
    <t>rain</t>
  </si>
  <si>
    <t>Mostly Cloudy</t>
  </si>
  <si>
    <t>204:761</t>
  </si>
  <si>
    <t>204:429</t>
  </si>
  <si>
    <t>204:232961</t>
  </si>
  <si>
    <t>204:232983</t>
  </si>
  <si>
    <t>204:233328</t>
  </si>
  <si>
    <t>204:193300</t>
  </si>
  <si>
    <t>204:493</t>
  </si>
  <si>
    <t>204:233257</t>
  </si>
  <si>
    <t>204:233346</t>
  </si>
  <si>
    <t>204:233032</t>
  </si>
  <si>
    <t>204:232973</t>
  </si>
  <si>
    <t>204:233238</t>
  </si>
  <si>
    <t>204:127831</t>
  </si>
  <si>
    <t>204:211</t>
  </si>
  <si>
    <t>204:232921</t>
  </si>
  <si>
    <t>204:233300</t>
  </si>
  <si>
    <t>204:232976</t>
  </si>
  <si>
    <t>204:233326</t>
  </si>
  <si>
    <t>204:233314</t>
  </si>
  <si>
    <t>204:232970</t>
  </si>
  <si>
    <t>204:198</t>
  </si>
  <si>
    <t>204:19110</t>
  </si>
  <si>
    <t>204:232964</t>
  </si>
  <si>
    <t>204:122</t>
  </si>
  <si>
    <t>204:232975</t>
  </si>
  <si>
    <t>204:877</t>
  </si>
  <si>
    <t>204:233298</t>
  </si>
  <si>
    <t>204:233284</t>
  </si>
  <si>
    <t>204:233021</t>
  </si>
  <si>
    <t>204:233259</t>
  </si>
  <si>
    <t>204:233304</t>
  </si>
  <si>
    <t>204:233255</t>
  </si>
  <si>
    <t>204:232950</t>
  </si>
  <si>
    <t>204:1177</t>
  </si>
  <si>
    <t>204:233316</t>
  </si>
  <si>
    <t>204:233007</t>
  </si>
  <si>
    <t>204:130</t>
  </si>
  <si>
    <t>204:233327</t>
  </si>
  <si>
    <t>204:233288</t>
  </si>
  <si>
    <t>204:232957</t>
  </si>
  <si>
    <t>204:233043</t>
  </si>
  <si>
    <t>204:233366</t>
  </si>
  <si>
    <t>204:233057</t>
  </si>
  <si>
    <t>204:233387</t>
  </si>
  <si>
    <t>204:233068</t>
  </si>
  <si>
    <t>204:233266</t>
  </si>
  <si>
    <t>204:147977</t>
  </si>
  <si>
    <t>204:212590</t>
  </si>
  <si>
    <t>204:233004</t>
  </si>
  <si>
    <t>204:233062</t>
  </si>
  <si>
    <t>204:930</t>
  </si>
  <si>
    <t>204:233393</t>
  </si>
  <si>
    <t>204:233069</t>
  </si>
  <si>
    <t>204:1792</t>
  </si>
  <si>
    <t>204:233077</t>
  </si>
  <si>
    <t>204:233385</t>
  </si>
  <si>
    <t>204:233042</t>
  </si>
  <si>
    <t>204:996</t>
  </si>
  <si>
    <t>204:233276</t>
  </si>
  <si>
    <t>204:167</t>
  </si>
  <si>
    <t>204:233044</t>
  </si>
  <si>
    <t>204:233341</t>
  </si>
  <si>
    <t>204:233040</t>
  </si>
  <si>
    <t>204:233319</t>
  </si>
  <si>
    <t>204:233451</t>
  </si>
  <si>
    <t>204:233124</t>
  </si>
  <si>
    <t>204:471</t>
  </si>
  <si>
    <t>204:233003</t>
  </si>
  <si>
    <t>300:21761</t>
  </si>
  <si>
    <t>300:23064</t>
  </si>
  <si>
    <t>300:23624</t>
  </si>
  <si>
    <t>300:23026</t>
  </si>
  <si>
    <t>300:26096</t>
  </si>
  <si>
    <t>204:1264</t>
  </si>
  <si>
    <t>300:23312</t>
  </si>
  <si>
    <t>300:23383</t>
  </si>
  <si>
    <t>300:23508</t>
  </si>
  <si>
    <t>300:23302</t>
  </si>
  <si>
    <t>300:23586</t>
  </si>
  <si>
    <t>204:183</t>
  </si>
  <si>
    <t>300:23301</t>
  </si>
  <si>
    <t>204:5079</t>
  </si>
  <si>
    <t>204:945</t>
  </si>
  <si>
    <t>204:3229</t>
  </si>
  <si>
    <t>204:1490</t>
  </si>
  <si>
    <t>204:3562</t>
  </si>
  <si>
    <t>204:3324</t>
  </si>
  <si>
    <t>204:1494</t>
  </si>
  <si>
    <t>204:3632</t>
  </si>
  <si>
    <t>300:22308</t>
  </si>
  <si>
    <t>204:914</t>
  </si>
  <si>
    <t>204:3192</t>
  </si>
  <si>
    <t>204:1158</t>
  </si>
  <si>
    <t>204:3521</t>
  </si>
  <si>
    <t>300:23339</t>
  </si>
  <si>
    <t>204:904</t>
  </si>
  <si>
    <t>204:1225</t>
  </si>
  <si>
    <t>300:24222</t>
  </si>
  <si>
    <t>204:17304</t>
  </si>
  <si>
    <t>204:1633</t>
  </si>
  <si>
    <t>204:1201</t>
  </si>
  <si>
    <t>204:17469</t>
  </si>
  <si>
    <t>300:5210</t>
  </si>
  <si>
    <t>300:5542</t>
  </si>
  <si>
    <t>204:3550</t>
  </si>
  <si>
    <t>204:3227</t>
  </si>
  <si>
    <t>204:1165</t>
  </si>
  <si>
    <t>204:3066</t>
  </si>
  <si>
    <t>204:1156</t>
  </si>
  <si>
    <t>204:3397</t>
  </si>
  <si>
    <t>204:3311</t>
  </si>
  <si>
    <t>204:1188</t>
  </si>
  <si>
    <t>204:3617</t>
  </si>
  <si>
    <t>204:710</t>
  </si>
  <si>
    <t>204:986</t>
  </si>
  <si>
    <t>300:58960</t>
  </si>
  <si>
    <t>300:58645</t>
  </si>
  <si>
    <t>204:694</t>
  </si>
  <si>
    <t>204:967</t>
  </si>
  <si>
    <t>300:58939</t>
  </si>
  <si>
    <t>300:58621</t>
  </si>
  <si>
    <t>204:687</t>
  </si>
  <si>
    <t>300:58943</t>
  </si>
  <si>
    <t>300:58619</t>
  </si>
  <si>
    <t>204:983</t>
  </si>
  <si>
    <t>300:58948</t>
  </si>
  <si>
    <t>300:58933</t>
  </si>
  <si>
    <t>300:58613</t>
  </si>
  <si>
    <t>204:701</t>
  </si>
  <si>
    <t>300:58624</t>
  </si>
  <si>
    <t>204:985</t>
  </si>
  <si>
    <t>300:58944</t>
  </si>
  <si>
    <t>204:713</t>
  </si>
  <si>
    <t>300:58935</t>
  </si>
  <si>
    <t>300:58608</t>
  </si>
  <si>
    <t>300:58941</t>
  </si>
  <si>
    <t>300:58623</t>
  </si>
  <si>
    <t>204:678</t>
  </si>
  <si>
    <t>204:964</t>
  </si>
  <si>
    <t>204:633</t>
  </si>
  <si>
    <t>204:937</t>
  </si>
  <si>
    <t>204:668</t>
  </si>
  <si>
    <t>204:948</t>
  </si>
  <si>
    <t>300:58630</t>
  </si>
  <si>
    <t>204:957</t>
  </si>
  <si>
    <t>300:58918</t>
  </si>
  <si>
    <t>300:58600</t>
  </si>
  <si>
    <t>204:717</t>
  </si>
  <si>
    <t>300:58928</t>
  </si>
  <si>
    <t>300:58617</t>
  </si>
  <si>
    <t>204:650</t>
  </si>
  <si>
    <t>204:1004</t>
  </si>
  <si>
    <t>204:677</t>
  </si>
  <si>
    <t>204:927</t>
  </si>
  <si>
    <t>300:58640</t>
  </si>
  <si>
    <t>204:640</t>
  </si>
  <si>
    <t>300:58929</t>
  </si>
  <si>
    <t>300:58615</t>
  </si>
  <si>
    <t>204:684</t>
  </si>
  <si>
    <t>204:909</t>
  </si>
  <si>
    <t>204:635</t>
  </si>
  <si>
    <t>204:971</t>
  </si>
  <si>
    <t>300:58926</t>
  </si>
  <si>
    <t>300:58681</t>
  </si>
  <si>
    <t>204:734</t>
  </si>
  <si>
    <t>204:920</t>
  </si>
  <si>
    <t>300:58988</t>
  </si>
  <si>
    <t>204:1051</t>
  </si>
  <si>
    <t>300:58592</t>
  </si>
  <si>
    <t>204:748</t>
  </si>
  <si>
    <t>300:58914</t>
  </si>
  <si>
    <t>204:1076</t>
  </si>
  <si>
    <t>300:58922</t>
  </si>
  <si>
    <t>300:29942</t>
  </si>
  <si>
    <t>300:23512</t>
  </si>
  <si>
    <t>300:24243</t>
  </si>
  <si>
    <t>300:23516</t>
  </si>
  <si>
    <t>300:28769</t>
  </si>
  <si>
    <t>300:58606</t>
  </si>
  <si>
    <t>300:28789</t>
  </si>
  <si>
    <t>start /low /b %USERPROFILE%\Documents\GitHub\eaglep3\Utilities\DownloadLogsFromS3.py --loco 4020 --day 2017-06-05</t>
  </si>
  <si>
    <t>start /low /b %USERPROFILE%\Documents\GitHub\eaglep3\Utilities\DownloadLogsFromS3.py --loco 4061 --day 2017-06-05</t>
  </si>
  <si>
    <t>start /low /b %USERPROFILE%\Documents\GitHub\eaglep3\Utilities\DownloadLogsFromS3.py --loco 4062 --day 2017-06-05</t>
  </si>
  <si>
    <t>start /low /b %USERPROFILE%\Documents\GitHub\eaglep3\Utilities\DownloadLogsFromS3.py --loco 4058 --day 2017-06-05</t>
  </si>
  <si>
    <t>start /low /b %USERPROFILE%\Documents\GitHub\eaglep3\Utilities\DownloadLogsFromS3.py --loco 4016 --day 2017-06-06</t>
  </si>
  <si>
    <t>start /low /b %USERPROFILE%\Documents\GitHub\eaglep3\Utilities\DownloadLogsFromS3.py --loco 4019 --day 2017-06-05</t>
  </si>
  <si>
    <t>start /low /b %USERPROFILE%\Documents\GitHub\eaglep3\Utilities\DownloadLogsFromS3.py --loco 4010 --day 2017-06-05</t>
  </si>
  <si>
    <t>start /low /b %USERPROFILE%\Documents\GitHub\eaglep3\Utilities\DownloadLogsFromS3.py --loco 4042 --day 2017-06-05</t>
  </si>
  <si>
    <t>start /low /b %USERPROFILE%\Documents\GitHub\eaglep3\Utilities\DownloadLogsFromS3.py --loco 4014 --day 2017-06-06</t>
  </si>
  <si>
    <t>start /low /b %USERPROFILE%\Documents\GitHub\eaglep3\Utilities\DownloadLogsFromS3.py --loco 4031 --day 2017-06-05</t>
  </si>
  <si>
    <t>start /low /b %USERPROFILE%\Documents\GitHub\eaglep3\Utilities\DownloadLogsFromS3.py --loco 4015 --day 2017-06-05</t>
  </si>
  <si>
    <t>start /low /b %USERPROFILE%\Documents\GitHub\eaglep3\Utilities\DownloadLogsFromS3.py --loco 4009 --day 2017-06-05</t>
  </si>
  <si>
    <t>start /low /b %USERPROFILE%\Documents\GitHub\eaglep3\Utilities\DownloadLogsFromS3.py --loco 4061 --day 2017-06-06</t>
  </si>
  <si>
    <t>start /low /b %USERPROFILE%\Documents\GitHub\eaglep3\Utilities\DownloadLogsFromS3.py --loco 4007 --day 2017-06-06</t>
  </si>
  <si>
    <t>start /low /b %USERPROFILE%\Documents\GitHub\eaglep3\Utilities\DownloadLogsFromS3.py --loco 4041 --day 2017-06-06</t>
  </si>
  <si>
    <t>start /low /b %USERPROFILE%\Documents\GitHub\eaglep3\Utilities\DownloadLogsFromS3.py --loco 4057 --day 2017-06-06</t>
  </si>
  <si>
    <t>start /low /b %USERPROFILE%\Documents\GitHub\eaglep3\Utilities\DownloadLogsFromS3.py --loco 4062 --day 2017-06-06</t>
  </si>
  <si>
    <t>start /low /b %USERPROFILE%\Documents\GitHub\eaglep3\Utilities\DownloadLogsFromS3.py --loco 4045 --day 2017-06-05</t>
  </si>
  <si>
    <t>start /low /b %USERPROFILE%\Documents\GitHub\eaglep3\Utilities\DownloadLogsFromS3.py --loco 4046 --day 2017-06-05</t>
  </si>
  <si>
    <t>start /low /b %USERPROFILE%\Documents\GitHub\eaglep3\Utilities\DownloadLogsFromS3.py --loco 4028 --day 2017-06-05</t>
  </si>
  <si>
    <t>start /low /b %USERPROFILE%\Documents\GitHub\eaglep3\Utilities\DownloadLogsFromS3.py --loco 4027 --day 2017-06-05</t>
  </si>
  <si>
    <t>start /low /b %USERPROFILE%\Documents\GitHub\eaglep3\Utilities\DownloadLogsFromS3.py --loco 4028 --day 2017-06-06</t>
  </si>
  <si>
    <t>start /low /b %USERPROFILE%\Documents\GitHub\eaglep3\Utilities\DownloadLogsFromS3.py --loco 4045 --day 2017-06-06</t>
  </si>
  <si>
    <t>Approx 06:01:00, 40th 2N dropped to STOP while train was still approaching. Do logs inidicate anything unusual?</t>
  </si>
  <si>
    <t>Onboard in-route failure</t>
  </si>
  <si>
    <t>Consist not lined up with trip (essentially CCROC/crew/equipment mismatch)</t>
  </si>
  <si>
    <t>61st 2N STOP</t>
  </si>
  <si>
    <t>Wi-MAX data drop; no cut out or enforcement</t>
  </si>
  <si>
    <t>Premature downgrade at Pena 2N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</si>
</sst>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3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8"/>
  <sheetViews>
    <sheetView topLeftCell="A193" zoomScaleNormal="100" workbookViewId="0">
      <selection activeCell="M199" sqref="M199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7" customWidth="1"/>
    <col min="19" max="19" width="6" style="174" customWidth="1"/>
    <col min="20" max="20" width="3.85546875" style="179" customWidth="1"/>
    <col min="21" max="21" width="5" style="179" customWidth="1"/>
    <col min="22" max="22" width="5.7109375" style="205" customWidth="1"/>
    <col min="23" max="23" width="3.85546875" style="198" customWidth="1"/>
    <col min="24" max="24" width="6.5703125" style="198" customWidth="1"/>
    <col min="25" max="25" width="11.5703125" style="198" bestFit="1" customWidth="1"/>
    <col min="26" max="26" width="7.28515625" style="198" customWidth="1"/>
    <col min="27" max="27" width="9.140625" style="198"/>
    <col min="28" max="28" width="10.7109375" style="55" hidden="1" customWidth="1"/>
    <col min="29" max="29" width="9.42578125" style="49" hidden="1" customWidth="1"/>
    <col min="30" max="30" width="7.85546875" style="50" customWidth="1"/>
    <col min="31" max="31" width="4.5703125" style="78" customWidth="1"/>
    <col min="32" max="32" width="6.28515625" style="75" customWidth="1"/>
    <col min="33" max="33" width="5.42578125" customWidth="1"/>
    <col min="34" max="34" width="5" style="81" customWidth="1"/>
    <col min="35" max="35" width="5.7109375" style="94" customWidth="1"/>
    <col min="36" max="36" width="9.85546875" customWidth="1"/>
    <col min="37" max="37" width="5" customWidth="1"/>
    <col min="38" max="38" width="4.140625" customWidth="1"/>
    <col min="39" max="39" width="9.140625" style="145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105</v>
      </c>
      <c r="J1" s="36"/>
      <c r="K1" s="27"/>
      <c r="L1" s="27"/>
      <c r="M1" s="35"/>
      <c r="N1" s="36"/>
      <c r="O1" s="2"/>
      <c r="P1" s="2"/>
      <c r="R1" s="166" t="s">
        <v>106</v>
      </c>
      <c r="S1" s="180"/>
      <c r="T1" s="181"/>
      <c r="U1" s="181"/>
      <c r="V1" s="182"/>
      <c r="W1" s="181"/>
      <c r="X1" s="179"/>
      <c r="Y1" s="198"/>
      <c r="Z1" s="198"/>
      <c r="AA1" s="198"/>
      <c r="AB1" s="55"/>
      <c r="AC1" s="49"/>
      <c r="AD1" s="50"/>
      <c r="AE1" s="1"/>
      <c r="AF1" s="1"/>
      <c r="AG1" s="1"/>
      <c r="AH1" s="47"/>
      <c r="AI1" s="1"/>
      <c r="AM1" s="145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60">
        <f>Variables!$A$2</f>
        <v>42891</v>
      </c>
      <c r="J2" s="61"/>
      <c r="K2" s="62"/>
      <c r="L2" s="62"/>
      <c r="M2" s="63" t="s">
        <v>8</v>
      </c>
      <c r="N2" s="64"/>
      <c r="O2" s="65"/>
      <c r="P2" s="2"/>
      <c r="R2" s="60">
        <f>Variables!$A$2</f>
        <v>42891</v>
      </c>
      <c r="S2" s="183"/>
      <c r="T2" s="184"/>
      <c r="U2" s="184"/>
      <c r="V2" s="185" t="s">
        <v>8</v>
      </c>
      <c r="W2" s="186"/>
      <c r="X2" s="187"/>
      <c r="Y2" s="198"/>
      <c r="Z2" s="198"/>
      <c r="AA2" s="198"/>
      <c r="AB2" s="55"/>
      <c r="AC2" s="49"/>
      <c r="AD2" s="50"/>
      <c r="AE2" s="1"/>
      <c r="AF2" s="1"/>
      <c r="AG2" s="1"/>
      <c r="AH2" s="47"/>
      <c r="AI2" s="1"/>
      <c r="AM2" s="145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6" t="s">
        <v>10</v>
      </c>
      <c r="J3" s="67"/>
      <c r="K3" s="68"/>
      <c r="L3" s="68"/>
      <c r="M3" s="37" t="s">
        <v>11</v>
      </c>
      <c r="N3" s="38" t="s">
        <v>12</v>
      </c>
      <c r="O3" s="3" t="s">
        <v>13</v>
      </c>
      <c r="P3" s="2"/>
      <c r="R3" s="168" t="s">
        <v>10</v>
      </c>
      <c r="S3" s="188"/>
      <c r="T3" s="189"/>
      <c r="U3" s="189"/>
      <c r="V3" s="190" t="s">
        <v>11</v>
      </c>
      <c r="W3" s="191" t="s">
        <v>12</v>
      </c>
      <c r="X3" s="192" t="s">
        <v>13</v>
      </c>
      <c r="Y3" s="198"/>
      <c r="Z3" s="198"/>
      <c r="AA3" s="198"/>
      <c r="AB3" s="55"/>
      <c r="AC3" s="49"/>
      <c r="AD3" s="50"/>
      <c r="AE3" s="1"/>
      <c r="AF3" s="1"/>
      <c r="AG3" s="1"/>
      <c r="AH3" s="47"/>
      <c r="AI3" s="1"/>
      <c r="AM3" s="145"/>
    </row>
    <row r="4" spans="1:91" s="20" customFormat="1" ht="15.75" thickBot="1" x14ac:dyDescent="0.3">
      <c r="A4" s="34"/>
      <c r="B4" s="36"/>
      <c r="C4" s="27"/>
      <c r="D4" s="27"/>
      <c r="E4" s="33"/>
      <c r="F4" s="166"/>
      <c r="G4" s="36"/>
      <c r="H4" s="33"/>
      <c r="I4" s="69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9" t="s">
        <v>14</v>
      </c>
      <c r="S4" s="193">
        <f>SUM(S5:S7)</f>
        <v>47</v>
      </c>
      <c r="T4" s="194"/>
      <c r="U4" s="194"/>
      <c r="V4" s="190" t="s">
        <v>15</v>
      </c>
      <c r="W4" s="191" t="s">
        <v>15</v>
      </c>
      <c r="X4" s="192" t="s">
        <v>15</v>
      </c>
      <c r="Y4" s="198"/>
      <c r="Z4" s="198"/>
      <c r="AA4" s="198"/>
      <c r="AB4" s="55"/>
      <c r="AC4" s="49"/>
      <c r="AD4" s="50"/>
      <c r="AE4" s="1"/>
      <c r="AF4" s="1"/>
      <c r="AG4" s="1"/>
      <c r="AH4" s="47"/>
      <c r="AI4" s="1"/>
      <c r="AM4" s="145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9" t="s">
        <v>17</v>
      </c>
      <c r="J5" s="48">
        <f>COUNTIFS($N$13:$N$9323,"&gt;0",$AG$13:$AG$9323,I1)</f>
        <v>140</v>
      </c>
      <c r="K5" s="39"/>
      <c r="L5" s="39"/>
      <c r="M5" s="40">
        <f>AVERAGEIFS($N$13:$N$9323,$AG$13:$AG$9323,I1)</f>
        <v>38.584642857013804</v>
      </c>
      <c r="N5" s="38">
        <f t="array" ref="N5">MIN(IF($AG$13:$AG$9323=I1,IF(ISNUMBER($N$13:$N$9323),IF($N$13:$N$9323&gt;0,$N$13:$N$9323))))</f>
        <v>34.766666663344949</v>
      </c>
      <c r="O5" s="3">
        <f t="array" ref="O5">MAX(IF($AG$13:$AG$9323=I1,IF(ISNUMBER($N$13:$N$9323),IF($N$13:$N$9323&gt;0,$N$13:$N$9323))))</f>
        <v>47.916666667442769</v>
      </c>
      <c r="P5" s="2"/>
      <c r="R5" s="169" t="s">
        <v>17</v>
      </c>
      <c r="S5" s="193">
        <f>COUNTIFS($N$13:$N$9323,"&gt;0",$AG$13:$AG$9323,R1)</f>
        <v>45</v>
      </c>
      <c r="T5" s="194"/>
      <c r="U5" s="194"/>
      <c r="V5" s="190">
        <f>AVERAGEIFS($N$13:$N$9323,$AG$13:$AG$9323,R1)</f>
        <v>15.234074073843658</v>
      </c>
      <c r="W5" s="191">
        <f t="array" ref="W5">MIN(IF($AG$13:$AG$9323=R1,IF(ISNUMBER($N$13:$N$9323),IF($N$13:$N$9323&gt;0,$N$13:$N$9323))))</f>
        <v>12.800000006100163</v>
      </c>
      <c r="X5" s="192">
        <f t="array" ref="X5">MAX(IF($AG$13:$AG$9323=R1,IF(ISNUMBER($N$13:$N$9323),IF($N$13:$N$9323&gt;0,$N$13:$N$9323))))</f>
        <v>21.016666665673256</v>
      </c>
      <c r="Y5" s="198"/>
      <c r="Z5" s="198"/>
      <c r="AA5" s="198"/>
      <c r="AB5" s="55"/>
      <c r="AC5" s="49"/>
      <c r="AD5" s="50"/>
      <c r="AE5" s="1"/>
      <c r="AF5" s="1"/>
      <c r="AG5" s="1"/>
      <c r="AH5" s="47"/>
      <c r="AI5" s="1"/>
      <c r="AM5" s="145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70" t="s">
        <v>43</v>
      </c>
      <c r="J6" s="48">
        <f>COUNT($O$13:$O$126)</f>
        <v>0</v>
      </c>
      <c r="K6" s="39"/>
      <c r="L6" s="39"/>
      <c r="M6" s="40">
        <f>IFERROR(AVERAGE($O$13:$O$126),0)</f>
        <v>0</v>
      </c>
      <c r="N6" s="38">
        <f>MIN($O$13:$O$126)</f>
        <v>0</v>
      </c>
      <c r="O6" s="3">
        <f>MAX($O$13:$O$126)</f>
        <v>0</v>
      </c>
      <c r="P6" s="2"/>
      <c r="R6" s="170" t="s">
        <v>43</v>
      </c>
      <c r="S6" s="193">
        <f>COUNT($O$13:$O$126)</f>
        <v>0</v>
      </c>
      <c r="T6" s="194"/>
      <c r="U6" s="194"/>
      <c r="V6" s="190">
        <f>IFERROR(AVERAGE($O$13:$O$126),0)</f>
        <v>0</v>
      </c>
      <c r="W6" s="191">
        <f>MIN($O$13:$O$126)</f>
        <v>0</v>
      </c>
      <c r="X6" s="192">
        <f>MAX($O$13:$O$126)</f>
        <v>0</v>
      </c>
      <c r="Y6" s="198"/>
      <c r="Z6" s="198"/>
      <c r="AA6" s="198"/>
      <c r="AB6" s="55"/>
      <c r="AC6" s="49"/>
      <c r="AD6" s="50"/>
      <c r="AE6" s="1"/>
      <c r="AF6" s="1"/>
      <c r="AG6" s="1"/>
      <c r="AH6" s="47"/>
      <c r="AI6" s="1"/>
      <c r="AM6" s="145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71" t="s">
        <v>9</v>
      </c>
      <c r="J7" s="48">
        <f>COUNTIFS($P$13:$P$9323,"&gt;0",$AG$13:$AG$9323,I1)</f>
        <v>4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71" t="s">
        <v>9</v>
      </c>
      <c r="S7" s="193">
        <f>COUNTIFS($P$13:$P$9323,"&gt;0",$AG$13:$AG$9323,R1)</f>
        <v>2</v>
      </c>
      <c r="T7" s="194"/>
      <c r="U7" s="194"/>
      <c r="V7" s="190" t="s">
        <v>15</v>
      </c>
      <c r="W7" s="191" t="s">
        <v>15</v>
      </c>
      <c r="X7" s="192" t="s">
        <v>15</v>
      </c>
      <c r="Y7" s="198"/>
      <c r="Z7" s="198"/>
      <c r="AA7" s="198"/>
      <c r="AB7" s="55"/>
      <c r="AC7" s="49"/>
      <c r="AD7" s="50"/>
      <c r="AE7" s="1"/>
      <c r="AF7" s="1"/>
      <c r="AG7" s="1"/>
      <c r="AH7" s="47"/>
      <c r="AI7" s="1"/>
      <c r="AM7" s="145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9" t="s">
        <v>16</v>
      </c>
      <c r="J8" s="48">
        <f>J5</f>
        <v>140</v>
      </c>
      <c r="K8" s="39"/>
      <c r="L8" s="39"/>
      <c r="M8" s="40">
        <f>M5</f>
        <v>38.584642857013804</v>
      </c>
      <c r="N8" s="38">
        <f>N5</f>
        <v>34.766666663344949</v>
      </c>
      <c r="O8" s="3">
        <f>O5</f>
        <v>47.916666667442769</v>
      </c>
      <c r="P8" s="2"/>
      <c r="R8" s="169" t="s">
        <v>16</v>
      </c>
      <c r="S8" s="193">
        <f>S5</f>
        <v>45</v>
      </c>
      <c r="T8" s="194"/>
      <c r="U8" s="194"/>
      <c r="V8" s="190">
        <f>V5</f>
        <v>15.234074073843658</v>
      </c>
      <c r="W8" s="191">
        <f>W5</f>
        <v>12.800000006100163</v>
      </c>
      <c r="X8" s="192">
        <f>X5</f>
        <v>21.016666665673256</v>
      </c>
      <c r="Y8" s="198"/>
      <c r="Z8" s="198"/>
      <c r="AA8" s="198"/>
      <c r="AB8" s="55"/>
      <c r="AC8" s="49"/>
      <c r="AD8" s="50"/>
      <c r="AE8" s="1"/>
      <c r="AF8" s="1"/>
      <c r="AG8" s="1"/>
      <c r="AH8" s="47"/>
      <c r="AI8" s="1"/>
      <c r="AM8" s="145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9" t="s">
        <v>19</v>
      </c>
      <c r="J9" s="126">
        <f>J8/J4</f>
        <v>0.97222222222222221</v>
      </c>
      <c r="K9" s="41"/>
      <c r="L9" s="41"/>
      <c r="M9" s="72"/>
      <c r="N9" s="36"/>
      <c r="O9" s="73"/>
      <c r="P9" s="2"/>
      <c r="R9" s="169" t="s">
        <v>19</v>
      </c>
      <c r="S9" s="177">
        <f>S8/S4</f>
        <v>0.95744680851063835</v>
      </c>
      <c r="T9" s="181"/>
      <c r="U9" s="181"/>
      <c r="V9" s="195"/>
      <c r="W9" s="181"/>
      <c r="X9" s="196"/>
      <c r="Y9" s="198"/>
      <c r="Z9" s="198"/>
      <c r="AA9" s="198"/>
      <c r="AB9" s="55"/>
      <c r="AC9" s="49"/>
      <c r="AD9" s="50"/>
      <c r="AE9" s="1"/>
      <c r="AF9" s="1"/>
      <c r="AG9" s="1"/>
      <c r="AH9" s="47"/>
      <c r="AI9" s="1"/>
      <c r="AM9" s="145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7"/>
      <c r="S10" s="174"/>
      <c r="T10" s="179"/>
      <c r="U10" s="179"/>
      <c r="V10" s="197"/>
      <c r="W10" s="198"/>
      <c r="X10" s="198"/>
      <c r="Y10" s="198"/>
      <c r="Z10" s="198"/>
      <c r="AA10" s="198"/>
      <c r="AB10" s="55"/>
      <c r="AC10" s="49"/>
      <c r="AD10" s="50"/>
      <c r="AE10" s="1"/>
      <c r="AF10" s="1"/>
      <c r="AG10" s="1"/>
      <c r="AH10" s="47"/>
      <c r="AI10" s="1"/>
      <c r="AM10" s="145"/>
    </row>
    <row r="11" spans="1:91" ht="16.5" thickBot="1" x14ac:dyDescent="0.3">
      <c r="A11" s="211" t="str">
        <f>"Eagle P3 System Performance - "&amp;TEXT(Variables!A2,"yyyy-mm-dd")</f>
        <v>Eagle P3 System Performance - 2017-06-05</v>
      </c>
      <c r="B11" s="211"/>
      <c r="C11" s="211"/>
      <c r="D11" s="211"/>
      <c r="E11" s="211"/>
      <c r="F11" s="211"/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S11" s="174">
        <f>AVERAGE(S13:S100)</f>
        <v>1</v>
      </c>
      <c r="V11" s="197"/>
      <c r="AE11" s="1"/>
      <c r="AF11" s="1"/>
      <c r="AG11" s="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4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72" t="s">
        <v>24</v>
      </c>
      <c r="S12" s="175" t="s">
        <v>63</v>
      </c>
      <c r="T12" s="199" t="s">
        <v>64</v>
      </c>
      <c r="U12" s="199" t="s">
        <v>65</v>
      </c>
      <c r="V12" s="200" t="s">
        <v>45</v>
      </c>
      <c r="W12" s="201" t="s">
        <v>23</v>
      </c>
      <c r="X12" s="201" t="s">
        <v>48</v>
      </c>
      <c r="Y12" s="201" t="s">
        <v>20</v>
      </c>
      <c r="Z12" s="201" t="s">
        <v>21</v>
      </c>
      <c r="AA12" s="201" t="s">
        <v>22</v>
      </c>
      <c r="AB12" s="56" t="s">
        <v>39</v>
      </c>
      <c r="AC12" s="52" t="s">
        <v>40</v>
      </c>
      <c r="AD12" s="51" t="s">
        <v>82</v>
      </c>
      <c r="AE12" s="79" t="s">
        <v>89</v>
      </c>
      <c r="AF12" s="76" t="s">
        <v>94</v>
      </c>
      <c r="AG12" s="4" t="s">
        <v>107</v>
      </c>
      <c r="AH12" s="82" t="s">
        <v>109</v>
      </c>
      <c r="AI12" s="98" t="s">
        <v>145</v>
      </c>
      <c r="AJ12" s="46" t="s">
        <v>146</v>
      </c>
      <c r="AK12" s="46" t="s">
        <v>119</v>
      </c>
      <c r="AL12" s="46" t="s">
        <v>147</v>
      </c>
      <c r="AM12" s="146" t="s">
        <v>197</v>
      </c>
      <c r="AN12" s="46" t="s">
        <v>346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633</v>
      </c>
      <c r="B13" s="7">
        <v>4058</v>
      </c>
      <c r="C13" s="21" t="s">
        <v>204</v>
      </c>
      <c r="D13" s="21" t="s">
        <v>831</v>
      </c>
      <c r="E13" s="13">
        <v>42891.130902777775</v>
      </c>
      <c r="F13" s="13">
        <v>42891.135706018518</v>
      </c>
      <c r="G13" s="7">
        <v>1</v>
      </c>
      <c r="H13" s="21" t="s">
        <v>527</v>
      </c>
      <c r="I13" s="13">
        <v>42891.161064814813</v>
      </c>
      <c r="J13" s="7">
        <v>0</v>
      </c>
      <c r="K13" s="92" t="str">
        <f t="shared" ref="K13:K76" si="0">IF(ISEVEN(B13),(B13-1)&amp;"/"&amp;B13,B13&amp;"/"&amp;(B13+1))</f>
        <v>4057/4058</v>
      </c>
      <c r="L13" s="21" t="str">
        <f>VLOOKUP(A13,'Trips&amp;Operators'!$C$1:$G$99999,5,FALSE)</f>
        <v>MAELZER KURT</v>
      </c>
      <c r="M13" s="6">
        <f t="shared" ref="M13:M76" si="1">I13-F13</f>
        <v>2.5358796294312924E-2</v>
      </c>
      <c r="N13" s="7">
        <f t="shared" ref="N13:N26" si="2">24*60*SUM($M13:$M13)</f>
        <v>36.516666663810611</v>
      </c>
      <c r="O13" s="7"/>
      <c r="P13" s="7"/>
      <c r="Q13" s="22"/>
      <c r="R13" s="173"/>
      <c r="S13" s="176">
        <f t="shared" ref="S13:S44" si="3">SUM(U13:U13)/IF(AG13="EC",12,1)</f>
        <v>1</v>
      </c>
      <c r="T13" s="202" t="str">
        <f t="shared" ref="T13:T76" si="4">IF(ISEVEN(LEFT(AD13,4)),"Southbound","NorthBound")</f>
        <v>NorthBound</v>
      </c>
      <c r="U13" s="202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03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-06-05T02:08:30-0600',mode:absolute,to:'2017-06-05T04:51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3" s="204" t="str">
        <f t="shared" ref="W13:W76" si="6">IF(AA13&lt;IF(AG13="EC",23,5.65),"Y","N")</f>
        <v>N</v>
      </c>
      <c r="X13" s="204" t="e">
        <f t="shared" ref="X13:X44" si="7">VALUE(LEFT(AD13,4))-VALUE(LEFT(AD12,4))</f>
        <v>#VALUE!</v>
      </c>
      <c r="Y13" s="204">
        <f t="shared" ref="Y13:Y44" si="8">RIGHT(D13,LEN(D13)-4)/10000</f>
        <v>7.6100000000000001E-2</v>
      </c>
      <c r="Z13" s="204">
        <f t="shared" ref="Z13:Z44" si="9">RIGHT(H13,LEN(H13)-4)/10000</f>
        <v>23.331</v>
      </c>
      <c r="AA13" s="204">
        <f t="shared" ref="AA13:AA76" si="10">ABS(Z13-Y13)</f>
        <v>23.254899999999999</v>
      </c>
      <c r="AB13" s="57" t="e">
        <f>VLOOKUP(A13,Enforcements!$C$7:$K$13,8,0)</f>
        <v>#N/A</v>
      </c>
      <c r="AC13" s="53" t="e">
        <f>VLOOKUP(A13,Enforcements!$C$7:$E$13,3,0)</f>
        <v>#N/A</v>
      </c>
      <c r="AD13" s="54" t="str">
        <f t="shared" ref="AD13:AD76" si="11">IF(LEN(A13)=6,"0"&amp;A13,A13)</f>
        <v>0101-05</v>
      </c>
      <c r="AE13" s="80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s3://rtdc.mdm.uploadarchive.raw/RTDC4058/ "%USERPROFILE%\AppData\Local\Temp\OnboardLogs"\RTDC4058\2017-06-05 --exclude "*" --recursive --include "*20170605*" &amp; "%USERPROFILE%\Documents\GitHub\mrs-test-scripts\Headless Mode &amp; Sideloading\WalkAndUnGZ.bat" "%USERPROFILE%\AppData\Local\Temp\OnboardLogs"\RTDC4058\2017-06-05 &amp; aws s3 cp s3://rtdc.mdm.uploadarchive.raw/RTDC4058/ "%USERPROFILE%\AppData\Local\Temp\OnboardLogs"\RTDC4058\2017-06-06 --exclude "*" --recursive --include "*20170606*" &amp; "%USERPROFILE%\Documents\GitHub\mrs-test-scripts\Headless Mode &amp; Sideloading\WalkAndUnGZ.bat" "%USERPROFILE%\AppData\Local\Temp\OnboardLogs"\RTDC4058\2017-06-06</v>
      </c>
      <c r="AF13" s="77" t="str">
        <f t="shared" ref="AF13:AF76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/stypes="app*4058*20170605*" /stext=" 09:.+((SYSTEM_STATE.+slice.+state.+changed )|(ment ac)|(multiple cpu faults)|(system.+state.+changed )|(\[timeout)|(PRM\|1\|D)|(kpr)|(kdp)|(train st.+moving)|(\|lc)|(penalty))"</v>
      </c>
      <c r="AG13" s="1" t="str">
        <f t="shared" ref="AG13:AG76" si="14">IFERROR(IF(VALUE(LEFT(AD13,2))&lt;=2,"EC",IF(OR(VALUE(LEFT(AD13,2))=8,VALUE(LEFT(AD13,2))=18),"NW","Other")),"Other")</f>
        <v>EC</v>
      </c>
      <c r="AH13" s="81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101-05 --locoid 4058 --swversion DE.1.0.9.0 --startMP 204:761 --initTime 2017-06-05T03:08:30 --startdatetime 2017-06-05T03:15:25 --delay 1 --endMP 204:233310 --enddatetime 2017-06-05T03:51:56 --enforcementcount 0 &gt;&gt;C:\Users\stu\Documents\GitHub\eaglep3-reporting\EC\2017-06-05-refined-times.txt</v>
      </c>
      <c r="AI13" s="9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{"issue":{"subject":"","project_id":79,"tracker_id":40,"status_id":1,"priority_id":2,"assigned_to_id":23,"start_date":"2017-06-05","description":"","custom_fields":[{"id":1,"name":"Subdivision","value":"EC"},{"id":4,"name":"Milepost","value":"23.331"},{"id":17,"name":"Train ID","value":"101-05"},{"id":16,"name":"Locomotive ID","value":"4058"},{"id":130,"name":"Impact","value":""},{"id":150,"name":"Time of Event (Mountain Time)","value":"03:51:56"},{"id":151,"name":"Denver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5" t="str">
        <f t="shared" ref="AM13" si="17">"start /low /b "&amp;dls3logs&amp;" --loco "&amp;B13&amp;" --day "&amp;TEXT(F13,"YYYY-MM-DD")</f>
        <v>start /low /b %USERPROFILE%\Documents\GitHub\eaglep3\Utilities\DownloadLogsFromS3.py --loco 4058 --day 2017-06-05</v>
      </c>
      <c r="AN13" s="154" t="str">
        <f t="shared" ref="AN13" si="18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09:51:56"},{"id":29,"name":"Sharepoint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640</v>
      </c>
      <c r="B14" s="7">
        <v>4057</v>
      </c>
      <c r="C14" s="21" t="s">
        <v>204</v>
      </c>
      <c r="D14" s="21" t="s">
        <v>432</v>
      </c>
      <c r="E14" s="13">
        <v>42891.169502314813</v>
      </c>
      <c r="F14" s="13">
        <v>42891.175358796296</v>
      </c>
      <c r="G14" s="7">
        <v>1</v>
      </c>
      <c r="H14" s="21" t="s">
        <v>354</v>
      </c>
      <c r="I14" s="13">
        <v>42891.202430555553</v>
      </c>
      <c r="J14" s="7">
        <v>0</v>
      </c>
      <c r="K14" s="92" t="str">
        <f t="shared" si="0"/>
        <v>4057/4058</v>
      </c>
      <c r="L14" s="21" t="str">
        <f>VLOOKUP(A14,'Trips&amp;Operators'!$C$1:$G$99999,5,FALSE)</f>
        <v>MAELZER KURT</v>
      </c>
      <c r="M14" s="6">
        <f t="shared" si="1"/>
        <v>2.7071759257523809E-2</v>
      </c>
      <c r="N14" s="7">
        <f t="shared" si="2"/>
        <v>38.983333330834284</v>
      </c>
      <c r="O14" s="7"/>
      <c r="P14" s="7"/>
      <c r="Q14" s="22"/>
      <c r="R14" s="173"/>
      <c r="S14" s="176">
        <f t="shared" si="3"/>
        <v>1</v>
      </c>
      <c r="T14" s="202" t="str">
        <f t="shared" si="4"/>
        <v>Southbound</v>
      </c>
      <c r="U14" s="202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03" t="str">
        <f t="shared" si="5"/>
        <v>https://d0f6bd738d7f1b3e5a7ca70fe4ff75f0.us-east-1.aws.found.io/app/kibana#/discover/Steve-Slow-Train-Analysis-(2080s-and-2083s)?_g=(refreshInterval:(display:Off,pause:!f,section:0,value:0),time:(from:'2017-06-05T03:04:05-0600',mode:absolute,to:'2017-06-05T05:51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4" s="204" t="str">
        <f t="shared" si="6"/>
        <v>N</v>
      </c>
      <c r="X14" s="204">
        <f t="shared" si="7"/>
        <v>1</v>
      </c>
      <c r="Y14" s="204">
        <f t="shared" si="8"/>
        <v>23.299800000000001</v>
      </c>
      <c r="Z14" s="204">
        <f t="shared" si="9"/>
        <v>1.43E-2</v>
      </c>
      <c r="AA14" s="204">
        <f t="shared" si="10"/>
        <v>23.285500000000003</v>
      </c>
      <c r="AB14" s="57" t="e">
        <f>VLOOKUP(A14,Enforcements!$C$7:$K$13,8,0)</f>
        <v>#N/A</v>
      </c>
      <c r="AC14" s="53" t="e">
        <f>VLOOKUP(A14,Enforcements!$C$7:$E$13,3,0)</f>
        <v>#N/A</v>
      </c>
      <c r="AD14" s="54" t="str">
        <f t="shared" si="11"/>
        <v>0102-05</v>
      </c>
      <c r="AE14" s="80" t="str">
        <f t="shared" si="12"/>
        <v>aws s3 cp s3://rtdc.mdm.uploadarchive.raw/RTDC4057/ "%USERPROFILE%\AppData\Local\Temp\OnboardLogs"\RTDC4057\2017-06-05 --exclude "*" --recursive --include "*20170605*" &amp; "%USERPROFILE%\Documents\GitHub\mrs-test-scripts\Headless Mode &amp; Sideloading\WalkAndUnGZ.bat" "%USERPROFILE%\AppData\Local\Temp\OnboardLogs"\RTDC4057\2017-06-05 &amp; aws s3 cp s3://rtdc.mdm.uploadarchive.raw/RTDC4057/ "%USERPROFILE%\AppData\Local\Temp\OnboardLogs"\RTDC4057\2017-06-06 --exclude "*" --recursive --include "*20170606*" &amp; "%USERPROFILE%\Documents\GitHub\mrs-test-scripts\Headless Mode &amp; Sideloading\WalkAndUnGZ.bat" "%USERPROFILE%\AppData\Local\Temp\OnboardLogs"\RTDC4057\2017-06-06</v>
      </c>
      <c r="AF14" s="77" t="str">
        <f t="shared" si="13"/>
        <v>"C:\Program Files (x86)\AstroGrep\AstroGrep.exe" /e /r /s /spath="%USERPROFILE%\AppData\Local\Temp\OnboardLogs" /stypes="app*4057*20170605*" /stext=" 10:.+((SYSTEM_STATE.+slice.+state.+changed )|(ment ac)|(multiple cpu faults)|(system.+state.+changed )|(\[timeout)|(PRM\|1\|D)|(kpr)|(kdp)|(train st.+moving)|(\|lc)|(penalty))"</v>
      </c>
      <c r="AG14" s="1" t="str">
        <f t="shared" si="14"/>
        <v>EC</v>
      </c>
      <c r="AH14" s="81" t="str">
        <f t="shared" ref="AH14:AH76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102-05 --locoid 4057 --swversion DE.1.0.9.0 --startMP 204:232998 --initTime 2017-06-05T04:04:05 --startdatetime 2017-06-05T04:12:31 --delay 1 --endMP 204:143 --enddatetime 2017-06-05T04:51:30 --enforcementcount 0 &gt;&gt;C:\Users\stu\Documents\GitHub\eaglep3-reporting\EC\2017-06-05-refined-times.txt</v>
      </c>
      <c r="AI14" s="99" t="str">
        <f t="shared" ref="AI14:AI76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{"issue":{"subject":"","project_id":79,"tracker_id":40,"status_id":1,"priority_id":2,"assigned_to_id":23,"start_date":"2017-06-05","description":"","custom_fields":[{"id":1,"name":"Subdivision","value":"EC"},{"id":4,"name":"Milepost","value":"0.0143"},{"id":17,"name":"Train ID","value":"102-05"},{"id":16,"name":"Locomotive ID","value":"4057"},{"id":130,"name":"Impact","value":""},{"id":150,"name":"Time of Event (Mountain Time)","value":"04:51:30"},{"id":151,"name":"Denver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5" t="str">
        <f t="shared" ref="AM14:AM76" si="21">"start /low /b "&amp;dls3logs&amp;" --loco "&amp;B14&amp;" --day "&amp;TEXT(F14,"YYYY-MM-DD")</f>
        <v>start /low /b %USERPROFILE%\Documents\GitHub\eaglep3\Utilities\DownloadLogsFromS3.py --loco 4057 --day 2017-06-05</v>
      </c>
      <c r="AN14" s="154" t="str">
        <f t="shared" ref="AN14:AN76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10:51:30"},{"id":29,"name":"Sharepoint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636</v>
      </c>
      <c r="B15" s="7">
        <v>4020</v>
      </c>
      <c r="C15" s="21" t="s">
        <v>204</v>
      </c>
      <c r="D15" s="21" t="s">
        <v>832</v>
      </c>
      <c r="E15" s="13">
        <v>42891.146423611113</v>
      </c>
      <c r="F15" s="13">
        <v>42891.156493055554</v>
      </c>
      <c r="G15" s="7">
        <v>1</v>
      </c>
      <c r="H15" s="21" t="s">
        <v>472</v>
      </c>
      <c r="I15" s="13">
        <v>42891.182384259257</v>
      </c>
      <c r="J15" s="7">
        <v>0</v>
      </c>
      <c r="K15" s="92" t="str">
        <f t="shared" si="0"/>
        <v>4019/4020</v>
      </c>
      <c r="L15" s="21" t="str">
        <f>VLOOKUP(A15,'Trips&amp;Operators'!$C$1:$G$99999,5,FALSE)</f>
        <v>THOMPSON LESTER</v>
      </c>
      <c r="M15" s="6">
        <f t="shared" si="1"/>
        <v>2.5891203702485655E-2</v>
      </c>
      <c r="N15" s="7">
        <f t="shared" si="2"/>
        <v>37.283333331579342</v>
      </c>
      <c r="O15" s="7"/>
      <c r="P15" s="7"/>
      <c r="Q15" s="22"/>
      <c r="R15" s="173"/>
      <c r="S15" s="176">
        <f t="shared" si="3"/>
        <v>1</v>
      </c>
      <c r="T15" s="202" t="str">
        <f t="shared" si="4"/>
        <v>NorthBound</v>
      </c>
      <c r="U15" s="202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03" t="str">
        <f t="shared" si="5"/>
        <v>https://d0f6bd738d7f1b3e5a7ca70fe4ff75f0.us-east-1.aws.found.io/app/kibana#/discover/Steve-Slow-Train-Analysis-(2080s-and-2083s)?_g=(refreshInterval:(display:Off,pause:!f,section:0,value:0),time:(from:'2017-06-05T02:30:51-0600',mode:absolute,to:'2017-06-05T05:22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" s="204" t="str">
        <f t="shared" si="6"/>
        <v>N</v>
      </c>
      <c r="X15" s="204">
        <f t="shared" si="7"/>
        <v>1</v>
      </c>
      <c r="Y15" s="204">
        <f t="shared" si="8"/>
        <v>4.2900000000000001E-2</v>
      </c>
      <c r="Z15" s="204">
        <f t="shared" si="9"/>
        <v>23.3309</v>
      </c>
      <c r="AA15" s="204">
        <f t="shared" si="10"/>
        <v>23.288</v>
      </c>
      <c r="AB15" s="57" t="e">
        <f>VLOOKUP(A15,Enforcements!$C$7:$K$13,8,0)</f>
        <v>#N/A</v>
      </c>
      <c r="AC15" s="53" t="e">
        <f>VLOOKUP(A15,Enforcements!$C$7:$E$13,3,0)</f>
        <v>#N/A</v>
      </c>
      <c r="AD15" s="54" t="str">
        <f t="shared" si="11"/>
        <v>0103-05</v>
      </c>
      <c r="AE15" s="80" t="str">
        <f t="shared" si="12"/>
        <v>aws s3 cp s3://rtdc.mdm.uploadarchive.raw/RTDC4020/ "%USERPROFILE%\AppData\Local\Temp\OnboardLogs"\RTDC4020\2017-06-05 --exclude "*" --recursive --include "*20170605*" &amp; "%USERPROFILE%\Documents\GitHub\mrs-test-scripts\Headless Mode &amp; Sideloading\WalkAndUnGZ.bat" "%USERPROFILE%\AppData\Local\Temp\OnboardLogs"\RTDC4020\2017-06-05 &amp; aws s3 cp s3://rtdc.mdm.uploadarchive.raw/RTDC4020/ "%USERPROFILE%\AppData\Local\Temp\OnboardLogs"\RTDC4020\2017-06-06 --exclude "*" --recursive --include "*20170606*" &amp; "%USERPROFILE%\Documents\GitHub\mrs-test-scripts\Headless Mode &amp; Sideloading\WalkAndUnGZ.bat" "%USERPROFILE%\AppData\Local\Temp\OnboardLogs"\RTDC4020\2017-06-06</v>
      </c>
      <c r="AF15" s="77" t="str">
        <f t="shared" si="13"/>
        <v>"C:\Program Files (x86)\AstroGrep\AstroGrep.exe" /e /r /s /spath="%USERPROFILE%\AppData\Local\Temp\OnboardLogs" /stypes="app*4020*20170605*" /stext=" 10:.+((SYSTEM_STATE.+slice.+state.+changed )|(ment ac)|(multiple cpu faults)|(system.+state.+changed )|(\[timeout)|(PRM\|1\|D)|(kpr)|(kdp)|(train st.+moving)|(\|lc)|(penalty))"</v>
      </c>
      <c r="AG15" s="1" t="str">
        <f t="shared" si="14"/>
        <v>EC</v>
      </c>
      <c r="AH15" s="81" t="str">
        <f t="shared" si="19"/>
        <v>"%USERPROFILE%\Documents\GitHub\eaglep3\Utilities\RefineRTDCRunTimes.py" --tripid 103-05 --locoid 4020 --swversion DE.1.0.9.0 --startMP 204:429 --initTime 2017-06-05T03:30:51 --startdatetime 2017-06-05T03:45:21 --delay 1 --endMP 204:233309 --enddatetime 2017-06-05T04:22:38 --enforcementcount 0 &gt;&gt;C:\Users\stu\Documents\GitHub\eaglep3-reporting\EC\2017-06-05-refined-times.txt</v>
      </c>
      <c r="AI15" s="99" t="str">
        <f t="shared" si="20"/>
        <v>echo {"issue":{"subject":"","project_id":79,"tracker_id":40,"status_id":1,"priority_id":2,"assigned_to_id":23,"start_date":"2017-06-05","description":"","custom_fields":[{"id":1,"name":"Subdivision","value":"EC"},{"id":4,"name":"Milepost","value":"23.3309"},{"id":17,"name":"Train ID","value":"103-05"},{"id":16,"name":"Locomotive ID","value":"4020"},{"id":130,"name":"Impact","value":""},{"id":150,"name":"Time of Event (Mountain Time)","value":"04:22:38"},{"id":151,"name":"Denver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5" t="str">
        <f t="shared" si="21"/>
        <v>start /low /b %USERPROFILE%\Documents\GitHub\eaglep3\Utilities\DownloadLogsFromS3.py --loco 4020 --day 2017-06-05</v>
      </c>
      <c r="AN15" s="154" t="str">
        <f t="shared" si="2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10:22:38"},{"id":29,"name":"Sharepoint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645</v>
      </c>
      <c r="B16" s="7">
        <v>4019</v>
      </c>
      <c r="C16" s="21" t="s">
        <v>204</v>
      </c>
      <c r="D16" s="21" t="s">
        <v>833</v>
      </c>
      <c r="E16" s="13">
        <v>42891.193032407406</v>
      </c>
      <c r="F16" s="13">
        <v>42891.19599537037</v>
      </c>
      <c r="G16" s="7">
        <v>1</v>
      </c>
      <c r="H16" s="21" t="s">
        <v>466</v>
      </c>
      <c r="I16" s="13">
        <v>42891.22383101852</v>
      </c>
      <c r="J16" s="7">
        <v>0</v>
      </c>
      <c r="K16" s="92" t="str">
        <f t="shared" si="0"/>
        <v>4019/4020</v>
      </c>
      <c r="L16" s="21" t="str">
        <f>VLOOKUP(A16,'Trips&amp;Operators'!$C$1:$G$99999,5,FALSE)</f>
        <v>THOMPSON LESTER</v>
      </c>
      <c r="M16" s="6">
        <f t="shared" si="1"/>
        <v>2.7835648150357883E-2</v>
      </c>
      <c r="N16" s="7">
        <f t="shared" si="2"/>
        <v>40.083333336515352</v>
      </c>
      <c r="O16" s="7"/>
      <c r="P16" s="7"/>
      <c r="Q16" s="22"/>
      <c r="R16" s="173"/>
      <c r="S16" s="176">
        <f t="shared" si="3"/>
        <v>1</v>
      </c>
      <c r="T16" s="202" t="str">
        <f t="shared" si="4"/>
        <v>Southbound</v>
      </c>
      <c r="U16" s="202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03" t="str">
        <f t="shared" si="5"/>
        <v>https://d0f6bd738d7f1b3e5a7ca70fe4ff75f0.us-east-1.aws.found.io/app/kibana#/discover/Steve-Slow-Train-Analysis-(2080s-and-2083s)?_g=(refreshInterval:(display:Off,pause:!f,section:0,value:0),time:(from:'2017-06-05T03:37:58-0600',mode:absolute,to:'2017-06-05T06:22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" s="204" t="str">
        <f t="shared" si="6"/>
        <v>N</v>
      </c>
      <c r="X16" s="204">
        <f t="shared" si="7"/>
        <v>1</v>
      </c>
      <c r="Y16" s="204">
        <f t="shared" si="8"/>
        <v>23.296099999999999</v>
      </c>
      <c r="Z16" s="204">
        <f t="shared" si="9"/>
        <v>1.5599999999999999E-2</v>
      </c>
      <c r="AA16" s="204">
        <f t="shared" si="10"/>
        <v>23.2805</v>
      </c>
      <c r="AB16" s="57" t="e">
        <f>VLOOKUP(A16,Enforcements!$C$7:$K$13,8,0)</f>
        <v>#N/A</v>
      </c>
      <c r="AC16" s="53" t="e">
        <f>VLOOKUP(A16,Enforcements!$C$7:$E$13,3,0)</f>
        <v>#N/A</v>
      </c>
      <c r="AD16" s="54" t="str">
        <f t="shared" si="11"/>
        <v>0104-05</v>
      </c>
      <c r="AE16" s="80" t="str">
        <f t="shared" si="12"/>
        <v>aws s3 cp s3://rtdc.mdm.uploadarchive.raw/RTDC4019/ "%USERPROFILE%\AppData\Local\Temp\OnboardLogs"\RTDC4019\2017-06-05 --exclude "*" --recursive --include "*20170605*" &amp; "%USERPROFILE%\Documents\GitHub\mrs-test-scripts\Headless Mode &amp; Sideloading\WalkAndUnGZ.bat" "%USERPROFILE%\AppData\Local\Temp\OnboardLogs"\RTDC4019\2017-06-05 &amp; aws s3 cp s3://rtdc.mdm.uploadarchive.raw/RTDC4019/ "%USERPROFILE%\AppData\Local\Temp\OnboardLogs"\RTDC4019\2017-06-06 --exclude "*" --recursive --include "*20170606*" &amp; "%USERPROFILE%\Documents\GitHub\mrs-test-scripts\Headless Mode &amp; Sideloading\WalkAndUnGZ.bat" "%USERPROFILE%\AppData\Local\Temp\OnboardLogs"\RTDC4019\2017-06-06</v>
      </c>
      <c r="AF16" s="77" t="str">
        <f t="shared" si="13"/>
        <v>"C:\Program Files (x86)\AstroGrep\AstroGrep.exe" /e /r /s /spath="%USERPROFILE%\AppData\Local\Temp\OnboardLogs" /stypes="app*4019*20170605*" /stext=" 11:.+((SYSTEM_STATE.+slice.+state.+changed )|(ment ac)|(multiple cpu faults)|(system.+state.+changed )|(\[timeout)|(PRM\|1\|D)|(kpr)|(kdp)|(train st.+moving)|(\|lc)|(penalty))"</v>
      </c>
      <c r="AG16" s="1" t="str">
        <f t="shared" si="14"/>
        <v>EC</v>
      </c>
      <c r="AH16" s="81" t="str">
        <f t="shared" si="19"/>
        <v>"%USERPROFILE%\Documents\GitHub\eaglep3\Utilities\RefineRTDCRunTimes.py" --tripid 104-05 --locoid 4019 --swversion DE.1.0.9.0 --startMP 204:232961 --initTime 2017-06-05T04:37:58 --startdatetime 2017-06-05T04:42:14 --delay 1 --endMP 204:156 --enddatetime 2017-06-05T05:22:19 --enforcementcount 0 &gt;&gt;C:\Users\stu\Documents\GitHub\eaglep3-reporting\EC\2017-06-05-refined-times.txt</v>
      </c>
      <c r="AI16" s="99" t="str">
        <f t="shared" si="20"/>
        <v>echo {"issue":{"subject":"","project_id":79,"tracker_id":40,"status_id":1,"priority_id":2,"assigned_to_id":23,"start_date":"2017-06-05","description":"","custom_fields":[{"id":1,"name":"Subdivision","value":"EC"},{"id":4,"name":"Milepost","value":"0.0156"},{"id":17,"name":"Train ID","value":"104-05"},{"id":16,"name":"Locomotive ID","value":"4019"},{"id":130,"name":"Impact","value":""},{"id":150,"name":"Time of Event (Mountain Time)","value":"05:22:19"},{"id":151,"name":"Denver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5" t="str">
        <f t="shared" si="21"/>
        <v>start /low /b %USERPROFILE%\Documents\GitHub\eaglep3\Utilities\DownloadLogsFromS3.py --loco 4019 --day 2017-06-05</v>
      </c>
      <c r="AN16" s="154" t="str">
        <f t="shared" si="2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11:22:19"},{"id":29,"name":"Sharepoint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642</v>
      </c>
      <c r="B17" s="7">
        <v>4016</v>
      </c>
      <c r="C17" s="21" t="s">
        <v>204</v>
      </c>
      <c r="D17" s="21" t="s">
        <v>201</v>
      </c>
      <c r="E17" s="13">
        <v>42891.17528935185</v>
      </c>
      <c r="F17" s="13">
        <v>42891.17728009259</v>
      </c>
      <c r="G17" s="7">
        <v>1</v>
      </c>
      <c r="H17" s="21" t="s">
        <v>459</v>
      </c>
      <c r="I17" s="13">
        <v>42891.202974537038</v>
      </c>
      <c r="J17" s="7">
        <v>0</v>
      </c>
      <c r="K17" s="92" t="str">
        <f t="shared" si="0"/>
        <v>4015/4016</v>
      </c>
      <c r="L17" s="21" t="str">
        <f>VLOOKUP(A17,'Trips&amp;Operators'!$C$1:$G$99999,5,FALSE)</f>
        <v>STARKS ANGELINA</v>
      </c>
      <c r="M17" s="6">
        <f t="shared" si="1"/>
        <v>2.5694444448163267E-2</v>
      </c>
      <c r="N17" s="7">
        <f t="shared" si="2"/>
        <v>37.000000005355105</v>
      </c>
      <c r="O17" s="7"/>
      <c r="P17" s="7"/>
      <c r="Q17" s="22"/>
      <c r="R17" s="173"/>
      <c r="S17" s="176">
        <f t="shared" si="3"/>
        <v>1</v>
      </c>
      <c r="T17" s="202" t="str">
        <f t="shared" si="4"/>
        <v>NorthBound</v>
      </c>
      <c r="U17" s="202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03" t="str">
        <f t="shared" si="5"/>
        <v>https://d0f6bd738d7f1b3e5a7ca70fe4ff75f0.us-east-1.aws.found.io/app/kibana#/discover/Steve-Slow-Train-Analysis-(2080s-and-2083s)?_g=(refreshInterval:(display:Off,pause:!f,section:0,value:0),time:(from:'2017-06-05T03:12:25-0600',mode:absolute,to:'2017-06-05T05:52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" s="204" t="str">
        <f t="shared" si="6"/>
        <v>N</v>
      </c>
      <c r="X17" s="204">
        <f t="shared" si="7"/>
        <v>1</v>
      </c>
      <c r="Y17" s="204">
        <f t="shared" si="8"/>
        <v>4.5999999999999999E-2</v>
      </c>
      <c r="Z17" s="204">
        <f t="shared" si="9"/>
        <v>23.329699999999999</v>
      </c>
      <c r="AA17" s="204">
        <f t="shared" si="10"/>
        <v>23.2837</v>
      </c>
      <c r="AB17" s="57" t="e">
        <f>VLOOKUP(A17,Enforcements!$C$7:$K$13,8,0)</f>
        <v>#N/A</v>
      </c>
      <c r="AC17" s="53" t="e">
        <f>VLOOKUP(A17,Enforcements!$C$7:$E$13,3,0)</f>
        <v>#N/A</v>
      </c>
      <c r="AD17" s="54" t="str">
        <f t="shared" si="11"/>
        <v>0105-05</v>
      </c>
      <c r="AE17" s="80" t="str">
        <f t="shared" si="12"/>
        <v>aws s3 cp s3://rtdc.mdm.uploadarchive.raw/RTDC4016/ "%USERPROFILE%\AppData\Local\Temp\OnboardLogs"\RTDC4016\2017-06-05 --exclude "*" --recursive --include "*20170605*" &amp; "%USERPROFILE%\Documents\GitHub\mrs-test-scripts\Headless Mode &amp; Sideloading\WalkAndUnGZ.bat" "%USERPROFILE%\AppData\Local\Temp\OnboardLogs"\RTDC4016\2017-06-05 &amp; aws s3 cp s3://rtdc.mdm.uploadarchive.raw/RTDC4016/ "%USERPROFILE%\AppData\Local\Temp\OnboardLogs"\RTDC4016\2017-06-06 --exclude "*" --recursive --include "*20170606*" &amp; "%USERPROFILE%\Documents\GitHub\mrs-test-scripts\Headless Mode &amp; Sideloading\WalkAndUnGZ.bat" "%USERPROFILE%\AppData\Local\Temp\OnboardLogs"\RTDC4016\2017-06-06</v>
      </c>
      <c r="AF17" s="77" t="str">
        <f t="shared" si="13"/>
        <v>"C:\Program Files (x86)\AstroGrep\AstroGrep.exe" /e /r /s /spath="%USERPROFILE%\AppData\Local\Temp\OnboardLogs" /stypes="app*4016*20170605*" /stext=" 10:.+((SYSTEM_STATE.+slice.+state.+changed )|(ment ac)|(multiple cpu faults)|(system.+state.+changed )|(\[timeout)|(PRM\|1\|D)|(kpr)|(kdp)|(train st.+moving)|(\|lc)|(penalty))"</v>
      </c>
      <c r="AG17" s="1" t="str">
        <f t="shared" si="14"/>
        <v>EC</v>
      </c>
      <c r="AH17" s="81" t="str">
        <f t="shared" si="19"/>
        <v>"%USERPROFILE%\Documents\GitHub\eaglep3\Utilities\RefineRTDCRunTimes.py" --tripid 105-05 --locoid 4016 --swversion DE.1.0.9.0 --startMP 204:460 --initTime 2017-06-05T04:12:25 --startdatetime 2017-06-05T04:15:17 --delay 1 --endMP 204:233297 --enddatetime 2017-06-05T04:52:17 --enforcementcount 0 &gt;&gt;C:\Users\stu\Documents\GitHub\eaglep3-reporting\EC\2017-06-05-refined-times.txt</v>
      </c>
      <c r="AI17" s="99" t="str">
        <f t="shared" si="20"/>
        <v>echo {"issue":{"subject":"","project_id":79,"tracker_id":40,"status_id":1,"priority_id":2,"assigned_to_id":23,"start_date":"2017-06-05","description":"","custom_fields":[{"id":1,"name":"Subdivision","value":"EC"},{"id":4,"name":"Milepost","value":"23.3297"},{"id":17,"name":"Train ID","value":"105-05"},{"id":16,"name":"Locomotive ID","value":"4016"},{"id":130,"name":"Impact","value":""},{"id":150,"name":"Time of Event (Mountain Time)","value":"04:52:17"},{"id":151,"name":"Denver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5" t="str">
        <f t="shared" si="21"/>
        <v>start /low /b %USERPROFILE%\Documents\GitHub\eaglep3\Utilities\DownloadLogsFromS3.py --loco 4016 --day 2017-06-05</v>
      </c>
      <c r="AN17" s="154" t="str">
        <f t="shared" si="2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10:52:17"},{"id":29,"name":"Sharepoint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651</v>
      </c>
      <c r="B18" s="7">
        <v>4015</v>
      </c>
      <c r="C18" s="21" t="s">
        <v>204</v>
      </c>
      <c r="D18" s="21" t="s">
        <v>834</v>
      </c>
      <c r="E18" s="13">
        <v>42891.204317129632</v>
      </c>
      <c r="F18" s="13">
        <v>42891.216828703706</v>
      </c>
      <c r="G18" s="7">
        <v>1</v>
      </c>
      <c r="H18" s="21" t="s">
        <v>437</v>
      </c>
      <c r="I18" s="13">
        <v>42891.244016203702</v>
      </c>
      <c r="J18" s="7">
        <v>0</v>
      </c>
      <c r="K18" s="92" t="str">
        <f t="shared" si="0"/>
        <v>4015/4016</v>
      </c>
      <c r="L18" s="21" t="str">
        <f>VLOOKUP(A18,'Trips&amp;Operators'!$C$1:$G$99999,5,FALSE)</f>
        <v>STARKS ANGELINA</v>
      </c>
      <c r="M18" s="6">
        <f t="shared" si="1"/>
        <v>2.7187499996216502E-2</v>
      </c>
      <c r="N18" s="7">
        <f t="shared" si="2"/>
        <v>39.149999994551763</v>
      </c>
      <c r="O18" s="7"/>
      <c r="P18" s="7"/>
      <c r="Q18" s="22"/>
      <c r="R18" s="173"/>
      <c r="S18" s="176">
        <f t="shared" si="3"/>
        <v>1</v>
      </c>
      <c r="T18" s="202" t="str">
        <f t="shared" si="4"/>
        <v>Southbound</v>
      </c>
      <c r="U18" s="202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03" t="str">
        <f t="shared" si="5"/>
        <v>https://d0f6bd738d7f1b3e5a7ca70fe4ff75f0.us-east-1.aws.found.io/app/kibana#/discover/Steve-Slow-Train-Analysis-(2080s-and-2083s)?_g=(refreshInterval:(display:Off,pause:!f,section:0,value:0),time:(from:'2017-06-05T03:54:13-0600',mode:absolute,to:'2017-06-05T06:51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" s="204" t="str">
        <f t="shared" si="6"/>
        <v>N</v>
      </c>
      <c r="X18" s="204">
        <f t="shared" si="7"/>
        <v>1</v>
      </c>
      <c r="Y18" s="204">
        <f t="shared" si="8"/>
        <v>23.298300000000001</v>
      </c>
      <c r="Z18" s="204">
        <f t="shared" si="9"/>
        <v>1.4500000000000001E-2</v>
      </c>
      <c r="AA18" s="204">
        <f t="shared" si="10"/>
        <v>23.283799999999999</v>
      </c>
      <c r="AB18" s="57" t="e">
        <f>VLOOKUP(A18,Enforcements!$C$7:$K$13,8,0)</f>
        <v>#N/A</v>
      </c>
      <c r="AC18" s="53" t="e">
        <f>VLOOKUP(A18,Enforcements!$C$7:$E$13,3,0)</f>
        <v>#N/A</v>
      </c>
      <c r="AD18" s="54" t="str">
        <f t="shared" si="11"/>
        <v>0106-05</v>
      </c>
      <c r="AE18" s="80" t="str">
        <f t="shared" si="12"/>
        <v>aws s3 cp s3://rtdc.mdm.uploadarchive.raw/RTDC4015/ "%USERPROFILE%\AppData\Local\Temp\OnboardLogs"\RTDC4015\2017-06-05 --exclude "*" --recursive --include "*20170605*" &amp; "%USERPROFILE%\Documents\GitHub\mrs-test-scripts\Headless Mode &amp; Sideloading\WalkAndUnGZ.bat" "%USERPROFILE%\AppData\Local\Temp\OnboardLogs"\RTDC4015\2017-06-05 &amp; aws s3 cp s3://rtdc.mdm.uploadarchive.raw/RTDC4015/ "%USERPROFILE%\AppData\Local\Temp\OnboardLogs"\RTDC4015\2017-06-06 --exclude "*" --recursive --include "*20170606*" &amp; "%USERPROFILE%\Documents\GitHub\mrs-test-scripts\Headless Mode &amp; Sideloading\WalkAndUnGZ.bat" "%USERPROFILE%\AppData\Local\Temp\OnboardLogs"\RTDC4015\2017-06-06</v>
      </c>
      <c r="AF18" s="77" t="str">
        <f t="shared" si="13"/>
        <v>"C:\Program Files (x86)\AstroGrep\AstroGrep.exe" /e /r /s /spath="%USERPROFILE%\AppData\Local\Temp\OnboardLogs" /stypes="app*4015*20170605*" /stext=" 11:.+((SYSTEM_STATE.+slice.+state.+changed )|(ment ac)|(multiple cpu faults)|(system.+state.+changed )|(\[timeout)|(PRM\|1\|D)|(kpr)|(kdp)|(train st.+moving)|(\|lc)|(penalty))"</v>
      </c>
      <c r="AG18" s="1" t="str">
        <f t="shared" si="14"/>
        <v>EC</v>
      </c>
      <c r="AH18" s="81" t="str">
        <f t="shared" si="19"/>
        <v>"%USERPROFILE%\Documents\GitHub\eaglep3\Utilities\RefineRTDCRunTimes.py" --tripid 106-05 --locoid 4015 --swversion DE.1.0.9.0 --startMP 204:232983 --initTime 2017-06-05T04:54:13 --startdatetime 2017-06-05T05:12:14 --delay 1 --endMP 204:145 --enddatetime 2017-06-05T05:51:23 --enforcementcount 0 &gt;&gt;C:\Users\stu\Documents\GitHub\eaglep3-reporting\EC\2017-06-05-refined-times.txt</v>
      </c>
      <c r="AI18" s="99" t="str">
        <f t="shared" si="20"/>
        <v>echo {"issue":{"subject":"","project_id":79,"tracker_id":40,"status_id":1,"priority_id":2,"assigned_to_id":23,"start_date":"2017-06-05","description":"","custom_fields":[{"id":1,"name":"Subdivision","value":"EC"},{"id":4,"name":"Milepost","value":"0.0145"},{"id":17,"name":"Train ID","value":"106-05"},{"id":16,"name":"Locomotive ID","value":"4015"},{"id":130,"name":"Impact","value":""},{"id":150,"name":"Time of Event (Mountain Time)","value":"05:51:23"},{"id":151,"name":"Denver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5" t="str">
        <f t="shared" si="21"/>
        <v>start /low /b %USERPROFILE%\Documents\GitHub\eaglep3\Utilities\DownloadLogsFromS3.py --loco 4015 --day 2017-06-05</v>
      </c>
      <c r="AN18" s="154" t="str">
        <f t="shared" si="2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11:51:23"},{"id":29,"name":"Sharepoint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644</v>
      </c>
      <c r="B19" s="7">
        <v>4042</v>
      </c>
      <c r="C19" s="21" t="s">
        <v>204</v>
      </c>
      <c r="D19" s="21" t="s">
        <v>349</v>
      </c>
      <c r="E19" s="13">
        <v>42891.185659722221</v>
      </c>
      <c r="F19" s="13">
        <v>42891.187754629631</v>
      </c>
      <c r="G19" s="7">
        <v>1</v>
      </c>
      <c r="H19" s="21" t="s">
        <v>835</v>
      </c>
      <c r="I19" s="13">
        <v>42891.21197916667</v>
      </c>
      <c r="J19" s="7">
        <v>0</v>
      </c>
      <c r="K19" s="92" t="str">
        <f t="shared" si="0"/>
        <v>4041/4042</v>
      </c>
      <c r="L19" s="21" t="str">
        <f>VLOOKUP(A19,'Trips&amp;Operators'!$C$1:$G$99999,5,FALSE)</f>
        <v>LALONDE GREGORY</v>
      </c>
      <c r="M19" s="6">
        <f t="shared" si="1"/>
        <v>2.4224537039117422E-2</v>
      </c>
      <c r="N19" s="7">
        <f t="shared" si="2"/>
        <v>34.883333336329088</v>
      </c>
      <c r="O19" s="7"/>
      <c r="P19" s="7"/>
      <c r="Q19" s="22"/>
      <c r="R19" s="173"/>
      <c r="S19" s="176">
        <f t="shared" si="3"/>
        <v>1</v>
      </c>
      <c r="T19" s="202" t="str">
        <f t="shared" si="4"/>
        <v>NorthBound</v>
      </c>
      <c r="U19" s="202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03" t="str">
        <f t="shared" si="5"/>
        <v>https://d0f6bd738d7f1b3e5a7ca70fe4ff75f0.us-east-1.aws.found.io/app/kibana#/discover/Steve-Slow-Train-Analysis-(2080s-and-2083s)?_g=(refreshInterval:(display:Off,pause:!f,section:0,value:0),time:(from:'2017-06-05T03:27:21-0600',mode:absolute,to:'2017-06-05T06:05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" s="204" t="str">
        <f t="shared" si="6"/>
        <v>N</v>
      </c>
      <c r="X19" s="204">
        <f t="shared" si="7"/>
        <v>1</v>
      </c>
      <c r="Y19" s="204">
        <f t="shared" si="8"/>
        <v>4.4600000000000001E-2</v>
      </c>
      <c r="Z19" s="204">
        <f t="shared" si="9"/>
        <v>23.332799999999999</v>
      </c>
      <c r="AA19" s="204">
        <f t="shared" si="10"/>
        <v>23.2882</v>
      </c>
      <c r="AB19" s="57" t="e">
        <f>VLOOKUP(A19,Enforcements!$C$7:$K$13,8,0)</f>
        <v>#N/A</v>
      </c>
      <c r="AC19" s="53" t="e">
        <f>VLOOKUP(A19,Enforcements!$C$7:$E$13,3,0)</f>
        <v>#N/A</v>
      </c>
      <c r="AD19" s="54" t="str">
        <f t="shared" si="11"/>
        <v>0107-05</v>
      </c>
      <c r="AE19" s="80" t="str">
        <f t="shared" si="12"/>
        <v>aws s3 cp s3://rtdc.mdm.uploadarchive.raw/RTDC4042/ "%USERPROFILE%\AppData\Local\Temp\OnboardLogs"\RTDC4042\2017-06-05 --exclude "*" --recursive --include "*20170605*" &amp; "%USERPROFILE%\Documents\GitHub\mrs-test-scripts\Headless Mode &amp; Sideloading\WalkAndUnGZ.bat" "%USERPROFILE%\AppData\Local\Temp\OnboardLogs"\RTDC4042\2017-06-05 &amp; aws s3 cp s3://rtdc.mdm.uploadarchive.raw/RTDC4042/ "%USERPROFILE%\AppData\Local\Temp\OnboardLogs"\RTDC4042\2017-06-06 --exclude "*" --recursive --include "*20170606*" &amp; "%USERPROFILE%\Documents\GitHub\mrs-test-scripts\Headless Mode &amp; Sideloading\WalkAndUnGZ.bat" "%USERPROFILE%\AppData\Local\Temp\OnboardLogs"\RTDC4042\2017-06-06</v>
      </c>
      <c r="AF19" s="77" t="str">
        <f t="shared" si="13"/>
        <v>"C:\Program Files (x86)\AstroGrep\AstroGrep.exe" /e /r /s /spath="%USERPROFILE%\AppData\Local\Temp\OnboardLogs" /stypes="app*4042*20170605*" /stext=" 11:.+((SYSTEM_STATE.+slice.+state.+changed )|(ment ac)|(multiple cpu faults)|(system.+state.+changed )|(\[timeout)|(PRM\|1\|D)|(kpr)|(kdp)|(train st.+moving)|(\|lc)|(penalty))"</v>
      </c>
      <c r="AG19" s="1" t="str">
        <f t="shared" si="14"/>
        <v>EC</v>
      </c>
      <c r="AH19" s="81" t="str">
        <f t="shared" si="19"/>
        <v>"%USERPROFILE%\Documents\GitHub\eaglep3\Utilities\RefineRTDCRunTimes.py" --tripid 107-05 --locoid 4042 --swversion DE.1.0.9.0 --startMP 204:446 --initTime 2017-06-05T04:27:21 --startdatetime 2017-06-05T04:30:22 --delay 1 --endMP 204:233328 --enddatetime 2017-06-05T05:05:15 --enforcementcount 0 &gt;&gt;C:\Users\stu\Documents\GitHub\eaglep3-reporting\EC\2017-06-05-refined-times.txt</v>
      </c>
      <c r="AI19" s="99" t="str">
        <f t="shared" si="20"/>
        <v>echo {"issue":{"subject":"","project_id":79,"tracker_id":40,"status_id":1,"priority_id":2,"assigned_to_id":23,"start_date":"2017-06-05","description":"","custom_fields":[{"id":1,"name":"Subdivision","value":"EC"},{"id":4,"name":"Milepost","value":"23.3328"},{"id":17,"name":"Train ID","value":"107-05"},{"id":16,"name":"Locomotive ID","value":"4042"},{"id":130,"name":"Impact","value":""},{"id":150,"name":"Time of Event (Mountain Time)","value":"05:05:15"},{"id":151,"name":"Denver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5" t="str">
        <f t="shared" si="21"/>
        <v>start /low /b %USERPROFILE%\Documents\GitHub\eaglep3\Utilities\DownloadLogsFromS3.py --loco 4042 --day 2017-06-05</v>
      </c>
      <c r="AN19" s="154" t="str">
        <f t="shared" si="2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11:05:15"},{"id":29,"name":"Sharepoint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655</v>
      </c>
      <c r="B20" s="7">
        <v>4041</v>
      </c>
      <c r="C20" s="21" t="s">
        <v>204</v>
      </c>
      <c r="D20" s="21" t="s">
        <v>538</v>
      </c>
      <c r="E20" s="13">
        <v>42891.214131944442</v>
      </c>
      <c r="F20" s="13">
        <v>42891.227233796293</v>
      </c>
      <c r="G20" s="7">
        <v>1</v>
      </c>
      <c r="H20" s="21" t="s">
        <v>350</v>
      </c>
      <c r="I20" s="13">
        <v>42891.253506944442</v>
      </c>
      <c r="J20" s="7">
        <v>0</v>
      </c>
      <c r="K20" s="92" t="str">
        <f t="shared" si="0"/>
        <v>4041/4042</v>
      </c>
      <c r="L20" s="21" t="str">
        <f>VLOOKUP(A20,'Trips&amp;Operators'!$C$1:$G$99999,5,FALSE)</f>
        <v>LALONDE GREGORY</v>
      </c>
      <c r="M20" s="6">
        <f t="shared" si="1"/>
        <v>2.6273148148902692E-2</v>
      </c>
      <c r="N20" s="7">
        <f t="shared" si="2"/>
        <v>37.833333334419876</v>
      </c>
      <c r="O20" s="7"/>
      <c r="P20" s="7"/>
      <c r="Q20" s="22"/>
      <c r="R20" s="173"/>
      <c r="S20" s="176">
        <f t="shared" si="3"/>
        <v>1</v>
      </c>
      <c r="T20" s="202" t="str">
        <f t="shared" si="4"/>
        <v>Southbound</v>
      </c>
      <c r="U20" s="202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03" t="str">
        <f t="shared" si="5"/>
        <v>https://d0f6bd738d7f1b3e5a7ca70fe4ff75f0.us-east-1.aws.found.io/app/kibana#/discover/Steve-Slow-Train-Analysis-(2080s-and-2083s)?_g=(refreshInterval:(display:Off,pause:!f,section:0,value:0),time:(from:'2017-06-05T04:08:21-0600',mode:absolute,to:'2017-06-05T07:05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" s="204" t="str">
        <f t="shared" si="6"/>
        <v>N</v>
      </c>
      <c r="X20" s="204">
        <f t="shared" si="7"/>
        <v>1</v>
      </c>
      <c r="Y20" s="204">
        <f t="shared" si="8"/>
        <v>23.300899999999999</v>
      </c>
      <c r="Z20" s="204">
        <f t="shared" si="9"/>
        <v>1.6E-2</v>
      </c>
      <c r="AA20" s="204">
        <f t="shared" si="10"/>
        <v>23.2849</v>
      </c>
      <c r="AB20" s="57" t="e">
        <f>VLOOKUP(A20,Enforcements!$C$7:$K$13,8,0)</f>
        <v>#N/A</v>
      </c>
      <c r="AC20" s="53" t="e">
        <f>VLOOKUP(A20,Enforcements!$C$7:$E$13,3,0)</f>
        <v>#N/A</v>
      </c>
      <c r="AD20" s="54" t="str">
        <f t="shared" si="11"/>
        <v>0108-05</v>
      </c>
      <c r="AE20" s="80" t="str">
        <f t="shared" si="12"/>
        <v>aws s3 cp s3://rtdc.mdm.uploadarchive.raw/RTDC4041/ "%USERPROFILE%\AppData\Local\Temp\OnboardLogs"\RTDC4041\2017-06-05 --exclude "*" --recursive --include "*20170605*" &amp; "%USERPROFILE%\Documents\GitHub\mrs-test-scripts\Headless Mode &amp; Sideloading\WalkAndUnGZ.bat" "%USERPROFILE%\AppData\Local\Temp\OnboardLogs"\RTDC4041\2017-06-05 &amp; aws s3 cp s3://rtdc.mdm.uploadarchive.raw/RTDC4041/ "%USERPROFILE%\AppData\Local\Temp\OnboardLogs"\RTDC4041\2017-06-06 --exclude "*" --recursive --include "*20170606*" &amp; "%USERPROFILE%\Documents\GitHub\mrs-test-scripts\Headless Mode &amp; Sideloading\WalkAndUnGZ.bat" "%USERPROFILE%\AppData\Local\Temp\OnboardLogs"\RTDC4041\2017-06-06</v>
      </c>
      <c r="AF20" s="77" t="str">
        <f t="shared" si="13"/>
        <v>"C:\Program Files (x86)\AstroGrep\AstroGrep.exe" /e /r /s /spath="%USERPROFILE%\AppData\Local\Temp\OnboardLogs" /stypes="app*4041*20170605*" /stext=" 12:.+((SYSTEM_STATE.+slice.+state.+changed )|(ment ac)|(multiple cpu faults)|(system.+state.+changed )|(\[timeout)|(PRM\|1\|D)|(kpr)|(kdp)|(train st.+moving)|(\|lc)|(penalty))"</v>
      </c>
      <c r="AG20" s="1" t="str">
        <f t="shared" si="14"/>
        <v>EC</v>
      </c>
      <c r="AH20" s="81" t="str">
        <f t="shared" si="19"/>
        <v>"%USERPROFILE%\Documents\GitHub\eaglep3\Utilities\RefineRTDCRunTimes.py" --tripid 108-05 --locoid 4041 --swversion DE.1.0.9.0 --startMP 204:233009 --initTime 2017-06-05T05:08:21 --startdatetime 2017-06-05T05:27:13 --delay 1 --endMP 204:160 --enddatetime 2017-06-05T06:05:03 --enforcementcount 0 &gt;&gt;C:\Users\stu\Documents\GitHub\eaglep3-reporting\EC\2017-06-05-refined-times.txt</v>
      </c>
      <c r="AI20" s="99" t="str">
        <f t="shared" si="20"/>
        <v>echo {"issue":{"subject":"","project_id":79,"tracker_id":40,"status_id":1,"priority_id":2,"assigned_to_id":23,"start_date":"2017-06-05","description":"","custom_fields":[{"id":1,"name":"Subdivision","value":"EC"},{"id":4,"name":"Milepost","value":"0.016"},{"id":17,"name":"Train ID","value":"108-05"},{"id":16,"name":"Locomotive ID","value":"4041"},{"id":130,"name":"Impact","value":""},{"id":150,"name":"Time of Event (Mountain Time)","value":"06:05:03"},{"id":151,"name":"Denver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5" t="str">
        <f t="shared" si="21"/>
        <v>start /low /b %USERPROFILE%\Documents\GitHub\eaglep3\Utilities\DownloadLogsFromS3.py --loco 4041 --day 2017-06-05</v>
      </c>
      <c r="AN20" s="154" t="str">
        <f t="shared" si="2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12:05:03"},{"id":29,"name":"Sharepoint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646</v>
      </c>
      <c r="B21" s="7">
        <v>4008</v>
      </c>
      <c r="C21" s="21" t="s">
        <v>204</v>
      </c>
      <c r="D21" s="21" t="s">
        <v>397</v>
      </c>
      <c r="E21" s="13">
        <v>42891.193379629629</v>
      </c>
      <c r="F21" s="13">
        <v>42891.198368055557</v>
      </c>
      <c r="G21" s="7">
        <v>1</v>
      </c>
      <c r="H21" s="21" t="s">
        <v>528</v>
      </c>
      <c r="I21" s="13">
        <v>42891.224224537036</v>
      </c>
      <c r="J21" s="7">
        <v>0</v>
      </c>
      <c r="K21" s="92" t="str">
        <f t="shared" si="0"/>
        <v>4007/4008</v>
      </c>
      <c r="L21" s="21" t="str">
        <f>VLOOKUP(A21,'Trips&amp;Operators'!$C$1:$G$99999,5,FALSE)</f>
        <v>WILLIAMS DONTE</v>
      </c>
      <c r="M21" s="6">
        <f t="shared" si="1"/>
        <v>2.5856481479422655E-2</v>
      </c>
      <c r="N21" s="7">
        <f t="shared" si="2"/>
        <v>37.233333330368623</v>
      </c>
      <c r="O21" s="7"/>
      <c r="P21" s="7"/>
      <c r="Q21" s="22"/>
      <c r="R21" s="173"/>
      <c r="S21" s="176">
        <f t="shared" si="3"/>
        <v>1</v>
      </c>
      <c r="T21" s="202" t="str">
        <f t="shared" si="4"/>
        <v>NorthBound</v>
      </c>
      <c r="U21" s="202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03" t="str">
        <f t="shared" si="5"/>
        <v>https://d0f6bd738d7f1b3e5a7ca70fe4ff75f0.us-east-1.aws.found.io/app/kibana#/discover/Steve-Slow-Train-Analysis-(2080s-and-2083s)?_g=(refreshInterval:(display:Off,pause:!f,section:0,value:0),time:(from:'2017-06-05T03:38:28-0600',mode:absolute,to:'2017-06-05T06:22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" s="204" t="str">
        <f t="shared" si="6"/>
        <v>N</v>
      </c>
      <c r="X21" s="204">
        <f t="shared" si="7"/>
        <v>1</v>
      </c>
      <c r="Y21" s="204">
        <f t="shared" si="8"/>
        <v>4.6199999999999998E-2</v>
      </c>
      <c r="Z21" s="204">
        <f t="shared" si="9"/>
        <v>23.330200000000001</v>
      </c>
      <c r="AA21" s="204">
        <f t="shared" si="10"/>
        <v>23.284000000000002</v>
      </c>
      <c r="AB21" s="57" t="e">
        <f>VLOOKUP(A21,Enforcements!$C$7:$K$13,8,0)</f>
        <v>#N/A</v>
      </c>
      <c r="AC21" s="53" t="e">
        <f>VLOOKUP(A21,Enforcements!$C$7:$E$13,3,0)</f>
        <v>#N/A</v>
      </c>
      <c r="AD21" s="54" t="str">
        <f t="shared" si="11"/>
        <v>0109-05</v>
      </c>
      <c r="AE21" s="80" t="str">
        <f t="shared" si="12"/>
        <v>aws s3 cp s3://rtdc.mdm.uploadarchive.raw/RTDC4008/ "%USERPROFILE%\AppData\Local\Temp\OnboardLogs"\RTDC4008\2017-06-05 --exclude "*" --recursive --include "*20170605*" &amp; "%USERPROFILE%\Documents\GitHub\mrs-test-scripts\Headless Mode &amp; Sideloading\WalkAndUnGZ.bat" "%USERPROFILE%\AppData\Local\Temp\OnboardLogs"\RTDC4008\2017-06-05 &amp; aws s3 cp s3://rtdc.mdm.uploadarchive.raw/RTDC4008/ "%USERPROFILE%\AppData\Local\Temp\OnboardLogs"\RTDC4008\2017-06-06 --exclude "*" --recursive --include "*20170606*" &amp; "%USERPROFILE%\Documents\GitHub\mrs-test-scripts\Headless Mode &amp; Sideloading\WalkAndUnGZ.bat" "%USERPROFILE%\AppData\Local\Temp\OnboardLogs"\RTDC4008\2017-06-06</v>
      </c>
      <c r="AF21" s="77" t="str">
        <f t="shared" si="13"/>
        <v>"C:\Program Files (x86)\AstroGrep\AstroGrep.exe" /e /r /s /spath="%USERPROFILE%\AppData\Local\Temp\OnboardLogs" /stypes="app*4008*20170605*" /stext=" 11:.+((SYSTEM_STATE.+slice.+state.+changed )|(ment ac)|(multiple cpu faults)|(system.+state.+changed )|(\[timeout)|(PRM\|1\|D)|(kpr)|(kdp)|(train st.+moving)|(\|lc)|(penalty))"</v>
      </c>
      <c r="AG21" s="1" t="str">
        <f t="shared" si="14"/>
        <v>EC</v>
      </c>
      <c r="AH21" s="81" t="str">
        <f t="shared" si="19"/>
        <v>"%USERPROFILE%\Documents\GitHub\eaglep3\Utilities\RefineRTDCRunTimes.py" --tripid 109-05 --locoid 4008 --swversion DE.1.0.9.0 --startMP 204:462 --initTime 2017-06-05T04:38:28 --startdatetime 2017-06-05T04:45:39 --delay 1 --endMP 204:233302 --enddatetime 2017-06-05T05:22:53 --enforcementcount 0 &gt;&gt;C:\Users\stu\Documents\GitHub\eaglep3-reporting\EC\2017-06-05-refined-times.txt</v>
      </c>
      <c r="AI21" s="99" t="str">
        <f t="shared" si="20"/>
        <v>echo {"issue":{"subject":"","project_id":79,"tracker_id":40,"status_id":1,"priority_id":2,"assigned_to_id":23,"start_date":"2017-06-05","description":"","custom_fields":[{"id":1,"name":"Subdivision","value":"EC"},{"id":4,"name":"Milepost","value":"23.3302"},{"id":17,"name":"Train ID","value":"109-05"},{"id":16,"name":"Locomotive ID","value":"4008"},{"id":130,"name":"Impact","value":""},{"id":150,"name":"Time of Event (Mountain Time)","value":"05:22:53"},{"id":151,"name":"Denver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5" t="str">
        <f t="shared" si="21"/>
        <v>start /low /b %USERPROFILE%\Documents\GitHub\eaglep3\Utilities\DownloadLogsFromS3.py --loco 4008 --day 2017-06-05</v>
      </c>
      <c r="AN21" s="154" t="str">
        <f t="shared" si="2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11:22:53"},{"id":29,"name":"Sharepoint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657</v>
      </c>
      <c r="B22" s="7">
        <v>4007</v>
      </c>
      <c r="C22" s="21" t="s">
        <v>204</v>
      </c>
      <c r="D22" s="21" t="s">
        <v>463</v>
      </c>
      <c r="E22" s="13">
        <v>42891.225752314815</v>
      </c>
      <c r="F22" s="13">
        <v>42891.237719907411</v>
      </c>
      <c r="G22" s="7">
        <v>1</v>
      </c>
      <c r="H22" s="21" t="s">
        <v>352</v>
      </c>
      <c r="I22" s="13">
        <v>42891.265601851854</v>
      </c>
      <c r="J22" s="7">
        <v>0</v>
      </c>
      <c r="K22" s="92" t="str">
        <f t="shared" si="0"/>
        <v>4007/4008</v>
      </c>
      <c r="L22" s="21" t="str">
        <f>VLOOKUP(A22,'Trips&amp;Operators'!$C$1:$G$99999,5,FALSE)</f>
        <v>WILLIAMS DONTE</v>
      </c>
      <c r="M22" s="6">
        <f t="shared" si="1"/>
        <v>2.7881944442924578E-2</v>
      </c>
      <c r="N22" s="7">
        <f t="shared" si="2"/>
        <v>40.149999997811392</v>
      </c>
      <c r="O22" s="7"/>
      <c r="P22" s="7"/>
      <c r="Q22" s="22"/>
      <c r="R22" s="173"/>
      <c r="S22" s="176">
        <f t="shared" si="3"/>
        <v>1</v>
      </c>
      <c r="T22" s="202" t="str">
        <f t="shared" si="4"/>
        <v>Southbound</v>
      </c>
      <c r="U22" s="202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03" t="str">
        <f t="shared" si="5"/>
        <v>https://d0f6bd738d7f1b3e5a7ca70fe4ff75f0.us-east-1.aws.found.io/app/kibana#/discover/Steve-Slow-Train-Analysis-(2080s-and-2083s)?_g=(refreshInterval:(display:Off,pause:!f,section:0,value:0),time:(from:'2017-06-05T04:25:05-0600',mode:absolute,to:'2017-06-05T07:22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" s="204" t="str">
        <f t="shared" si="6"/>
        <v>N</v>
      </c>
      <c r="X22" s="204">
        <f t="shared" si="7"/>
        <v>1</v>
      </c>
      <c r="Y22" s="204">
        <f t="shared" si="8"/>
        <v>23.2987</v>
      </c>
      <c r="Z22" s="204">
        <f t="shared" si="9"/>
        <v>1.4999999999999999E-2</v>
      </c>
      <c r="AA22" s="204">
        <f t="shared" si="10"/>
        <v>23.2837</v>
      </c>
      <c r="AB22" s="57" t="e">
        <f>VLOOKUP(A22,Enforcements!$C$7:$K$13,8,0)</f>
        <v>#N/A</v>
      </c>
      <c r="AC22" s="53" t="e">
        <f>VLOOKUP(A22,Enforcements!$C$7:$E$13,3,0)</f>
        <v>#N/A</v>
      </c>
      <c r="AD22" s="54" t="str">
        <f t="shared" si="11"/>
        <v>0110-05</v>
      </c>
      <c r="AE22" s="80" t="str">
        <f t="shared" si="12"/>
        <v>aws s3 cp s3://rtdc.mdm.uploadarchive.raw/RTDC4007/ "%USERPROFILE%\AppData\Local\Temp\OnboardLogs"\RTDC4007\2017-06-05 --exclude "*" --recursive --include "*20170605*" &amp; "%USERPROFILE%\Documents\GitHub\mrs-test-scripts\Headless Mode &amp; Sideloading\WalkAndUnGZ.bat" "%USERPROFILE%\AppData\Local\Temp\OnboardLogs"\RTDC4007\2017-06-05 &amp; aws s3 cp s3://rtdc.mdm.uploadarchive.raw/RTDC4007/ "%USERPROFILE%\AppData\Local\Temp\OnboardLogs"\RTDC4007\2017-06-06 --exclude "*" --recursive --include "*20170606*" &amp; "%USERPROFILE%\Documents\GitHub\mrs-test-scripts\Headless Mode &amp; Sideloading\WalkAndUnGZ.bat" "%USERPROFILE%\AppData\Local\Temp\OnboardLogs"\RTDC4007\2017-06-06</v>
      </c>
      <c r="AF22" s="77" t="str">
        <f t="shared" si="13"/>
        <v>"C:\Program Files (x86)\AstroGrep\AstroGrep.exe" /e /r /s /spath="%USERPROFILE%\AppData\Local\Temp\OnboardLogs" /stypes="app*4007*20170605*" /stext=" 12:.+((SYSTEM_STATE.+slice.+state.+changed )|(ment ac)|(multiple cpu faults)|(system.+state.+changed )|(\[timeout)|(PRM\|1\|D)|(kpr)|(kdp)|(train st.+moving)|(\|lc)|(penalty))"</v>
      </c>
      <c r="AG22" s="1" t="str">
        <f t="shared" si="14"/>
        <v>EC</v>
      </c>
      <c r="AH22" s="81" t="str">
        <f t="shared" si="19"/>
        <v>"%USERPROFILE%\Documents\GitHub\eaglep3\Utilities\RefineRTDCRunTimes.py" --tripid 110-05 --locoid 4007 --swversion DE.1.0.9.0 --startMP 204:232987 --initTime 2017-06-05T05:25:05 --startdatetime 2017-06-05T05:42:19 --delay 1 --endMP 204:150 --enddatetime 2017-06-05T06:22:28 --enforcementcount 0 &gt;&gt;C:\Users\stu\Documents\GitHub\eaglep3-reporting\EC\2017-06-05-refined-times.txt</v>
      </c>
      <c r="AI22" s="99" t="str">
        <f t="shared" si="20"/>
        <v>echo {"issue":{"subject":"","project_id":79,"tracker_id":40,"status_id":1,"priority_id":2,"assigned_to_id":23,"start_date":"2017-06-05","description":"","custom_fields":[{"id":1,"name":"Subdivision","value":"EC"},{"id":4,"name":"Milepost","value":"0.015"},{"id":17,"name":"Train ID","value":"110-05"},{"id":16,"name":"Locomotive ID","value":"4007"},{"id":130,"name":"Impact","value":""},{"id":150,"name":"Time of Event (Mountain Time)","value":"06:22:28"},{"id":151,"name":"Denver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5" t="str">
        <f t="shared" si="21"/>
        <v>start /low /b %USERPROFILE%\Documents\GitHub\eaglep3\Utilities\DownloadLogsFromS3.py --loco 4007 --day 2017-06-05</v>
      </c>
      <c r="AN22" s="154" t="str">
        <f t="shared" si="2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12:22:28"},{"id":29,"name":"Sharepoint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652</v>
      </c>
      <c r="B23" s="7">
        <v>4058</v>
      </c>
      <c r="C23" s="21" t="s">
        <v>204</v>
      </c>
      <c r="D23" s="21" t="s">
        <v>356</v>
      </c>
      <c r="E23" s="13">
        <v>42891.204479166663</v>
      </c>
      <c r="F23" s="13">
        <v>42891.208599537036</v>
      </c>
      <c r="G23" s="7">
        <v>0</v>
      </c>
      <c r="H23" s="21" t="s">
        <v>524</v>
      </c>
      <c r="I23" s="13">
        <v>42891.233587962961</v>
      </c>
      <c r="J23" s="7">
        <v>0</v>
      </c>
      <c r="K23" s="92" t="str">
        <f t="shared" si="0"/>
        <v>4057/4058</v>
      </c>
      <c r="L23" s="21" t="str">
        <f>VLOOKUP(A23,'Trips&amp;Operators'!$C$1:$G$99999,5,FALSE)</f>
        <v>MAELZER KURT</v>
      </c>
      <c r="M23" s="6">
        <f t="shared" si="1"/>
        <v>2.4988425924675539E-2</v>
      </c>
      <c r="N23" s="7">
        <f t="shared" si="2"/>
        <v>35.983333331532776</v>
      </c>
      <c r="O23" s="7"/>
      <c r="P23" s="7"/>
      <c r="Q23" s="22"/>
      <c r="R23" s="173"/>
      <c r="S23" s="176">
        <f t="shared" si="3"/>
        <v>1</v>
      </c>
      <c r="T23" s="202" t="str">
        <f t="shared" si="4"/>
        <v>NorthBound</v>
      </c>
      <c r="U23" s="202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03" t="str">
        <f t="shared" si="5"/>
        <v>https://d0f6bd738d7f1b3e5a7ca70fe4ff75f0.us-east-1.aws.found.io/app/kibana#/discover/Steve-Slow-Train-Analysis-(2080s-and-2083s)?_g=(refreshInterval:(display:Off,pause:!f,section:0,value:0),time:(from:'2017-06-05T03:54:27-0600',mode:absolute,to:'2017-06-05T06:36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3" s="204" t="str">
        <f t="shared" si="6"/>
        <v>N</v>
      </c>
      <c r="X23" s="204">
        <f t="shared" si="7"/>
        <v>1</v>
      </c>
      <c r="Y23" s="204">
        <f t="shared" si="8"/>
        <v>4.5100000000000001E-2</v>
      </c>
      <c r="Z23" s="204">
        <f t="shared" si="9"/>
        <v>23.3307</v>
      </c>
      <c r="AA23" s="204">
        <f t="shared" si="10"/>
        <v>23.285599999999999</v>
      </c>
      <c r="AB23" s="57" t="e">
        <f>VLOOKUP(A23,Enforcements!$C$7:$K$13,8,0)</f>
        <v>#N/A</v>
      </c>
      <c r="AC23" s="53" t="e">
        <f>VLOOKUP(A23,Enforcements!$C$7:$E$13,3,0)</f>
        <v>#N/A</v>
      </c>
      <c r="AD23" s="54" t="str">
        <f t="shared" si="11"/>
        <v>0111-05</v>
      </c>
      <c r="AE23" s="80" t="str">
        <f t="shared" si="12"/>
        <v>aws s3 cp s3://rtdc.mdm.uploadarchive.raw/RTDC4058/ "%USERPROFILE%\AppData\Local\Temp\OnboardLogs"\RTDC4058\2017-06-05 --exclude "*" --recursive --include "*20170605*" &amp; "%USERPROFILE%\Documents\GitHub\mrs-test-scripts\Headless Mode &amp; Sideloading\WalkAndUnGZ.bat" "%USERPROFILE%\AppData\Local\Temp\OnboardLogs"\RTDC4058\2017-06-05 &amp; aws s3 cp s3://rtdc.mdm.uploadarchive.raw/RTDC4058/ "%USERPROFILE%\AppData\Local\Temp\OnboardLogs"\RTDC4058\2017-06-06 --exclude "*" --recursive --include "*20170606*" &amp; "%USERPROFILE%\Documents\GitHub\mrs-test-scripts\Headless Mode &amp; Sideloading\WalkAndUnGZ.bat" "%USERPROFILE%\AppData\Local\Temp\OnboardLogs"\RTDC4058\2017-06-06</v>
      </c>
      <c r="AF23" s="77" t="str">
        <f t="shared" si="13"/>
        <v>"C:\Program Files (x86)\AstroGrep\AstroGrep.exe" /e /r /s /spath="%USERPROFILE%\AppData\Local\Temp\OnboardLogs" /stypes="app*4058*20170605*" /stext=" 11:.+((SYSTEM_STATE.+slice.+state.+changed )|(ment ac)|(multiple cpu faults)|(system.+state.+changed )|(\[timeout)|(PRM\|1\|D)|(kpr)|(kdp)|(train st.+moving)|(\|lc)|(penalty))"</v>
      </c>
      <c r="AG23" s="1" t="str">
        <f t="shared" si="14"/>
        <v>EC</v>
      </c>
      <c r="AH23" s="81" t="str">
        <f t="shared" si="19"/>
        <v>"%USERPROFILE%\Documents\GitHub\eaglep3\Utilities\RefineRTDCRunTimes.py" --tripid 111-05 --locoid 4058 --swversion DE.1.0.9.0 --startMP 204:451 --initTime 2017-06-05T04:54:27 --startdatetime 2017-06-05T05:00:23 --delay 0 --endMP 204:233307 --enddatetime 2017-06-05T05:36:22 --enforcementcount 0 &gt;&gt;C:\Users\stu\Documents\GitHub\eaglep3-reporting\EC\2017-06-05-refined-times.txt</v>
      </c>
      <c r="AI23" s="99" t="str">
        <f t="shared" si="20"/>
        <v>echo {"issue":{"subject":"","project_id":79,"tracker_id":40,"status_id":1,"priority_id":2,"assigned_to_id":23,"start_date":"2017-06-05","description":"","custom_fields":[{"id":1,"name":"Subdivision","value":"EC"},{"id":4,"name":"Milepost","value":"23.3307"},{"id":17,"name":"Train ID","value":"111-05"},{"id":16,"name":"Locomotive ID","value":"4058"},{"id":130,"name":"Impact","value":""},{"id":150,"name":"Time of Event (Mountain Time)","value":"05:36:22"},{"id":151,"name":"Denver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5" t="str">
        <f t="shared" si="21"/>
        <v>start /low /b %USERPROFILE%\Documents\GitHub\eaglep3\Utilities\DownloadLogsFromS3.py --loco 4058 --day 2017-06-05</v>
      </c>
      <c r="AN23" s="154" t="str">
        <f t="shared" si="2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11:36:22"},{"id":29,"name":"Sharepoint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659</v>
      </c>
      <c r="B24" s="7">
        <v>4057</v>
      </c>
      <c r="C24" s="21" t="s">
        <v>204</v>
      </c>
      <c r="D24" s="21" t="s">
        <v>558</v>
      </c>
      <c r="E24" s="13">
        <v>42891.243460648147</v>
      </c>
      <c r="F24" s="13">
        <v>42891.248171296298</v>
      </c>
      <c r="G24" s="7">
        <v>1</v>
      </c>
      <c r="H24" s="21" t="s">
        <v>361</v>
      </c>
      <c r="I24" s="13">
        <v>42891.275104166663</v>
      </c>
      <c r="J24" s="7">
        <v>0</v>
      </c>
      <c r="K24" s="92" t="str">
        <f t="shared" si="0"/>
        <v>4057/4058</v>
      </c>
      <c r="L24" s="21" t="str">
        <f>VLOOKUP(A24,'Trips&amp;Operators'!$C$1:$G$99999,5,FALSE)</f>
        <v>MAELZER KURT</v>
      </c>
      <c r="M24" s="6">
        <f t="shared" si="1"/>
        <v>2.693287036527181E-2</v>
      </c>
      <c r="N24" s="7">
        <f t="shared" si="2"/>
        <v>38.783333325991407</v>
      </c>
      <c r="O24" s="7"/>
      <c r="P24" s="7"/>
      <c r="Q24" s="22"/>
      <c r="R24" s="173"/>
      <c r="S24" s="176">
        <f t="shared" si="3"/>
        <v>1</v>
      </c>
      <c r="T24" s="202" t="str">
        <f t="shared" si="4"/>
        <v>Southbound</v>
      </c>
      <c r="U24" s="202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03" t="str">
        <f t="shared" si="5"/>
        <v>https://d0f6bd738d7f1b3e5a7ca70fe4ff75f0.us-east-1.aws.found.io/app/kibana#/discover/Steve-Slow-Train-Analysis-(2080s-and-2083s)?_g=(refreshInterval:(display:Off,pause:!f,section:0,value:0),time:(from:'2017-06-05T04:50:35-0600',mode:absolute,to:'2017-06-05T07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4" s="204" t="str">
        <f t="shared" si="6"/>
        <v>N</v>
      </c>
      <c r="X24" s="204">
        <f t="shared" si="7"/>
        <v>1</v>
      </c>
      <c r="Y24" s="204">
        <f t="shared" si="8"/>
        <v>23.2986</v>
      </c>
      <c r="Z24" s="204">
        <f t="shared" si="9"/>
        <v>1.3899999999999999E-2</v>
      </c>
      <c r="AA24" s="204">
        <f t="shared" si="10"/>
        <v>23.284700000000001</v>
      </c>
      <c r="AB24" s="57" t="e">
        <f>VLOOKUP(A24,Enforcements!$C$7:$K$13,8,0)</f>
        <v>#N/A</v>
      </c>
      <c r="AC24" s="53" t="e">
        <f>VLOOKUP(A24,Enforcements!$C$7:$E$13,3,0)</f>
        <v>#N/A</v>
      </c>
      <c r="AD24" s="54" t="str">
        <f t="shared" si="11"/>
        <v>0112-05</v>
      </c>
      <c r="AE24" s="80" t="str">
        <f t="shared" si="12"/>
        <v>aws s3 cp s3://rtdc.mdm.uploadarchive.raw/RTDC4057/ "%USERPROFILE%\AppData\Local\Temp\OnboardLogs"\RTDC4057\2017-06-05 --exclude "*" --recursive --include "*20170605*" &amp; "%USERPROFILE%\Documents\GitHub\mrs-test-scripts\Headless Mode &amp; Sideloading\WalkAndUnGZ.bat" "%USERPROFILE%\AppData\Local\Temp\OnboardLogs"\RTDC4057\2017-06-05 &amp; aws s3 cp s3://rtdc.mdm.uploadarchive.raw/RTDC4057/ "%USERPROFILE%\AppData\Local\Temp\OnboardLogs"\RTDC4057\2017-06-06 --exclude "*" --recursive --include "*20170606*" &amp; "%USERPROFILE%\Documents\GitHub\mrs-test-scripts\Headless Mode &amp; Sideloading\WalkAndUnGZ.bat" "%USERPROFILE%\AppData\Local\Temp\OnboardLogs"\RTDC4057\2017-06-06</v>
      </c>
      <c r="AF24" s="77" t="str">
        <f t="shared" si="13"/>
        <v>"C:\Program Files (x86)\AstroGrep\AstroGrep.exe" /e /r /s /spath="%USERPROFILE%\AppData\Local\Temp\OnboardLogs" /stypes="app*4057*20170605*" /stext=" 12:.+((SYSTEM_STATE.+slice.+state.+changed )|(ment ac)|(multiple cpu faults)|(system.+state.+changed )|(\[timeout)|(PRM\|1\|D)|(kpr)|(kdp)|(train st.+moving)|(\|lc)|(penalty))"</v>
      </c>
      <c r="AG24" s="1" t="str">
        <f t="shared" si="14"/>
        <v>EC</v>
      </c>
      <c r="AH24" s="81" t="str">
        <f t="shared" si="19"/>
        <v>"%USERPROFILE%\Documents\GitHub\eaglep3\Utilities\RefineRTDCRunTimes.py" --tripid 112-05 --locoid 4057 --swversion DE.1.0.9.0 --startMP 204:232986 --initTime 2017-06-05T05:50:35 --startdatetime 2017-06-05T05:57:22 --delay 1 --endMP 204:139 --enddatetime 2017-06-05T06:36:09 --enforcementcount 0 &gt;&gt;C:\Users\stu\Documents\GitHub\eaglep3-reporting\EC\2017-06-05-refined-times.txt</v>
      </c>
      <c r="AI24" s="99" t="str">
        <f t="shared" si="20"/>
        <v>echo {"issue":{"subject":"","project_id":79,"tracker_id":40,"status_id":1,"priority_id":2,"assigned_to_id":23,"start_date":"2017-06-05","description":"","custom_fields":[{"id":1,"name":"Subdivision","value":"EC"},{"id":4,"name":"Milepost","value":"0.0139"},{"id":17,"name":"Train ID","value":"112-05"},{"id":16,"name":"Locomotive ID","value":"4057"},{"id":130,"name":"Impact","value":""},{"id":150,"name":"Time of Event (Mountain Time)","value":"06:36:09"},{"id":151,"name":"Denver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5" t="str">
        <f t="shared" si="21"/>
        <v>start /low /b %USERPROFILE%\Documents\GitHub\eaglep3\Utilities\DownloadLogsFromS3.py --loco 4057 --day 2017-06-05</v>
      </c>
      <c r="AN24" s="154" t="str">
        <f t="shared" si="2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12:36:09"},{"id":29,"name":"Sharepoint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654</v>
      </c>
      <c r="B25" s="7">
        <v>4032</v>
      </c>
      <c r="C25" s="21" t="s">
        <v>204</v>
      </c>
      <c r="D25" s="21" t="s">
        <v>351</v>
      </c>
      <c r="E25" s="13">
        <v>42891.213622685187</v>
      </c>
      <c r="F25" s="13">
        <v>42891.218946759262</v>
      </c>
      <c r="G25" s="7">
        <v>1</v>
      </c>
      <c r="H25" s="21" t="s">
        <v>528</v>
      </c>
      <c r="I25" s="13">
        <v>42891.244166666664</v>
      </c>
      <c r="J25" s="7">
        <v>0</v>
      </c>
      <c r="K25" s="92" t="str">
        <f t="shared" si="0"/>
        <v>4031/4032</v>
      </c>
      <c r="L25" s="21" t="str">
        <f>VLOOKUP(A25,'Trips&amp;Operators'!$C$1:$G$99999,5,FALSE)</f>
        <v>HELVIE ADAM</v>
      </c>
      <c r="M25" s="6">
        <f t="shared" si="1"/>
        <v>2.5219907402060926E-2</v>
      </c>
      <c r="N25" s="7">
        <f t="shared" si="2"/>
        <v>36.316666658967733</v>
      </c>
      <c r="O25" s="7"/>
      <c r="P25" s="7"/>
      <c r="Q25" s="22"/>
      <c r="R25" s="173"/>
      <c r="S25" s="176">
        <f t="shared" si="3"/>
        <v>1</v>
      </c>
      <c r="T25" s="202" t="str">
        <f t="shared" si="4"/>
        <v>NorthBound</v>
      </c>
      <c r="U25" s="202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03" t="str">
        <f t="shared" si="5"/>
        <v>https://d0f6bd738d7f1b3e5a7ca70fe4ff75f0.us-east-1.aws.found.io/app/kibana#/discover/Steve-Slow-Train-Analysis-(2080s-and-2083s)?_g=(refreshInterval:(display:Off,pause:!f,section:0,value:0),time:(from:'2017-06-05T04:07:37-0600',mode:absolute,to:'2017-06-05T06:51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5" s="204" t="str">
        <f t="shared" si="6"/>
        <v>N</v>
      </c>
      <c r="X25" s="204">
        <f t="shared" si="7"/>
        <v>1</v>
      </c>
      <c r="Y25" s="204">
        <f t="shared" si="8"/>
        <v>4.58E-2</v>
      </c>
      <c r="Z25" s="204">
        <f t="shared" si="9"/>
        <v>23.330200000000001</v>
      </c>
      <c r="AA25" s="204">
        <f t="shared" si="10"/>
        <v>23.284400000000002</v>
      </c>
      <c r="AB25" s="57" t="e">
        <f>VLOOKUP(A25,Enforcements!$C$7:$K$13,8,0)</f>
        <v>#N/A</v>
      </c>
      <c r="AC25" s="53" t="e">
        <f>VLOOKUP(A25,Enforcements!$C$7:$E$13,3,0)</f>
        <v>#N/A</v>
      </c>
      <c r="AD25" s="54" t="str">
        <f t="shared" si="11"/>
        <v>0113-05</v>
      </c>
      <c r="AE25" s="80" t="str">
        <f t="shared" si="12"/>
        <v>aws s3 cp s3://rtdc.mdm.uploadarchive.raw/RTDC4032/ "%USERPROFILE%\AppData\Local\Temp\OnboardLogs"\RTDC4032\2017-06-05 --exclude "*" --recursive --include "*20170605*" &amp; "%USERPROFILE%\Documents\GitHub\mrs-test-scripts\Headless Mode &amp; Sideloading\WalkAndUnGZ.bat" "%USERPROFILE%\AppData\Local\Temp\OnboardLogs"\RTDC4032\2017-06-05 &amp; aws s3 cp s3://rtdc.mdm.uploadarchive.raw/RTDC4032/ "%USERPROFILE%\AppData\Local\Temp\OnboardLogs"\RTDC4032\2017-06-06 --exclude "*" --recursive --include "*20170606*" &amp; "%USERPROFILE%\Documents\GitHub\mrs-test-scripts\Headless Mode &amp; Sideloading\WalkAndUnGZ.bat" "%USERPROFILE%\AppData\Local\Temp\OnboardLogs"\RTDC4032\2017-06-06</v>
      </c>
      <c r="AF25" s="77" t="str">
        <f t="shared" si="13"/>
        <v>"C:\Program Files (x86)\AstroGrep\AstroGrep.exe" /e /r /s /spath="%USERPROFILE%\AppData\Local\Temp\OnboardLogs" /stypes="app*4032*20170605*" /stext=" 11:.+((SYSTEM_STATE.+slice.+state.+changed )|(ment ac)|(multiple cpu faults)|(system.+state.+changed )|(\[timeout)|(PRM\|1\|D)|(kpr)|(kdp)|(train st.+moving)|(\|lc)|(penalty))"</v>
      </c>
      <c r="AG25" s="1" t="str">
        <f t="shared" si="14"/>
        <v>EC</v>
      </c>
      <c r="AH25" s="81" t="str">
        <f t="shared" si="19"/>
        <v>"%USERPROFILE%\Documents\GitHub\eaglep3\Utilities\RefineRTDCRunTimes.py" --tripid 113-05 --locoid 4032 --swversion DE.1.0.9.0 --startMP 204:458 --initTime 2017-06-05T05:07:37 --startdatetime 2017-06-05T05:15:17 --delay 1 --endMP 204:233302 --enddatetime 2017-06-05T05:51:36 --enforcementcount 0 &gt;&gt;C:\Users\stu\Documents\GitHub\eaglep3-reporting\EC\2017-06-05-refined-times.txt</v>
      </c>
      <c r="AI25" s="99" t="str">
        <f t="shared" si="20"/>
        <v>echo {"issue":{"subject":"","project_id":79,"tracker_id":40,"status_id":1,"priority_id":2,"assigned_to_id":23,"start_date":"2017-06-05","description":"","custom_fields":[{"id":1,"name":"Subdivision","value":"EC"},{"id":4,"name":"Milepost","value":"23.3302"},{"id":17,"name":"Train ID","value":"113-05"},{"id":16,"name":"Locomotive ID","value":"4032"},{"id":130,"name":"Impact","value":""},{"id":150,"name":"Time of Event (Mountain Time)","value":"05:51:36"},{"id":151,"name":"Denver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5" t="str">
        <f t="shared" si="21"/>
        <v>start /low /b %USERPROFILE%\Documents\GitHub\eaglep3\Utilities\DownloadLogsFromS3.py --loco 4032 --day 2017-06-05</v>
      </c>
      <c r="AN25" s="154" t="str">
        <f t="shared" si="2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11:51:36"},{"id":29,"name":"Sharepoint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666</v>
      </c>
      <c r="B26" s="7">
        <v>4031</v>
      </c>
      <c r="C26" s="21" t="s">
        <v>204</v>
      </c>
      <c r="D26" s="21" t="s">
        <v>553</v>
      </c>
      <c r="E26" s="13">
        <v>42891.255474537036</v>
      </c>
      <c r="F26" s="13">
        <v>42891.258576388886</v>
      </c>
      <c r="G26" s="7">
        <v>1</v>
      </c>
      <c r="H26" s="21" t="s">
        <v>470</v>
      </c>
      <c r="I26" s="13">
        <v>42891.284305555557</v>
      </c>
      <c r="J26" s="7">
        <v>0</v>
      </c>
      <c r="K26" s="92" t="str">
        <f t="shared" si="0"/>
        <v>4031/4032</v>
      </c>
      <c r="L26" s="21" t="str">
        <f>VLOOKUP(A26,'Trips&amp;Operators'!$C$1:$G$99999,5,FALSE)</f>
        <v>HELVIE ADAM</v>
      </c>
      <c r="M26" s="6">
        <f t="shared" si="1"/>
        <v>2.5729166671226267E-2</v>
      </c>
      <c r="N26" s="7">
        <f t="shared" si="2"/>
        <v>37.050000006565824</v>
      </c>
      <c r="O26" s="7"/>
      <c r="P26" s="7"/>
      <c r="Q26" s="22"/>
      <c r="R26" s="173"/>
      <c r="S26" s="176">
        <f t="shared" si="3"/>
        <v>1</v>
      </c>
      <c r="T26" s="202" t="str">
        <f t="shared" si="4"/>
        <v>Southbound</v>
      </c>
      <c r="U26" s="202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03" t="str">
        <f t="shared" si="5"/>
        <v>https://d0f6bd738d7f1b3e5a7ca70fe4ff75f0.us-east-1.aws.found.io/app/kibana#/discover/Steve-Slow-Train-Analysis-(2080s-and-2083s)?_g=(refreshInterval:(display:Off,pause:!f,section:0,value:0),time:(from:'2017-06-05T05:07:53-0600',mode:absolute,to:'2017-06-05T07:49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6" s="204" t="str">
        <f t="shared" si="6"/>
        <v>N</v>
      </c>
      <c r="X26" s="204">
        <f t="shared" si="7"/>
        <v>1</v>
      </c>
      <c r="Y26" s="204">
        <f t="shared" si="8"/>
        <v>23.2989</v>
      </c>
      <c r="Z26" s="204">
        <f t="shared" si="9"/>
        <v>1.38E-2</v>
      </c>
      <c r="AA26" s="204">
        <f t="shared" si="10"/>
        <v>23.2851</v>
      </c>
      <c r="AB26" s="57" t="e">
        <f>VLOOKUP(A26,Enforcements!$C$7:$K$13,8,0)</f>
        <v>#N/A</v>
      </c>
      <c r="AC26" s="53" t="e">
        <f>VLOOKUP(A26,Enforcements!$C$7:$E$13,3,0)</f>
        <v>#N/A</v>
      </c>
      <c r="AD26" s="54" t="str">
        <f t="shared" si="11"/>
        <v>0114-05</v>
      </c>
      <c r="AE26" s="80" t="str">
        <f t="shared" si="12"/>
        <v>aws s3 cp s3://rtdc.mdm.uploadarchive.raw/RTDC4031/ "%USERPROFILE%\AppData\Local\Temp\OnboardLogs"\RTDC4031\2017-06-05 --exclude "*" --recursive --include "*20170605*" &amp; "%USERPROFILE%\Documents\GitHub\mrs-test-scripts\Headless Mode &amp; Sideloading\WalkAndUnGZ.bat" "%USERPROFILE%\AppData\Local\Temp\OnboardLogs"\RTDC4031\2017-06-05 &amp; aws s3 cp s3://rtdc.mdm.uploadarchive.raw/RTDC4031/ "%USERPROFILE%\AppData\Local\Temp\OnboardLogs"\RTDC4031\2017-06-06 --exclude "*" --recursive --include "*20170606*" &amp; "%USERPROFILE%\Documents\GitHub\mrs-test-scripts\Headless Mode &amp; Sideloading\WalkAndUnGZ.bat" "%USERPROFILE%\AppData\Local\Temp\OnboardLogs"\RTDC4031\2017-06-06</v>
      </c>
      <c r="AF26" s="77" t="str">
        <f t="shared" si="13"/>
        <v>"C:\Program Files (x86)\AstroGrep\AstroGrep.exe" /e /r /s /spath="%USERPROFILE%\AppData\Local\Temp\OnboardLogs" /stypes="app*4031*20170605*" /stext=" 12:.+((SYSTEM_STATE.+slice.+state.+changed )|(ment ac)|(multiple cpu faults)|(system.+state.+changed )|(\[timeout)|(PRM\|1\|D)|(kpr)|(kdp)|(train st.+moving)|(\|lc)|(penalty))"</v>
      </c>
      <c r="AG26" s="1" t="str">
        <f t="shared" si="14"/>
        <v>EC</v>
      </c>
      <c r="AH26" s="81" t="str">
        <f t="shared" si="19"/>
        <v>"%USERPROFILE%\Documents\GitHub\eaglep3\Utilities\RefineRTDCRunTimes.py" --tripid 114-05 --locoid 4031 --swversion DE.1.0.9.0 --startMP 204:232989 --initTime 2017-06-05T06:07:53 --startdatetime 2017-06-05T06:12:21 --delay 1 --endMP 204:138 --enddatetime 2017-06-05T06:49:24 --enforcementcount 0 &gt;&gt;C:\Users\stu\Documents\GitHub\eaglep3-reporting\EC\2017-06-05-refined-times.txt</v>
      </c>
      <c r="AI26" s="99" t="str">
        <f t="shared" si="20"/>
        <v>echo {"issue":{"subject":"","project_id":79,"tracker_id":40,"status_id":1,"priority_id":2,"assigned_to_id":23,"start_date":"2017-06-05","description":"","custom_fields":[{"id":1,"name":"Subdivision","value":"EC"},{"id":4,"name":"Milepost","value":"0.0138"},{"id":17,"name":"Train ID","value":"114-05"},{"id":16,"name":"Locomotive ID","value":"4031"},{"id":130,"name":"Impact","value":""},{"id":150,"name":"Time of Event (Mountain Time)","value":"06:49:24"},{"id":151,"name":"Denver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5" t="str">
        <f t="shared" si="21"/>
        <v>start /low /b %USERPROFILE%\Documents\GitHub\eaglep3\Utilities\DownloadLogsFromS3.py --loco 4031 --day 2017-06-05</v>
      </c>
      <c r="AN26" s="154" t="str">
        <f t="shared" si="2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12:49:24"},{"id":29,"name":"Sharepoint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579</v>
      </c>
      <c r="B27" s="7">
        <v>4020</v>
      </c>
      <c r="C27" s="21" t="s">
        <v>204</v>
      </c>
      <c r="D27" s="21" t="s">
        <v>201</v>
      </c>
      <c r="E27" s="13">
        <v>42891.225983796299</v>
      </c>
      <c r="F27" s="13">
        <v>42891.229594907411</v>
      </c>
      <c r="G27" s="7">
        <v>1</v>
      </c>
      <c r="H27" s="21" t="s">
        <v>836</v>
      </c>
      <c r="I27" s="13">
        <v>42891.251377314817</v>
      </c>
      <c r="J27" s="7">
        <v>0</v>
      </c>
      <c r="K27" s="92" t="str">
        <f t="shared" si="0"/>
        <v>4019/4020</v>
      </c>
      <c r="L27" s="21" t="str">
        <f>VLOOKUP(A27,'Trips&amp;Operators'!$C$1:$G$99999,5,FALSE)</f>
        <v>THOMPSON LESTER</v>
      </c>
      <c r="M27" s="6">
        <f t="shared" si="1"/>
        <v>2.1782407406135462E-2</v>
      </c>
      <c r="N27" s="7"/>
      <c r="O27" s="7"/>
      <c r="P27" s="7">
        <f>24*60*SUM($M27:$M27)</f>
        <v>31.366666664835066</v>
      </c>
      <c r="Q27" s="22"/>
      <c r="R27" s="173" t="s">
        <v>1039</v>
      </c>
      <c r="S27" s="176">
        <f t="shared" si="3"/>
        <v>1</v>
      </c>
      <c r="T27" s="202" t="str">
        <f t="shared" si="4"/>
        <v>NorthBound</v>
      </c>
      <c r="U27" s="202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03" t="str">
        <f t="shared" si="5"/>
        <v>https://d0f6bd738d7f1b3e5a7ca70fe4ff75f0.us-east-1.aws.found.io/app/kibana#/discover/Steve-Slow-Train-Analysis-(2080s-and-2083s)?_g=(refreshInterval:(display:Off,pause:!f,section:0,value:0),time:(from:'2017-06-05T04:25:25-0600',mode:absolute,to:'2017-06-05T07:01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7" s="204" t="str">
        <f t="shared" si="6"/>
        <v>Y</v>
      </c>
      <c r="X27" s="204">
        <f t="shared" si="7"/>
        <v>1</v>
      </c>
      <c r="Y27" s="204">
        <f t="shared" si="8"/>
        <v>4.5999999999999999E-2</v>
      </c>
      <c r="Z27" s="204">
        <f t="shared" si="9"/>
        <v>19.329999999999998</v>
      </c>
      <c r="AA27" s="204">
        <f t="shared" si="10"/>
        <v>19.283999999999999</v>
      </c>
      <c r="AB27" s="57" t="e">
        <f>VLOOKUP(A27,Enforcements!$C$7:$K$13,8,0)</f>
        <v>#N/A</v>
      </c>
      <c r="AC27" s="53" t="e">
        <f>VLOOKUP(A27,Enforcements!$C$7:$E$13,3,0)</f>
        <v>#N/A</v>
      </c>
      <c r="AD27" s="54" t="str">
        <f t="shared" si="11"/>
        <v>0115-05</v>
      </c>
      <c r="AE27" s="80" t="str">
        <f t="shared" si="12"/>
        <v>aws s3 cp s3://rtdc.mdm.uploadarchive.raw/RTDC4020/ "%USERPROFILE%\AppData\Local\Temp\OnboardLogs"\RTDC4020\2017-06-05 --exclude "*" --recursive --include "*20170605*" &amp; "%USERPROFILE%\Documents\GitHub\mrs-test-scripts\Headless Mode &amp; Sideloading\WalkAndUnGZ.bat" "%USERPROFILE%\AppData\Local\Temp\OnboardLogs"\RTDC4020\2017-06-05 &amp; aws s3 cp s3://rtdc.mdm.uploadarchive.raw/RTDC4020/ "%USERPROFILE%\AppData\Local\Temp\OnboardLogs"\RTDC4020\2017-06-06 --exclude "*" --recursive --include "*20170606*" &amp; "%USERPROFILE%\Documents\GitHub\mrs-test-scripts\Headless Mode &amp; Sideloading\WalkAndUnGZ.bat" "%USERPROFILE%\AppData\Local\Temp\OnboardLogs"\RTDC4020\2017-06-06</v>
      </c>
      <c r="AF27" s="77" t="str">
        <f t="shared" si="13"/>
        <v>"C:\Program Files (x86)\AstroGrep\AstroGrep.exe" /e /r /s /spath="%USERPROFILE%\AppData\Local\Temp\OnboardLogs" /stypes="app*4020*20170605*" /stext=" 12:.+((SYSTEM_STATE.+slice.+state.+changed )|(ment ac)|(multiple cpu faults)|(system.+state.+changed )|(\[timeout)|(PRM\|1\|D)|(kpr)|(kdp)|(train st.+moving)|(\|lc)|(penalty))"</v>
      </c>
      <c r="AG27" s="1" t="str">
        <f t="shared" si="14"/>
        <v>EC</v>
      </c>
      <c r="AH27" s="81" t="str">
        <f t="shared" si="19"/>
        <v>"%USERPROFILE%\Documents\GitHub\eaglep3\Utilities\RefineRTDCRunTimes.py" --tripid 115-05 --locoid 4020 --swversion DE.1.0.9.0 --startMP 204:460 --initTime 2017-06-05T05:25:25 --startdatetime 2017-06-05T05:30:37 --delay 1 --endMP 204:193300 --enddatetime 2017-06-05T06:01:59 --enforcementcount 0 &gt;&gt;C:\Users\stu\Documents\GitHub\eaglep3-reporting\EC\2017-06-05-refined-times.txt</v>
      </c>
      <c r="AI27" s="99" t="str">
        <f t="shared" si="20"/>
        <v>echo {"issue":{"subject":"Premature downgrade at Pena 2N","project_id":79,"tracker_id":40,"status_id":1,"priority_id":2,"assigned_to_id":23,"start_date":"2017-06-05","description":"","custom_fields":[{"id":1,"name":"Subdivision","value":"EC"},{"id":4,"name":"Milepost","value":"19.33"},{"id":17,"name":"Train ID","value":"115-05"},{"id":16,"name":"Locomotive ID","value":"4020"},{"id":130,"name":"Impact","value":""},{"id":150,"name":"Time of Event (Mountain Time)","value":"06:01:59"},{"id":151,"name":"Denver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5" t="str">
        <f t="shared" si="21"/>
        <v>start /low /b %USERPROFILE%\Documents\GitHub\eaglep3\Utilities\DownloadLogsFromS3.py --loco 4020 --day 2017-06-05</v>
      </c>
      <c r="AN27" s="154" t="str">
        <f t="shared" si="22"/>
        <v>echo {"issue":{"subject":"Premature downgrade at Pena 2N","project_id":30,"tracker_id":4,"status_id":1,"priority_id":1,"assigned_to_id":10,"start_date":"2017-06-05","description":"","custom_fields":[{"id":30,"name":"Category","value":"Issue"},{"id":3,"name":"Functional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12:01:59"},{"id":29,"name":"Sharepoint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582</v>
      </c>
      <c r="B28" s="7">
        <v>4019</v>
      </c>
      <c r="C28" s="21" t="s">
        <v>204</v>
      </c>
      <c r="D28" s="21" t="s">
        <v>432</v>
      </c>
      <c r="E28" s="13">
        <v>42891.266701388886</v>
      </c>
      <c r="F28" s="13">
        <v>42891.269155092596</v>
      </c>
      <c r="G28" s="7">
        <v>1</v>
      </c>
      <c r="H28" s="21" t="s">
        <v>466</v>
      </c>
      <c r="I28" s="13">
        <v>42891.297094907408</v>
      </c>
      <c r="J28" s="7">
        <v>0</v>
      </c>
      <c r="K28" s="92" t="str">
        <f t="shared" si="0"/>
        <v>4019/4020</v>
      </c>
      <c r="L28" s="21" t="str">
        <f>VLOOKUP(A28,'Trips&amp;Operators'!$C$1:$G$99999,5,FALSE)</f>
        <v>THOMPSON LESTER</v>
      </c>
      <c r="M28" s="6">
        <f t="shared" si="1"/>
        <v>2.7939814812270924E-2</v>
      </c>
      <c r="N28" s="7">
        <f t="shared" ref="N28:N43" si="23">24*60*SUM($M28:$M28)</f>
        <v>40.233333329670131</v>
      </c>
      <c r="O28" s="7"/>
      <c r="P28" s="7"/>
      <c r="Q28" s="22"/>
      <c r="R28" s="173"/>
      <c r="S28" s="176">
        <f t="shared" si="3"/>
        <v>1</v>
      </c>
      <c r="T28" s="202" t="str">
        <f t="shared" si="4"/>
        <v>Southbound</v>
      </c>
      <c r="U28" s="202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03" t="str">
        <f t="shared" si="5"/>
        <v>https://d0f6bd738d7f1b3e5a7ca70fe4ff75f0.us-east-1.aws.found.io/app/kibana#/discover/Steve-Slow-Train-Analysis-(2080s-and-2083s)?_g=(refreshInterval:(display:Off,pause:!f,section:0,value:0),time:(from:'2017-06-05T05:24:03-0600',mode:absolute,to:'2017-06-05T08:07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8" s="204" t="str">
        <f t="shared" si="6"/>
        <v>N</v>
      </c>
      <c r="X28" s="204">
        <f t="shared" si="7"/>
        <v>1</v>
      </c>
      <c r="Y28" s="204">
        <f t="shared" si="8"/>
        <v>23.299800000000001</v>
      </c>
      <c r="Z28" s="204">
        <f t="shared" si="9"/>
        <v>1.5599999999999999E-2</v>
      </c>
      <c r="AA28" s="204">
        <f t="shared" si="10"/>
        <v>23.284200000000002</v>
      </c>
      <c r="AB28" s="57" t="str">
        <f>VLOOKUP(A28,Enforcements!$C$7:$K$13,8,0)</f>
        <v>Bulletin (2)</v>
      </c>
      <c r="AC28" s="53" t="str">
        <f>VLOOKUP(A28,Enforcements!$C$7:$E$13,3,0)</f>
        <v>GRADE CROSSING</v>
      </c>
      <c r="AD28" s="54" t="str">
        <f t="shared" si="11"/>
        <v>0116-05</v>
      </c>
      <c r="AE28" s="80" t="str">
        <f t="shared" si="12"/>
        <v>aws s3 cp s3://rtdc.mdm.uploadarchive.raw/RTDC4019/ "%USERPROFILE%\AppData\Local\Temp\OnboardLogs"\RTDC4019\2017-06-05 --exclude "*" --recursive --include "*20170605*" &amp; "%USERPROFILE%\Documents\GitHub\mrs-test-scripts\Headless Mode &amp; Sideloading\WalkAndUnGZ.bat" "%USERPROFILE%\AppData\Local\Temp\OnboardLogs"\RTDC4019\2017-06-05 &amp; aws s3 cp s3://rtdc.mdm.uploadarchive.raw/RTDC4019/ "%USERPROFILE%\AppData\Local\Temp\OnboardLogs"\RTDC4019\2017-06-06 --exclude "*" --recursive --include "*20170606*" &amp; "%USERPROFILE%\Documents\GitHub\mrs-test-scripts\Headless Mode &amp; Sideloading\WalkAndUnGZ.bat" "%USERPROFILE%\AppData\Local\Temp\OnboardLogs"\RTDC4019\2017-06-06</v>
      </c>
      <c r="AF28" s="77" t="str">
        <f t="shared" si="13"/>
        <v>"C:\Program Files (x86)\AstroGrep\AstroGrep.exe" /e /r /s /spath="%USERPROFILE%\AppData\Local\Temp\OnboardLogs" /stypes="app*4019*20170605*" /stext=" 13:.+((SYSTEM_STATE.+slice.+state.+changed )|(ment ac)|(multiple cpu faults)|(system.+state.+changed )|(\[timeout)|(PRM\|1\|D)|(kpr)|(kdp)|(train st.+moving)|(\|lc)|(penalty))"</v>
      </c>
      <c r="AG28" s="1" t="str">
        <f t="shared" si="14"/>
        <v>EC</v>
      </c>
      <c r="AH28" s="81" t="str">
        <f t="shared" si="19"/>
        <v>"%USERPROFILE%\Documents\GitHub\eaglep3\Utilities\RefineRTDCRunTimes.py" --tripid 116-05 --locoid 4019 --swversion DE.1.0.9.0 --startMP 204:232998 --initTime 2017-06-05T06:24:03 --startdatetime 2017-06-05T06:27:35 --delay 1 --endMP 204:156 --enddatetime 2017-06-05T07:07:49 --enforcementcount 0 &gt;&gt;C:\Users\stu\Documents\GitHub\eaglep3-reporting\EC\2017-06-05-refined-times.txt</v>
      </c>
      <c r="AI28" s="99" t="str">
        <f t="shared" si="20"/>
        <v>echo {"issue":{"subject":"","project_id":79,"tracker_id":40,"status_id":1,"priority_id":2,"assigned_to_id":23,"start_date":"2017-06-05","description":"","custom_fields":[{"id":1,"name":"Subdivision","value":"EC"},{"id":4,"name":"Milepost","value":"0.0156"},{"id":17,"name":"Train ID","value":"116-05"},{"id":16,"name":"Locomotive ID","value":"4019"},{"id":130,"name":"Impact","value":""},{"id":150,"name":"Time of Event (Mountain Time)","value":"07:07:49"},{"id":151,"name":"Denver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5" t="str">
        <f t="shared" si="21"/>
        <v>start /low /b %USERPROFILE%\Documents\GitHub\eaglep3\Utilities\DownloadLogsFromS3.py --loco 4019 --day 2017-06-05</v>
      </c>
      <c r="AN28" s="154" t="str">
        <f t="shared" si="2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13:07:49"},{"id":29,"name":"Sharepoint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581</v>
      </c>
      <c r="B29" s="7">
        <v>4062</v>
      </c>
      <c r="C29" s="21" t="s">
        <v>204</v>
      </c>
      <c r="D29" s="21" t="s">
        <v>837</v>
      </c>
      <c r="E29" s="13">
        <v>42891.234861111108</v>
      </c>
      <c r="F29" s="13">
        <v>42891.240011574075</v>
      </c>
      <c r="G29" s="7">
        <v>1</v>
      </c>
      <c r="H29" s="21" t="s">
        <v>838</v>
      </c>
      <c r="I29" s="13">
        <v>42891.265462962961</v>
      </c>
      <c r="J29" s="7">
        <v>0</v>
      </c>
      <c r="K29" s="92" t="str">
        <f t="shared" si="0"/>
        <v>4061/4062</v>
      </c>
      <c r="L29" s="21" t="str">
        <f>VLOOKUP(A29,'Trips&amp;Operators'!$C$1:$G$99999,5,FALSE)</f>
        <v>MACDONALD THOMAS</v>
      </c>
      <c r="M29" s="6">
        <f t="shared" si="1"/>
        <v>2.545138888672227E-2</v>
      </c>
      <c r="N29" s="7">
        <f t="shared" si="23"/>
        <v>36.649999996880069</v>
      </c>
      <c r="O29" s="7"/>
      <c r="P29" s="7"/>
      <c r="Q29" s="22"/>
      <c r="R29" s="173"/>
      <c r="S29" s="176">
        <f t="shared" si="3"/>
        <v>1</v>
      </c>
      <c r="T29" s="202" t="str">
        <f t="shared" si="4"/>
        <v>NorthBound</v>
      </c>
      <c r="U29" s="202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03" t="str">
        <f t="shared" si="5"/>
        <v>https://d0f6bd738d7f1b3e5a7ca70fe4ff75f0.us-east-1.aws.found.io/app/kibana#/discover/Steve-Slow-Train-Analysis-(2080s-and-2083s)?_g=(refreshInterval:(display:Off,pause:!f,section:0,value:0),time:(from:'2017-06-05T04:38:12-0600',mode:absolute,to:'2017-06-05T07:22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9" s="204" t="str">
        <f t="shared" si="6"/>
        <v>N</v>
      </c>
      <c r="X29" s="204">
        <f t="shared" si="7"/>
        <v>1</v>
      </c>
      <c r="Y29" s="204">
        <f t="shared" si="8"/>
        <v>4.9299999999999997E-2</v>
      </c>
      <c r="Z29" s="204">
        <f t="shared" si="9"/>
        <v>23.325700000000001</v>
      </c>
      <c r="AA29" s="204">
        <f t="shared" si="10"/>
        <v>23.276400000000002</v>
      </c>
      <c r="AB29" s="57" t="e">
        <f>VLOOKUP(A29,Enforcements!$C$7:$K$13,8,0)</f>
        <v>#N/A</v>
      </c>
      <c r="AC29" s="53" t="e">
        <f>VLOOKUP(A29,Enforcements!$C$7:$E$13,3,0)</f>
        <v>#N/A</v>
      </c>
      <c r="AD29" s="54" t="str">
        <f t="shared" si="11"/>
        <v>0117-05</v>
      </c>
      <c r="AE29" s="80" t="str">
        <f t="shared" si="12"/>
        <v>aws s3 cp s3://rtdc.mdm.uploadarchive.raw/RTDC4062/ "%USERPROFILE%\AppData\Local\Temp\OnboardLogs"\RTDC4062\2017-06-05 --exclude "*" --recursive --include "*20170605*" &amp; "%USERPROFILE%\Documents\GitHub\mrs-test-scripts\Headless Mode &amp; Sideloading\WalkAndUnGZ.bat" "%USERPROFILE%\AppData\Local\Temp\OnboardLogs"\RTDC4062\2017-06-05 &amp; aws s3 cp s3://rtdc.mdm.uploadarchive.raw/RTDC4062/ "%USERPROFILE%\AppData\Local\Temp\OnboardLogs"\RTDC4062\2017-06-06 --exclude "*" --recursive --include "*20170606*" &amp; "%USERPROFILE%\Documents\GitHub\mrs-test-scripts\Headless Mode &amp; Sideloading\WalkAndUnGZ.bat" "%USERPROFILE%\AppData\Local\Temp\OnboardLogs"\RTDC4062\2017-06-06</v>
      </c>
      <c r="AF29" s="77" t="str">
        <f t="shared" si="13"/>
        <v>"C:\Program Files (x86)\AstroGrep\AstroGrep.exe" /e /r /s /spath="%USERPROFILE%\AppData\Local\Temp\OnboardLogs" /stypes="app*4062*20170605*" /stext=" 12:.+((SYSTEM_STATE.+slice.+state.+changed )|(ment ac)|(multiple cpu faults)|(system.+state.+changed )|(\[timeout)|(PRM\|1\|D)|(kpr)|(kdp)|(train st.+moving)|(\|lc)|(penalty))"</v>
      </c>
      <c r="AG29" s="1" t="str">
        <f t="shared" si="14"/>
        <v>EC</v>
      </c>
      <c r="AH29" s="81" t="str">
        <f t="shared" si="19"/>
        <v>"%USERPROFILE%\Documents\GitHub\eaglep3\Utilities\RefineRTDCRunTimes.py" --tripid 117-05 --locoid 4062 --swversion DE.1.0.9.0 --startMP 204:493 --initTime 2017-06-05T05:38:12 --startdatetime 2017-06-05T05:45:37 --delay 1 --endMP 204:233257 --enddatetime 2017-06-05T06:22:16 --enforcementcount 0 &gt;&gt;C:\Users\stu\Documents\GitHub\eaglep3-reporting\EC\2017-06-05-refined-times.txt</v>
      </c>
      <c r="AI29" s="99" t="str">
        <f t="shared" si="20"/>
        <v>echo {"issue":{"subject":"","project_id":79,"tracker_id":40,"status_id":1,"priority_id":2,"assigned_to_id":23,"start_date":"2017-06-05","description":"","custom_fields":[{"id":1,"name":"Subdivision","value":"EC"},{"id":4,"name":"Milepost","value":"23.3257"},{"id":17,"name":"Train ID","value":"117-05"},{"id":16,"name":"Locomotive ID","value":"4062"},{"id":130,"name":"Impact","value":""},{"id":150,"name":"Time of Event (Mountain Time)","value":"06:22:16"},{"id":151,"name":"Denver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5" t="str">
        <f t="shared" si="21"/>
        <v>start /low /b %USERPROFILE%\Documents\GitHub\eaglep3\Utilities\DownloadLogsFromS3.py --loco 4062 --day 2017-06-05</v>
      </c>
      <c r="AN29" s="154" t="str">
        <f t="shared" si="2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12:22:16"},{"id":29,"name":"Sharepoint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672</v>
      </c>
      <c r="B30" s="7">
        <v>4061</v>
      </c>
      <c r="C30" s="21" t="s">
        <v>204</v>
      </c>
      <c r="D30" s="21" t="s">
        <v>555</v>
      </c>
      <c r="E30" s="13">
        <v>42891.276574074072</v>
      </c>
      <c r="F30" s="13">
        <v>42891.279374999998</v>
      </c>
      <c r="G30" s="7">
        <v>2</v>
      </c>
      <c r="H30" s="21" t="s">
        <v>195</v>
      </c>
      <c r="I30" s="13">
        <v>42891.306898148148</v>
      </c>
      <c r="J30" s="7">
        <v>0</v>
      </c>
      <c r="K30" s="92" t="str">
        <f t="shared" si="0"/>
        <v>4061/4062</v>
      </c>
      <c r="L30" s="21" t="str">
        <f>VLOOKUP(A30,'Trips&amp;Operators'!$C$1:$G$99999,5,FALSE)</f>
        <v>MACDONALD THOMAS</v>
      </c>
      <c r="M30" s="6">
        <f t="shared" si="1"/>
        <v>2.7523148150066845E-2</v>
      </c>
      <c r="N30" s="7">
        <f t="shared" si="23"/>
        <v>39.633333336096257</v>
      </c>
      <c r="O30" s="7"/>
      <c r="P30" s="7"/>
      <c r="Q30" s="22"/>
      <c r="R30" s="173"/>
      <c r="S30" s="176">
        <f t="shared" si="3"/>
        <v>1</v>
      </c>
      <c r="T30" s="202" t="str">
        <f t="shared" si="4"/>
        <v>Southbound</v>
      </c>
      <c r="U30" s="202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03" t="str">
        <f t="shared" si="5"/>
        <v>https://d0f6bd738d7f1b3e5a7ca70fe4ff75f0.us-east-1.aws.found.io/app/kibana#/discover/Steve-Slow-Train-Analysis-(2080s-and-2083s)?_g=(refreshInterval:(display:Off,pause:!f,section:0,value:0),time:(from:'2017-06-05T05:38:16-0600',mode:absolute,to:'2017-06-05T08:21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30" s="204" t="str">
        <f t="shared" si="6"/>
        <v>N</v>
      </c>
      <c r="X30" s="204">
        <f t="shared" si="7"/>
        <v>1</v>
      </c>
      <c r="Y30" s="204">
        <f t="shared" si="8"/>
        <v>23.2942</v>
      </c>
      <c r="Z30" s="204">
        <f t="shared" si="9"/>
        <v>1.52E-2</v>
      </c>
      <c r="AA30" s="204">
        <f t="shared" si="10"/>
        <v>23.279</v>
      </c>
      <c r="AB30" s="57" t="e">
        <f>VLOOKUP(A30,Enforcements!$C$7:$K$13,8,0)</f>
        <v>#N/A</v>
      </c>
      <c r="AC30" s="53" t="e">
        <f>VLOOKUP(A30,Enforcements!$C$7:$E$13,3,0)</f>
        <v>#N/A</v>
      </c>
      <c r="AD30" s="54" t="str">
        <f t="shared" si="11"/>
        <v>0118-05</v>
      </c>
      <c r="AE30" s="80" t="str">
        <f t="shared" si="12"/>
        <v>aws s3 cp s3://rtdc.mdm.uploadarchive.raw/RTDC4061/ "%USERPROFILE%\AppData\Local\Temp\OnboardLogs"\RTDC4061\2017-06-05 --exclude "*" --recursive --include "*20170605*" &amp; "%USERPROFILE%\Documents\GitHub\mrs-test-scripts\Headless Mode &amp; Sideloading\WalkAndUnGZ.bat" "%USERPROFILE%\AppData\Local\Temp\OnboardLogs"\RTDC4061\2017-06-05 &amp; aws s3 cp s3://rtdc.mdm.uploadarchive.raw/RTDC4061/ "%USERPROFILE%\AppData\Local\Temp\OnboardLogs"\RTDC4061\2017-06-06 --exclude "*" --recursive --include "*20170606*" &amp; "%USERPROFILE%\Documents\GitHub\mrs-test-scripts\Headless Mode &amp; Sideloading\WalkAndUnGZ.bat" "%USERPROFILE%\AppData\Local\Temp\OnboardLogs"\RTDC4061\2017-06-06</v>
      </c>
      <c r="AF30" s="77" t="str">
        <f t="shared" si="13"/>
        <v>"C:\Program Files (x86)\AstroGrep\AstroGrep.exe" /e /r /s /spath="%USERPROFILE%\AppData\Local\Temp\OnboardLogs" /stypes="app*4061*20170605*" /stext=" 13:.+((SYSTEM_STATE.+slice.+state.+changed )|(ment ac)|(multiple cpu faults)|(system.+state.+changed )|(\[timeout)|(PRM\|1\|D)|(kpr)|(kdp)|(train st.+moving)|(\|lc)|(penalty))"</v>
      </c>
      <c r="AG30" s="1" t="str">
        <f t="shared" si="14"/>
        <v>EC</v>
      </c>
      <c r="AH30" s="81" t="str">
        <f t="shared" si="19"/>
        <v>"%USERPROFILE%\Documents\GitHub\eaglep3\Utilities\RefineRTDCRunTimes.py" --tripid 118-05 --locoid 4061 --swversion DE.1.0.9.0 --startMP 204:232942 --initTime 2017-06-05T06:38:16 --startdatetime 2017-06-05T06:42:18 --delay 2 --endMP 204:152 --enddatetime 2017-06-05T07:21:56 --enforcementcount 0 &gt;&gt;C:\Users\stu\Documents\GitHub\eaglep3-reporting\EC\2017-06-05-refined-times.txt</v>
      </c>
      <c r="AI30" s="99" t="str">
        <f t="shared" si="20"/>
        <v>echo {"issue":{"subject":"","project_id":79,"tracker_id":40,"status_id":1,"priority_id":2,"assigned_to_id":23,"start_date":"2017-06-05","description":"","custom_fields":[{"id":1,"name":"Subdivision","value":"EC"},{"id":4,"name":"Milepost","value":"0.0152"},{"id":17,"name":"Train ID","value":"118-05"},{"id":16,"name":"Locomotive ID","value":"4061"},{"id":130,"name":"Impact","value":""},{"id":150,"name":"Time of Event (Mountain Time)","value":"07:21:56"},{"id":151,"name":"Denver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5" t="str">
        <f t="shared" si="21"/>
        <v>start /low /b %USERPROFILE%\Documents\GitHub\eaglep3\Utilities\DownloadLogsFromS3.py --loco 4061 --day 2017-06-05</v>
      </c>
      <c r="AN30" s="154" t="str">
        <f t="shared" si="2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13:21:56"},{"id":29,"name":"Sharepoint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663</v>
      </c>
      <c r="B31" s="7">
        <v>4016</v>
      </c>
      <c r="C31" s="21" t="s">
        <v>204</v>
      </c>
      <c r="D31" s="21" t="s">
        <v>359</v>
      </c>
      <c r="E31" s="13">
        <v>42891.247546296298</v>
      </c>
      <c r="F31" s="13">
        <v>42891.250162037039</v>
      </c>
      <c r="G31" s="7">
        <v>1</v>
      </c>
      <c r="H31" s="21" t="s">
        <v>526</v>
      </c>
      <c r="I31" s="13">
        <v>42891.275011574071</v>
      </c>
      <c r="J31" s="7">
        <v>0</v>
      </c>
      <c r="K31" s="92" t="str">
        <f t="shared" si="0"/>
        <v>4015/4016</v>
      </c>
      <c r="L31" s="21" t="str">
        <f>VLOOKUP(A31,'Trips&amp;Operators'!$C$1:$G$99999,5,FALSE)</f>
        <v>STARKS ANGELINA</v>
      </c>
      <c r="M31" s="6">
        <f t="shared" si="1"/>
        <v>2.4849537032423541E-2</v>
      </c>
      <c r="N31" s="7">
        <f t="shared" si="23"/>
        <v>35.783333326689899</v>
      </c>
      <c r="O31" s="7"/>
      <c r="P31" s="7"/>
      <c r="Q31" s="22"/>
      <c r="R31" s="173"/>
      <c r="S31" s="176">
        <f t="shared" si="3"/>
        <v>1</v>
      </c>
      <c r="T31" s="202" t="str">
        <f t="shared" si="4"/>
        <v>NorthBound</v>
      </c>
      <c r="U31" s="202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03" t="str">
        <f t="shared" si="5"/>
        <v>https://d0f6bd738d7f1b3e5a7ca70fe4ff75f0.us-east-1.aws.found.io/app/kibana#/discover/Steve-Slow-Train-Analysis-(2080s-and-2083s)?_g=(refreshInterval:(display:Off,pause:!f,section:0,value:0),time:(from:'2017-06-05T04:56:28-0600',mode:absolute,to:'2017-06-05T07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1" s="204" t="str">
        <f t="shared" si="6"/>
        <v>N</v>
      </c>
      <c r="X31" s="204">
        <f t="shared" si="7"/>
        <v>1</v>
      </c>
      <c r="Y31" s="204">
        <f t="shared" si="8"/>
        <v>4.53E-2</v>
      </c>
      <c r="Z31" s="204">
        <f t="shared" si="9"/>
        <v>23.330100000000002</v>
      </c>
      <c r="AA31" s="204">
        <f t="shared" si="10"/>
        <v>23.284800000000001</v>
      </c>
      <c r="AB31" s="57" t="e">
        <f>VLOOKUP(A31,Enforcements!$C$7:$K$13,8,0)</f>
        <v>#N/A</v>
      </c>
      <c r="AC31" s="53" t="e">
        <f>VLOOKUP(A31,Enforcements!$C$7:$E$13,3,0)</f>
        <v>#N/A</v>
      </c>
      <c r="AD31" s="54" t="str">
        <f t="shared" si="11"/>
        <v>0119-05</v>
      </c>
      <c r="AE31" s="80" t="str">
        <f t="shared" si="12"/>
        <v>aws s3 cp s3://rtdc.mdm.uploadarchive.raw/RTDC4016/ "%USERPROFILE%\AppData\Local\Temp\OnboardLogs"\RTDC4016\2017-06-05 --exclude "*" --recursive --include "*20170605*" &amp; "%USERPROFILE%\Documents\GitHub\mrs-test-scripts\Headless Mode &amp; Sideloading\WalkAndUnGZ.bat" "%USERPROFILE%\AppData\Local\Temp\OnboardLogs"\RTDC4016\2017-06-05 &amp; aws s3 cp s3://rtdc.mdm.uploadarchive.raw/RTDC4016/ "%USERPROFILE%\AppData\Local\Temp\OnboardLogs"\RTDC4016\2017-06-06 --exclude "*" --recursive --include "*20170606*" &amp; "%USERPROFILE%\Documents\GitHub\mrs-test-scripts\Headless Mode &amp; Sideloading\WalkAndUnGZ.bat" "%USERPROFILE%\AppData\Local\Temp\OnboardLogs"\RTDC4016\2017-06-06</v>
      </c>
      <c r="AF31" s="77" t="str">
        <f t="shared" si="13"/>
        <v>"C:\Program Files (x86)\AstroGrep\AstroGrep.exe" /e /r /s /spath="%USERPROFILE%\AppData\Local\Temp\OnboardLogs" /stypes="app*4016*20170605*" /stext=" 12:.+((SYSTEM_STATE.+slice.+state.+changed )|(ment ac)|(multiple cpu faults)|(system.+state.+changed )|(\[timeout)|(PRM\|1\|D)|(kpr)|(kdp)|(train st.+moving)|(\|lc)|(penalty))"</v>
      </c>
      <c r="AG31" s="1" t="str">
        <f t="shared" si="14"/>
        <v>EC</v>
      </c>
      <c r="AH31" s="81" t="str">
        <f t="shared" si="19"/>
        <v>"%USERPROFILE%\Documents\GitHub\eaglep3\Utilities\RefineRTDCRunTimes.py" --tripid 119-05 --locoid 4016 --swversion DE.1.0.9.0 --startMP 204:453 --initTime 2017-06-05T05:56:28 --startdatetime 2017-06-05T06:00:14 --delay 1 --endMP 204:233301 --enddatetime 2017-06-05T06:36:01 --enforcementcount 0 &gt;&gt;C:\Users\stu\Documents\GitHub\eaglep3-reporting\EC\2017-06-05-refined-times.txt</v>
      </c>
      <c r="AI31" s="99" t="str">
        <f t="shared" si="20"/>
        <v>echo {"issue":{"subject":"","project_id":79,"tracker_id":40,"status_id":1,"priority_id":2,"assigned_to_id":23,"start_date":"2017-06-05","description":"","custom_fields":[{"id":1,"name":"Subdivision","value":"EC"},{"id":4,"name":"Milepost","value":"23.3301"},{"id":17,"name":"Train ID","value":"119-05"},{"id":16,"name":"Locomotive ID","value":"4016"},{"id":130,"name":"Impact","value":""},{"id":150,"name":"Time of Event (Mountain Time)","value":"06:36:01"},{"id":151,"name":"Denver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5" t="str">
        <f t="shared" si="21"/>
        <v>start /low /b %USERPROFILE%\Documents\GitHub\eaglep3\Utilities\DownloadLogsFromS3.py --loco 4016 --day 2017-06-05</v>
      </c>
      <c r="AN31" s="154" t="str">
        <f t="shared" si="2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12:36:01"},{"id":29,"name":"Sharepoint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671</v>
      </c>
      <c r="B32" s="7">
        <v>4015</v>
      </c>
      <c r="C32" s="21" t="s">
        <v>204</v>
      </c>
      <c r="D32" s="21" t="s">
        <v>438</v>
      </c>
      <c r="E32" s="13">
        <v>42891.276446759257</v>
      </c>
      <c r="F32" s="13">
        <v>42891.28974537037</v>
      </c>
      <c r="G32" s="7">
        <v>1</v>
      </c>
      <c r="H32" s="21" t="s">
        <v>354</v>
      </c>
      <c r="I32" s="13">
        <v>42891.318379629629</v>
      </c>
      <c r="J32" s="7">
        <v>0</v>
      </c>
      <c r="K32" s="92" t="str">
        <f t="shared" si="0"/>
        <v>4015/4016</v>
      </c>
      <c r="L32" s="21" t="str">
        <f>VLOOKUP(A32,'Trips&amp;Operators'!$C$1:$G$99999,5,FALSE)</f>
        <v>STARKS ANGELINA</v>
      </c>
      <c r="M32" s="6">
        <f t="shared" si="1"/>
        <v>2.8634259258979E-2</v>
      </c>
      <c r="N32" s="7">
        <f t="shared" si="23"/>
        <v>41.23333333292976</v>
      </c>
      <c r="O32" s="7"/>
      <c r="P32" s="7"/>
      <c r="Q32" s="22"/>
      <c r="R32" s="173"/>
      <c r="S32" s="176">
        <f t="shared" si="3"/>
        <v>1</v>
      </c>
      <c r="T32" s="202" t="str">
        <f t="shared" si="4"/>
        <v>Southbound</v>
      </c>
      <c r="U32" s="202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03" t="str">
        <f t="shared" si="5"/>
        <v>https://d0f6bd738d7f1b3e5a7ca70fe4ff75f0.us-east-1.aws.found.io/app/kibana#/discover/Steve-Slow-Train-Analysis-(2080s-and-2083s)?_g=(refreshInterval:(display:Off,pause:!f,section:0,value:0),time:(from:'2017-06-05T05:38:05-0600',mode:absolute,to:'2017-06-05T08:38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2" s="204" t="str">
        <f t="shared" si="6"/>
        <v>N</v>
      </c>
      <c r="X32" s="204">
        <f t="shared" si="7"/>
        <v>1</v>
      </c>
      <c r="Y32" s="204">
        <f t="shared" si="8"/>
        <v>23.297999999999998</v>
      </c>
      <c r="Z32" s="204">
        <f t="shared" si="9"/>
        <v>1.43E-2</v>
      </c>
      <c r="AA32" s="204">
        <f t="shared" si="10"/>
        <v>23.2837</v>
      </c>
      <c r="AB32" s="57" t="e">
        <f>VLOOKUP(A32,Enforcements!$C$7:$K$13,8,0)</f>
        <v>#N/A</v>
      </c>
      <c r="AC32" s="53" t="e">
        <f>VLOOKUP(A32,Enforcements!$C$7:$E$13,3,0)</f>
        <v>#N/A</v>
      </c>
      <c r="AD32" s="54" t="str">
        <f t="shared" si="11"/>
        <v>0120-05</v>
      </c>
      <c r="AE32" s="80" t="str">
        <f t="shared" si="12"/>
        <v>aws s3 cp s3://rtdc.mdm.uploadarchive.raw/RTDC4015/ "%USERPROFILE%\AppData\Local\Temp\OnboardLogs"\RTDC4015\2017-06-05 --exclude "*" --recursive --include "*20170605*" &amp; "%USERPROFILE%\Documents\GitHub\mrs-test-scripts\Headless Mode &amp; Sideloading\WalkAndUnGZ.bat" "%USERPROFILE%\AppData\Local\Temp\OnboardLogs"\RTDC4015\2017-06-05 &amp; aws s3 cp s3://rtdc.mdm.uploadarchive.raw/RTDC4015/ "%USERPROFILE%\AppData\Local\Temp\OnboardLogs"\RTDC4015\2017-06-06 --exclude "*" --recursive --include "*20170606*" &amp; "%USERPROFILE%\Documents\GitHub\mrs-test-scripts\Headless Mode &amp; Sideloading\WalkAndUnGZ.bat" "%USERPROFILE%\AppData\Local\Temp\OnboardLogs"\RTDC4015\2017-06-06</v>
      </c>
      <c r="AF32" s="77" t="str">
        <f t="shared" si="13"/>
        <v>"C:\Program Files (x86)\AstroGrep\AstroGrep.exe" /e /r /s /spath="%USERPROFILE%\AppData\Local\Temp\OnboardLogs" /stypes="app*4015*20170605*" /stext=" 13:.+((SYSTEM_STATE.+slice.+state.+changed )|(ment ac)|(multiple cpu faults)|(system.+state.+changed )|(\[timeout)|(PRM\|1\|D)|(kpr)|(kdp)|(train st.+moving)|(\|lc)|(penalty))"</v>
      </c>
      <c r="AG32" s="1" t="str">
        <f t="shared" si="14"/>
        <v>EC</v>
      </c>
      <c r="AH32" s="81" t="str">
        <f t="shared" si="19"/>
        <v>"%USERPROFILE%\Documents\GitHub\eaglep3\Utilities\RefineRTDCRunTimes.py" --tripid 120-05 --locoid 4015 --swversion DE.1.0.9.0 --startMP 204:232980 --initTime 2017-06-05T06:38:05 --startdatetime 2017-06-05T06:57:14 --delay 1 --endMP 204:143 --enddatetime 2017-06-05T07:38:28 --enforcementcount 0 &gt;&gt;C:\Users\stu\Documents\GitHub\eaglep3-reporting\EC\2017-06-05-refined-times.txt</v>
      </c>
      <c r="AI32" s="99" t="str">
        <f t="shared" si="20"/>
        <v>echo {"issue":{"subject":"","project_id":79,"tracker_id":40,"status_id":1,"priority_id":2,"assigned_to_id":23,"start_date":"2017-06-05","description":"","custom_fields":[{"id":1,"name":"Subdivision","value":"EC"},{"id":4,"name":"Milepost","value":"0.0143"},{"id":17,"name":"Train ID","value":"120-05"},{"id":16,"name":"Locomotive ID","value":"4015"},{"id":130,"name":"Impact","value":""},{"id":150,"name":"Time of Event (Mountain Time)","value":"07:38:28"},{"id":151,"name":"Denver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5" t="str">
        <f t="shared" si="21"/>
        <v>start /low /b %USERPROFILE%\Documents\GitHub\eaglep3\Utilities\DownloadLogsFromS3.py --loco 4015 --day 2017-06-05</v>
      </c>
      <c r="AN32" s="154" t="str">
        <f t="shared" si="2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13:38:28"},{"id":29,"name":"Sharepoint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665</v>
      </c>
      <c r="B33" s="7">
        <v>4042</v>
      </c>
      <c r="C33" s="21" t="s">
        <v>204</v>
      </c>
      <c r="D33" s="21" t="s">
        <v>397</v>
      </c>
      <c r="E33" s="13">
        <v>42891.255428240744</v>
      </c>
      <c r="F33" s="13">
        <v>42891.260578703703</v>
      </c>
      <c r="G33" s="7">
        <v>1</v>
      </c>
      <c r="H33" s="21" t="s">
        <v>839</v>
      </c>
      <c r="I33" s="13">
        <v>42891.285185185188</v>
      </c>
      <c r="J33" s="7">
        <v>0</v>
      </c>
      <c r="K33" s="92" t="str">
        <f t="shared" si="0"/>
        <v>4041/4042</v>
      </c>
      <c r="L33" s="21" t="str">
        <f>VLOOKUP(A33,'Trips&amp;Operators'!$C$1:$G$99999,5,FALSE)</f>
        <v>LALONDE GREGORY</v>
      </c>
      <c r="M33" s="6">
        <f t="shared" si="1"/>
        <v>2.4606481485534459E-2</v>
      </c>
      <c r="N33" s="7">
        <f t="shared" si="23"/>
        <v>35.433333339169621</v>
      </c>
      <c r="O33" s="7"/>
      <c r="P33" s="7"/>
      <c r="Q33" s="22"/>
      <c r="R33" s="173"/>
      <c r="S33" s="176">
        <f t="shared" si="3"/>
        <v>1</v>
      </c>
      <c r="T33" s="202" t="str">
        <f t="shared" si="4"/>
        <v>NorthBound</v>
      </c>
      <c r="U33" s="202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03" t="str">
        <f t="shared" si="5"/>
        <v>https://d0f6bd738d7f1b3e5a7ca70fe4ff75f0.us-east-1.aws.found.io/app/kibana#/discover/Steve-Slow-Train-Analysis-(2080s-and-2083s)?_g=(refreshInterval:(display:Off,pause:!f,section:0,value:0),time:(from:'2017-06-05T05:07:49-0600',mode:absolute,to:'2017-06-05T07:50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3" s="204" t="str">
        <f t="shared" si="6"/>
        <v>N</v>
      </c>
      <c r="X33" s="204">
        <f t="shared" si="7"/>
        <v>1</v>
      </c>
      <c r="Y33" s="204">
        <f t="shared" si="8"/>
        <v>4.6199999999999998E-2</v>
      </c>
      <c r="Z33" s="204">
        <f t="shared" si="9"/>
        <v>23.334599999999998</v>
      </c>
      <c r="AA33" s="204">
        <f t="shared" si="10"/>
        <v>23.288399999999999</v>
      </c>
      <c r="AB33" s="57" t="e">
        <f>VLOOKUP(A33,Enforcements!$C$7:$K$13,8,0)</f>
        <v>#N/A</v>
      </c>
      <c r="AC33" s="53" t="e">
        <f>VLOOKUP(A33,Enforcements!$C$7:$E$13,3,0)</f>
        <v>#N/A</v>
      </c>
      <c r="AD33" s="54" t="str">
        <f t="shared" si="11"/>
        <v>0121-05</v>
      </c>
      <c r="AE33" s="80" t="str">
        <f t="shared" si="12"/>
        <v>aws s3 cp s3://rtdc.mdm.uploadarchive.raw/RTDC4042/ "%USERPROFILE%\AppData\Local\Temp\OnboardLogs"\RTDC4042\2017-06-05 --exclude "*" --recursive --include "*20170605*" &amp; "%USERPROFILE%\Documents\GitHub\mrs-test-scripts\Headless Mode &amp; Sideloading\WalkAndUnGZ.bat" "%USERPROFILE%\AppData\Local\Temp\OnboardLogs"\RTDC4042\2017-06-05 &amp; aws s3 cp s3://rtdc.mdm.uploadarchive.raw/RTDC4042/ "%USERPROFILE%\AppData\Local\Temp\OnboardLogs"\RTDC4042\2017-06-06 --exclude "*" --recursive --include "*20170606*" &amp; "%USERPROFILE%\Documents\GitHub\mrs-test-scripts\Headless Mode &amp; Sideloading\WalkAndUnGZ.bat" "%USERPROFILE%\AppData\Local\Temp\OnboardLogs"\RTDC4042\2017-06-06</v>
      </c>
      <c r="AF33" s="77" t="str">
        <f t="shared" si="13"/>
        <v>"C:\Program Files (x86)\AstroGrep\AstroGrep.exe" /e /r /s /spath="%USERPROFILE%\AppData\Local\Temp\OnboardLogs" /stypes="app*4042*20170605*" /stext=" 12:.+((SYSTEM_STATE.+slice.+state.+changed )|(ment ac)|(multiple cpu faults)|(system.+state.+changed )|(\[timeout)|(PRM\|1\|D)|(kpr)|(kdp)|(train st.+moving)|(\|lc)|(penalty))"</v>
      </c>
      <c r="AG33" s="1" t="str">
        <f t="shared" si="14"/>
        <v>EC</v>
      </c>
      <c r="AH33" s="81" t="str">
        <f t="shared" si="19"/>
        <v>"%USERPROFILE%\Documents\GitHub\eaglep3\Utilities\RefineRTDCRunTimes.py" --tripid 121-05 --locoid 4042 --swversion DE.1.0.9.0 --startMP 204:462 --initTime 2017-06-05T06:07:49 --startdatetime 2017-06-05T06:15:14 --delay 1 --endMP 204:233346 --enddatetime 2017-06-05T06:50:40 --enforcementcount 0 &gt;&gt;C:\Users\stu\Documents\GitHub\eaglep3-reporting\EC\2017-06-05-refined-times.txt</v>
      </c>
      <c r="AI33" s="99" t="str">
        <f t="shared" si="20"/>
        <v>echo {"issue":{"subject":"","project_id":79,"tracker_id":40,"status_id":1,"priority_id":2,"assigned_to_id":23,"start_date":"2017-06-05","description":"","custom_fields":[{"id":1,"name":"Subdivision","value":"EC"},{"id":4,"name":"Milepost","value":"23.3346"},{"id":17,"name":"Train ID","value":"121-05"},{"id":16,"name":"Locomotive ID","value":"4042"},{"id":130,"name":"Impact","value":""},{"id":150,"name":"Time of Event (Mountain Time)","value":"06:50:40"},{"id":151,"name":"Denver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5" t="str">
        <f t="shared" si="21"/>
        <v>start /low /b %USERPROFILE%\Documents\GitHub\eaglep3\Utilities\DownloadLogsFromS3.py --loco 4042 --day 2017-06-05</v>
      </c>
      <c r="AN33" s="154" t="str">
        <f t="shared" si="2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12:50:40"},{"id":29,"name":"Sharepoint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676</v>
      </c>
      <c r="B34" s="7">
        <v>4041</v>
      </c>
      <c r="C34" s="21" t="s">
        <v>204</v>
      </c>
      <c r="D34" s="21" t="s">
        <v>840</v>
      </c>
      <c r="E34" s="13">
        <v>42891.286805555559</v>
      </c>
      <c r="F34" s="13">
        <v>42891.300150462965</v>
      </c>
      <c r="G34" s="7">
        <v>1</v>
      </c>
      <c r="H34" s="21" t="s">
        <v>364</v>
      </c>
      <c r="I34" s="13">
        <v>42891.325590277775</v>
      </c>
      <c r="J34" s="7">
        <v>0</v>
      </c>
      <c r="K34" s="92" t="str">
        <f t="shared" si="0"/>
        <v>4041/4042</v>
      </c>
      <c r="L34" s="21" t="str">
        <f>VLOOKUP(A34,'Trips&amp;Operators'!$C$1:$G$99999,5,FALSE)</f>
        <v>LALONDE GREGORY</v>
      </c>
      <c r="M34" s="6">
        <f t="shared" si="1"/>
        <v>2.5439814809942618E-2</v>
      </c>
      <c r="N34" s="7">
        <f t="shared" si="23"/>
        <v>36.63333332631737</v>
      </c>
      <c r="O34" s="7"/>
      <c r="P34" s="7"/>
      <c r="Q34" s="22"/>
      <c r="R34" s="173"/>
      <c r="S34" s="176">
        <f t="shared" si="3"/>
        <v>1</v>
      </c>
      <c r="T34" s="202" t="str">
        <f t="shared" si="4"/>
        <v>Southbound</v>
      </c>
      <c r="U34" s="202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03" t="str">
        <f t="shared" si="5"/>
        <v>https://d0f6bd738d7f1b3e5a7ca70fe4ff75f0.us-east-1.aws.found.io/app/kibana#/discover/Steve-Slow-Train-Analysis-(2080s-and-2083s)?_g=(refreshInterval:(display:Off,pause:!f,section:0,value:0),time:(from:'2017-06-05T05:53:00-0600',mode:absolute,to:'2017-06-05T08:48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4" s="204" t="str">
        <f t="shared" si="6"/>
        <v>N</v>
      </c>
      <c r="X34" s="204">
        <f t="shared" si="7"/>
        <v>1</v>
      </c>
      <c r="Y34" s="204">
        <f t="shared" si="8"/>
        <v>23.3032</v>
      </c>
      <c r="Z34" s="204">
        <f t="shared" si="9"/>
        <v>1.47E-2</v>
      </c>
      <c r="AA34" s="204">
        <f t="shared" si="10"/>
        <v>23.288499999999999</v>
      </c>
      <c r="AB34" s="57" t="e">
        <f>VLOOKUP(A34,Enforcements!$C$7:$K$13,8,0)</f>
        <v>#N/A</v>
      </c>
      <c r="AC34" s="53" t="e">
        <f>VLOOKUP(A34,Enforcements!$C$7:$E$13,3,0)</f>
        <v>#N/A</v>
      </c>
      <c r="AD34" s="54" t="str">
        <f t="shared" si="11"/>
        <v>0122-05</v>
      </c>
      <c r="AE34" s="80" t="str">
        <f t="shared" si="12"/>
        <v>aws s3 cp s3://rtdc.mdm.uploadarchive.raw/RTDC4041/ "%USERPROFILE%\AppData\Local\Temp\OnboardLogs"\RTDC4041\2017-06-05 --exclude "*" --recursive --include "*20170605*" &amp; "%USERPROFILE%\Documents\GitHub\mrs-test-scripts\Headless Mode &amp; Sideloading\WalkAndUnGZ.bat" "%USERPROFILE%\AppData\Local\Temp\OnboardLogs"\RTDC4041\2017-06-05 &amp; aws s3 cp s3://rtdc.mdm.uploadarchive.raw/RTDC4041/ "%USERPROFILE%\AppData\Local\Temp\OnboardLogs"\RTDC4041\2017-06-06 --exclude "*" --recursive --include "*20170606*" &amp; "%USERPROFILE%\Documents\GitHub\mrs-test-scripts\Headless Mode &amp; Sideloading\WalkAndUnGZ.bat" "%USERPROFILE%\AppData\Local\Temp\OnboardLogs"\RTDC4041\2017-06-06</v>
      </c>
      <c r="AF34" s="77" t="str">
        <f t="shared" si="13"/>
        <v>"C:\Program Files (x86)\AstroGrep\AstroGrep.exe" /e /r /s /spath="%USERPROFILE%\AppData\Local\Temp\OnboardLogs" /stypes="app*4041*20170605*" /stext=" 13:.+((SYSTEM_STATE.+slice.+state.+changed )|(ment ac)|(multiple cpu faults)|(system.+state.+changed )|(\[timeout)|(PRM\|1\|D)|(kpr)|(kdp)|(train st.+moving)|(\|lc)|(penalty))"</v>
      </c>
      <c r="AG34" s="1" t="str">
        <f t="shared" si="14"/>
        <v>EC</v>
      </c>
      <c r="AH34" s="81" t="str">
        <f t="shared" si="19"/>
        <v>"%USERPROFILE%\Documents\GitHub\eaglep3\Utilities\RefineRTDCRunTimes.py" --tripid 122-05 --locoid 4041 --swversion DE.1.0.9.0 --startMP 204:233032 --initTime 2017-06-05T06:53:00 --startdatetime 2017-06-05T07:12:13 --delay 1 --endMP 204:147 --enddatetime 2017-06-05T07:48:51 --enforcementcount 0 &gt;&gt;C:\Users\stu\Documents\GitHub\eaglep3-reporting\EC\2017-06-05-refined-times.txt</v>
      </c>
      <c r="AI34" s="99" t="str">
        <f t="shared" si="20"/>
        <v>echo {"issue":{"subject":"","project_id":79,"tracker_id":40,"status_id":1,"priority_id":2,"assigned_to_id":23,"start_date":"2017-06-05","description":"","custom_fields":[{"id":1,"name":"Subdivision","value":"EC"},{"id":4,"name":"Milepost","value":"0.0147"},{"id":17,"name":"Train ID","value":"122-05"},{"id":16,"name":"Locomotive ID","value":"4041"},{"id":130,"name":"Impact","value":""},{"id":150,"name":"Time of Event (Mountain Time)","value":"07:48:51"},{"id":151,"name":"Denver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5" t="str">
        <f t="shared" si="21"/>
        <v>start /low /b %USERPROFILE%\Documents\GitHub\eaglep3\Utilities\DownloadLogsFromS3.py --loco 4041 --day 2017-06-05</v>
      </c>
      <c r="AN34" s="154" t="str">
        <f t="shared" si="2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13:48:51"},{"id":29,"name":"Sharepoint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668</v>
      </c>
      <c r="B35" s="7">
        <v>4008</v>
      </c>
      <c r="C35" s="21" t="s">
        <v>204</v>
      </c>
      <c r="D35" s="21" t="s">
        <v>359</v>
      </c>
      <c r="E35" s="13">
        <v>42891.267928240741</v>
      </c>
      <c r="F35" s="13">
        <v>42891.271006944444</v>
      </c>
      <c r="G35" s="7">
        <v>2</v>
      </c>
      <c r="H35" s="21" t="s">
        <v>473</v>
      </c>
      <c r="I35" s="13">
        <v>42891.297719907408</v>
      </c>
      <c r="J35" s="7">
        <v>0</v>
      </c>
      <c r="K35" s="92" t="str">
        <f t="shared" si="0"/>
        <v>4007/4008</v>
      </c>
      <c r="L35" s="21" t="str">
        <f>VLOOKUP(A35,'Trips&amp;Operators'!$C$1:$G$99999,5,FALSE)</f>
        <v>WILLIAMS DONTE</v>
      </c>
      <c r="M35" s="6">
        <f t="shared" si="1"/>
        <v>2.6712962964666076E-2</v>
      </c>
      <c r="N35" s="7">
        <f t="shared" si="23"/>
        <v>38.466666669119149</v>
      </c>
      <c r="O35" s="7"/>
      <c r="P35" s="7"/>
      <c r="Q35" s="22"/>
      <c r="R35" s="173"/>
      <c r="S35" s="176">
        <f t="shared" si="3"/>
        <v>1</v>
      </c>
      <c r="T35" s="202" t="str">
        <f t="shared" si="4"/>
        <v>NorthBound</v>
      </c>
      <c r="U35" s="202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03" t="str">
        <f t="shared" si="5"/>
        <v>https://d0f6bd738d7f1b3e5a7ca70fe4ff75f0.us-east-1.aws.found.io/app/kibana#/discover/Steve-Slow-Train-Analysis-(2080s-and-2083s)?_g=(refreshInterval:(display:Off,pause:!f,section:0,value:0),time:(from:'2017-06-05T05:25:49-0600',mode:absolute,to:'2017-06-05T08:08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5" s="204" t="str">
        <f t="shared" si="6"/>
        <v>N</v>
      </c>
      <c r="X35" s="204">
        <f t="shared" si="7"/>
        <v>1</v>
      </c>
      <c r="Y35" s="204">
        <f t="shared" si="8"/>
        <v>4.53E-2</v>
      </c>
      <c r="Z35" s="204">
        <f t="shared" si="9"/>
        <v>23.331199999999999</v>
      </c>
      <c r="AA35" s="204">
        <f t="shared" si="10"/>
        <v>23.285899999999998</v>
      </c>
      <c r="AB35" s="57" t="e">
        <f>VLOOKUP(A35,Enforcements!$C$7:$K$13,8,0)</f>
        <v>#N/A</v>
      </c>
      <c r="AC35" s="53" t="e">
        <f>VLOOKUP(A35,Enforcements!$C$7:$E$13,3,0)</f>
        <v>#N/A</v>
      </c>
      <c r="AD35" s="54" t="str">
        <f t="shared" si="11"/>
        <v>0123-05</v>
      </c>
      <c r="AE35" s="80" t="str">
        <f t="shared" si="12"/>
        <v>aws s3 cp s3://rtdc.mdm.uploadarchive.raw/RTDC4008/ "%USERPROFILE%\AppData\Local\Temp\OnboardLogs"\RTDC4008\2017-06-05 --exclude "*" --recursive --include "*20170605*" &amp; "%USERPROFILE%\Documents\GitHub\mrs-test-scripts\Headless Mode &amp; Sideloading\WalkAndUnGZ.bat" "%USERPROFILE%\AppData\Local\Temp\OnboardLogs"\RTDC4008\2017-06-05 &amp; aws s3 cp s3://rtdc.mdm.uploadarchive.raw/RTDC4008/ "%USERPROFILE%\AppData\Local\Temp\OnboardLogs"\RTDC4008\2017-06-06 --exclude "*" --recursive --include "*20170606*" &amp; "%USERPROFILE%\Documents\GitHub\mrs-test-scripts\Headless Mode &amp; Sideloading\WalkAndUnGZ.bat" "%USERPROFILE%\AppData\Local\Temp\OnboardLogs"\RTDC4008\2017-06-06</v>
      </c>
      <c r="AF35" s="77" t="str">
        <f t="shared" si="13"/>
        <v>"C:\Program Files (x86)\AstroGrep\AstroGrep.exe" /e /r /s /spath="%USERPROFILE%\AppData\Local\Temp\OnboardLogs" /stypes="app*4008*20170605*" /stext=" 13:.+((SYSTEM_STATE.+slice.+state.+changed )|(ment ac)|(multiple cpu faults)|(system.+state.+changed )|(\[timeout)|(PRM\|1\|D)|(kpr)|(kdp)|(train st.+moving)|(\|lc)|(penalty))"</v>
      </c>
      <c r="AG35" s="1" t="str">
        <f t="shared" si="14"/>
        <v>EC</v>
      </c>
      <c r="AH35" s="81" t="str">
        <f t="shared" si="19"/>
        <v>"%USERPROFILE%\Documents\GitHub\eaglep3\Utilities\RefineRTDCRunTimes.py" --tripid 123-05 --locoid 4008 --swversion DE.1.0.9.0 --startMP 204:453 --initTime 2017-06-05T06:25:49 --startdatetime 2017-06-05T06:30:15 --delay 2 --endMP 204:233312 --enddatetime 2017-06-05T07:08:43 --enforcementcount 0 &gt;&gt;C:\Users\stu\Documents\GitHub\eaglep3-reporting\EC\2017-06-05-refined-times.txt</v>
      </c>
      <c r="AI35" s="99" t="str">
        <f t="shared" si="20"/>
        <v>echo {"issue":{"subject":"","project_id":79,"tracker_id":40,"status_id":1,"priority_id":2,"assigned_to_id":23,"start_date":"2017-06-05","description":"","custom_fields":[{"id":1,"name":"Subdivision","value":"EC"},{"id":4,"name":"Milepost","value":"23.3312"},{"id":17,"name":"Train ID","value":"123-05"},{"id":16,"name":"Locomotive ID","value":"4008"},{"id":130,"name":"Impact","value":""},{"id":150,"name":"Time of Event (Mountain Time)","value":"07:08:43"},{"id":151,"name":"Denver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5" t="str">
        <f t="shared" si="21"/>
        <v>start /low /b %USERPROFILE%\Documents\GitHub\eaglep3\Utilities\DownloadLogsFromS3.py --loco 4008 --day 2017-06-05</v>
      </c>
      <c r="AN35" s="154" t="str">
        <f t="shared" si="2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13:08:43"},{"id":29,"name":"Sharepoint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679</v>
      </c>
      <c r="B36" s="7">
        <v>4007</v>
      </c>
      <c r="C36" s="21" t="s">
        <v>204</v>
      </c>
      <c r="D36" s="21" t="s">
        <v>436</v>
      </c>
      <c r="E36" s="13">
        <v>42891.29928240741</v>
      </c>
      <c r="F36" s="13">
        <v>42891.310914351852</v>
      </c>
      <c r="G36" s="7">
        <v>1</v>
      </c>
      <c r="H36" s="21" t="s">
        <v>433</v>
      </c>
      <c r="I36" s="13">
        <v>42891.341354166667</v>
      </c>
      <c r="J36" s="7">
        <v>0</v>
      </c>
      <c r="K36" s="92" t="str">
        <f t="shared" si="0"/>
        <v>4007/4008</v>
      </c>
      <c r="L36" s="21" t="str">
        <f>VLOOKUP(A36,'Trips&amp;Operators'!$C$1:$G$99999,5,FALSE)</f>
        <v>WILLIAMS DONTE</v>
      </c>
      <c r="M36" s="6">
        <f t="shared" si="1"/>
        <v>3.0439814814599231E-2</v>
      </c>
      <c r="N36" s="7">
        <f t="shared" si="23"/>
        <v>43.833333333022892</v>
      </c>
      <c r="O36" s="7"/>
      <c r="P36" s="7"/>
      <c r="Q36" s="22"/>
      <c r="R36" s="173"/>
      <c r="S36" s="176">
        <f t="shared" si="3"/>
        <v>1</v>
      </c>
      <c r="T36" s="202" t="str">
        <f t="shared" si="4"/>
        <v>Southbound</v>
      </c>
      <c r="U36" s="202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03" t="str">
        <f t="shared" si="5"/>
        <v>https://d0f6bd738d7f1b3e5a7ca70fe4ff75f0.us-east-1.aws.found.io/app/kibana#/discover/Steve-Slow-Train-Analysis-(2080s-and-2083s)?_g=(refreshInterval:(display:Off,pause:!f,section:0,value:0),time:(from:'2017-06-05T06:10:58-0600',mode:absolute,to:'2017-06-05T09:11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6" s="204" t="str">
        <f t="shared" si="6"/>
        <v>N</v>
      </c>
      <c r="X36" s="204">
        <f t="shared" si="7"/>
        <v>1</v>
      </c>
      <c r="Y36" s="204">
        <f t="shared" si="8"/>
        <v>23.299399999999999</v>
      </c>
      <c r="Z36" s="204">
        <f t="shared" si="9"/>
        <v>1.61E-2</v>
      </c>
      <c r="AA36" s="204">
        <f t="shared" si="10"/>
        <v>23.283299999999997</v>
      </c>
      <c r="AB36" s="57" t="e">
        <f>VLOOKUP(A36,Enforcements!$C$7:$K$13,8,0)</f>
        <v>#N/A</v>
      </c>
      <c r="AC36" s="53" t="e">
        <f>VLOOKUP(A36,Enforcements!$C$7:$E$13,3,0)</f>
        <v>#N/A</v>
      </c>
      <c r="AD36" s="54" t="str">
        <f t="shared" si="11"/>
        <v>0124-05</v>
      </c>
      <c r="AE36" s="80" t="str">
        <f t="shared" si="12"/>
        <v>aws s3 cp s3://rtdc.mdm.uploadarchive.raw/RTDC4007/ "%USERPROFILE%\AppData\Local\Temp\OnboardLogs"\RTDC4007\2017-06-05 --exclude "*" --recursive --include "*20170605*" &amp; "%USERPROFILE%\Documents\GitHub\mrs-test-scripts\Headless Mode &amp; Sideloading\WalkAndUnGZ.bat" "%USERPROFILE%\AppData\Local\Temp\OnboardLogs"\RTDC4007\2017-06-05 &amp; aws s3 cp s3://rtdc.mdm.uploadarchive.raw/RTDC4007/ "%USERPROFILE%\AppData\Local\Temp\OnboardLogs"\RTDC4007\2017-06-06 --exclude "*" --recursive --include "*20170606*" &amp; "%USERPROFILE%\Documents\GitHub\mrs-test-scripts\Headless Mode &amp; Sideloading\WalkAndUnGZ.bat" "%USERPROFILE%\AppData\Local\Temp\OnboardLogs"\RTDC4007\2017-06-06</v>
      </c>
      <c r="AF36" s="77" t="str">
        <f t="shared" si="13"/>
        <v>"C:\Program Files (x86)\AstroGrep\AstroGrep.exe" /e /r /s /spath="%USERPROFILE%\AppData\Local\Temp\OnboardLogs" /stypes="app*4007*20170605*" /stext=" 14:.+((SYSTEM_STATE.+slice.+state.+changed )|(ment ac)|(multiple cpu faults)|(system.+state.+changed )|(\[timeout)|(PRM\|1\|D)|(kpr)|(kdp)|(train st.+moving)|(\|lc)|(penalty))"</v>
      </c>
      <c r="AG36" s="1" t="str">
        <f t="shared" si="14"/>
        <v>EC</v>
      </c>
      <c r="AH36" s="81" t="str">
        <f t="shared" si="19"/>
        <v>"%USERPROFILE%\Documents\GitHub\eaglep3\Utilities\RefineRTDCRunTimes.py" --tripid 124-05 --locoid 4007 --swversion DE.1.0.9.0 --startMP 204:232994 --initTime 2017-06-05T07:10:58 --startdatetime 2017-06-05T07:27:43 --delay 1 --endMP 204:161 --enddatetime 2017-06-05T08:11:33 --enforcementcount 0 &gt;&gt;C:\Users\stu\Documents\GitHub\eaglep3-reporting\EC\2017-06-05-refined-times.txt</v>
      </c>
      <c r="AI36" s="99" t="str">
        <f t="shared" si="20"/>
        <v>echo {"issue":{"subject":"","project_id":79,"tracker_id":40,"status_id":1,"priority_id":2,"assigned_to_id":23,"start_date":"2017-06-05","description":"","custom_fields":[{"id":1,"name":"Subdivision","value":"EC"},{"id":4,"name":"Milepost","value":"0.0161"},{"id":17,"name":"Train ID","value":"124-05"},{"id":16,"name":"Locomotive ID","value":"4007"},{"id":130,"name":"Impact","value":""},{"id":150,"name":"Time of Event (Mountain Time)","value":"08:11:33"},{"id":151,"name":"Denver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5" t="str">
        <f t="shared" si="21"/>
        <v>start /low /b %USERPROFILE%\Documents\GitHub\eaglep3\Utilities\DownloadLogsFromS3.py --loco 4007 --day 2017-06-05</v>
      </c>
      <c r="AN36" s="154" t="str">
        <f t="shared" si="2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14:11:33"},{"id":29,"name":"Sharepoint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673</v>
      </c>
      <c r="B37" s="7">
        <v>4058</v>
      </c>
      <c r="C37" s="21" t="s">
        <v>204</v>
      </c>
      <c r="D37" s="21" t="s">
        <v>200</v>
      </c>
      <c r="E37" s="13">
        <v>42891.277743055558</v>
      </c>
      <c r="F37" s="13">
        <v>42891.281574074077</v>
      </c>
      <c r="G37" s="7">
        <v>2</v>
      </c>
      <c r="H37" s="21" t="s">
        <v>484</v>
      </c>
      <c r="I37" s="13">
        <v>42891.308564814812</v>
      </c>
      <c r="J37" s="7">
        <v>0</v>
      </c>
      <c r="K37" s="92" t="str">
        <f t="shared" si="0"/>
        <v>4057/4058</v>
      </c>
      <c r="L37" s="21" t="str">
        <f>VLOOKUP(A37,'Trips&amp;Operators'!$C$1:$G$99999,5,FALSE)</f>
        <v>CUSHING HARRY</v>
      </c>
      <c r="M37" s="6">
        <f t="shared" si="1"/>
        <v>2.6990740734618157E-2</v>
      </c>
      <c r="N37" s="7">
        <f t="shared" si="23"/>
        <v>38.866666657850146</v>
      </c>
      <c r="O37" s="7"/>
      <c r="P37" s="7"/>
      <c r="Q37" s="22"/>
      <c r="R37" s="173"/>
      <c r="S37" s="176">
        <f t="shared" si="3"/>
        <v>1</v>
      </c>
      <c r="T37" s="202" t="str">
        <f t="shared" si="4"/>
        <v>NorthBound</v>
      </c>
      <c r="U37" s="202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03" t="str">
        <f t="shared" si="5"/>
        <v>https://d0f6bd738d7f1b3e5a7ca70fe4ff75f0.us-east-1.aws.found.io/app/kibana#/discover/Steve-Slow-Train-Analysis-(2080s-and-2083s)?_g=(refreshInterval:(display:Off,pause:!f,section:0,value:0),time:(from:'2017-06-05T05:39:57-0600',mode:absolute,to:'2017-06-05T08:24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37" s="204" t="str">
        <f t="shared" si="6"/>
        <v>N</v>
      </c>
      <c r="X37" s="204">
        <f t="shared" si="7"/>
        <v>1</v>
      </c>
      <c r="Y37" s="204">
        <f t="shared" si="8"/>
        <v>4.5699999999999998E-2</v>
      </c>
      <c r="Z37" s="204">
        <f t="shared" si="9"/>
        <v>23.331499999999998</v>
      </c>
      <c r="AA37" s="204">
        <f t="shared" si="10"/>
        <v>23.285799999999998</v>
      </c>
      <c r="AB37" s="57" t="e">
        <f>VLOOKUP(A37,Enforcements!$C$7:$K$13,8,0)</f>
        <v>#N/A</v>
      </c>
      <c r="AC37" s="53" t="e">
        <f>VLOOKUP(A37,Enforcements!$C$7:$E$13,3,0)</f>
        <v>#N/A</v>
      </c>
      <c r="AD37" s="54" t="str">
        <f t="shared" si="11"/>
        <v>0125-05</v>
      </c>
      <c r="AE37" s="80" t="str">
        <f t="shared" si="12"/>
        <v>aws s3 cp s3://rtdc.mdm.uploadarchive.raw/RTDC4058/ "%USERPROFILE%\AppData\Local\Temp\OnboardLogs"\RTDC4058\2017-06-05 --exclude "*" --recursive --include "*20170605*" &amp; "%USERPROFILE%\Documents\GitHub\mrs-test-scripts\Headless Mode &amp; Sideloading\WalkAndUnGZ.bat" "%USERPROFILE%\AppData\Local\Temp\OnboardLogs"\RTDC4058\2017-06-05 &amp; aws s3 cp s3://rtdc.mdm.uploadarchive.raw/RTDC4058/ "%USERPROFILE%\AppData\Local\Temp\OnboardLogs"\RTDC4058\2017-06-06 --exclude "*" --recursive --include "*20170606*" &amp; "%USERPROFILE%\Documents\GitHub\mrs-test-scripts\Headless Mode &amp; Sideloading\WalkAndUnGZ.bat" "%USERPROFILE%\AppData\Local\Temp\OnboardLogs"\RTDC4058\2017-06-06</v>
      </c>
      <c r="AF37" s="77" t="str">
        <f t="shared" si="13"/>
        <v>"C:\Program Files (x86)\AstroGrep\AstroGrep.exe" /e /r /s /spath="%USERPROFILE%\AppData\Local\Temp\OnboardLogs" /stypes="app*4058*20170605*" /stext=" 13:.+((SYSTEM_STATE.+slice.+state.+changed )|(ment ac)|(multiple cpu faults)|(system.+state.+changed )|(\[timeout)|(PRM\|1\|D)|(kpr)|(kdp)|(train st.+moving)|(\|lc)|(penalty))"</v>
      </c>
      <c r="AG37" s="1" t="str">
        <f t="shared" si="14"/>
        <v>EC</v>
      </c>
      <c r="AH37" s="81" t="str">
        <f t="shared" si="19"/>
        <v>"%USERPROFILE%\Documents\GitHub\eaglep3\Utilities\RefineRTDCRunTimes.py" --tripid 125-05 --locoid 4058 --swversion DE.1.0.9.0 --startMP 204:457 --initTime 2017-06-05T06:39:57 --startdatetime 2017-06-05T06:45:28 --delay 2 --endMP 204:233315 --enddatetime 2017-06-05T07:24:20 --enforcementcount 0 &gt;&gt;C:\Users\stu\Documents\GitHub\eaglep3-reporting\EC\2017-06-05-refined-times.txt</v>
      </c>
      <c r="AI37" s="99" t="str">
        <f t="shared" si="20"/>
        <v>echo {"issue":{"subject":"","project_id":79,"tracker_id":40,"status_id":1,"priority_id":2,"assigned_to_id":23,"start_date":"2017-06-05","description":"","custom_fields":[{"id":1,"name":"Subdivision","value":"EC"},{"id":4,"name":"Milepost","value":"23.3315"},{"id":17,"name":"Train ID","value":"125-05"},{"id":16,"name":"Locomotive ID","value":"4058"},{"id":130,"name":"Impact","value":""},{"id":150,"name":"Time of Event (Mountain Time)","value":"07:24:20"},{"id":151,"name":"Denver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5" t="str">
        <f t="shared" si="21"/>
        <v>start /low /b %USERPROFILE%\Documents\GitHub\eaglep3\Utilities\DownloadLogsFromS3.py --loco 4058 --day 2017-06-05</v>
      </c>
      <c r="AN37" s="154" t="str">
        <f t="shared" si="2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13:24:20"},{"id":29,"name":"Sharepoint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682</v>
      </c>
      <c r="B38" s="7">
        <v>4057</v>
      </c>
      <c r="C38" s="21" t="s">
        <v>204</v>
      </c>
      <c r="D38" s="21" t="s">
        <v>522</v>
      </c>
      <c r="E38" s="13">
        <v>42891.316736111112</v>
      </c>
      <c r="F38" s="13">
        <v>42891.321087962962</v>
      </c>
      <c r="G38" s="7">
        <v>1</v>
      </c>
      <c r="H38" s="21" t="s">
        <v>195</v>
      </c>
      <c r="I38" s="13">
        <v>42891.349259259259</v>
      </c>
      <c r="J38" s="7">
        <v>0</v>
      </c>
      <c r="K38" s="92" t="str">
        <f t="shared" si="0"/>
        <v>4057/4058</v>
      </c>
      <c r="L38" s="21" t="str">
        <f>VLOOKUP(A38,'Trips&amp;Operators'!$C$1:$G$99999,5,FALSE)</f>
        <v>CUSHING HARRY</v>
      </c>
      <c r="M38" s="6">
        <f t="shared" si="1"/>
        <v>2.8171296296932269E-2</v>
      </c>
      <c r="N38" s="7">
        <f t="shared" si="23"/>
        <v>40.566666667582467</v>
      </c>
      <c r="O38" s="7"/>
      <c r="P38" s="7"/>
      <c r="Q38" s="22"/>
      <c r="R38" s="173"/>
      <c r="S38" s="176">
        <f t="shared" si="3"/>
        <v>1</v>
      </c>
      <c r="T38" s="202" t="str">
        <f t="shared" si="4"/>
        <v>Southbound</v>
      </c>
      <c r="U38" s="202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03" t="str">
        <f t="shared" si="5"/>
        <v>https://d0f6bd738d7f1b3e5a7ca70fe4ff75f0.us-east-1.aws.found.io/app/kibana#/discover/Steve-Slow-Train-Analysis-(2080s-and-2083s)?_g=(refreshInterval:(display:Off,pause:!f,section:0,value:0),time:(from:'2017-06-05T06:36:06-0600',mode:absolute,to:'2017-06-05T09:22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38" s="204" t="str">
        <f t="shared" si="6"/>
        <v>N</v>
      </c>
      <c r="X38" s="204">
        <f t="shared" si="7"/>
        <v>1</v>
      </c>
      <c r="Y38" s="204">
        <f t="shared" si="8"/>
        <v>23.299099999999999</v>
      </c>
      <c r="Z38" s="204">
        <f t="shared" si="9"/>
        <v>1.52E-2</v>
      </c>
      <c r="AA38" s="204">
        <f t="shared" si="10"/>
        <v>23.283899999999999</v>
      </c>
      <c r="AB38" s="57" t="e">
        <f>VLOOKUP(A38,Enforcements!$C$7:$K$13,8,0)</f>
        <v>#N/A</v>
      </c>
      <c r="AC38" s="53" t="e">
        <f>VLOOKUP(A38,Enforcements!$C$7:$E$13,3,0)</f>
        <v>#N/A</v>
      </c>
      <c r="AD38" s="54" t="str">
        <f t="shared" si="11"/>
        <v>0126-05</v>
      </c>
      <c r="AE38" s="80" t="str">
        <f t="shared" si="12"/>
        <v>aws s3 cp s3://rtdc.mdm.uploadarchive.raw/RTDC4057/ "%USERPROFILE%\AppData\Local\Temp\OnboardLogs"\RTDC4057\2017-06-05 --exclude "*" --recursive --include "*20170605*" &amp; "%USERPROFILE%\Documents\GitHub\mrs-test-scripts\Headless Mode &amp; Sideloading\WalkAndUnGZ.bat" "%USERPROFILE%\AppData\Local\Temp\OnboardLogs"\RTDC4057\2017-06-05 &amp; aws s3 cp s3://rtdc.mdm.uploadarchive.raw/RTDC4057/ "%USERPROFILE%\AppData\Local\Temp\OnboardLogs"\RTDC4057\2017-06-06 --exclude "*" --recursive --include "*20170606*" &amp; "%USERPROFILE%\Documents\GitHub\mrs-test-scripts\Headless Mode &amp; Sideloading\WalkAndUnGZ.bat" "%USERPROFILE%\AppData\Local\Temp\OnboardLogs"\RTDC4057\2017-06-06</v>
      </c>
      <c r="AF38" s="77" t="str">
        <f t="shared" si="13"/>
        <v>"C:\Program Files (x86)\AstroGrep\AstroGrep.exe" /e /r /s /spath="%USERPROFILE%\AppData\Local\Temp\OnboardLogs" /stypes="app*4057*20170605*" /stext=" 14:.+((SYSTEM_STATE.+slice.+state.+changed )|(ment ac)|(multiple cpu faults)|(system.+state.+changed )|(\[timeout)|(PRM\|1\|D)|(kpr)|(kdp)|(train st.+moving)|(\|lc)|(penalty))"</v>
      </c>
      <c r="AG38" s="1" t="str">
        <f t="shared" si="14"/>
        <v>EC</v>
      </c>
      <c r="AH38" s="81" t="str">
        <f t="shared" si="19"/>
        <v>"%USERPROFILE%\Documents\GitHub\eaglep3\Utilities\RefineRTDCRunTimes.py" --tripid 126-05 --locoid 4057 --swversion DE.1.0.9.0 --startMP 204:232991 --initTime 2017-06-05T07:36:06 --startdatetime 2017-06-05T07:42:22 --delay 1 --endMP 204:152 --enddatetime 2017-06-05T08:22:56 --enforcementcount 0 &gt;&gt;C:\Users\stu\Documents\GitHub\eaglep3-reporting\EC\2017-06-05-refined-times.txt</v>
      </c>
      <c r="AI38" s="99" t="str">
        <f t="shared" si="20"/>
        <v>echo {"issue":{"subject":"","project_id":79,"tracker_id":40,"status_id":1,"priority_id":2,"assigned_to_id":23,"start_date":"2017-06-05","description":"","custom_fields":[{"id":1,"name":"Subdivision","value":"EC"},{"id":4,"name":"Milepost","value":"0.0152"},{"id":17,"name":"Train ID","value":"126-05"},{"id":16,"name":"Locomotive ID","value":"4057"},{"id":130,"name":"Impact","value":""},{"id":150,"name":"Time of Event (Mountain Time)","value":"08:22:56"},{"id":151,"name":"Denver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5" t="str">
        <f t="shared" si="21"/>
        <v>start /low /b %USERPROFILE%\Documents\GitHub\eaglep3\Utilities\DownloadLogsFromS3.py --loco 4057 --day 2017-06-05</v>
      </c>
      <c r="AN38" s="154" t="str">
        <f t="shared" si="2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14:22:56"},{"id":29,"name":"Sharepoint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677</v>
      </c>
      <c r="B39" s="7">
        <v>4032</v>
      </c>
      <c r="C39" s="21" t="s">
        <v>204</v>
      </c>
      <c r="D39" s="21" t="s">
        <v>351</v>
      </c>
      <c r="E39" s="13">
        <v>42891.290231481478</v>
      </c>
      <c r="F39" s="13">
        <v>42891.292002314818</v>
      </c>
      <c r="G39" s="7">
        <v>1</v>
      </c>
      <c r="H39" s="21" t="s">
        <v>575</v>
      </c>
      <c r="I39" s="13">
        <v>42891.317037037035</v>
      </c>
      <c r="J39" s="7">
        <v>0</v>
      </c>
      <c r="K39" s="92" t="str">
        <f t="shared" si="0"/>
        <v>4031/4032</v>
      </c>
      <c r="L39" s="21" t="str">
        <f>VLOOKUP(A39,'Trips&amp;Operators'!$C$1:$G$99999,5,FALSE)</f>
        <v>HELVIE ADAM</v>
      </c>
      <c r="M39" s="6">
        <f t="shared" si="1"/>
        <v>2.5034722217242233E-2</v>
      </c>
      <c r="N39" s="7">
        <f t="shared" si="23"/>
        <v>36.049999992828816</v>
      </c>
      <c r="O39" s="7"/>
      <c r="P39" s="7"/>
      <c r="Q39" s="22"/>
      <c r="R39" s="173"/>
      <c r="S39" s="176">
        <f t="shared" si="3"/>
        <v>1</v>
      </c>
      <c r="T39" s="202" t="str">
        <f t="shared" si="4"/>
        <v>NorthBound</v>
      </c>
      <c r="U39" s="202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03" t="str">
        <f t="shared" si="5"/>
        <v>https://d0f6bd738d7f1b3e5a7ca70fe4ff75f0.us-east-1.aws.found.io/app/kibana#/discover/Steve-Slow-Train-Analysis-(2080s-and-2083s)?_g=(refreshInterval:(display:Off,pause:!f,section:0,value:0),time:(from:'2017-06-05T05:57:56-0600',mode:absolute,to:'2017-06-05T08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9" s="204" t="str">
        <f t="shared" si="6"/>
        <v>N</v>
      </c>
      <c r="X39" s="204">
        <f t="shared" si="7"/>
        <v>1</v>
      </c>
      <c r="Y39" s="204">
        <f t="shared" si="8"/>
        <v>4.58E-2</v>
      </c>
      <c r="Z39" s="204">
        <f t="shared" si="9"/>
        <v>23.3291</v>
      </c>
      <c r="AA39" s="204">
        <f t="shared" si="10"/>
        <v>23.283300000000001</v>
      </c>
      <c r="AB39" s="57" t="e">
        <f>VLOOKUP(A39,Enforcements!$C$7:$K$13,8,0)</f>
        <v>#N/A</v>
      </c>
      <c r="AC39" s="53" t="e">
        <f>VLOOKUP(A39,Enforcements!$C$7:$E$13,3,0)</f>
        <v>#N/A</v>
      </c>
      <c r="AD39" s="54" t="str">
        <f t="shared" si="11"/>
        <v>0127-05</v>
      </c>
      <c r="AE39" s="80" t="str">
        <f t="shared" si="12"/>
        <v>aws s3 cp s3://rtdc.mdm.uploadarchive.raw/RTDC4032/ "%USERPROFILE%\AppData\Local\Temp\OnboardLogs"\RTDC4032\2017-06-05 --exclude "*" --recursive --include "*20170605*" &amp; "%USERPROFILE%\Documents\GitHub\mrs-test-scripts\Headless Mode &amp; Sideloading\WalkAndUnGZ.bat" "%USERPROFILE%\AppData\Local\Temp\OnboardLogs"\RTDC4032\2017-06-05 &amp; aws s3 cp s3://rtdc.mdm.uploadarchive.raw/RTDC4032/ "%USERPROFILE%\AppData\Local\Temp\OnboardLogs"\RTDC4032\2017-06-06 --exclude "*" --recursive --include "*20170606*" &amp; "%USERPROFILE%\Documents\GitHub\mrs-test-scripts\Headless Mode &amp; Sideloading\WalkAndUnGZ.bat" "%USERPROFILE%\AppData\Local\Temp\OnboardLogs"\RTDC4032\2017-06-06</v>
      </c>
      <c r="AF39" s="77" t="str">
        <f t="shared" si="13"/>
        <v>"C:\Program Files (x86)\AstroGrep\AstroGrep.exe" /e /r /s /spath="%USERPROFILE%\AppData\Local\Temp\OnboardLogs" /stypes="app*4032*20170605*" /stext=" 13:.+((SYSTEM_STATE.+slice.+state.+changed )|(ment ac)|(multiple cpu faults)|(system.+state.+changed )|(\[timeout)|(PRM\|1\|D)|(kpr)|(kdp)|(train st.+moving)|(\|lc)|(penalty))"</v>
      </c>
      <c r="AG39" s="1" t="str">
        <f t="shared" si="14"/>
        <v>EC</v>
      </c>
      <c r="AH39" s="81" t="str">
        <f t="shared" si="19"/>
        <v>"%USERPROFILE%\Documents\GitHub\eaglep3\Utilities\RefineRTDCRunTimes.py" --tripid 127-05 --locoid 4032 --swversion DE.1.0.9.0 --startMP 204:458 --initTime 2017-06-05T06:57:56 --startdatetime 2017-06-05T07:00:29 --delay 1 --endMP 204:233291 --enddatetime 2017-06-05T07:36:32 --enforcementcount 0 &gt;&gt;C:\Users\stu\Documents\GitHub\eaglep3-reporting\EC\2017-06-05-refined-times.txt</v>
      </c>
      <c r="AI39" s="99" t="str">
        <f t="shared" si="20"/>
        <v>echo {"issue":{"subject":"","project_id":79,"tracker_id":40,"status_id":1,"priority_id":2,"assigned_to_id":23,"start_date":"2017-06-05","description":"","custom_fields":[{"id":1,"name":"Subdivision","value":"EC"},{"id":4,"name":"Milepost","value":"23.3291"},{"id":17,"name":"Train ID","value":"127-05"},{"id":16,"name":"Locomotive ID","value":"4032"},{"id":130,"name":"Impact","value":""},{"id":150,"name":"Time of Event (Mountain Time)","value":"07:36:32"},{"id":151,"name":"Denver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5" t="str">
        <f t="shared" si="21"/>
        <v>start /low /b %USERPROFILE%\Documents\GitHub\eaglep3\Utilities\DownloadLogsFromS3.py --loco 4032 --day 2017-06-05</v>
      </c>
      <c r="AN39" s="154" t="str">
        <f t="shared" si="2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13:36:32"},{"id":29,"name":"Sharepoint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587</v>
      </c>
      <c r="B40" s="7">
        <v>4031</v>
      </c>
      <c r="C40" s="21" t="s">
        <v>204</v>
      </c>
      <c r="D40" s="21" t="s">
        <v>841</v>
      </c>
      <c r="E40" s="13">
        <v>42891.328449074077</v>
      </c>
      <c r="F40" s="13">
        <v>42891.331562500003</v>
      </c>
      <c r="G40" s="7">
        <v>1</v>
      </c>
      <c r="H40" s="21" t="s">
        <v>354</v>
      </c>
      <c r="I40" s="13">
        <v>42891.358738425923</v>
      </c>
      <c r="J40" s="7">
        <v>0</v>
      </c>
      <c r="K40" s="92" t="str">
        <f t="shared" si="0"/>
        <v>4031/4032</v>
      </c>
      <c r="L40" s="21" t="str">
        <f>VLOOKUP(A40,'Trips&amp;Operators'!$C$1:$G$99999,5,FALSE)</f>
        <v>HELVIE ADAM</v>
      </c>
      <c r="M40" s="6">
        <f t="shared" si="1"/>
        <v>2.717592591943685E-2</v>
      </c>
      <c r="N40" s="7">
        <f t="shared" si="23"/>
        <v>39.133333323989064</v>
      </c>
      <c r="O40" s="7"/>
      <c r="P40" s="7"/>
      <c r="Q40" s="22"/>
      <c r="R40" s="173"/>
      <c r="S40" s="176">
        <f t="shared" si="3"/>
        <v>1</v>
      </c>
      <c r="T40" s="202" t="str">
        <f t="shared" si="4"/>
        <v>Southbound</v>
      </c>
      <c r="U40" s="202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03" t="str">
        <f t="shared" si="5"/>
        <v>https://d0f6bd738d7f1b3e5a7ca70fe4ff75f0.us-east-1.aws.found.io/app/kibana#/discover/Steve-Slow-Train-Analysis-(2080s-and-2083s)?_g=(refreshInterval:(display:Off,pause:!f,section:0,value:0),time:(from:'2017-06-05T06:52:58-0600',mode:absolute,to:'2017-06-05T09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0" s="204" t="str">
        <f t="shared" si="6"/>
        <v>N</v>
      </c>
      <c r="X40" s="204">
        <f t="shared" si="7"/>
        <v>1</v>
      </c>
      <c r="Y40" s="204">
        <f t="shared" si="8"/>
        <v>23.2973</v>
      </c>
      <c r="Z40" s="204">
        <f t="shared" si="9"/>
        <v>1.43E-2</v>
      </c>
      <c r="AA40" s="204">
        <f t="shared" si="10"/>
        <v>23.283000000000001</v>
      </c>
      <c r="AB40" s="57" t="e">
        <f>VLOOKUP(A40,Enforcements!$C$7:$K$13,8,0)</f>
        <v>#N/A</v>
      </c>
      <c r="AC40" s="53" t="e">
        <f>VLOOKUP(A40,Enforcements!$C$7:$E$13,3,0)</f>
        <v>#N/A</v>
      </c>
      <c r="AD40" s="54" t="str">
        <f t="shared" si="11"/>
        <v>0128-05</v>
      </c>
      <c r="AE40" s="80" t="str">
        <f t="shared" si="12"/>
        <v>aws s3 cp s3://rtdc.mdm.uploadarchive.raw/RTDC4031/ "%USERPROFILE%\AppData\Local\Temp\OnboardLogs"\RTDC4031\2017-06-05 --exclude "*" --recursive --include "*20170605*" &amp; "%USERPROFILE%\Documents\GitHub\mrs-test-scripts\Headless Mode &amp; Sideloading\WalkAndUnGZ.bat" "%USERPROFILE%\AppData\Local\Temp\OnboardLogs"\RTDC4031\2017-06-05 &amp; aws s3 cp s3://rtdc.mdm.uploadarchive.raw/RTDC4031/ "%USERPROFILE%\AppData\Local\Temp\OnboardLogs"\RTDC4031\2017-06-06 --exclude "*" --recursive --include "*20170606*" &amp; "%USERPROFILE%\Documents\GitHub\mrs-test-scripts\Headless Mode &amp; Sideloading\WalkAndUnGZ.bat" "%USERPROFILE%\AppData\Local\Temp\OnboardLogs"\RTDC4031\2017-06-06</v>
      </c>
      <c r="AF40" s="77" t="str">
        <f t="shared" si="13"/>
        <v>"C:\Program Files (x86)\AstroGrep\AstroGrep.exe" /e /r /s /spath="%USERPROFILE%\AppData\Local\Temp\OnboardLogs" /stypes="app*4031*20170605*" /stext=" 14:.+((SYSTEM_STATE.+slice.+state.+changed )|(ment ac)|(multiple cpu faults)|(system.+state.+changed )|(\[timeout)|(PRM\|1\|D)|(kpr)|(kdp)|(train st.+moving)|(\|lc)|(penalty))"</v>
      </c>
      <c r="AG40" s="1" t="str">
        <f t="shared" si="14"/>
        <v>EC</v>
      </c>
      <c r="AH40" s="81" t="str">
        <f t="shared" si="19"/>
        <v>"%USERPROFILE%\Documents\GitHub\eaglep3\Utilities\RefineRTDCRunTimes.py" --tripid 128-05 --locoid 4031 --swversion DE.1.0.9.0 --startMP 204:232973 --initTime 2017-06-05T07:52:58 --startdatetime 2017-06-05T07:57:27 --delay 1 --endMP 204:143 --enddatetime 2017-06-05T08:36:35 --enforcementcount 0 &gt;&gt;C:\Users\stu\Documents\GitHub\eaglep3-reporting\EC\2017-06-05-refined-times.txt</v>
      </c>
      <c r="AI40" s="99" t="str">
        <f t="shared" si="20"/>
        <v>echo {"issue":{"subject":"","project_id":79,"tracker_id":40,"status_id":1,"priority_id":2,"assigned_to_id":23,"start_date":"2017-06-05","description":"","custom_fields":[{"id":1,"name":"Subdivision","value":"EC"},{"id":4,"name":"Milepost","value":"0.0143"},{"id":17,"name":"Train ID","value":"128-05"},{"id":16,"name":"Locomotive ID","value":"4031"},{"id":130,"name":"Impact","value":""},{"id":150,"name":"Time of Event (Mountain Time)","value":"08:36:35"},{"id":151,"name":"Denver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5" t="str">
        <f t="shared" si="21"/>
        <v>start /low /b %USERPROFILE%\Documents\GitHub\eaglep3\Utilities\DownloadLogsFromS3.py --loco 4031 --day 2017-06-05</v>
      </c>
      <c r="AN40" s="154" t="str">
        <f t="shared" si="2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14:36:35"},{"id":29,"name":"Sharepoint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678</v>
      </c>
      <c r="B41" s="7">
        <v>4020</v>
      </c>
      <c r="C41" s="21" t="s">
        <v>204</v>
      </c>
      <c r="D41" s="21" t="s">
        <v>554</v>
      </c>
      <c r="E41" s="13">
        <v>42891.298495370371</v>
      </c>
      <c r="F41" s="13">
        <v>42891.30228009259</v>
      </c>
      <c r="G41" s="7">
        <v>0</v>
      </c>
      <c r="H41" s="21" t="s">
        <v>473</v>
      </c>
      <c r="I41" s="13">
        <v>42891.32880787037</v>
      </c>
      <c r="J41" s="7">
        <v>0</v>
      </c>
      <c r="K41" s="92" t="str">
        <f t="shared" si="0"/>
        <v>4019/4020</v>
      </c>
      <c r="L41" s="21" t="str">
        <f>VLOOKUP(A41,'Trips&amp;Operators'!$C$1:$G$99999,5,FALSE)</f>
        <v>THOMPSON LESTER</v>
      </c>
      <c r="M41" s="6">
        <f t="shared" si="1"/>
        <v>2.6527777779847383E-2</v>
      </c>
      <c r="N41" s="7">
        <f t="shared" si="23"/>
        <v>38.200000002980232</v>
      </c>
      <c r="O41" s="7"/>
      <c r="P41" s="7"/>
      <c r="Q41" s="22"/>
      <c r="R41" s="173"/>
      <c r="S41" s="176">
        <f t="shared" si="3"/>
        <v>1</v>
      </c>
      <c r="T41" s="202" t="str">
        <f t="shared" si="4"/>
        <v>NorthBound</v>
      </c>
      <c r="U41" s="202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03" t="str">
        <f t="shared" si="5"/>
        <v>https://d0f6bd738d7f1b3e5a7ca70fe4ff75f0.us-east-1.aws.found.io/app/kibana#/discover/Steve-Slow-Train-Analysis-(2080s-and-2083s)?_g=(refreshInterval:(display:Off,pause:!f,section:0,value:0),time:(from:'2017-06-05T06:09:50-0600',mode:absolute,to:'2017-06-05T08:53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1" s="204" t="str">
        <f t="shared" si="6"/>
        <v>N</v>
      </c>
      <c r="X41" s="204">
        <f t="shared" si="7"/>
        <v>1</v>
      </c>
      <c r="Y41" s="204">
        <f t="shared" si="8"/>
        <v>4.3999999999999997E-2</v>
      </c>
      <c r="Z41" s="204">
        <f t="shared" si="9"/>
        <v>23.331199999999999</v>
      </c>
      <c r="AA41" s="204">
        <f t="shared" si="10"/>
        <v>23.287199999999999</v>
      </c>
      <c r="AB41" s="57" t="e">
        <f>VLOOKUP(A41,Enforcements!$C$7:$K$13,8,0)</f>
        <v>#N/A</v>
      </c>
      <c r="AC41" s="53" t="e">
        <f>VLOOKUP(A41,Enforcements!$C$7:$E$13,3,0)</f>
        <v>#N/A</v>
      </c>
      <c r="AD41" s="54" t="str">
        <f t="shared" si="11"/>
        <v>0129-05</v>
      </c>
      <c r="AE41" s="80" t="str">
        <f t="shared" si="12"/>
        <v>aws s3 cp s3://rtdc.mdm.uploadarchive.raw/RTDC4020/ "%USERPROFILE%\AppData\Local\Temp\OnboardLogs"\RTDC4020\2017-06-05 --exclude "*" --recursive --include "*20170605*" &amp; "%USERPROFILE%\Documents\GitHub\mrs-test-scripts\Headless Mode &amp; Sideloading\WalkAndUnGZ.bat" "%USERPROFILE%\AppData\Local\Temp\OnboardLogs"\RTDC4020\2017-06-05 &amp; aws s3 cp s3://rtdc.mdm.uploadarchive.raw/RTDC4020/ "%USERPROFILE%\AppData\Local\Temp\OnboardLogs"\RTDC4020\2017-06-06 --exclude "*" --recursive --include "*20170606*" &amp; "%USERPROFILE%\Documents\GitHub\mrs-test-scripts\Headless Mode &amp; Sideloading\WalkAndUnGZ.bat" "%USERPROFILE%\AppData\Local\Temp\OnboardLogs"\RTDC4020\2017-06-06</v>
      </c>
      <c r="AF41" s="77" t="str">
        <f t="shared" si="13"/>
        <v>"C:\Program Files (x86)\AstroGrep\AstroGrep.exe" /e /r /s /spath="%USERPROFILE%\AppData\Local\Temp\OnboardLogs" /stypes="app*4020*20170605*" /stext=" 13:.+((SYSTEM_STATE.+slice.+state.+changed )|(ment ac)|(multiple cpu faults)|(system.+state.+changed )|(\[timeout)|(PRM\|1\|D)|(kpr)|(kdp)|(train st.+moving)|(\|lc)|(penalty))"</v>
      </c>
      <c r="AG41" s="1" t="str">
        <f t="shared" si="14"/>
        <v>EC</v>
      </c>
      <c r="AH41" s="81" t="str">
        <f t="shared" si="19"/>
        <v>"%USERPROFILE%\Documents\GitHub\eaglep3\Utilities\RefineRTDCRunTimes.py" --tripid 129-05 --locoid 4020 --swversion DE.1.0.9.0 --startMP 204:440 --initTime 2017-06-05T07:09:50 --startdatetime 2017-06-05T07:15:17 --delay 0 --endMP 204:233312 --enddatetime 2017-06-05T07:53:29 --enforcementcount 0 &gt;&gt;C:\Users\stu\Documents\GitHub\eaglep3-reporting\EC\2017-06-05-refined-times.txt</v>
      </c>
      <c r="AI41" s="99" t="str">
        <f t="shared" si="20"/>
        <v>echo {"issue":{"subject":"","project_id":79,"tracker_id":40,"status_id":1,"priority_id":2,"assigned_to_id":23,"start_date":"2017-06-05","description":"","custom_fields":[{"id":1,"name":"Subdivision","value":"EC"},{"id":4,"name":"Milepost","value":"23.3312"},{"id":17,"name":"Train ID","value":"129-05"},{"id":16,"name":"Locomotive ID","value":"4020"},{"id":130,"name":"Impact","value":""},{"id":150,"name":"Time of Event (Mountain Time)","value":"07:53:29"},{"id":151,"name":"Denver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5" t="str">
        <f t="shared" si="21"/>
        <v>start /low /b %USERPROFILE%\Documents\GitHub\eaglep3\Utilities\DownloadLogsFromS3.py --loco 4020 --day 2017-06-05</v>
      </c>
      <c r="AN41" s="154" t="str">
        <f t="shared" si="2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13:53:29"},{"id":29,"name":"Sharepoint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687</v>
      </c>
      <c r="B42" s="7">
        <v>4019</v>
      </c>
      <c r="C42" s="21" t="s">
        <v>204</v>
      </c>
      <c r="D42" s="21" t="s">
        <v>497</v>
      </c>
      <c r="E42" s="13">
        <v>42891.337881944448</v>
      </c>
      <c r="F42" s="13">
        <v>42891.342141203706</v>
      </c>
      <c r="G42" s="7">
        <v>1</v>
      </c>
      <c r="H42" s="21" t="s">
        <v>195</v>
      </c>
      <c r="I42" s="13">
        <v>42891.369583333333</v>
      </c>
      <c r="J42" s="7">
        <v>0</v>
      </c>
      <c r="K42" s="92" t="str">
        <f t="shared" si="0"/>
        <v>4019/4020</v>
      </c>
      <c r="L42" s="21" t="str">
        <f>VLOOKUP(A42,'Trips&amp;Operators'!$C$1:$G$99999,5,FALSE)</f>
        <v>THOMPSON LESTER</v>
      </c>
      <c r="M42" s="6">
        <f t="shared" si="1"/>
        <v>2.7442129627161194E-2</v>
      </c>
      <c r="N42" s="7">
        <f t="shared" si="23"/>
        <v>39.516666663112119</v>
      </c>
      <c r="O42" s="7"/>
      <c r="P42" s="7"/>
      <c r="Q42" s="22"/>
      <c r="R42" s="173"/>
      <c r="S42" s="176">
        <f t="shared" si="3"/>
        <v>1</v>
      </c>
      <c r="T42" s="202" t="str">
        <f t="shared" si="4"/>
        <v>Southbound</v>
      </c>
      <c r="U42" s="202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03" t="str">
        <f t="shared" si="5"/>
        <v>https://d0f6bd738d7f1b3e5a7ca70fe4ff75f0.us-east-1.aws.found.io/app/kibana#/discover/Steve-Slow-Train-Analysis-(2080s-and-2083s)?_g=(refreshInterval:(display:Off,pause:!f,section:0,value:0),time:(from:'2017-06-05T07:06:33-0600',mode:absolute,to:'2017-06-05T09:52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2" s="204" t="str">
        <f t="shared" si="6"/>
        <v>N</v>
      </c>
      <c r="X42" s="204">
        <f t="shared" si="7"/>
        <v>1</v>
      </c>
      <c r="Y42" s="204">
        <f t="shared" si="8"/>
        <v>23.299299999999999</v>
      </c>
      <c r="Z42" s="204">
        <f t="shared" si="9"/>
        <v>1.52E-2</v>
      </c>
      <c r="AA42" s="204">
        <f t="shared" si="10"/>
        <v>23.284099999999999</v>
      </c>
      <c r="AB42" s="57" t="e">
        <f>VLOOKUP(A42,Enforcements!$C$7:$K$13,8,0)</f>
        <v>#N/A</v>
      </c>
      <c r="AC42" s="53" t="e">
        <f>VLOOKUP(A42,Enforcements!$C$7:$E$13,3,0)</f>
        <v>#N/A</v>
      </c>
      <c r="AD42" s="54" t="str">
        <f t="shared" si="11"/>
        <v>0130-05</v>
      </c>
      <c r="AE42" s="80" t="str">
        <f t="shared" si="12"/>
        <v>aws s3 cp s3://rtdc.mdm.uploadarchive.raw/RTDC4019/ "%USERPROFILE%\AppData\Local\Temp\OnboardLogs"\RTDC4019\2017-06-05 --exclude "*" --recursive --include "*20170605*" &amp; "%USERPROFILE%\Documents\GitHub\mrs-test-scripts\Headless Mode &amp; Sideloading\WalkAndUnGZ.bat" "%USERPROFILE%\AppData\Local\Temp\OnboardLogs"\RTDC4019\2017-06-05 &amp; aws s3 cp s3://rtdc.mdm.uploadarchive.raw/RTDC4019/ "%USERPROFILE%\AppData\Local\Temp\OnboardLogs"\RTDC4019\2017-06-06 --exclude "*" --recursive --include "*20170606*" &amp; "%USERPROFILE%\Documents\GitHub\mrs-test-scripts\Headless Mode &amp; Sideloading\WalkAndUnGZ.bat" "%USERPROFILE%\AppData\Local\Temp\OnboardLogs"\RTDC4019\2017-06-06</v>
      </c>
      <c r="AF42" s="77" t="str">
        <f t="shared" si="13"/>
        <v>"C:\Program Files (x86)\AstroGrep\AstroGrep.exe" /e /r /s /spath="%USERPROFILE%\AppData\Local\Temp\OnboardLogs" /stypes="app*4019*20170605*" /stext=" 14:.+((SYSTEM_STATE.+slice.+state.+changed )|(ment ac)|(multiple cpu faults)|(system.+state.+changed )|(\[timeout)|(PRM\|1\|D)|(kpr)|(kdp)|(train st.+moving)|(\|lc)|(penalty))"</v>
      </c>
      <c r="AG42" s="1" t="str">
        <f t="shared" si="14"/>
        <v>EC</v>
      </c>
      <c r="AH42" s="81" t="str">
        <f t="shared" si="19"/>
        <v>"%USERPROFILE%\Documents\GitHub\eaglep3\Utilities\RefineRTDCRunTimes.py" --tripid 130-05 --locoid 4019 --swversion DE.1.0.9.0 --startMP 204:232993 --initTime 2017-06-05T08:06:33 --startdatetime 2017-06-05T08:12:41 --delay 1 --endMP 204:152 --enddatetime 2017-06-05T08:52:12 --enforcementcount 0 &gt;&gt;C:\Users\stu\Documents\GitHub\eaglep3-reporting\EC\2017-06-05-refined-times.txt</v>
      </c>
      <c r="AI42" s="99" t="str">
        <f t="shared" si="20"/>
        <v>echo {"issue":{"subject":"","project_id":79,"tracker_id":40,"status_id":1,"priority_id":2,"assigned_to_id":23,"start_date":"2017-06-05","description":"","custom_fields":[{"id":1,"name":"Subdivision","value":"EC"},{"id":4,"name":"Milepost","value":"0.0152"},{"id":17,"name":"Train ID","value":"130-05"},{"id":16,"name":"Locomotive ID","value":"4019"},{"id":130,"name":"Impact","value":""},{"id":150,"name":"Time of Event (Mountain Time)","value":"08:52:12"},{"id":151,"name":"Denver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5" t="str">
        <f t="shared" si="21"/>
        <v>start /low /b %USERPROFILE%\Documents\GitHub\eaglep3\Utilities\DownloadLogsFromS3.py --loco 4019 --day 2017-06-05</v>
      </c>
      <c r="AN42" s="154" t="str">
        <f t="shared" si="2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14:52:12"},{"id":29,"name":"Sharepoint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584</v>
      </c>
      <c r="B43" s="7">
        <v>4062</v>
      </c>
      <c r="C43" s="21" t="s">
        <v>204</v>
      </c>
      <c r="D43" s="21" t="s">
        <v>498</v>
      </c>
      <c r="E43" s="13">
        <v>42891.308645833335</v>
      </c>
      <c r="F43" s="13">
        <v>42891.313020833331</v>
      </c>
      <c r="G43" s="7">
        <v>2</v>
      </c>
      <c r="H43" s="21" t="s">
        <v>842</v>
      </c>
      <c r="I43" s="13">
        <v>42891.337638888886</v>
      </c>
      <c r="J43" s="7">
        <v>0</v>
      </c>
      <c r="K43" s="92" t="str">
        <f t="shared" si="0"/>
        <v>4061/4062</v>
      </c>
      <c r="L43" s="21" t="str">
        <f>VLOOKUP(A43,'Trips&amp;Operators'!$C$1:$G$99999,5,FALSE)</f>
        <v>MACDONALD THOMAS</v>
      </c>
      <c r="M43" s="6">
        <f t="shared" si="1"/>
        <v>2.4618055555038154E-2</v>
      </c>
      <c r="N43" s="7">
        <f t="shared" si="23"/>
        <v>35.449999999254942</v>
      </c>
      <c r="O43" s="7"/>
      <c r="P43" s="7"/>
      <c r="Q43" s="22"/>
      <c r="R43" s="173"/>
      <c r="S43" s="176">
        <f t="shared" si="3"/>
        <v>1</v>
      </c>
      <c r="T43" s="202" t="str">
        <f t="shared" si="4"/>
        <v>NorthBound</v>
      </c>
      <c r="U43" s="202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03" t="str">
        <f t="shared" si="5"/>
        <v>https://d0f6bd738d7f1b3e5a7ca70fe4ff75f0.us-east-1.aws.found.io/app/kibana#/discover/Steve-Slow-Train-Analysis-(2080s-and-2083s)?_g=(refreshInterval:(display:Off,pause:!f,section:0,value:0),time:(from:'2017-06-05T06:24:27-0600',mode:absolute,to:'2017-06-05T09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43" s="204" t="str">
        <f t="shared" si="6"/>
        <v>N</v>
      </c>
      <c r="X43" s="204">
        <f t="shared" si="7"/>
        <v>1</v>
      </c>
      <c r="Y43" s="204">
        <f t="shared" si="8"/>
        <v>4.4400000000000002E-2</v>
      </c>
      <c r="Z43" s="204">
        <f t="shared" si="9"/>
        <v>23.323799999999999</v>
      </c>
      <c r="AA43" s="204">
        <f t="shared" si="10"/>
        <v>23.279399999999999</v>
      </c>
      <c r="AB43" s="57" t="e">
        <f>VLOOKUP(A43,Enforcements!$C$7:$K$13,8,0)</f>
        <v>#N/A</v>
      </c>
      <c r="AC43" s="53" t="e">
        <f>VLOOKUP(A43,Enforcements!$C$7:$E$13,3,0)</f>
        <v>#N/A</v>
      </c>
      <c r="AD43" s="54" t="str">
        <f t="shared" si="11"/>
        <v>0131-05</v>
      </c>
      <c r="AE43" s="80" t="str">
        <f t="shared" si="12"/>
        <v>aws s3 cp s3://rtdc.mdm.uploadarchive.raw/RTDC4062/ "%USERPROFILE%\AppData\Local\Temp\OnboardLogs"\RTDC4062\2017-06-05 --exclude "*" --recursive --include "*20170605*" &amp; "%USERPROFILE%\Documents\GitHub\mrs-test-scripts\Headless Mode &amp; Sideloading\WalkAndUnGZ.bat" "%USERPROFILE%\AppData\Local\Temp\OnboardLogs"\RTDC4062\2017-06-05 &amp; aws s3 cp s3://rtdc.mdm.uploadarchive.raw/RTDC4062/ "%USERPROFILE%\AppData\Local\Temp\OnboardLogs"\RTDC4062\2017-06-06 --exclude "*" --recursive --include "*20170606*" &amp; "%USERPROFILE%\Documents\GitHub\mrs-test-scripts\Headless Mode &amp; Sideloading\WalkAndUnGZ.bat" "%USERPROFILE%\AppData\Local\Temp\OnboardLogs"\RTDC4062\2017-06-06</v>
      </c>
      <c r="AF43" s="77" t="str">
        <f t="shared" si="13"/>
        <v>"C:\Program Files (x86)\AstroGrep\AstroGrep.exe" /e /r /s /spath="%USERPROFILE%\AppData\Local\Temp\OnboardLogs" /stypes="app*4062*20170605*" /stext=" 14:.+((SYSTEM_STATE.+slice.+state.+changed )|(ment ac)|(multiple cpu faults)|(system.+state.+changed )|(\[timeout)|(PRM\|1\|D)|(kpr)|(kdp)|(train st.+moving)|(\|lc)|(penalty))"</v>
      </c>
      <c r="AG43" s="1" t="str">
        <f t="shared" si="14"/>
        <v>EC</v>
      </c>
      <c r="AH43" s="81" t="str">
        <f t="shared" si="19"/>
        <v>"%USERPROFILE%\Documents\GitHub\eaglep3\Utilities\RefineRTDCRunTimes.py" --tripid 131-05 --locoid 4062 --swversion DE.1.0.9.0 --startMP 204:444 --initTime 2017-06-05T07:24:27 --startdatetime 2017-06-05T07:30:45 --delay 2 --endMP 204:233238 --enddatetime 2017-06-05T08:06:12 --enforcementcount 0 &gt;&gt;C:\Users\stu\Documents\GitHub\eaglep3-reporting\EC\2017-06-05-refined-times.txt</v>
      </c>
      <c r="AI43" s="99" t="str">
        <f t="shared" si="20"/>
        <v>echo {"issue":{"subject":"","project_id":79,"tracker_id":40,"status_id":1,"priority_id":2,"assigned_to_id":23,"start_date":"2017-06-05","description":"","custom_fields":[{"id":1,"name":"Subdivision","value":"EC"},{"id":4,"name":"Milepost","value":"23.3238"},{"id":17,"name":"Train ID","value":"131-05"},{"id":16,"name":"Locomotive ID","value":"4062"},{"id":130,"name":"Impact","value":""},{"id":150,"name":"Time of Event (Mountain Time)","value":"08:06:12"},{"id":151,"name":"Denver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5" t="str">
        <f t="shared" si="21"/>
        <v>start /low /b %USERPROFILE%\Documents\GitHub\eaglep3\Utilities\DownloadLogsFromS3.py --loco 4062 --day 2017-06-05</v>
      </c>
      <c r="AN43" s="154" t="str">
        <f t="shared" si="2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14:06:12"},{"id":29,"name":"Sharepoint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591</v>
      </c>
      <c r="B44" s="7">
        <v>4061</v>
      </c>
      <c r="C44" s="21" t="s">
        <v>204</v>
      </c>
      <c r="D44" s="21" t="s">
        <v>843</v>
      </c>
      <c r="E44" s="13">
        <v>42891.350046296298</v>
      </c>
      <c r="F44" s="13">
        <v>42891.366875</v>
      </c>
      <c r="G44" s="7">
        <v>23</v>
      </c>
      <c r="H44" s="21" t="s">
        <v>844</v>
      </c>
      <c r="I44" s="13">
        <v>42891.383831018517</v>
      </c>
      <c r="J44" s="7">
        <v>0</v>
      </c>
      <c r="K44" s="92" t="str">
        <f t="shared" si="0"/>
        <v>4061/4062</v>
      </c>
      <c r="L44" s="21" t="str">
        <f>VLOOKUP(A44,'Trips&amp;Operators'!$C$1:$G$99999,5,FALSE)</f>
        <v>MACDONALD THOMAS</v>
      </c>
      <c r="M44" s="6">
        <f t="shared" si="1"/>
        <v>1.6956018516793847E-2</v>
      </c>
      <c r="N44" s="7"/>
      <c r="O44" s="7"/>
      <c r="P44" s="7">
        <f>24*60*SUM($M44:$M44)</f>
        <v>24.41666666418314</v>
      </c>
      <c r="Q44" s="22"/>
      <c r="R44" s="173" t="s">
        <v>1035</v>
      </c>
      <c r="S44" s="176">
        <f t="shared" si="3"/>
        <v>1</v>
      </c>
      <c r="T44" s="202" t="str">
        <f t="shared" si="4"/>
        <v>Southbound</v>
      </c>
      <c r="U44" s="202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03" t="str">
        <f t="shared" si="5"/>
        <v>https://d0f6bd738d7f1b3e5a7ca70fe4ff75f0.us-east-1.aws.found.io/app/kibana#/discover/Steve-Slow-Train-Analysis-(2080s-and-2083s)?_g=(refreshInterval:(display:Off,pause:!f,section:0,value:0),time:(from:'2017-06-05T07:24:04-0600',mode:absolute,to:'2017-06-05T10:12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44" s="204" t="str">
        <f t="shared" si="6"/>
        <v>Y</v>
      </c>
      <c r="X44" s="204">
        <f t="shared" si="7"/>
        <v>1</v>
      </c>
      <c r="Y44" s="204">
        <f t="shared" si="8"/>
        <v>12.783099999999999</v>
      </c>
      <c r="Z44" s="204">
        <f t="shared" si="9"/>
        <v>2.1100000000000001E-2</v>
      </c>
      <c r="AA44" s="204">
        <f t="shared" si="10"/>
        <v>12.761999999999999</v>
      </c>
      <c r="AB44" s="57" t="e">
        <f>VLOOKUP(A44,Enforcements!$C$7:$K$13,8,0)</f>
        <v>#N/A</v>
      </c>
      <c r="AC44" s="53" t="e">
        <f>VLOOKUP(A44,Enforcements!$C$7:$E$13,3,0)</f>
        <v>#N/A</v>
      </c>
      <c r="AD44" s="54" t="str">
        <f t="shared" si="11"/>
        <v>0132-05</v>
      </c>
      <c r="AE44" s="80" t="str">
        <f t="shared" si="12"/>
        <v>aws s3 cp s3://rtdc.mdm.uploadarchive.raw/RTDC4061/ "%USERPROFILE%\AppData\Local\Temp\OnboardLogs"\RTDC4061\2017-06-05 --exclude "*" --recursive --include "*20170605*" &amp; "%USERPROFILE%\Documents\GitHub\mrs-test-scripts\Headless Mode &amp; Sideloading\WalkAndUnGZ.bat" "%USERPROFILE%\AppData\Local\Temp\OnboardLogs"\RTDC4061\2017-06-05 &amp; aws s3 cp s3://rtdc.mdm.uploadarchive.raw/RTDC4061/ "%USERPROFILE%\AppData\Local\Temp\OnboardLogs"\RTDC4061\2017-06-06 --exclude "*" --recursive --include "*20170606*" &amp; "%USERPROFILE%\Documents\GitHub\mrs-test-scripts\Headless Mode &amp; Sideloading\WalkAndUnGZ.bat" "%USERPROFILE%\AppData\Local\Temp\OnboardLogs"\RTDC4061\2017-06-06</v>
      </c>
      <c r="AF44" s="77" t="str">
        <f t="shared" si="13"/>
        <v>"C:\Program Files (x86)\AstroGrep\AstroGrep.exe" /e /r /s /spath="%USERPROFILE%\AppData\Local\Temp\OnboardLogs" /stypes="app*4061*20170605*" /stext=" 15:.+((SYSTEM_STATE.+slice.+state.+changed )|(ment ac)|(multiple cpu faults)|(system.+state.+changed )|(\[timeout)|(PRM\|1\|D)|(kpr)|(kdp)|(train st.+moving)|(\|lc)|(penalty))"</v>
      </c>
      <c r="AG44" s="1" t="str">
        <f t="shared" si="14"/>
        <v>EC</v>
      </c>
      <c r="AH44" s="81" t="str">
        <f t="shared" si="19"/>
        <v>"%USERPROFILE%\Documents\GitHub\eaglep3\Utilities\RefineRTDCRunTimes.py" --tripid 132-05 --locoid 4061 --swversion DE.1.0.9.0 --startMP 204:127831 --initTime 2017-06-05T08:24:04 --startdatetime 2017-06-05T08:48:18 --delay 23 --endMP 204:211 --enddatetime 2017-06-05T09:12:43 --enforcementcount 0 &gt;&gt;C:\Users\stu\Documents\GitHub\eaglep3-reporting\EC\2017-06-05-refined-times.txt</v>
      </c>
      <c r="AI44" s="99" t="str">
        <f t="shared" si="20"/>
        <v>echo {"issue":{"subject":"Onboard in-route failure","project_id":79,"tracker_id":40,"status_id":1,"priority_id":2,"assigned_to_id":23,"start_date":"2017-06-05","description":"","custom_fields":[{"id":1,"name":"Subdivision","value":"EC"},{"id":4,"name":"Milepost","value":"0.0211"},{"id":17,"name":"Train ID","value":"132-05"},{"id":16,"name":"Locomotive ID","value":"4061"},{"id":130,"name":"Impact","value":""},{"id":150,"name":"Time of Event (Mountain Time)","value":"09:12:43"},{"id":151,"name":"Denver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5" t="str">
        <f t="shared" si="21"/>
        <v>start /low /b %USERPROFILE%\Documents\GitHub\eaglep3\Utilities\DownloadLogsFromS3.py --loco 4061 --day 2017-06-05</v>
      </c>
      <c r="AN44" s="154" t="str">
        <f t="shared" si="22"/>
        <v>echo {"issue":{"subject":"Onboard in-route failure","project_id":30,"tracker_id":4,"status_id":1,"priority_id":1,"assigned_to_id":10,"start_date":"2017-06-05","description":"","custom_fields":[{"id":30,"name":"Category","value":"Issue"},{"id":3,"name":"Functional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15:12:43"},{"id":29,"name":"Sharepoint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591</v>
      </c>
      <c r="B45" s="7">
        <v>4061</v>
      </c>
      <c r="C45" s="21" t="s">
        <v>204</v>
      </c>
      <c r="D45" s="21" t="s">
        <v>845</v>
      </c>
      <c r="E45" s="13">
        <v>42891.350046296298</v>
      </c>
      <c r="F45" s="13">
        <v>42891.366875</v>
      </c>
      <c r="G45" s="7">
        <v>1</v>
      </c>
      <c r="H45" s="21" t="s">
        <v>844</v>
      </c>
      <c r="I45" s="13">
        <v>42891.383831018517</v>
      </c>
      <c r="J45" s="7">
        <v>0</v>
      </c>
      <c r="K45" s="92" t="str">
        <f t="shared" si="0"/>
        <v>4061/4062</v>
      </c>
      <c r="L45" s="21" t="str">
        <f>VLOOKUP(A45,'Trips&amp;Operators'!$C$1:$G$99999,5,FALSE)</f>
        <v>MACDONALD THOMAS</v>
      </c>
      <c r="M45" s="6">
        <f t="shared" si="1"/>
        <v>1.6956018516793847E-2</v>
      </c>
      <c r="N45" s="7"/>
      <c r="O45" s="7"/>
      <c r="P45" s="7"/>
      <c r="Q45" s="22"/>
      <c r="R45" s="173"/>
      <c r="S45" s="176"/>
      <c r="T45" s="202" t="str">
        <f t="shared" si="4"/>
        <v>Southbound</v>
      </c>
      <c r="U45" s="202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03" t="str">
        <f t="shared" si="5"/>
        <v>https://d0f6bd738d7f1b3e5a7ca70fe4ff75f0.us-east-1.aws.found.io/app/kibana#/discover/Steve-Slow-Train-Analysis-(2080s-and-2083s)?_g=(refreshInterval:(display:Off,pause:!f,section:0,value:0),time:(from:'2017-06-05T07:24:04-0600',mode:absolute,to:'2017-06-05T10:12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45" s="204" t="str">
        <f t="shared" si="6"/>
        <v>N</v>
      </c>
      <c r="X45" s="204">
        <f t="shared" ref="X45:X64" si="24">VALUE(LEFT(AD45,4))-VALUE(LEFT(AD44,4))</f>
        <v>0</v>
      </c>
      <c r="Y45" s="204">
        <f t="shared" ref="Y45:Y76" si="25">RIGHT(D45,LEN(D45)-4)/10000</f>
        <v>23.292100000000001</v>
      </c>
      <c r="Z45" s="204">
        <f t="shared" ref="Z45:Z76" si="26">RIGHT(H45,LEN(H45)-4)/10000</f>
        <v>2.1100000000000001E-2</v>
      </c>
      <c r="AA45" s="204">
        <f t="shared" si="10"/>
        <v>23.271000000000001</v>
      </c>
      <c r="AB45" s="57" t="e">
        <f>VLOOKUP(A45,Enforcements!$C$7:$K$13,8,0)</f>
        <v>#N/A</v>
      </c>
      <c r="AC45" s="53" t="e">
        <f>VLOOKUP(A45,Enforcements!$C$7:$E$13,3,0)</f>
        <v>#N/A</v>
      </c>
      <c r="AD45" s="54" t="str">
        <f t="shared" si="11"/>
        <v>0132-05</v>
      </c>
      <c r="AE45" s="80" t="str">
        <f t="shared" si="12"/>
        <v>aws s3 cp s3://rtdc.mdm.uploadarchive.raw/RTDC4061/ "%USERPROFILE%\AppData\Local\Temp\OnboardLogs"\RTDC4061\2017-06-05 --exclude "*" --recursive --include "*20170605*" &amp; "%USERPROFILE%\Documents\GitHub\mrs-test-scripts\Headless Mode &amp; Sideloading\WalkAndUnGZ.bat" "%USERPROFILE%\AppData\Local\Temp\OnboardLogs"\RTDC4061\2017-06-05 &amp; aws s3 cp s3://rtdc.mdm.uploadarchive.raw/RTDC4061/ "%USERPROFILE%\AppData\Local\Temp\OnboardLogs"\RTDC4061\2017-06-06 --exclude "*" --recursive --include "*20170606*" &amp; "%USERPROFILE%\Documents\GitHub\mrs-test-scripts\Headless Mode &amp; Sideloading\WalkAndUnGZ.bat" "%USERPROFILE%\AppData\Local\Temp\OnboardLogs"\RTDC4061\2017-06-06</v>
      </c>
      <c r="AF45" s="77" t="str">
        <f t="shared" si="13"/>
        <v>"C:\Program Files (x86)\AstroGrep\AstroGrep.exe" /e /r /s /spath="%USERPROFILE%\AppData\Local\Temp\OnboardLogs" /stypes="app*4061*20170605*" /stext=" 15:.+((SYSTEM_STATE.+slice.+state.+changed )|(ment ac)|(multiple cpu faults)|(system.+state.+changed )|(\[timeout)|(PRM\|1\|D)|(kpr)|(kdp)|(train st.+moving)|(\|lc)|(penalty))"</v>
      </c>
      <c r="AG45" s="1" t="str">
        <f t="shared" si="14"/>
        <v>EC</v>
      </c>
      <c r="AH45" s="81" t="str">
        <f t="shared" si="19"/>
        <v>"%USERPROFILE%\Documents\GitHub\eaglep3\Utilities\RefineRTDCRunTimes.py" --tripid 132-05 --locoid 4061 --swversion DE.1.0.9.0 --startMP 204:232921 --initTime 2017-06-05T08:24:04 --startdatetime 2017-06-05T08:48:18 --delay 1 --endMP 204:211 --enddatetime 2017-06-05T09:12:43 --enforcementcount 0 &gt;&gt;C:\Users\stu\Documents\GitHub\eaglep3-reporting\EC\2017-06-05-refined-times.txt</v>
      </c>
      <c r="AI45" s="99" t="str">
        <f t="shared" si="20"/>
        <v>echo {"issue":{"subject":"","project_id":79,"tracker_id":40,"status_id":1,"priority_id":2,"assigned_to_id":23,"start_date":"2017-06-05","description":"","custom_fields":[{"id":1,"name":"Subdivision","value":"EC"},{"id":4,"name":"Milepost","value":"0.0211"},{"id":17,"name":"Train ID","value":"132-05"},{"id":16,"name":"Locomotive ID","value":"4061"},{"id":130,"name":"Impact","value":""},{"id":150,"name":"Time of Event (Mountain Time)","value":"09:12:43"},{"id":151,"name":"Denver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5" t="str">
        <f t="shared" si="21"/>
        <v>start /low /b %USERPROFILE%\Documents\GitHub\eaglep3\Utilities\DownloadLogsFromS3.py --loco 4061 --day 2017-06-05</v>
      </c>
      <c r="AN45" s="154" t="str">
        <f t="shared" si="2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15:12:43"},{"id":29,"name":"Sharepoint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684</v>
      </c>
      <c r="B46" s="7">
        <v>4016</v>
      </c>
      <c r="C46" s="21" t="s">
        <v>204</v>
      </c>
      <c r="D46" s="21" t="s">
        <v>404</v>
      </c>
      <c r="E46" s="13">
        <v>42891.321226851855</v>
      </c>
      <c r="F46" s="13">
        <v>42891.323981481481</v>
      </c>
      <c r="G46" s="7">
        <v>1</v>
      </c>
      <c r="H46" s="21" t="s">
        <v>846</v>
      </c>
      <c r="I46" s="13">
        <v>42891.349710648145</v>
      </c>
      <c r="J46" s="7">
        <v>0</v>
      </c>
      <c r="K46" s="92" t="str">
        <f t="shared" si="0"/>
        <v>4015/4016</v>
      </c>
      <c r="L46" s="21" t="str">
        <f>VLOOKUP(A46,'Trips&amp;Operators'!$C$1:$G$99999,5,FALSE)</f>
        <v>STARKS ANGELINA</v>
      </c>
      <c r="M46" s="6">
        <f t="shared" si="1"/>
        <v>2.5729166663950309E-2</v>
      </c>
      <c r="N46" s="7">
        <f t="shared" ref="N46:N57" si="27">24*60*SUM($M46:$M46)</f>
        <v>37.049999996088445</v>
      </c>
      <c r="O46" s="7"/>
      <c r="P46" s="7"/>
      <c r="Q46" s="22"/>
      <c r="R46" s="173"/>
      <c r="S46" s="176">
        <f t="shared" ref="S46:S77" si="28">SUM(U46:U46)/IF(AG46="EC",12,1)</f>
        <v>1</v>
      </c>
      <c r="T46" s="202" t="str">
        <f t="shared" si="4"/>
        <v>NorthBound</v>
      </c>
      <c r="U46" s="202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03" t="str">
        <f t="shared" si="5"/>
        <v>https://d0f6bd738d7f1b3e5a7ca70fe4ff75f0.us-east-1.aws.found.io/app/kibana#/discover/Steve-Slow-Train-Analysis-(2080s-and-2083s)?_g=(refreshInterval:(display:Off,pause:!f,section:0,value:0),time:(from:'2017-06-05T06:42:34-0600',mode:absolute,to:'2017-06-05T09:23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6" s="204" t="str">
        <f t="shared" si="6"/>
        <v>N</v>
      </c>
      <c r="X46" s="204">
        <f t="shared" si="24"/>
        <v>1</v>
      </c>
      <c r="Y46" s="204">
        <f t="shared" si="25"/>
        <v>4.7300000000000002E-2</v>
      </c>
      <c r="Z46" s="204">
        <f t="shared" si="26"/>
        <v>23.33</v>
      </c>
      <c r="AA46" s="204">
        <f t="shared" si="10"/>
        <v>23.282699999999998</v>
      </c>
      <c r="AB46" s="57" t="e">
        <f>VLOOKUP(A46,Enforcements!$C$7:$K$13,8,0)</f>
        <v>#N/A</v>
      </c>
      <c r="AC46" s="53" t="e">
        <f>VLOOKUP(A46,Enforcements!$C$7:$E$13,3,0)</f>
        <v>#N/A</v>
      </c>
      <c r="AD46" s="54" t="str">
        <f t="shared" si="11"/>
        <v>0133-05</v>
      </c>
      <c r="AE46" s="80" t="str">
        <f t="shared" si="12"/>
        <v>aws s3 cp s3://rtdc.mdm.uploadarchive.raw/RTDC4016/ "%USERPROFILE%\AppData\Local\Temp\OnboardLogs"\RTDC4016\2017-06-05 --exclude "*" --recursive --include "*20170605*" &amp; "%USERPROFILE%\Documents\GitHub\mrs-test-scripts\Headless Mode &amp; Sideloading\WalkAndUnGZ.bat" "%USERPROFILE%\AppData\Local\Temp\OnboardLogs"\RTDC4016\2017-06-05 &amp; aws s3 cp s3://rtdc.mdm.uploadarchive.raw/RTDC4016/ "%USERPROFILE%\AppData\Local\Temp\OnboardLogs"\RTDC4016\2017-06-06 --exclude "*" --recursive --include "*20170606*" &amp; "%USERPROFILE%\Documents\GitHub\mrs-test-scripts\Headless Mode &amp; Sideloading\WalkAndUnGZ.bat" "%USERPROFILE%\AppData\Local\Temp\OnboardLogs"\RTDC4016\2017-06-06</v>
      </c>
      <c r="AF46" s="77" t="str">
        <f t="shared" si="13"/>
        <v>"C:\Program Files (x86)\AstroGrep\AstroGrep.exe" /e /r /s /spath="%USERPROFILE%\AppData\Local\Temp\OnboardLogs" /stypes="app*4016*20170605*" /stext=" 14:.+((SYSTEM_STATE.+slice.+state.+changed )|(ment ac)|(multiple cpu faults)|(system.+state.+changed )|(\[timeout)|(PRM\|1\|D)|(kpr)|(kdp)|(train st.+moving)|(\|lc)|(penalty))"</v>
      </c>
      <c r="AG46" s="1" t="str">
        <f t="shared" si="14"/>
        <v>EC</v>
      </c>
      <c r="AH46" s="81" t="str">
        <f t="shared" si="19"/>
        <v>"%USERPROFILE%\Documents\GitHub\eaglep3\Utilities\RefineRTDCRunTimes.py" --tripid 133-05 --locoid 4016 --swversion DE.1.0.9.0 --startMP 204:473 --initTime 2017-06-05T07:42:34 --startdatetime 2017-06-05T07:46:32 --delay 1 --endMP 204:233300 --enddatetime 2017-06-05T08:23:35 --enforcementcount 0 &gt;&gt;C:\Users\stu\Documents\GitHub\eaglep3-reporting\EC\2017-06-05-refined-times.txt</v>
      </c>
      <c r="AI46" s="99" t="str">
        <f t="shared" si="20"/>
        <v>echo {"issue":{"subject":"","project_id":79,"tracker_id":40,"status_id":1,"priority_id":2,"assigned_to_id":23,"start_date":"2017-06-05","description":"","custom_fields":[{"id":1,"name":"Subdivision","value":"EC"},{"id":4,"name":"Milepost","value":"23.33"},{"id":17,"name":"Train ID","value":"133-05"},{"id":16,"name":"Locomotive ID","value":"4016"},{"id":130,"name":"Impact","value":""},{"id":150,"name":"Time of Event (Mountain Time)","value":"08:23:35"},{"id":151,"name":"Denver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5" t="str">
        <f t="shared" si="21"/>
        <v>start /low /b %USERPROFILE%\Documents\GitHub\eaglep3\Utilities\DownloadLogsFromS3.py --loco 4016 --day 2017-06-05</v>
      </c>
      <c r="AN46" s="154" t="str">
        <f t="shared" si="2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14:23:35"},{"id":29,"name":"Sharepoint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589</v>
      </c>
      <c r="B47" s="7">
        <v>4015</v>
      </c>
      <c r="C47" s="21" t="s">
        <v>204</v>
      </c>
      <c r="D47" s="21" t="s">
        <v>847</v>
      </c>
      <c r="E47" s="13">
        <v>42891.360243055555</v>
      </c>
      <c r="F47" s="13">
        <v>42891.362662037034</v>
      </c>
      <c r="G47" s="7">
        <v>1</v>
      </c>
      <c r="H47" s="21" t="s">
        <v>470</v>
      </c>
      <c r="I47" s="13">
        <v>42891.39166666667</v>
      </c>
      <c r="J47" s="7">
        <v>0</v>
      </c>
      <c r="K47" s="92" t="str">
        <f t="shared" si="0"/>
        <v>4015/4016</v>
      </c>
      <c r="L47" s="21" t="str">
        <f>VLOOKUP(A47,'Trips&amp;Operators'!$C$1:$G$99999,5,FALSE)</f>
        <v>STARKS ANGELINA</v>
      </c>
      <c r="M47" s="6">
        <f t="shared" si="1"/>
        <v>2.9004629635892343E-2</v>
      </c>
      <c r="N47" s="7">
        <f t="shared" si="27"/>
        <v>41.766666675684974</v>
      </c>
      <c r="O47" s="7"/>
      <c r="P47" s="7"/>
      <c r="Q47" s="22"/>
      <c r="R47" s="173"/>
      <c r="S47" s="176">
        <f t="shared" si="28"/>
        <v>1</v>
      </c>
      <c r="T47" s="202" t="str">
        <f t="shared" si="4"/>
        <v>Southbound</v>
      </c>
      <c r="U47" s="202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03" t="str">
        <f t="shared" si="5"/>
        <v>https://d0f6bd738d7f1b3e5a7ca70fe4ff75f0.us-east-1.aws.found.io/app/kibana#/discover/Steve-Slow-Train-Analysis-(2080s-and-2083s)?_g=(refreshInterval:(display:Off,pause:!f,section:0,value:0),time:(from:'2017-06-05T07:38:45-0600',mode:absolute,to:'2017-06-05T10:24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7" s="204" t="str">
        <f t="shared" si="6"/>
        <v>N</v>
      </c>
      <c r="X47" s="204">
        <f t="shared" si="24"/>
        <v>1</v>
      </c>
      <c r="Y47" s="204">
        <f t="shared" si="25"/>
        <v>23.297599999999999</v>
      </c>
      <c r="Z47" s="204">
        <f t="shared" si="26"/>
        <v>1.38E-2</v>
      </c>
      <c r="AA47" s="204">
        <f t="shared" si="10"/>
        <v>23.283799999999999</v>
      </c>
      <c r="AB47" s="57" t="e">
        <f>VLOOKUP(A47,Enforcements!$C$7:$K$13,8,0)</f>
        <v>#N/A</v>
      </c>
      <c r="AC47" s="53" t="e">
        <f>VLOOKUP(A47,Enforcements!$C$7:$E$13,3,0)</f>
        <v>#N/A</v>
      </c>
      <c r="AD47" s="54" t="str">
        <f t="shared" si="11"/>
        <v>0134-05</v>
      </c>
      <c r="AE47" s="80" t="str">
        <f t="shared" si="12"/>
        <v>aws s3 cp s3://rtdc.mdm.uploadarchive.raw/RTDC4015/ "%USERPROFILE%\AppData\Local\Temp\OnboardLogs"\RTDC4015\2017-06-05 --exclude "*" --recursive --include "*20170605*" &amp; "%USERPROFILE%\Documents\GitHub\mrs-test-scripts\Headless Mode &amp; Sideloading\WalkAndUnGZ.bat" "%USERPROFILE%\AppData\Local\Temp\OnboardLogs"\RTDC4015\2017-06-05 &amp; aws s3 cp s3://rtdc.mdm.uploadarchive.raw/RTDC4015/ "%USERPROFILE%\AppData\Local\Temp\OnboardLogs"\RTDC4015\2017-06-06 --exclude "*" --recursive --include "*20170606*" &amp; "%USERPROFILE%\Documents\GitHub\mrs-test-scripts\Headless Mode &amp; Sideloading\WalkAndUnGZ.bat" "%USERPROFILE%\AppData\Local\Temp\OnboardLogs"\RTDC4015\2017-06-06</v>
      </c>
      <c r="AF47" s="77" t="str">
        <f t="shared" si="13"/>
        <v>"C:\Program Files (x86)\AstroGrep\AstroGrep.exe" /e /r /s /spath="%USERPROFILE%\AppData\Local\Temp\OnboardLogs" /stypes="app*4015*20170605*" /stext=" 15:.+((SYSTEM_STATE.+slice.+state.+changed )|(ment ac)|(multiple cpu faults)|(system.+state.+changed )|(\[timeout)|(PRM\|1\|D)|(kpr)|(kdp)|(train st.+moving)|(\|lc)|(penalty))"</v>
      </c>
      <c r="AG47" s="1" t="str">
        <f t="shared" si="14"/>
        <v>EC</v>
      </c>
      <c r="AH47" s="81" t="str">
        <f t="shared" si="19"/>
        <v>"%USERPROFILE%\Documents\GitHub\eaglep3\Utilities\RefineRTDCRunTimes.py" --tripid 134-05 --locoid 4015 --swversion DE.1.0.9.0 --startMP 204:232976 --initTime 2017-06-05T08:38:45 --startdatetime 2017-06-05T08:42:14 --delay 1 --endMP 204:138 --enddatetime 2017-06-05T09:24:00 --enforcementcount 0 &gt;&gt;C:\Users\stu\Documents\GitHub\eaglep3-reporting\EC\2017-06-05-refined-times.txt</v>
      </c>
      <c r="AI47" s="99" t="str">
        <f t="shared" si="20"/>
        <v>echo {"issue":{"subject":"","project_id":79,"tracker_id":40,"status_id":1,"priority_id":2,"assigned_to_id":23,"start_date":"2017-06-05","description":"","custom_fields":[{"id":1,"name":"Subdivision","value":"EC"},{"id":4,"name":"Milepost","value":"0.0138"},{"id":17,"name":"Train ID","value":"134-05"},{"id":16,"name":"Locomotive ID","value":"4015"},{"id":130,"name":"Impact","value":""},{"id":150,"name":"Time of Event (Mountain Time)","value":"09:24:00"},{"id":151,"name":"Denver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5" t="str">
        <f t="shared" si="21"/>
        <v>start /low /b %USERPROFILE%\Documents\GitHub\eaglep3\Utilities\DownloadLogsFromS3.py --loco 4015 --day 2017-06-05</v>
      </c>
      <c r="AN47" s="154" t="str">
        <f t="shared" si="2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15:24:00"},{"id":29,"name":"Sharepoint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685</v>
      </c>
      <c r="B48" s="7">
        <v>4042</v>
      </c>
      <c r="C48" s="21" t="s">
        <v>204</v>
      </c>
      <c r="D48" s="21" t="s">
        <v>359</v>
      </c>
      <c r="E48" s="13">
        <v>42891.32849537037</v>
      </c>
      <c r="F48" s="13">
        <v>42891.333495370367</v>
      </c>
      <c r="G48" s="7">
        <v>1</v>
      </c>
      <c r="H48" s="21" t="s">
        <v>848</v>
      </c>
      <c r="I48" s="13">
        <v>42891.35869212963</v>
      </c>
      <c r="J48" s="7">
        <v>0</v>
      </c>
      <c r="K48" s="92" t="str">
        <f t="shared" si="0"/>
        <v>4041/4042</v>
      </c>
      <c r="L48" s="21" t="str">
        <f>VLOOKUP(A48,'Trips&amp;Operators'!$C$1:$G$99999,5,FALSE)</f>
        <v>LALONDE GREGORY</v>
      </c>
      <c r="M48" s="6">
        <f t="shared" si="1"/>
        <v>2.5196759263053536E-2</v>
      </c>
      <c r="N48" s="7">
        <f t="shared" si="27"/>
        <v>36.283333338797092</v>
      </c>
      <c r="O48" s="7"/>
      <c r="P48" s="7"/>
      <c r="Q48" s="22"/>
      <c r="R48" s="173"/>
      <c r="S48" s="176">
        <f t="shared" si="28"/>
        <v>1</v>
      </c>
      <c r="T48" s="202" t="str">
        <f t="shared" si="4"/>
        <v>NorthBound</v>
      </c>
      <c r="U48" s="202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03" t="str">
        <f t="shared" si="5"/>
        <v>https://d0f6bd738d7f1b3e5a7ca70fe4ff75f0.us-east-1.aws.found.io/app/kibana#/discover/Steve-Slow-Train-Analysis-(2080s-and-2083s)?_g=(refreshInterval:(display:Off,pause:!f,section:0,value:0),time:(from:'2017-06-05T06:53:02-0600',mode:absolute,to:'2017-06-05T09:36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8" s="204" t="str">
        <f t="shared" si="6"/>
        <v>N</v>
      </c>
      <c r="X48" s="204">
        <f t="shared" si="24"/>
        <v>1</v>
      </c>
      <c r="Y48" s="204">
        <f t="shared" si="25"/>
        <v>4.53E-2</v>
      </c>
      <c r="Z48" s="204">
        <f t="shared" si="26"/>
        <v>23.332599999999999</v>
      </c>
      <c r="AA48" s="204">
        <f t="shared" si="10"/>
        <v>23.287299999999998</v>
      </c>
      <c r="AB48" s="57" t="e">
        <f>VLOOKUP(A48,Enforcements!$C$7:$K$13,8,0)</f>
        <v>#N/A</v>
      </c>
      <c r="AC48" s="53" t="e">
        <f>VLOOKUP(A48,Enforcements!$C$7:$E$13,3,0)</f>
        <v>#N/A</v>
      </c>
      <c r="AD48" s="54" t="str">
        <f t="shared" si="11"/>
        <v>0135-05</v>
      </c>
      <c r="AE48" s="80" t="str">
        <f t="shared" si="12"/>
        <v>aws s3 cp s3://rtdc.mdm.uploadarchive.raw/RTDC4042/ "%USERPROFILE%\AppData\Local\Temp\OnboardLogs"\RTDC4042\2017-06-05 --exclude "*" --recursive --include "*20170605*" &amp; "%USERPROFILE%\Documents\GitHub\mrs-test-scripts\Headless Mode &amp; Sideloading\WalkAndUnGZ.bat" "%USERPROFILE%\AppData\Local\Temp\OnboardLogs"\RTDC4042\2017-06-05 &amp; aws s3 cp s3://rtdc.mdm.uploadarchive.raw/RTDC4042/ "%USERPROFILE%\AppData\Local\Temp\OnboardLogs"\RTDC4042\2017-06-06 --exclude "*" --recursive --include "*20170606*" &amp; "%USERPROFILE%\Documents\GitHub\mrs-test-scripts\Headless Mode &amp; Sideloading\WalkAndUnGZ.bat" "%USERPROFILE%\AppData\Local\Temp\OnboardLogs"\RTDC4042\2017-06-06</v>
      </c>
      <c r="AF48" s="77" t="str">
        <f t="shared" si="13"/>
        <v>"C:\Program Files (x86)\AstroGrep\AstroGrep.exe" /e /r /s /spath="%USERPROFILE%\AppData\Local\Temp\OnboardLogs" /stypes="app*4042*20170605*" /stext=" 14:.+((SYSTEM_STATE.+slice.+state.+changed )|(ment ac)|(multiple cpu faults)|(system.+state.+changed )|(\[timeout)|(PRM\|1\|D)|(kpr)|(kdp)|(train st.+moving)|(\|lc)|(penalty))"</v>
      </c>
      <c r="AG48" s="1" t="str">
        <f t="shared" si="14"/>
        <v>EC</v>
      </c>
      <c r="AH48" s="81" t="str">
        <f t="shared" si="19"/>
        <v>"%USERPROFILE%\Documents\GitHub\eaglep3\Utilities\RefineRTDCRunTimes.py" --tripid 135-05 --locoid 4042 --swversion DE.1.0.9.0 --startMP 204:453 --initTime 2017-06-05T07:53:02 --startdatetime 2017-06-05T08:00:14 --delay 1 --endMP 204:233326 --enddatetime 2017-06-05T08:36:31 --enforcementcount 0 &gt;&gt;C:\Users\stu\Documents\GitHub\eaglep3-reporting\EC\2017-06-05-refined-times.txt</v>
      </c>
      <c r="AI48" s="99" t="str">
        <f t="shared" si="20"/>
        <v>echo {"issue":{"subject":"","project_id":79,"tracker_id":40,"status_id":1,"priority_id":2,"assigned_to_id":23,"start_date":"2017-06-05","description":"","custom_fields":[{"id":1,"name":"Subdivision","value":"EC"},{"id":4,"name":"Milepost","value":"23.3326"},{"id":17,"name":"Train ID","value":"135-05"},{"id":16,"name":"Locomotive ID","value":"4042"},{"id":130,"name":"Impact","value":""},{"id":150,"name":"Time of Event (Mountain Time)","value":"08:36:31"},{"id":151,"name":"Denver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5" t="str">
        <f t="shared" si="21"/>
        <v>start /low /b %USERPROFILE%\Documents\GitHub\eaglep3\Utilities\DownloadLogsFromS3.py --loco 4042 --day 2017-06-05</v>
      </c>
      <c r="AN48" s="154" t="str">
        <f t="shared" si="2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14:36:31"},{"id":29,"name":"Sharepoint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692</v>
      </c>
      <c r="B49" s="7">
        <v>4041</v>
      </c>
      <c r="C49" s="21" t="s">
        <v>204</v>
      </c>
      <c r="D49" s="21" t="s">
        <v>432</v>
      </c>
      <c r="E49" s="13">
        <v>42891.359756944446</v>
      </c>
      <c r="F49" s="13">
        <v>42891.373124999998</v>
      </c>
      <c r="G49" s="7">
        <v>1</v>
      </c>
      <c r="H49" s="21" t="s">
        <v>487</v>
      </c>
      <c r="I49" s="13">
        <v>42891.399236111109</v>
      </c>
      <c r="J49" s="7">
        <v>0</v>
      </c>
      <c r="K49" s="92" t="str">
        <f t="shared" si="0"/>
        <v>4041/4042</v>
      </c>
      <c r="L49" s="21" t="str">
        <f>VLOOKUP(A49,'Trips&amp;Operators'!$C$1:$G$99999,5,FALSE)</f>
        <v>LALONDE GREGORY</v>
      </c>
      <c r="M49" s="6">
        <f t="shared" si="1"/>
        <v>2.6111111110367347E-2</v>
      </c>
      <c r="N49" s="7">
        <f t="shared" si="27"/>
        <v>37.599999998928979</v>
      </c>
      <c r="O49" s="7"/>
      <c r="P49" s="7"/>
      <c r="Q49" s="22"/>
      <c r="R49" s="173"/>
      <c r="S49" s="176">
        <f t="shared" si="28"/>
        <v>1</v>
      </c>
      <c r="T49" s="202" t="str">
        <f t="shared" si="4"/>
        <v>Southbound</v>
      </c>
      <c r="U49" s="202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03" t="str">
        <f t="shared" si="5"/>
        <v>https://d0f6bd738d7f1b3e5a7ca70fe4ff75f0.us-east-1.aws.found.io/app/kibana#/discover/Steve-Slow-Train-Analysis-(2080s-and-2083s)?_g=(refreshInterval:(display:Off,pause:!f,section:0,value:0),time:(from:'2017-06-05T07:38:03-0600',mode:absolute,to:'2017-06-05T10:34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9" s="204" t="str">
        <f t="shared" si="6"/>
        <v>N</v>
      </c>
      <c r="X49" s="204">
        <f t="shared" si="24"/>
        <v>1</v>
      </c>
      <c r="Y49" s="204">
        <f t="shared" si="25"/>
        <v>23.299800000000001</v>
      </c>
      <c r="Z49" s="204">
        <f t="shared" si="26"/>
        <v>1.6500000000000001E-2</v>
      </c>
      <c r="AA49" s="204">
        <f t="shared" si="10"/>
        <v>23.283300000000001</v>
      </c>
      <c r="AB49" s="57" t="e">
        <f>VLOOKUP(A49,Enforcements!$C$7:$K$13,8,0)</f>
        <v>#N/A</v>
      </c>
      <c r="AC49" s="53" t="e">
        <f>VLOOKUP(A49,Enforcements!$C$7:$E$13,3,0)</f>
        <v>#N/A</v>
      </c>
      <c r="AD49" s="54" t="str">
        <f t="shared" si="11"/>
        <v>0136-05</v>
      </c>
      <c r="AE49" s="80" t="str">
        <f t="shared" si="12"/>
        <v>aws s3 cp s3://rtdc.mdm.uploadarchive.raw/RTDC4041/ "%USERPROFILE%\AppData\Local\Temp\OnboardLogs"\RTDC4041\2017-06-05 --exclude "*" --recursive --include "*20170605*" &amp; "%USERPROFILE%\Documents\GitHub\mrs-test-scripts\Headless Mode &amp; Sideloading\WalkAndUnGZ.bat" "%USERPROFILE%\AppData\Local\Temp\OnboardLogs"\RTDC4041\2017-06-05 &amp; aws s3 cp s3://rtdc.mdm.uploadarchive.raw/RTDC4041/ "%USERPROFILE%\AppData\Local\Temp\OnboardLogs"\RTDC4041\2017-06-06 --exclude "*" --recursive --include "*20170606*" &amp; "%USERPROFILE%\Documents\GitHub\mrs-test-scripts\Headless Mode &amp; Sideloading\WalkAndUnGZ.bat" "%USERPROFILE%\AppData\Local\Temp\OnboardLogs"\RTDC4041\2017-06-06</v>
      </c>
      <c r="AF49" s="77" t="str">
        <f t="shared" si="13"/>
        <v>"C:\Program Files (x86)\AstroGrep\AstroGrep.exe" /e /r /s /spath="%USERPROFILE%\AppData\Local\Temp\OnboardLogs" /stypes="app*4041*20170605*" /stext=" 15:.+((SYSTEM_STATE.+slice.+state.+changed )|(ment ac)|(multiple cpu faults)|(system.+state.+changed )|(\[timeout)|(PRM\|1\|D)|(kpr)|(kdp)|(train st.+moving)|(\|lc)|(penalty))"</v>
      </c>
      <c r="AG49" s="1" t="str">
        <f t="shared" si="14"/>
        <v>EC</v>
      </c>
      <c r="AH49" s="81" t="str">
        <f t="shared" si="19"/>
        <v>"%USERPROFILE%\Documents\GitHub\eaglep3\Utilities\RefineRTDCRunTimes.py" --tripid 136-05 --locoid 4041 --swversion DE.1.0.9.0 --startMP 204:232998 --initTime 2017-06-05T08:38:03 --startdatetime 2017-06-05T08:57:18 --delay 1 --endMP 204:165 --enddatetime 2017-06-05T09:34:54 --enforcementcount 0 &gt;&gt;C:\Users\stu\Documents\GitHub\eaglep3-reporting\EC\2017-06-05-refined-times.txt</v>
      </c>
      <c r="AI49" s="99" t="str">
        <f t="shared" si="20"/>
        <v>echo {"issue":{"subject":"","project_id":79,"tracker_id":40,"status_id":1,"priority_id":2,"assigned_to_id":23,"start_date":"2017-06-05","description":"","custom_fields":[{"id":1,"name":"Subdivision","value":"EC"},{"id":4,"name":"Milepost","value":"0.0165"},{"id":17,"name":"Train ID","value":"136-05"},{"id":16,"name":"Locomotive ID","value":"4041"},{"id":130,"name":"Impact","value":""},{"id":150,"name":"Time of Event (Mountain Time)","value":"09:34:54"},{"id":151,"name":"Denver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5" t="str">
        <f t="shared" si="21"/>
        <v>start /low /b %USERPROFILE%\Documents\GitHub\eaglep3\Utilities\DownloadLogsFromS3.py --loco 4041 --day 2017-06-05</v>
      </c>
      <c r="AN49" s="154" t="str">
        <f t="shared" si="2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15:34:54"},{"id":29,"name":"Sharepoint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688</v>
      </c>
      <c r="B50" s="7">
        <v>4008</v>
      </c>
      <c r="C50" s="21" t="s">
        <v>204</v>
      </c>
      <c r="D50" s="21" t="s">
        <v>471</v>
      </c>
      <c r="E50" s="13">
        <v>42891.342789351853</v>
      </c>
      <c r="F50" s="13">
        <v>42891.344270833331</v>
      </c>
      <c r="G50" s="7">
        <v>1</v>
      </c>
      <c r="H50" s="21" t="s">
        <v>846</v>
      </c>
      <c r="I50" s="13">
        <v>42891.370648148149</v>
      </c>
      <c r="J50" s="7">
        <v>0</v>
      </c>
      <c r="K50" s="92" t="str">
        <f t="shared" si="0"/>
        <v>4007/4008</v>
      </c>
      <c r="L50" s="21" t="str">
        <f>VLOOKUP(A50,'Trips&amp;Operators'!$C$1:$G$99999,5,FALSE)</f>
        <v>WILLIAMS DONTE</v>
      </c>
      <c r="M50" s="6">
        <f t="shared" si="1"/>
        <v>2.6377314818091691E-2</v>
      </c>
      <c r="N50" s="7">
        <f t="shared" si="27"/>
        <v>37.983333338052034</v>
      </c>
      <c r="O50" s="7"/>
      <c r="P50" s="7"/>
      <c r="Q50" s="22"/>
      <c r="R50" s="173"/>
      <c r="S50" s="176">
        <f t="shared" si="28"/>
        <v>1</v>
      </c>
      <c r="T50" s="202" t="str">
        <f t="shared" si="4"/>
        <v>NorthBound</v>
      </c>
      <c r="U50" s="202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03" t="str">
        <f t="shared" si="5"/>
        <v>https://d0f6bd738d7f1b3e5a7ca70fe4ff75f0.us-east-1.aws.found.io/app/kibana#/discover/Steve-Slow-Train-Analysis-(2080s-and-2083s)?_g=(refreshInterval:(display:Off,pause:!f,section:0,value:0),time:(from:'2017-06-05T07:13:37-0600',mode:absolute,to:'2017-06-05T09:53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0" s="204" t="str">
        <f t="shared" si="6"/>
        <v>N</v>
      </c>
      <c r="X50" s="204">
        <f t="shared" si="24"/>
        <v>1</v>
      </c>
      <c r="Y50" s="204">
        <f t="shared" si="25"/>
        <v>4.6899999999999997E-2</v>
      </c>
      <c r="Z50" s="204">
        <f t="shared" si="26"/>
        <v>23.33</v>
      </c>
      <c r="AA50" s="204">
        <f t="shared" si="10"/>
        <v>23.283099999999997</v>
      </c>
      <c r="AB50" s="57" t="e">
        <f>VLOOKUP(A50,Enforcements!$C$7:$K$13,8,0)</f>
        <v>#N/A</v>
      </c>
      <c r="AC50" s="53" t="e">
        <f>VLOOKUP(A50,Enforcements!$C$7:$E$13,3,0)</f>
        <v>#N/A</v>
      </c>
      <c r="AD50" s="54" t="str">
        <f t="shared" si="11"/>
        <v>0137-05</v>
      </c>
      <c r="AE50" s="80" t="str">
        <f t="shared" si="12"/>
        <v>aws s3 cp s3://rtdc.mdm.uploadarchive.raw/RTDC4008/ "%USERPROFILE%\AppData\Local\Temp\OnboardLogs"\RTDC4008\2017-06-05 --exclude "*" --recursive --include "*20170605*" &amp; "%USERPROFILE%\Documents\GitHub\mrs-test-scripts\Headless Mode &amp; Sideloading\WalkAndUnGZ.bat" "%USERPROFILE%\AppData\Local\Temp\OnboardLogs"\RTDC4008\2017-06-05 &amp; aws s3 cp s3://rtdc.mdm.uploadarchive.raw/RTDC4008/ "%USERPROFILE%\AppData\Local\Temp\OnboardLogs"\RTDC4008\2017-06-06 --exclude "*" --recursive --include "*20170606*" &amp; "%USERPROFILE%\Documents\GitHub\mrs-test-scripts\Headless Mode &amp; Sideloading\WalkAndUnGZ.bat" "%USERPROFILE%\AppData\Local\Temp\OnboardLogs"\RTDC4008\2017-06-06</v>
      </c>
      <c r="AF50" s="77" t="str">
        <f t="shared" si="13"/>
        <v>"C:\Program Files (x86)\AstroGrep\AstroGrep.exe" /e /r /s /spath="%USERPROFILE%\AppData\Local\Temp\OnboardLogs" /stypes="app*4008*20170605*" /stext=" 14:.+((SYSTEM_STATE.+slice.+state.+changed )|(ment ac)|(multiple cpu faults)|(system.+state.+changed )|(\[timeout)|(PRM\|1\|D)|(kpr)|(kdp)|(train st.+moving)|(\|lc)|(penalty))"</v>
      </c>
      <c r="AG50" s="1" t="str">
        <f t="shared" si="14"/>
        <v>EC</v>
      </c>
      <c r="AH50" s="81" t="str">
        <f t="shared" si="19"/>
        <v>"%USERPROFILE%\Documents\GitHub\eaglep3\Utilities\RefineRTDCRunTimes.py" --tripid 137-05 --locoid 4008 --swversion DE.1.0.9.0 --startMP 204:469 --initTime 2017-06-05T08:13:37 --startdatetime 2017-06-05T08:15:45 --delay 1 --endMP 204:233300 --enddatetime 2017-06-05T08:53:44 --enforcementcount 0 &gt;&gt;C:\Users\stu\Documents\GitHub\eaglep3-reporting\EC\2017-06-05-refined-times.txt</v>
      </c>
      <c r="AI50" s="99" t="str">
        <f t="shared" si="20"/>
        <v>echo {"issue":{"subject":"","project_id":79,"tracker_id":40,"status_id":1,"priority_id":2,"assigned_to_id":23,"start_date":"2017-06-05","description":"","custom_fields":[{"id":1,"name":"Subdivision","value":"EC"},{"id":4,"name":"Milepost","value":"23.33"},{"id":17,"name":"Train ID","value":"137-05"},{"id":16,"name":"Locomotive ID","value":"4008"},{"id":130,"name":"Impact","value":""},{"id":150,"name":"Time of Event (Mountain Time)","value":"08:53:44"},{"id":151,"name":"Denver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5" t="str">
        <f t="shared" si="21"/>
        <v>start /low /b %USERPROFILE%\Documents\GitHub\eaglep3\Utilities\DownloadLogsFromS3.py --loco 4008 --day 2017-06-05</v>
      </c>
      <c r="AN50" s="154" t="str">
        <f t="shared" si="2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14:53:44"},{"id":29,"name":"Sharepoint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696</v>
      </c>
      <c r="B51" s="7">
        <v>4007</v>
      </c>
      <c r="C51" s="21" t="s">
        <v>204</v>
      </c>
      <c r="D51" s="21" t="s">
        <v>497</v>
      </c>
      <c r="E51" s="13">
        <v>42891.373437499999</v>
      </c>
      <c r="F51" s="13">
        <v>42891.383506944447</v>
      </c>
      <c r="G51" s="7">
        <v>1</v>
      </c>
      <c r="H51" s="21" t="s">
        <v>466</v>
      </c>
      <c r="I51" s="13">
        <v>42891.410543981481</v>
      </c>
      <c r="J51" s="7">
        <v>0</v>
      </c>
      <c r="K51" s="92" t="str">
        <f t="shared" si="0"/>
        <v>4007/4008</v>
      </c>
      <c r="L51" s="21" t="str">
        <f>VLOOKUP(A51,'Trips&amp;Operators'!$C$1:$G$99999,5,FALSE)</f>
        <v>WILLIAMS DONTE</v>
      </c>
      <c r="M51" s="6">
        <f t="shared" si="1"/>
        <v>2.7037037034460809E-2</v>
      </c>
      <c r="N51" s="7">
        <f t="shared" si="27"/>
        <v>38.933333329623565</v>
      </c>
      <c r="O51" s="7"/>
      <c r="P51" s="7"/>
      <c r="Q51" s="22"/>
      <c r="R51" s="173"/>
      <c r="S51" s="176">
        <f t="shared" si="28"/>
        <v>1</v>
      </c>
      <c r="T51" s="202" t="str">
        <f t="shared" si="4"/>
        <v>Southbound</v>
      </c>
      <c r="U51" s="202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03" t="str">
        <f t="shared" si="5"/>
        <v>https://d0f6bd738d7f1b3e5a7ca70fe4ff75f0.us-east-1.aws.found.io/app/kibana#/discover/Steve-Slow-Train-Analysis-(2080s-and-2083s)?_g=(refreshInterval:(display:Off,pause:!f,section:0,value:0),time:(from:'2017-06-05T07:57:45-0600',mode:absolute,to:'2017-06-05T10:51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1" s="204" t="str">
        <f t="shared" si="6"/>
        <v>N</v>
      </c>
      <c r="X51" s="204">
        <f t="shared" si="24"/>
        <v>1</v>
      </c>
      <c r="Y51" s="204">
        <f t="shared" si="25"/>
        <v>23.299299999999999</v>
      </c>
      <c r="Z51" s="204">
        <f t="shared" si="26"/>
        <v>1.5599999999999999E-2</v>
      </c>
      <c r="AA51" s="204">
        <f t="shared" si="10"/>
        <v>23.2837</v>
      </c>
      <c r="AB51" s="57" t="e">
        <f>VLOOKUP(A51,Enforcements!$C$7:$K$13,8,0)</f>
        <v>#N/A</v>
      </c>
      <c r="AC51" s="53" t="e">
        <f>VLOOKUP(A51,Enforcements!$C$7:$E$13,3,0)</f>
        <v>#N/A</v>
      </c>
      <c r="AD51" s="54" t="str">
        <f t="shared" si="11"/>
        <v>0138-05</v>
      </c>
      <c r="AE51" s="80" t="str">
        <f t="shared" si="12"/>
        <v>aws s3 cp s3://rtdc.mdm.uploadarchive.raw/RTDC4007/ "%USERPROFILE%\AppData\Local\Temp\OnboardLogs"\RTDC4007\2017-06-05 --exclude "*" --recursive --include "*20170605*" &amp; "%USERPROFILE%\Documents\GitHub\mrs-test-scripts\Headless Mode &amp; Sideloading\WalkAndUnGZ.bat" "%USERPROFILE%\AppData\Local\Temp\OnboardLogs"\RTDC4007\2017-06-05 &amp; aws s3 cp s3://rtdc.mdm.uploadarchive.raw/RTDC4007/ "%USERPROFILE%\AppData\Local\Temp\OnboardLogs"\RTDC4007\2017-06-06 --exclude "*" --recursive --include "*20170606*" &amp; "%USERPROFILE%\Documents\GitHub\mrs-test-scripts\Headless Mode &amp; Sideloading\WalkAndUnGZ.bat" "%USERPROFILE%\AppData\Local\Temp\OnboardLogs"\RTDC4007\2017-06-06</v>
      </c>
      <c r="AF51" s="77" t="str">
        <f t="shared" si="13"/>
        <v>"C:\Program Files (x86)\AstroGrep\AstroGrep.exe" /e /r /s /spath="%USERPROFILE%\AppData\Local\Temp\OnboardLogs" /stypes="app*4007*20170605*" /stext=" 15:.+((SYSTEM_STATE.+slice.+state.+changed )|(ment ac)|(multiple cpu faults)|(system.+state.+changed )|(\[timeout)|(PRM\|1\|D)|(kpr)|(kdp)|(train st.+moving)|(\|lc)|(penalty))"</v>
      </c>
      <c r="AG51" s="1" t="str">
        <f t="shared" si="14"/>
        <v>EC</v>
      </c>
      <c r="AH51" s="81" t="str">
        <f t="shared" si="19"/>
        <v>"%USERPROFILE%\Documents\GitHub\eaglep3\Utilities\RefineRTDCRunTimes.py" --tripid 138-05 --locoid 4007 --swversion DE.1.0.9.0 --startMP 204:232993 --initTime 2017-06-05T08:57:45 --startdatetime 2017-06-05T09:12:15 --delay 1 --endMP 204:156 --enddatetime 2017-06-05T09:51:11 --enforcementcount 0 &gt;&gt;C:\Users\stu\Documents\GitHub\eaglep3-reporting\EC\2017-06-05-refined-times.txt</v>
      </c>
      <c r="AI51" s="99" t="str">
        <f t="shared" si="20"/>
        <v>echo {"issue":{"subject":"","project_id":79,"tracker_id":40,"status_id":1,"priority_id":2,"assigned_to_id":23,"start_date":"2017-06-05","description":"","custom_fields":[{"id":1,"name":"Subdivision","value":"EC"},{"id":4,"name":"Milepost","value":"0.0156"},{"id":17,"name":"Train ID","value":"138-05"},{"id":16,"name":"Locomotive ID","value":"4007"},{"id":130,"name":"Impact","value":""},{"id":150,"name":"Time of Event (Mountain Time)","value":"09:51:11"},{"id":151,"name":"Denver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5" t="str">
        <f t="shared" si="21"/>
        <v>start /low /b %USERPROFILE%\Documents\GitHub\eaglep3\Utilities\DownloadLogsFromS3.py --loco 4007 --day 2017-06-05</v>
      </c>
      <c r="AN51" s="154" t="str">
        <f t="shared" si="2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15:51:11"},{"id":29,"name":"Sharepoint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689</v>
      </c>
      <c r="B52" s="7">
        <v>4058</v>
      </c>
      <c r="C52" s="21" t="s">
        <v>204</v>
      </c>
      <c r="D52" s="21" t="s">
        <v>368</v>
      </c>
      <c r="E52" s="13">
        <v>42891.35119212963</v>
      </c>
      <c r="F52" s="13">
        <v>42891.354548611111</v>
      </c>
      <c r="G52" s="7">
        <v>1</v>
      </c>
      <c r="H52" s="21" t="s">
        <v>849</v>
      </c>
      <c r="I52" s="13">
        <v>42891.38108796296</v>
      </c>
      <c r="J52" s="7">
        <v>0</v>
      </c>
      <c r="K52" s="92" t="str">
        <f t="shared" si="0"/>
        <v>4057/4058</v>
      </c>
      <c r="L52" s="21" t="str">
        <f>VLOOKUP(A52,'Trips&amp;Operators'!$C$1:$G$99999,5,FALSE)</f>
        <v>MAELZER KURT</v>
      </c>
      <c r="M52" s="6">
        <f t="shared" si="1"/>
        <v>2.6539351849351078E-2</v>
      </c>
      <c r="N52" s="7">
        <f t="shared" si="27"/>
        <v>38.216666663065553</v>
      </c>
      <c r="O52" s="7"/>
      <c r="P52" s="7"/>
      <c r="Q52" s="22"/>
      <c r="R52" s="173"/>
      <c r="S52" s="176">
        <f t="shared" si="28"/>
        <v>1</v>
      </c>
      <c r="T52" s="202" t="str">
        <f t="shared" si="4"/>
        <v>NorthBound</v>
      </c>
      <c r="U52" s="202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03" t="str">
        <f t="shared" si="5"/>
        <v>https://d0f6bd738d7f1b3e5a7ca70fe4ff75f0.us-east-1.aws.found.io/app/kibana#/discover/Steve-Slow-Train-Analysis-(2080s-and-2083s)?_g=(refreshInterval:(display:Off,pause:!f,section:0,value:0),time:(from:'2017-06-05T07:25:43-0600',mode:absolute,to:'2017-06-05T10:08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52" s="204" t="str">
        <f t="shared" si="6"/>
        <v>N</v>
      </c>
      <c r="X52" s="204">
        <f t="shared" si="24"/>
        <v>1</v>
      </c>
      <c r="Y52" s="204">
        <f t="shared" si="25"/>
        <v>4.5499999999999999E-2</v>
      </c>
      <c r="Z52" s="204">
        <f t="shared" si="26"/>
        <v>23.331399999999999</v>
      </c>
      <c r="AA52" s="204">
        <f t="shared" si="10"/>
        <v>23.285899999999998</v>
      </c>
      <c r="AB52" s="57" t="e">
        <f>VLOOKUP(A52,Enforcements!$C$7:$K$13,8,0)</f>
        <v>#N/A</v>
      </c>
      <c r="AC52" s="53" t="e">
        <f>VLOOKUP(A52,Enforcements!$C$7:$E$13,3,0)</f>
        <v>#N/A</v>
      </c>
      <c r="AD52" s="54" t="str">
        <f t="shared" si="11"/>
        <v>0139-05</v>
      </c>
      <c r="AE52" s="80" t="str">
        <f t="shared" si="12"/>
        <v>aws s3 cp s3://rtdc.mdm.uploadarchive.raw/RTDC4058/ "%USERPROFILE%\AppData\Local\Temp\OnboardLogs"\RTDC4058\2017-06-05 --exclude "*" --recursive --include "*20170605*" &amp; "%USERPROFILE%\Documents\GitHub\mrs-test-scripts\Headless Mode &amp; Sideloading\WalkAndUnGZ.bat" "%USERPROFILE%\AppData\Local\Temp\OnboardLogs"\RTDC4058\2017-06-05 &amp; aws s3 cp s3://rtdc.mdm.uploadarchive.raw/RTDC4058/ "%USERPROFILE%\AppData\Local\Temp\OnboardLogs"\RTDC4058\2017-06-06 --exclude "*" --recursive --include "*20170606*" &amp; "%USERPROFILE%\Documents\GitHub\mrs-test-scripts\Headless Mode &amp; Sideloading\WalkAndUnGZ.bat" "%USERPROFILE%\AppData\Local\Temp\OnboardLogs"\RTDC4058\2017-06-06</v>
      </c>
      <c r="AF52" s="77" t="str">
        <f t="shared" si="13"/>
        <v>"C:\Program Files (x86)\AstroGrep\AstroGrep.exe" /e /r /s /spath="%USERPROFILE%\AppData\Local\Temp\OnboardLogs" /stypes="app*4058*20170605*" /stext=" 15:.+((SYSTEM_STATE.+slice.+state.+changed )|(ment ac)|(multiple cpu faults)|(system.+state.+changed )|(\[timeout)|(PRM\|1\|D)|(kpr)|(kdp)|(train st.+moving)|(\|lc)|(penalty))"</v>
      </c>
      <c r="AG52" s="1" t="str">
        <f t="shared" si="14"/>
        <v>EC</v>
      </c>
      <c r="AH52" s="81" t="str">
        <f t="shared" si="19"/>
        <v>"%USERPROFILE%\Documents\GitHub\eaglep3\Utilities\RefineRTDCRunTimes.py" --tripid 139-05 --locoid 4058 --swversion DE.1.0.9.0 --startMP 204:455 --initTime 2017-06-05T08:25:43 --startdatetime 2017-06-05T08:30:33 --delay 1 --endMP 204:233314 --enddatetime 2017-06-05T09:08:46 --enforcementcount 0 &gt;&gt;C:\Users\stu\Documents\GitHub\eaglep3-reporting\EC\2017-06-05-refined-times.txt</v>
      </c>
      <c r="AI52" s="99" t="str">
        <f t="shared" si="20"/>
        <v>echo {"issue":{"subject":"","project_id":79,"tracker_id":40,"status_id":1,"priority_id":2,"assigned_to_id":23,"start_date":"2017-06-05","description":"","custom_fields":[{"id":1,"name":"Subdivision","value":"EC"},{"id":4,"name":"Milepost","value":"23.3314"},{"id":17,"name":"Train ID","value":"139-05"},{"id":16,"name":"Locomotive ID","value":"4058"},{"id":130,"name":"Impact","value":""},{"id":150,"name":"Time of Event (Mountain Time)","value":"09:08:46"},{"id":151,"name":"Denver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5" t="str">
        <f t="shared" si="21"/>
        <v>start /low /b %USERPROFILE%\Documents\GitHub\eaglep3\Utilities\DownloadLogsFromS3.py --loco 4058 --day 2017-06-05</v>
      </c>
      <c r="AN52" s="154" t="str">
        <f t="shared" si="2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15:08:46"},{"id":29,"name":"Sharepoint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699</v>
      </c>
      <c r="B53" s="7">
        <v>4057</v>
      </c>
      <c r="C53" s="21" t="s">
        <v>204</v>
      </c>
      <c r="D53" s="21" t="s">
        <v>474</v>
      </c>
      <c r="E53" s="13">
        <v>42891.386574074073</v>
      </c>
      <c r="F53" s="13">
        <v>42891.394282407404</v>
      </c>
      <c r="G53" s="7">
        <v>1</v>
      </c>
      <c r="H53" s="21" t="s">
        <v>353</v>
      </c>
      <c r="I53" s="13">
        <v>42891.422476851854</v>
      </c>
      <c r="J53" s="7">
        <v>0</v>
      </c>
      <c r="K53" s="92" t="str">
        <f t="shared" si="0"/>
        <v>4057/4058</v>
      </c>
      <c r="L53" s="21" t="str">
        <f>VLOOKUP(A53,'Trips&amp;Operators'!$C$1:$G$99999,5,FALSE)</f>
        <v>MAELZER KURT</v>
      </c>
      <c r="M53" s="6">
        <f t="shared" si="1"/>
        <v>2.8194444450491574E-2</v>
      </c>
      <c r="N53" s="7">
        <f t="shared" si="27"/>
        <v>40.600000008707866</v>
      </c>
      <c r="O53" s="7"/>
      <c r="P53" s="7"/>
      <c r="Q53" s="22"/>
      <c r="R53" s="173"/>
      <c r="S53" s="176">
        <f t="shared" si="28"/>
        <v>1</v>
      </c>
      <c r="T53" s="202" t="str">
        <f t="shared" si="4"/>
        <v>Southbound</v>
      </c>
      <c r="U53" s="202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03" t="str">
        <f t="shared" si="5"/>
        <v>https://d0f6bd738d7f1b3e5a7ca70fe4ff75f0.us-east-1.aws.found.io/app/kibana#/discover/Steve-Slow-Train-Analysis-(2080s-and-2083s)?_g=(refreshInterval:(display:Off,pause:!f,section:0,value:0),time:(from:'2017-06-05T08:16:40-0600',mode:absolute,to:'2017-06-05T11:08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53" s="204" t="str">
        <f t="shared" si="6"/>
        <v>N</v>
      </c>
      <c r="X53" s="204">
        <f t="shared" si="24"/>
        <v>1</v>
      </c>
      <c r="Y53" s="204">
        <f t="shared" si="25"/>
        <v>23.297799999999999</v>
      </c>
      <c r="Z53" s="204">
        <f t="shared" si="26"/>
        <v>1.49E-2</v>
      </c>
      <c r="AA53" s="204">
        <f t="shared" si="10"/>
        <v>23.282899999999998</v>
      </c>
      <c r="AB53" s="57" t="e">
        <f>VLOOKUP(A53,Enforcements!$C$7:$K$13,8,0)</f>
        <v>#N/A</v>
      </c>
      <c r="AC53" s="53" t="e">
        <f>VLOOKUP(A53,Enforcements!$C$7:$E$13,3,0)</f>
        <v>#N/A</v>
      </c>
      <c r="AD53" s="54" t="str">
        <f t="shared" si="11"/>
        <v>0140-05</v>
      </c>
      <c r="AE53" s="80" t="str">
        <f t="shared" si="12"/>
        <v>aws s3 cp s3://rtdc.mdm.uploadarchive.raw/RTDC4057/ "%USERPROFILE%\AppData\Local\Temp\OnboardLogs"\RTDC4057\2017-06-05 --exclude "*" --recursive --include "*20170605*" &amp; "%USERPROFILE%\Documents\GitHub\mrs-test-scripts\Headless Mode &amp; Sideloading\WalkAndUnGZ.bat" "%USERPROFILE%\AppData\Local\Temp\OnboardLogs"\RTDC4057\2017-06-05 &amp; aws s3 cp s3://rtdc.mdm.uploadarchive.raw/RTDC4057/ "%USERPROFILE%\AppData\Local\Temp\OnboardLogs"\RTDC4057\2017-06-06 --exclude "*" --recursive --include "*20170606*" &amp; "%USERPROFILE%\Documents\GitHub\mrs-test-scripts\Headless Mode &amp; Sideloading\WalkAndUnGZ.bat" "%USERPROFILE%\AppData\Local\Temp\OnboardLogs"\RTDC4057\2017-06-06</v>
      </c>
      <c r="AF53" s="77" t="str">
        <f t="shared" si="13"/>
        <v>"C:\Program Files (x86)\AstroGrep\AstroGrep.exe" /e /r /s /spath="%USERPROFILE%\AppData\Local\Temp\OnboardLogs" /stypes="app*4057*20170605*" /stext=" 16:.+((SYSTEM_STATE.+slice.+state.+changed )|(ment ac)|(multiple cpu faults)|(system.+state.+changed )|(\[timeout)|(PRM\|1\|D)|(kpr)|(kdp)|(train st.+moving)|(\|lc)|(penalty))"</v>
      </c>
      <c r="AG53" s="1" t="str">
        <f t="shared" si="14"/>
        <v>EC</v>
      </c>
      <c r="AH53" s="81" t="str">
        <f t="shared" si="19"/>
        <v>"%USERPROFILE%\Documents\GitHub\eaglep3\Utilities\RefineRTDCRunTimes.py" --tripid 140-05 --locoid 4057 --swversion DE.1.0.9.0 --startMP 204:232978 --initTime 2017-06-05T09:16:40 --startdatetime 2017-06-05T09:27:46 --delay 1 --endMP 204:149 --enddatetime 2017-06-05T10:08:22 --enforcementcount 0 &gt;&gt;C:\Users\stu\Documents\GitHub\eaglep3-reporting\EC\2017-06-05-refined-times.txt</v>
      </c>
      <c r="AI53" s="99" t="str">
        <f t="shared" si="20"/>
        <v>echo {"issue":{"subject":"","project_id":79,"tracker_id":40,"status_id":1,"priority_id":2,"assigned_to_id":23,"start_date":"2017-06-05","description":"","custom_fields":[{"id":1,"name":"Subdivision","value":"EC"},{"id":4,"name":"Milepost","value":"0.0149"},{"id":17,"name":"Train ID","value":"140-05"},{"id":16,"name":"Locomotive ID","value":"4057"},{"id":130,"name":"Impact","value":""},{"id":150,"name":"Time of Event (Mountain Time)","value":"10:08:22"},{"id":151,"name":"Denver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5" t="str">
        <f t="shared" si="21"/>
        <v>start /low /b %USERPROFILE%\Documents\GitHub\eaglep3\Utilities\DownloadLogsFromS3.py --loco 4057 --day 2017-06-05</v>
      </c>
      <c r="AN53" s="154" t="str">
        <f t="shared" si="2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16:08:22"},{"id":29,"name":"Sharepoint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693</v>
      </c>
      <c r="B54" s="7">
        <v>4032</v>
      </c>
      <c r="C54" s="21" t="s">
        <v>204</v>
      </c>
      <c r="D54" s="21" t="s">
        <v>201</v>
      </c>
      <c r="E54" s="13">
        <v>42891.362453703703</v>
      </c>
      <c r="F54" s="13">
        <v>42891.364872685182</v>
      </c>
      <c r="G54" s="7">
        <v>1</v>
      </c>
      <c r="H54" s="21" t="s">
        <v>398</v>
      </c>
      <c r="I54" s="13">
        <v>42891.390138888892</v>
      </c>
      <c r="J54" s="7">
        <v>0</v>
      </c>
      <c r="K54" s="92" t="str">
        <f t="shared" si="0"/>
        <v>4031/4032</v>
      </c>
      <c r="L54" s="21" t="str">
        <f>VLOOKUP(A54,'Trips&amp;Operators'!$C$1:$G$99999,5,FALSE)</f>
        <v>HELVIE ADAM</v>
      </c>
      <c r="M54" s="6">
        <f t="shared" si="1"/>
        <v>2.5266203709179536E-2</v>
      </c>
      <c r="N54" s="7">
        <f t="shared" si="27"/>
        <v>36.383333341218531</v>
      </c>
      <c r="O54" s="7"/>
      <c r="P54" s="7"/>
      <c r="Q54" s="22"/>
      <c r="R54" s="173"/>
      <c r="S54" s="176">
        <f t="shared" si="28"/>
        <v>1</v>
      </c>
      <c r="T54" s="202" t="str">
        <f t="shared" si="4"/>
        <v>NorthBound</v>
      </c>
      <c r="U54" s="202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03" t="str">
        <f t="shared" si="5"/>
        <v>https://d0f6bd738d7f1b3e5a7ca70fe4ff75f0.us-east-1.aws.found.io/app/kibana#/discover/Steve-Slow-Train-Analysis-(2080s-and-2083s)?_g=(refreshInterval:(display:Off,pause:!f,section:0,value:0),time:(from:'2017-06-05T07:41:56-0600',mode:absolute,to:'2017-06-05T10:21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4" s="204" t="str">
        <f t="shared" si="6"/>
        <v>N</v>
      </c>
      <c r="X54" s="204">
        <f t="shared" si="24"/>
        <v>1</v>
      </c>
      <c r="Y54" s="204">
        <f t="shared" si="25"/>
        <v>4.5999999999999999E-2</v>
      </c>
      <c r="Z54" s="204">
        <f t="shared" si="26"/>
        <v>23.3293</v>
      </c>
      <c r="AA54" s="204">
        <f t="shared" si="10"/>
        <v>23.283300000000001</v>
      </c>
      <c r="AB54" s="57" t="e">
        <f>VLOOKUP(A54,Enforcements!$C$7:$K$13,8,0)</f>
        <v>#N/A</v>
      </c>
      <c r="AC54" s="53" t="e">
        <f>VLOOKUP(A54,Enforcements!$C$7:$E$13,3,0)</f>
        <v>#N/A</v>
      </c>
      <c r="AD54" s="54" t="str">
        <f t="shared" si="11"/>
        <v>0141-05</v>
      </c>
      <c r="AE54" s="80" t="str">
        <f t="shared" si="12"/>
        <v>aws s3 cp s3://rtdc.mdm.uploadarchive.raw/RTDC4032/ "%USERPROFILE%\AppData\Local\Temp\OnboardLogs"\RTDC4032\2017-06-05 --exclude "*" --recursive --include "*20170605*" &amp; "%USERPROFILE%\Documents\GitHub\mrs-test-scripts\Headless Mode &amp; Sideloading\WalkAndUnGZ.bat" "%USERPROFILE%\AppData\Local\Temp\OnboardLogs"\RTDC4032\2017-06-05 &amp; aws s3 cp s3://rtdc.mdm.uploadarchive.raw/RTDC4032/ "%USERPROFILE%\AppData\Local\Temp\OnboardLogs"\RTDC4032\2017-06-06 --exclude "*" --recursive --include "*20170606*" &amp; "%USERPROFILE%\Documents\GitHub\mrs-test-scripts\Headless Mode &amp; Sideloading\WalkAndUnGZ.bat" "%USERPROFILE%\AppData\Local\Temp\OnboardLogs"\RTDC4032\2017-06-06</v>
      </c>
      <c r="AF54" s="77" t="str">
        <f t="shared" si="13"/>
        <v>"C:\Program Files (x86)\AstroGrep\AstroGrep.exe" /e /r /s /spath="%USERPROFILE%\AppData\Local\Temp\OnboardLogs" /stypes="app*4032*20170605*" /stext=" 15:.+((SYSTEM_STATE.+slice.+state.+changed )|(ment ac)|(multiple cpu faults)|(system.+state.+changed )|(\[timeout)|(PRM\|1\|D)|(kpr)|(kdp)|(train st.+moving)|(\|lc)|(penalty))"</v>
      </c>
      <c r="AG54" s="1" t="str">
        <f t="shared" si="14"/>
        <v>EC</v>
      </c>
      <c r="AH54" s="81" t="str">
        <f t="shared" si="19"/>
        <v>"%USERPROFILE%\Documents\GitHub\eaglep3\Utilities\RefineRTDCRunTimes.py" --tripid 141-05 --locoid 4032 --swversion DE.1.0.9.0 --startMP 204:460 --initTime 2017-06-05T08:41:56 --startdatetime 2017-06-05T08:45:25 --delay 1 --endMP 204:233293 --enddatetime 2017-06-05T09:21:48 --enforcementcount 0 &gt;&gt;C:\Users\stu\Documents\GitHub\eaglep3-reporting\EC\2017-06-05-refined-times.txt</v>
      </c>
      <c r="AI54" s="99" t="str">
        <f t="shared" si="20"/>
        <v>echo {"issue":{"subject":"","project_id":79,"tracker_id":40,"status_id":1,"priority_id":2,"assigned_to_id":23,"start_date":"2017-06-05","description":"","custom_fields":[{"id":1,"name":"Subdivision","value":"EC"},{"id":4,"name":"Milepost","value":"23.3293"},{"id":17,"name":"Train ID","value":"141-05"},{"id":16,"name":"Locomotive ID","value":"4032"},{"id":130,"name":"Impact","value":""},{"id":150,"name":"Time of Event (Mountain Time)","value":"09:21:48"},{"id":151,"name":"Denver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5" t="str">
        <f t="shared" si="21"/>
        <v>start /low /b %USERPROFILE%\Documents\GitHub\eaglep3\Utilities\DownloadLogsFromS3.py --loco 4032 --day 2017-06-05</v>
      </c>
      <c r="AN54" s="154" t="str">
        <f t="shared" si="2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15:21:48"},{"id":29,"name":"Sharepoint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703</v>
      </c>
      <c r="B55" s="7">
        <v>4031</v>
      </c>
      <c r="C55" s="21" t="s">
        <v>204</v>
      </c>
      <c r="D55" s="21" t="s">
        <v>850</v>
      </c>
      <c r="E55" s="13">
        <v>42891.401562500003</v>
      </c>
      <c r="F55" s="13">
        <v>42891.404444444444</v>
      </c>
      <c r="G55" s="7">
        <v>1</v>
      </c>
      <c r="H55" s="21" t="s">
        <v>437</v>
      </c>
      <c r="I55" s="13">
        <v>42891.433217592596</v>
      </c>
      <c r="J55" s="7">
        <v>0</v>
      </c>
      <c r="K55" s="92" t="str">
        <f t="shared" si="0"/>
        <v>4031/4032</v>
      </c>
      <c r="L55" s="21" t="str">
        <f>VLOOKUP(A55,'Trips&amp;Operators'!$C$1:$G$99999,5,FALSE)</f>
        <v>HELVIE ADAM</v>
      </c>
      <c r="M55" s="6">
        <f t="shared" si="1"/>
        <v>2.8773148151230998E-2</v>
      </c>
      <c r="N55" s="7">
        <f t="shared" si="27"/>
        <v>41.433333337772638</v>
      </c>
      <c r="O55" s="7"/>
      <c r="P55" s="7"/>
      <c r="Q55" s="22"/>
      <c r="R55" s="173"/>
      <c r="S55" s="176">
        <f t="shared" si="28"/>
        <v>1</v>
      </c>
      <c r="T55" s="202" t="str">
        <f t="shared" si="4"/>
        <v>Southbound</v>
      </c>
      <c r="U55" s="202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03" t="str">
        <f t="shared" si="5"/>
        <v>https://d0f6bd738d7f1b3e5a7ca70fe4ff75f0.us-east-1.aws.found.io/app/kibana#/discover/Steve-Slow-Train-Analysis-(2080s-and-2083s)?_g=(refreshInterval:(display:Off,pause:!f,section:0,value:0),time:(from:'2017-06-05T08:38:15-0600',mode:absolute,to:'2017-06-05T11:23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5" s="204" t="str">
        <f t="shared" si="6"/>
        <v>N</v>
      </c>
      <c r="X55" s="204">
        <f t="shared" si="24"/>
        <v>1</v>
      </c>
      <c r="Y55" s="204">
        <f t="shared" si="25"/>
        <v>23.297000000000001</v>
      </c>
      <c r="Z55" s="204">
        <f t="shared" si="26"/>
        <v>1.4500000000000001E-2</v>
      </c>
      <c r="AA55" s="204">
        <f t="shared" si="10"/>
        <v>23.282499999999999</v>
      </c>
      <c r="AB55" s="57" t="e">
        <f>VLOOKUP(A55,Enforcements!$C$7:$K$13,8,0)</f>
        <v>#N/A</v>
      </c>
      <c r="AC55" s="53" t="e">
        <f>VLOOKUP(A55,Enforcements!$C$7:$E$13,3,0)</f>
        <v>#N/A</v>
      </c>
      <c r="AD55" s="54" t="str">
        <f t="shared" si="11"/>
        <v>0142-05</v>
      </c>
      <c r="AE55" s="80" t="str">
        <f t="shared" si="12"/>
        <v>aws s3 cp s3://rtdc.mdm.uploadarchive.raw/RTDC4031/ "%USERPROFILE%\AppData\Local\Temp\OnboardLogs"\RTDC4031\2017-06-05 --exclude "*" --recursive --include "*20170605*" &amp; "%USERPROFILE%\Documents\GitHub\mrs-test-scripts\Headless Mode &amp; Sideloading\WalkAndUnGZ.bat" "%USERPROFILE%\AppData\Local\Temp\OnboardLogs"\RTDC4031\2017-06-05 &amp; aws s3 cp s3://rtdc.mdm.uploadarchive.raw/RTDC4031/ "%USERPROFILE%\AppData\Local\Temp\OnboardLogs"\RTDC4031\2017-06-06 --exclude "*" --recursive --include "*20170606*" &amp; "%USERPROFILE%\Documents\GitHub\mrs-test-scripts\Headless Mode &amp; Sideloading\WalkAndUnGZ.bat" "%USERPROFILE%\AppData\Local\Temp\OnboardLogs"\RTDC4031\2017-06-06</v>
      </c>
      <c r="AF55" s="77" t="str">
        <f t="shared" si="13"/>
        <v>"C:\Program Files (x86)\AstroGrep\AstroGrep.exe" /e /r /s /spath="%USERPROFILE%\AppData\Local\Temp\OnboardLogs" /stypes="app*4031*20170605*" /stext=" 16:.+((SYSTEM_STATE.+slice.+state.+changed )|(ment ac)|(multiple cpu faults)|(system.+state.+changed )|(\[timeout)|(PRM\|1\|D)|(kpr)|(kdp)|(train st.+moving)|(\|lc)|(penalty))"</v>
      </c>
      <c r="AG55" s="1" t="str">
        <f t="shared" si="14"/>
        <v>EC</v>
      </c>
      <c r="AH55" s="81" t="str">
        <f t="shared" si="19"/>
        <v>"%USERPROFILE%\Documents\GitHub\eaglep3\Utilities\RefineRTDCRunTimes.py" --tripid 142-05 --locoid 4031 --swversion DE.1.0.9.0 --startMP 204:232970 --initTime 2017-06-05T09:38:15 --startdatetime 2017-06-05T09:42:24 --delay 1 --endMP 204:145 --enddatetime 2017-06-05T10:23:50 --enforcementcount 0 &gt;&gt;C:\Users\stu\Documents\GitHub\eaglep3-reporting\EC\2017-06-05-refined-times.txt</v>
      </c>
      <c r="AI55" s="99" t="str">
        <f t="shared" si="20"/>
        <v>echo {"issue":{"subject":"","project_id":79,"tracker_id":40,"status_id":1,"priority_id":2,"assigned_to_id":23,"start_date":"2017-06-05","description":"","custom_fields":[{"id":1,"name":"Subdivision","value":"EC"},{"id":4,"name":"Milepost","value":"0.0145"},{"id":17,"name":"Train ID","value":"142-05"},{"id":16,"name":"Locomotive ID","value":"4031"},{"id":130,"name":"Impact","value":""},{"id":150,"name":"Time of Event (Mountain Time)","value":"10:23:50"},{"id":151,"name":"Denver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5" t="str">
        <f t="shared" si="21"/>
        <v>start /low /b %USERPROFILE%\Documents\GitHub\eaglep3\Utilities\DownloadLogsFromS3.py --loco 4031 --day 2017-06-05</v>
      </c>
      <c r="AN55" s="154" t="str">
        <f t="shared" si="2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16:23:50"},{"id":29,"name":"Sharepoint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694</v>
      </c>
      <c r="B56" s="7">
        <v>4020</v>
      </c>
      <c r="C56" s="21" t="s">
        <v>204</v>
      </c>
      <c r="D56" s="21" t="s">
        <v>471</v>
      </c>
      <c r="E56" s="13">
        <v>42891.371504629627</v>
      </c>
      <c r="F56" s="13">
        <v>42891.3753125</v>
      </c>
      <c r="G56" s="7">
        <v>1</v>
      </c>
      <c r="H56" s="21" t="s">
        <v>524</v>
      </c>
      <c r="I56" s="13">
        <v>42891.400497685187</v>
      </c>
      <c r="J56" s="7">
        <v>0</v>
      </c>
      <c r="K56" s="92" t="str">
        <f t="shared" si="0"/>
        <v>4019/4020</v>
      </c>
      <c r="L56" s="21" t="str">
        <f>VLOOKUP(A56,'Trips&amp;Operators'!$C$1:$G$99999,5,FALSE)</f>
        <v>THOMPSON LESTER</v>
      </c>
      <c r="M56" s="6">
        <f t="shared" si="1"/>
        <v>2.5185185186273884E-2</v>
      </c>
      <c r="N56" s="7">
        <f t="shared" si="27"/>
        <v>36.266666668234393</v>
      </c>
      <c r="O56" s="7"/>
      <c r="P56" s="7"/>
      <c r="Q56" s="22"/>
      <c r="R56" s="173"/>
      <c r="S56" s="176">
        <f t="shared" si="28"/>
        <v>1</v>
      </c>
      <c r="T56" s="202" t="str">
        <f t="shared" si="4"/>
        <v>NorthBound</v>
      </c>
      <c r="U56" s="202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03" t="str">
        <f t="shared" si="5"/>
        <v>https://d0f6bd738d7f1b3e5a7ca70fe4ff75f0.us-east-1.aws.found.io/app/kibana#/discover/Steve-Slow-Train-Analysis-(2080s-and-2083s)?_g=(refreshInterval:(display:Off,pause:!f,section:0,value:0),time:(from:'2017-06-05T07:54:58-0600',mode:absolute,to:'2017-06-05T10:36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6" s="204" t="str">
        <f t="shared" si="6"/>
        <v>N</v>
      </c>
      <c r="X56" s="204">
        <f t="shared" si="24"/>
        <v>1</v>
      </c>
      <c r="Y56" s="204">
        <f t="shared" si="25"/>
        <v>4.6899999999999997E-2</v>
      </c>
      <c r="Z56" s="204">
        <f t="shared" si="26"/>
        <v>23.3307</v>
      </c>
      <c r="AA56" s="204">
        <f t="shared" si="10"/>
        <v>23.283799999999999</v>
      </c>
      <c r="AB56" s="57" t="e">
        <f>VLOOKUP(A56,Enforcements!$C$7:$K$13,8,0)</f>
        <v>#N/A</v>
      </c>
      <c r="AC56" s="53" t="e">
        <f>VLOOKUP(A56,Enforcements!$C$7:$E$13,3,0)</f>
        <v>#N/A</v>
      </c>
      <c r="AD56" s="54" t="str">
        <f t="shared" si="11"/>
        <v>0143-05</v>
      </c>
      <c r="AE56" s="80" t="str">
        <f t="shared" si="12"/>
        <v>aws s3 cp s3://rtdc.mdm.uploadarchive.raw/RTDC4020/ "%USERPROFILE%\AppData\Local\Temp\OnboardLogs"\RTDC4020\2017-06-05 --exclude "*" --recursive --include "*20170605*" &amp; "%USERPROFILE%\Documents\GitHub\mrs-test-scripts\Headless Mode &amp; Sideloading\WalkAndUnGZ.bat" "%USERPROFILE%\AppData\Local\Temp\OnboardLogs"\RTDC4020\2017-06-05 &amp; aws s3 cp s3://rtdc.mdm.uploadarchive.raw/RTDC4020/ "%USERPROFILE%\AppData\Local\Temp\OnboardLogs"\RTDC4020\2017-06-06 --exclude "*" --recursive --include "*20170606*" &amp; "%USERPROFILE%\Documents\GitHub\mrs-test-scripts\Headless Mode &amp; Sideloading\WalkAndUnGZ.bat" "%USERPROFILE%\AppData\Local\Temp\OnboardLogs"\RTDC4020\2017-06-06</v>
      </c>
      <c r="AF56" s="77" t="str">
        <f t="shared" si="13"/>
        <v>"C:\Program Files (x86)\AstroGrep\AstroGrep.exe" /e /r /s /spath="%USERPROFILE%\AppData\Local\Temp\OnboardLogs" /stypes="app*4020*20170605*" /stext=" 15:.+((SYSTEM_STATE.+slice.+state.+changed )|(ment ac)|(multiple cpu faults)|(system.+state.+changed )|(\[timeout)|(PRM\|1\|D)|(kpr)|(kdp)|(train st.+moving)|(\|lc)|(penalty))"</v>
      </c>
      <c r="AG56" s="1" t="str">
        <f t="shared" si="14"/>
        <v>EC</v>
      </c>
      <c r="AH56" s="81" t="str">
        <f t="shared" si="19"/>
        <v>"%USERPROFILE%\Documents\GitHub\eaglep3\Utilities\RefineRTDCRunTimes.py" --tripid 143-05 --locoid 4020 --swversion DE.1.0.9.0 --startMP 204:469 --initTime 2017-06-05T08:54:58 --startdatetime 2017-06-05T09:00:27 --delay 1 --endMP 204:233307 --enddatetime 2017-06-05T09:36:43 --enforcementcount 0 &gt;&gt;C:\Users\stu\Documents\GitHub\eaglep3-reporting\EC\2017-06-05-refined-times.txt</v>
      </c>
      <c r="AI56" s="99" t="str">
        <f t="shared" si="20"/>
        <v>echo {"issue":{"subject":"","project_id":79,"tracker_id":40,"status_id":1,"priority_id":2,"assigned_to_id":23,"start_date":"2017-06-05","description":"","custom_fields":[{"id":1,"name":"Subdivision","value":"EC"},{"id":4,"name":"Milepost","value":"23.3307"},{"id":17,"name":"Train ID","value":"143-05"},{"id":16,"name":"Locomotive ID","value":"4020"},{"id":130,"name":"Impact","value":""},{"id":150,"name":"Time of Event (Mountain Time)","value":"09:36:43"},{"id":151,"name":"Denver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5" t="str">
        <f t="shared" si="21"/>
        <v>start /low /b %USERPROFILE%\Documents\GitHub\eaglep3\Utilities\DownloadLogsFromS3.py --loco 4020 --day 2017-06-05</v>
      </c>
      <c r="AN56" s="154" t="str">
        <f t="shared" si="2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15:36:43"},{"id":29,"name":"Sharepoint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592</v>
      </c>
      <c r="B57" s="7">
        <v>4019</v>
      </c>
      <c r="C57" s="21" t="s">
        <v>204</v>
      </c>
      <c r="D57" s="21" t="s">
        <v>523</v>
      </c>
      <c r="E57" s="13">
        <v>42891.412268518521</v>
      </c>
      <c r="F57" s="13">
        <v>42891.415266203701</v>
      </c>
      <c r="G57" s="7">
        <v>1</v>
      </c>
      <c r="H57" s="21" t="s">
        <v>851</v>
      </c>
      <c r="I57" s="13">
        <v>42891.443032407406</v>
      </c>
      <c r="J57" s="7">
        <v>0</v>
      </c>
      <c r="K57" s="92" t="str">
        <f t="shared" si="0"/>
        <v>4019/4020</v>
      </c>
      <c r="L57" s="21" t="str">
        <f>VLOOKUP(A57,'Trips&amp;Operators'!$C$1:$G$99999,5,FALSE)</f>
        <v>THOMPSON LESTER</v>
      </c>
      <c r="M57" s="6">
        <f t="shared" si="1"/>
        <v>2.7766203704231884E-2</v>
      </c>
      <c r="N57" s="7">
        <f t="shared" si="27"/>
        <v>39.983333334093913</v>
      </c>
      <c r="O57" s="7"/>
      <c r="P57" s="7"/>
      <c r="Q57" s="22"/>
      <c r="R57" s="173"/>
      <c r="S57" s="176">
        <f t="shared" si="28"/>
        <v>1</v>
      </c>
      <c r="T57" s="202" t="str">
        <f t="shared" si="4"/>
        <v>Southbound</v>
      </c>
      <c r="U57" s="202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03" t="str">
        <f t="shared" si="5"/>
        <v>https://d0f6bd738d7f1b3e5a7ca70fe4ff75f0.us-east-1.aws.found.io/app/kibana#/discover/Steve-Slow-Train-Analysis-(2080s-and-2083s)?_g=(refreshInterval:(display:Off,pause:!f,section:0,value:0),time:(from:'2017-06-05T08:53:40-0600',mode:absolute,to:'2017-06-05T11:37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7" s="204" t="str">
        <f t="shared" si="6"/>
        <v>N</v>
      </c>
      <c r="X57" s="204">
        <f t="shared" si="24"/>
        <v>1</v>
      </c>
      <c r="Y57" s="204">
        <f t="shared" si="25"/>
        <v>23.298400000000001</v>
      </c>
      <c r="Z57" s="204">
        <f t="shared" si="26"/>
        <v>1.9800000000000002E-2</v>
      </c>
      <c r="AA57" s="204">
        <f t="shared" si="10"/>
        <v>23.278600000000001</v>
      </c>
      <c r="AB57" s="57" t="e">
        <f>VLOOKUP(A57,Enforcements!$C$7:$K$13,8,0)</f>
        <v>#N/A</v>
      </c>
      <c r="AC57" s="53" t="e">
        <f>VLOOKUP(A57,Enforcements!$C$7:$E$13,3,0)</f>
        <v>#N/A</v>
      </c>
      <c r="AD57" s="54" t="str">
        <f t="shared" si="11"/>
        <v>0144-05</v>
      </c>
      <c r="AE57" s="80" t="str">
        <f t="shared" si="12"/>
        <v>aws s3 cp s3://rtdc.mdm.uploadarchive.raw/RTDC4019/ "%USERPROFILE%\AppData\Local\Temp\OnboardLogs"\RTDC4019\2017-06-05 --exclude "*" --recursive --include "*20170605*" &amp; "%USERPROFILE%\Documents\GitHub\mrs-test-scripts\Headless Mode &amp; Sideloading\WalkAndUnGZ.bat" "%USERPROFILE%\AppData\Local\Temp\OnboardLogs"\RTDC4019\2017-06-05 &amp; aws s3 cp s3://rtdc.mdm.uploadarchive.raw/RTDC4019/ "%USERPROFILE%\AppData\Local\Temp\OnboardLogs"\RTDC4019\2017-06-06 --exclude "*" --recursive --include "*20170606*" &amp; "%USERPROFILE%\Documents\GitHub\mrs-test-scripts\Headless Mode &amp; Sideloading\WalkAndUnGZ.bat" "%USERPROFILE%\AppData\Local\Temp\OnboardLogs"\RTDC4019\2017-06-06</v>
      </c>
      <c r="AF57" s="77" t="str">
        <f t="shared" si="13"/>
        <v>"C:\Program Files (x86)\AstroGrep\AstroGrep.exe" /e /r /s /spath="%USERPROFILE%\AppData\Local\Temp\OnboardLogs" /stypes="app*4019*20170605*" /stext=" 16:.+((SYSTEM_STATE.+slice.+state.+changed )|(ment ac)|(multiple cpu faults)|(system.+state.+changed )|(\[timeout)|(PRM\|1\|D)|(kpr)|(kdp)|(train st.+moving)|(\|lc)|(penalty))"</v>
      </c>
      <c r="AG57" s="1" t="str">
        <f t="shared" si="14"/>
        <v>EC</v>
      </c>
      <c r="AH57" s="81" t="str">
        <f t="shared" si="19"/>
        <v>"%USERPROFILE%\Documents\GitHub\eaglep3\Utilities\RefineRTDCRunTimes.py" --tripid 144-05 --locoid 4019 --swversion DE.1.0.9.0 --startMP 204:232984 --initTime 2017-06-05T09:53:40 --startdatetime 2017-06-05T09:57:59 --delay 1 --endMP 204:198 --enddatetime 2017-06-05T10:37:58 --enforcementcount 0 &gt;&gt;C:\Users\stu\Documents\GitHub\eaglep3-reporting\EC\2017-06-05-refined-times.txt</v>
      </c>
      <c r="AI57" s="99" t="str">
        <f t="shared" si="20"/>
        <v>echo {"issue":{"subject":"","project_id":79,"tracker_id":40,"status_id":1,"priority_id":2,"assigned_to_id":23,"start_date":"2017-06-05","description":"","custom_fields":[{"id":1,"name":"Subdivision","value":"EC"},{"id":4,"name":"Milepost","value":"0.0198"},{"id":17,"name":"Train ID","value":"144-05"},{"id":16,"name":"Locomotive ID","value":"4019"},{"id":130,"name":"Impact","value":""},{"id":150,"name":"Time of Event (Mountain Time)","value":"10:37:58"},{"id":151,"name":"Denver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5" t="str">
        <f t="shared" si="21"/>
        <v>start /low /b %USERPROFILE%\Documents\GitHub\eaglep3\Utilities\DownloadLogsFromS3.py --loco 4019 --day 2017-06-05</v>
      </c>
      <c r="AN57" s="154" t="str">
        <f t="shared" si="2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16:37:58"},{"id":29,"name":"Sharepoint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698</v>
      </c>
      <c r="B58" s="7">
        <v>4062</v>
      </c>
      <c r="C58" s="21" t="s">
        <v>204</v>
      </c>
      <c r="D58" s="21" t="s">
        <v>852</v>
      </c>
      <c r="E58" s="13">
        <v>42891.392453703702</v>
      </c>
      <c r="F58" s="13">
        <v>42891.39335648148</v>
      </c>
      <c r="G58" s="7">
        <v>1</v>
      </c>
      <c r="H58" s="21" t="s">
        <v>486</v>
      </c>
      <c r="I58" s="13">
        <v>42891.41479166667</v>
      </c>
      <c r="J58" s="7">
        <v>0</v>
      </c>
      <c r="K58" s="92" t="str">
        <f t="shared" si="0"/>
        <v>4061/4062</v>
      </c>
      <c r="L58" s="21" t="str">
        <f>VLOOKUP(A58,'Trips&amp;Operators'!$C$1:$G$99999,5,FALSE)</f>
        <v>MACDONALD THOMAS</v>
      </c>
      <c r="M58" s="6">
        <f t="shared" si="1"/>
        <v>2.1435185190057382E-2</v>
      </c>
      <c r="N58" s="7"/>
      <c r="O58" s="7"/>
      <c r="P58" s="7">
        <f>24*60*SUM($M58:$M58)</f>
        <v>30.86666667368263</v>
      </c>
      <c r="Q58" s="22"/>
      <c r="R58" s="173" t="s">
        <v>1036</v>
      </c>
      <c r="S58" s="176">
        <f t="shared" si="28"/>
        <v>1</v>
      </c>
      <c r="T58" s="202" t="str">
        <f t="shared" si="4"/>
        <v>NorthBound</v>
      </c>
      <c r="U58" s="202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03" t="str">
        <f t="shared" si="5"/>
        <v>https://d0f6bd738d7f1b3e5a7ca70fe4ff75f0.us-east-1.aws.found.io/app/kibana#/discover/Steve-Slow-Train-Analysis-(2080s-and-2083s)?_g=(refreshInterval:(display:Off,pause:!f,section:0,value:0),time:(from:'2017-06-05T08:25:08-0600',mode:absolute,to:'2017-06-05T10:57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58" s="204" t="str">
        <f t="shared" si="6"/>
        <v>Y</v>
      </c>
      <c r="X58" s="204">
        <f t="shared" si="24"/>
        <v>1</v>
      </c>
      <c r="Y58" s="204">
        <f t="shared" si="25"/>
        <v>1.911</v>
      </c>
      <c r="Z58" s="204">
        <f t="shared" si="26"/>
        <v>23.328900000000001</v>
      </c>
      <c r="AA58" s="204">
        <f t="shared" si="10"/>
        <v>21.417899999999999</v>
      </c>
      <c r="AB58" s="57" t="e">
        <f>VLOOKUP(A58,Enforcements!$C$7:$K$13,8,0)</f>
        <v>#N/A</v>
      </c>
      <c r="AC58" s="53" t="e">
        <f>VLOOKUP(A58,Enforcements!$C$7:$E$13,3,0)</f>
        <v>#N/A</v>
      </c>
      <c r="AD58" s="54" t="str">
        <f t="shared" si="11"/>
        <v>0145-05</v>
      </c>
      <c r="AE58" s="80" t="str">
        <f t="shared" si="12"/>
        <v>aws s3 cp s3://rtdc.mdm.uploadarchive.raw/RTDC4062/ "%USERPROFILE%\AppData\Local\Temp\OnboardLogs"\RTDC4062\2017-06-05 --exclude "*" --recursive --include "*20170605*" &amp; "%USERPROFILE%\Documents\GitHub\mrs-test-scripts\Headless Mode &amp; Sideloading\WalkAndUnGZ.bat" "%USERPROFILE%\AppData\Local\Temp\OnboardLogs"\RTDC4062\2017-06-05 &amp; aws s3 cp s3://rtdc.mdm.uploadarchive.raw/RTDC4062/ "%USERPROFILE%\AppData\Local\Temp\OnboardLogs"\RTDC4062\2017-06-06 --exclude "*" --recursive --include "*20170606*" &amp; "%USERPROFILE%\Documents\GitHub\mrs-test-scripts\Headless Mode &amp; Sideloading\WalkAndUnGZ.bat" "%USERPROFILE%\AppData\Local\Temp\OnboardLogs"\RTDC4062\2017-06-06</v>
      </c>
      <c r="AF58" s="77" t="str">
        <f t="shared" si="13"/>
        <v>"C:\Program Files (x86)\AstroGrep\AstroGrep.exe" /e /r /s /spath="%USERPROFILE%\AppData\Local\Temp\OnboardLogs" /stypes="app*4062*20170605*" /stext=" 15:.+((SYSTEM_STATE.+slice.+state.+changed )|(ment ac)|(multiple cpu faults)|(system.+state.+changed )|(\[timeout)|(PRM\|1\|D)|(kpr)|(kdp)|(train st.+moving)|(\|lc)|(penalty))"</v>
      </c>
      <c r="AG58" s="1" t="str">
        <f t="shared" si="14"/>
        <v>EC</v>
      </c>
      <c r="AH58" s="81" t="str">
        <f t="shared" si="19"/>
        <v>"%USERPROFILE%\Documents\GitHub\eaglep3\Utilities\RefineRTDCRunTimes.py" --tripid 145-05 --locoid 4062 --swversion DE.1.0.9.0 --startMP 204:19110 --initTime 2017-06-05T09:25:08 --startdatetime 2017-06-05T09:26:26 --delay 1 --endMP 204:233289 --enddatetime 2017-06-05T09:57:18 --enforcementcount 0 &gt;&gt;C:\Users\stu\Documents\GitHub\eaglep3-reporting\EC\2017-06-05-refined-times.txt</v>
      </c>
      <c r="AI58" s="99" t="str">
        <f t="shared" si="20"/>
        <v>echo {"issue":{"subject":"Consist not lined up with trip (essentially CCROC/crew/equipment mismatch)","project_id":79,"tracker_id":40,"status_id":1,"priority_id":2,"assigned_to_id":23,"start_date":"2017-06-05","description":"","custom_fields":[{"id":1,"name":"Subdivision","value":"EC"},{"id":4,"name":"Milepost","value":"23.3289"},{"id":17,"name":"Train ID","value":"145-05"},{"id":16,"name":"Locomotive ID","value":"4062"},{"id":130,"name":"Impact","value":""},{"id":150,"name":"Time of Event (Mountain Time)","value":"09:57:18"},{"id":151,"name":"Denver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5" t="str">
        <f t="shared" si="21"/>
        <v>start /low /b %USERPROFILE%\Documents\GitHub\eaglep3\Utilities\DownloadLogsFromS3.py --loco 4062 --day 2017-06-05</v>
      </c>
      <c r="AN58" s="154" t="str">
        <f t="shared" si="22"/>
        <v>echo {"issue":{"subject":"Consist not lined up with trip (essentially CCROC/crew/equipment mismatch)","project_id":30,"tracker_id":4,"status_id":1,"priority_id":1,"assigned_to_id":10,"start_date":"2017-06-05","description":"","custom_fields":[{"id":30,"name":"Category","value":"Issue"},{"id":3,"name":"Functional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15:57:18"},{"id":29,"name":"Sharepoint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705</v>
      </c>
      <c r="B59" s="7">
        <v>4061</v>
      </c>
      <c r="C59" s="21" t="s">
        <v>204</v>
      </c>
      <c r="D59" s="21" t="s">
        <v>853</v>
      </c>
      <c r="E59" s="13">
        <v>42891.416203703702</v>
      </c>
      <c r="F59" s="13">
        <v>42891.425451388888</v>
      </c>
      <c r="G59" s="7">
        <v>1</v>
      </c>
      <c r="H59" s="21" t="s">
        <v>487</v>
      </c>
      <c r="I59" s="13">
        <v>42891.450613425928</v>
      </c>
      <c r="J59" s="7">
        <v>0</v>
      </c>
      <c r="K59" s="92" t="str">
        <f t="shared" si="0"/>
        <v>4061/4062</v>
      </c>
      <c r="L59" s="21" t="str">
        <f>VLOOKUP(A59,'Trips&amp;Operators'!$C$1:$G$99999,5,FALSE)</f>
        <v>MACDONALD THOMAS</v>
      </c>
      <c r="M59" s="6">
        <f t="shared" si="1"/>
        <v>2.5162037039990537E-2</v>
      </c>
      <c r="N59" s="7">
        <f t="shared" ref="N59:N90" si="29">24*60*SUM($M59:$M59)</f>
        <v>36.233333337586373</v>
      </c>
      <c r="O59" s="7"/>
      <c r="P59" s="7"/>
      <c r="Q59" s="22"/>
      <c r="R59" s="173"/>
      <c r="S59" s="176">
        <f t="shared" si="28"/>
        <v>1</v>
      </c>
      <c r="T59" s="202" t="str">
        <f t="shared" si="4"/>
        <v>Southbound</v>
      </c>
      <c r="U59" s="202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03" t="str">
        <f t="shared" si="5"/>
        <v>https://d0f6bd738d7f1b3e5a7ca70fe4ff75f0.us-east-1.aws.found.io/app/kibana#/discover/Steve-Slow-Train-Analysis-(2080s-and-2083s)?_g=(refreshInterval:(display:Off,pause:!f,section:0,value:0),time:(from:'2017-06-05T08:59:20-0600',mode:absolute,to:'2017-06-05T11:48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59" s="204" t="str">
        <f t="shared" si="6"/>
        <v>N</v>
      </c>
      <c r="X59" s="204">
        <f t="shared" si="24"/>
        <v>1</v>
      </c>
      <c r="Y59" s="204">
        <f t="shared" si="25"/>
        <v>23.296399999999998</v>
      </c>
      <c r="Z59" s="204">
        <f t="shared" si="26"/>
        <v>1.6500000000000001E-2</v>
      </c>
      <c r="AA59" s="204">
        <f t="shared" si="10"/>
        <v>23.279899999999998</v>
      </c>
      <c r="AB59" s="57" t="e">
        <f>VLOOKUP(A59,Enforcements!$C$7:$K$13,8,0)</f>
        <v>#N/A</v>
      </c>
      <c r="AC59" s="53" t="e">
        <f>VLOOKUP(A59,Enforcements!$C$7:$E$13,3,0)</f>
        <v>#N/A</v>
      </c>
      <c r="AD59" s="54" t="str">
        <f t="shared" si="11"/>
        <v>0146-05</v>
      </c>
      <c r="AE59" s="80" t="str">
        <f t="shared" si="12"/>
        <v>aws s3 cp s3://rtdc.mdm.uploadarchive.raw/RTDC4061/ "%USERPROFILE%\AppData\Local\Temp\OnboardLogs"\RTDC4061\2017-06-05 --exclude "*" --recursive --include "*20170605*" &amp; "%USERPROFILE%\Documents\GitHub\mrs-test-scripts\Headless Mode &amp; Sideloading\WalkAndUnGZ.bat" "%USERPROFILE%\AppData\Local\Temp\OnboardLogs"\RTDC4061\2017-06-05 &amp; aws s3 cp s3://rtdc.mdm.uploadarchive.raw/RTDC4061/ "%USERPROFILE%\AppData\Local\Temp\OnboardLogs"\RTDC4061\2017-06-06 --exclude "*" --recursive --include "*20170606*" &amp; "%USERPROFILE%\Documents\GitHub\mrs-test-scripts\Headless Mode &amp; Sideloading\WalkAndUnGZ.bat" "%USERPROFILE%\AppData\Local\Temp\OnboardLogs"\RTDC4061\2017-06-06</v>
      </c>
      <c r="AF59" s="77" t="str">
        <f t="shared" si="13"/>
        <v>"C:\Program Files (x86)\AstroGrep\AstroGrep.exe" /e /r /s /spath="%USERPROFILE%\AppData\Local\Temp\OnboardLogs" /stypes="app*4061*20170605*" /stext=" 16:.+((SYSTEM_STATE.+slice.+state.+changed )|(ment ac)|(multiple cpu faults)|(system.+state.+changed )|(\[timeout)|(PRM\|1\|D)|(kpr)|(kdp)|(train st.+moving)|(\|lc)|(penalty))"</v>
      </c>
      <c r="AG59" s="1" t="str">
        <f t="shared" si="14"/>
        <v>EC</v>
      </c>
      <c r="AH59" s="81" t="str">
        <f t="shared" si="19"/>
        <v>"%USERPROFILE%\Documents\GitHub\eaglep3\Utilities\RefineRTDCRunTimes.py" --tripid 146-05 --locoid 4061 --swversion DE.1.0.9.0 --startMP 204:232964 --initTime 2017-06-05T09:59:20 --startdatetime 2017-06-05T10:12:39 --delay 1 --endMP 204:165 --enddatetime 2017-06-05T10:48:53 --enforcementcount 0 &gt;&gt;C:\Users\stu\Documents\GitHub\eaglep3-reporting\EC\2017-06-05-refined-times.txt</v>
      </c>
      <c r="AI59" s="99" t="str">
        <f t="shared" si="20"/>
        <v>echo {"issue":{"subject":"","project_id":79,"tracker_id":40,"status_id":1,"priority_id":2,"assigned_to_id":23,"start_date":"2017-06-05","description":"","custom_fields":[{"id":1,"name":"Subdivision","value":"EC"},{"id":4,"name":"Milepost","value":"0.0165"},{"id":17,"name":"Train ID","value":"146-05"},{"id":16,"name":"Locomotive ID","value":"4061"},{"id":130,"name":"Impact","value":""},{"id":150,"name":"Time of Event (Mountain Time)","value":"10:48:53"},{"id":151,"name":"Denver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5" t="str">
        <f t="shared" si="21"/>
        <v>start /low /b %USERPROFILE%\Documents\GitHub\eaglep3\Utilities\DownloadLogsFromS3.py --loco 4061 --day 2017-06-05</v>
      </c>
      <c r="AN59" s="154" t="str">
        <f t="shared" si="2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16:48:53"},{"id":29,"name":"Sharepoint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700</v>
      </c>
      <c r="B60" s="7">
        <v>4016</v>
      </c>
      <c r="C60" s="21" t="s">
        <v>204</v>
      </c>
      <c r="D60" s="21" t="s">
        <v>368</v>
      </c>
      <c r="E60" s="13">
        <v>42891.394814814812</v>
      </c>
      <c r="F60" s="13">
        <v>42891.396898148145</v>
      </c>
      <c r="G60" s="7">
        <v>1</v>
      </c>
      <c r="H60" s="21" t="s">
        <v>459</v>
      </c>
      <c r="I60" s="13">
        <v>42891.422291666669</v>
      </c>
      <c r="J60" s="7">
        <v>0</v>
      </c>
      <c r="K60" s="92" t="str">
        <f t="shared" si="0"/>
        <v>4015/4016</v>
      </c>
      <c r="L60" s="21" t="str">
        <f>VLOOKUP(A60,'Trips&amp;Operators'!$C$1:$G$99999,5,FALSE)</f>
        <v>STARKS ANGELINA</v>
      </c>
      <c r="M60" s="6">
        <f t="shared" si="1"/>
        <v>2.5393518524651881E-2</v>
      </c>
      <c r="N60" s="7">
        <f t="shared" si="29"/>
        <v>36.566666675498709</v>
      </c>
      <c r="O60" s="7"/>
      <c r="P60" s="7"/>
      <c r="Q60" s="22"/>
      <c r="R60" s="173"/>
      <c r="S60" s="176">
        <f t="shared" si="28"/>
        <v>1</v>
      </c>
      <c r="T60" s="202" t="str">
        <f t="shared" si="4"/>
        <v>NorthBound</v>
      </c>
      <c r="U60" s="202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03" t="str">
        <f t="shared" si="5"/>
        <v>https://d0f6bd738d7f1b3e5a7ca70fe4ff75f0.us-east-1.aws.found.io/app/kibana#/discover/Steve-Slow-Train-Analysis-(2080s-and-2083s)?_g=(refreshInterval:(display:Off,pause:!f,section:0,value:0),time:(from:'2017-06-05T08:28:32-0600',mode:absolute,to:'2017-06-05T11:08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0" s="204" t="str">
        <f t="shared" si="6"/>
        <v>N</v>
      </c>
      <c r="X60" s="204">
        <f t="shared" si="24"/>
        <v>1</v>
      </c>
      <c r="Y60" s="204">
        <f t="shared" si="25"/>
        <v>4.5499999999999999E-2</v>
      </c>
      <c r="Z60" s="204">
        <f t="shared" si="26"/>
        <v>23.329699999999999</v>
      </c>
      <c r="AA60" s="204">
        <f t="shared" si="10"/>
        <v>23.284199999999998</v>
      </c>
      <c r="AB60" s="57" t="e">
        <f>VLOOKUP(A60,Enforcements!$C$7:$K$13,8,0)</f>
        <v>#N/A</v>
      </c>
      <c r="AC60" s="53" t="e">
        <f>VLOOKUP(A60,Enforcements!$C$7:$E$13,3,0)</f>
        <v>#N/A</v>
      </c>
      <c r="AD60" s="54" t="str">
        <f t="shared" si="11"/>
        <v>0147-05</v>
      </c>
      <c r="AE60" s="80" t="str">
        <f t="shared" si="12"/>
        <v>aws s3 cp s3://rtdc.mdm.uploadarchive.raw/RTDC4016/ "%USERPROFILE%\AppData\Local\Temp\OnboardLogs"\RTDC4016\2017-06-05 --exclude "*" --recursive --include "*20170605*" &amp; "%USERPROFILE%\Documents\GitHub\mrs-test-scripts\Headless Mode &amp; Sideloading\WalkAndUnGZ.bat" "%USERPROFILE%\AppData\Local\Temp\OnboardLogs"\RTDC4016\2017-06-05 &amp; aws s3 cp s3://rtdc.mdm.uploadarchive.raw/RTDC4016/ "%USERPROFILE%\AppData\Local\Temp\OnboardLogs"\RTDC4016\2017-06-06 --exclude "*" --recursive --include "*20170606*" &amp; "%USERPROFILE%\Documents\GitHub\mrs-test-scripts\Headless Mode &amp; Sideloading\WalkAndUnGZ.bat" "%USERPROFILE%\AppData\Local\Temp\OnboardLogs"\RTDC4016\2017-06-06</v>
      </c>
      <c r="AF60" s="77" t="str">
        <f t="shared" si="13"/>
        <v>"C:\Program Files (x86)\AstroGrep\AstroGrep.exe" /e /r /s /spath="%USERPROFILE%\AppData\Local\Temp\OnboardLogs" /stypes="app*4016*20170605*" /stext=" 16:.+((SYSTEM_STATE.+slice.+state.+changed )|(ment ac)|(multiple cpu faults)|(system.+state.+changed )|(\[timeout)|(PRM\|1\|D)|(kpr)|(kdp)|(train st.+moving)|(\|lc)|(penalty))"</v>
      </c>
      <c r="AG60" s="1" t="str">
        <f t="shared" si="14"/>
        <v>EC</v>
      </c>
      <c r="AH60" s="81" t="str">
        <f t="shared" si="19"/>
        <v>"%USERPROFILE%\Documents\GitHub\eaglep3\Utilities\RefineRTDCRunTimes.py" --tripid 147-05 --locoid 4016 --swversion DE.1.0.9.0 --startMP 204:455 --initTime 2017-06-05T09:28:32 --startdatetime 2017-06-05T09:31:32 --delay 1 --endMP 204:233297 --enddatetime 2017-06-05T10:08:06 --enforcementcount 0 &gt;&gt;C:\Users\stu\Documents\GitHub\eaglep3-reporting\EC\2017-06-05-refined-times.txt</v>
      </c>
      <c r="AI60" s="99" t="str">
        <f t="shared" si="20"/>
        <v>echo {"issue":{"subject":"","project_id":79,"tracker_id":40,"status_id":1,"priority_id":2,"assigned_to_id":23,"start_date":"2017-06-05","description":"","custom_fields":[{"id":1,"name":"Subdivision","value":"EC"},{"id":4,"name":"Milepost","value":"23.3297"},{"id":17,"name":"Train ID","value":"147-05"},{"id":16,"name":"Locomotive ID","value":"4016"},{"id":130,"name":"Impact","value":""},{"id":150,"name":"Time of Event (Mountain Time)","value":"10:08:06"},{"id":151,"name":"Denver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5" t="str">
        <f t="shared" si="21"/>
        <v>start /low /b %USERPROFILE%\Documents\GitHub\eaglep3\Utilities\DownloadLogsFromS3.py --loco 4016 --day 2017-06-05</v>
      </c>
      <c r="AN60" s="154" t="str">
        <f t="shared" si="2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16:08:06"},{"id":29,"name":"Sharepoint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709</v>
      </c>
      <c r="B61" s="7">
        <v>4015</v>
      </c>
      <c r="C61" s="21" t="s">
        <v>204</v>
      </c>
      <c r="D61" s="21" t="s">
        <v>573</v>
      </c>
      <c r="E61" s="13">
        <v>42891.433981481481</v>
      </c>
      <c r="F61" s="13">
        <v>42891.435752314814</v>
      </c>
      <c r="G61" s="7">
        <v>1</v>
      </c>
      <c r="H61" s="21" t="s">
        <v>364</v>
      </c>
      <c r="I61" s="13">
        <v>42891.464803240742</v>
      </c>
      <c r="J61" s="7">
        <v>0</v>
      </c>
      <c r="K61" s="92" t="str">
        <f t="shared" si="0"/>
        <v>4015/4016</v>
      </c>
      <c r="L61" s="21" t="str">
        <f>VLOOKUP(A61,'Trips&amp;Operators'!$C$1:$G$99999,5,FALSE)</f>
        <v>STARKS ANGELINA</v>
      </c>
      <c r="M61" s="6">
        <f t="shared" si="1"/>
        <v>2.9050925928459037E-2</v>
      </c>
      <c r="N61" s="7">
        <f t="shared" si="29"/>
        <v>41.833333336981013</v>
      </c>
      <c r="O61" s="7"/>
      <c r="P61" s="7"/>
      <c r="Q61" s="22"/>
      <c r="R61" s="173"/>
      <c r="S61" s="176">
        <f t="shared" si="28"/>
        <v>1</v>
      </c>
      <c r="T61" s="202" t="str">
        <f t="shared" si="4"/>
        <v>Southbound</v>
      </c>
      <c r="U61" s="202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03" t="str">
        <f t="shared" si="5"/>
        <v>https://d0f6bd738d7f1b3e5a7ca70fe4ff75f0.us-east-1.aws.found.io/app/kibana#/discover/Steve-Slow-Train-Analysis-(2080s-and-2083s)?_g=(refreshInterval:(display:Off,pause:!f,section:0,value:0),time:(from:'2017-06-05T09:24:56-0600',mode:absolute,to:'2017-06-05T12:09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1" s="204" t="str">
        <f t="shared" si="6"/>
        <v>N</v>
      </c>
      <c r="X61" s="204">
        <f t="shared" si="24"/>
        <v>1</v>
      </c>
      <c r="Y61" s="204">
        <f t="shared" si="25"/>
        <v>23.296700000000001</v>
      </c>
      <c r="Z61" s="204">
        <f t="shared" si="26"/>
        <v>1.47E-2</v>
      </c>
      <c r="AA61" s="204">
        <f t="shared" si="10"/>
        <v>23.282</v>
      </c>
      <c r="AB61" s="57" t="e">
        <f>VLOOKUP(A61,Enforcements!$C$7:$K$13,8,0)</f>
        <v>#N/A</v>
      </c>
      <c r="AC61" s="53" t="e">
        <f>VLOOKUP(A61,Enforcements!$C$7:$E$13,3,0)</f>
        <v>#N/A</v>
      </c>
      <c r="AD61" s="54" t="str">
        <f t="shared" si="11"/>
        <v>0148-05</v>
      </c>
      <c r="AE61" s="80" t="str">
        <f t="shared" si="12"/>
        <v>aws s3 cp s3://rtdc.mdm.uploadarchive.raw/RTDC4015/ "%USERPROFILE%\AppData\Local\Temp\OnboardLogs"\RTDC4015\2017-06-05 --exclude "*" --recursive --include "*20170605*" &amp; "%USERPROFILE%\Documents\GitHub\mrs-test-scripts\Headless Mode &amp; Sideloading\WalkAndUnGZ.bat" "%USERPROFILE%\AppData\Local\Temp\OnboardLogs"\RTDC4015\2017-06-05 &amp; aws s3 cp s3://rtdc.mdm.uploadarchive.raw/RTDC4015/ "%USERPROFILE%\AppData\Local\Temp\OnboardLogs"\RTDC4015\2017-06-06 --exclude "*" --recursive --include "*20170606*" &amp; "%USERPROFILE%\Documents\GitHub\mrs-test-scripts\Headless Mode &amp; Sideloading\WalkAndUnGZ.bat" "%USERPROFILE%\AppData\Local\Temp\OnboardLogs"\RTDC4015\2017-06-06</v>
      </c>
      <c r="AF61" s="77" t="str">
        <f t="shared" si="13"/>
        <v>"C:\Program Files (x86)\AstroGrep\AstroGrep.exe" /e /r /s /spath="%USERPROFILE%\AppData\Local\Temp\OnboardLogs" /stypes="app*4015*20170605*" /stext=" 17:.+((SYSTEM_STATE.+slice.+state.+changed )|(ment ac)|(multiple cpu faults)|(system.+state.+changed )|(\[timeout)|(PRM\|1\|D)|(kpr)|(kdp)|(train st.+moving)|(\|lc)|(penalty))"</v>
      </c>
      <c r="AG61" s="1" t="str">
        <f t="shared" si="14"/>
        <v>EC</v>
      </c>
      <c r="AH61" s="81" t="str">
        <f t="shared" si="19"/>
        <v>"%USERPROFILE%\Documents\GitHub\eaglep3\Utilities\RefineRTDCRunTimes.py" --tripid 148-05 --locoid 4015 --swversion DE.1.0.9.0 --startMP 204:232967 --initTime 2017-06-05T10:24:56 --startdatetime 2017-06-05T10:27:29 --delay 1 --endMP 204:147 --enddatetime 2017-06-05T11:09:19 --enforcementcount 0 &gt;&gt;C:\Users\stu\Documents\GitHub\eaglep3-reporting\EC\2017-06-05-refined-times.txt</v>
      </c>
      <c r="AI61" s="99" t="str">
        <f t="shared" si="20"/>
        <v>echo {"issue":{"subject":"","project_id":79,"tracker_id":40,"status_id":1,"priority_id":2,"assigned_to_id":23,"start_date":"2017-06-05","description":"","custom_fields":[{"id":1,"name":"Subdivision","value":"EC"},{"id":4,"name":"Milepost","value":"0.0147"},{"id":17,"name":"Train ID","value":"148-05"},{"id":16,"name":"Locomotive ID","value":"4015"},{"id":130,"name":"Impact","value":""},{"id":150,"name":"Time of Event (Mountain Time)","value":"11:09:19"},{"id":151,"name":"Denver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5" t="str">
        <f t="shared" si="21"/>
        <v>start /low /b %USERPROFILE%\Documents\GitHub\eaglep3\Utilities\DownloadLogsFromS3.py --loco 4015 --day 2017-06-05</v>
      </c>
      <c r="AN61" s="154" t="str">
        <f t="shared" si="2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17:09:19"},{"id":29,"name":"Sharepoint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701</v>
      </c>
      <c r="B62" s="7">
        <v>4042</v>
      </c>
      <c r="C62" s="21" t="s">
        <v>204</v>
      </c>
      <c r="D62" s="21" t="s">
        <v>349</v>
      </c>
      <c r="E62" s="13">
        <v>42891.400775462964</v>
      </c>
      <c r="F62" s="13">
        <v>42891.406423611108</v>
      </c>
      <c r="G62" s="7">
        <v>1</v>
      </c>
      <c r="H62" s="21" t="s">
        <v>564</v>
      </c>
      <c r="I62" s="13">
        <v>42891.431296296294</v>
      </c>
      <c r="J62" s="7">
        <v>0</v>
      </c>
      <c r="K62" s="92" t="str">
        <f t="shared" si="0"/>
        <v>4041/4042</v>
      </c>
      <c r="L62" s="21" t="str">
        <f>VLOOKUP(A62,'Trips&amp;Operators'!$C$1:$G$99999,5,FALSE)</f>
        <v>LALONDE GREGORY</v>
      </c>
      <c r="M62" s="6">
        <f t="shared" si="1"/>
        <v>2.4872685185982846E-2</v>
      </c>
      <c r="N62" s="7">
        <f t="shared" si="29"/>
        <v>35.816666667815298</v>
      </c>
      <c r="O62" s="7"/>
      <c r="P62" s="7"/>
      <c r="Q62" s="22"/>
      <c r="R62" s="173"/>
      <c r="S62" s="176">
        <f t="shared" si="28"/>
        <v>1</v>
      </c>
      <c r="T62" s="202" t="str">
        <f t="shared" si="4"/>
        <v>NorthBound</v>
      </c>
      <c r="U62" s="202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03" t="str">
        <f t="shared" si="5"/>
        <v>https://d0f6bd738d7f1b3e5a7ca70fe4ff75f0.us-east-1.aws.found.io/app/kibana#/discover/Steve-Slow-Train-Analysis-(2080s-and-2083s)?_g=(refreshInterval:(display:Off,pause:!f,section:0,value:0),time:(from:'2017-06-05T08:37:07-0600',mode:absolute,to:'2017-06-05T11:21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2" s="204" t="str">
        <f t="shared" si="6"/>
        <v>N</v>
      </c>
      <c r="X62" s="204">
        <f t="shared" si="24"/>
        <v>1</v>
      </c>
      <c r="Y62" s="204">
        <f t="shared" si="25"/>
        <v>4.4600000000000001E-2</v>
      </c>
      <c r="Z62" s="204">
        <f t="shared" si="26"/>
        <v>23.334900000000001</v>
      </c>
      <c r="AA62" s="204">
        <f t="shared" si="10"/>
        <v>23.290300000000002</v>
      </c>
      <c r="AB62" s="57" t="e">
        <f>VLOOKUP(A62,Enforcements!$C$7:$K$13,8,0)</f>
        <v>#N/A</v>
      </c>
      <c r="AC62" s="53" t="e">
        <f>VLOOKUP(A62,Enforcements!$C$7:$E$13,3,0)</f>
        <v>#N/A</v>
      </c>
      <c r="AD62" s="54" t="str">
        <f t="shared" si="11"/>
        <v>0149-05</v>
      </c>
      <c r="AE62" s="80" t="str">
        <f t="shared" si="12"/>
        <v>aws s3 cp s3://rtdc.mdm.uploadarchive.raw/RTDC4042/ "%USERPROFILE%\AppData\Local\Temp\OnboardLogs"\RTDC4042\2017-06-05 --exclude "*" --recursive --include "*20170605*" &amp; "%USERPROFILE%\Documents\GitHub\mrs-test-scripts\Headless Mode &amp; Sideloading\WalkAndUnGZ.bat" "%USERPROFILE%\AppData\Local\Temp\OnboardLogs"\RTDC4042\2017-06-05 &amp; aws s3 cp s3://rtdc.mdm.uploadarchive.raw/RTDC4042/ "%USERPROFILE%\AppData\Local\Temp\OnboardLogs"\RTDC4042\2017-06-06 --exclude "*" --recursive --include "*20170606*" &amp; "%USERPROFILE%\Documents\GitHub\mrs-test-scripts\Headless Mode &amp; Sideloading\WalkAndUnGZ.bat" "%USERPROFILE%\AppData\Local\Temp\OnboardLogs"\RTDC4042\2017-06-06</v>
      </c>
      <c r="AF62" s="77" t="str">
        <f t="shared" si="13"/>
        <v>"C:\Program Files (x86)\AstroGrep\AstroGrep.exe" /e /r /s /spath="%USERPROFILE%\AppData\Local\Temp\OnboardLogs" /stypes="app*4042*20170605*" /stext=" 16:.+((SYSTEM_STATE.+slice.+state.+changed )|(ment ac)|(multiple cpu faults)|(system.+state.+changed )|(\[timeout)|(PRM\|1\|D)|(kpr)|(kdp)|(train st.+moving)|(\|lc)|(penalty))"</v>
      </c>
      <c r="AG62" s="1" t="str">
        <f t="shared" si="14"/>
        <v>EC</v>
      </c>
      <c r="AH62" s="81" t="str">
        <f t="shared" si="19"/>
        <v>"%USERPROFILE%\Documents\GitHub\eaglep3\Utilities\RefineRTDCRunTimes.py" --tripid 149-05 --locoid 4042 --swversion DE.1.0.9.0 --startMP 204:446 --initTime 2017-06-05T09:37:07 --startdatetime 2017-06-05T09:45:15 --delay 1 --endMP 204:233349 --enddatetime 2017-06-05T10:21:04 --enforcementcount 0 &gt;&gt;C:\Users\stu\Documents\GitHub\eaglep3-reporting\EC\2017-06-05-refined-times.txt</v>
      </c>
      <c r="AI62" s="99" t="str">
        <f t="shared" si="20"/>
        <v>echo {"issue":{"subject":"","project_id":79,"tracker_id":40,"status_id":1,"priority_id":2,"assigned_to_id":23,"start_date":"2017-06-05","description":"","custom_fields":[{"id":1,"name":"Subdivision","value":"EC"},{"id":4,"name":"Milepost","value":"23.3349"},{"id":17,"name":"Train ID","value":"149-05"},{"id":16,"name":"Locomotive ID","value":"4042"},{"id":130,"name":"Impact","value":""},{"id":150,"name":"Time of Event (Mountain Time)","value":"10:21:04"},{"id":151,"name":"Denver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5" t="str">
        <f t="shared" si="21"/>
        <v>start /low /b %USERPROFILE%\Documents\GitHub\eaglep3\Utilities\DownloadLogsFromS3.py --loco 4042 --day 2017-06-05</v>
      </c>
      <c r="AN62" s="154" t="str">
        <f t="shared" si="2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16:21:04"},{"id":29,"name":"Sharepoint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708</v>
      </c>
      <c r="B63" s="7">
        <v>4041</v>
      </c>
      <c r="C63" s="21" t="s">
        <v>204</v>
      </c>
      <c r="D63" s="21" t="s">
        <v>539</v>
      </c>
      <c r="E63" s="13">
        <v>42891.432997685188</v>
      </c>
      <c r="F63" s="13">
        <v>42891.446122685185</v>
      </c>
      <c r="G63" s="7">
        <v>1</v>
      </c>
      <c r="H63" s="21" t="s">
        <v>350</v>
      </c>
      <c r="I63" s="13">
        <v>42891.471365740741</v>
      </c>
      <c r="J63" s="7">
        <v>0</v>
      </c>
      <c r="K63" s="92" t="str">
        <f t="shared" si="0"/>
        <v>4041/4042</v>
      </c>
      <c r="L63" s="21" t="str">
        <f>VLOOKUP(A63,'Trips&amp;Operators'!$C$1:$G$99999,5,FALSE)</f>
        <v>LALONDE GREGORY</v>
      </c>
      <c r="M63" s="6">
        <f t="shared" si="1"/>
        <v>2.5243055555620231E-2</v>
      </c>
      <c r="N63" s="7">
        <f t="shared" si="29"/>
        <v>36.350000000093132</v>
      </c>
      <c r="O63" s="7"/>
      <c r="P63" s="7"/>
      <c r="Q63" s="22"/>
      <c r="R63" s="173"/>
      <c r="S63" s="176">
        <f t="shared" si="28"/>
        <v>1</v>
      </c>
      <c r="T63" s="202" t="str">
        <f t="shared" si="4"/>
        <v>Southbound</v>
      </c>
      <c r="U63" s="202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03" t="str">
        <f t="shared" si="5"/>
        <v>https://d0f6bd738d7f1b3e5a7ca70fe4ff75f0.us-east-1.aws.found.io/app/kibana#/discover/Steve-Slow-Train-Analysis-(2080s-and-2083s)?_g=(refreshInterval:(display:Off,pause:!f,section:0,value:0),time:(from:'2017-06-05T09:23:31-0600',mode:absolute,to:'2017-06-05T12:18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3" s="204" t="str">
        <f t="shared" si="6"/>
        <v>N</v>
      </c>
      <c r="X63" s="204">
        <f t="shared" si="24"/>
        <v>1</v>
      </c>
      <c r="Y63" s="204">
        <f t="shared" si="25"/>
        <v>23.302499999999998</v>
      </c>
      <c r="Z63" s="204">
        <f t="shared" si="26"/>
        <v>1.6E-2</v>
      </c>
      <c r="AA63" s="204">
        <f t="shared" si="10"/>
        <v>23.2865</v>
      </c>
      <c r="AB63" s="57" t="e">
        <f>VLOOKUP(A63,Enforcements!$C$7:$K$13,8,0)</f>
        <v>#N/A</v>
      </c>
      <c r="AC63" s="53" t="e">
        <f>VLOOKUP(A63,Enforcements!$C$7:$E$13,3,0)</f>
        <v>#N/A</v>
      </c>
      <c r="AD63" s="54" t="str">
        <f t="shared" si="11"/>
        <v>0150-05</v>
      </c>
      <c r="AE63" s="80" t="str">
        <f t="shared" si="12"/>
        <v>aws s3 cp s3://rtdc.mdm.uploadarchive.raw/RTDC4041/ "%USERPROFILE%\AppData\Local\Temp\OnboardLogs"\RTDC4041\2017-06-05 --exclude "*" --recursive --include "*20170605*" &amp; "%USERPROFILE%\Documents\GitHub\mrs-test-scripts\Headless Mode &amp; Sideloading\WalkAndUnGZ.bat" "%USERPROFILE%\AppData\Local\Temp\OnboardLogs"\RTDC4041\2017-06-05 &amp; aws s3 cp s3://rtdc.mdm.uploadarchive.raw/RTDC4041/ "%USERPROFILE%\AppData\Local\Temp\OnboardLogs"\RTDC4041\2017-06-06 --exclude "*" --recursive --include "*20170606*" &amp; "%USERPROFILE%\Documents\GitHub\mrs-test-scripts\Headless Mode &amp; Sideloading\WalkAndUnGZ.bat" "%USERPROFILE%\AppData\Local\Temp\OnboardLogs"\RTDC4041\2017-06-06</v>
      </c>
      <c r="AF63" s="77" t="str">
        <f t="shared" si="13"/>
        <v>"C:\Program Files (x86)\AstroGrep\AstroGrep.exe" /e /r /s /spath="%USERPROFILE%\AppData\Local\Temp\OnboardLogs" /stypes="app*4041*20170605*" /stext=" 17:.+((SYSTEM_STATE.+slice.+state.+changed )|(ment ac)|(multiple cpu faults)|(system.+state.+changed )|(\[timeout)|(PRM\|1\|D)|(kpr)|(kdp)|(train st.+moving)|(\|lc)|(penalty))"</v>
      </c>
      <c r="AG63" s="1" t="str">
        <f t="shared" si="14"/>
        <v>EC</v>
      </c>
      <c r="AH63" s="81" t="str">
        <f t="shared" si="19"/>
        <v>"%USERPROFILE%\Documents\GitHub\eaglep3\Utilities\RefineRTDCRunTimes.py" --tripid 150-05 --locoid 4041 --swversion DE.1.0.9.0 --startMP 204:233025 --initTime 2017-06-05T10:23:31 --startdatetime 2017-06-05T10:42:25 --delay 1 --endMP 204:160 --enddatetime 2017-06-05T11:18:46 --enforcementcount 0 &gt;&gt;C:\Users\stu\Documents\GitHub\eaglep3-reporting\EC\2017-06-05-refined-times.txt</v>
      </c>
      <c r="AI63" s="99" t="str">
        <f t="shared" si="20"/>
        <v>echo {"issue":{"subject":"","project_id":79,"tracker_id":40,"status_id":1,"priority_id":2,"assigned_to_id":23,"start_date":"2017-06-05","description":"","custom_fields":[{"id":1,"name":"Subdivision","value":"EC"},{"id":4,"name":"Milepost","value":"0.016"},{"id":17,"name":"Train ID","value":"150-05"},{"id":16,"name":"Locomotive ID","value":"4041"},{"id":130,"name":"Impact","value":""},{"id":150,"name":"Time of Event (Mountain Time)","value":"11:18:46"},{"id":151,"name":"Denver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5" t="str">
        <f t="shared" si="21"/>
        <v>start /low /b %USERPROFILE%\Documents\GitHub\eaglep3\Utilities\DownloadLogsFromS3.py --loco 4041 --day 2017-06-05</v>
      </c>
      <c r="AN63" s="154" t="str">
        <f t="shared" si="2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17:18:46"},{"id":29,"name":"Sharepoint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704</v>
      </c>
      <c r="B64" s="7">
        <v>4008</v>
      </c>
      <c r="C64" s="21" t="s">
        <v>204</v>
      </c>
      <c r="D64" s="21" t="s">
        <v>397</v>
      </c>
      <c r="E64" s="13">
        <v>42891.412118055552</v>
      </c>
      <c r="F64" s="13">
        <v>42891.416886574072</v>
      </c>
      <c r="G64" s="7">
        <v>1</v>
      </c>
      <c r="H64" s="21" t="s">
        <v>472</v>
      </c>
      <c r="I64" s="13">
        <v>42891.442129629628</v>
      </c>
      <c r="J64" s="7">
        <v>0</v>
      </c>
      <c r="K64" s="92" t="str">
        <f t="shared" si="0"/>
        <v>4007/4008</v>
      </c>
      <c r="L64" s="21" t="str">
        <f>VLOOKUP(A64,'Trips&amp;Operators'!$C$1:$G$99999,5,FALSE)</f>
        <v>WILLIAMS DONTE</v>
      </c>
      <c r="M64" s="6">
        <f t="shared" si="1"/>
        <v>2.5243055555620231E-2</v>
      </c>
      <c r="N64" s="7">
        <f t="shared" si="29"/>
        <v>36.350000000093132</v>
      </c>
      <c r="O64" s="7"/>
      <c r="P64" s="7"/>
      <c r="Q64" s="22"/>
      <c r="R64" s="173"/>
      <c r="S64" s="176">
        <f t="shared" si="28"/>
        <v>1</v>
      </c>
      <c r="T64" s="202" t="str">
        <f t="shared" si="4"/>
        <v>NorthBound</v>
      </c>
      <c r="U64" s="202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03" t="str">
        <f t="shared" si="5"/>
        <v>https://d0f6bd738d7f1b3e5a7ca70fe4ff75f0.us-east-1.aws.found.io/app/kibana#/discover/Steve-Slow-Train-Analysis-(2080s-and-2083s)?_g=(refreshInterval:(display:Off,pause:!f,section:0,value:0),time:(from:'2017-06-05T08:53:27-0600',mode:absolute,to:'2017-06-05T11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4" s="204" t="str">
        <f t="shared" si="6"/>
        <v>N</v>
      </c>
      <c r="X64" s="204">
        <f t="shared" si="24"/>
        <v>1</v>
      </c>
      <c r="Y64" s="204">
        <f t="shared" si="25"/>
        <v>4.6199999999999998E-2</v>
      </c>
      <c r="Z64" s="204">
        <f t="shared" si="26"/>
        <v>23.3309</v>
      </c>
      <c r="AA64" s="204">
        <f t="shared" si="10"/>
        <v>23.284700000000001</v>
      </c>
      <c r="AB64" s="57" t="e">
        <f>VLOOKUP(A64,Enforcements!$C$7:$K$13,8,0)</f>
        <v>#N/A</v>
      </c>
      <c r="AC64" s="53" t="e">
        <f>VLOOKUP(A64,Enforcements!$C$7:$E$13,3,0)</f>
        <v>#N/A</v>
      </c>
      <c r="AD64" s="54" t="str">
        <f t="shared" si="11"/>
        <v>0151-05</v>
      </c>
      <c r="AE64" s="80" t="str">
        <f t="shared" si="12"/>
        <v>aws s3 cp s3://rtdc.mdm.uploadarchive.raw/RTDC4008/ "%USERPROFILE%\AppData\Local\Temp\OnboardLogs"\RTDC4008\2017-06-05 --exclude "*" --recursive --include "*20170605*" &amp; "%USERPROFILE%\Documents\GitHub\mrs-test-scripts\Headless Mode &amp; Sideloading\WalkAndUnGZ.bat" "%USERPROFILE%\AppData\Local\Temp\OnboardLogs"\RTDC4008\2017-06-05 &amp; aws s3 cp s3://rtdc.mdm.uploadarchive.raw/RTDC4008/ "%USERPROFILE%\AppData\Local\Temp\OnboardLogs"\RTDC4008\2017-06-06 --exclude "*" --recursive --include "*20170606*" &amp; "%USERPROFILE%\Documents\GitHub\mrs-test-scripts\Headless Mode &amp; Sideloading\WalkAndUnGZ.bat" "%USERPROFILE%\AppData\Local\Temp\OnboardLogs"\RTDC4008\2017-06-06</v>
      </c>
      <c r="AF64" s="77" t="str">
        <f t="shared" si="13"/>
        <v>"C:\Program Files (x86)\AstroGrep\AstroGrep.exe" /e /r /s /spath="%USERPROFILE%\AppData\Local\Temp\OnboardLogs" /stypes="app*4008*20170605*" /stext=" 16:.+((SYSTEM_STATE.+slice.+state.+changed )|(ment ac)|(multiple cpu faults)|(system.+state.+changed )|(\[timeout)|(PRM\|1\|D)|(kpr)|(kdp)|(train st.+moving)|(\|lc)|(penalty))"</v>
      </c>
      <c r="AG64" s="1" t="str">
        <f t="shared" si="14"/>
        <v>EC</v>
      </c>
      <c r="AH64" s="81" t="str">
        <f t="shared" si="19"/>
        <v>"%USERPROFILE%\Documents\GitHub\eaglep3\Utilities\RefineRTDCRunTimes.py" --tripid 151-05 --locoid 4008 --swversion DE.1.0.9.0 --startMP 204:462 --initTime 2017-06-05T09:53:27 --startdatetime 2017-06-05T10:00:19 --delay 1 --endMP 204:233309 --enddatetime 2017-06-05T10:36:40 --enforcementcount 0 &gt;&gt;C:\Users\stu\Documents\GitHub\eaglep3-reporting\EC\2017-06-05-refined-times.txt</v>
      </c>
      <c r="AI64" s="99" t="str">
        <f t="shared" si="20"/>
        <v>echo {"issue":{"subject":"","project_id":79,"tracker_id":40,"status_id":1,"priority_id":2,"assigned_to_id":23,"start_date":"2017-06-05","description":"","custom_fields":[{"id":1,"name":"Subdivision","value":"EC"},{"id":4,"name":"Milepost","value":"23.3309"},{"id":17,"name":"Train ID","value":"151-05"},{"id":16,"name":"Locomotive ID","value":"4008"},{"id":130,"name":"Impact","value":""},{"id":150,"name":"Time of Event (Mountain Time)","value":"10:36:40"},{"id":151,"name":"Denver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5" t="str">
        <f t="shared" si="21"/>
        <v>start /low /b %USERPROFILE%\Documents\GitHub\eaglep3\Utilities\DownloadLogsFromS3.py --loco 4008 --day 2017-06-05</v>
      </c>
      <c r="AN64" s="154" t="str">
        <f t="shared" si="2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16:36:40"},{"id":29,"name":"Sharepoint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712</v>
      </c>
      <c r="B65" s="7">
        <v>4007</v>
      </c>
      <c r="C65" s="21" t="s">
        <v>204</v>
      </c>
      <c r="D65" s="21" t="s">
        <v>434</v>
      </c>
      <c r="E65" s="13">
        <v>42891.443437499998</v>
      </c>
      <c r="F65" s="13">
        <v>42891.456493055557</v>
      </c>
      <c r="G65" s="7">
        <v>1</v>
      </c>
      <c r="H65" s="21" t="s">
        <v>470</v>
      </c>
      <c r="I65" s="13">
        <v>42891.484409722223</v>
      </c>
      <c r="J65" s="7">
        <v>0</v>
      </c>
      <c r="K65" s="92" t="str">
        <f t="shared" si="0"/>
        <v>4007/4008</v>
      </c>
      <c r="L65" s="21" t="str">
        <f>VLOOKUP(A65,'Trips&amp;Operators'!$C$1:$G$99999,5,FALSE)</f>
        <v>WILLIAMS DONTE</v>
      </c>
      <c r="M65" s="6">
        <f t="shared" si="1"/>
        <v>2.7916666665987577E-2</v>
      </c>
      <c r="N65" s="7">
        <f t="shared" si="29"/>
        <v>40.199999999022111</v>
      </c>
      <c r="O65" s="7"/>
      <c r="P65" s="7"/>
      <c r="Q65" s="22"/>
      <c r="R65" s="173"/>
      <c r="S65" s="176">
        <f t="shared" si="28"/>
        <v>1</v>
      </c>
      <c r="T65" s="202" t="str">
        <f t="shared" si="4"/>
        <v>Southbound</v>
      </c>
      <c r="U65" s="202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03" t="str">
        <f t="shared" si="5"/>
        <v>https://d0f6bd738d7f1b3e5a7ca70fe4ff75f0.us-east-1.aws.found.io/app/kibana#/discover/Steve-Slow-Train-Analysis-(2080s-and-2083s)?_g=(refreshInterval:(display:Off,pause:!f,section:0,value:0),time:(from:'2017-06-05T09:38:33-0600',mode:absolute,to:'2017-06-05T12:37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5" s="204" t="str">
        <f t="shared" si="6"/>
        <v>N</v>
      </c>
      <c r="X65" s="204">
        <f t="shared" ref="X65:X69" si="30">VALUE(LEFT(AD65,4))-VALUE(LEFT(AD64,4))</f>
        <v>1</v>
      </c>
      <c r="Y65" s="204">
        <f t="shared" si="25"/>
        <v>23.297699999999999</v>
      </c>
      <c r="Z65" s="204">
        <f t="shared" si="26"/>
        <v>1.38E-2</v>
      </c>
      <c r="AA65" s="204">
        <f t="shared" si="10"/>
        <v>23.283899999999999</v>
      </c>
      <c r="AB65" s="57" t="e">
        <f>VLOOKUP(A65,Enforcements!$C$7:$K$13,8,0)</f>
        <v>#N/A</v>
      </c>
      <c r="AC65" s="53" t="e">
        <f>VLOOKUP(A65,Enforcements!$C$7:$E$13,3,0)</f>
        <v>#N/A</v>
      </c>
      <c r="AD65" s="54" t="str">
        <f t="shared" si="11"/>
        <v>0152-05</v>
      </c>
      <c r="AE65" s="80" t="str">
        <f t="shared" si="12"/>
        <v>aws s3 cp s3://rtdc.mdm.uploadarchive.raw/RTDC4007/ "%USERPROFILE%\AppData\Local\Temp\OnboardLogs"\RTDC4007\2017-06-05 --exclude "*" --recursive --include "*20170605*" &amp; "%USERPROFILE%\Documents\GitHub\mrs-test-scripts\Headless Mode &amp; Sideloading\WalkAndUnGZ.bat" "%USERPROFILE%\AppData\Local\Temp\OnboardLogs"\RTDC4007\2017-06-05 &amp; aws s3 cp s3://rtdc.mdm.uploadarchive.raw/RTDC4007/ "%USERPROFILE%\AppData\Local\Temp\OnboardLogs"\RTDC4007\2017-06-06 --exclude "*" --recursive --include "*20170606*" &amp; "%USERPROFILE%\Documents\GitHub\mrs-test-scripts\Headless Mode &amp; Sideloading\WalkAndUnGZ.bat" "%USERPROFILE%\AppData\Local\Temp\OnboardLogs"\RTDC4007\2017-06-06</v>
      </c>
      <c r="AF65" s="77" t="str">
        <f t="shared" si="13"/>
        <v>"C:\Program Files (x86)\AstroGrep\AstroGrep.exe" /e /r /s /spath="%USERPROFILE%\AppData\Local\Temp\OnboardLogs" /stypes="app*4007*20170605*" /stext=" 17:.+((SYSTEM_STATE.+slice.+state.+changed )|(ment ac)|(multiple cpu faults)|(system.+state.+changed )|(\[timeout)|(PRM\|1\|D)|(kpr)|(kdp)|(train st.+moving)|(\|lc)|(penalty))"</v>
      </c>
      <c r="AG65" s="1" t="str">
        <f t="shared" si="14"/>
        <v>EC</v>
      </c>
      <c r="AH65" s="81" t="str">
        <f t="shared" si="19"/>
        <v>"%USERPROFILE%\Documents\GitHub\eaglep3\Utilities\RefineRTDCRunTimes.py" --tripid 152-05 --locoid 4007 --swversion DE.1.0.9.0 --startMP 204:232977 --initTime 2017-06-05T10:38:33 --startdatetime 2017-06-05T10:57:21 --delay 1 --endMP 204:138 --enddatetime 2017-06-05T11:37:33 --enforcementcount 0 &gt;&gt;C:\Users\stu\Documents\GitHub\eaglep3-reporting\EC\2017-06-05-refined-times.txt</v>
      </c>
      <c r="AI65" s="99" t="str">
        <f t="shared" si="20"/>
        <v>echo {"issue":{"subject":"","project_id":79,"tracker_id":40,"status_id":1,"priority_id":2,"assigned_to_id":23,"start_date":"2017-06-05","description":"","custom_fields":[{"id":1,"name":"Subdivision","value":"EC"},{"id":4,"name":"Milepost","value":"0.0138"},{"id":17,"name":"Train ID","value":"152-05"},{"id":16,"name":"Locomotive ID","value":"4007"},{"id":130,"name":"Impact","value":""},{"id":150,"name":"Time of Event (Mountain Time)","value":"11:37:33"},{"id":151,"name":"Denver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5" t="str">
        <f t="shared" si="21"/>
        <v>start /low /b %USERPROFILE%\Documents\GitHub\eaglep3\Utilities\DownloadLogsFromS3.py --loco 4007 --day 2017-06-05</v>
      </c>
      <c r="AN65" s="154" t="str">
        <f t="shared" si="2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17:37:33"},{"id":29,"name":"Sharepoint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706</v>
      </c>
      <c r="B66" s="7">
        <v>4058</v>
      </c>
      <c r="C66" s="21" t="s">
        <v>204</v>
      </c>
      <c r="D66" s="21" t="s">
        <v>200</v>
      </c>
      <c r="E66" s="13">
        <v>42891.424490740741</v>
      </c>
      <c r="F66" s="13">
        <v>42891.427291666667</v>
      </c>
      <c r="G66" s="7">
        <v>1</v>
      </c>
      <c r="H66" s="21" t="s">
        <v>500</v>
      </c>
      <c r="I66" s="13">
        <v>42891.453981481478</v>
      </c>
      <c r="J66" s="7">
        <v>0</v>
      </c>
      <c r="K66" s="92" t="str">
        <f t="shared" si="0"/>
        <v>4057/4058</v>
      </c>
      <c r="L66" s="21" t="str">
        <f>VLOOKUP(A66,'Trips&amp;Operators'!$C$1:$G$99999,5,FALSE)</f>
        <v>DAVIDSON DAVID</v>
      </c>
      <c r="M66" s="6">
        <f t="shared" si="1"/>
        <v>2.6689814811106771E-2</v>
      </c>
      <c r="N66" s="7">
        <f t="shared" si="29"/>
        <v>38.433333327993751</v>
      </c>
      <c r="O66" s="7"/>
      <c r="P66" s="7"/>
      <c r="Q66" s="22"/>
      <c r="R66" s="173"/>
      <c r="S66" s="176">
        <f t="shared" si="28"/>
        <v>1</v>
      </c>
      <c r="T66" s="202" t="str">
        <f t="shared" si="4"/>
        <v>NorthBound</v>
      </c>
      <c r="U66" s="202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03" t="str">
        <f t="shared" si="5"/>
        <v>https://d0f6bd738d7f1b3e5a7ca70fe4ff75f0.us-east-1.aws.found.io/app/kibana#/discover/Steve-Slow-Train-Analysis-(2080s-and-2083s)?_g=(refreshInterval:(display:Off,pause:!f,section:0,value:0),time:(from:'2017-06-05T09:11:16-0600',mode:absolute,to:'2017-06-05T11:53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66" s="204" t="str">
        <f t="shared" si="6"/>
        <v>N</v>
      </c>
      <c r="X66" s="204">
        <f t="shared" si="30"/>
        <v>1</v>
      </c>
      <c r="Y66" s="204">
        <f t="shared" si="25"/>
        <v>4.5699999999999998E-2</v>
      </c>
      <c r="Z66" s="204">
        <f t="shared" si="26"/>
        <v>23.3308</v>
      </c>
      <c r="AA66" s="204">
        <f t="shared" si="10"/>
        <v>23.2851</v>
      </c>
      <c r="AB66" s="57" t="e">
        <f>VLOOKUP(A66,Enforcements!$C$7:$K$13,8,0)</f>
        <v>#N/A</v>
      </c>
      <c r="AC66" s="53" t="e">
        <f>VLOOKUP(A66,Enforcements!$C$7:$E$13,3,0)</f>
        <v>#N/A</v>
      </c>
      <c r="AD66" s="54" t="str">
        <f t="shared" si="11"/>
        <v>0153-05</v>
      </c>
      <c r="AE66" s="80" t="str">
        <f t="shared" si="12"/>
        <v>aws s3 cp s3://rtdc.mdm.uploadarchive.raw/RTDC4058/ "%USERPROFILE%\AppData\Local\Temp\OnboardLogs"\RTDC4058\2017-06-05 --exclude "*" --recursive --include "*20170605*" &amp; "%USERPROFILE%\Documents\GitHub\mrs-test-scripts\Headless Mode &amp; Sideloading\WalkAndUnGZ.bat" "%USERPROFILE%\AppData\Local\Temp\OnboardLogs"\RTDC4058\2017-06-05 &amp; aws s3 cp s3://rtdc.mdm.uploadarchive.raw/RTDC4058/ "%USERPROFILE%\AppData\Local\Temp\OnboardLogs"\RTDC4058\2017-06-06 --exclude "*" --recursive --include "*20170606*" &amp; "%USERPROFILE%\Documents\GitHub\mrs-test-scripts\Headless Mode &amp; Sideloading\WalkAndUnGZ.bat" "%USERPROFILE%\AppData\Local\Temp\OnboardLogs"\RTDC4058\2017-06-06</v>
      </c>
      <c r="AF66" s="77" t="str">
        <f t="shared" si="13"/>
        <v>"C:\Program Files (x86)\AstroGrep\AstroGrep.exe" /e /r /s /spath="%USERPROFILE%\AppData\Local\Temp\OnboardLogs" /stypes="app*4058*20170605*" /stext=" 16:.+((SYSTEM_STATE.+slice.+state.+changed )|(ment ac)|(multiple cpu faults)|(system.+state.+changed )|(\[timeout)|(PRM\|1\|D)|(kpr)|(kdp)|(train st.+moving)|(\|lc)|(penalty))"</v>
      </c>
      <c r="AG66" s="1" t="str">
        <f t="shared" si="14"/>
        <v>EC</v>
      </c>
      <c r="AH66" s="81" t="str">
        <f t="shared" si="19"/>
        <v>"%USERPROFILE%\Documents\GitHub\eaglep3\Utilities\RefineRTDCRunTimes.py" --tripid 153-05 --locoid 4058 --swversion DE.1.0.9.0 --startMP 204:457 --initTime 2017-06-05T10:11:16 --startdatetime 2017-06-05T10:15:18 --delay 1 --endMP 204:233308 --enddatetime 2017-06-05T10:53:44 --enforcementcount 0 &gt;&gt;C:\Users\stu\Documents\GitHub\eaglep3-reporting\EC\2017-06-05-refined-times.txt</v>
      </c>
      <c r="AI66" s="99" t="str">
        <f t="shared" si="20"/>
        <v>echo {"issue":{"subject":"","project_id":79,"tracker_id":40,"status_id":1,"priority_id":2,"assigned_to_id":23,"start_date":"2017-06-05","description":"","custom_fields":[{"id":1,"name":"Subdivision","value":"EC"},{"id":4,"name":"Milepost","value":"23.3308"},{"id":17,"name":"Train ID","value":"153-05"},{"id":16,"name":"Locomotive ID","value":"4058"},{"id":130,"name":"Impact","value":""},{"id":150,"name":"Time of Event (Mountain Time)","value":"10:53:44"},{"id":151,"name":"Denver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5" t="str">
        <f t="shared" si="21"/>
        <v>start /low /b %USERPROFILE%\Documents\GitHub\eaglep3\Utilities\DownloadLogsFromS3.py --loco 4058 --day 2017-06-05</v>
      </c>
      <c r="AN66" s="154" t="str">
        <f t="shared" si="2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16:53:44"},{"id":29,"name":"Sharepoint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715</v>
      </c>
      <c r="B67" s="7">
        <v>4057</v>
      </c>
      <c r="C67" s="21" t="s">
        <v>204</v>
      </c>
      <c r="D67" s="21" t="s">
        <v>480</v>
      </c>
      <c r="E67" s="13">
        <v>42891.458171296297</v>
      </c>
      <c r="F67" s="13">
        <v>42891.466863425929</v>
      </c>
      <c r="G67" s="7">
        <v>1</v>
      </c>
      <c r="H67" s="21" t="s">
        <v>854</v>
      </c>
      <c r="I67" s="13">
        <v>42891.500138888892</v>
      </c>
      <c r="J67" s="7">
        <v>0</v>
      </c>
      <c r="K67" s="92" t="str">
        <f t="shared" si="0"/>
        <v>4057/4058</v>
      </c>
      <c r="L67" s="21" t="str">
        <f>VLOOKUP(A67,'Trips&amp;Operators'!$C$1:$G$99999,5,FALSE)</f>
        <v>DAVIDSON DAVID</v>
      </c>
      <c r="M67" s="6">
        <f t="shared" si="1"/>
        <v>3.3275462963501923E-2</v>
      </c>
      <c r="N67" s="7">
        <f t="shared" si="29"/>
        <v>47.916666667442769</v>
      </c>
      <c r="O67" s="7"/>
      <c r="P67" s="7"/>
      <c r="Q67" s="22"/>
      <c r="R67" s="173"/>
      <c r="S67" s="176">
        <f t="shared" si="28"/>
        <v>1</v>
      </c>
      <c r="T67" s="202" t="str">
        <f t="shared" si="4"/>
        <v>Southbound</v>
      </c>
      <c r="U67" s="202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03" t="str">
        <f t="shared" si="5"/>
        <v>https://d0f6bd738d7f1b3e5a7ca70fe4ff75f0.us-east-1.aws.found.io/app/kibana#/discover/Steve-Slow-Train-Analysis-(2080s-and-2083s)?_g=(refreshInterval:(display:Off,pause:!f,section:0,value:0),time:(from:'2017-06-05T09:59:46-0600',mode:absolute,to:'2017-06-05T13:00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67" s="204" t="str">
        <f t="shared" si="6"/>
        <v>N</v>
      </c>
      <c r="X67" s="204">
        <f t="shared" si="30"/>
        <v>1</v>
      </c>
      <c r="Y67" s="204">
        <f t="shared" si="25"/>
        <v>23.3002</v>
      </c>
      <c r="Z67" s="204">
        <f t="shared" si="26"/>
        <v>1.2200000000000001E-2</v>
      </c>
      <c r="AA67" s="204">
        <f t="shared" si="10"/>
        <v>23.288</v>
      </c>
      <c r="AB67" s="57" t="e">
        <f>VLOOKUP(A67,Enforcements!$C$7:$K$13,8,0)</f>
        <v>#N/A</v>
      </c>
      <c r="AC67" s="53" t="e">
        <f>VLOOKUP(A67,Enforcements!$C$7:$E$13,3,0)</f>
        <v>#N/A</v>
      </c>
      <c r="AD67" s="54" t="str">
        <f t="shared" si="11"/>
        <v>0154-05</v>
      </c>
      <c r="AE67" s="80" t="str">
        <f t="shared" si="12"/>
        <v>aws s3 cp s3://rtdc.mdm.uploadarchive.raw/RTDC4057/ "%USERPROFILE%\AppData\Local\Temp\OnboardLogs"\RTDC4057\2017-06-05 --exclude "*" --recursive --include "*20170605*" &amp; "%USERPROFILE%\Documents\GitHub\mrs-test-scripts\Headless Mode &amp; Sideloading\WalkAndUnGZ.bat" "%USERPROFILE%\AppData\Local\Temp\OnboardLogs"\RTDC4057\2017-06-05 &amp; aws s3 cp s3://rtdc.mdm.uploadarchive.raw/RTDC4057/ "%USERPROFILE%\AppData\Local\Temp\OnboardLogs"\RTDC4057\2017-06-06 --exclude "*" --recursive --include "*20170606*" &amp; "%USERPROFILE%\Documents\GitHub\mrs-test-scripts\Headless Mode &amp; Sideloading\WalkAndUnGZ.bat" "%USERPROFILE%\AppData\Local\Temp\OnboardLogs"\RTDC4057\2017-06-06</v>
      </c>
      <c r="AF67" s="77" t="str">
        <f t="shared" si="13"/>
        <v>"C:\Program Files (x86)\AstroGrep\AstroGrep.exe" /e /r /s /spath="%USERPROFILE%\AppData\Local\Temp\OnboardLogs" /stypes="app*4057*20170605*" /stext=" 18:.+((SYSTEM_STATE.+slice.+state.+changed )|(ment ac)|(multiple cpu faults)|(system.+state.+changed )|(\[timeout)|(PRM\|1\|D)|(kpr)|(kdp)|(train st.+moving)|(\|lc)|(penalty))"</v>
      </c>
      <c r="AG67" s="1" t="str">
        <f t="shared" si="14"/>
        <v>EC</v>
      </c>
      <c r="AH67" s="81" t="str">
        <f t="shared" si="19"/>
        <v>"%USERPROFILE%\Documents\GitHub\eaglep3\Utilities\RefineRTDCRunTimes.py" --tripid 154-05 --locoid 4057 --swversion DE.1.0.9.0 --startMP 204:233002 --initTime 2017-06-05T10:59:46 --startdatetime 2017-06-05T11:12:17 --delay 1 --endMP 204:122 --enddatetime 2017-06-05T12:00:12 --enforcementcount 0 &gt;&gt;C:\Users\stu\Documents\GitHub\eaglep3-reporting\EC\2017-06-05-refined-times.txt</v>
      </c>
      <c r="AI67" s="99" t="str">
        <f t="shared" si="20"/>
        <v>echo {"issue":{"subject":"","project_id":79,"tracker_id":40,"status_id":1,"priority_id":2,"assigned_to_id":23,"start_date":"2017-06-05","description":"","custom_fields":[{"id":1,"name":"Subdivision","value":"EC"},{"id":4,"name":"Milepost","value":"0.0122"},{"id":17,"name":"Train ID","value":"154-05"},{"id":16,"name":"Locomotive ID","value":"4057"},{"id":130,"name":"Impact","value":""},{"id":150,"name":"Time of Event (Mountain Time)","value":"12:00:12"},{"id":151,"name":"Denver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5" t="str">
        <f t="shared" si="21"/>
        <v>start /low /b %USERPROFILE%\Documents\GitHub\eaglep3\Utilities\DownloadLogsFromS3.py --loco 4057 --day 2017-06-05</v>
      </c>
      <c r="AN67" s="154" t="str">
        <f t="shared" si="2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18:00:12"},{"id":29,"name":"Sharepoint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710</v>
      </c>
      <c r="B68" s="7">
        <v>4032</v>
      </c>
      <c r="C68" s="21" t="s">
        <v>204</v>
      </c>
      <c r="D68" s="21" t="s">
        <v>358</v>
      </c>
      <c r="E68" s="13">
        <v>42891.435474537036</v>
      </c>
      <c r="F68" s="13">
        <v>42891.437754629631</v>
      </c>
      <c r="G68" s="7">
        <v>1</v>
      </c>
      <c r="H68" s="21" t="s">
        <v>464</v>
      </c>
      <c r="I68" s="13">
        <v>42891.461898148147</v>
      </c>
      <c r="J68" s="7">
        <v>0</v>
      </c>
      <c r="K68" s="92" t="str">
        <f t="shared" si="0"/>
        <v>4031/4032</v>
      </c>
      <c r="L68" s="21" t="str">
        <f>VLOOKUP(A68,'Trips&amp;Operators'!$C$1:$G$99999,5,FALSE)</f>
        <v>HELVIE ADAM</v>
      </c>
      <c r="M68" s="6">
        <f t="shared" si="1"/>
        <v>2.414351851621177E-2</v>
      </c>
      <c r="N68" s="7">
        <f t="shared" si="29"/>
        <v>34.766666663344949</v>
      </c>
      <c r="O68" s="7"/>
      <c r="P68" s="7"/>
      <c r="Q68" s="22"/>
      <c r="R68" s="173"/>
      <c r="S68" s="176">
        <f t="shared" si="28"/>
        <v>1</v>
      </c>
      <c r="T68" s="202" t="str">
        <f t="shared" si="4"/>
        <v>NorthBound</v>
      </c>
      <c r="U68" s="202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03" t="str">
        <f t="shared" si="5"/>
        <v>https://d0f6bd738d7f1b3e5a7ca70fe4ff75f0.us-east-1.aws.found.io/app/kibana#/discover/Steve-Slow-Train-Analysis-(2080s-and-2083s)?_g=(refreshInterval:(display:Off,pause:!f,section:0,value:0),time:(from:'2017-06-05T09:27:05-0600',mode:absolute,to:'2017-06-05T12:05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8" s="204" t="str">
        <f t="shared" si="6"/>
        <v>N</v>
      </c>
      <c r="X68" s="204">
        <f t="shared" si="30"/>
        <v>1</v>
      </c>
      <c r="Y68" s="204">
        <f t="shared" si="25"/>
        <v>4.6399999999999997E-2</v>
      </c>
      <c r="Z68" s="204">
        <f t="shared" si="26"/>
        <v>23.330500000000001</v>
      </c>
      <c r="AA68" s="204">
        <f t="shared" si="10"/>
        <v>23.284100000000002</v>
      </c>
      <c r="AB68" s="57" t="e">
        <f>VLOOKUP(A68,Enforcements!$C$7:$K$13,8,0)</f>
        <v>#N/A</v>
      </c>
      <c r="AC68" s="53" t="e">
        <f>VLOOKUP(A68,Enforcements!$C$7:$E$13,3,0)</f>
        <v>#N/A</v>
      </c>
      <c r="AD68" s="54" t="str">
        <f t="shared" si="11"/>
        <v>0155-05</v>
      </c>
      <c r="AE68" s="80" t="str">
        <f t="shared" si="12"/>
        <v>aws s3 cp s3://rtdc.mdm.uploadarchive.raw/RTDC4032/ "%USERPROFILE%\AppData\Local\Temp\OnboardLogs"\RTDC4032\2017-06-05 --exclude "*" --recursive --include "*20170605*" &amp; "%USERPROFILE%\Documents\GitHub\mrs-test-scripts\Headless Mode &amp; Sideloading\WalkAndUnGZ.bat" "%USERPROFILE%\AppData\Local\Temp\OnboardLogs"\RTDC4032\2017-06-05 &amp; aws s3 cp s3://rtdc.mdm.uploadarchive.raw/RTDC4032/ "%USERPROFILE%\AppData\Local\Temp\OnboardLogs"\RTDC4032\2017-06-06 --exclude "*" --recursive --include "*20170606*" &amp; "%USERPROFILE%\Documents\GitHub\mrs-test-scripts\Headless Mode &amp; Sideloading\WalkAndUnGZ.bat" "%USERPROFILE%\AppData\Local\Temp\OnboardLogs"\RTDC4032\2017-06-06</v>
      </c>
      <c r="AF68" s="77" t="str">
        <f t="shared" si="13"/>
        <v>"C:\Program Files (x86)\AstroGrep\AstroGrep.exe" /e /r /s /spath="%USERPROFILE%\AppData\Local\Temp\OnboardLogs" /stypes="app*4032*20170605*" /stext=" 17:.+((SYSTEM_STATE.+slice.+state.+changed )|(ment ac)|(multiple cpu faults)|(system.+state.+changed )|(\[timeout)|(PRM\|1\|D)|(kpr)|(kdp)|(train st.+moving)|(\|lc)|(penalty))"</v>
      </c>
      <c r="AG68" s="1" t="str">
        <f t="shared" si="14"/>
        <v>EC</v>
      </c>
      <c r="AH68" s="81" t="str">
        <f t="shared" si="19"/>
        <v>"%USERPROFILE%\Documents\GitHub\eaglep3\Utilities\RefineRTDCRunTimes.py" --tripid 155-05 --locoid 4032 --swversion DE.1.0.9.0 --startMP 204:464 --initTime 2017-06-05T10:27:05 --startdatetime 2017-06-05T10:30:22 --delay 1 --endMP 204:233305 --enddatetime 2017-06-05T11:05:08 --enforcementcount 0 &gt;&gt;C:\Users\stu\Documents\GitHub\eaglep3-reporting\EC\2017-06-05-refined-times.txt</v>
      </c>
      <c r="AI68" s="99" t="str">
        <f t="shared" si="20"/>
        <v>echo {"issue":{"subject":"","project_id":79,"tracker_id":40,"status_id":1,"priority_id":2,"assigned_to_id":23,"start_date":"2017-06-05","description":"","custom_fields":[{"id":1,"name":"Subdivision","value":"EC"},{"id":4,"name":"Milepost","value":"23.3305"},{"id":17,"name":"Train ID","value":"155-05"},{"id":16,"name":"Locomotive ID","value":"4032"},{"id":130,"name":"Impact","value":""},{"id":150,"name":"Time of Event (Mountain Time)","value":"11:05:08"},{"id":151,"name":"Denver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5" t="str">
        <f t="shared" si="21"/>
        <v>start /low /b %USERPROFILE%\Documents\GitHub\eaglep3\Utilities\DownloadLogsFromS3.py --loco 4032 --day 2017-06-05</v>
      </c>
      <c r="AN68" s="154" t="str">
        <f t="shared" si="2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17:05:08"},{"id":29,"name":"Sharepoint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718</v>
      </c>
      <c r="B69" s="7">
        <v>4031</v>
      </c>
      <c r="C69" s="21" t="s">
        <v>204</v>
      </c>
      <c r="D69" s="21" t="s">
        <v>855</v>
      </c>
      <c r="E69" s="13">
        <v>42891.474340277775</v>
      </c>
      <c r="F69" s="13">
        <v>42891.478726851848</v>
      </c>
      <c r="G69" s="7">
        <v>1</v>
      </c>
      <c r="H69" s="21" t="s">
        <v>856</v>
      </c>
      <c r="I69" s="13">
        <v>42891.506956018522</v>
      </c>
      <c r="J69" s="7">
        <v>0</v>
      </c>
      <c r="K69" s="92" t="str">
        <f t="shared" si="0"/>
        <v>4031/4032</v>
      </c>
      <c r="L69" s="21" t="str">
        <f>VLOOKUP(A69,'Trips&amp;Operators'!$C$1:$G$99999,5,FALSE)</f>
        <v>HELVIE ADAM</v>
      </c>
      <c r="M69" s="6">
        <f t="shared" si="1"/>
        <v>2.8229166673554573E-2</v>
      </c>
      <c r="N69" s="7">
        <f t="shared" si="29"/>
        <v>40.650000009918585</v>
      </c>
      <c r="O69" s="7"/>
      <c r="P69" s="7"/>
      <c r="Q69" s="22"/>
      <c r="R69" s="173"/>
      <c r="S69" s="176">
        <f t="shared" si="28"/>
        <v>1</v>
      </c>
      <c r="T69" s="202" t="str">
        <f t="shared" si="4"/>
        <v>Southbound</v>
      </c>
      <c r="U69" s="202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03" t="str">
        <f t="shared" si="5"/>
        <v>https://d0f6bd738d7f1b3e5a7ca70fe4ff75f0.us-east-1.aws.found.io/app/kibana#/discover/Steve-Slow-Train-Analysis-(2080s-and-2083s)?_g=(refreshInterval:(display:Off,pause:!f,section:0,value:0),time:(from:'2017-06-05T10:23:03-0600',mode:absolute,to:'2017-06-05T13:10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9" s="204" t="str">
        <f t="shared" si="6"/>
        <v>N</v>
      </c>
      <c r="X69" s="204">
        <f t="shared" si="30"/>
        <v>1</v>
      </c>
      <c r="Y69" s="204">
        <f t="shared" si="25"/>
        <v>23.297499999999999</v>
      </c>
      <c r="Z69" s="204">
        <f t="shared" si="26"/>
        <v>8.77E-2</v>
      </c>
      <c r="AA69" s="204">
        <f t="shared" si="10"/>
        <v>23.209799999999998</v>
      </c>
      <c r="AB69" s="57" t="e">
        <f>VLOOKUP(A69,Enforcements!$C$7:$K$13,8,0)</f>
        <v>#N/A</v>
      </c>
      <c r="AC69" s="53" t="e">
        <f>VLOOKUP(A69,Enforcements!$C$7:$E$13,3,0)</f>
        <v>#N/A</v>
      </c>
      <c r="AD69" s="54" t="str">
        <f t="shared" si="11"/>
        <v>0156-05</v>
      </c>
      <c r="AE69" s="80" t="str">
        <f t="shared" si="12"/>
        <v>aws s3 cp s3://rtdc.mdm.uploadarchive.raw/RTDC4031/ "%USERPROFILE%\AppData\Local\Temp\OnboardLogs"\RTDC4031\2017-06-05 --exclude "*" --recursive --include "*20170605*" &amp; "%USERPROFILE%\Documents\GitHub\mrs-test-scripts\Headless Mode &amp; Sideloading\WalkAndUnGZ.bat" "%USERPROFILE%\AppData\Local\Temp\OnboardLogs"\RTDC4031\2017-06-05 &amp; aws s3 cp s3://rtdc.mdm.uploadarchive.raw/RTDC4031/ "%USERPROFILE%\AppData\Local\Temp\OnboardLogs"\RTDC4031\2017-06-06 --exclude "*" --recursive --include "*20170606*" &amp; "%USERPROFILE%\Documents\GitHub\mrs-test-scripts\Headless Mode &amp; Sideloading\WalkAndUnGZ.bat" "%USERPROFILE%\AppData\Local\Temp\OnboardLogs"\RTDC4031\2017-06-06</v>
      </c>
      <c r="AF69" s="77" t="str">
        <f t="shared" si="13"/>
        <v>"C:\Program Files (x86)\AstroGrep\AstroGrep.exe" /e /r /s /spath="%USERPROFILE%\AppData\Local\Temp\OnboardLogs" /stypes="app*4031*20170605*" /stext=" 18:.+((SYSTEM_STATE.+slice.+state.+changed )|(ment ac)|(multiple cpu faults)|(system.+state.+changed )|(\[timeout)|(PRM\|1\|D)|(kpr)|(kdp)|(train st.+moving)|(\|lc)|(penalty))"</v>
      </c>
      <c r="AG69" s="1" t="str">
        <f t="shared" si="14"/>
        <v>EC</v>
      </c>
      <c r="AH69" s="81" t="str">
        <f t="shared" si="19"/>
        <v>"%USERPROFILE%\Documents\GitHub\eaglep3\Utilities\RefineRTDCRunTimes.py" --tripid 156-05 --locoid 4031 --swversion DE.1.0.9.0 --startMP 204:232975 --initTime 2017-06-05T11:23:03 --startdatetime 2017-06-05T11:29:22 --delay 1 --endMP 204:877 --enddatetime 2017-06-05T12:10:01 --enforcementcount 0 &gt;&gt;C:\Users\stu\Documents\GitHub\eaglep3-reporting\EC\2017-06-05-refined-times.txt</v>
      </c>
      <c r="AI69" s="99" t="str">
        <f t="shared" si="20"/>
        <v>echo {"issue":{"subject":"","project_id":79,"tracker_id":40,"status_id":1,"priority_id":2,"assigned_to_id":23,"start_date":"2017-06-05","description":"","custom_fields":[{"id":1,"name":"Subdivision","value":"EC"},{"id":4,"name":"Milepost","value":"0.0877"},{"id":17,"name":"Train ID","value":"156-05"},{"id":16,"name":"Locomotive ID","value":"4031"},{"id":130,"name":"Impact","value":""},{"id":150,"name":"Time of Event (Mountain Time)","value":"12:10:01"},{"id":151,"name":"Denver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5" t="str">
        <f t="shared" si="21"/>
        <v>start /low /b %USERPROFILE%\Documents\GitHub\eaglep3\Utilities\DownloadLogsFromS3.py --loco 4031 --day 2017-06-05</v>
      </c>
      <c r="AN69" s="154" t="str">
        <f t="shared" si="2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18:10:01"},{"id":29,"name":"Sharepoint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713</v>
      </c>
      <c r="B70" s="7">
        <v>4020</v>
      </c>
      <c r="C70" s="21" t="s">
        <v>204</v>
      </c>
      <c r="D70" s="21" t="s">
        <v>559</v>
      </c>
      <c r="E70" s="13">
        <v>42891.44734953704</v>
      </c>
      <c r="F70" s="13">
        <v>42891.449444444443</v>
      </c>
      <c r="G70" s="7">
        <v>1</v>
      </c>
      <c r="H70" s="21" t="s">
        <v>857</v>
      </c>
      <c r="I70" s="13">
        <v>42891.479085648149</v>
      </c>
      <c r="J70" s="7">
        <v>0</v>
      </c>
      <c r="K70" s="92" t="str">
        <f t="shared" si="0"/>
        <v>4019/4020</v>
      </c>
      <c r="L70" s="21" t="str">
        <f>VLOOKUP(A70,'Trips&amp;Operators'!$C$1:$G$99999,5,FALSE)</f>
        <v>CHANDLER KELVIN</v>
      </c>
      <c r="M70" s="6">
        <f t="shared" si="1"/>
        <v>2.9641203705978114E-2</v>
      </c>
      <c r="N70" s="7">
        <f t="shared" si="29"/>
        <v>42.683333336608484</v>
      </c>
      <c r="O70" s="7"/>
      <c r="P70" s="7"/>
      <c r="Q70" s="22"/>
      <c r="R70" s="173"/>
      <c r="S70" s="176">
        <f t="shared" si="28"/>
        <v>1</v>
      </c>
      <c r="T70" s="202" t="str">
        <f t="shared" si="4"/>
        <v>NorthBound</v>
      </c>
      <c r="U70" s="202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03" t="str">
        <f t="shared" si="5"/>
        <v>https://d0f6bd738d7f1b3e5a7ca70fe4ff75f0.us-east-1.aws.found.io/app/kibana#/discover/Steve-Slow-Train-Analysis-(2080s-and-2083s)?_g=(refreshInterval:(display:Off,pause:!f,section:0,value:0),time:(from:'2017-06-05T09:44:11-0600',mode:absolute,to:'2017-06-05T12:29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0" s="204" t="str">
        <f t="shared" si="6"/>
        <v>N</v>
      </c>
      <c r="X70" s="204">
        <f t="shared" ref="X70:X94" si="31">VALUE(LEFT(AD70,4))-VALUE(LEFT(AD69,4))</f>
        <v>1</v>
      </c>
      <c r="Y70" s="204">
        <f t="shared" si="25"/>
        <v>4.8399999999999999E-2</v>
      </c>
      <c r="Z70" s="204">
        <f t="shared" si="26"/>
        <v>23.329799999999999</v>
      </c>
      <c r="AA70" s="204">
        <f t="shared" si="10"/>
        <v>23.281399999999998</v>
      </c>
      <c r="AB70" s="57" t="e">
        <f>VLOOKUP(A70,Enforcements!$C$7:$K$13,8,0)</f>
        <v>#N/A</v>
      </c>
      <c r="AC70" s="53" t="e">
        <f>VLOOKUP(A70,Enforcements!$C$7:$E$13,3,0)</f>
        <v>#N/A</v>
      </c>
      <c r="AD70" s="54" t="str">
        <f t="shared" si="11"/>
        <v>0157-05</v>
      </c>
      <c r="AE70" s="80" t="str">
        <f t="shared" si="12"/>
        <v>aws s3 cp s3://rtdc.mdm.uploadarchive.raw/RTDC4020/ "%USERPROFILE%\AppData\Local\Temp\OnboardLogs"\RTDC4020\2017-06-05 --exclude "*" --recursive --include "*20170605*" &amp; "%USERPROFILE%\Documents\GitHub\mrs-test-scripts\Headless Mode &amp; Sideloading\WalkAndUnGZ.bat" "%USERPROFILE%\AppData\Local\Temp\OnboardLogs"\RTDC4020\2017-06-05 &amp; aws s3 cp s3://rtdc.mdm.uploadarchive.raw/RTDC4020/ "%USERPROFILE%\AppData\Local\Temp\OnboardLogs"\RTDC4020\2017-06-06 --exclude "*" --recursive --include "*20170606*" &amp; "%USERPROFILE%\Documents\GitHub\mrs-test-scripts\Headless Mode &amp; Sideloading\WalkAndUnGZ.bat" "%USERPROFILE%\AppData\Local\Temp\OnboardLogs"\RTDC4020\2017-06-06</v>
      </c>
      <c r="AF70" s="77" t="str">
        <f t="shared" si="13"/>
        <v>"C:\Program Files (x86)\AstroGrep\AstroGrep.exe" /e /r /s /spath="%USERPROFILE%\AppData\Local\Temp\OnboardLogs" /stypes="app*4020*20170605*" /stext=" 17:.+((SYSTEM_STATE.+slice.+state.+changed )|(ment ac)|(multiple cpu faults)|(system.+state.+changed )|(\[timeout)|(PRM\|1\|D)|(kpr)|(kdp)|(train st.+moving)|(\|lc)|(penalty))"</v>
      </c>
      <c r="AG70" s="1" t="str">
        <f t="shared" si="14"/>
        <v>EC</v>
      </c>
      <c r="AH70" s="81" t="str">
        <f t="shared" si="19"/>
        <v>"%USERPROFILE%\Documents\GitHub\eaglep3\Utilities\RefineRTDCRunTimes.py" --tripid 157-05 --locoid 4020 --swversion DE.1.0.9.0 --startMP 204:484 --initTime 2017-06-05T10:44:11 --startdatetime 2017-06-05T10:47:12 --delay 1 --endMP 204:233298 --enddatetime 2017-06-05T11:29:53 --enforcementcount 0 &gt;&gt;C:\Users\stu\Documents\GitHub\eaglep3-reporting\EC\2017-06-05-refined-times.txt</v>
      </c>
      <c r="AI70" s="99" t="str">
        <f t="shared" si="20"/>
        <v>echo {"issue":{"subject":"","project_id":79,"tracker_id":40,"status_id":1,"priority_id":2,"assigned_to_id":23,"start_date":"2017-06-05","description":"","custom_fields":[{"id":1,"name":"Subdivision","value":"EC"},{"id":4,"name":"Milepost","value":"23.3298"},{"id":17,"name":"Train ID","value":"157-05"},{"id":16,"name":"Locomotive ID","value":"4020"},{"id":130,"name":"Impact","value":""},{"id":150,"name":"Time of Event (Mountain Time)","value":"11:29:53"},{"id":151,"name":"Denver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5" t="str">
        <f t="shared" si="21"/>
        <v>start /low /b %USERPROFILE%\Documents\GitHub\eaglep3\Utilities\DownloadLogsFromS3.py --loco 4020 --day 2017-06-05</v>
      </c>
      <c r="AN70" s="154" t="str">
        <f t="shared" si="2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17:29:53"},{"id":29,"name":"Sharepoint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723</v>
      </c>
      <c r="B71" s="7">
        <v>4019</v>
      </c>
      <c r="C71" s="21" t="s">
        <v>204</v>
      </c>
      <c r="D71" s="21" t="s">
        <v>534</v>
      </c>
      <c r="E71" s="13">
        <v>42891.485138888886</v>
      </c>
      <c r="F71" s="13">
        <v>42891.487812500003</v>
      </c>
      <c r="G71" s="7">
        <v>1</v>
      </c>
      <c r="H71" s="21" t="s">
        <v>466</v>
      </c>
      <c r="I71" s="13">
        <v>42891.515752314815</v>
      </c>
      <c r="J71" s="7">
        <v>0</v>
      </c>
      <c r="K71" s="92" t="str">
        <f t="shared" si="0"/>
        <v>4019/4020</v>
      </c>
      <c r="L71" s="21" t="str">
        <f>VLOOKUP(A71,'Trips&amp;Operators'!$C$1:$G$99999,5,FALSE)</f>
        <v>CHANDLER KELVIN</v>
      </c>
      <c r="M71" s="6">
        <f t="shared" si="1"/>
        <v>2.7939814812270924E-2</v>
      </c>
      <c r="N71" s="7">
        <f t="shared" si="29"/>
        <v>40.233333329670131</v>
      </c>
      <c r="O71" s="7"/>
      <c r="P71" s="7"/>
      <c r="Q71" s="22"/>
      <c r="R71" s="173"/>
      <c r="S71" s="176">
        <f t="shared" si="28"/>
        <v>1</v>
      </c>
      <c r="T71" s="202" t="str">
        <f t="shared" si="4"/>
        <v>Southbound</v>
      </c>
      <c r="U71" s="202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03" t="str">
        <f t="shared" si="5"/>
        <v>https://d0f6bd738d7f1b3e5a7ca70fe4ff75f0.us-east-1.aws.found.io/app/kibana#/discover/Steve-Slow-Train-Analysis-(2080s-and-2083s)?_g=(refreshInterval:(display:Off,pause:!f,section:0,value:0),time:(from:'2017-06-05T10:38:36-0600',mode:absolute,to:'2017-06-05T13:22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1" s="204" t="str">
        <f t="shared" si="6"/>
        <v>N</v>
      </c>
      <c r="X71" s="204">
        <f t="shared" si="31"/>
        <v>1</v>
      </c>
      <c r="Y71" s="204">
        <f t="shared" si="25"/>
        <v>23.2972</v>
      </c>
      <c r="Z71" s="204">
        <f t="shared" si="26"/>
        <v>1.5599999999999999E-2</v>
      </c>
      <c r="AA71" s="204">
        <f t="shared" si="10"/>
        <v>23.281600000000001</v>
      </c>
      <c r="AB71" s="57" t="e">
        <f>VLOOKUP(A71,Enforcements!$C$7:$K$13,8,0)</f>
        <v>#N/A</v>
      </c>
      <c r="AC71" s="53" t="e">
        <f>VLOOKUP(A71,Enforcements!$C$7:$E$13,3,0)</f>
        <v>#N/A</v>
      </c>
      <c r="AD71" s="54" t="str">
        <f t="shared" si="11"/>
        <v>0158-05</v>
      </c>
      <c r="AE71" s="80" t="str">
        <f t="shared" si="12"/>
        <v>aws s3 cp s3://rtdc.mdm.uploadarchive.raw/RTDC4019/ "%USERPROFILE%\AppData\Local\Temp\OnboardLogs"\RTDC4019\2017-06-05 --exclude "*" --recursive --include "*20170605*" &amp; "%USERPROFILE%\Documents\GitHub\mrs-test-scripts\Headless Mode &amp; Sideloading\WalkAndUnGZ.bat" "%USERPROFILE%\AppData\Local\Temp\OnboardLogs"\RTDC4019\2017-06-05 &amp; aws s3 cp s3://rtdc.mdm.uploadarchive.raw/RTDC4019/ "%USERPROFILE%\AppData\Local\Temp\OnboardLogs"\RTDC4019\2017-06-06 --exclude "*" --recursive --include "*20170606*" &amp; "%USERPROFILE%\Documents\GitHub\mrs-test-scripts\Headless Mode &amp; Sideloading\WalkAndUnGZ.bat" "%USERPROFILE%\AppData\Local\Temp\OnboardLogs"\RTDC4019\2017-06-06</v>
      </c>
      <c r="AF71" s="77" t="str">
        <f t="shared" si="13"/>
        <v>"C:\Program Files (x86)\AstroGrep\AstroGrep.exe" /e /r /s /spath="%USERPROFILE%\AppData\Local\Temp\OnboardLogs" /stypes="app*4019*20170605*" /stext=" 18:.+((SYSTEM_STATE.+slice.+state.+changed )|(ment ac)|(multiple cpu faults)|(system.+state.+changed )|(\[timeout)|(PRM\|1\|D)|(kpr)|(kdp)|(train st.+moving)|(\|lc)|(penalty))"</v>
      </c>
      <c r="AG71" s="1" t="str">
        <f t="shared" si="14"/>
        <v>EC</v>
      </c>
      <c r="AH71" s="81" t="str">
        <f t="shared" si="19"/>
        <v>"%USERPROFILE%\Documents\GitHub\eaglep3\Utilities\RefineRTDCRunTimes.py" --tripid 158-05 --locoid 4019 --swversion DE.1.0.9.0 --startMP 204:232972 --initTime 2017-06-05T11:38:36 --startdatetime 2017-06-05T11:42:27 --delay 1 --endMP 204:156 --enddatetime 2017-06-05T12:22:41 --enforcementcount 0 &gt;&gt;C:\Users\stu\Documents\GitHub\eaglep3-reporting\EC\2017-06-05-refined-times.txt</v>
      </c>
      <c r="AI71" s="99" t="str">
        <f t="shared" si="20"/>
        <v>echo {"issue":{"subject":"","project_id":79,"tracker_id":40,"status_id":1,"priority_id":2,"assigned_to_id":23,"start_date":"2017-06-05","description":"","custom_fields":[{"id":1,"name":"Subdivision","value":"EC"},{"id":4,"name":"Milepost","value":"0.0156"},{"id":17,"name":"Train ID","value":"158-05"},{"id":16,"name":"Locomotive ID","value":"4019"},{"id":130,"name":"Impact","value":""},{"id":150,"name":"Time of Event (Mountain Time)","value":"12:22:41"},{"id":151,"name":"Denver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5" t="str">
        <f t="shared" si="21"/>
        <v>start /low /b %USERPROFILE%\Documents\GitHub\eaglep3\Utilities\DownloadLogsFromS3.py --loco 4019 --day 2017-06-05</v>
      </c>
      <c r="AN71" s="154" t="str">
        <f t="shared" si="2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18:22:41"},{"id":29,"name":"Sharepoint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593</v>
      </c>
      <c r="B72" s="7">
        <v>4062</v>
      </c>
      <c r="C72" s="21" t="s">
        <v>204</v>
      </c>
      <c r="D72" s="21" t="s">
        <v>471</v>
      </c>
      <c r="E72" s="13">
        <v>42891.453564814816</v>
      </c>
      <c r="F72" s="13">
        <v>42891.458472222221</v>
      </c>
      <c r="G72" s="7">
        <v>1</v>
      </c>
      <c r="H72" s="21" t="s">
        <v>858</v>
      </c>
      <c r="I72" s="13">
        <v>42891.484467592592</v>
      </c>
      <c r="J72" s="7">
        <v>0</v>
      </c>
      <c r="K72" s="92" t="str">
        <f t="shared" si="0"/>
        <v>4061/4062</v>
      </c>
      <c r="L72" s="21" t="str">
        <f>VLOOKUP(A72,'Trips&amp;Operators'!$C$1:$G$99999,5,FALSE)</f>
        <v>NEWELL JAMES</v>
      </c>
      <c r="M72" s="6">
        <f t="shared" si="1"/>
        <v>2.5995370371674653E-2</v>
      </c>
      <c r="N72" s="7">
        <f t="shared" si="29"/>
        <v>37.433333335211501</v>
      </c>
      <c r="O72" s="7"/>
      <c r="P72" s="7"/>
      <c r="Q72" s="22"/>
      <c r="R72" s="173"/>
      <c r="S72" s="176">
        <f t="shared" si="28"/>
        <v>1</v>
      </c>
      <c r="T72" s="202" t="str">
        <f t="shared" si="4"/>
        <v>NorthBound</v>
      </c>
      <c r="U72" s="202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03" t="str">
        <f t="shared" si="5"/>
        <v>https://d0f6bd738d7f1b3e5a7ca70fe4ff75f0.us-east-1.aws.found.io/app/kibana#/discover/Steve-Slow-Train-Analysis-(2080s-and-2083s)?_g=(refreshInterval:(display:Off,pause:!f,section:0,value:0),time:(from:'2017-06-05T09:53:08-0600',mode:absolute,to:'2017-06-05T12:37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72" s="204" t="str">
        <f t="shared" si="6"/>
        <v>N</v>
      </c>
      <c r="X72" s="204">
        <f t="shared" si="31"/>
        <v>1</v>
      </c>
      <c r="Y72" s="204">
        <f t="shared" si="25"/>
        <v>4.6899999999999997E-2</v>
      </c>
      <c r="Z72" s="204">
        <f t="shared" si="26"/>
        <v>23.328399999999998</v>
      </c>
      <c r="AA72" s="204">
        <f t="shared" si="10"/>
        <v>23.281499999999998</v>
      </c>
      <c r="AB72" s="57" t="e">
        <f>VLOOKUP(A72,Enforcements!$C$7:$K$13,8,0)</f>
        <v>#N/A</v>
      </c>
      <c r="AC72" s="53" t="e">
        <f>VLOOKUP(A72,Enforcements!$C$7:$E$13,3,0)</f>
        <v>#N/A</v>
      </c>
      <c r="AD72" s="54" t="str">
        <f t="shared" si="11"/>
        <v>0159-05</v>
      </c>
      <c r="AE72" s="80" t="str">
        <f t="shared" si="12"/>
        <v>aws s3 cp s3://rtdc.mdm.uploadarchive.raw/RTDC4062/ "%USERPROFILE%\AppData\Local\Temp\OnboardLogs"\RTDC4062\2017-06-05 --exclude "*" --recursive --include "*20170605*" &amp; "%USERPROFILE%\Documents\GitHub\mrs-test-scripts\Headless Mode &amp; Sideloading\WalkAndUnGZ.bat" "%USERPROFILE%\AppData\Local\Temp\OnboardLogs"\RTDC4062\2017-06-05 &amp; aws s3 cp s3://rtdc.mdm.uploadarchive.raw/RTDC4062/ "%USERPROFILE%\AppData\Local\Temp\OnboardLogs"\RTDC4062\2017-06-06 --exclude "*" --recursive --include "*20170606*" &amp; "%USERPROFILE%\Documents\GitHub\mrs-test-scripts\Headless Mode &amp; Sideloading\WalkAndUnGZ.bat" "%USERPROFILE%\AppData\Local\Temp\OnboardLogs"\RTDC4062\2017-06-06</v>
      </c>
      <c r="AF72" s="77" t="str">
        <f t="shared" si="13"/>
        <v>"C:\Program Files (x86)\AstroGrep\AstroGrep.exe" /e /r /s /spath="%USERPROFILE%\AppData\Local\Temp\OnboardLogs" /stypes="app*4062*20170605*" /stext=" 17:.+((SYSTEM_STATE.+slice.+state.+changed )|(ment ac)|(multiple cpu faults)|(system.+state.+changed )|(\[timeout)|(PRM\|1\|D)|(kpr)|(kdp)|(train st.+moving)|(\|lc)|(penalty))"</v>
      </c>
      <c r="AG72" s="1" t="str">
        <f t="shared" si="14"/>
        <v>EC</v>
      </c>
      <c r="AH72" s="81" t="str">
        <f t="shared" si="19"/>
        <v>"%USERPROFILE%\Documents\GitHub\eaglep3\Utilities\RefineRTDCRunTimes.py" --tripid 159-05 --locoid 4062 --swversion DE.1.0.9.0 --startMP 204:469 --initTime 2017-06-05T10:53:08 --startdatetime 2017-06-05T11:00:12 --delay 1 --endMP 204:233284 --enddatetime 2017-06-05T11:37:38 --enforcementcount 0 &gt;&gt;C:\Users\stu\Documents\GitHub\eaglep3-reporting\EC\2017-06-05-refined-times.txt</v>
      </c>
      <c r="AI72" s="99" t="str">
        <f t="shared" si="20"/>
        <v>echo {"issue":{"subject":"","project_id":79,"tracker_id":40,"status_id":1,"priority_id":2,"assigned_to_id":23,"start_date":"2017-06-05","description":"","custom_fields":[{"id":1,"name":"Subdivision","value":"EC"},{"id":4,"name":"Milepost","value":"23.3284"},{"id":17,"name":"Train ID","value":"159-05"},{"id":16,"name":"Locomotive ID","value":"4062"},{"id":130,"name":"Impact","value":""},{"id":150,"name":"Time of Event (Mountain Time)","value":"11:37:38"},{"id":151,"name":"Denver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5" t="str">
        <f t="shared" si="21"/>
        <v>start /low /b %USERPROFILE%\Documents\GitHub\eaglep3\Utilities\DownloadLogsFromS3.py --loco 4062 --day 2017-06-05</v>
      </c>
      <c r="AN72" s="154" t="str">
        <f t="shared" si="2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17:37:38"},{"id":29,"name":"Sharepoint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724</v>
      </c>
      <c r="B73" s="7">
        <v>4061</v>
      </c>
      <c r="C73" s="21" t="s">
        <v>204</v>
      </c>
      <c r="D73" s="21" t="s">
        <v>403</v>
      </c>
      <c r="E73" s="13">
        <v>42891.487800925926</v>
      </c>
      <c r="F73" s="13">
        <v>42891.498055555552</v>
      </c>
      <c r="G73" s="7">
        <v>1</v>
      </c>
      <c r="H73" s="21" t="s">
        <v>433</v>
      </c>
      <c r="I73" s="13">
        <v>42891.524212962962</v>
      </c>
      <c r="J73" s="7">
        <v>0</v>
      </c>
      <c r="K73" s="92" t="str">
        <f t="shared" si="0"/>
        <v>4061/4062</v>
      </c>
      <c r="L73" s="21" t="str">
        <f>VLOOKUP(A73,'Trips&amp;Operators'!$C$1:$G$99999,5,FALSE)</f>
        <v>NEWELL JAMES</v>
      </c>
      <c r="M73" s="6">
        <f t="shared" si="1"/>
        <v>2.6157407410209998E-2</v>
      </c>
      <c r="N73" s="7">
        <f t="shared" si="29"/>
        <v>37.666666670702398</v>
      </c>
      <c r="O73" s="7"/>
      <c r="P73" s="7"/>
      <c r="Q73" s="22"/>
      <c r="R73" s="173"/>
      <c r="S73" s="176">
        <f t="shared" si="28"/>
        <v>1</v>
      </c>
      <c r="T73" s="202" t="str">
        <f t="shared" si="4"/>
        <v>Southbound</v>
      </c>
      <c r="U73" s="202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03" t="str">
        <f t="shared" si="5"/>
        <v>https://d0f6bd738d7f1b3e5a7ca70fe4ff75f0.us-east-1.aws.found.io/app/kibana#/discover/Steve-Slow-Train-Analysis-(2080s-and-2083s)?_g=(refreshInterval:(display:Off,pause:!f,section:0,value:0),time:(from:'2017-06-05T10:42:26-0600',mode:absolute,to:'2017-06-05T13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73" s="204" t="str">
        <f t="shared" si="6"/>
        <v>N</v>
      </c>
      <c r="X73" s="204">
        <f t="shared" si="31"/>
        <v>1</v>
      </c>
      <c r="Y73" s="204">
        <f t="shared" si="25"/>
        <v>23.298200000000001</v>
      </c>
      <c r="Z73" s="204">
        <f t="shared" si="26"/>
        <v>1.61E-2</v>
      </c>
      <c r="AA73" s="204">
        <f t="shared" si="10"/>
        <v>23.2821</v>
      </c>
      <c r="AB73" s="57" t="e">
        <f>VLOOKUP(A73,Enforcements!$C$7:$K$13,8,0)</f>
        <v>#N/A</v>
      </c>
      <c r="AC73" s="53" t="e">
        <f>VLOOKUP(A73,Enforcements!$C$7:$E$13,3,0)</f>
        <v>#N/A</v>
      </c>
      <c r="AD73" s="54" t="str">
        <f t="shared" si="11"/>
        <v>0160-05</v>
      </c>
      <c r="AE73" s="80" t="str">
        <f t="shared" si="12"/>
        <v>aws s3 cp s3://rtdc.mdm.uploadarchive.raw/RTDC4061/ "%USERPROFILE%\AppData\Local\Temp\OnboardLogs"\RTDC4061\2017-06-05 --exclude "*" --recursive --include "*20170605*" &amp; "%USERPROFILE%\Documents\GitHub\mrs-test-scripts\Headless Mode &amp; Sideloading\WalkAndUnGZ.bat" "%USERPROFILE%\AppData\Local\Temp\OnboardLogs"\RTDC4061\2017-06-05 &amp; aws s3 cp s3://rtdc.mdm.uploadarchive.raw/RTDC4061/ "%USERPROFILE%\AppData\Local\Temp\OnboardLogs"\RTDC4061\2017-06-06 --exclude "*" --recursive --include "*20170606*" &amp; "%USERPROFILE%\Documents\GitHub\mrs-test-scripts\Headless Mode &amp; Sideloading\WalkAndUnGZ.bat" "%USERPROFILE%\AppData\Local\Temp\OnboardLogs"\RTDC4061\2017-06-06</v>
      </c>
      <c r="AF73" s="77" t="str">
        <f t="shared" si="13"/>
        <v>"C:\Program Files (x86)\AstroGrep\AstroGrep.exe" /e /r /s /spath="%USERPROFILE%\AppData\Local\Temp\OnboardLogs" /stypes="app*4061*20170605*" /stext=" 18:.+((SYSTEM_STATE.+slice.+state.+changed )|(ment ac)|(multiple cpu faults)|(system.+state.+changed )|(\[timeout)|(PRM\|1\|D)|(kpr)|(kdp)|(train st.+moving)|(\|lc)|(penalty))"</v>
      </c>
      <c r="AG73" s="1" t="str">
        <f t="shared" si="14"/>
        <v>EC</v>
      </c>
      <c r="AH73" s="81" t="str">
        <f t="shared" si="19"/>
        <v>"%USERPROFILE%\Documents\GitHub\eaglep3\Utilities\RefineRTDCRunTimes.py" --tripid 160-05 --locoid 4061 --swversion DE.1.0.9.0 --startMP 204:232982 --initTime 2017-06-05T11:42:26 --startdatetime 2017-06-05T11:57:12 --delay 1 --endMP 204:161 --enddatetime 2017-06-05T12:34:52 --enforcementcount 0 &gt;&gt;C:\Users\stu\Documents\GitHub\eaglep3-reporting\EC\2017-06-05-refined-times.txt</v>
      </c>
      <c r="AI73" s="99" t="str">
        <f t="shared" si="20"/>
        <v>echo {"issue":{"subject":"","project_id":79,"tracker_id":40,"status_id":1,"priority_id":2,"assigned_to_id":23,"start_date":"2017-06-05","description":"","custom_fields":[{"id":1,"name":"Subdivision","value":"EC"},{"id":4,"name":"Milepost","value":"0.0161"},{"id":17,"name":"Train ID","value":"160-05"},{"id":16,"name":"Locomotive ID","value":"4061"},{"id":130,"name":"Impact","value":""},{"id":150,"name":"Time of Event (Mountain Time)","value":"12:34:52"},{"id":151,"name":"Denver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5" t="str">
        <f t="shared" si="21"/>
        <v>start /low /b %USERPROFILE%\Documents\GitHub\eaglep3\Utilities\DownloadLogsFromS3.py --loco 4061 --day 2017-06-05</v>
      </c>
      <c r="AN73" s="154" t="str">
        <f t="shared" si="2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18:34:52"},{"id":29,"name":"Sharepoint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716</v>
      </c>
      <c r="B74" s="7">
        <v>4016</v>
      </c>
      <c r="C74" s="21" t="s">
        <v>204</v>
      </c>
      <c r="D74" s="21" t="s">
        <v>465</v>
      </c>
      <c r="E74" s="13">
        <v>42891.466990740744</v>
      </c>
      <c r="F74" s="13">
        <v>42891.469097222223</v>
      </c>
      <c r="G74" s="7">
        <v>2</v>
      </c>
      <c r="H74" s="21" t="s">
        <v>484</v>
      </c>
      <c r="I74" s="13">
        <v>42891.496574074074</v>
      </c>
      <c r="J74" s="7">
        <v>0</v>
      </c>
      <c r="K74" s="92" t="str">
        <f t="shared" si="0"/>
        <v>4015/4016</v>
      </c>
      <c r="L74" s="21" t="str">
        <f>VLOOKUP(A74,'Trips&amp;Operators'!$C$1:$G$99999,5,FALSE)</f>
        <v>DAVIS MICHAEL</v>
      </c>
      <c r="M74" s="6">
        <f t="shared" si="1"/>
        <v>2.7476851850224193E-2</v>
      </c>
      <c r="N74" s="7">
        <f t="shared" si="29"/>
        <v>39.566666664322838</v>
      </c>
      <c r="O74" s="7"/>
      <c r="P74" s="7"/>
      <c r="Q74" s="22"/>
      <c r="R74" s="173"/>
      <c r="S74" s="176">
        <f t="shared" si="28"/>
        <v>1</v>
      </c>
      <c r="T74" s="202" t="str">
        <f t="shared" si="4"/>
        <v>NorthBound</v>
      </c>
      <c r="U74" s="202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03" t="str">
        <f t="shared" si="5"/>
        <v>https://d0f6bd738d7f1b3e5a7ca70fe4ff75f0.us-east-1.aws.found.io/app/kibana#/discover/Steve-Slow-Train-Analysis-(2080s-and-2083s)?_g=(refreshInterval:(display:Off,pause:!f,section:0,value:0),time:(from:'2017-06-05T10:12:28-0600',mode:absolute,to:'2017-06-05T12:55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4" s="204" t="str">
        <f t="shared" si="6"/>
        <v>N</v>
      </c>
      <c r="X74" s="204">
        <f t="shared" si="31"/>
        <v>1</v>
      </c>
      <c r="Y74" s="204">
        <f t="shared" si="25"/>
        <v>4.6699999999999998E-2</v>
      </c>
      <c r="Z74" s="204">
        <f t="shared" si="26"/>
        <v>23.331499999999998</v>
      </c>
      <c r="AA74" s="204">
        <f t="shared" si="10"/>
        <v>23.284799999999997</v>
      </c>
      <c r="AB74" s="57" t="e">
        <f>VLOOKUP(A74,Enforcements!$C$7:$K$13,8,0)</f>
        <v>#N/A</v>
      </c>
      <c r="AC74" s="53" t="e">
        <f>VLOOKUP(A74,Enforcements!$C$7:$E$13,3,0)</f>
        <v>#N/A</v>
      </c>
      <c r="AD74" s="54" t="str">
        <f t="shared" si="11"/>
        <v>0161-05</v>
      </c>
      <c r="AE74" s="80" t="str">
        <f t="shared" si="12"/>
        <v>aws s3 cp s3://rtdc.mdm.uploadarchive.raw/RTDC4016/ "%USERPROFILE%\AppData\Local\Temp\OnboardLogs"\RTDC4016\2017-06-05 --exclude "*" --recursive --include "*20170605*" &amp; "%USERPROFILE%\Documents\GitHub\mrs-test-scripts\Headless Mode &amp; Sideloading\WalkAndUnGZ.bat" "%USERPROFILE%\AppData\Local\Temp\OnboardLogs"\RTDC4016\2017-06-05 &amp; aws s3 cp s3://rtdc.mdm.uploadarchive.raw/RTDC4016/ "%USERPROFILE%\AppData\Local\Temp\OnboardLogs"\RTDC4016\2017-06-06 --exclude "*" --recursive --include "*20170606*" &amp; "%USERPROFILE%\Documents\GitHub\mrs-test-scripts\Headless Mode &amp; Sideloading\WalkAndUnGZ.bat" "%USERPROFILE%\AppData\Local\Temp\OnboardLogs"\RTDC4016\2017-06-06</v>
      </c>
      <c r="AF74" s="77" t="str">
        <f t="shared" si="13"/>
        <v>"C:\Program Files (x86)\AstroGrep\AstroGrep.exe" /e /r /s /spath="%USERPROFILE%\AppData\Local\Temp\OnboardLogs" /stypes="app*4016*20170605*" /stext=" 17:.+((SYSTEM_STATE.+slice.+state.+changed )|(ment ac)|(multiple cpu faults)|(system.+state.+changed )|(\[timeout)|(PRM\|1\|D)|(kpr)|(kdp)|(train st.+moving)|(\|lc)|(penalty))"</v>
      </c>
      <c r="AG74" s="1" t="str">
        <f t="shared" si="14"/>
        <v>EC</v>
      </c>
      <c r="AH74" s="81" t="str">
        <f t="shared" si="19"/>
        <v>"%USERPROFILE%\Documents\GitHub\eaglep3\Utilities\RefineRTDCRunTimes.py" --tripid 161-05 --locoid 4016 --swversion DE.1.0.9.0 --startMP 204:467 --initTime 2017-06-05T11:12:28 --startdatetime 2017-06-05T11:15:30 --delay 2 --endMP 204:233315 --enddatetime 2017-06-05T11:55:04 --enforcementcount 0 &gt;&gt;C:\Users\stu\Documents\GitHub\eaglep3-reporting\EC\2017-06-05-refined-times.txt</v>
      </c>
      <c r="AI74" s="99" t="str">
        <f t="shared" si="20"/>
        <v>echo {"issue":{"subject":"","project_id":79,"tracker_id":40,"status_id":1,"priority_id":2,"assigned_to_id":23,"start_date":"2017-06-05","description":"","custom_fields":[{"id":1,"name":"Subdivision","value":"EC"},{"id":4,"name":"Milepost","value":"23.3315"},{"id":17,"name":"Train ID","value":"161-05"},{"id":16,"name":"Locomotive ID","value":"4016"},{"id":130,"name":"Impact","value":""},{"id":150,"name":"Time of Event (Mountain Time)","value":"11:55:04"},{"id":151,"name":"Denver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5" t="str">
        <f t="shared" si="21"/>
        <v>start /low /b %USERPROFILE%\Documents\GitHub\eaglep3\Utilities\DownloadLogsFromS3.py --loco 4016 --day 2017-06-05</v>
      </c>
      <c r="AN74" s="154" t="str">
        <f t="shared" si="2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17:55:04"},{"id":29,"name":"Sharepoint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731</v>
      </c>
      <c r="B75" s="7">
        <v>4015</v>
      </c>
      <c r="C75" s="21" t="s">
        <v>204</v>
      </c>
      <c r="D75" s="21" t="s">
        <v>859</v>
      </c>
      <c r="E75" s="13">
        <v>42891.505937499998</v>
      </c>
      <c r="F75" s="13">
        <v>42891.508715277778</v>
      </c>
      <c r="G75" s="7">
        <v>1</v>
      </c>
      <c r="H75" s="21" t="s">
        <v>479</v>
      </c>
      <c r="I75" s="13">
        <v>42891.536261574074</v>
      </c>
      <c r="J75" s="7">
        <v>0</v>
      </c>
      <c r="K75" s="92" t="str">
        <f t="shared" si="0"/>
        <v>4015/4016</v>
      </c>
      <c r="L75" s="21" t="str">
        <f>VLOOKUP(A75,'Trips&amp;Operators'!$C$1:$G$99999,5,FALSE)</f>
        <v>DAVIS MICHAEL</v>
      </c>
      <c r="M75" s="6">
        <f t="shared" si="1"/>
        <v>2.7546296296350192E-2</v>
      </c>
      <c r="N75" s="7">
        <f t="shared" si="29"/>
        <v>39.666666666744277</v>
      </c>
      <c r="O75" s="7"/>
      <c r="P75" s="7"/>
      <c r="Q75" s="22"/>
      <c r="R75" s="173"/>
      <c r="S75" s="176">
        <f t="shared" si="28"/>
        <v>1</v>
      </c>
      <c r="T75" s="202" t="str">
        <f t="shared" si="4"/>
        <v>Southbound</v>
      </c>
      <c r="U75" s="202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03" t="str">
        <f t="shared" si="5"/>
        <v>https://d0f6bd738d7f1b3e5a7ca70fe4ff75f0.us-east-1.aws.found.io/app/kibana#/discover/Steve-Slow-Train-Analysis-(2080s-and-2083s)?_g=(refreshInterval:(display:Off,pause:!f,section:0,value:0),time:(from:'2017-06-05T11:08:33-0600',mode:absolute,to:'2017-06-05T13:52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5" s="204" t="str">
        <f t="shared" si="6"/>
        <v>N</v>
      </c>
      <c r="X75" s="204">
        <f t="shared" si="31"/>
        <v>1</v>
      </c>
      <c r="Y75" s="204">
        <f t="shared" si="25"/>
        <v>23.302099999999999</v>
      </c>
      <c r="Z75" s="204">
        <f t="shared" si="26"/>
        <v>1.6299999999999999E-2</v>
      </c>
      <c r="AA75" s="204">
        <f t="shared" si="10"/>
        <v>23.285799999999998</v>
      </c>
      <c r="AB75" s="57" t="e">
        <f>VLOOKUP(A75,Enforcements!$C$7:$K$13,8,0)</f>
        <v>#N/A</v>
      </c>
      <c r="AC75" s="53" t="e">
        <f>VLOOKUP(A75,Enforcements!$C$7:$E$13,3,0)</f>
        <v>#N/A</v>
      </c>
      <c r="AD75" s="54" t="str">
        <f t="shared" si="11"/>
        <v>0162-05</v>
      </c>
      <c r="AE75" s="80" t="str">
        <f t="shared" si="12"/>
        <v>aws s3 cp s3://rtdc.mdm.uploadarchive.raw/RTDC4015/ "%USERPROFILE%\AppData\Local\Temp\OnboardLogs"\RTDC4015\2017-06-05 --exclude "*" --recursive --include "*20170605*" &amp; "%USERPROFILE%\Documents\GitHub\mrs-test-scripts\Headless Mode &amp; Sideloading\WalkAndUnGZ.bat" "%USERPROFILE%\AppData\Local\Temp\OnboardLogs"\RTDC4015\2017-06-05 &amp; aws s3 cp s3://rtdc.mdm.uploadarchive.raw/RTDC4015/ "%USERPROFILE%\AppData\Local\Temp\OnboardLogs"\RTDC4015\2017-06-06 --exclude "*" --recursive --include "*20170606*" &amp; "%USERPROFILE%\Documents\GitHub\mrs-test-scripts\Headless Mode &amp; Sideloading\WalkAndUnGZ.bat" "%USERPROFILE%\AppData\Local\Temp\OnboardLogs"\RTDC4015\2017-06-06</v>
      </c>
      <c r="AF75" s="77" t="str">
        <f t="shared" si="13"/>
        <v>"C:\Program Files (x86)\AstroGrep\AstroGrep.exe" /e /r /s /spath="%USERPROFILE%\AppData\Local\Temp\OnboardLogs" /stypes="app*4015*20170605*" /stext=" 18:.+((SYSTEM_STATE.+slice.+state.+changed )|(ment ac)|(multiple cpu faults)|(system.+state.+changed )|(\[timeout)|(PRM\|1\|D)|(kpr)|(kdp)|(train st.+moving)|(\|lc)|(penalty))"</v>
      </c>
      <c r="AG75" s="1" t="str">
        <f t="shared" si="14"/>
        <v>EC</v>
      </c>
      <c r="AH75" s="81" t="str">
        <f t="shared" si="19"/>
        <v>"%USERPROFILE%\Documents\GitHub\eaglep3\Utilities\RefineRTDCRunTimes.py" --tripid 162-05 --locoid 4015 --swversion DE.1.0.9.0 --startMP 204:233021 --initTime 2017-06-05T12:08:33 --startdatetime 2017-06-05T12:12:33 --delay 1 --endMP 204:163 --enddatetime 2017-06-05T12:52:13 --enforcementcount 0 &gt;&gt;C:\Users\stu\Documents\GitHub\eaglep3-reporting\EC\2017-06-05-refined-times.txt</v>
      </c>
      <c r="AI75" s="99" t="str">
        <f t="shared" si="20"/>
        <v>echo {"issue":{"subject":"","project_id":79,"tracker_id":40,"status_id":1,"priority_id":2,"assigned_to_id":23,"start_date":"2017-06-05","description":"","custom_fields":[{"id":1,"name":"Subdivision","value":"EC"},{"id":4,"name":"Milepost","value":"0.0163"},{"id":17,"name":"Train ID","value":"162-05"},{"id":16,"name":"Locomotive ID","value":"4015"},{"id":130,"name":"Impact","value":""},{"id":150,"name":"Time of Event (Mountain Time)","value":"12:52:13"},{"id":151,"name":"Denver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5" t="str">
        <f t="shared" si="21"/>
        <v>start /low /b %USERPROFILE%\Documents\GitHub\eaglep3\Utilities\DownloadLogsFromS3.py --loco 4015 --day 2017-06-05</v>
      </c>
      <c r="AN75" s="154" t="str">
        <f t="shared" si="2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18:52:13"},{"id":29,"name":"Sharepoint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720</v>
      </c>
      <c r="B76" s="7">
        <v>4042</v>
      </c>
      <c r="C76" s="21" t="s">
        <v>204</v>
      </c>
      <c r="D76" s="21" t="s">
        <v>533</v>
      </c>
      <c r="E76" s="13">
        <v>42891.474722222221</v>
      </c>
      <c r="F76" s="13">
        <v>42891.479328703703</v>
      </c>
      <c r="G76" s="7">
        <v>2</v>
      </c>
      <c r="H76" s="21" t="s">
        <v>860</v>
      </c>
      <c r="I76" s="13">
        <v>42891.504259259258</v>
      </c>
      <c r="J76" s="7">
        <v>0</v>
      </c>
      <c r="K76" s="92" t="str">
        <f t="shared" si="0"/>
        <v>4041/4042</v>
      </c>
      <c r="L76" s="21" t="str">
        <f>VLOOKUP(A76,'Trips&amp;Operators'!$C$1:$G$99999,5,FALSE)</f>
        <v>ROBINSON KADDIBA</v>
      </c>
      <c r="M76" s="6">
        <f t="shared" si="1"/>
        <v>2.4930555555329192E-2</v>
      </c>
      <c r="N76" s="7">
        <f t="shared" si="29"/>
        <v>35.899999999674037</v>
      </c>
      <c r="O76" s="7"/>
      <c r="P76" s="7"/>
      <c r="Q76" s="22"/>
      <c r="R76" s="173"/>
      <c r="S76" s="176">
        <f t="shared" si="28"/>
        <v>1</v>
      </c>
      <c r="T76" s="202" t="str">
        <f t="shared" si="4"/>
        <v>NorthBound</v>
      </c>
      <c r="U76" s="202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03" t="str">
        <f t="shared" si="5"/>
        <v>https://d0f6bd738d7f1b3e5a7ca70fe4ff75f0.us-east-1.aws.found.io/app/kibana#/discover/Steve-Slow-Train-Analysis-(2080s-and-2083s)?_g=(refreshInterval:(display:Off,pause:!f,section:0,value:0),time:(from:'2017-06-05T10:23:36-0600',mode:absolute,to:'2017-06-05T13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6" s="204" t="str">
        <f t="shared" si="6"/>
        <v>N</v>
      </c>
      <c r="X76" s="204">
        <f t="shared" si="31"/>
        <v>1</v>
      </c>
      <c r="Y76" s="204">
        <f t="shared" si="25"/>
        <v>4.82E-2</v>
      </c>
      <c r="Z76" s="204">
        <f t="shared" si="26"/>
        <v>23.325900000000001</v>
      </c>
      <c r="AA76" s="204">
        <f t="shared" si="10"/>
        <v>23.277699999999999</v>
      </c>
      <c r="AB76" s="57" t="e">
        <f>VLOOKUP(A76,Enforcements!$C$7:$K$13,8,0)</f>
        <v>#N/A</v>
      </c>
      <c r="AC76" s="53" t="e">
        <f>VLOOKUP(A76,Enforcements!$C$7:$E$13,3,0)</f>
        <v>#N/A</v>
      </c>
      <c r="AD76" s="54" t="str">
        <f t="shared" si="11"/>
        <v>0163-05</v>
      </c>
      <c r="AE76" s="80" t="str">
        <f t="shared" si="12"/>
        <v>aws s3 cp s3://rtdc.mdm.uploadarchive.raw/RTDC4042/ "%USERPROFILE%\AppData\Local\Temp\OnboardLogs"\RTDC4042\2017-06-05 --exclude "*" --recursive --include "*20170605*" &amp; "%USERPROFILE%\Documents\GitHub\mrs-test-scripts\Headless Mode &amp; Sideloading\WalkAndUnGZ.bat" "%USERPROFILE%\AppData\Local\Temp\OnboardLogs"\RTDC4042\2017-06-05 &amp; aws s3 cp s3://rtdc.mdm.uploadarchive.raw/RTDC4042/ "%USERPROFILE%\AppData\Local\Temp\OnboardLogs"\RTDC4042\2017-06-06 --exclude "*" --recursive --include "*20170606*" &amp; "%USERPROFILE%\Documents\GitHub\mrs-test-scripts\Headless Mode &amp; Sideloading\WalkAndUnGZ.bat" "%USERPROFILE%\AppData\Local\Temp\OnboardLogs"\RTDC4042\2017-06-06</v>
      </c>
      <c r="AF76" s="77" t="str">
        <f t="shared" si="13"/>
        <v>"C:\Program Files (x86)\AstroGrep\AstroGrep.exe" /e /r /s /spath="%USERPROFILE%\AppData\Local\Temp\OnboardLogs" /stypes="app*4042*20170605*" /stext=" 18:.+((SYSTEM_STATE.+slice.+state.+changed )|(ment ac)|(multiple cpu faults)|(system.+state.+changed )|(\[timeout)|(PRM\|1\|D)|(kpr)|(kdp)|(train st.+moving)|(\|lc)|(penalty))"</v>
      </c>
      <c r="AG76" s="1" t="str">
        <f t="shared" si="14"/>
        <v>EC</v>
      </c>
      <c r="AH76" s="81" t="str">
        <f t="shared" si="19"/>
        <v>"%USERPROFILE%\Documents\GitHub\eaglep3\Utilities\RefineRTDCRunTimes.py" --tripid 163-05 --locoid 4042 --swversion DE.1.0.9.0 --startMP 204:482 --initTime 2017-06-05T11:23:36 --startdatetime 2017-06-05T11:30:14 --delay 2 --endMP 204:233259 --enddatetime 2017-06-05T12:06:08 --enforcementcount 0 &gt;&gt;C:\Users\stu\Documents\GitHub\eaglep3-reporting\EC\2017-06-05-refined-times.txt</v>
      </c>
      <c r="AI76" s="99" t="str">
        <f t="shared" si="20"/>
        <v>echo {"issue":{"subject":"","project_id":79,"tracker_id":40,"status_id":1,"priority_id":2,"assigned_to_id":23,"start_date":"2017-06-05","description":"","custom_fields":[{"id":1,"name":"Subdivision","value":"EC"},{"id":4,"name":"Milepost","value":"23.3259"},{"id":17,"name":"Train ID","value":"163-05"},{"id":16,"name":"Locomotive ID","value":"4042"},{"id":130,"name":"Impact","value":""},{"id":150,"name":"Time of Event (Mountain Time)","value":"12:06:08"},{"id":151,"name":"Denver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5" t="str">
        <f t="shared" si="21"/>
        <v>start /low /b %USERPROFILE%\Documents\GitHub\eaglep3\Utilities\DownloadLogsFromS3.py --loco 4042 --day 2017-06-05</v>
      </c>
      <c r="AN76" s="154" t="str">
        <f t="shared" si="2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18:06:08"},{"id":29,"name":"Sharepoint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732</v>
      </c>
      <c r="B77" s="7">
        <v>4041</v>
      </c>
      <c r="C77" s="21" t="s">
        <v>204</v>
      </c>
      <c r="D77" s="21" t="s">
        <v>485</v>
      </c>
      <c r="E77" s="13">
        <v>42891.516030092593</v>
      </c>
      <c r="F77" s="13">
        <v>42891.518912037034</v>
      </c>
      <c r="G77" s="7">
        <v>1</v>
      </c>
      <c r="H77" s="21" t="s">
        <v>363</v>
      </c>
      <c r="I77" s="13">
        <v>42891.549351851849</v>
      </c>
      <c r="J77" s="7">
        <v>0</v>
      </c>
      <c r="K77" s="92" t="str">
        <f t="shared" ref="K77:K140" si="32">IF(ISEVEN(B77),(B77-1)&amp;"/"&amp;B77,B77&amp;"/"&amp;(B77+1))</f>
        <v>4041/4042</v>
      </c>
      <c r="L77" s="21" t="str">
        <f>VLOOKUP(A77,'Trips&amp;Operators'!$C$1:$G$99999,5,FALSE)</f>
        <v>ROBINSON KADDIBA</v>
      </c>
      <c r="M77" s="6">
        <f t="shared" ref="M77:M140" si="33">I77-F77</f>
        <v>3.0439814814599231E-2</v>
      </c>
      <c r="N77" s="7">
        <f t="shared" si="29"/>
        <v>43.833333333022892</v>
      </c>
      <c r="O77" s="7"/>
      <c r="P77" s="7"/>
      <c r="Q77" s="22"/>
      <c r="R77" s="173"/>
      <c r="S77" s="176">
        <f t="shared" si="28"/>
        <v>1</v>
      </c>
      <c r="T77" s="202" t="str">
        <f t="shared" ref="T77:T140" si="34">IF(ISEVEN(LEFT(AD77,4)),"Southbound","NorthBound")</f>
        <v>Southbound</v>
      </c>
      <c r="U77" s="202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03" t="str">
        <f t="shared" ref="V77:V140" si="35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-06-05T11:23:05-0600',mode:absolute,to:'2017-06-05T14:11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7" s="204" t="str">
        <f t="shared" ref="W77:W140" si="36">IF(AA77&lt;IF(AG77="EC",23,5.65),"Y","N")</f>
        <v>N</v>
      </c>
      <c r="X77" s="204">
        <f t="shared" si="31"/>
        <v>1</v>
      </c>
      <c r="Y77" s="204">
        <f t="shared" ref="Y77:Y108" si="37">RIGHT(D77,LEN(D77)-4)/10000</f>
        <v>23.2988</v>
      </c>
      <c r="Z77" s="204">
        <f t="shared" ref="Z77:Z111" si="38">RIGHT(H77,LEN(H77)-4)/10000</f>
        <v>1.41E-2</v>
      </c>
      <c r="AA77" s="204">
        <f t="shared" ref="AA77:AA140" si="39">ABS(Z77-Y77)</f>
        <v>23.284700000000001</v>
      </c>
      <c r="AB77" s="57" t="e">
        <f>VLOOKUP(A77,Enforcements!$C$7:$K$13,8,0)</f>
        <v>#N/A</v>
      </c>
      <c r="AC77" s="53" t="e">
        <f>VLOOKUP(A77,Enforcements!$C$7:$E$13,3,0)</f>
        <v>#N/A</v>
      </c>
      <c r="AD77" s="54" t="str">
        <f t="shared" ref="AD77:AD140" si="40">IF(LEN(A77)=6,"0"&amp;A77,A77)</f>
        <v>0164-05</v>
      </c>
      <c r="AE77" s="80" t="str">
        <f t="shared" ref="AE77:AE140" si="41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s3://rtdc.mdm.uploadarchive.raw/RTDC4041/ "%USERPROFILE%\AppData\Local\Temp\OnboardLogs"\RTDC4041\2017-06-05 --exclude "*" --recursive --include "*20170605*" &amp; "%USERPROFILE%\Documents\GitHub\mrs-test-scripts\Headless Mode &amp; Sideloading\WalkAndUnGZ.bat" "%USERPROFILE%\AppData\Local\Temp\OnboardLogs"\RTDC4041\2017-06-05 &amp; aws s3 cp s3://rtdc.mdm.uploadarchive.raw/RTDC4041/ "%USERPROFILE%\AppData\Local\Temp\OnboardLogs"\RTDC4041\2017-06-06 --exclude "*" --recursive --include "*20170606*" &amp; "%USERPROFILE%\Documents\GitHub\mrs-test-scripts\Headless Mode &amp; Sideloading\WalkAndUnGZ.bat" "%USERPROFILE%\AppData\Local\Temp\OnboardLogs"\RTDC4041\2017-06-06</v>
      </c>
      <c r="AF77" s="77" t="str">
        <f t="shared" ref="AF77:AF140" si="42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/stypes="app*4041*20170605*" /stext=" 19:.+((SYSTEM_STATE.+slice.+state.+changed )|(ment ac)|(multiple cpu faults)|(system.+state.+changed )|(\[timeout)|(PRM\|1\|D)|(kpr)|(kdp)|(train st.+moving)|(\|lc)|(penalty))"</v>
      </c>
      <c r="AG77" s="1" t="str">
        <f t="shared" ref="AG77:AG140" si="43">IFERROR(IF(VALUE(LEFT(AD77,2))&lt;=2,"EC",IF(OR(VALUE(LEFT(AD77,2))=8,VALUE(LEFT(AD77,2))=18),"NW","Other")),"Other")</f>
        <v>EC</v>
      </c>
      <c r="AH77" s="81" t="str">
        <f t="shared" ref="AH77:AH139" si="44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164-05 --locoid 4041 --swversion DE.1.0.9.0 --startMP 204:232988 --initTime 2017-06-05T12:23:05 --startdatetime 2017-06-05T12:27:14 --delay 1 --endMP 204:141 --enddatetime 2017-06-05T13:11:04 --enforcementcount 0 &gt;&gt;C:\Users\stu\Documents\GitHub\eaglep3-reporting\EC\2017-06-05-refined-times.txt</v>
      </c>
      <c r="AI77" s="99" t="str">
        <f t="shared" ref="AI77:AI139" si="45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{"issue":{"subject":"","project_id":79,"tracker_id":40,"status_id":1,"priority_id":2,"assigned_to_id":23,"start_date":"2017-06-05","description":"","custom_fields":[{"id":1,"name":"Subdivision","value":"EC"},{"id":4,"name":"Milepost","value":"0.0141"},{"id":17,"name":"Train ID","value":"164-05"},{"id":16,"name":"Locomotive ID","value":"4041"},{"id":130,"name":"Impact","value":""},{"id":150,"name":"Time of Event (Mountain Time)","value":"13:11:04"},{"id":151,"name":"Denver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5" t="str">
        <f t="shared" ref="AM77:AM139" si="46">"start /low /b "&amp;dls3logs&amp;" --loco "&amp;B77&amp;" --day "&amp;TEXT(F77,"YYYY-MM-DD")</f>
        <v>start /low /b %USERPROFILE%\Documents\GitHub\eaglep3\Utilities\DownloadLogsFromS3.py --loco 4041 --day 2017-06-05</v>
      </c>
      <c r="AN77" s="154" t="str">
        <f t="shared" ref="AN77:AN139" si="47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19:11:04"},{"id":29,"name":"Sharepoint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725</v>
      </c>
      <c r="B78" s="7">
        <v>4008</v>
      </c>
      <c r="C78" s="21" t="s">
        <v>204</v>
      </c>
      <c r="D78" s="21" t="s">
        <v>368</v>
      </c>
      <c r="E78" s="13">
        <v>42891.487812500003</v>
      </c>
      <c r="F78" s="13">
        <v>42891.489814814813</v>
      </c>
      <c r="G78" s="7">
        <v>1</v>
      </c>
      <c r="H78" s="21" t="s">
        <v>861</v>
      </c>
      <c r="I78" s="13">
        <v>42891.515960648147</v>
      </c>
      <c r="J78" s="7">
        <v>0</v>
      </c>
      <c r="K78" s="92" t="str">
        <f t="shared" si="32"/>
        <v>4007/4008</v>
      </c>
      <c r="L78" s="21" t="str">
        <f>VLOOKUP(A78,'Trips&amp;Operators'!$C$1:$G$99999,5,FALSE)</f>
        <v>LEVERE CRAIG</v>
      </c>
      <c r="M78" s="6">
        <f t="shared" si="33"/>
        <v>2.6145833333430346E-2</v>
      </c>
      <c r="N78" s="7">
        <f t="shared" si="29"/>
        <v>37.650000000139698</v>
      </c>
      <c r="O78" s="7"/>
      <c r="P78" s="7"/>
      <c r="Q78" s="22"/>
      <c r="R78" s="173"/>
      <c r="S78" s="176">
        <f t="shared" ref="S78:S109" si="48">SUM(U78:U78)/IF(AG78="EC",12,1)</f>
        <v>1</v>
      </c>
      <c r="T78" s="202" t="str">
        <f t="shared" si="34"/>
        <v>NorthBound</v>
      </c>
      <c r="U78" s="202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03" t="str">
        <f t="shared" si="35"/>
        <v>https://d0f6bd738d7f1b3e5a7ca70fe4ff75f0.us-east-1.aws.found.io/app/kibana#/discover/Steve-Slow-Train-Analysis-(2080s-and-2083s)?_g=(refreshInterval:(display:Off,pause:!f,section:0,value:0),time:(from:'2017-06-05T10:42:27-0600',mode:absolute,to:'2017-06-05T13:22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8" s="204" t="str">
        <f t="shared" si="36"/>
        <v>N</v>
      </c>
      <c r="X78" s="204">
        <f t="shared" si="31"/>
        <v>1</v>
      </c>
      <c r="Y78" s="204">
        <f t="shared" si="37"/>
        <v>4.5499999999999999E-2</v>
      </c>
      <c r="Z78" s="204">
        <f t="shared" si="38"/>
        <v>23.330400000000001</v>
      </c>
      <c r="AA78" s="204">
        <f t="shared" si="39"/>
        <v>23.2849</v>
      </c>
      <c r="AB78" s="57" t="e">
        <f>VLOOKUP(A78,Enforcements!$C$7:$K$13,8,0)</f>
        <v>#N/A</v>
      </c>
      <c r="AC78" s="53" t="e">
        <f>VLOOKUP(A78,Enforcements!$C$7:$E$13,3,0)</f>
        <v>#N/A</v>
      </c>
      <c r="AD78" s="54" t="str">
        <f t="shared" si="40"/>
        <v>0165-05</v>
      </c>
      <c r="AE78" s="80" t="str">
        <f t="shared" si="41"/>
        <v>aws s3 cp s3://rtdc.mdm.uploadarchive.raw/RTDC4008/ "%USERPROFILE%\AppData\Local\Temp\OnboardLogs"\RTDC4008\2017-06-05 --exclude "*" --recursive --include "*20170605*" &amp; "%USERPROFILE%\Documents\GitHub\mrs-test-scripts\Headless Mode &amp; Sideloading\WalkAndUnGZ.bat" "%USERPROFILE%\AppData\Local\Temp\OnboardLogs"\RTDC4008\2017-06-05 &amp; aws s3 cp s3://rtdc.mdm.uploadarchive.raw/RTDC4008/ "%USERPROFILE%\AppData\Local\Temp\OnboardLogs"\RTDC4008\2017-06-06 --exclude "*" --recursive --include "*20170606*" &amp; "%USERPROFILE%\Documents\GitHub\mrs-test-scripts\Headless Mode &amp; Sideloading\WalkAndUnGZ.bat" "%USERPROFILE%\AppData\Local\Temp\OnboardLogs"\RTDC4008\2017-06-06</v>
      </c>
      <c r="AF78" s="77" t="str">
        <f t="shared" si="42"/>
        <v>"C:\Program Files (x86)\AstroGrep\AstroGrep.exe" /e /r /s /spath="%USERPROFILE%\AppData\Local\Temp\OnboardLogs" /stypes="app*4008*20170605*" /stext=" 18:.+((SYSTEM_STATE.+slice.+state.+changed )|(ment ac)|(multiple cpu faults)|(system.+state.+changed )|(\[timeout)|(PRM\|1\|D)|(kpr)|(kdp)|(train st.+moving)|(\|lc)|(penalty))"</v>
      </c>
      <c r="AG78" s="1" t="str">
        <f t="shared" si="43"/>
        <v>EC</v>
      </c>
      <c r="AH78" s="81" t="str">
        <f t="shared" si="44"/>
        <v>"%USERPROFILE%\Documents\GitHub\eaglep3\Utilities\RefineRTDCRunTimes.py" --tripid 165-05 --locoid 4008 --swversion DE.1.0.9.0 --startMP 204:455 --initTime 2017-06-05T11:42:27 --startdatetime 2017-06-05T11:45:20 --delay 1 --endMP 204:233304 --enddatetime 2017-06-05T12:22:59 --enforcementcount 0 &gt;&gt;C:\Users\stu\Documents\GitHub\eaglep3-reporting\EC\2017-06-05-refined-times.txt</v>
      </c>
      <c r="AI78" s="99" t="str">
        <f t="shared" si="45"/>
        <v>echo {"issue":{"subject":"","project_id":79,"tracker_id":40,"status_id":1,"priority_id":2,"assigned_to_id":23,"start_date":"2017-06-05","description":"","custom_fields":[{"id":1,"name":"Subdivision","value":"EC"},{"id":4,"name":"Milepost","value":"23.3304"},{"id":17,"name":"Train ID","value":"165-05"},{"id":16,"name":"Locomotive ID","value":"4008"},{"id":130,"name":"Impact","value":""},{"id":150,"name":"Time of Event (Mountain Time)","value":"12:22:59"},{"id":151,"name":"Denver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5" t="str">
        <f t="shared" si="46"/>
        <v>start /low /b %USERPROFILE%\Documents\GitHub\eaglep3\Utilities\DownloadLogsFromS3.py --loco 4008 --day 2017-06-05</v>
      </c>
      <c r="AN78" s="154" t="str">
        <f t="shared" si="47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18:22:59"},{"id":29,"name":"Sharepoint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733</v>
      </c>
      <c r="B79" s="7">
        <v>4007</v>
      </c>
      <c r="C79" s="21" t="s">
        <v>204</v>
      </c>
      <c r="D79" s="21" t="s">
        <v>522</v>
      </c>
      <c r="E79" s="13">
        <v>42891.522453703707</v>
      </c>
      <c r="F79" s="13">
        <v>42891.529386574075</v>
      </c>
      <c r="G79" s="7">
        <v>1</v>
      </c>
      <c r="H79" s="21" t="s">
        <v>437</v>
      </c>
      <c r="I79" s="13">
        <v>42891.557430555556</v>
      </c>
      <c r="J79" s="7">
        <v>0</v>
      </c>
      <c r="K79" s="92" t="str">
        <f t="shared" si="32"/>
        <v>4007/4008</v>
      </c>
      <c r="L79" s="21" t="str">
        <f>VLOOKUP(A79,'Trips&amp;Operators'!$C$1:$G$99999,5,FALSE)</f>
        <v>LEVERE CRAIG</v>
      </c>
      <c r="M79" s="6">
        <f t="shared" si="33"/>
        <v>2.8043981481459923E-2</v>
      </c>
      <c r="N79" s="7">
        <f t="shared" si="29"/>
        <v>40.383333333302289</v>
      </c>
      <c r="O79" s="7"/>
      <c r="P79" s="7"/>
      <c r="Q79" s="22"/>
      <c r="R79" s="173"/>
      <c r="S79" s="176">
        <f t="shared" si="48"/>
        <v>1</v>
      </c>
      <c r="T79" s="202" t="str">
        <f t="shared" si="34"/>
        <v>Southbound</v>
      </c>
      <c r="U79" s="202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03" t="str">
        <f t="shared" si="35"/>
        <v>https://d0f6bd738d7f1b3e5a7ca70fe4ff75f0.us-east-1.aws.found.io/app/kibana#/discover/Steve-Slow-Train-Analysis-(2080s-and-2083s)?_g=(refreshInterval:(display:Off,pause:!f,section:0,value:0),time:(from:'2017-06-05T11:32:20-0600',mode:absolute,to:'2017-06-05T14:22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9" s="204" t="str">
        <f t="shared" si="36"/>
        <v>N</v>
      </c>
      <c r="X79" s="204">
        <f t="shared" si="31"/>
        <v>1</v>
      </c>
      <c r="Y79" s="204">
        <f t="shared" si="37"/>
        <v>23.299099999999999</v>
      </c>
      <c r="Z79" s="204">
        <f t="shared" si="38"/>
        <v>1.4500000000000001E-2</v>
      </c>
      <c r="AA79" s="204">
        <f t="shared" si="39"/>
        <v>23.284599999999998</v>
      </c>
      <c r="AB79" s="57" t="e">
        <f>VLOOKUP(A79,Enforcements!$C$7:$K$13,8,0)</f>
        <v>#N/A</v>
      </c>
      <c r="AC79" s="53" t="e">
        <f>VLOOKUP(A79,Enforcements!$C$7:$E$13,3,0)</f>
        <v>#N/A</v>
      </c>
      <c r="AD79" s="54" t="str">
        <f t="shared" si="40"/>
        <v>0166-05</v>
      </c>
      <c r="AE79" s="80" t="str">
        <f t="shared" si="41"/>
        <v>aws s3 cp s3://rtdc.mdm.uploadarchive.raw/RTDC4007/ "%USERPROFILE%\AppData\Local\Temp\OnboardLogs"\RTDC4007\2017-06-05 --exclude "*" --recursive --include "*20170605*" &amp; "%USERPROFILE%\Documents\GitHub\mrs-test-scripts\Headless Mode &amp; Sideloading\WalkAndUnGZ.bat" "%USERPROFILE%\AppData\Local\Temp\OnboardLogs"\RTDC4007\2017-06-05 &amp; aws s3 cp s3://rtdc.mdm.uploadarchive.raw/RTDC4007/ "%USERPROFILE%\AppData\Local\Temp\OnboardLogs"\RTDC4007\2017-06-06 --exclude "*" --recursive --include "*20170606*" &amp; "%USERPROFILE%\Documents\GitHub\mrs-test-scripts\Headless Mode &amp; Sideloading\WalkAndUnGZ.bat" "%USERPROFILE%\AppData\Local\Temp\OnboardLogs"\RTDC4007\2017-06-06</v>
      </c>
      <c r="AF79" s="77" t="str">
        <f t="shared" si="42"/>
        <v>"C:\Program Files (x86)\AstroGrep\AstroGrep.exe" /e /r /s /spath="%USERPROFILE%\AppData\Local\Temp\OnboardLogs" /stypes="app*4007*20170605*" /stext=" 19:.+((SYSTEM_STATE.+slice.+state.+changed )|(ment ac)|(multiple cpu faults)|(system.+state.+changed )|(\[timeout)|(PRM\|1\|D)|(kpr)|(kdp)|(train st.+moving)|(\|lc)|(penalty))"</v>
      </c>
      <c r="AG79" s="1" t="str">
        <f t="shared" si="43"/>
        <v>EC</v>
      </c>
      <c r="AH79" s="81" t="str">
        <f t="shared" si="44"/>
        <v>"%USERPROFILE%\Documents\GitHub\eaglep3\Utilities\RefineRTDCRunTimes.py" --tripid 166-05 --locoid 4007 --swversion DE.1.0.9.0 --startMP 204:232991 --initTime 2017-06-05T12:32:20 --startdatetime 2017-06-05T12:42:19 --delay 1 --endMP 204:145 --enddatetime 2017-06-05T13:22:42 --enforcementcount 0 &gt;&gt;C:\Users\stu\Documents\GitHub\eaglep3-reporting\EC\2017-06-05-refined-times.txt</v>
      </c>
      <c r="AI79" s="99" t="str">
        <f t="shared" si="45"/>
        <v>echo {"issue":{"subject":"","project_id":79,"tracker_id":40,"status_id":1,"priority_id":2,"assigned_to_id":23,"start_date":"2017-06-05","description":"","custom_fields":[{"id":1,"name":"Subdivision","value":"EC"},{"id":4,"name":"Milepost","value":"0.0145"},{"id":17,"name":"Train ID","value":"166-05"},{"id":16,"name":"Locomotive ID","value":"4007"},{"id":130,"name":"Impact","value":""},{"id":150,"name":"Time of Event (Mountain Time)","value":"13:22:42"},{"id":151,"name":"Denver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5" t="str">
        <f t="shared" si="46"/>
        <v>start /low /b %USERPROFILE%\Documents\GitHub\eaglep3\Utilities\DownloadLogsFromS3.py --loco 4007 --day 2017-06-05</v>
      </c>
      <c r="AN79" s="154" t="str">
        <f t="shared" si="47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19:22:42"},{"id":29,"name":"Sharepoint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728</v>
      </c>
      <c r="B80" s="7">
        <v>4014</v>
      </c>
      <c r="C80" s="21" t="s">
        <v>204</v>
      </c>
      <c r="D80" s="21" t="s">
        <v>351</v>
      </c>
      <c r="E80" s="13">
        <v>42891.494791666664</v>
      </c>
      <c r="F80" s="13">
        <v>42891.500208333331</v>
      </c>
      <c r="G80" s="7">
        <v>2</v>
      </c>
      <c r="H80" s="21" t="s">
        <v>529</v>
      </c>
      <c r="I80" s="13">
        <v>42891.52516203704</v>
      </c>
      <c r="J80" s="7">
        <v>0</v>
      </c>
      <c r="K80" s="92" t="str">
        <f t="shared" si="32"/>
        <v>4013/4014</v>
      </c>
      <c r="L80" s="21" t="str">
        <f>VLOOKUP(A80,'Trips&amp;Operators'!$C$1:$G$99999,5,FALSE)</f>
        <v>BRUDER RICHARD</v>
      </c>
      <c r="M80" s="6">
        <f t="shared" si="33"/>
        <v>2.4953703708888497E-2</v>
      </c>
      <c r="N80" s="7">
        <f t="shared" si="29"/>
        <v>35.933333340799436</v>
      </c>
      <c r="O80" s="7"/>
      <c r="P80" s="7"/>
      <c r="Q80" s="22"/>
      <c r="R80" s="173"/>
      <c r="S80" s="176">
        <f t="shared" si="48"/>
        <v>1</v>
      </c>
      <c r="T80" s="202" t="str">
        <f t="shared" si="34"/>
        <v>NorthBound</v>
      </c>
      <c r="U80" s="202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03" t="str">
        <f t="shared" si="35"/>
        <v>https://d0f6bd738d7f1b3e5a7ca70fe4ff75f0.us-east-1.aws.found.io/app/kibana#/discover/Steve-Slow-Train-Analysis-(2080s-and-2083s)?_g=(refreshInterval:(display:Off,pause:!f,section:0,value:0),time:(from:'2017-06-05T10:52:30-0600',mode:absolute,to:'2017-06-05T13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0" s="204" t="str">
        <f t="shared" si="36"/>
        <v>N</v>
      </c>
      <c r="X80" s="204">
        <f t="shared" si="31"/>
        <v>1</v>
      </c>
      <c r="Y80" s="204">
        <f t="shared" si="37"/>
        <v>4.58E-2</v>
      </c>
      <c r="Z80" s="204">
        <f t="shared" si="38"/>
        <v>23.331099999999999</v>
      </c>
      <c r="AA80" s="204">
        <f t="shared" si="39"/>
        <v>23.285299999999999</v>
      </c>
      <c r="AB80" s="57" t="e">
        <f>VLOOKUP(A80,Enforcements!$C$7:$K$13,8,0)</f>
        <v>#N/A</v>
      </c>
      <c r="AC80" s="53" t="e">
        <f>VLOOKUP(A80,Enforcements!$C$7:$E$13,3,0)</f>
        <v>#N/A</v>
      </c>
      <c r="AD80" s="54" t="str">
        <f t="shared" si="40"/>
        <v>0167-05</v>
      </c>
      <c r="AE80" s="80" t="str">
        <f t="shared" si="41"/>
        <v>aws s3 cp s3://rtdc.mdm.uploadarchive.raw/RTDC4014/ "%USERPROFILE%\AppData\Local\Temp\OnboardLogs"\RTDC4014\2017-06-05 --exclude "*" --recursive --include "*20170605*" &amp; "%USERPROFILE%\Documents\GitHub\mrs-test-scripts\Headless Mode &amp; Sideloading\WalkAndUnGZ.bat" "%USERPROFILE%\AppData\Local\Temp\OnboardLogs"\RTDC4014\2017-06-05 &amp; aws s3 cp s3://rtdc.mdm.uploadarchive.raw/RTDC4014/ "%USERPROFILE%\AppData\Local\Temp\OnboardLogs"\RTDC4014\2017-06-06 --exclude "*" --recursive --include "*20170606*" &amp; "%USERPROFILE%\Documents\GitHub\mrs-test-scripts\Headless Mode &amp; Sideloading\WalkAndUnGZ.bat" "%USERPROFILE%\AppData\Local\Temp\OnboardLogs"\RTDC4014\2017-06-06</v>
      </c>
      <c r="AF80" s="77" t="str">
        <f t="shared" si="42"/>
        <v>"C:\Program Files (x86)\AstroGrep\AstroGrep.exe" /e /r /s /spath="%USERPROFILE%\AppData\Local\Temp\OnboardLogs" /stypes="app*4014*20170605*" /stext=" 18:.+((SYSTEM_STATE.+slice.+state.+changed )|(ment ac)|(multiple cpu faults)|(system.+state.+changed )|(\[timeout)|(PRM\|1\|D)|(kpr)|(kdp)|(train st.+moving)|(\|lc)|(penalty))"</v>
      </c>
      <c r="AG80" s="1" t="str">
        <f t="shared" si="43"/>
        <v>EC</v>
      </c>
      <c r="AH80" s="81" t="str">
        <f t="shared" si="44"/>
        <v>"%USERPROFILE%\Documents\GitHub\eaglep3\Utilities\RefineRTDCRunTimes.py" --tripid 167-05 --locoid 4014 --swversion DE.1.0.9.0 --startMP 204:458 --initTime 2017-06-05T11:52:30 --startdatetime 2017-06-05T12:00:18 --delay 2 --endMP 204:233311 --enddatetime 2017-06-05T12:36:14 --enforcementcount 0 &gt;&gt;C:\Users\stu\Documents\GitHub\eaglep3-reporting\EC\2017-06-05-refined-times.txt</v>
      </c>
      <c r="AI80" s="99" t="str">
        <f t="shared" si="45"/>
        <v>echo {"issue":{"subject":"","project_id":79,"tracker_id":40,"status_id":1,"priority_id":2,"assigned_to_id":23,"start_date":"2017-06-05","description":"","custom_fields":[{"id":1,"name":"Subdivision","value":"EC"},{"id":4,"name":"Milepost","value":"23.3311"},{"id":17,"name":"Train ID","value":"167-05"},{"id":16,"name":"Locomotive ID","value":"4014"},{"id":130,"name":"Impact","value":""},{"id":150,"name":"Time of Event (Mountain Time)","value":"12:36:14"},{"id":151,"name":"Denver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5" t="str">
        <f t="shared" si="46"/>
        <v>start /low /b %USERPROFILE%\Documents\GitHub\eaglep3\Utilities\DownloadLogsFromS3.py --loco 4014 --day 2017-06-05</v>
      </c>
      <c r="AN80" s="154" t="str">
        <f t="shared" si="47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18:36:14"},{"id":29,"name":"Sharepoint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736</v>
      </c>
      <c r="B81" s="7">
        <v>4013</v>
      </c>
      <c r="C81" s="21" t="s">
        <v>204</v>
      </c>
      <c r="D81" s="21" t="s">
        <v>855</v>
      </c>
      <c r="E81" s="13">
        <v>42891.534351851849</v>
      </c>
      <c r="F81" s="13">
        <v>42891.539814814816</v>
      </c>
      <c r="G81" s="7">
        <v>2</v>
      </c>
      <c r="H81" s="21" t="s">
        <v>401</v>
      </c>
      <c r="I81" s="13">
        <v>42891.567546296297</v>
      </c>
      <c r="J81" s="7">
        <v>0</v>
      </c>
      <c r="K81" s="92" t="str">
        <f t="shared" si="32"/>
        <v>4013/4014</v>
      </c>
      <c r="L81" s="21" t="str">
        <f>VLOOKUP(A81,'Trips&amp;Operators'!$C$1:$G$99999,5,FALSE)</f>
        <v>BRUDER RICHARD</v>
      </c>
      <c r="M81" s="6">
        <f t="shared" si="33"/>
        <v>2.7731481481168885E-2</v>
      </c>
      <c r="N81" s="7">
        <f t="shared" si="29"/>
        <v>39.933333332883194</v>
      </c>
      <c r="O81" s="7"/>
      <c r="P81" s="7"/>
      <c r="Q81" s="22"/>
      <c r="R81" s="173"/>
      <c r="S81" s="176">
        <f t="shared" si="48"/>
        <v>1</v>
      </c>
      <c r="T81" s="202" t="str">
        <f t="shared" si="34"/>
        <v>Southbound</v>
      </c>
      <c r="U81" s="202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03" t="str">
        <f t="shared" si="35"/>
        <v>https://d0f6bd738d7f1b3e5a7ca70fe4ff75f0.us-east-1.aws.found.io/app/kibana#/discover/Steve-Slow-Train-Analysis-(2080s-and-2083s)?_g=(refreshInterval:(display:Off,pause:!f,section:0,value:0),time:(from:'2017-06-05T11:49:28-0600',mode:absolute,to:'2017-06-05T14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1" s="204" t="str">
        <f t="shared" si="36"/>
        <v>N</v>
      </c>
      <c r="X81" s="204">
        <f t="shared" si="31"/>
        <v>1</v>
      </c>
      <c r="Y81" s="204">
        <f t="shared" si="37"/>
        <v>23.297499999999999</v>
      </c>
      <c r="Z81" s="204">
        <f t="shared" si="38"/>
        <v>1.54E-2</v>
      </c>
      <c r="AA81" s="204">
        <f t="shared" si="39"/>
        <v>23.2821</v>
      </c>
      <c r="AB81" s="57" t="e">
        <f>VLOOKUP(A81,Enforcements!$C$7:$K$13,8,0)</f>
        <v>#N/A</v>
      </c>
      <c r="AC81" s="53" t="e">
        <f>VLOOKUP(A81,Enforcements!$C$7:$E$13,3,0)</f>
        <v>#N/A</v>
      </c>
      <c r="AD81" s="54" t="str">
        <f t="shared" si="40"/>
        <v>0168-05</v>
      </c>
      <c r="AE81" s="80" t="str">
        <f t="shared" si="41"/>
        <v>aws s3 cp s3://rtdc.mdm.uploadarchive.raw/RTDC4013/ "%USERPROFILE%\AppData\Local\Temp\OnboardLogs"\RTDC4013\2017-06-05 --exclude "*" --recursive --include "*20170605*" &amp; "%USERPROFILE%\Documents\GitHub\mrs-test-scripts\Headless Mode &amp; Sideloading\WalkAndUnGZ.bat" "%USERPROFILE%\AppData\Local\Temp\OnboardLogs"\RTDC4013\2017-06-05 &amp; aws s3 cp s3://rtdc.mdm.uploadarchive.raw/RTDC4013/ "%USERPROFILE%\AppData\Local\Temp\OnboardLogs"\RTDC4013\2017-06-06 --exclude "*" --recursive --include "*20170606*" &amp; "%USERPROFILE%\Documents\GitHub\mrs-test-scripts\Headless Mode &amp; Sideloading\WalkAndUnGZ.bat" "%USERPROFILE%\AppData\Local\Temp\OnboardLogs"\RTDC4013\2017-06-06</v>
      </c>
      <c r="AF81" s="77" t="str">
        <f t="shared" si="42"/>
        <v>"C:\Program Files (x86)\AstroGrep\AstroGrep.exe" /e /r /s /spath="%USERPROFILE%\AppData\Local\Temp\OnboardLogs" /stypes="app*4013*20170605*" /stext=" 19:.+((SYSTEM_STATE.+slice.+state.+changed )|(ment ac)|(multiple cpu faults)|(system.+state.+changed )|(\[timeout)|(PRM\|1\|D)|(kpr)|(kdp)|(train st.+moving)|(\|lc)|(penalty))"</v>
      </c>
      <c r="AG81" s="1" t="str">
        <f t="shared" si="43"/>
        <v>EC</v>
      </c>
      <c r="AH81" s="81" t="str">
        <f t="shared" si="44"/>
        <v>"%USERPROFILE%\Documents\GitHub\eaglep3\Utilities\RefineRTDCRunTimes.py" --tripid 168-05 --locoid 4013 --swversion DE.1.0.9.0 --startMP 204:232975 --initTime 2017-06-05T12:49:28 --startdatetime 2017-06-05T12:57:20 --delay 2 --endMP 204:154 --enddatetime 2017-06-05T13:37:16 --enforcementcount 0 &gt;&gt;C:\Users\stu\Documents\GitHub\eaglep3-reporting\EC\2017-06-05-refined-times.txt</v>
      </c>
      <c r="AI81" s="99" t="str">
        <f t="shared" si="45"/>
        <v>echo {"issue":{"subject":"","project_id":79,"tracker_id":40,"status_id":1,"priority_id":2,"assigned_to_id":23,"start_date":"2017-06-05","description":"","custom_fields":[{"id":1,"name":"Subdivision","value":"EC"},{"id":4,"name":"Milepost","value":"0.0154"},{"id":17,"name":"Train ID","value":"168-05"},{"id":16,"name":"Locomotive ID","value":"4013"},{"id":130,"name":"Impact","value":""},{"id":150,"name":"Time of Event (Mountain Time)","value":"13:37:16"},{"id":151,"name":"Denver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5" t="str">
        <f t="shared" si="46"/>
        <v>start /low /b %USERPROFILE%\Documents\GitHub\eaglep3\Utilities\DownloadLogsFromS3.py --loco 4013 --day 2017-06-05</v>
      </c>
      <c r="AN81" s="154" t="str">
        <f t="shared" si="47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19:37:16"},{"id":29,"name":"Sharepoint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597</v>
      </c>
      <c r="B82" s="7">
        <v>4010</v>
      </c>
      <c r="C82" s="21" t="s">
        <v>204</v>
      </c>
      <c r="D82" s="21" t="s">
        <v>368</v>
      </c>
      <c r="E82" s="13">
        <v>42891.512060185189</v>
      </c>
      <c r="F82" s="13">
        <v>42891.514131944445</v>
      </c>
      <c r="G82" s="7">
        <v>2</v>
      </c>
      <c r="H82" s="21" t="s">
        <v>862</v>
      </c>
      <c r="I82" s="13">
        <v>42891.54451388889</v>
      </c>
      <c r="J82" s="7">
        <v>0</v>
      </c>
      <c r="K82" s="92" t="str">
        <f t="shared" si="32"/>
        <v>4009/4010</v>
      </c>
      <c r="L82" s="21" t="str">
        <f>VLOOKUP(A82,'Trips&amp;Operators'!$C$1:$G$99999,5,FALSE)</f>
        <v>BRANDNER MELINDA</v>
      </c>
      <c r="M82" s="6">
        <f t="shared" si="33"/>
        <v>3.0381944445252884E-2</v>
      </c>
      <c r="N82" s="7">
        <f t="shared" si="29"/>
        <v>43.750000001164153</v>
      </c>
      <c r="O82" s="7"/>
      <c r="P82" s="7"/>
      <c r="Q82" s="22"/>
      <c r="R82" s="173"/>
      <c r="S82" s="176">
        <f t="shared" si="48"/>
        <v>1</v>
      </c>
      <c r="T82" s="202" t="str">
        <f t="shared" si="34"/>
        <v>NorthBound</v>
      </c>
      <c r="U82" s="202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03" t="str">
        <f t="shared" si="35"/>
        <v>https://d0f6bd738d7f1b3e5a7ca70fe4ff75f0.us-east-1.aws.found.io/app/kibana#/discover/Steve-Slow-Train-Analysis-(2080s-and-2083s)?_g=(refreshInterval:(display:Off,pause:!f,section:0,value:0),time:(from:'2017-06-05T11:17:22-0600',mode:absolute,to:'2017-06-05T14:04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2" s="204" t="str">
        <f t="shared" si="36"/>
        <v>N</v>
      </c>
      <c r="X82" s="204">
        <f t="shared" si="31"/>
        <v>1</v>
      </c>
      <c r="Y82" s="204">
        <f t="shared" si="37"/>
        <v>4.5499999999999999E-2</v>
      </c>
      <c r="Z82" s="204">
        <f t="shared" si="38"/>
        <v>23.325500000000002</v>
      </c>
      <c r="AA82" s="204">
        <f t="shared" si="39"/>
        <v>23.28</v>
      </c>
      <c r="AB82" s="57" t="e">
        <f>VLOOKUP(A82,Enforcements!$C$7:$K$13,8,0)</f>
        <v>#N/A</v>
      </c>
      <c r="AC82" s="53" t="e">
        <f>VLOOKUP(A82,Enforcements!$C$7:$E$13,3,0)</f>
        <v>#N/A</v>
      </c>
      <c r="AD82" s="54" t="str">
        <f t="shared" si="40"/>
        <v>0169-05</v>
      </c>
      <c r="AE82" s="80" t="str">
        <f t="shared" si="41"/>
        <v>aws s3 cp s3://rtdc.mdm.uploadarchive.raw/RTDC4010/ "%USERPROFILE%\AppData\Local\Temp\OnboardLogs"\RTDC4010\2017-06-05 --exclude "*" --recursive --include "*20170605*" &amp; "%USERPROFILE%\Documents\GitHub\mrs-test-scripts\Headless Mode &amp; Sideloading\WalkAndUnGZ.bat" "%USERPROFILE%\AppData\Local\Temp\OnboardLogs"\RTDC4010\2017-06-05 &amp; aws s3 cp s3://rtdc.mdm.uploadarchive.raw/RTDC4010/ "%USERPROFILE%\AppData\Local\Temp\OnboardLogs"\RTDC4010\2017-06-06 --exclude "*" --recursive --include "*20170606*" &amp; "%USERPROFILE%\Documents\GitHub\mrs-test-scripts\Headless Mode &amp; Sideloading\WalkAndUnGZ.bat" "%USERPROFILE%\AppData\Local\Temp\OnboardLogs"\RTDC4010\2017-06-06</v>
      </c>
      <c r="AF82" s="77" t="str">
        <f t="shared" si="42"/>
        <v>"C:\Program Files (x86)\AstroGrep\AstroGrep.exe" /e /r /s /spath="%USERPROFILE%\AppData\Local\Temp\OnboardLogs" /stypes="app*4010*20170605*" /stext=" 19:.+((SYSTEM_STATE.+slice.+state.+changed )|(ment ac)|(multiple cpu faults)|(system.+state.+changed )|(\[timeout)|(PRM\|1\|D)|(kpr)|(kdp)|(train st.+moving)|(\|lc)|(penalty))"</v>
      </c>
      <c r="AG82" s="1" t="str">
        <f t="shared" si="43"/>
        <v>EC</v>
      </c>
      <c r="AH82" s="81" t="str">
        <f t="shared" si="44"/>
        <v>"%USERPROFILE%\Documents\GitHub\eaglep3\Utilities\RefineRTDCRunTimes.py" --tripid 169-05 --locoid 4010 --swversion DE.1.0.9.0 --startMP 204:455 --initTime 2017-06-05T12:17:22 --startdatetime 2017-06-05T12:20:21 --delay 2 --endMP 204:233255 --enddatetime 2017-06-05T13:04:06 --enforcementcount 0 &gt;&gt;C:\Users\stu\Documents\GitHub\eaglep3-reporting\EC\2017-06-05-refined-times.txt</v>
      </c>
      <c r="AI82" s="99" t="str">
        <f t="shared" si="45"/>
        <v>echo {"issue":{"subject":"","project_id":79,"tracker_id":40,"status_id":1,"priority_id":2,"assigned_to_id":23,"start_date":"2017-06-05","description":"","custom_fields":[{"id":1,"name":"Subdivision","value":"EC"},{"id":4,"name":"Milepost","value":"23.3255"},{"id":17,"name":"Train ID","value":"169-05"},{"id":16,"name":"Locomotive ID","value":"4010"},{"id":130,"name":"Impact","value":""},{"id":150,"name":"Time of Event (Mountain Time)","value":"13:04:06"},{"id":151,"name":"Denver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5" t="str">
        <f t="shared" si="46"/>
        <v>start /low /b %USERPROFILE%\Documents\GitHub\eaglep3\Utilities\DownloadLogsFromS3.py --loco 4010 --day 2017-06-05</v>
      </c>
      <c r="AN82" s="154" t="str">
        <f t="shared" si="47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19:04:06"},{"id":29,"name":"Sharepoint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600</v>
      </c>
      <c r="B83" s="7">
        <v>4009</v>
      </c>
      <c r="C83" s="21" t="s">
        <v>204</v>
      </c>
      <c r="D83" s="21" t="s">
        <v>555</v>
      </c>
      <c r="E83" s="13">
        <v>42891.548182870371</v>
      </c>
      <c r="F83" s="13">
        <v>42891.550312500003</v>
      </c>
      <c r="G83" s="7">
        <v>1</v>
      </c>
      <c r="H83" s="21" t="s">
        <v>354</v>
      </c>
      <c r="I83" s="13">
        <v>42891.578981481478</v>
      </c>
      <c r="J83" s="7">
        <v>0</v>
      </c>
      <c r="K83" s="92" t="str">
        <f t="shared" si="32"/>
        <v>4009/4010</v>
      </c>
      <c r="L83" s="21" t="str">
        <f>VLOOKUP(A83,'Trips&amp;Operators'!$C$1:$G$99999,5,FALSE)</f>
        <v>BRANDNER MELINDA</v>
      </c>
      <c r="M83" s="6">
        <f t="shared" si="33"/>
        <v>2.8668981474766042E-2</v>
      </c>
      <c r="N83" s="7">
        <f t="shared" si="29"/>
        <v>41.283333323663101</v>
      </c>
      <c r="O83" s="7"/>
      <c r="P83" s="7"/>
      <c r="Q83" s="22"/>
      <c r="R83" s="173"/>
      <c r="S83" s="176">
        <f t="shared" si="48"/>
        <v>1</v>
      </c>
      <c r="T83" s="202" t="str">
        <f t="shared" si="34"/>
        <v>Southbound</v>
      </c>
      <c r="U83" s="202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03" t="str">
        <f t="shared" si="35"/>
        <v>https://d0f6bd738d7f1b3e5a7ca70fe4ff75f0.us-east-1.aws.found.io/app/kibana#/discover/Steve-Slow-Train-Analysis-(2080s-and-2083s)?_g=(refreshInterval:(display:Off,pause:!f,section:0,value:0),time:(from:'2017-06-05T12:09:23-0600',mode:absolute,to:'2017-06-05T14:53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3" s="204" t="str">
        <f t="shared" si="36"/>
        <v>N</v>
      </c>
      <c r="X83" s="204">
        <f t="shared" si="31"/>
        <v>1</v>
      </c>
      <c r="Y83" s="204">
        <f t="shared" si="37"/>
        <v>23.2942</v>
      </c>
      <c r="Z83" s="204">
        <f t="shared" si="38"/>
        <v>1.43E-2</v>
      </c>
      <c r="AA83" s="204">
        <f t="shared" si="39"/>
        <v>23.279900000000001</v>
      </c>
      <c r="AB83" s="57" t="e">
        <f>VLOOKUP(A83,Enforcements!$C$7:$K$13,8,0)</f>
        <v>#N/A</v>
      </c>
      <c r="AC83" s="53" t="e">
        <f>VLOOKUP(A83,Enforcements!$C$7:$E$13,3,0)</f>
        <v>#N/A</v>
      </c>
      <c r="AD83" s="54" t="str">
        <f t="shared" si="40"/>
        <v>0170-05</v>
      </c>
      <c r="AE83" s="80" t="str">
        <f t="shared" si="41"/>
        <v>aws s3 cp s3://rtdc.mdm.uploadarchive.raw/RTDC4009/ "%USERPROFILE%\AppData\Local\Temp\OnboardLogs"\RTDC4009\2017-06-05 --exclude "*" --recursive --include "*20170605*" &amp; "%USERPROFILE%\Documents\GitHub\mrs-test-scripts\Headless Mode &amp; Sideloading\WalkAndUnGZ.bat" "%USERPROFILE%\AppData\Local\Temp\OnboardLogs"\RTDC4009\2017-06-05 &amp; aws s3 cp s3://rtdc.mdm.uploadarchive.raw/RTDC4009/ "%USERPROFILE%\AppData\Local\Temp\OnboardLogs"\RTDC4009\2017-06-06 --exclude "*" --recursive --include "*20170606*" &amp; "%USERPROFILE%\Documents\GitHub\mrs-test-scripts\Headless Mode &amp; Sideloading\WalkAndUnGZ.bat" "%USERPROFILE%\AppData\Local\Temp\OnboardLogs"\RTDC4009\2017-06-06</v>
      </c>
      <c r="AF83" s="77" t="str">
        <f t="shared" si="42"/>
        <v>"C:\Program Files (x86)\AstroGrep\AstroGrep.exe" /e /r /s /spath="%USERPROFILE%\AppData\Local\Temp\OnboardLogs" /stypes="app*4009*20170605*" /stext=" 19:.+((SYSTEM_STATE.+slice.+state.+changed )|(ment ac)|(multiple cpu faults)|(system.+state.+changed )|(\[timeout)|(PRM\|1\|D)|(kpr)|(kdp)|(train st.+moving)|(\|lc)|(penalty))"</v>
      </c>
      <c r="AG83" s="1" t="str">
        <f t="shared" si="43"/>
        <v>EC</v>
      </c>
      <c r="AH83" s="81" t="str">
        <f t="shared" si="44"/>
        <v>"%USERPROFILE%\Documents\GitHub\eaglep3\Utilities\RefineRTDCRunTimes.py" --tripid 170-05 --locoid 4009 --swversion DE.1.0.9.0 --startMP 204:232942 --initTime 2017-06-05T13:09:23 --startdatetime 2017-06-05T13:12:27 --delay 1 --endMP 204:143 --enddatetime 2017-06-05T13:53:44 --enforcementcount 0 &gt;&gt;C:\Users\stu\Documents\GitHub\eaglep3-reporting\EC\2017-06-05-refined-times.txt</v>
      </c>
      <c r="AI83" s="99" t="str">
        <f t="shared" si="45"/>
        <v>echo {"issue":{"subject":"","project_id":79,"tracker_id":40,"status_id":1,"priority_id":2,"assigned_to_id":23,"start_date":"2017-06-05","description":"","custom_fields":[{"id":1,"name":"Subdivision","value":"EC"},{"id":4,"name":"Milepost","value":"0.0143"},{"id":17,"name":"Train ID","value":"170-05"},{"id":16,"name":"Locomotive ID","value":"4009"},{"id":130,"name":"Impact","value":""},{"id":150,"name":"Time of Event (Mountain Time)","value":"13:53:44"},{"id":151,"name":"Denver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5" t="str">
        <f t="shared" si="46"/>
        <v>start /low /b %USERPROFILE%\Documents\GitHub\eaglep3\Utilities\DownloadLogsFromS3.py --loco 4009 --day 2017-06-05</v>
      </c>
      <c r="AN83" s="154" t="str">
        <f t="shared" si="47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19:53:44"},{"id":29,"name":"Sharepoint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594</v>
      </c>
      <c r="B84" s="7">
        <v>4020</v>
      </c>
      <c r="C84" s="21" t="s">
        <v>204</v>
      </c>
      <c r="D84" s="21" t="s">
        <v>465</v>
      </c>
      <c r="E84" s="13">
        <v>42891.518530092595</v>
      </c>
      <c r="F84" s="13">
        <v>42891.521064814813</v>
      </c>
      <c r="G84" s="7">
        <v>1</v>
      </c>
      <c r="H84" s="21" t="s">
        <v>858</v>
      </c>
      <c r="I84" s="13">
        <v>42891.548645833333</v>
      </c>
      <c r="J84" s="7">
        <v>0</v>
      </c>
      <c r="K84" s="92" t="str">
        <f t="shared" si="32"/>
        <v>4019/4020</v>
      </c>
      <c r="L84" s="21" t="str">
        <f>VLOOKUP(A84,'Trips&amp;Operators'!$C$1:$G$99999,5,FALSE)</f>
        <v>CHANDLER KELVIN</v>
      </c>
      <c r="M84" s="6">
        <f t="shared" si="33"/>
        <v>2.7581018519413192E-2</v>
      </c>
      <c r="N84" s="7">
        <f t="shared" si="29"/>
        <v>39.716666667954996</v>
      </c>
      <c r="O84" s="7"/>
      <c r="P84" s="7"/>
      <c r="Q84" s="22"/>
      <c r="R84" s="173"/>
      <c r="S84" s="176">
        <f t="shared" si="48"/>
        <v>1</v>
      </c>
      <c r="T84" s="202" t="str">
        <f t="shared" si="34"/>
        <v>NorthBound</v>
      </c>
      <c r="U84" s="202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03" t="str">
        <f t="shared" si="35"/>
        <v>https://d0f6bd738d7f1b3e5a7ca70fe4ff75f0.us-east-1.aws.found.io/app/kibana#/discover/Steve-Slow-Train-Analysis-(2080s-and-2083s)?_g=(refreshInterval:(display:Off,pause:!f,section:0,value:0),time:(from:'2017-06-05T11:26:41-0600',mode:absolute,to:'2017-06-05T14:10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4" s="204" t="str">
        <f t="shared" si="36"/>
        <v>N</v>
      </c>
      <c r="X84" s="204">
        <f t="shared" si="31"/>
        <v>1</v>
      </c>
      <c r="Y84" s="204">
        <f t="shared" si="37"/>
        <v>4.6699999999999998E-2</v>
      </c>
      <c r="Z84" s="204">
        <f t="shared" si="38"/>
        <v>23.328399999999998</v>
      </c>
      <c r="AA84" s="204">
        <f t="shared" si="39"/>
        <v>23.281699999999997</v>
      </c>
      <c r="AB84" s="57" t="str">
        <f>VLOOKUP(A84,Enforcements!$C$7:$K$13,8,0)</f>
        <v>Bulletin (2)</v>
      </c>
      <c r="AC84" s="53" t="str">
        <f>VLOOKUP(A84,Enforcements!$C$7:$E$13,3,0)</f>
        <v>GRADE CROSSING</v>
      </c>
      <c r="AD84" s="54" t="str">
        <f t="shared" si="40"/>
        <v>0171-05</v>
      </c>
      <c r="AE84" s="80" t="str">
        <f t="shared" si="41"/>
        <v>aws s3 cp s3://rtdc.mdm.uploadarchive.raw/RTDC4020/ "%USERPROFILE%\AppData\Local\Temp\OnboardLogs"\RTDC4020\2017-06-05 --exclude "*" --recursive --include "*20170605*" &amp; "%USERPROFILE%\Documents\GitHub\mrs-test-scripts\Headless Mode &amp; Sideloading\WalkAndUnGZ.bat" "%USERPROFILE%\AppData\Local\Temp\OnboardLogs"\RTDC4020\2017-06-05 &amp; aws s3 cp s3://rtdc.mdm.uploadarchive.raw/RTDC4020/ "%USERPROFILE%\AppData\Local\Temp\OnboardLogs"\RTDC4020\2017-06-06 --exclude "*" --recursive --include "*20170606*" &amp; "%USERPROFILE%\Documents\GitHub\mrs-test-scripts\Headless Mode &amp; Sideloading\WalkAndUnGZ.bat" "%USERPROFILE%\AppData\Local\Temp\OnboardLogs"\RTDC4020\2017-06-06</v>
      </c>
      <c r="AF84" s="77" t="str">
        <f t="shared" si="42"/>
        <v>"C:\Program Files (x86)\AstroGrep\AstroGrep.exe" /e /r /s /spath="%USERPROFILE%\AppData\Local\Temp\OnboardLogs" /stypes="app*4020*20170605*" /stext=" 19:.+((SYSTEM_STATE.+slice.+state.+changed )|(ment ac)|(multiple cpu faults)|(system.+state.+changed )|(\[timeout)|(PRM\|1\|D)|(kpr)|(kdp)|(train st.+moving)|(\|lc)|(penalty))"</v>
      </c>
      <c r="AG84" s="1" t="str">
        <f t="shared" si="43"/>
        <v>EC</v>
      </c>
      <c r="AH84" s="81" t="str">
        <f t="shared" si="44"/>
        <v>"%USERPROFILE%\Documents\GitHub\eaglep3\Utilities\RefineRTDCRunTimes.py" --tripid 171-05 --locoid 4020 --swversion DE.1.0.9.0 --startMP 204:467 --initTime 2017-06-05T12:26:41 --startdatetime 2017-06-05T12:30:20 --delay 1 --endMP 204:233284 --enddatetime 2017-06-05T13:10:03 --enforcementcount 0 &gt;&gt;C:\Users\stu\Documents\GitHub\eaglep3-reporting\EC\2017-06-05-refined-times.txt</v>
      </c>
      <c r="AI84" s="99" t="str">
        <f t="shared" si="45"/>
        <v>echo {"issue":{"subject":"","project_id":79,"tracker_id":40,"status_id":1,"priority_id":2,"assigned_to_id":23,"start_date":"2017-06-05","description":"","custom_fields":[{"id":1,"name":"Subdivision","value":"EC"},{"id":4,"name":"Milepost","value":"23.3284"},{"id":17,"name":"Train ID","value":"171-05"},{"id":16,"name":"Locomotive ID","value":"4020"},{"id":130,"name":"Impact","value":""},{"id":150,"name":"Time of Event (Mountain Time)","value":"13:10:03"},{"id":151,"name":"Denver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5" t="str">
        <f t="shared" si="46"/>
        <v>start /low /b %USERPROFILE%\Documents\GitHub\eaglep3\Utilities\DownloadLogsFromS3.py --loco 4020 --day 2017-06-05</v>
      </c>
      <c r="AN84" s="154" t="str">
        <f t="shared" si="47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19:10:03"},{"id":29,"name":"Sharepoint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741</v>
      </c>
      <c r="B85" s="7">
        <v>4019</v>
      </c>
      <c r="C85" s="21" t="s">
        <v>204</v>
      </c>
      <c r="D85" s="21" t="s">
        <v>863</v>
      </c>
      <c r="E85" s="13">
        <v>42891.558680555558</v>
      </c>
      <c r="F85" s="13">
        <v>42891.560694444444</v>
      </c>
      <c r="G85" s="7">
        <v>0</v>
      </c>
      <c r="H85" s="21" t="s">
        <v>864</v>
      </c>
      <c r="I85" s="13">
        <v>42891.590949074074</v>
      </c>
      <c r="J85" s="7">
        <v>0</v>
      </c>
      <c r="K85" s="92" t="str">
        <f t="shared" si="32"/>
        <v>4019/4020</v>
      </c>
      <c r="L85" s="21" t="str">
        <f>VLOOKUP(A85,'Trips&amp;Operators'!$C$1:$G$99999,5,FALSE)</f>
        <v>CHANDLER KELVIN</v>
      </c>
      <c r="M85" s="6">
        <f t="shared" si="33"/>
        <v>3.0254629629780538E-2</v>
      </c>
      <c r="N85" s="7">
        <f t="shared" si="29"/>
        <v>43.566666666883975</v>
      </c>
      <c r="O85" s="7"/>
      <c r="P85" s="7"/>
      <c r="Q85" s="22"/>
      <c r="R85" s="173"/>
      <c r="S85" s="176">
        <f t="shared" si="48"/>
        <v>1</v>
      </c>
      <c r="T85" s="202" t="str">
        <f t="shared" si="34"/>
        <v>Southbound</v>
      </c>
      <c r="U85" s="202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03" t="str">
        <f t="shared" si="35"/>
        <v>https://d0f6bd738d7f1b3e5a7ca70fe4ff75f0.us-east-1.aws.found.io/app/kibana#/discover/Steve-Slow-Train-Analysis-(2080s-and-2083s)?_g=(refreshInterval:(display:Off,pause:!f,section:0,value:0),time:(from:'2017-06-05T12:24:30-0600',mode:absolute,to:'2017-06-05T15:10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5" s="204" t="str">
        <f t="shared" si="36"/>
        <v>N</v>
      </c>
      <c r="X85" s="204">
        <f t="shared" si="31"/>
        <v>1</v>
      </c>
      <c r="Y85" s="204">
        <f t="shared" si="37"/>
        <v>23.295000000000002</v>
      </c>
      <c r="Z85" s="204">
        <f t="shared" si="38"/>
        <v>0.1177</v>
      </c>
      <c r="AA85" s="204">
        <f t="shared" si="39"/>
        <v>23.177300000000002</v>
      </c>
      <c r="AB85" s="57" t="e">
        <f>VLOOKUP(A85,Enforcements!$C$7:$K$13,8,0)</f>
        <v>#N/A</v>
      </c>
      <c r="AC85" s="53" t="e">
        <f>VLOOKUP(A85,Enforcements!$C$7:$E$13,3,0)</f>
        <v>#N/A</v>
      </c>
      <c r="AD85" s="54" t="str">
        <f t="shared" si="40"/>
        <v>0172-05</v>
      </c>
      <c r="AE85" s="80" t="str">
        <f t="shared" si="41"/>
        <v>aws s3 cp s3://rtdc.mdm.uploadarchive.raw/RTDC4019/ "%USERPROFILE%\AppData\Local\Temp\OnboardLogs"\RTDC4019\2017-06-05 --exclude "*" --recursive --include "*20170605*" &amp; "%USERPROFILE%\Documents\GitHub\mrs-test-scripts\Headless Mode &amp; Sideloading\WalkAndUnGZ.bat" "%USERPROFILE%\AppData\Local\Temp\OnboardLogs"\RTDC4019\2017-06-05 &amp; aws s3 cp s3://rtdc.mdm.uploadarchive.raw/RTDC4019/ "%USERPROFILE%\AppData\Local\Temp\OnboardLogs"\RTDC4019\2017-06-06 --exclude "*" --recursive --include "*20170606*" &amp; "%USERPROFILE%\Documents\GitHub\mrs-test-scripts\Headless Mode &amp; Sideloading\WalkAndUnGZ.bat" "%USERPROFILE%\AppData\Local\Temp\OnboardLogs"\RTDC4019\2017-06-06</v>
      </c>
      <c r="AF85" s="77" t="str">
        <f t="shared" si="42"/>
        <v>"C:\Program Files (x86)\AstroGrep\AstroGrep.exe" /e /r /s /spath="%USERPROFILE%\AppData\Local\Temp\OnboardLogs" /stypes="app*4019*20170605*" /stext=" 20:.+((SYSTEM_STATE.+slice.+state.+changed )|(ment ac)|(multiple cpu faults)|(system.+state.+changed )|(\[timeout)|(PRM\|1\|D)|(kpr)|(kdp)|(train st.+moving)|(\|lc)|(penalty))"</v>
      </c>
      <c r="AG85" s="1" t="str">
        <f t="shared" si="43"/>
        <v>EC</v>
      </c>
      <c r="AH85" s="81" t="str">
        <f t="shared" si="44"/>
        <v>"%USERPROFILE%\Documents\GitHub\eaglep3\Utilities\RefineRTDCRunTimes.py" --tripid 172-05 --locoid 4019 --swversion DE.1.0.9.0 --startMP 204:232950 --initTime 2017-06-05T13:24:30 --startdatetime 2017-06-05T13:27:24 --delay 0 --endMP 204:1177 --enddatetime 2017-06-05T14:10:58 --enforcementcount 0 &gt;&gt;C:\Users\stu\Documents\GitHub\eaglep3-reporting\EC\2017-06-05-refined-times.txt</v>
      </c>
      <c r="AI85" s="99" t="str">
        <f t="shared" si="45"/>
        <v>echo {"issue":{"subject":"","project_id":79,"tracker_id":40,"status_id":1,"priority_id":2,"assigned_to_id":23,"start_date":"2017-06-05","description":"","custom_fields":[{"id":1,"name":"Subdivision","value":"EC"},{"id":4,"name":"Milepost","value":"0.1177"},{"id":17,"name":"Train ID","value":"172-05"},{"id":16,"name":"Locomotive ID","value":"4019"},{"id":130,"name":"Impact","value":""},{"id":150,"name":"Time of Event (Mountain Time)","value":"14:10:58"},{"id":151,"name":"Denver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5" t="str">
        <f t="shared" si="46"/>
        <v>start /low /b %USERPROFILE%\Documents\GitHub\eaglep3\Utilities\DownloadLogsFromS3.py --loco 4019 --day 2017-06-05</v>
      </c>
      <c r="AN85" s="154" t="str">
        <f t="shared" si="47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20:10:58"},{"id":29,"name":"Sharepoint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735</v>
      </c>
      <c r="B86" s="7">
        <v>4062</v>
      </c>
      <c r="C86" s="21" t="s">
        <v>204</v>
      </c>
      <c r="D86" s="21" t="s">
        <v>359</v>
      </c>
      <c r="E86" s="13">
        <v>42891.529479166667</v>
      </c>
      <c r="F86" s="13">
        <v>42891.531493055554</v>
      </c>
      <c r="G86" s="7">
        <v>1</v>
      </c>
      <c r="H86" s="21" t="s">
        <v>560</v>
      </c>
      <c r="I86" s="13">
        <v>42891.557442129626</v>
      </c>
      <c r="J86" s="7">
        <v>0</v>
      </c>
      <c r="K86" s="92" t="str">
        <f t="shared" si="32"/>
        <v>4061/4062</v>
      </c>
      <c r="L86" s="21" t="str">
        <f>VLOOKUP(A86,'Trips&amp;Operators'!$C$1:$G$99999,5,FALSE)</f>
        <v>MCREYNOLDS KYLE</v>
      </c>
      <c r="M86" s="6">
        <f t="shared" si="33"/>
        <v>2.5949074071832001E-2</v>
      </c>
      <c r="N86" s="7">
        <f t="shared" si="29"/>
        <v>37.366666663438082</v>
      </c>
      <c r="O86" s="7"/>
      <c r="P86" s="7"/>
      <c r="Q86" s="22"/>
      <c r="R86" s="173"/>
      <c r="S86" s="176">
        <f t="shared" si="48"/>
        <v>1</v>
      </c>
      <c r="T86" s="202" t="str">
        <f t="shared" si="34"/>
        <v>NorthBound</v>
      </c>
      <c r="U86" s="202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03" t="str">
        <f t="shared" si="35"/>
        <v>https://d0f6bd738d7f1b3e5a7ca70fe4ff75f0.us-east-1.aws.found.io/app/kibana#/discover/Steve-Slow-Train-Analysis-(2080s-and-2083s)?_g=(refreshInterval:(display:Off,pause:!f,section:0,value:0),time:(from:'2017-06-05T11:42:27-0600',mode:absolute,to:'2017-06-05T14:22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86" s="204" t="str">
        <f t="shared" si="36"/>
        <v>N</v>
      </c>
      <c r="X86" s="204">
        <f t="shared" si="31"/>
        <v>1</v>
      </c>
      <c r="Y86" s="204">
        <f t="shared" si="37"/>
        <v>4.53E-2</v>
      </c>
      <c r="Z86" s="204">
        <f t="shared" si="38"/>
        <v>23.3338</v>
      </c>
      <c r="AA86" s="204">
        <f t="shared" si="39"/>
        <v>23.288499999999999</v>
      </c>
      <c r="AB86" s="57" t="e">
        <f>VLOOKUP(A86,Enforcements!$C$7:$K$13,8,0)</f>
        <v>#N/A</v>
      </c>
      <c r="AC86" s="53" t="e">
        <f>VLOOKUP(A86,Enforcements!$C$7:$E$13,3,0)</f>
        <v>#N/A</v>
      </c>
      <c r="AD86" s="54" t="str">
        <f t="shared" si="40"/>
        <v>0173-05</v>
      </c>
      <c r="AE86" s="80" t="str">
        <f t="shared" si="41"/>
        <v>aws s3 cp s3://rtdc.mdm.uploadarchive.raw/RTDC4062/ "%USERPROFILE%\AppData\Local\Temp\OnboardLogs"\RTDC4062\2017-06-05 --exclude "*" --recursive --include "*20170605*" &amp; "%USERPROFILE%\Documents\GitHub\mrs-test-scripts\Headless Mode &amp; Sideloading\WalkAndUnGZ.bat" "%USERPROFILE%\AppData\Local\Temp\OnboardLogs"\RTDC4062\2017-06-05 &amp; aws s3 cp s3://rtdc.mdm.uploadarchive.raw/RTDC4062/ "%USERPROFILE%\AppData\Local\Temp\OnboardLogs"\RTDC4062\2017-06-06 --exclude "*" --recursive --include "*20170606*" &amp; "%USERPROFILE%\Documents\GitHub\mrs-test-scripts\Headless Mode &amp; Sideloading\WalkAndUnGZ.bat" "%USERPROFILE%\AppData\Local\Temp\OnboardLogs"\RTDC4062\2017-06-06</v>
      </c>
      <c r="AF86" s="77" t="str">
        <f t="shared" si="42"/>
        <v>"C:\Program Files (x86)\AstroGrep\AstroGrep.exe" /e /r /s /spath="%USERPROFILE%\AppData\Local\Temp\OnboardLogs" /stypes="app*4062*20170605*" /stext=" 19:.+((SYSTEM_STATE.+slice.+state.+changed )|(ment ac)|(multiple cpu faults)|(system.+state.+changed )|(\[timeout)|(PRM\|1\|D)|(kpr)|(kdp)|(train st.+moving)|(\|lc)|(penalty))"</v>
      </c>
      <c r="AG86" s="1" t="str">
        <f t="shared" si="43"/>
        <v>EC</v>
      </c>
      <c r="AH86" s="81" t="str">
        <f t="shared" si="44"/>
        <v>"%USERPROFILE%\Documents\GitHub\eaglep3\Utilities\RefineRTDCRunTimes.py" --tripid 173-05 --locoid 4062 --swversion DE.1.0.9.0 --startMP 204:453 --initTime 2017-06-05T12:42:27 --startdatetime 2017-06-05T12:45:21 --delay 1 --endMP 204:233338 --enddatetime 2017-06-05T13:22:43 --enforcementcount 0 &gt;&gt;C:\Users\stu\Documents\GitHub\eaglep3-reporting\EC\2017-06-05-refined-times.txt</v>
      </c>
      <c r="AI86" s="99" t="str">
        <f t="shared" si="45"/>
        <v>echo {"issue":{"subject":"","project_id":79,"tracker_id":40,"status_id":1,"priority_id":2,"assigned_to_id":23,"start_date":"2017-06-05","description":"","custom_fields":[{"id":1,"name":"Subdivision","value":"EC"},{"id":4,"name":"Milepost","value":"23.3338"},{"id":17,"name":"Train ID","value":"173-05"},{"id":16,"name":"Locomotive ID","value":"4062"},{"id":130,"name":"Impact","value":""},{"id":150,"name":"Time of Event (Mountain Time)","value":"13:22:43"},{"id":151,"name":"Denver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5" t="str">
        <f t="shared" si="46"/>
        <v>start /low /b %USERPROFILE%\Documents\GitHub\eaglep3\Utilities\DownloadLogsFromS3.py --loco 4062 --day 2017-06-05</v>
      </c>
      <c r="AN86" s="154" t="str">
        <f t="shared" si="47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19:22:43"},{"id":29,"name":"Sharepoint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743</v>
      </c>
      <c r="B87" s="7">
        <v>4061</v>
      </c>
      <c r="C87" s="21" t="s">
        <v>204</v>
      </c>
      <c r="D87" s="21" t="s">
        <v>562</v>
      </c>
      <c r="E87" s="13">
        <v>42891.5625</v>
      </c>
      <c r="F87" s="13">
        <v>42891.57099537037</v>
      </c>
      <c r="G87" s="7">
        <v>1</v>
      </c>
      <c r="H87" s="21" t="s">
        <v>437</v>
      </c>
      <c r="I87" s="13">
        <v>42891.597500000003</v>
      </c>
      <c r="J87" s="7">
        <v>0</v>
      </c>
      <c r="K87" s="92" t="str">
        <f t="shared" si="32"/>
        <v>4061/4062</v>
      </c>
      <c r="L87" s="21" t="str">
        <f>VLOOKUP(A87,'Trips&amp;Operators'!$C$1:$G$99999,5,FALSE)</f>
        <v>MCREYNOLDS KYLE</v>
      </c>
      <c r="M87" s="6">
        <f t="shared" si="33"/>
        <v>2.6504629633564036E-2</v>
      </c>
      <c r="N87" s="7">
        <f t="shared" si="29"/>
        <v>38.166666672332212</v>
      </c>
      <c r="O87" s="7"/>
      <c r="P87" s="7"/>
      <c r="Q87" s="22"/>
      <c r="R87" s="173"/>
      <c r="S87" s="176">
        <f t="shared" si="48"/>
        <v>1</v>
      </c>
      <c r="T87" s="202" t="str">
        <f t="shared" si="34"/>
        <v>Southbound</v>
      </c>
      <c r="U87" s="202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03" t="str">
        <f t="shared" si="35"/>
        <v>https://d0f6bd738d7f1b3e5a7ca70fe4ff75f0.us-east-1.aws.found.io/app/kibana#/discover/Steve-Slow-Train-Analysis-(2080s-and-2083s)?_g=(refreshInterval:(display:Off,pause:!f,section:0,value:0),time:(from:'2017-06-05T12:30:00-0600',mode:absolute,to:'2017-06-05T15:20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87" s="204" t="str">
        <f t="shared" si="36"/>
        <v>N</v>
      </c>
      <c r="X87" s="204">
        <f t="shared" si="31"/>
        <v>1</v>
      </c>
      <c r="Y87" s="204">
        <f t="shared" si="37"/>
        <v>23.3017</v>
      </c>
      <c r="Z87" s="204">
        <f t="shared" si="38"/>
        <v>1.4500000000000001E-2</v>
      </c>
      <c r="AA87" s="204">
        <f t="shared" si="39"/>
        <v>23.287199999999999</v>
      </c>
      <c r="AB87" s="57" t="e">
        <f>VLOOKUP(A87,Enforcements!$C$7:$K$13,8,0)</f>
        <v>#N/A</v>
      </c>
      <c r="AC87" s="53" t="e">
        <f>VLOOKUP(A87,Enforcements!$C$7:$E$13,3,0)</f>
        <v>#N/A</v>
      </c>
      <c r="AD87" s="54" t="str">
        <f t="shared" si="40"/>
        <v>0174-05</v>
      </c>
      <c r="AE87" s="80" t="str">
        <f t="shared" si="41"/>
        <v>aws s3 cp s3://rtdc.mdm.uploadarchive.raw/RTDC4061/ "%USERPROFILE%\AppData\Local\Temp\OnboardLogs"\RTDC4061\2017-06-05 --exclude "*" --recursive --include "*20170605*" &amp; "%USERPROFILE%\Documents\GitHub\mrs-test-scripts\Headless Mode &amp; Sideloading\WalkAndUnGZ.bat" "%USERPROFILE%\AppData\Local\Temp\OnboardLogs"\RTDC4061\2017-06-05 &amp; aws s3 cp s3://rtdc.mdm.uploadarchive.raw/RTDC4061/ "%USERPROFILE%\AppData\Local\Temp\OnboardLogs"\RTDC4061\2017-06-06 --exclude "*" --recursive --include "*20170606*" &amp; "%USERPROFILE%\Documents\GitHub\mrs-test-scripts\Headless Mode &amp; Sideloading\WalkAndUnGZ.bat" "%USERPROFILE%\AppData\Local\Temp\OnboardLogs"\RTDC4061\2017-06-06</v>
      </c>
      <c r="AF87" s="77" t="str">
        <f t="shared" si="42"/>
        <v>"C:\Program Files (x86)\AstroGrep\AstroGrep.exe" /e /r /s /spath="%USERPROFILE%\AppData\Local\Temp\OnboardLogs" /stypes="app*4061*20170605*" /stext=" 20:.+((SYSTEM_STATE.+slice.+state.+changed )|(ment ac)|(multiple cpu faults)|(system.+state.+changed )|(\[timeout)|(PRM\|1\|D)|(kpr)|(kdp)|(train st.+moving)|(\|lc)|(penalty))"</v>
      </c>
      <c r="AG87" s="1" t="str">
        <f t="shared" si="43"/>
        <v>EC</v>
      </c>
      <c r="AH87" s="81" t="str">
        <f t="shared" si="44"/>
        <v>"%USERPROFILE%\Documents\GitHub\eaglep3\Utilities\RefineRTDCRunTimes.py" --tripid 174-05 --locoid 4061 --swversion DE.1.0.9.0 --startMP 204:233017 --initTime 2017-06-05T13:30:00 --startdatetime 2017-06-05T13:42:14 --delay 1 --endMP 204:145 --enddatetime 2017-06-05T14:20:24 --enforcementcount 0 &gt;&gt;C:\Users\stu\Documents\GitHub\eaglep3-reporting\EC\2017-06-05-refined-times.txt</v>
      </c>
      <c r="AI87" s="99" t="str">
        <f t="shared" si="45"/>
        <v>echo {"issue":{"subject":"","project_id":79,"tracker_id":40,"status_id":1,"priority_id":2,"assigned_to_id":23,"start_date":"2017-06-05","description":"","custom_fields":[{"id":1,"name":"Subdivision","value":"EC"},{"id":4,"name":"Milepost","value":"0.0145"},{"id":17,"name":"Train ID","value":"174-05"},{"id":16,"name":"Locomotive ID","value":"4061"},{"id":130,"name":"Impact","value":""},{"id":150,"name":"Time of Event (Mountain Time)","value":"14:20:24"},{"id":151,"name":"Denver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5" t="str">
        <f t="shared" si="46"/>
        <v>start /low /b %USERPROFILE%\Documents\GitHub\eaglep3\Utilities\DownloadLogsFromS3.py --loco 4061 --day 2017-06-05</v>
      </c>
      <c r="AN87" s="154" t="str">
        <f t="shared" si="47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20:20:24"},{"id":29,"name":"Sharepoint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737</v>
      </c>
      <c r="B88" s="7">
        <v>4016</v>
      </c>
      <c r="C88" s="21" t="s">
        <v>204</v>
      </c>
      <c r="D88" s="21" t="s">
        <v>200</v>
      </c>
      <c r="E88" s="13">
        <v>42891.538761574076</v>
      </c>
      <c r="F88" s="13">
        <v>42891.541979166665</v>
      </c>
      <c r="G88" s="7">
        <v>1</v>
      </c>
      <c r="H88" s="21" t="s">
        <v>865</v>
      </c>
      <c r="I88" s="13">
        <v>42891.569097222222</v>
      </c>
      <c r="J88" s="7">
        <v>0</v>
      </c>
      <c r="K88" s="92" t="str">
        <f t="shared" si="32"/>
        <v>4015/4016</v>
      </c>
      <c r="L88" s="21" t="str">
        <f>VLOOKUP(A88,'Trips&amp;Operators'!$C$1:$G$99999,5,FALSE)</f>
        <v>DAVIS MICHAEL</v>
      </c>
      <c r="M88" s="6">
        <f t="shared" si="33"/>
        <v>2.7118055557366461E-2</v>
      </c>
      <c r="N88" s="7">
        <f t="shared" si="29"/>
        <v>39.050000002607703</v>
      </c>
      <c r="O88" s="7"/>
      <c r="P88" s="7"/>
      <c r="Q88" s="22"/>
      <c r="R88" s="173"/>
      <c r="S88" s="176">
        <f t="shared" si="48"/>
        <v>1</v>
      </c>
      <c r="T88" s="202" t="str">
        <f t="shared" si="34"/>
        <v>NorthBound</v>
      </c>
      <c r="U88" s="202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03" t="str">
        <f t="shared" si="35"/>
        <v>https://d0f6bd738d7f1b3e5a7ca70fe4ff75f0.us-east-1.aws.found.io/app/kibana#/discover/Steve-Slow-Train-Analysis-(2080s-and-2083s)?_g=(refreshInterval:(display:Off,pause:!f,section:0,value:0),time:(from:'2017-06-05T11:55:49-0600',mode:absolute,to:'2017-06-05T14:39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8" s="204" t="str">
        <f t="shared" si="36"/>
        <v>N</v>
      </c>
      <c r="X88" s="204">
        <f t="shared" si="31"/>
        <v>1</v>
      </c>
      <c r="Y88" s="204">
        <f t="shared" si="37"/>
        <v>4.5699999999999998E-2</v>
      </c>
      <c r="Z88" s="204">
        <f t="shared" si="38"/>
        <v>23.331600000000002</v>
      </c>
      <c r="AA88" s="204">
        <f t="shared" si="39"/>
        <v>23.285900000000002</v>
      </c>
      <c r="AB88" s="57" t="e">
        <f>VLOOKUP(A88,Enforcements!$C$7:$K$13,8,0)</f>
        <v>#N/A</v>
      </c>
      <c r="AC88" s="53" t="e">
        <f>VLOOKUP(A88,Enforcements!$C$7:$E$13,3,0)</f>
        <v>#N/A</v>
      </c>
      <c r="AD88" s="54" t="str">
        <f t="shared" si="40"/>
        <v>0175-05</v>
      </c>
      <c r="AE88" s="80" t="str">
        <f t="shared" si="41"/>
        <v>aws s3 cp s3://rtdc.mdm.uploadarchive.raw/RTDC4016/ "%USERPROFILE%\AppData\Local\Temp\OnboardLogs"\RTDC4016\2017-06-05 --exclude "*" --recursive --include "*20170605*" &amp; "%USERPROFILE%\Documents\GitHub\mrs-test-scripts\Headless Mode &amp; Sideloading\WalkAndUnGZ.bat" "%USERPROFILE%\AppData\Local\Temp\OnboardLogs"\RTDC4016\2017-06-05 &amp; aws s3 cp s3://rtdc.mdm.uploadarchive.raw/RTDC4016/ "%USERPROFILE%\AppData\Local\Temp\OnboardLogs"\RTDC4016\2017-06-06 --exclude "*" --recursive --include "*20170606*" &amp; "%USERPROFILE%\Documents\GitHub\mrs-test-scripts\Headless Mode &amp; Sideloading\WalkAndUnGZ.bat" "%USERPROFILE%\AppData\Local\Temp\OnboardLogs"\RTDC4016\2017-06-06</v>
      </c>
      <c r="AF88" s="77" t="str">
        <f t="shared" si="42"/>
        <v>"C:\Program Files (x86)\AstroGrep\AstroGrep.exe" /e /r /s /spath="%USERPROFILE%\AppData\Local\Temp\OnboardLogs" /stypes="app*4016*20170605*" /stext=" 19:.+((SYSTEM_STATE.+slice.+state.+changed )|(ment ac)|(multiple cpu faults)|(system.+state.+changed )|(\[timeout)|(PRM\|1\|D)|(kpr)|(kdp)|(train st.+moving)|(\|lc)|(penalty))"</v>
      </c>
      <c r="AG88" s="1" t="str">
        <f t="shared" si="43"/>
        <v>EC</v>
      </c>
      <c r="AH88" s="81" t="str">
        <f t="shared" si="44"/>
        <v>"%USERPROFILE%\Documents\GitHub\eaglep3\Utilities\RefineRTDCRunTimes.py" --tripid 175-05 --locoid 4016 --swversion DE.1.0.9.0 --startMP 204:457 --initTime 2017-06-05T12:55:49 --startdatetime 2017-06-05T13:00:27 --delay 1 --endMP 204:233316 --enddatetime 2017-06-05T13:39:30 --enforcementcount 0 &gt;&gt;C:\Users\stu\Documents\GitHub\eaglep3-reporting\EC\2017-06-05-refined-times.txt</v>
      </c>
      <c r="AI88" s="99" t="str">
        <f t="shared" si="45"/>
        <v>echo {"issue":{"subject":"","project_id":79,"tracker_id":40,"status_id":1,"priority_id":2,"assigned_to_id":23,"start_date":"2017-06-05","description":"","custom_fields":[{"id":1,"name":"Subdivision","value":"EC"},{"id":4,"name":"Milepost","value":"23.3316"},{"id":17,"name":"Train ID","value":"175-05"},{"id":16,"name":"Locomotive ID","value":"4016"},{"id":130,"name":"Impact","value":""},{"id":150,"name":"Time of Event (Mountain Time)","value":"13:39:30"},{"id":151,"name":"Denver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5" t="str">
        <f t="shared" si="46"/>
        <v>start /low /b %USERPROFILE%\Documents\GitHub\eaglep3\Utilities\DownloadLogsFromS3.py --loco 4016 --day 2017-06-05</v>
      </c>
      <c r="AN88" s="154" t="str">
        <f t="shared" si="47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19:39:30"},{"id":29,"name":"Sharepoint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746</v>
      </c>
      <c r="B89" s="7">
        <v>4015</v>
      </c>
      <c r="C89" s="21" t="s">
        <v>204</v>
      </c>
      <c r="D89" s="21" t="s">
        <v>859</v>
      </c>
      <c r="E89" s="13">
        <v>42891.578923611109</v>
      </c>
      <c r="F89" s="13">
        <v>42891.581504629627</v>
      </c>
      <c r="G89" s="7">
        <v>1</v>
      </c>
      <c r="H89" s="21" t="s">
        <v>466</v>
      </c>
      <c r="I89" s="13">
        <v>42891.609837962962</v>
      </c>
      <c r="J89" s="7">
        <v>0</v>
      </c>
      <c r="K89" s="92" t="str">
        <f t="shared" si="32"/>
        <v>4015/4016</v>
      </c>
      <c r="L89" s="21" t="str">
        <f>VLOOKUP(A89,'Trips&amp;Operators'!$C$1:$G$99999,5,FALSE)</f>
        <v>DAVIS MICHAEL</v>
      </c>
      <c r="M89" s="6">
        <f t="shared" si="33"/>
        <v>2.8333333335467614E-2</v>
      </c>
      <c r="N89" s="7">
        <f t="shared" si="29"/>
        <v>40.800000003073364</v>
      </c>
      <c r="O89" s="7"/>
      <c r="P89" s="7"/>
      <c r="Q89" s="22"/>
      <c r="R89" s="173"/>
      <c r="S89" s="176">
        <f t="shared" si="48"/>
        <v>1</v>
      </c>
      <c r="T89" s="202" t="str">
        <f t="shared" si="34"/>
        <v>Southbound</v>
      </c>
      <c r="U89" s="202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03" t="str">
        <f t="shared" si="35"/>
        <v>https://d0f6bd738d7f1b3e5a7ca70fe4ff75f0.us-east-1.aws.found.io/app/kibana#/discover/Steve-Slow-Train-Analysis-(2080s-and-2083s)?_g=(refreshInterval:(display:Off,pause:!f,section:0,value:0),time:(from:'2017-06-05T12:53:39-0600',mode:absolute,to:'2017-06-05T15:38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9" s="204" t="str">
        <f t="shared" si="36"/>
        <v>N</v>
      </c>
      <c r="X89" s="204">
        <f t="shared" si="31"/>
        <v>1</v>
      </c>
      <c r="Y89" s="204">
        <f t="shared" si="37"/>
        <v>23.302099999999999</v>
      </c>
      <c r="Z89" s="204">
        <f t="shared" si="38"/>
        <v>1.5599999999999999E-2</v>
      </c>
      <c r="AA89" s="204">
        <f t="shared" si="39"/>
        <v>23.2865</v>
      </c>
      <c r="AB89" s="57" t="e">
        <f>VLOOKUP(A89,Enforcements!$C$7:$K$13,8,0)</f>
        <v>#N/A</v>
      </c>
      <c r="AC89" s="53" t="e">
        <f>VLOOKUP(A89,Enforcements!$C$7:$E$13,3,0)</f>
        <v>#N/A</v>
      </c>
      <c r="AD89" s="54" t="str">
        <f t="shared" si="40"/>
        <v>0176-05</v>
      </c>
      <c r="AE89" s="80" t="str">
        <f t="shared" si="41"/>
        <v>aws s3 cp s3://rtdc.mdm.uploadarchive.raw/RTDC4015/ "%USERPROFILE%\AppData\Local\Temp\OnboardLogs"\RTDC4015\2017-06-05 --exclude "*" --recursive --include "*20170605*" &amp; "%USERPROFILE%\Documents\GitHub\mrs-test-scripts\Headless Mode &amp; Sideloading\WalkAndUnGZ.bat" "%USERPROFILE%\AppData\Local\Temp\OnboardLogs"\RTDC4015\2017-06-05 &amp; aws s3 cp s3://rtdc.mdm.uploadarchive.raw/RTDC4015/ "%USERPROFILE%\AppData\Local\Temp\OnboardLogs"\RTDC4015\2017-06-06 --exclude "*" --recursive --include "*20170606*" &amp; "%USERPROFILE%\Documents\GitHub\mrs-test-scripts\Headless Mode &amp; Sideloading\WalkAndUnGZ.bat" "%USERPROFILE%\AppData\Local\Temp\OnboardLogs"\RTDC4015\2017-06-06</v>
      </c>
      <c r="AF89" s="77" t="str">
        <f t="shared" si="42"/>
        <v>"C:\Program Files (x86)\AstroGrep\AstroGrep.exe" /e /r /s /spath="%USERPROFILE%\AppData\Local\Temp\OnboardLogs" /stypes="app*4015*20170605*" /stext=" 20:.+((SYSTEM_STATE.+slice.+state.+changed )|(ment ac)|(multiple cpu faults)|(system.+state.+changed )|(\[timeout)|(PRM\|1\|D)|(kpr)|(kdp)|(train st.+moving)|(\|lc)|(penalty))"</v>
      </c>
      <c r="AG89" s="1" t="str">
        <f t="shared" si="43"/>
        <v>EC</v>
      </c>
      <c r="AH89" s="81" t="str">
        <f t="shared" si="44"/>
        <v>"%USERPROFILE%\Documents\GitHub\eaglep3\Utilities\RefineRTDCRunTimes.py" --tripid 176-05 --locoid 4015 --swversion DE.1.0.9.0 --startMP 204:233021 --initTime 2017-06-05T13:53:39 --startdatetime 2017-06-05T13:57:22 --delay 1 --endMP 204:156 --enddatetime 2017-06-05T14:38:10 --enforcementcount 0 &gt;&gt;C:\Users\stu\Documents\GitHub\eaglep3-reporting\EC\2017-06-05-refined-times.txt</v>
      </c>
      <c r="AI89" s="99" t="str">
        <f t="shared" si="45"/>
        <v>echo {"issue":{"subject":"","project_id":79,"tracker_id":40,"status_id":1,"priority_id":2,"assigned_to_id":23,"start_date":"2017-06-05","description":"","custom_fields":[{"id":1,"name":"Subdivision","value":"EC"},{"id":4,"name":"Milepost","value":"0.0156"},{"id":17,"name":"Train ID","value":"176-05"},{"id":16,"name":"Locomotive ID","value":"4015"},{"id":130,"name":"Impact","value":""},{"id":150,"name":"Time of Event (Mountain Time)","value":"14:38:10"},{"id":151,"name":"Denver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5" t="str">
        <f t="shared" si="46"/>
        <v>start /low /b %USERPROFILE%\Documents\GitHub\eaglep3\Utilities\DownloadLogsFromS3.py --loco 4015 --day 2017-06-05</v>
      </c>
      <c r="AN89" s="154" t="str">
        <f t="shared" si="47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20:38:10"},{"id":29,"name":"Sharepoint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738</v>
      </c>
      <c r="B90" s="7">
        <v>4042</v>
      </c>
      <c r="C90" s="21" t="s">
        <v>204</v>
      </c>
      <c r="D90" s="21" t="s">
        <v>200</v>
      </c>
      <c r="E90" s="13">
        <v>42891.550810185188</v>
      </c>
      <c r="F90" s="13">
        <v>42891.552233796298</v>
      </c>
      <c r="G90" s="7">
        <v>1</v>
      </c>
      <c r="H90" s="21" t="s">
        <v>484</v>
      </c>
      <c r="I90" s="13">
        <v>42891.577719907407</v>
      </c>
      <c r="J90" s="7">
        <v>0</v>
      </c>
      <c r="K90" s="92" t="str">
        <f t="shared" si="32"/>
        <v>4041/4042</v>
      </c>
      <c r="L90" s="21" t="str">
        <f>VLOOKUP(A90,'Trips&amp;Operators'!$C$1:$G$99999,5,FALSE)</f>
        <v>ROBINSON KADDIBA</v>
      </c>
      <c r="M90" s="6">
        <f t="shared" si="33"/>
        <v>2.548611110978527E-2</v>
      </c>
      <c r="N90" s="7">
        <f t="shared" si="29"/>
        <v>36.699999998090789</v>
      </c>
      <c r="O90" s="7"/>
      <c r="P90" s="7"/>
      <c r="Q90" s="22"/>
      <c r="R90" s="173"/>
      <c r="S90" s="176">
        <f t="shared" si="48"/>
        <v>1</v>
      </c>
      <c r="T90" s="202" t="str">
        <f t="shared" si="34"/>
        <v>NorthBound</v>
      </c>
      <c r="U90" s="202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03" t="str">
        <f t="shared" si="35"/>
        <v>https://d0f6bd738d7f1b3e5a7ca70fe4ff75f0.us-east-1.aws.found.io/app/kibana#/discover/Steve-Slow-Train-Analysis-(2080s-and-2083s)?_g=(refreshInterval:(display:Off,pause:!f,section:0,value:0),time:(from:'2017-06-05T12:13:10-0600',mode:absolute,to:'2017-06-05T14:51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0" s="204" t="str">
        <f t="shared" si="36"/>
        <v>N</v>
      </c>
      <c r="X90" s="204">
        <f t="shared" si="31"/>
        <v>1</v>
      </c>
      <c r="Y90" s="204">
        <f t="shared" si="37"/>
        <v>4.5699999999999998E-2</v>
      </c>
      <c r="Z90" s="204">
        <f t="shared" si="38"/>
        <v>23.331499999999998</v>
      </c>
      <c r="AA90" s="204">
        <f t="shared" si="39"/>
        <v>23.285799999999998</v>
      </c>
      <c r="AB90" s="57" t="e">
        <f>VLOOKUP(A90,Enforcements!$C$7:$K$13,8,0)</f>
        <v>#N/A</v>
      </c>
      <c r="AC90" s="53" t="e">
        <f>VLOOKUP(A90,Enforcements!$C$7:$E$13,3,0)</f>
        <v>#N/A</v>
      </c>
      <c r="AD90" s="54" t="str">
        <f t="shared" si="40"/>
        <v>0177-05</v>
      </c>
      <c r="AE90" s="80" t="str">
        <f t="shared" si="41"/>
        <v>aws s3 cp s3://rtdc.mdm.uploadarchive.raw/RTDC4042/ "%USERPROFILE%\AppData\Local\Temp\OnboardLogs"\RTDC4042\2017-06-05 --exclude "*" --recursive --include "*20170605*" &amp; "%USERPROFILE%\Documents\GitHub\mrs-test-scripts\Headless Mode &amp; Sideloading\WalkAndUnGZ.bat" "%USERPROFILE%\AppData\Local\Temp\OnboardLogs"\RTDC4042\2017-06-05 &amp; aws s3 cp s3://rtdc.mdm.uploadarchive.raw/RTDC4042/ "%USERPROFILE%\AppData\Local\Temp\OnboardLogs"\RTDC4042\2017-06-06 --exclude "*" --recursive --include "*20170606*" &amp; "%USERPROFILE%\Documents\GitHub\mrs-test-scripts\Headless Mode &amp; Sideloading\WalkAndUnGZ.bat" "%USERPROFILE%\AppData\Local\Temp\OnboardLogs"\RTDC4042\2017-06-06</v>
      </c>
      <c r="AF90" s="77" t="str">
        <f t="shared" si="42"/>
        <v>"C:\Program Files (x86)\AstroGrep\AstroGrep.exe" /e /r /s /spath="%USERPROFILE%\AppData\Local\Temp\OnboardLogs" /stypes="app*4042*20170605*" /stext=" 19:.+((SYSTEM_STATE.+slice.+state.+changed )|(ment ac)|(multiple cpu faults)|(system.+state.+changed )|(\[timeout)|(PRM\|1\|D)|(kpr)|(kdp)|(train st.+moving)|(\|lc)|(penalty))"</v>
      </c>
      <c r="AG90" s="1" t="str">
        <f t="shared" si="43"/>
        <v>EC</v>
      </c>
      <c r="AH90" s="81" t="str">
        <f t="shared" si="44"/>
        <v>"%USERPROFILE%\Documents\GitHub\eaglep3\Utilities\RefineRTDCRunTimes.py" --tripid 177-05 --locoid 4042 --swversion DE.1.0.9.0 --startMP 204:457 --initTime 2017-06-05T13:13:10 --startdatetime 2017-06-05T13:15:13 --delay 1 --endMP 204:233315 --enddatetime 2017-06-05T13:51:55 --enforcementcount 0 &gt;&gt;C:\Users\stu\Documents\GitHub\eaglep3-reporting\EC\2017-06-05-refined-times.txt</v>
      </c>
      <c r="AI90" s="99" t="str">
        <f t="shared" si="45"/>
        <v>echo {"issue":{"subject":"","project_id":79,"tracker_id":40,"status_id":1,"priority_id":2,"assigned_to_id":23,"start_date":"2017-06-05","description":"","custom_fields":[{"id":1,"name":"Subdivision","value":"EC"},{"id":4,"name":"Milepost","value":"23.3315"},{"id":17,"name":"Train ID","value":"177-05"},{"id":16,"name":"Locomotive ID","value":"4042"},{"id":130,"name":"Impact","value":""},{"id":150,"name":"Time of Event (Mountain Time)","value":"13:51:55"},{"id":151,"name":"Denver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5" t="str">
        <f t="shared" si="46"/>
        <v>start /low /b %USERPROFILE%\Documents\GitHub\eaglep3\Utilities\DownloadLogsFromS3.py --loco 4042 --day 2017-06-05</v>
      </c>
      <c r="AN90" s="154" t="str">
        <f t="shared" si="47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19:51:55"},{"id":29,"name":"Sharepoint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748</v>
      </c>
      <c r="B91" s="7">
        <v>4041</v>
      </c>
      <c r="C91" s="21" t="s">
        <v>204</v>
      </c>
      <c r="D91" s="21" t="s">
        <v>562</v>
      </c>
      <c r="E91" s="13">
        <v>42891.583993055552</v>
      </c>
      <c r="F91" s="13">
        <v>42891.591840277775</v>
      </c>
      <c r="G91" s="7">
        <v>1</v>
      </c>
      <c r="H91" s="21" t="s">
        <v>196</v>
      </c>
      <c r="I91" s="13">
        <v>42891.620266203703</v>
      </c>
      <c r="J91" s="7">
        <v>0</v>
      </c>
      <c r="K91" s="92" t="str">
        <f t="shared" si="32"/>
        <v>4041/4042</v>
      </c>
      <c r="L91" s="21" t="str">
        <f>VLOOKUP(A91,'Trips&amp;Operators'!$C$1:$G$99999,5,FALSE)</f>
        <v>ROBINSON KADDIBA</v>
      </c>
      <c r="M91" s="6">
        <f t="shared" si="33"/>
        <v>2.842592592787696E-2</v>
      </c>
      <c r="N91" s="7">
        <f t="shared" ref="N91:N113" si="49">24*60*SUM($M91:$M91)</f>
        <v>40.933333336142823</v>
      </c>
      <c r="O91" s="7"/>
      <c r="P91" s="7"/>
      <c r="Q91" s="22"/>
      <c r="R91" s="173"/>
      <c r="S91" s="176">
        <f t="shared" si="48"/>
        <v>1</v>
      </c>
      <c r="T91" s="202" t="str">
        <f t="shared" si="34"/>
        <v>Southbound</v>
      </c>
      <c r="U91" s="202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03" t="str">
        <f t="shared" si="35"/>
        <v>https://d0f6bd738d7f1b3e5a7ca70fe4ff75f0.us-east-1.aws.found.io/app/kibana#/discover/Steve-Slow-Train-Analysis-(2080s-and-2083s)?_g=(refreshInterval:(display:Off,pause:!f,section:0,value:0),time:(from:'2017-06-05T13:00:57-0600',mode:absolute,to:'2017-06-05T15:53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1" s="204" t="str">
        <f t="shared" si="36"/>
        <v>N</v>
      </c>
      <c r="X91" s="204">
        <f t="shared" si="31"/>
        <v>1</v>
      </c>
      <c r="Y91" s="204">
        <f t="shared" si="37"/>
        <v>23.3017</v>
      </c>
      <c r="Z91" s="204">
        <f t="shared" si="38"/>
        <v>1.5800000000000002E-2</v>
      </c>
      <c r="AA91" s="204">
        <f t="shared" si="39"/>
        <v>23.285900000000002</v>
      </c>
      <c r="AB91" s="57" t="e">
        <f>VLOOKUP(A91,Enforcements!$C$7:$K$13,8,0)</f>
        <v>#N/A</v>
      </c>
      <c r="AC91" s="53" t="e">
        <f>VLOOKUP(A91,Enforcements!$C$7:$E$13,3,0)</f>
        <v>#N/A</v>
      </c>
      <c r="AD91" s="54" t="str">
        <f t="shared" si="40"/>
        <v>0178-05</v>
      </c>
      <c r="AE91" s="80" t="str">
        <f t="shared" si="41"/>
        <v>aws s3 cp s3://rtdc.mdm.uploadarchive.raw/RTDC4041/ "%USERPROFILE%\AppData\Local\Temp\OnboardLogs"\RTDC4041\2017-06-05 --exclude "*" --recursive --include "*20170605*" &amp; "%USERPROFILE%\Documents\GitHub\mrs-test-scripts\Headless Mode &amp; Sideloading\WalkAndUnGZ.bat" "%USERPROFILE%\AppData\Local\Temp\OnboardLogs"\RTDC4041\2017-06-05 &amp; aws s3 cp s3://rtdc.mdm.uploadarchive.raw/RTDC4041/ "%USERPROFILE%\AppData\Local\Temp\OnboardLogs"\RTDC4041\2017-06-06 --exclude "*" --recursive --include "*20170606*" &amp; "%USERPROFILE%\Documents\GitHub\mrs-test-scripts\Headless Mode &amp; Sideloading\WalkAndUnGZ.bat" "%USERPROFILE%\AppData\Local\Temp\OnboardLogs"\RTDC4041\2017-06-06</v>
      </c>
      <c r="AF91" s="77" t="str">
        <f t="shared" si="42"/>
        <v>"C:\Program Files (x86)\AstroGrep\AstroGrep.exe" /e /r /s /spath="%USERPROFILE%\AppData\Local\Temp\OnboardLogs" /stypes="app*4041*20170605*" /stext=" 20:.+((SYSTEM_STATE.+slice.+state.+changed )|(ment ac)|(multiple cpu faults)|(system.+state.+changed )|(\[timeout)|(PRM\|1\|D)|(kpr)|(kdp)|(train st.+moving)|(\|lc)|(penalty))"</v>
      </c>
      <c r="AG91" s="1" t="str">
        <f t="shared" si="43"/>
        <v>EC</v>
      </c>
      <c r="AH91" s="81" t="str">
        <f t="shared" si="44"/>
        <v>"%USERPROFILE%\Documents\GitHub\eaglep3\Utilities\RefineRTDCRunTimes.py" --tripid 178-05 --locoid 4041 --swversion DE.1.0.9.0 --startMP 204:233017 --initTime 2017-06-05T14:00:57 --startdatetime 2017-06-05T14:12:15 --delay 1 --endMP 204:158 --enddatetime 2017-06-05T14:53:11 --enforcementcount 0 &gt;&gt;C:\Users\stu\Documents\GitHub\eaglep3-reporting\EC\2017-06-05-refined-times.txt</v>
      </c>
      <c r="AI91" s="99" t="str">
        <f t="shared" si="45"/>
        <v>echo {"issue":{"subject":"","project_id":79,"tracker_id":40,"status_id":1,"priority_id":2,"assigned_to_id":23,"start_date":"2017-06-05","description":"","custom_fields":[{"id":1,"name":"Subdivision","value":"EC"},{"id":4,"name":"Milepost","value":"0.0158"},{"id":17,"name":"Train ID","value":"178-05"},{"id":16,"name":"Locomotive ID","value":"4041"},{"id":130,"name":"Impact","value":""},{"id":150,"name":"Time of Event (Mountain Time)","value":"14:53:11"},{"id":151,"name":"Denver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5" t="str">
        <f t="shared" si="46"/>
        <v>start /low /b %USERPROFILE%\Documents\GitHub\eaglep3\Utilities\DownloadLogsFromS3.py --loco 4041 --day 2017-06-05</v>
      </c>
      <c r="AN91" s="154" t="str">
        <f t="shared" si="47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20:53:11"},{"id":29,"name":"Sharepoint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742</v>
      </c>
      <c r="B92" s="7">
        <v>4008</v>
      </c>
      <c r="C92" s="21" t="s">
        <v>204</v>
      </c>
      <c r="D92" s="21" t="s">
        <v>345</v>
      </c>
      <c r="E92" s="13">
        <v>42891.559201388889</v>
      </c>
      <c r="F92" s="13">
        <v>42891.562685185185</v>
      </c>
      <c r="G92" s="7">
        <v>1</v>
      </c>
      <c r="H92" s="21" t="s">
        <v>865</v>
      </c>
      <c r="I92" s="13">
        <v>42891.589317129627</v>
      </c>
      <c r="J92" s="7">
        <v>0</v>
      </c>
      <c r="K92" s="92" t="str">
        <f t="shared" si="32"/>
        <v>4007/4008</v>
      </c>
      <c r="L92" s="21" t="str">
        <f>VLOOKUP(A92,'Trips&amp;Operators'!$C$1:$G$99999,5,FALSE)</f>
        <v>LEVERE CRAIG</v>
      </c>
      <c r="M92" s="6">
        <f t="shared" si="33"/>
        <v>2.6631944441760425E-2</v>
      </c>
      <c r="N92" s="7">
        <f t="shared" si="49"/>
        <v>38.349999996135011</v>
      </c>
      <c r="O92" s="7"/>
      <c r="P92" s="7"/>
      <c r="Q92" s="22"/>
      <c r="R92" s="173"/>
      <c r="S92" s="176">
        <f t="shared" si="48"/>
        <v>1</v>
      </c>
      <c r="T92" s="202" t="str">
        <f t="shared" si="34"/>
        <v>NorthBound</v>
      </c>
      <c r="U92" s="202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03" t="str">
        <f t="shared" si="35"/>
        <v>https://d0f6bd738d7f1b3e5a7ca70fe4ff75f0.us-east-1.aws.found.io/app/kibana#/discover/Steve-Slow-Train-Analysis-(2080s-and-2083s)?_g=(refreshInterval:(display:Off,pause:!f,section:0,value:0),time:(from:'2017-06-05T12:25:15-0600',mode:absolute,to:'2017-06-05T15:08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2" s="204" t="str">
        <f t="shared" si="36"/>
        <v>N</v>
      </c>
      <c r="X92" s="204">
        <f t="shared" si="31"/>
        <v>1</v>
      </c>
      <c r="Y92" s="204">
        <f t="shared" si="37"/>
        <v>4.4900000000000002E-2</v>
      </c>
      <c r="Z92" s="204">
        <f t="shared" si="38"/>
        <v>23.331600000000002</v>
      </c>
      <c r="AA92" s="204">
        <f t="shared" si="39"/>
        <v>23.286700000000003</v>
      </c>
      <c r="AB92" s="57" t="e">
        <f>VLOOKUP(A92,Enforcements!$C$7:$K$13,8,0)</f>
        <v>#N/A</v>
      </c>
      <c r="AC92" s="53" t="e">
        <f>VLOOKUP(A92,Enforcements!$C$7:$E$13,3,0)</f>
        <v>#N/A</v>
      </c>
      <c r="AD92" s="54" t="str">
        <f t="shared" si="40"/>
        <v>0179-05</v>
      </c>
      <c r="AE92" s="80" t="str">
        <f t="shared" si="41"/>
        <v>aws s3 cp s3://rtdc.mdm.uploadarchive.raw/RTDC4008/ "%USERPROFILE%\AppData\Local\Temp\OnboardLogs"\RTDC4008\2017-06-05 --exclude "*" --recursive --include "*20170605*" &amp; "%USERPROFILE%\Documents\GitHub\mrs-test-scripts\Headless Mode &amp; Sideloading\WalkAndUnGZ.bat" "%USERPROFILE%\AppData\Local\Temp\OnboardLogs"\RTDC4008\2017-06-05 &amp; aws s3 cp s3://rtdc.mdm.uploadarchive.raw/RTDC4008/ "%USERPROFILE%\AppData\Local\Temp\OnboardLogs"\RTDC4008\2017-06-06 --exclude "*" --recursive --include "*20170606*" &amp; "%USERPROFILE%\Documents\GitHub\mrs-test-scripts\Headless Mode &amp; Sideloading\WalkAndUnGZ.bat" "%USERPROFILE%\AppData\Local\Temp\OnboardLogs"\RTDC4008\2017-06-06</v>
      </c>
      <c r="AF92" s="77" t="str">
        <f t="shared" si="42"/>
        <v>"C:\Program Files (x86)\AstroGrep\AstroGrep.exe" /e /r /s /spath="%USERPROFILE%\AppData\Local\Temp\OnboardLogs" /stypes="app*4008*20170605*" /stext=" 20:.+((SYSTEM_STATE.+slice.+state.+changed )|(ment ac)|(multiple cpu faults)|(system.+state.+changed )|(\[timeout)|(PRM\|1\|D)|(kpr)|(kdp)|(train st.+moving)|(\|lc)|(penalty))"</v>
      </c>
      <c r="AG92" s="1" t="str">
        <f t="shared" si="43"/>
        <v>EC</v>
      </c>
      <c r="AH92" s="81" t="str">
        <f t="shared" si="44"/>
        <v>"%USERPROFILE%\Documents\GitHub\eaglep3\Utilities\RefineRTDCRunTimes.py" --tripid 179-05 --locoid 4008 --swversion DE.1.0.9.0 --startMP 204:449 --initTime 2017-06-05T13:25:15 --startdatetime 2017-06-05T13:30:16 --delay 1 --endMP 204:233316 --enddatetime 2017-06-05T14:08:37 --enforcementcount 0 &gt;&gt;C:\Users\stu\Documents\GitHub\eaglep3-reporting\EC\2017-06-05-refined-times.txt</v>
      </c>
      <c r="AI92" s="99" t="str">
        <f t="shared" si="45"/>
        <v>echo {"issue":{"subject":"","project_id":79,"tracker_id":40,"status_id":1,"priority_id":2,"assigned_to_id":23,"start_date":"2017-06-05","description":"","custom_fields":[{"id":1,"name":"Subdivision","value":"EC"},{"id":4,"name":"Milepost","value":"23.3316"},{"id":17,"name":"Train ID","value":"179-05"},{"id":16,"name":"Locomotive ID","value":"4008"},{"id":130,"name":"Impact","value":""},{"id":150,"name":"Time of Event (Mountain Time)","value":"14:08:37"},{"id":151,"name":"Denver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5" t="str">
        <f t="shared" si="46"/>
        <v>start /low /b %USERPROFILE%\Documents\GitHub\eaglep3\Utilities\DownloadLogsFromS3.py --loco 4008 --day 2017-06-05</v>
      </c>
      <c r="AN92" s="154" t="str">
        <f t="shared" si="47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20:08:37"},{"id":29,"name":"Sharepoint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751</v>
      </c>
      <c r="B93" s="7">
        <v>4007</v>
      </c>
      <c r="C93" s="21" t="s">
        <v>204</v>
      </c>
      <c r="D93" s="21" t="s">
        <v>866</v>
      </c>
      <c r="E93" s="13">
        <v>42891.597488425927</v>
      </c>
      <c r="F93" s="13">
        <v>42891.603935185187</v>
      </c>
      <c r="G93" s="7">
        <v>1</v>
      </c>
      <c r="H93" s="21" t="s">
        <v>867</v>
      </c>
      <c r="I93" s="13">
        <v>42891.63318287037</v>
      </c>
      <c r="J93" s="7">
        <v>0</v>
      </c>
      <c r="K93" s="92" t="str">
        <f t="shared" si="32"/>
        <v>4007/4008</v>
      </c>
      <c r="L93" s="21" t="str">
        <f>VLOOKUP(A93,'Trips&amp;Operators'!$C$1:$G$99999,5,FALSE)</f>
        <v>LEVERE CRAIG</v>
      </c>
      <c r="M93" s="6">
        <f t="shared" si="33"/>
        <v>2.9247685182781424E-2</v>
      </c>
      <c r="N93" s="7">
        <f t="shared" si="49"/>
        <v>42.116666663205251</v>
      </c>
      <c r="O93" s="7"/>
      <c r="P93" s="7"/>
      <c r="Q93" s="22"/>
      <c r="R93" s="173"/>
      <c r="S93" s="176">
        <f t="shared" si="48"/>
        <v>1</v>
      </c>
      <c r="T93" s="202" t="str">
        <f t="shared" si="34"/>
        <v>Southbound</v>
      </c>
      <c r="U93" s="202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03" t="str">
        <f t="shared" si="35"/>
        <v>https://d0f6bd738d7f1b3e5a7ca70fe4ff75f0.us-east-1.aws.found.io/app/kibana#/discover/Steve-Slow-Train-Analysis-(2080s-and-2083s)?_g=(refreshInterval:(display:Off,pause:!f,section:0,value:0),time:(from:'2017-06-05T13:20:23-0600',mode:absolute,to:'2017-06-05T16:11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3" s="204" t="str">
        <f t="shared" si="36"/>
        <v>N</v>
      </c>
      <c r="X93" s="204">
        <f t="shared" si="31"/>
        <v>1</v>
      </c>
      <c r="Y93" s="204">
        <f t="shared" si="37"/>
        <v>23.300699999999999</v>
      </c>
      <c r="Z93" s="204">
        <f t="shared" si="38"/>
        <v>1.2999999999999999E-2</v>
      </c>
      <c r="AA93" s="204">
        <f t="shared" si="39"/>
        <v>23.287699999999997</v>
      </c>
      <c r="AB93" s="57" t="e">
        <f>VLOOKUP(A93,Enforcements!$C$7:$K$13,8,0)</f>
        <v>#N/A</v>
      </c>
      <c r="AC93" s="53" t="e">
        <f>VLOOKUP(A93,Enforcements!$C$7:$E$13,3,0)</f>
        <v>#N/A</v>
      </c>
      <c r="AD93" s="54" t="str">
        <f t="shared" si="40"/>
        <v>0180-05</v>
      </c>
      <c r="AE93" s="80" t="str">
        <f t="shared" si="41"/>
        <v>aws s3 cp s3://rtdc.mdm.uploadarchive.raw/RTDC4007/ "%USERPROFILE%\AppData\Local\Temp\OnboardLogs"\RTDC4007\2017-06-05 --exclude "*" --recursive --include "*20170605*" &amp; "%USERPROFILE%\Documents\GitHub\mrs-test-scripts\Headless Mode &amp; Sideloading\WalkAndUnGZ.bat" "%USERPROFILE%\AppData\Local\Temp\OnboardLogs"\RTDC4007\2017-06-05 &amp; aws s3 cp s3://rtdc.mdm.uploadarchive.raw/RTDC4007/ "%USERPROFILE%\AppData\Local\Temp\OnboardLogs"\RTDC4007\2017-06-06 --exclude "*" --recursive --include "*20170606*" &amp; "%USERPROFILE%\Documents\GitHub\mrs-test-scripts\Headless Mode &amp; Sideloading\WalkAndUnGZ.bat" "%USERPROFILE%\AppData\Local\Temp\OnboardLogs"\RTDC4007\2017-06-06</v>
      </c>
      <c r="AF93" s="77" t="str">
        <f t="shared" si="42"/>
        <v>"C:\Program Files (x86)\AstroGrep\AstroGrep.exe" /e /r /s /spath="%USERPROFILE%\AppData\Local\Temp\OnboardLogs" /stypes="app*4007*20170605*" /stext=" 21:.+((SYSTEM_STATE.+slice.+state.+changed )|(ment ac)|(multiple cpu faults)|(system.+state.+changed )|(\[timeout)|(PRM\|1\|D)|(kpr)|(kdp)|(train st.+moving)|(\|lc)|(penalty))"</v>
      </c>
      <c r="AG93" s="1" t="str">
        <f t="shared" si="43"/>
        <v>EC</v>
      </c>
      <c r="AH93" s="81" t="str">
        <f t="shared" si="44"/>
        <v>"%USERPROFILE%\Documents\GitHub\eaglep3\Utilities\RefineRTDCRunTimes.py" --tripid 180-05 --locoid 4007 --swversion DE.1.0.9.0 --startMP 204:233007 --initTime 2017-06-05T14:20:23 --startdatetime 2017-06-05T14:29:40 --delay 1 --endMP 204:130 --enddatetime 2017-06-05T15:11:47 --enforcementcount 0 &gt;&gt;C:\Users\stu\Documents\GitHub\eaglep3-reporting\EC\2017-06-05-refined-times.txt</v>
      </c>
      <c r="AI93" s="99" t="str">
        <f t="shared" si="45"/>
        <v>echo {"issue":{"subject":"","project_id":79,"tracker_id":40,"status_id":1,"priority_id":2,"assigned_to_id":23,"start_date":"2017-06-05","description":"","custom_fields":[{"id":1,"name":"Subdivision","value":"EC"},{"id":4,"name":"Milepost","value":"0.013"},{"id":17,"name":"Train ID","value":"180-05"},{"id":16,"name":"Locomotive ID","value":"4007"},{"id":130,"name":"Impact","value":""},{"id":150,"name":"Time of Event (Mountain Time)","value":"15:11:47"},{"id":151,"name":"Denver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5" t="str">
        <f t="shared" si="46"/>
        <v>start /low /b %USERPROFILE%\Documents\GitHub\eaglep3\Utilities\DownloadLogsFromS3.py --loco 4007 --day 2017-06-05</v>
      </c>
      <c r="AN93" s="154" t="str">
        <f t="shared" si="47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21:11:47"},{"id":29,"name":"Sharepoint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745</v>
      </c>
      <c r="B94" s="7">
        <v>4014</v>
      </c>
      <c r="C94" s="21" t="s">
        <v>204</v>
      </c>
      <c r="D94" s="21" t="s">
        <v>360</v>
      </c>
      <c r="E94" s="13">
        <v>42891.569444444445</v>
      </c>
      <c r="F94" s="13">
        <v>42891.573171296295</v>
      </c>
      <c r="G94" s="7">
        <v>2</v>
      </c>
      <c r="H94" s="21" t="s">
        <v>868</v>
      </c>
      <c r="I94" s="13">
        <v>42891.599016203705</v>
      </c>
      <c r="J94" s="7">
        <v>0</v>
      </c>
      <c r="K94" s="92" t="str">
        <f t="shared" si="32"/>
        <v>4013/4014</v>
      </c>
      <c r="L94" s="21" t="str">
        <f>VLOOKUP(A94,'Trips&amp;Operators'!$C$1:$G$99999,5,FALSE)</f>
        <v>BROWN JACOB</v>
      </c>
      <c r="M94" s="6">
        <f t="shared" si="33"/>
        <v>2.584490740991896E-2</v>
      </c>
      <c r="N94" s="7">
        <f t="shared" si="49"/>
        <v>37.216666670283303</v>
      </c>
      <c r="O94" s="7"/>
      <c r="P94" s="7"/>
      <c r="Q94" s="22"/>
      <c r="R94" s="173"/>
      <c r="S94" s="176">
        <f t="shared" si="48"/>
        <v>1</v>
      </c>
      <c r="T94" s="202" t="str">
        <f t="shared" si="34"/>
        <v>NorthBound</v>
      </c>
      <c r="U94" s="202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03" t="str">
        <f t="shared" si="35"/>
        <v>https://d0f6bd738d7f1b3e5a7ca70fe4ff75f0.us-east-1.aws.found.io/app/kibana#/discover/Steve-Slow-Train-Analysis-(2080s-and-2083s)?_g=(refreshInterval:(display:Off,pause:!f,section:0,value:0),time:(from:'2017-06-05T12:40:00-0600',mode:absolute,to:'2017-06-05T15:22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4" s="204" t="str">
        <f t="shared" si="36"/>
        <v>N</v>
      </c>
      <c r="X94" s="204">
        <f t="shared" si="31"/>
        <v>1</v>
      </c>
      <c r="Y94" s="204">
        <f t="shared" si="37"/>
        <v>4.4699999999999997E-2</v>
      </c>
      <c r="Z94" s="204">
        <f t="shared" si="38"/>
        <v>23.332699999999999</v>
      </c>
      <c r="AA94" s="204">
        <f t="shared" si="39"/>
        <v>23.288</v>
      </c>
      <c r="AB94" s="57" t="e">
        <f>VLOOKUP(A94,Enforcements!$C$7:$K$13,8,0)</f>
        <v>#N/A</v>
      </c>
      <c r="AC94" s="53" t="e">
        <f>VLOOKUP(A94,Enforcements!$C$7:$E$13,3,0)</f>
        <v>#N/A</v>
      </c>
      <c r="AD94" s="54" t="str">
        <f t="shared" si="40"/>
        <v>0181-05</v>
      </c>
      <c r="AE94" s="80" t="str">
        <f t="shared" si="41"/>
        <v>aws s3 cp s3://rtdc.mdm.uploadarchive.raw/RTDC4014/ "%USERPROFILE%\AppData\Local\Temp\OnboardLogs"\RTDC4014\2017-06-05 --exclude "*" --recursive --include "*20170605*" &amp; "%USERPROFILE%\Documents\GitHub\mrs-test-scripts\Headless Mode &amp; Sideloading\WalkAndUnGZ.bat" "%USERPROFILE%\AppData\Local\Temp\OnboardLogs"\RTDC4014\2017-06-05 &amp; aws s3 cp s3://rtdc.mdm.uploadarchive.raw/RTDC4014/ "%USERPROFILE%\AppData\Local\Temp\OnboardLogs"\RTDC4014\2017-06-06 --exclude "*" --recursive --include "*20170606*" &amp; "%USERPROFILE%\Documents\GitHub\mrs-test-scripts\Headless Mode &amp; Sideloading\WalkAndUnGZ.bat" "%USERPROFILE%\AppData\Local\Temp\OnboardLogs"\RTDC4014\2017-06-06</v>
      </c>
      <c r="AF94" s="77" t="str">
        <f t="shared" si="42"/>
        <v>"C:\Program Files (x86)\AstroGrep\AstroGrep.exe" /e /r /s /spath="%USERPROFILE%\AppData\Local\Temp\OnboardLogs" /stypes="app*4014*20170605*" /stext=" 20:.+((SYSTEM_STATE.+slice.+state.+changed )|(ment ac)|(multiple cpu faults)|(system.+state.+changed )|(\[timeout)|(PRM\|1\|D)|(kpr)|(kdp)|(train st.+moving)|(\|lc)|(penalty))"</v>
      </c>
      <c r="AG94" s="1" t="str">
        <f t="shared" si="43"/>
        <v>EC</v>
      </c>
      <c r="AH94" s="81" t="str">
        <f t="shared" si="44"/>
        <v>"%USERPROFILE%\Documents\GitHub\eaglep3\Utilities\RefineRTDCRunTimes.py" --tripid 181-05 --locoid 4014 --swversion DE.1.0.9.0 --startMP 204:447 --initTime 2017-06-05T13:40:00 --startdatetime 2017-06-05T13:45:22 --delay 2 --endMP 204:233327 --enddatetime 2017-06-05T14:22:35 --enforcementcount 0 &gt;&gt;C:\Users\stu\Documents\GitHub\eaglep3-reporting\EC\2017-06-05-refined-times.txt</v>
      </c>
      <c r="AI94" s="99" t="str">
        <f t="shared" si="45"/>
        <v>echo {"issue":{"subject":"","project_id":79,"tracker_id":40,"status_id":1,"priority_id":2,"assigned_to_id":23,"start_date":"2017-06-05","description":"","custom_fields":[{"id":1,"name":"Subdivision","value":"EC"},{"id":4,"name":"Milepost","value":"23.3327"},{"id":17,"name":"Train ID","value":"181-05"},{"id":16,"name":"Locomotive ID","value":"4014"},{"id":130,"name":"Impact","value":""},{"id":150,"name":"Time of Event (Mountain Time)","value":"14:22:35"},{"id":151,"name":"Denver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5" t="str">
        <f t="shared" si="46"/>
        <v>start /low /b %USERPROFILE%\Documents\GitHub\eaglep3\Utilities\DownloadLogsFromS3.py --loco 4014 --day 2017-06-05</v>
      </c>
      <c r="AN94" s="154" t="str">
        <f t="shared" si="47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20:22:35"},{"id":29,"name":"Sharepoint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753</v>
      </c>
      <c r="B95" s="7">
        <v>4013</v>
      </c>
      <c r="C95" s="21" t="s">
        <v>204</v>
      </c>
      <c r="D95" s="21" t="s">
        <v>541</v>
      </c>
      <c r="E95" s="13">
        <v>42891.605451388888</v>
      </c>
      <c r="F95" s="13">
        <v>42891.612673611111</v>
      </c>
      <c r="G95" s="7">
        <v>2</v>
      </c>
      <c r="H95" s="21" t="s">
        <v>361</v>
      </c>
      <c r="I95" s="13">
        <v>42891.639953703707</v>
      </c>
      <c r="J95" s="7">
        <v>0</v>
      </c>
      <c r="K95" s="92" t="str">
        <f t="shared" si="32"/>
        <v>4013/4014</v>
      </c>
      <c r="L95" s="21" t="str">
        <f>VLOOKUP(A95,'Trips&amp;Operators'!$C$1:$G$99999,5,FALSE)</f>
        <v>BROWN JACOB</v>
      </c>
      <c r="M95" s="6">
        <f t="shared" si="33"/>
        <v>2.7280092595901806E-2</v>
      </c>
      <c r="N95" s="7">
        <f t="shared" si="49"/>
        <v>39.283333338098601</v>
      </c>
      <c r="O95" s="7"/>
      <c r="P95" s="7"/>
      <c r="Q95" s="22"/>
      <c r="R95" s="173"/>
      <c r="S95" s="176">
        <f t="shared" si="48"/>
        <v>1</v>
      </c>
      <c r="T95" s="202" t="str">
        <f t="shared" si="34"/>
        <v>Southbound</v>
      </c>
      <c r="U95" s="202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03" t="str">
        <f t="shared" si="35"/>
        <v>https://d0f6bd738d7f1b3e5a7ca70fe4ff75f0.us-east-1.aws.found.io/app/kibana#/discover/Steve-Slow-Train-Analysis-(2080s-and-2083s)?_g=(refreshInterval:(display:Off,pause:!f,section:0,value:0),time:(from:'2017-06-05T13:31:51-0600',mode:absolute,to:'2017-06-05T16:21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5" s="204" t="str">
        <f t="shared" si="36"/>
        <v>N</v>
      </c>
      <c r="X95" s="204">
        <f t="shared" ref="X95:X102" si="50">VALUE(LEFT(AD95,4))-VALUE(LEFT(AD94,4))</f>
        <v>1</v>
      </c>
      <c r="Y95" s="204">
        <f t="shared" si="37"/>
        <v>23.301300000000001</v>
      </c>
      <c r="Z95" s="204">
        <f t="shared" si="38"/>
        <v>1.3899999999999999E-2</v>
      </c>
      <c r="AA95" s="204">
        <f t="shared" si="39"/>
        <v>23.287400000000002</v>
      </c>
      <c r="AB95" s="57" t="e">
        <f>VLOOKUP(A95,Enforcements!$C$7:$K$13,8,0)</f>
        <v>#N/A</v>
      </c>
      <c r="AC95" s="53" t="e">
        <f>VLOOKUP(A95,Enforcements!$C$7:$E$13,3,0)</f>
        <v>#N/A</v>
      </c>
      <c r="AD95" s="54" t="str">
        <f t="shared" si="40"/>
        <v>0182-05</v>
      </c>
      <c r="AE95" s="80" t="str">
        <f t="shared" si="41"/>
        <v>aws s3 cp s3://rtdc.mdm.uploadarchive.raw/RTDC4013/ "%USERPROFILE%\AppData\Local\Temp\OnboardLogs"\RTDC4013\2017-06-05 --exclude "*" --recursive --include "*20170605*" &amp; "%USERPROFILE%\Documents\GitHub\mrs-test-scripts\Headless Mode &amp; Sideloading\WalkAndUnGZ.bat" "%USERPROFILE%\AppData\Local\Temp\OnboardLogs"\RTDC4013\2017-06-05 &amp; aws s3 cp s3://rtdc.mdm.uploadarchive.raw/RTDC4013/ "%USERPROFILE%\AppData\Local\Temp\OnboardLogs"\RTDC4013\2017-06-06 --exclude "*" --recursive --include "*20170606*" &amp; "%USERPROFILE%\Documents\GitHub\mrs-test-scripts\Headless Mode &amp; Sideloading\WalkAndUnGZ.bat" "%USERPROFILE%\AppData\Local\Temp\OnboardLogs"\RTDC4013\2017-06-06</v>
      </c>
      <c r="AF95" s="77" t="str">
        <f t="shared" si="42"/>
        <v>"C:\Program Files (x86)\AstroGrep\AstroGrep.exe" /e /r /s /spath="%USERPROFILE%\AppData\Local\Temp\OnboardLogs" /stypes="app*4013*20170605*" /stext=" 21:.+((SYSTEM_STATE.+slice.+state.+changed )|(ment ac)|(multiple cpu faults)|(system.+state.+changed )|(\[timeout)|(PRM\|1\|D)|(kpr)|(kdp)|(train st.+moving)|(\|lc)|(penalty))"</v>
      </c>
      <c r="AG95" s="1" t="str">
        <f t="shared" si="43"/>
        <v>EC</v>
      </c>
      <c r="AH95" s="81" t="str">
        <f t="shared" si="44"/>
        <v>"%USERPROFILE%\Documents\GitHub\eaglep3\Utilities\RefineRTDCRunTimes.py" --tripid 182-05 --locoid 4013 --swversion DE.1.0.9.0 --startMP 204:233013 --initTime 2017-06-05T14:31:51 --startdatetime 2017-06-05T14:42:15 --delay 2 --endMP 204:139 --enddatetime 2017-06-05T15:21:32 --enforcementcount 0 &gt;&gt;C:\Users\stu\Documents\GitHub\eaglep3-reporting\EC\2017-06-05-refined-times.txt</v>
      </c>
      <c r="AI95" s="99" t="str">
        <f t="shared" si="45"/>
        <v>echo {"issue":{"subject":"","project_id":79,"tracker_id":40,"status_id":1,"priority_id":2,"assigned_to_id":23,"start_date":"2017-06-05","description":"","custom_fields":[{"id":1,"name":"Subdivision","value":"EC"},{"id":4,"name":"Milepost","value":"0.0139"},{"id":17,"name":"Train ID","value":"182-05"},{"id":16,"name":"Locomotive ID","value":"4013"},{"id":130,"name":"Impact","value":""},{"id":150,"name":"Time of Event (Mountain Time)","value":"15:21:32"},{"id":151,"name":"Denver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5" t="str">
        <f t="shared" si="46"/>
        <v>start /low /b %USERPROFILE%\Documents\GitHub\eaglep3\Utilities\DownloadLogsFromS3.py --loco 4013 --day 2017-06-05</v>
      </c>
      <c r="AN95" s="154" t="str">
        <f t="shared" si="47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21:21:32"},{"id":29,"name":"Sharepoint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747</v>
      </c>
      <c r="B96" s="7">
        <v>4010</v>
      </c>
      <c r="C96" s="21" t="s">
        <v>204</v>
      </c>
      <c r="D96" s="21" t="s">
        <v>498</v>
      </c>
      <c r="E96" s="13">
        <v>42891.581006944441</v>
      </c>
      <c r="F96" s="13">
        <v>42891.586458333331</v>
      </c>
      <c r="G96" s="7">
        <v>2</v>
      </c>
      <c r="H96" s="21" t="s">
        <v>869</v>
      </c>
      <c r="I96" s="13">
        <v>42891.612847222219</v>
      </c>
      <c r="J96" s="7">
        <v>0</v>
      </c>
      <c r="K96" s="92" t="str">
        <f t="shared" si="32"/>
        <v>4009/4010</v>
      </c>
      <c r="L96" s="21" t="str">
        <f>VLOOKUP(A96,'Trips&amp;Operators'!$C$1:$G$99999,5,FALSE)</f>
        <v>BRANDNER MELINDA</v>
      </c>
      <c r="M96" s="6">
        <f t="shared" si="33"/>
        <v>2.6388888887595385E-2</v>
      </c>
      <c r="N96" s="7">
        <f t="shared" si="49"/>
        <v>37.999999998137355</v>
      </c>
      <c r="O96" s="7"/>
      <c r="P96" s="7"/>
      <c r="Q96" s="22"/>
      <c r="R96" s="173"/>
      <c r="S96" s="176">
        <f t="shared" si="48"/>
        <v>1</v>
      </c>
      <c r="T96" s="202" t="str">
        <f t="shared" si="34"/>
        <v>NorthBound</v>
      </c>
      <c r="U96" s="202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03" t="str">
        <f t="shared" si="35"/>
        <v>https://d0f6bd738d7f1b3e5a7ca70fe4ff75f0.us-east-1.aws.found.io/app/kibana#/discover/Steve-Slow-Train-Analysis-(2080s-and-2083s)?_g=(refreshInterval:(display:Off,pause:!f,section:0,value:0),time:(from:'2017-06-05T12:56:39-0600',mode:absolute,to:'2017-06-05T15:42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6" s="204" t="str">
        <f t="shared" si="36"/>
        <v>N</v>
      </c>
      <c r="X96" s="204">
        <f t="shared" si="50"/>
        <v>1</v>
      </c>
      <c r="Y96" s="204">
        <f t="shared" si="37"/>
        <v>4.4400000000000002E-2</v>
      </c>
      <c r="Z96" s="204">
        <f t="shared" si="38"/>
        <v>23.328800000000001</v>
      </c>
      <c r="AA96" s="204">
        <f t="shared" si="39"/>
        <v>23.284400000000002</v>
      </c>
      <c r="AB96" s="57" t="e">
        <f>VLOOKUP(A96,Enforcements!$C$7:$K$13,8,0)</f>
        <v>#N/A</v>
      </c>
      <c r="AC96" s="53" t="e">
        <f>VLOOKUP(A96,Enforcements!$C$7:$E$13,3,0)</f>
        <v>#N/A</v>
      </c>
      <c r="AD96" s="54" t="str">
        <f t="shared" si="40"/>
        <v>0183-05</v>
      </c>
      <c r="AE96" s="80" t="str">
        <f t="shared" si="41"/>
        <v>aws s3 cp s3://rtdc.mdm.uploadarchive.raw/RTDC4010/ "%USERPROFILE%\AppData\Local\Temp\OnboardLogs"\RTDC4010\2017-06-05 --exclude "*" --recursive --include "*20170605*" &amp; "%USERPROFILE%\Documents\GitHub\mrs-test-scripts\Headless Mode &amp; Sideloading\WalkAndUnGZ.bat" "%USERPROFILE%\AppData\Local\Temp\OnboardLogs"\RTDC4010\2017-06-05 &amp; aws s3 cp s3://rtdc.mdm.uploadarchive.raw/RTDC4010/ "%USERPROFILE%\AppData\Local\Temp\OnboardLogs"\RTDC4010\2017-06-06 --exclude "*" --recursive --include "*20170606*" &amp; "%USERPROFILE%\Documents\GitHub\mrs-test-scripts\Headless Mode &amp; Sideloading\WalkAndUnGZ.bat" "%USERPROFILE%\AppData\Local\Temp\OnboardLogs"\RTDC4010\2017-06-06</v>
      </c>
      <c r="AF96" s="77" t="str">
        <f t="shared" si="42"/>
        <v>"C:\Program Files (x86)\AstroGrep\AstroGrep.exe" /e /r /s /spath="%USERPROFILE%\AppData\Local\Temp\OnboardLogs" /stypes="app*4010*20170605*" /stext=" 20:.+((SYSTEM_STATE.+slice.+state.+changed )|(ment ac)|(multiple cpu faults)|(system.+state.+changed )|(\[timeout)|(PRM\|1\|D)|(kpr)|(kdp)|(train st.+moving)|(\|lc)|(penalty))"</v>
      </c>
      <c r="AG96" s="1" t="str">
        <f t="shared" si="43"/>
        <v>EC</v>
      </c>
      <c r="AH96" s="81" t="str">
        <f t="shared" si="44"/>
        <v>"%USERPROFILE%\Documents\GitHub\eaglep3\Utilities\RefineRTDCRunTimes.py" --tripid 183-05 --locoid 4010 --swversion DE.1.0.9.0 --startMP 204:444 --initTime 2017-06-05T13:56:39 --startdatetime 2017-06-05T14:04:30 --delay 2 --endMP 204:233288 --enddatetime 2017-06-05T14:42:30 --enforcementcount 0 &gt;&gt;C:\Users\stu\Documents\GitHub\eaglep3-reporting\EC\2017-06-05-refined-times.txt</v>
      </c>
      <c r="AI96" s="99" t="str">
        <f t="shared" si="45"/>
        <v>echo {"issue":{"subject":"","project_id":79,"tracker_id":40,"status_id":1,"priority_id":2,"assigned_to_id":23,"start_date":"2017-06-05","description":"","custom_fields":[{"id":1,"name":"Subdivision","value":"EC"},{"id":4,"name":"Milepost","value":"23.3288"},{"id":17,"name":"Train ID","value":"183-05"},{"id":16,"name":"Locomotive ID","value":"4010"},{"id":130,"name":"Impact","value":""},{"id":150,"name":"Time of Event (Mountain Time)","value":"14:42:30"},{"id":151,"name":"Denver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5" t="str">
        <f t="shared" si="46"/>
        <v>start /low /b %USERPROFILE%\Documents\GitHub\eaglep3\Utilities\DownloadLogsFromS3.py --loco 4010 --day 2017-06-05</v>
      </c>
      <c r="AN96" s="154" t="str">
        <f t="shared" si="47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20:42:30"},{"id":29,"name":"Sharepoint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2" t="s">
        <v>755</v>
      </c>
      <c r="B97" s="7">
        <v>4009</v>
      </c>
      <c r="C97" s="21" t="s">
        <v>204</v>
      </c>
      <c r="D97" s="21" t="s">
        <v>870</v>
      </c>
      <c r="E97" s="13">
        <v>42891.61613425926</v>
      </c>
      <c r="F97" s="13">
        <v>42891.623229166667</v>
      </c>
      <c r="G97" s="7">
        <v>5</v>
      </c>
      <c r="H97" s="21" t="s">
        <v>363</v>
      </c>
      <c r="I97" s="13">
        <v>42891.651944444442</v>
      </c>
      <c r="J97" s="7">
        <v>0</v>
      </c>
      <c r="K97" s="92" t="str">
        <f t="shared" si="32"/>
        <v>4009/4010</v>
      </c>
      <c r="L97" s="21" t="str">
        <f>VLOOKUP(A97,'Trips&amp;Operators'!$C$1:$G$99999,5,FALSE)</f>
        <v>BRANDNER MELINDA</v>
      </c>
      <c r="M97" s="6">
        <f t="shared" si="33"/>
        <v>2.8715277774608694E-2</v>
      </c>
      <c r="N97" s="7">
        <f t="shared" si="49"/>
        <v>41.349999995436519</v>
      </c>
      <c r="O97" s="7"/>
      <c r="P97" s="7"/>
      <c r="Q97" s="22"/>
      <c r="R97" s="173"/>
      <c r="S97" s="176">
        <f t="shared" si="48"/>
        <v>1</v>
      </c>
      <c r="T97" s="202" t="str">
        <f t="shared" si="34"/>
        <v>Southbound</v>
      </c>
      <c r="U97" s="202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03" t="str">
        <f t="shared" si="35"/>
        <v>https://d0f6bd738d7f1b3e5a7ca70fe4ff75f0.us-east-1.aws.found.io/app/kibana#/discover/Steve-Slow-Train-Analysis-(2080s-and-2083s)?_g=(refreshInterval:(display:Off,pause:!f,section:0,value:0),time:(from:'2017-06-05T13:47:14-0600',mode:absolute,to:'2017-06-05T16:38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7" s="204" t="str">
        <f t="shared" si="36"/>
        <v>N</v>
      </c>
      <c r="X97" s="204">
        <f t="shared" si="50"/>
        <v>1</v>
      </c>
      <c r="Y97" s="204">
        <f t="shared" si="37"/>
        <v>23.2957</v>
      </c>
      <c r="Z97" s="204">
        <f t="shared" si="38"/>
        <v>1.41E-2</v>
      </c>
      <c r="AA97" s="204">
        <f t="shared" si="39"/>
        <v>23.281600000000001</v>
      </c>
      <c r="AB97" s="57" t="e">
        <f>VLOOKUP(A97,Enforcements!$C$7:$K$13,8,0)</f>
        <v>#N/A</v>
      </c>
      <c r="AC97" s="53" t="e">
        <f>VLOOKUP(A97,Enforcements!$C$7:$E$13,3,0)</f>
        <v>#N/A</v>
      </c>
      <c r="AD97" s="54" t="str">
        <f t="shared" si="40"/>
        <v>0184-05</v>
      </c>
      <c r="AE97" s="80" t="str">
        <f t="shared" si="41"/>
        <v>aws s3 cp s3://rtdc.mdm.uploadarchive.raw/RTDC4009/ "%USERPROFILE%\AppData\Local\Temp\OnboardLogs"\RTDC4009\2017-06-05 --exclude "*" --recursive --include "*20170605*" &amp; "%USERPROFILE%\Documents\GitHub\mrs-test-scripts\Headless Mode &amp; Sideloading\WalkAndUnGZ.bat" "%USERPROFILE%\AppData\Local\Temp\OnboardLogs"\RTDC4009\2017-06-05 &amp; aws s3 cp s3://rtdc.mdm.uploadarchive.raw/RTDC4009/ "%USERPROFILE%\AppData\Local\Temp\OnboardLogs"\RTDC4009\2017-06-06 --exclude "*" --recursive --include "*20170606*" &amp; "%USERPROFILE%\Documents\GitHub\mrs-test-scripts\Headless Mode &amp; Sideloading\WalkAndUnGZ.bat" "%USERPROFILE%\AppData\Local\Temp\OnboardLogs"\RTDC4009\2017-06-06</v>
      </c>
      <c r="AF97" s="77" t="str">
        <f t="shared" si="42"/>
        <v>"C:\Program Files (x86)\AstroGrep\AstroGrep.exe" /e /r /s /spath="%USERPROFILE%\AppData\Local\Temp\OnboardLogs" /stypes="app*4009*20170605*" /stext=" 21:.+((SYSTEM_STATE.+slice.+state.+changed )|(ment ac)|(multiple cpu faults)|(system.+state.+changed )|(\[timeout)|(PRM\|1\|D)|(kpr)|(kdp)|(train st.+moving)|(\|lc)|(penalty))"</v>
      </c>
      <c r="AG97" s="1" t="str">
        <f t="shared" si="43"/>
        <v>EC</v>
      </c>
      <c r="AH97" s="81" t="str">
        <f t="shared" si="44"/>
        <v>"%USERPROFILE%\Documents\GitHub\eaglep3\Utilities\RefineRTDCRunTimes.py" --tripid 184-05 --locoid 4009 --swversion DE.1.0.9.0 --startMP 204:232957 --initTime 2017-06-05T14:47:14 --startdatetime 2017-06-05T14:57:27 --delay 5 --endMP 204:141 --enddatetime 2017-06-05T15:38:48 --enforcementcount 0 &gt;&gt;C:\Users\stu\Documents\GitHub\eaglep3-reporting\EC\2017-06-05-refined-times.txt</v>
      </c>
      <c r="AI97" s="99" t="str">
        <f t="shared" si="45"/>
        <v>echo {"issue":{"subject":"","project_id":79,"tracker_id":40,"status_id":1,"priority_id":2,"assigned_to_id":23,"start_date":"2017-06-05","description":"","custom_fields":[{"id":1,"name":"Subdivision","value":"EC"},{"id":4,"name":"Milepost","value":"0.0141"},{"id":17,"name":"Train ID","value":"184-05"},{"id":16,"name":"Locomotive ID","value":"4009"},{"id":130,"name":"Impact","value":""},{"id":150,"name":"Time of Event (Mountain Time)","value":"15:38:48"},{"id":151,"name":"Denver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5" t="str">
        <f t="shared" si="46"/>
        <v>start /low /b %USERPROFILE%\Documents\GitHub\eaglep3\Utilities\DownloadLogsFromS3.py --loco 4009 --day 2017-06-05</v>
      </c>
      <c r="AN97" s="154" t="str">
        <f t="shared" si="47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21:38:48"},{"id":29,"name":"Sharepoint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8" spans="1:91" s="20" customFormat="1" x14ac:dyDescent="0.25">
      <c r="A98" s="32" t="s">
        <v>749</v>
      </c>
      <c r="B98" s="7">
        <v>4058</v>
      </c>
      <c r="C98" s="21" t="s">
        <v>204</v>
      </c>
      <c r="D98" s="21" t="s">
        <v>471</v>
      </c>
      <c r="E98" s="13">
        <v>42891.590439814812</v>
      </c>
      <c r="F98" s="13">
        <v>42891.594097222223</v>
      </c>
      <c r="G98" s="7">
        <v>1</v>
      </c>
      <c r="H98" s="21" t="s">
        <v>561</v>
      </c>
      <c r="I98" s="13">
        <v>42891.619826388887</v>
      </c>
      <c r="J98" s="7">
        <v>0</v>
      </c>
      <c r="K98" s="92" t="str">
        <f t="shared" si="32"/>
        <v>4057/4058</v>
      </c>
      <c r="L98" s="21" t="str">
        <f>VLOOKUP(A98,'Trips&amp;Operators'!$C$1:$G$99999,5,FALSE)</f>
        <v>MOSES BRADLEY</v>
      </c>
      <c r="M98" s="6">
        <f t="shared" si="33"/>
        <v>2.5729166663950309E-2</v>
      </c>
      <c r="N98" s="7">
        <f t="shared" si="49"/>
        <v>37.049999996088445</v>
      </c>
      <c r="O98" s="7"/>
      <c r="P98" s="7"/>
      <c r="Q98" s="22"/>
      <c r="R98" s="173"/>
      <c r="S98" s="176">
        <f t="shared" si="48"/>
        <v>1</v>
      </c>
      <c r="T98" s="202" t="str">
        <f t="shared" si="34"/>
        <v>NorthBound</v>
      </c>
      <c r="U98" s="202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03" t="str">
        <f t="shared" si="35"/>
        <v>https://d0f6bd738d7f1b3e5a7ca70fe4ff75f0.us-east-1.aws.found.io/app/kibana#/discover/Steve-Slow-Train-Analysis-(2080s-and-2083s)?_g=(refreshInterval:(display:Off,pause:!f,section:0,value:0),time:(from:'2017-06-05T13:10:14-0600',mode:absolute,to:'2017-06-05T15:52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98" s="204" t="str">
        <f t="shared" si="36"/>
        <v>N</v>
      </c>
      <c r="X98" s="204">
        <f t="shared" si="50"/>
        <v>1</v>
      </c>
      <c r="Y98" s="204">
        <f t="shared" si="37"/>
        <v>4.6899999999999997E-2</v>
      </c>
      <c r="Z98" s="204">
        <f t="shared" si="38"/>
        <v>23.336400000000001</v>
      </c>
      <c r="AA98" s="204">
        <f t="shared" si="39"/>
        <v>23.2895</v>
      </c>
      <c r="AB98" s="57" t="e">
        <f>VLOOKUP(A98,Enforcements!$C$7:$K$13,8,0)</f>
        <v>#N/A</v>
      </c>
      <c r="AC98" s="53" t="e">
        <f>VLOOKUP(A98,Enforcements!$C$7:$E$13,3,0)</f>
        <v>#N/A</v>
      </c>
      <c r="AD98" s="54" t="str">
        <f t="shared" si="40"/>
        <v>0185-05</v>
      </c>
      <c r="AE98" s="80" t="str">
        <f t="shared" si="41"/>
        <v>aws s3 cp s3://rtdc.mdm.uploadarchive.raw/RTDC4058/ "%USERPROFILE%\AppData\Local\Temp\OnboardLogs"\RTDC4058\2017-06-05 --exclude "*" --recursive --include "*20170605*" &amp; "%USERPROFILE%\Documents\GitHub\mrs-test-scripts\Headless Mode &amp; Sideloading\WalkAndUnGZ.bat" "%USERPROFILE%\AppData\Local\Temp\OnboardLogs"\RTDC4058\2017-06-05 &amp; aws s3 cp s3://rtdc.mdm.uploadarchive.raw/RTDC4058/ "%USERPROFILE%\AppData\Local\Temp\OnboardLogs"\RTDC4058\2017-06-06 --exclude "*" --recursive --include "*20170606*" &amp; "%USERPROFILE%\Documents\GitHub\mrs-test-scripts\Headless Mode &amp; Sideloading\WalkAndUnGZ.bat" "%USERPROFILE%\AppData\Local\Temp\OnboardLogs"\RTDC4058\2017-06-06</v>
      </c>
      <c r="AF98" s="77" t="str">
        <f t="shared" si="42"/>
        <v>"C:\Program Files (x86)\AstroGrep\AstroGrep.exe" /e /r /s /spath="%USERPROFILE%\AppData\Local\Temp\OnboardLogs" /stypes="app*4058*20170605*" /stext=" 20:.+((SYSTEM_STATE.+slice.+state.+changed )|(ment ac)|(multiple cpu faults)|(system.+state.+changed )|(\[timeout)|(PRM\|1\|D)|(kpr)|(kdp)|(train st.+moving)|(\|lc)|(penalty))"</v>
      </c>
      <c r="AG98" s="1" t="str">
        <f t="shared" si="43"/>
        <v>EC</v>
      </c>
      <c r="AH98" s="81" t="str">
        <f t="shared" si="44"/>
        <v>"%USERPROFILE%\Documents\GitHub\eaglep3\Utilities\RefineRTDCRunTimes.py" --tripid 185-05 --locoid 4058 --swversion DE.1.0.9.0 --startMP 204:469 --initTime 2017-06-05T14:10:14 --startdatetime 2017-06-05T14:15:30 --delay 1 --endMP 204:233364 --enddatetime 2017-06-05T14:52:33 --enforcementcount 0 &gt;&gt;C:\Users\stu\Documents\GitHub\eaglep3-reporting\EC\2017-06-05-refined-times.txt</v>
      </c>
      <c r="AI98" s="99" t="str">
        <f t="shared" si="45"/>
        <v>echo {"issue":{"subject":"","project_id":79,"tracker_id":40,"status_id":1,"priority_id":2,"assigned_to_id":23,"start_date":"2017-06-05","description":"","custom_fields":[{"id":1,"name":"Subdivision","value":"EC"},{"id":4,"name":"Milepost","value":"23.3364"},{"id":17,"name":"Train ID","value":"185-05"},{"id":16,"name":"Locomotive ID","value":"4058"},{"id":130,"name":"Impact","value":""},{"id":150,"name":"Time of Event (Mountain Time)","value":"14:52:33"},{"id":151,"name":"Denver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5" t="str">
        <f t="shared" si="46"/>
        <v>start /low /b %USERPROFILE%\Documents\GitHub\eaglep3\Utilities\DownloadLogsFromS3.py --loco 4058 --day 2017-06-05</v>
      </c>
      <c r="AN98" s="154" t="str">
        <f t="shared" si="47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20:52:33"},{"id":29,"name":"Sharepoint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756</v>
      </c>
      <c r="B99" s="7">
        <v>4057</v>
      </c>
      <c r="C99" s="21" t="s">
        <v>204</v>
      </c>
      <c r="D99" s="21" t="s">
        <v>871</v>
      </c>
      <c r="E99" s="13">
        <v>42891.630844907406</v>
      </c>
      <c r="F99" s="13">
        <v>42891.633622685185</v>
      </c>
      <c r="G99" s="7">
        <v>1</v>
      </c>
      <c r="H99" s="21" t="s">
        <v>195</v>
      </c>
      <c r="I99" s="13">
        <v>42891.66028935185</v>
      </c>
      <c r="J99" s="7">
        <v>0</v>
      </c>
      <c r="K99" s="92" t="str">
        <f t="shared" si="32"/>
        <v>4057/4058</v>
      </c>
      <c r="L99" s="21" t="str">
        <f>VLOOKUP(A99,'Trips&amp;Operators'!$C$1:$G$99999,5,FALSE)</f>
        <v>MOSES BRADLEY</v>
      </c>
      <c r="M99" s="6">
        <f t="shared" si="33"/>
        <v>2.6666666664823424E-2</v>
      </c>
      <c r="N99" s="7">
        <f t="shared" si="49"/>
        <v>38.399999997345731</v>
      </c>
      <c r="O99" s="7"/>
      <c r="P99" s="7"/>
      <c r="Q99" s="22"/>
      <c r="R99" s="173"/>
      <c r="S99" s="176">
        <f t="shared" si="48"/>
        <v>1</v>
      </c>
      <c r="T99" s="202" t="str">
        <f t="shared" si="34"/>
        <v>Southbound</v>
      </c>
      <c r="U99" s="202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03" t="str">
        <f t="shared" si="35"/>
        <v>https://d0f6bd738d7f1b3e5a7ca70fe4ff75f0.us-east-1.aws.found.io/app/kibana#/discover/Steve-Slow-Train-Analysis-(2080s-and-2083s)?_g=(refreshInterval:(display:Off,pause:!f,section:0,value:0),time:(from:'2017-06-05T14:08:25-0600',mode:absolute,to:'2017-06-05T16:50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99" s="204" t="str">
        <f t="shared" si="36"/>
        <v>N</v>
      </c>
      <c r="X99" s="204">
        <f t="shared" si="50"/>
        <v>1</v>
      </c>
      <c r="Y99" s="204">
        <f t="shared" si="37"/>
        <v>23.304300000000001</v>
      </c>
      <c r="Z99" s="204">
        <f t="shared" si="38"/>
        <v>1.52E-2</v>
      </c>
      <c r="AA99" s="204">
        <f t="shared" si="39"/>
        <v>23.289100000000001</v>
      </c>
      <c r="AB99" s="57" t="e">
        <f>VLOOKUP(A99,Enforcements!$C$7:$K$13,8,0)</f>
        <v>#N/A</v>
      </c>
      <c r="AC99" s="53" t="e">
        <f>VLOOKUP(A99,Enforcements!$C$7:$E$13,3,0)</f>
        <v>#N/A</v>
      </c>
      <c r="AD99" s="54" t="str">
        <f t="shared" si="40"/>
        <v>0186-05</v>
      </c>
      <c r="AE99" s="80" t="str">
        <f t="shared" si="41"/>
        <v>aws s3 cp s3://rtdc.mdm.uploadarchive.raw/RTDC4057/ "%USERPROFILE%\AppData\Local\Temp\OnboardLogs"\RTDC4057\2017-06-05 --exclude "*" --recursive --include "*20170605*" &amp; "%USERPROFILE%\Documents\GitHub\mrs-test-scripts\Headless Mode &amp; Sideloading\WalkAndUnGZ.bat" "%USERPROFILE%\AppData\Local\Temp\OnboardLogs"\RTDC4057\2017-06-05 &amp; aws s3 cp s3://rtdc.mdm.uploadarchive.raw/RTDC4057/ "%USERPROFILE%\AppData\Local\Temp\OnboardLogs"\RTDC4057\2017-06-06 --exclude "*" --recursive --include "*20170606*" &amp; "%USERPROFILE%\Documents\GitHub\mrs-test-scripts\Headless Mode &amp; Sideloading\WalkAndUnGZ.bat" "%USERPROFILE%\AppData\Local\Temp\OnboardLogs"\RTDC4057\2017-06-06</v>
      </c>
      <c r="AF99" s="77" t="str">
        <f t="shared" si="42"/>
        <v>"C:\Program Files (x86)\AstroGrep\AstroGrep.exe" /e /r /s /spath="%USERPROFILE%\AppData\Local\Temp\OnboardLogs" /stypes="app*4057*20170605*" /stext=" 21:.+((SYSTEM_STATE.+slice.+state.+changed )|(ment ac)|(multiple cpu faults)|(system.+state.+changed )|(\[timeout)|(PRM\|1\|D)|(kpr)|(kdp)|(train st.+moving)|(\|lc)|(penalty))"</v>
      </c>
      <c r="AG99" s="1" t="str">
        <f t="shared" si="43"/>
        <v>EC</v>
      </c>
      <c r="AH99" s="81" t="str">
        <f t="shared" si="44"/>
        <v>"%USERPROFILE%\Documents\GitHub\eaglep3\Utilities\RefineRTDCRunTimes.py" --tripid 186-05 --locoid 4057 --swversion DE.1.0.9.0 --startMP 204:233043 --initTime 2017-06-05T15:08:25 --startdatetime 2017-06-05T15:12:25 --delay 1 --endMP 204:152 --enddatetime 2017-06-05T15:50:49 --enforcementcount 0 &gt;&gt;C:\Users\stu\Documents\GitHub\eaglep3-reporting\EC\2017-06-05-refined-times.txt</v>
      </c>
      <c r="AI99" s="99" t="str">
        <f t="shared" si="45"/>
        <v>echo {"issue":{"subject":"","project_id":79,"tracker_id":40,"status_id":1,"priority_id":2,"assigned_to_id":23,"start_date":"2017-06-05","description":"","custom_fields":[{"id":1,"name":"Subdivision","value":"EC"},{"id":4,"name":"Milepost","value":"0.0152"},{"id":17,"name":"Train ID","value":"186-05"},{"id":16,"name":"Locomotive ID","value":"4057"},{"id":130,"name":"Impact","value":""},{"id":150,"name":"Time of Event (Mountain Time)","value":"15:50:49"},{"id":151,"name":"Denver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5" t="str">
        <f t="shared" si="46"/>
        <v>start /low /b %USERPROFILE%\Documents\GitHub\eaglep3\Utilities\DownloadLogsFromS3.py --loco 4057 --day 2017-06-05</v>
      </c>
      <c r="AN99" s="154" t="str">
        <f t="shared" si="47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21:50:49"},{"id":29,"name":"Sharepoint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752</v>
      </c>
      <c r="B100" s="7">
        <v>4062</v>
      </c>
      <c r="C100" s="21" t="s">
        <v>204</v>
      </c>
      <c r="D100" s="21" t="s">
        <v>360</v>
      </c>
      <c r="E100" s="13">
        <v>42891.599548611113</v>
      </c>
      <c r="F100" s="13">
        <v>42891.604328703703</v>
      </c>
      <c r="G100" s="7">
        <v>1</v>
      </c>
      <c r="H100" s="21" t="s">
        <v>872</v>
      </c>
      <c r="I100" s="13">
        <v>42891.630219907405</v>
      </c>
      <c r="J100" s="7">
        <v>0</v>
      </c>
      <c r="K100" s="92" t="str">
        <f t="shared" si="32"/>
        <v>4061/4062</v>
      </c>
      <c r="L100" s="21" t="str">
        <f>VLOOKUP(A100,'Trips&amp;Operators'!$C$1:$G$99999,5,FALSE)</f>
        <v>MCREYNOLDS KYLE</v>
      </c>
      <c r="M100" s="6">
        <f t="shared" si="33"/>
        <v>2.5891203702485655E-2</v>
      </c>
      <c r="N100" s="7">
        <f t="shared" si="49"/>
        <v>37.283333331579342</v>
      </c>
      <c r="O100" s="7"/>
      <c r="P100" s="7"/>
      <c r="Q100" s="22"/>
      <c r="R100" s="173"/>
      <c r="S100" s="176">
        <f t="shared" si="48"/>
        <v>1</v>
      </c>
      <c r="T100" s="202" t="str">
        <f t="shared" si="34"/>
        <v>NorthBound</v>
      </c>
      <c r="U100" s="202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03" t="str">
        <f t="shared" si="35"/>
        <v>https://d0f6bd738d7f1b3e5a7ca70fe4ff75f0.us-east-1.aws.found.io/app/kibana#/discover/Steve-Slow-Train-Analysis-(2080s-and-2083s)?_g=(refreshInterval:(display:Off,pause:!f,section:0,value:0),time:(from:'2017-06-05T13:23:21-0600',mode:absolute,to:'2017-06-05T16:07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00" s="204" t="str">
        <f t="shared" si="36"/>
        <v>N</v>
      </c>
      <c r="X100" s="204">
        <f t="shared" si="50"/>
        <v>1</v>
      </c>
      <c r="Y100" s="204">
        <f t="shared" si="37"/>
        <v>4.4699999999999997E-2</v>
      </c>
      <c r="Z100" s="204">
        <f t="shared" si="38"/>
        <v>23.336600000000001</v>
      </c>
      <c r="AA100" s="204">
        <f t="shared" si="39"/>
        <v>23.291900000000002</v>
      </c>
      <c r="AB100" s="57" t="e">
        <f>VLOOKUP(A100,Enforcements!$C$7:$K$13,8,0)</f>
        <v>#N/A</v>
      </c>
      <c r="AC100" s="53" t="e">
        <f>VLOOKUP(A100,Enforcements!$C$7:$E$13,3,0)</f>
        <v>#N/A</v>
      </c>
      <c r="AD100" s="54" t="str">
        <f t="shared" si="40"/>
        <v>0187-05</v>
      </c>
      <c r="AE100" s="80" t="str">
        <f t="shared" si="41"/>
        <v>aws s3 cp s3://rtdc.mdm.uploadarchive.raw/RTDC4062/ "%USERPROFILE%\AppData\Local\Temp\OnboardLogs"\RTDC4062\2017-06-05 --exclude "*" --recursive --include "*20170605*" &amp; "%USERPROFILE%\Documents\GitHub\mrs-test-scripts\Headless Mode &amp; Sideloading\WalkAndUnGZ.bat" "%USERPROFILE%\AppData\Local\Temp\OnboardLogs"\RTDC4062\2017-06-05 &amp; aws s3 cp s3://rtdc.mdm.uploadarchive.raw/RTDC4062/ "%USERPROFILE%\AppData\Local\Temp\OnboardLogs"\RTDC4062\2017-06-06 --exclude "*" --recursive --include "*20170606*" &amp; "%USERPROFILE%\Documents\GitHub\mrs-test-scripts\Headless Mode &amp; Sideloading\WalkAndUnGZ.bat" "%USERPROFILE%\AppData\Local\Temp\OnboardLogs"\RTDC4062\2017-06-06</v>
      </c>
      <c r="AF100" s="77" t="str">
        <f t="shared" si="42"/>
        <v>"C:\Program Files (x86)\AstroGrep\AstroGrep.exe" /e /r /s /spath="%USERPROFILE%\AppData\Local\Temp\OnboardLogs" /stypes="app*4062*20170605*" /stext=" 21:.+((SYSTEM_STATE.+slice.+state.+changed )|(ment ac)|(multiple cpu faults)|(system.+state.+changed )|(\[timeout)|(PRM\|1\|D)|(kpr)|(kdp)|(train st.+moving)|(\|lc)|(penalty))"</v>
      </c>
      <c r="AG100" s="1" t="str">
        <f t="shared" si="43"/>
        <v>EC</v>
      </c>
      <c r="AH100" s="81" t="str">
        <f t="shared" si="44"/>
        <v>"%USERPROFILE%\Documents\GitHub\eaglep3\Utilities\RefineRTDCRunTimes.py" --tripid 187-05 --locoid 4062 --swversion DE.1.0.9.0 --startMP 204:447 --initTime 2017-06-05T14:23:21 --startdatetime 2017-06-05T14:30:14 --delay 1 --endMP 204:233366 --enddatetime 2017-06-05T15:07:31 --enforcementcount 0 &gt;&gt;C:\Users\stu\Documents\GitHub\eaglep3-reporting\EC\2017-06-05-refined-times.txt</v>
      </c>
      <c r="AI100" s="99" t="str">
        <f t="shared" si="45"/>
        <v>echo {"issue":{"subject":"","project_id":79,"tracker_id":40,"status_id":1,"priority_id":2,"assigned_to_id":23,"start_date":"2017-06-05","description":"","custom_fields":[{"id":1,"name":"Subdivision","value":"EC"},{"id":4,"name":"Milepost","value":"23.3366"},{"id":17,"name":"Train ID","value":"187-05"},{"id":16,"name":"Locomotive ID","value":"4062"},{"id":130,"name":"Impact","value":""},{"id":150,"name":"Time of Event (Mountain Time)","value":"15:07:31"},{"id":151,"name":"Denver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5" t="str">
        <f t="shared" si="46"/>
        <v>start /low /b %USERPROFILE%\Documents\GitHub\eaglep3\Utilities\DownloadLogsFromS3.py --loco 4062 --day 2017-06-05</v>
      </c>
      <c r="AN100" s="154" t="str">
        <f t="shared" si="47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21:07:31"},{"id":29,"name":"Sharepoint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759</v>
      </c>
      <c r="B101" s="7">
        <v>4061</v>
      </c>
      <c r="C101" s="21" t="s">
        <v>204</v>
      </c>
      <c r="D101" s="21" t="s">
        <v>873</v>
      </c>
      <c r="E101" s="13">
        <v>42891.638472222221</v>
      </c>
      <c r="F101" s="13">
        <v>42891.643923611111</v>
      </c>
      <c r="G101" s="7">
        <v>1</v>
      </c>
      <c r="H101" s="21" t="s">
        <v>353</v>
      </c>
      <c r="I101" s="13">
        <v>42891.671122685184</v>
      </c>
      <c r="J101" s="7">
        <v>0</v>
      </c>
      <c r="K101" s="92" t="str">
        <f t="shared" si="32"/>
        <v>4061/4062</v>
      </c>
      <c r="L101" s="21" t="str">
        <f>VLOOKUP(A101,'Trips&amp;Operators'!$C$1:$G$99999,5,FALSE)</f>
        <v>MCREYNOLDS KYLE</v>
      </c>
      <c r="M101" s="6">
        <f t="shared" si="33"/>
        <v>2.7199074072996154E-2</v>
      </c>
      <c r="N101" s="7">
        <f t="shared" si="49"/>
        <v>39.166666665114462</v>
      </c>
      <c r="O101" s="7"/>
      <c r="P101" s="7"/>
      <c r="Q101" s="22"/>
      <c r="R101" s="173"/>
      <c r="S101" s="176">
        <f t="shared" si="48"/>
        <v>1</v>
      </c>
      <c r="T101" s="202" t="str">
        <f t="shared" si="34"/>
        <v>Southbound</v>
      </c>
      <c r="U101" s="202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03" t="str">
        <f t="shared" si="35"/>
        <v>https://d0f6bd738d7f1b3e5a7ca70fe4ff75f0.us-east-1.aws.found.io/app/kibana#/discover/Steve-Slow-Train-Analysis-(2080s-and-2083s)?_g=(refreshInterval:(display:Off,pause:!f,section:0,value:0),time:(from:'2017-06-05T14:19:24-0600',mode:absolute,to:'2017-06-05T17:06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01" s="204" t="str">
        <f t="shared" si="36"/>
        <v>N</v>
      </c>
      <c r="X101" s="204">
        <f t="shared" si="50"/>
        <v>1</v>
      </c>
      <c r="Y101" s="204">
        <f t="shared" si="37"/>
        <v>23.305700000000002</v>
      </c>
      <c r="Z101" s="204">
        <f t="shared" si="38"/>
        <v>1.49E-2</v>
      </c>
      <c r="AA101" s="204">
        <f t="shared" si="39"/>
        <v>23.290800000000001</v>
      </c>
      <c r="AB101" s="57" t="e">
        <f>VLOOKUP(A101,Enforcements!$C$7:$K$13,8,0)</f>
        <v>#N/A</v>
      </c>
      <c r="AC101" s="53" t="e">
        <f>VLOOKUP(A101,Enforcements!$C$7:$E$13,3,0)</f>
        <v>#N/A</v>
      </c>
      <c r="AD101" s="54" t="str">
        <f t="shared" si="40"/>
        <v>0188-05</v>
      </c>
      <c r="AE101" s="80" t="str">
        <f t="shared" si="41"/>
        <v>aws s3 cp s3://rtdc.mdm.uploadarchive.raw/RTDC4061/ "%USERPROFILE%\AppData\Local\Temp\OnboardLogs"\RTDC4061\2017-06-05 --exclude "*" --recursive --include "*20170605*" &amp; "%USERPROFILE%\Documents\GitHub\mrs-test-scripts\Headless Mode &amp; Sideloading\WalkAndUnGZ.bat" "%USERPROFILE%\AppData\Local\Temp\OnboardLogs"\RTDC4061\2017-06-05 &amp; aws s3 cp s3://rtdc.mdm.uploadarchive.raw/RTDC4061/ "%USERPROFILE%\AppData\Local\Temp\OnboardLogs"\RTDC4061\2017-06-06 --exclude "*" --recursive --include "*20170606*" &amp; "%USERPROFILE%\Documents\GitHub\mrs-test-scripts\Headless Mode &amp; Sideloading\WalkAndUnGZ.bat" "%USERPROFILE%\AppData\Local\Temp\OnboardLogs"\RTDC4061\2017-06-06</v>
      </c>
      <c r="AF101" s="77" t="str">
        <f t="shared" si="42"/>
        <v>"C:\Program Files (x86)\AstroGrep\AstroGrep.exe" /e /r /s /spath="%USERPROFILE%\AppData\Local\Temp\OnboardLogs" /stypes="app*4061*20170605*" /stext=" 22:.+((SYSTEM_STATE.+slice.+state.+changed )|(ment ac)|(multiple cpu faults)|(system.+state.+changed )|(\[timeout)|(PRM\|1\|D)|(kpr)|(kdp)|(train st.+moving)|(\|lc)|(penalty))"</v>
      </c>
      <c r="AG101" s="1" t="str">
        <f t="shared" si="43"/>
        <v>EC</v>
      </c>
      <c r="AH101" s="81" t="str">
        <f t="shared" si="44"/>
        <v>"%USERPROFILE%\Documents\GitHub\eaglep3\Utilities\RefineRTDCRunTimes.py" --tripid 188-05 --locoid 4061 --swversion DE.1.0.9.0 --startMP 204:233057 --initTime 2017-06-05T15:19:24 --startdatetime 2017-06-05T15:27:15 --delay 1 --endMP 204:149 --enddatetime 2017-06-05T16:06:25 --enforcementcount 0 &gt;&gt;C:\Users\stu\Documents\GitHub\eaglep3-reporting\EC\2017-06-05-refined-times.txt</v>
      </c>
      <c r="AI101" s="99" t="str">
        <f t="shared" si="45"/>
        <v>echo {"issue":{"subject":"","project_id":79,"tracker_id":40,"status_id":1,"priority_id":2,"assigned_to_id":23,"start_date":"2017-06-05","description":"","custom_fields":[{"id":1,"name":"Subdivision","value":"EC"},{"id":4,"name":"Milepost","value":"0.0149"},{"id":17,"name":"Train ID","value":"188-05"},{"id":16,"name":"Locomotive ID","value":"4061"},{"id":130,"name":"Impact","value":""},{"id":150,"name":"Time of Event (Mountain Time)","value":"16:06:25"},{"id":151,"name":"Denver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5" t="str">
        <f t="shared" si="46"/>
        <v>start /low /b %USERPROFILE%\Documents\GitHub\eaglep3\Utilities\DownloadLogsFromS3.py --loco 4061 --day 2017-06-05</v>
      </c>
      <c r="AN101" s="154" t="str">
        <f t="shared" si="47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22:06:25"},{"id":29,"name":"Sharepoint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x14ac:dyDescent="0.25">
      <c r="A102" s="32" t="s">
        <v>754</v>
      </c>
      <c r="B102" s="7">
        <v>4016</v>
      </c>
      <c r="C102" s="21" t="s">
        <v>204</v>
      </c>
      <c r="D102" s="21" t="s">
        <v>368</v>
      </c>
      <c r="E102" s="13">
        <v>42891.613287037035</v>
      </c>
      <c r="F102" s="13">
        <v>42891.615011574075</v>
      </c>
      <c r="G102" s="7">
        <v>1</v>
      </c>
      <c r="H102" s="21" t="s">
        <v>874</v>
      </c>
      <c r="I102" s="13">
        <v>42891.640914351854</v>
      </c>
      <c r="J102" s="7">
        <v>0</v>
      </c>
      <c r="K102" s="92" t="str">
        <f t="shared" si="32"/>
        <v>4015/4016</v>
      </c>
      <c r="L102" s="21" t="str">
        <f>VLOOKUP(A102,'Trips&amp;Operators'!$C$1:$G$99999,5,FALSE)</f>
        <v>DAVIS MICHAEL</v>
      </c>
      <c r="M102" s="6">
        <f t="shared" si="33"/>
        <v>2.5902777779265307E-2</v>
      </c>
      <c r="N102" s="7">
        <f t="shared" si="49"/>
        <v>37.300000002142042</v>
      </c>
      <c r="O102" s="7"/>
      <c r="P102" s="7"/>
      <c r="Q102" s="22"/>
      <c r="R102" s="173"/>
      <c r="S102" s="176">
        <f t="shared" si="48"/>
        <v>1</v>
      </c>
      <c r="T102" s="202" t="str">
        <f t="shared" si="34"/>
        <v>NorthBound</v>
      </c>
      <c r="U102" s="202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03" t="str">
        <f t="shared" si="35"/>
        <v>https://d0f6bd738d7f1b3e5a7ca70fe4ff75f0.us-east-1.aws.found.io/app/kibana#/discover/Steve-Slow-Train-Analysis-(2080s-and-2083s)?_g=(refreshInterval:(display:Off,pause:!f,section:0,value:0),time:(from:'2017-06-05T13:43:08-0600',mode:absolute,to:'2017-06-05T16:22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2" s="204" t="str">
        <f t="shared" si="36"/>
        <v>N</v>
      </c>
      <c r="X102" s="204">
        <f t="shared" si="50"/>
        <v>1</v>
      </c>
      <c r="Y102" s="204">
        <f t="shared" si="37"/>
        <v>4.5499999999999999E-2</v>
      </c>
      <c r="Z102" s="204">
        <f t="shared" si="38"/>
        <v>23.338699999999999</v>
      </c>
      <c r="AA102" s="204">
        <f t="shared" si="39"/>
        <v>23.293199999999999</v>
      </c>
      <c r="AB102" s="57" t="e">
        <f>VLOOKUP(A102,Enforcements!$C$7:$K$13,8,0)</f>
        <v>#N/A</v>
      </c>
      <c r="AC102" s="53" t="e">
        <f>VLOOKUP(A102,Enforcements!$C$7:$E$13,3,0)</f>
        <v>#N/A</v>
      </c>
      <c r="AD102" s="54" t="str">
        <f t="shared" si="40"/>
        <v>0189-05</v>
      </c>
      <c r="AE102" s="80" t="str">
        <f t="shared" si="41"/>
        <v>aws s3 cp s3://rtdc.mdm.uploadarchive.raw/RTDC4016/ "%USERPROFILE%\AppData\Local\Temp\OnboardLogs"\RTDC4016\2017-06-05 --exclude "*" --recursive --include "*20170605*" &amp; "%USERPROFILE%\Documents\GitHub\mrs-test-scripts\Headless Mode &amp; Sideloading\WalkAndUnGZ.bat" "%USERPROFILE%\AppData\Local\Temp\OnboardLogs"\RTDC4016\2017-06-05 &amp; aws s3 cp s3://rtdc.mdm.uploadarchive.raw/RTDC4016/ "%USERPROFILE%\AppData\Local\Temp\OnboardLogs"\RTDC4016\2017-06-06 --exclude "*" --recursive --include "*20170606*" &amp; "%USERPROFILE%\Documents\GitHub\mrs-test-scripts\Headless Mode &amp; Sideloading\WalkAndUnGZ.bat" "%USERPROFILE%\AppData\Local\Temp\OnboardLogs"\RTDC4016\2017-06-06</v>
      </c>
      <c r="AF102" s="77" t="str">
        <f t="shared" si="42"/>
        <v>"C:\Program Files (x86)\AstroGrep\AstroGrep.exe" /e /r /s /spath="%USERPROFILE%\AppData\Local\Temp\OnboardLogs" /stypes="app*4016*20170605*" /stext=" 21:.+((SYSTEM_STATE.+slice.+state.+changed )|(ment ac)|(multiple cpu faults)|(system.+state.+changed )|(\[timeout)|(PRM\|1\|D)|(kpr)|(kdp)|(train st.+moving)|(\|lc)|(penalty))"</v>
      </c>
      <c r="AG102" s="1" t="str">
        <f t="shared" si="43"/>
        <v>EC</v>
      </c>
      <c r="AH102" s="81" t="str">
        <f t="shared" si="44"/>
        <v>"%USERPROFILE%\Documents\GitHub\eaglep3\Utilities\RefineRTDCRunTimes.py" --tripid 189-05 --locoid 4016 --swversion DE.1.0.9.0 --startMP 204:455 --initTime 2017-06-05T14:43:08 --startdatetime 2017-06-05T14:45:37 --delay 1 --endMP 204:233387 --enddatetime 2017-06-05T15:22:55 --enforcementcount 0 &gt;&gt;C:\Users\stu\Documents\GitHub\eaglep3-reporting\EC\2017-06-05-refined-times.txt</v>
      </c>
      <c r="AI102" s="99" t="str">
        <f t="shared" si="45"/>
        <v>echo {"issue":{"subject":"","project_id":79,"tracker_id":40,"status_id":1,"priority_id":2,"assigned_to_id":23,"start_date":"2017-06-05","description":"","custom_fields":[{"id":1,"name":"Subdivision","value":"EC"},{"id":4,"name":"Milepost","value":"23.3387"},{"id":17,"name":"Train ID","value":"189-05"},{"id":16,"name":"Locomotive ID","value":"4016"},{"id":130,"name":"Impact","value":""},{"id":150,"name":"Time of Event (Mountain Time)","value":"15:22:55"},{"id":151,"name":"Denver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20"/>
      <c r="AK102" s="47"/>
      <c r="AL102" s="47"/>
      <c r="AM102" s="145" t="str">
        <f t="shared" si="46"/>
        <v>start /low /b %USERPROFILE%\Documents\GitHub\eaglep3\Utilities\DownloadLogsFromS3.py --loco 4016 --day 2017-06-05</v>
      </c>
      <c r="AN102" s="154" t="str">
        <f t="shared" si="47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21:22:55"},{"id":29,"name":"Sharepoint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3" spans="1:91" s="20" customFormat="1" x14ac:dyDescent="0.25">
      <c r="A103" s="32" t="s">
        <v>762</v>
      </c>
      <c r="B103" s="7">
        <v>4015</v>
      </c>
      <c r="C103" s="21" t="s">
        <v>204</v>
      </c>
      <c r="D103" s="21" t="s">
        <v>875</v>
      </c>
      <c r="E103" s="13">
        <v>42891.651504629626</v>
      </c>
      <c r="F103" s="13">
        <v>42891.654490740744</v>
      </c>
      <c r="G103" s="7">
        <v>1</v>
      </c>
      <c r="H103" s="21" t="s">
        <v>364</v>
      </c>
      <c r="I103" s="13">
        <v>42891.682488425926</v>
      </c>
      <c r="J103" s="7">
        <v>0</v>
      </c>
      <c r="K103" s="92" t="str">
        <f t="shared" si="32"/>
        <v>4015/4016</v>
      </c>
      <c r="L103" s="21" t="str">
        <f>VLOOKUP(A103,'Trips&amp;Operators'!$C$1:$G$99999,5,FALSE)</f>
        <v>DAVIS MICHAEL</v>
      </c>
      <c r="M103" s="6">
        <f t="shared" si="33"/>
        <v>2.7997685181617271E-2</v>
      </c>
      <c r="N103" s="7">
        <f t="shared" si="49"/>
        <v>40.31666666152887</v>
      </c>
      <c r="O103" s="7"/>
      <c r="P103" s="7"/>
      <c r="Q103" s="22"/>
      <c r="R103" s="173"/>
      <c r="S103" s="176">
        <f t="shared" si="48"/>
        <v>1</v>
      </c>
      <c r="T103" s="202" t="str">
        <f t="shared" si="34"/>
        <v>Southbound</v>
      </c>
      <c r="U103" s="202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03" t="str">
        <f t="shared" si="35"/>
        <v>https://d0f6bd738d7f1b3e5a7ca70fe4ff75f0.us-east-1.aws.found.io/app/kibana#/discover/Steve-Slow-Train-Analysis-(2080s-and-2083s)?_g=(refreshInterval:(display:Off,pause:!f,section:0,value:0),time:(from:'2017-06-05T14:38:10-0600',mode:absolute,to:'2017-06-05T17:22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3" s="204" t="str">
        <f t="shared" si="36"/>
        <v>N</v>
      </c>
      <c r="X103" s="204">
        <f t="shared" ref="X103:X134" si="51">VALUE(LEFT(AD103,4))-VALUE(LEFT(AD102,4))</f>
        <v>1</v>
      </c>
      <c r="Y103" s="204">
        <f t="shared" si="37"/>
        <v>23.306799999999999</v>
      </c>
      <c r="Z103" s="204">
        <f t="shared" si="38"/>
        <v>1.47E-2</v>
      </c>
      <c r="AA103" s="204">
        <f t="shared" si="39"/>
        <v>23.292099999999998</v>
      </c>
      <c r="AB103" s="57" t="e">
        <f>VLOOKUP(A103,Enforcements!$C$7:$K$13,8,0)</f>
        <v>#N/A</v>
      </c>
      <c r="AC103" s="53" t="e">
        <f>VLOOKUP(A103,Enforcements!$C$7:$E$13,3,0)</f>
        <v>#N/A</v>
      </c>
      <c r="AD103" s="54" t="str">
        <f t="shared" si="40"/>
        <v>0190-05</v>
      </c>
      <c r="AE103" s="80" t="str">
        <f t="shared" si="41"/>
        <v>aws s3 cp s3://rtdc.mdm.uploadarchive.raw/RTDC4015/ "%USERPROFILE%\AppData\Local\Temp\OnboardLogs"\RTDC4015\2017-06-05 --exclude "*" --recursive --include "*20170605*" &amp; "%USERPROFILE%\Documents\GitHub\mrs-test-scripts\Headless Mode &amp; Sideloading\WalkAndUnGZ.bat" "%USERPROFILE%\AppData\Local\Temp\OnboardLogs"\RTDC4015\2017-06-05 &amp; aws s3 cp s3://rtdc.mdm.uploadarchive.raw/RTDC4015/ "%USERPROFILE%\AppData\Local\Temp\OnboardLogs"\RTDC4015\2017-06-06 --exclude "*" --recursive --include "*20170606*" &amp; "%USERPROFILE%\Documents\GitHub\mrs-test-scripts\Headless Mode &amp; Sideloading\WalkAndUnGZ.bat" "%USERPROFILE%\AppData\Local\Temp\OnboardLogs"\RTDC4015\2017-06-06</v>
      </c>
      <c r="AF103" s="77" t="str">
        <f t="shared" si="42"/>
        <v>"C:\Program Files (x86)\AstroGrep\AstroGrep.exe" /e /r /s /spath="%USERPROFILE%\AppData\Local\Temp\OnboardLogs" /stypes="app*4015*20170605*" /stext=" 22:.+((SYSTEM_STATE.+slice.+state.+changed )|(ment ac)|(multiple cpu faults)|(system.+state.+changed )|(\[timeout)|(PRM\|1\|D)|(kpr)|(kdp)|(train st.+moving)|(\|lc)|(penalty))"</v>
      </c>
      <c r="AG103" s="1" t="str">
        <f t="shared" si="43"/>
        <v>EC</v>
      </c>
      <c r="AH103" s="81" t="str">
        <f t="shared" si="44"/>
        <v>"%USERPROFILE%\Documents\GitHub\eaglep3\Utilities\RefineRTDCRunTimes.py" --tripid 190-05 --locoid 4015 --swversion DE.1.0.9.0 --startMP 204:233068 --initTime 2017-06-05T15:38:10 --startdatetime 2017-06-05T15:42:28 --delay 1 --endMP 204:147 --enddatetime 2017-06-05T16:22:47 --enforcementcount 0 &gt;&gt;C:\Users\stu\Documents\GitHub\eaglep3-reporting\EC\2017-06-05-refined-times.txt</v>
      </c>
      <c r="AI103" s="99" t="str">
        <f t="shared" si="45"/>
        <v>echo {"issue":{"subject":"","project_id":79,"tracker_id":40,"status_id":1,"priority_id":2,"assigned_to_id":23,"start_date":"2017-06-05","description":"","custom_fields":[{"id":1,"name":"Subdivision","value":"EC"},{"id":4,"name":"Milepost","value":"0.0147"},{"id":17,"name":"Train ID","value":"190-05"},{"id":16,"name":"Locomotive ID","value":"4015"},{"id":130,"name":"Impact","value":""},{"id":150,"name":"Time of Event (Mountain Time)","value":"16:22:47"},{"id":151,"name":"Denver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5" t="str">
        <f t="shared" si="46"/>
        <v>start /low /b %USERPROFILE%\Documents\GitHub\eaglep3\Utilities\DownloadLogsFromS3.py --loco 4015 --day 2017-06-05</v>
      </c>
      <c r="AN103" s="154" t="str">
        <f t="shared" si="47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22:22:47"},{"id":29,"name":"Sharepoint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604</v>
      </c>
      <c r="B104" s="7">
        <v>4042</v>
      </c>
      <c r="C104" s="21" t="s">
        <v>204</v>
      </c>
      <c r="D104" s="21" t="s">
        <v>351</v>
      </c>
      <c r="E104" s="13">
        <v>42891.621990740743</v>
      </c>
      <c r="F104" s="13">
        <v>42891.625162037039</v>
      </c>
      <c r="G104" s="7">
        <v>1</v>
      </c>
      <c r="H104" s="21" t="s">
        <v>575</v>
      </c>
      <c r="I104" s="13">
        <v>42891.652372685188</v>
      </c>
      <c r="J104" s="7">
        <v>0</v>
      </c>
      <c r="K104" s="92" t="str">
        <f t="shared" si="32"/>
        <v>4041/4042</v>
      </c>
      <c r="L104" s="21" t="str">
        <f>VLOOKUP(A104,'Trips&amp;Operators'!$C$1:$G$99999,5,FALSE)</f>
        <v>ROBINSON KADDIBA</v>
      </c>
      <c r="M104" s="6">
        <f t="shared" si="33"/>
        <v>2.7210648149775807E-2</v>
      </c>
      <c r="N104" s="7">
        <f t="shared" si="49"/>
        <v>39.183333335677162</v>
      </c>
      <c r="O104" s="7"/>
      <c r="P104" s="7"/>
      <c r="Q104" s="22"/>
      <c r="R104" s="173"/>
      <c r="S104" s="176">
        <f t="shared" si="48"/>
        <v>1</v>
      </c>
      <c r="T104" s="202" t="str">
        <f t="shared" si="34"/>
        <v>NorthBound</v>
      </c>
      <c r="U104" s="202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03" t="str">
        <f t="shared" si="35"/>
        <v>https://d0f6bd738d7f1b3e5a7ca70fe4ff75f0.us-east-1.aws.found.io/app/kibana#/discover/Steve-Slow-Train-Analysis-(2080s-and-2083s)?_g=(refreshInterval:(display:Off,pause:!f,section:0,value:0),time:(from:'2017-06-05T13:55:40-0600',mode:absolute,to:'2017-06-05T16:39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4" s="204" t="str">
        <f t="shared" si="36"/>
        <v>N</v>
      </c>
      <c r="X104" s="204">
        <f t="shared" si="51"/>
        <v>1</v>
      </c>
      <c r="Y104" s="204">
        <f t="shared" si="37"/>
        <v>4.58E-2</v>
      </c>
      <c r="Z104" s="204">
        <f t="shared" si="38"/>
        <v>23.3291</v>
      </c>
      <c r="AA104" s="204">
        <f t="shared" si="39"/>
        <v>23.283300000000001</v>
      </c>
      <c r="AB104" s="57" t="str">
        <f>VLOOKUP(A104,Enforcements!$C$7:$K$13,8,0)</f>
        <v>Bulletin (2)</v>
      </c>
      <c r="AC104" s="53" t="str">
        <f>VLOOKUP(A104,Enforcements!$C$7:$E$13,3,0)</f>
        <v>GRADE CROSSING</v>
      </c>
      <c r="AD104" s="54" t="str">
        <f t="shared" si="40"/>
        <v>0191-05</v>
      </c>
      <c r="AE104" s="80" t="str">
        <f t="shared" si="41"/>
        <v>aws s3 cp s3://rtdc.mdm.uploadarchive.raw/RTDC4042/ "%USERPROFILE%\AppData\Local\Temp\OnboardLogs"\RTDC4042\2017-06-05 --exclude "*" --recursive --include "*20170605*" &amp; "%USERPROFILE%\Documents\GitHub\mrs-test-scripts\Headless Mode &amp; Sideloading\WalkAndUnGZ.bat" "%USERPROFILE%\AppData\Local\Temp\OnboardLogs"\RTDC4042\2017-06-05 &amp; aws s3 cp s3://rtdc.mdm.uploadarchive.raw/RTDC4042/ "%USERPROFILE%\AppData\Local\Temp\OnboardLogs"\RTDC4042\2017-06-06 --exclude "*" --recursive --include "*20170606*" &amp; "%USERPROFILE%\Documents\GitHub\mrs-test-scripts\Headless Mode &amp; Sideloading\WalkAndUnGZ.bat" "%USERPROFILE%\AppData\Local\Temp\OnboardLogs"\RTDC4042\2017-06-06</v>
      </c>
      <c r="AF104" s="77" t="str">
        <f t="shared" si="42"/>
        <v>"C:\Program Files (x86)\AstroGrep\AstroGrep.exe" /e /r /s /spath="%USERPROFILE%\AppData\Local\Temp\OnboardLogs" /stypes="app*4042*20170605*" /stext=" 21:.+((SYSTEM_STATE.+slice.+state.+changed )|(ment ac)|(multiple cpu faults)|(system.+state.+changed )|(\[timeout)|(PRM\|1\|D)|(kpr)|(kdp)|(train st.+moving)|(\|lc)|(penalty))"</v>
      </c>
      <c r="AG104" s="1" t="str">
        <f t="shared" si="43"/>
        <v>EC</v>
      </c>
      <c r="AH104" s="81" t="str">
        <f t="shared" si="44"/>
        <v>"%USERPROFILE%\Documents\GitHub\eaglep3\Utilities\RefineRTDCRunTimes.py" --tripid 191-05 --locoid 4042 --swversion DE.1.0.9.0 --startMP 204:458 --initTime 2017-06-05T14:55:40 --startdatetime 2017-06-05T15:00:14 --delay 1 --endMP 204:233291 --enddatetime 2017-06-05T15:39:25 --enforcementcount 0 &gt;&gt;C:\Users\stu\Documents\GitHub\eaglep3-reporting\EC\2017-06-05-refined-times.txt</v>
      </c>
      <c r="AI104" s="99" t="str">
        <f t="shared" si="45"/>
        <v>echo {"issue":{"subject":"","project_id":79,"tracker_id":40,"status_id":1,"priority_id":2,"assigned_to_id":23,"start_date":"2017-06-05","description":"","custom_fields":[{"id":1,"name":"Subdivision","value":"EC"},{"id":4,"name":"Milepost","value":"23.3291"},{"id":17,"name":"Train ID","value":"191-05"},{"id":16,"name":"Locomotive ID","value":"4042"},{"id":130,"name":"Impact","value":""},{"id":150,"name":"Time of Event (Mountain Time)","value":"15:39:25"},{"id":151,"name":"Denver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5" t="str">
        <f t="shared" si="46"/>
        <v>start /low /b %USERPROFILE%\Documents\GitHub\eaglep3\Utilities\DownloadLogsFromS3.py --loco 4042 --day 2017-06-05</v>
      </c>
      <c r="AN104" s="154" t="str">
        <f t="shared" si="47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21:39:25"},{"id":29,"name":"Sharepoint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763</v>
      </c>
      <c r="B105" s="7">
        <v>4041</v>
      </c>
      <c r="C105" s="21" t="s">
        <v>204</v>
      </c>
      <c r="D105" s="21" t="s">
        <v>403</v>
      </c>
      <c r="E105" s="13">
        <v>42891.660104166665</v>
      </c>
      <c r="F105" s="13">
        <v>42891.664756944447</v>
      </c>
      <c r="G105" s="7">
        <v>1</v>
      </c>
      <c r="H105" s="21" t="s">
        <v>401</v>
      </c>
      <c r="I105" s="13">
        <v>42891.692754629628</v>
      </c>
      <c r="J105" s="7">
        <v>0</v>
      </c>
      <c r="K105" s="92" t="str">
        <f t="shared" si="32"/>
        <v>4041/4042</v>
      </c>
      <c r="L105" s="21" t="str">
        <f>VLOOKUP(A105,'Trips&amp;Operators'!$C$1:$G$99999,5,FALSE)</f>
        <v>ROBINSON KADDIBA</v>
      </c>
      <c r="M105" s="6">
        <f t="shared" si="33"/>
        <v>2.7997685181617271E-2</v>
      </c>
      <c r="N105" s="7">
        <f t="shared" si="49"/>
        <v>40.31666666152887</v>
      </c>
      <c r="O105" s="7"/>
      <c r="P105" s="7"/>
      <c r="Q105" s="22"/>
      <c r="R105" s="173"/>
      <c r="S105" s="176">
        <f t="shared" si="48"/>
        <v>1</v>
      </c>
      <c r="T105" s="202" t="str">
        <f t="shared" si="34"/>
        <v>Southbound</v>
      </c>
      <c r="U105" s="202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03" t="str">
        <f t="shared" si="35"/>
        <v>https://d0f6bd738d7f1b3e5a7ca70fe4ff75f0.us-east-1.aws.found.io/app/kibana#/discover/Steve-Slow-Train-Analysis-(2080s-and-2083s)?_g=(refreshInterval:(display:Off,pause:!f,section:0,value:0),time:(from:'2017-06-05T14:50:33-0600',mode:absolute,to:'2017-06-05T17:37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5" s="204" t="str">
        <f t="shared" si="36"/>
        <v>N</v>
      </c>
      <c r="X105" s="204">
        <f t="shared" si="51"/>
        <v>1</v>
      </c>
      <c r="Y105" s="204">
        <f t="shared" si="37"/>
        <v>23.298200000000001</v>
      </c>
      <c r="Z105" s="204">
        <f t="shared" si="38"/>
        <v>1.54E-2</v>
      </c>
      <c r="AA105" s="204">
        <f t="shared" si="39"/>
        <v>23.282800000000002</v>
      </c>
      <c r="AB105" s="57" t="e">
        <f>VLOOKUP(A105,Enforcements!$C$7:$K$13,8,0)</f>
        <v>#N/A</v>
      </c>
      <c r="AC105" s="53" t="e">
        <f>VLOOKUP(A105,Enforcements!$C$7:$E$13,3,0)</f>
        <v>#N/A</v>
      </c>
      <c r="AD105" s="54" t="str">
        <f t="shared" si="40"/>
        <v>0192-05</v>
      </c>
      <c r="AE105" s="80" t="str">
        <f t="shared" si="41"/>
        <v>aws s3 cp s3://rtdc.mdm.uploadarchive.raw/RTDC4041/ "%USERPROFILE%\AppData\Local\Temp\OnboardLogs"\RTDC4041\2017-06-05 --exclude "*" --recursive --include "*20170605*" &amp; "%USERPROFILE%\Documents\GitHub\mrs-test-scripts\Headless Mode &amp; Sideloading\WalkAndUnGZ.bat" "%USERPROFILE%\AppData\Local\Temp\OnboardLogs"\RTDC4041\2017-06-05 &amp; aws s3 cp s3://rtdc.mdm.uploadarchive.raw/RTDC4041/ "%USERPROFILE%\AppData\Local\Temp\OnboardLogs"\RTDC4041\2017-06-06 --exclude "*" --recursive --include "*20170606*" &amp; "%USERPROFILE%\Documents\GitHub\mrs-test-scripts\Headless Mode &amp; Sideloading\WalkAndUnGZ.bat" "%USERPROFILE%\AppData\Local\Temp\OnboardLogs"\RTDC4041\2017-06-06</v>
      </c>
      <c r="AF105" s="77" t="str">
        <f t="shared" si="42"/>
        <v>"C:\Program Files (x86)\AstroGrep\AstroGrep.exe" /e /r /s /spath="%USERPROFILE%\AppData\Local\Temp\OnboardLogs" /stypes="app*4041*20170605*" /stext=" 22:.+((SYSTEM_STATE.+slice.+state.+changed )|(ment ac)|(multiple cpu faults)|(system.+state.+changed )|(\[timeout)|(PRM\|1\|D)|(kpr)|(kdp)|(train st.+moving)|(\|lc)|(penalty))"</v>
      </c>
      <c r="AG105" s="1" t="str">
        <f t="shared" si="43"/>
        <v>EC</v>
      </c>
      <c r="AH105" s="81" t="str">
        <f t="shared" si="44"/>
        <v>"%USERPROFILE%\Documents\GitHub\eaglep3\Utilities\RefineRTDCRunTimes.py" --tripid 192-05 --locoid 4041 --swversion DE.1.0.9.0 --startMP 204:232982 --initTime 2017-06-05T15:50:33 --startdatetime 2017-06-05T15:57:15 --delay 1 --endMP 204:154 --enddatetime 2017-06-05T16:37:34 --enforcementcount 0 &gt;&gt;C:\Users\stu\Documents\GitHub\eaglep3-reporting\EC\2017-06-05-refined-times.txt</v>
      </c>
      <c r="AI105" s="99" t="str">
        <f t="shared" si="45"/>
        <v>echo {"issue":{"subject":"","project_id":79,"tracker_id":40,"status_id":1,"priority_id":2,"assigned_to_id":23,"start_date":"2017-06-05","description":"","custom_fields":[{"id":1,"name":"Subdivision","value":"EC"},{"id":4,"name":"Milepost","value":"0.0154"},{"id":17,"name":"Train ID","value":"192-05"},{"id":16,"name":"Locomotive ID","value":"4041"},{"id":130,"name":"Impact","value":""},{"id":150,"name":"Time of Event (Mountain Time)","value":"16:37:34"},{"id":151,"name":"Denver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5" t="str">
        <f t="shared" si="46"/>
        <v>start /low /b %USERPROFILE%\Documents\GitHub\eaglep3\Utilities\DownloadLogsFromS3.py --loco 4041 --day 2017-06-05</v>
      </c>
      <c r="AN105" s="154" t="str">
        <f t="shared" si="47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22:37:34"},{"id":29,"name":"Sharepoint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757</v>
      </c>
      <c r="B106" s="7">
        <v>4008</v>
      </c>
      <c r="C106" s="21" t="s">
        <v>204</v>
      </c>
      <c r="D106" s="21" t="s">
        <v>201</v>
      </c>
      <c r="E106" s="13">
        <v>42891.634074074071</v>
      </c>
      <c r="F106" s="13">
        <v>42891.635601851849</v>
      </c>
      <c r="G106" s="7">
        <v>1</v>
      </c>
      <c r="H106" s="21" t="s">
        <v>473</v>
      </c>
      <c r="I106" s="13">
        <v>42891.661828703705</v>
      </c>
      <c r="J106" s="7">
        <v>0</v>
      </c>
      <c r="K106" s="92" t="str">
        <f t="shared" si="32"/>
        <v>4007/4008</v>
      </c>
      <c r="L106" s="21" t="str">
        <f>VLOOKUP(A106,'Trips&amp;Operators'!$C$1:$G$99999,5,FALSE)</f>
        <v>LEVERE CRAIG</v>
      </c>
      <c r="M106" s="6">
        <f t="shared" si="33"/>
        <v>2.6226851856335998E-2</v>
      </c>
      <c r="N106" s="7">
        <f t="shared" si="49"/>
        <v>37.766666673123837</v>
      </c>
      <c r="O106" s="7"/>
      <c r="P106" s="7"/>
      <c r="Q106" s="22"/>
      <c r="R106" s="173"/>
      <c r="S106" s="176">
        <f t="shared" si="48"/>
        <v>1</v>
      </c>
      <c r="T106" s="202" t="str">
        <f t="shared" si="34"/>
        <v>NorthBound</v>
      </c>
      <c r="U106" s="202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03" t="str">
        <f t="shared" si="35"/>
        <v>https://d0f6bd738d7f1b3e5a7ca70fe4ff75f0.us-east-1.aws.found.io/app/kibana#/discover/Steve-Slow-Train-Analysis-(2080s-and-2083s)?_g=(refreshInterval:(display:Off,pause:!f,section:0,value:0),time:(from:'2017-06-05T14:13:04-0600',mode:absolute,to:'2017-06-05T16:53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6" s="204" t="str">
        <f t="shared" si="36"/>
        <v>N</v>
      </c>
      <c r="X106" s="204">
        <f t="shared" si="51"/>
        <v>1</v>
      </c>
      <c r="Y106" s="204">
        <f t="shared" si="37"/>
        <v>4.5999999999999999E-2</v>
      </c>
      <c r="Z106" s="204">
        <f t="shared" si="38"/>
        <v>23.331199999999999</v>
      </c>
      <c r="AA106" s="204">
        <f t="shared" si="39"/>
        <v>23.2852</v>
      </c>
      <c r="AB106" s="57" t="e">
        <f>VLOOKUP(A106,Enforcements!$C$7:$K$13,8,0)</f>
        <v>#N/A</v>
      </c>
      <c r="AC106" s="53" t="e">
        <f>VLOOKUP(A106,Enforcements!$C$7:$E$13,3,0)</f>
        <v>#N/A</v>
      </c>
      <c r="AD106" s="54" t="str">
        <f t="shared" si="40"/>
        <v>0193-05</v>
      </c>
      <c r="AE106" s="80" t="str">
        <f t="shared" si="41"/>
        <v>aws s3 cp s3://rtdc.mdm.uploadarchive.raw/RTDC4008/ "%USERPROFILE%\AppData\Local\Temp\OnboardLogs"\RTDC4008\2017-06-05 --exclude "*" --recursive --include "*20170605*" &amp; "%USERPROFILE%\Documents\GitHub\mrs-test-scripts\Headless Mode &amp; Sideloading\WalkAndUnGZ.bat" "%USERPROFILE%\AppData\Local\Temp\OnboardLogs"\RTDC4008\2017-06-05 &amp; aws s3 cp s3://rtdc.mdm.uploadarchive.raw/RTDC4008/ "%USERPROFILE%\AppData\Local\Temp\OnboardLogs"\RTDC4008\2017-06-06 --exclude "*" --recursive --include "*20170606*" &amp; "%USERPROFILE%\Documents\GitHub\mrs-test-scripts\Headless Mode &amp; Sideloading\WalkAndUnGZ.bat" "%USERPROFILE%\AppData\Local\Temp\OnboardLogs"\RTDC4008\2017-06-06</v>
      </c>
      <c r="AF106" s="77" t="str">
        <f t="shared" si="42"/>
        <v>"C:\Program Files (x86)\AstroGrep\AstroGrep.exe" /e /r /s /spath="%USERPROFILE%\AppData\Local\Temp\OnboardLogs" /stypes="app*4008*20170605*" /stext=" 21:.+((SYSTEM_STATE.+slice.+state.+changed )|(ment ac)|(multiple cpu faults)|(system.+state.+changed )|(\[timeout)|(PRM\|1\|D)|(kpr)|(kdp)|(train st.+moving)|(\|lc)|(penalty))"</v>
      </c>
      <c r="AG106" s="1" t="str">
        <f t="shared" si="43"/>
        <v>EC</v>
      </c>
      <c r="AH106" s="81" t="str">
        <f t="shared" si="44"/>
        <v>"%USERPROFILE%\Documents\GitHub\eaglep3\Utilities\RefineRTDCRunTimes.py" --tripid 193-05 --locoid 4008 --swversion DE.1.0.9.0 --startMP 204:460 --initTime 2017-06-05T15:13:04 --startdatetime 2017-06-05T15:15:16 --delay 1 --endMP 204:233312 --enddatetime 2017-06-05T15:53:02 --enforcementcount 0 &gt;&gt;C:\Users\stu\Documents\GitHub\eaglep3-reporting\EC\2017-06-05-refined-times.txt</v>
      </c>
      <c r="AI106" s="99" t="str">
        <f t="shared" si="45"/>
        <v>echo {"issue":{"subject":"","project_id":79,"tracker_id":40,"status_id":1,"priority_id":2,"assigned_to_id":23,"start_date":"2017-06-05","description":"","custom_fields":[{"id":1,"name":"Subdivision","value":"EC"},{"id":4,"name":"Milepost","value":"23.3312"},{"id":17,"name":"Train ID","value":"193-05"},{"id":16,"name":"Locomotive ID","value":"4008"},{"id":130,"name":"Impact","value":""},{"id":150,"name":"Time of Event (Mountain Time)","value":"15:53:02"},{"id":151,"name":"Denver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5" t="str">
        <f t="shared" si="46"/>
        <v>start /low /b %USERPROFILE%\Documents\GitHub\eaglep3\Utilities\DownloadLogsFromS3.py --loco 4008 --day 2017-06-05</v>
      </c>
      <c r="AN106" s="154" t="str">
        <f t="shared" si="47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21:53:02"},{"id":29,"name":"Sharepoint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764</v>
      </c>
      <c r="B107" s="7">
        <v>4007</v>
      </c>
      <c r="C107" s="21" t="s">
        <v>204</v>
      </c>
      <c r="D107" s="21" t="s">
        <v>497</v>
      </c>
      <c r="E107" s="13">
        <v>42891.668009259258</v>
      </c>
      <c r="F107" s="13">
        <v>42891.675185185188</v>
      </c>
      <c r="G107" s="7">
        <v>1</v>
      </c>
      <c r="H107" s="21" t="s">
        <v>352</v>
      </c>
      <c r="I107" s="13">
        <v>42891.702372685184</v>
      </c>
      <c r="J107" s="7">
        <v>0</v>
      </c>
      <c r="K107" s="92" t="str">
        <f t="shared" si="32"/>
        <v>4007/4008</v>
      </c>
      <c r="L107" s="21" t="str">
        <f>VLOOKUP(A107,'Trips&amp;Operators'!$C$1:$G$99999,5,FALSE)</f>
        <v>LEVERE CRAIG</v>
      </c>
      <c r="M107" s="6">
        <f t="shared" si="33"/>
        <v>2.7187499996216502E-2</v>
      </c>
      <c r="N107" s="7">
        <f t="shared" si="49"/>
        <v>39.149999994551763</v>
      </c>
      <c r="O107" s="7"/>
      <c r="P107" s="7"/>
      <c r="Q107" s="22"/>
      <c r="R107" s="173"/>
      <c r="S107" s="176">
        <f t="shared" si="48"/>
        <v>1</v>
      </c>
      <c r="T107" s="202" t="str">
        <f t="shared" si="34"/>
        <v>Southbound</v>
      </c>
      <c r="U107" s="202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03" t="str">
        <f t="shared" si="35"/>
        <v>https://d0f6bd738d7f1b3e5a7ca70fe4ff75f0.us-east-1.aws.found.io/app/kibana#/discover/Steve-Slow-Train-Analysis-(2080s-and-2083s)?_g=(refreshInterval:(display:Off,pause:!f,section:0,value:0),time:(from:'2017-06-05T15:01:56-0600',mode:absolute,to:'2017-06-05T17:51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7" s="204" t="str">
        <f t="shared" si="36"/>
        <v>N</v>
      </c>
      <c r="X107" s="204">
        <f t="shared" si="51"/>
        <v>1</v>
      </c>
      <c r="Y107" s="204">
        <f t="shared" si="37"/>
        <v>23.299299999999999</v>
      </c>
      <c r="Z107" s="204">
        <f t="shared" si="38"/>
        <v>1.4999999999999999E-2</v>
      </c>
      <c r="AA107" s="204">
        <f t="shared" si="39"/>
        <v>23.284299999999998</v>
      </c>
      <c r="AB107" s="57" t="e">
        <f>VLOOKUP(A107,Enforcements!$C$7:$K$13,8,0)</f>
        <v>#N/A</v>
      </c>
      <c r="AC107" s="53" t="e">
        <f>VLOOKUP(A107,Enforcements!$C$7:$E$13,3,0)</f>
        <v>#N/A</v>
      </c>
      <c r="AD107" s="54" t="str">
        <f t="shared" si="40"/>
        <v>0194-05</v>
      </c>
      <c r="AE107" s="80" t="str">
        <f t="shared" si="41"/>
        <v>aws s3 cp s3://rtdc.mdm.uploadarchive.raw/RTDC4007/ "%USERPROFILE%\AppData\Local\Temp\OnboardLogs"\RTDC4007\2017-06-05 --exclude "*" --recursive --include "*20170605*" &amp; "%USERPROFILE%\Documents\GitHub\mrs-test-scripts\Headless Mode &amp; Sideloading\WalkAndUnGZ.bat" "%USERPROFILE%\AppData\Local\Temp\OnboardLogs"\RTDC4007\2017-06-05 &amp; aws s3 cp s3://rtdc.mdm.uploadarchive.raw/RTDC4007/ "%USERPROFILE%\AppData\Local\Temp\OnboardLogs"\RTDC4007\2017-06-06 --exclude "*" --recursive --include "*20170606*" &amp; "%USERPROFILE%\Documents\GitHub\mrs-test-scripts\Headless Mode &amp; Sideloading\WalkAndUnGZ.bat" "%USERPROFILE%\AppData\Local\Temp\OnboardLogs"\RTDC4007\2017-06-06</v>
      </c>
      <c r="AF107" s="77" t="str">
        <f t="shared" si="42"/>
        <v>"C:\Program Files (x86)\AstroGrep\AstroGrep.exe" /e /r /s /spath="%USERPROFILE%\AppData\Local\Temp\OnboardLogs" /stypes="app*4007*20170605*" /stext=" 22:.+((SYSTEM_STATE.+slice.+state.+changed )|(ment ac)|(multiple cpu faults)|(system.+state.+changed )|(\[timeout)|(PRM\|1\|D)|(kpr)|(kdp)|(train st.+moving)|(\|lc)|(penalty))"</v>
      </c>
      <c r="AG107" s="1" t="str">
        <f t="shared" si="43"/>
        <v>EC</v>
      </c>
      <c r="AH107" s="81" t="str">
        <f t="shared" si="44"/>
        <v>"%USERPROFILE%\Documents\GitHub\eaglep3\Utilities\RefineRTDCRunTimes.py" --tripid 194-05 --locoid 4007 --swversion DE.1.0.9.0 --startMP 204:232993 --initTime 2017-06-05T16:01:56 --startdatetime 2017-06-05T16:12:16 --delay 1 --endMP 204:150 --enddatetime 2017-06-05T16:51:25 --enforcementcount 0 &gt;&gt;C:\Users\stu\Documents\GitHub\eaglep3-reporting\EC\2017-06-05-refined-times.txt</v>
      </c>
      <c r="AI107" s="99" t="str">
        <f t="shared" si="45"/>
        <v>echo {"issue":{"subject":"","project_id":79,"tracker_id":40,"status_id":1,"priority_id":2,"assigned_to_id":23,"start_date":"2017-06-05","description":"","custom_fields":[{"id":1,"name":"Subdivision","value":"EC"},{"id":4,"name":"Milepost","value":"0.015"},{"id":17,"name":"Train ID","value":"194-05"},{"id":16,"name":"Locomotive ID","value":"4007"},{"id":130,"name":"Impact","value":""},{"id":150,"name":"Time of Event (Mountain Time)","value":"16:51:25"},{"id":151,"name":"Denver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5" t="str">
        <f t="shared" si="46"/>
        <v>start /low /b %USERPROFILE%\Documents\GitHub\eaglep3\Utilities\DownloadLogsFromS3.py --loco 4007 --day 2017-06-05</v>
      </c>
      <c r="AN107" s="154" t="str">
        <f t="shared" si="47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22:51:25"},{"id":29,"name":"Sharepoint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x14ac:dyDescent="0.25">
      <c r="A108" s="32" t="s">
        <v>760</v>
      </c>
      <c r="B108" s="7">
        <v>4014</v>
      </c>
      <c r="C108" s="21" t="s">
        <v>204</v>
      </c>
      <c r="D108" s="21" t="s">
        <v>368</v>
      </c>
      <c r="E108" s="13">
        <v>42891.641527777778</v>
      </c>
      <c r="F108" s="13">
        <v>42891.646018518521</v>
      </c>
      <c r="G108" s="7">
        <v>1</v>
      </c>
      <c r="H108" s="21" t="s">
        <v>869</v>
      </c>
      <c r="I108" s="13">
        <v>42891.671539351853</v>
      </c>
      <c r="J108" s="7">
        <v>0</v>
      </c>
      <c r="K108" s="92" t="str">
        <f t="shared" si="32"/>
        <v>4013/4014</v>
      </c>
      <c r="L108" s="21" t="str">
        <f>VLOOKUP(A108,'Trips&amp;Operators'!$C$1:$G$99999,5,FALSE)</f>
        <v>BRUDER RICHARD</v>
      </c>
      <c r="M108" s="6">
        <f t="shared" si="33"/>
        <v>2.5520833332848269E-2</v>
      </c>
      <c r="N108" s="7">
        <f t="shared" si="49"/>
        <v>36.749999999301508</v>
      </c>
      <c r="O108" s="7"/>
      <c r="P108" s="7"/>
      <c r="Q108" s="22"/>
      <c r="R108" s="173"/>
      <c r="S108" s="176">
        <f t="shared" si="48"/>
        <v>1</v>
      </c>
      <c r="T108" s="202" t="str">
        <f t="shared" si="34"/>
        <v>NorthBound</v>
      </c>
      <c r="U108" s="202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03" t="str">
        <f t="shared" si="35"/>
        <v>https://d0f6bd738d7f1b3e5a7ca70fe4ff75f0.us-east-1.aws.found.io/app/kibana#/discover/Steve-Slow-Train-Analysis-(2080s-and-2083s)?_g=(refreshInterval:(display:Off,pause:!f,section:0,value:0),time:(from:'2017-06-05T14:23:48-0600',mode:absolute,to:'2017-06-05T17:07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8" s="204" t="str">
        <f t="shared" si="36"/>
        <v>N</v>
      </c>
      <c r="X108" s="204">
        <f t="shared" si="51"/>
        <v>1</v>
      </c>
      <c r="Y108" s="204">
        <f t="shared" si="37"/>
        <v>4.5499999999999999E-2</v>
      </c>
      <c r="Z108" s="204">
        <f t="shared" si="38"/>
        <v>23.328800000000001</v>
      </c>
      <c r="AA108" s="204">
        <f t="shared" si="39"/>
        <v>23.283300000000001</v>
      </c>
      <c r="AB108" s="57" t="e">
        <f>VLOOKUP(A108,Enforcements!$C$7:$K$13,8,0)</f>
        <v>#N/A</v>
      </c>
      <c r="AC108" s="53" t="e">
        <f>VLOOKUP(A108,Enforcements!$C$7:$E$13,3,0)</f>
        <v>#N/A</v>
      </c>
      <c r="AD108" s="54" t="str">
        <f t="shared" si="40"/>
        <v>0195-05</v>
      </c>
      <c r="AE108" s="80" t="str">
        <f t="shared" si="41"/>
        <v>aws s3 cp s3://rtdc.mdm.uploadarchive.raw/RTDC4014/ "%USERPROFILE%\AppData\Local\Temp\OnboardLogs"\RTDC4014\2017-06-05 --exclude "*" --recursive --include "*20170605*" &amp; "%USERPROFILE%\Documents\GitHub\mrs-test-scripts\Headless Mode &amp; Sideloading\WalkAndUnGZ.bat" "%USERPROFILE%\AppData\Local\Temp\OnboardLogs"\RTDC4014\2017-06-05 &amp; aws s3 cp s3://rtdc.mdm.uploadarchive.raw/RTDC4014/ "%USERPROFILE%\AppData\Local\Temp\OnboardLogs"\RTDC4014\2017-06-06 --exclude "*" --recursive --include "*20170606*" &amp; "%USERPROFILE%\Documents\GitHub\mrs-test-scripts\Headless Mode &amp; Sideloading\WalkAndUnGZ.bat" "%USERPROFILE%\AppData\Local\Temp\OnboardLogs"\RTDC4014\2017-06-06</v>
      </c>
      <c r="AF108" s="77" t="str">
        <f t="shared" si="42"/>
        <v>"C:\Program Files (x86)\AstroGrep\AstroGrep.exe" /e /r /s /spath="%USERPROFILE%\AppData\Local\Temp\OnboardLogs" /stypes="app*4014*20170605*" /stext=" 22:.+((SYSTEM_STATE.+slice.+state.+changed )|(ment ac)|(multiple cpu faults)|(system.+state.+changed )|(\[timeout)|(PRM\|1\|D)|(kpr)|(kdp)|(train st.+moving)|(\|lc)|(penalty))"</v>
      </c>
      <c r="AG108" s="1" t="str">
        <f t="shared" si="43"/>
        <v>EC</v>
      </c>
      <c r="AH108" s="81" t="str">
        <f t="shared" si="44"/>
        <v>"%USERPROFILE%\Documents\GitHub\eaglep3\Utilities\RefineRTDCRunTimes.py" --tripid 195-05 --locoid 4014 --swversion DE.1.0.9.0 --startMP 204:455 --initTime 2017-06-05T15:23:48 --startdatetime 2017-06-05T15:30:16 --delay 1 --endMP 204:233288 --enddatetime 2017-06-05T16:07:01 --enforcementcount 0 &gt;&gt;C:\Users\stu\Documents\GitHub\eaglep3-reporting\EC\2017-06-05-refined-times.txt</v>
      </c>
      <c r="AI108" s="99" t="str">
        <f t="shared" si="45"/>
        <v>echo {"issue":{"subject":"","project_id":79,"tracker_id":40,"status_id":1,"priority_id":2,"assigned_to_id":23,"start_date":"2017-06-05","description":"","custom_fields":[{"id":1,"name":"Subdivision","value":"EC"},{"id":4,"name":"Milepost","value":"23.3288"},{"id":17,"name":"Train ID","value":"195-05"},{"id":16,"name":"Locomotive ID","value":"4014"},{"id":130,"name":"Impact","value":""},{"id":150,"name":"Time of Event (Mountain Time)","value":"16:07:01"},{"id":151,"name":"Denver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20"/>
      <c r="AK108" s="47"/>
      <c r="AL108" s="47"/>
      <c r="AM108" s="145" t="str">
        <f t="shared" si="46"/>
        <v>start /low /b %USERPROFILE%\Documents\GitHub\eaglep3\Utilities\DownloadLogsFromS3.py --loco 4014 --day 2017-06-05</v>
      </c>
      <c r="AN108" s="154" t="str">
        <f t="shared" si="47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22:07:01"},{"id":29,"name":"Sharepoint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9" spans="1:91" s="20" customFormat="1" x14ac:dyDescent="0.25">
      <c r="A109" s="32" t="s">
        <v>766</v>
      </c>
      <c r="B109" s="7">
        <v>4013</v>
      </c>
      <c r="C109" s="21" t="s">
        <v>204</v>
      </c>
      <c r="D109" s="21" t="s">
        <v>403</v>
      </c>
      <c r="E109" s="13">
        <v>42891.679699074077</v>
      </c>
      <c r="F109" s="13">
        <v>42891.685601851852</v>
      </c>
      <c r="G109" s="7">
        <v>2</v>
      </c>
      <c r="H109" s="21" t="s">
        <v>361</v>
      </c>
      <c r="I109" s="13">
        <v>42891.713125000002</v>
      </c>
      <c r="J109" s="7">
        <v>0</v>
      </c>
      <c r="K109" s="92" t="str">
        <f t="shared" si="32"/>
        <v>4013/4014</v>
      </c>
      <c r="L109" s="21" t="str">
        <f>VLOOKUP(A109,'Trips&amp;Operators'!$C$1:$G$99999,5,FALSE)</f>
        <v>BRUDER RICHARD</v>
      </c>
      <c r="M109" s="6">
        <f t="shared" si="33"/>
        <v>2.7523148150066845E-2</v>
      </c>
      <c r="N109" s="7">
        <f t="shared" si="49"/>
        <v>39.633333336096257</v>
      </c>
      <c r="O109" s="7"/>
      <c r="P109" s="7"/>
      <c r="Q109" s="22"/>
      <c r="R109" s="173"/>
      <c r="S109" s="176">
        <f t="shared" si="48"/>
        <v>1</v>
      </c>
      <c r="T109" s="202" t="str">
        <f t="shared" si="34"/>
        <v>Southbound</v>
      </c>
      <c r="U109" s="202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03" t="str">
        <f t="shared" si="35"/>
        <v>https://d0f6bd738d7f1b3e5a7ca70fe4ff75f0.us-east-1.aws.found.io/app/kibana#/discover/Steve-Slow-Train-Analysis-(2080s-and-2083s)?_g=(refreshInterval:(display:Off,pause:!f,section:0,value:0),time:(from:'2017-06-05T15:18:46-0600',mode:absolute,to:'2017-06-05T18:06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9" s="204" t="str">
        <f t="shared" si="36"/>
        <v>N</v>
      </c>
      <c r="X109" s="204">
        <f t="shared" si="51"/>
        <v>1</v>
      </c>
      <c r="Y109" s="204">
        <f t="shared" ref="Y109:Y140" si="52">RIGHT(D109,LEN(D109)-4)/10000</f>
        <v>23.298200000000001</v>
      </c>
      <c r="Z109" s="204">
        <f t="shared" si="38"/>
        <v>1.3899999999999999E-2</v>
      </c>
      <c r="AA109" s="204">
        <f t="shared" si="39"/>
        <v>23.284300000000002</v>
      </c>
      <c r="AB109" s="57" t="e">
        <f>VLOOKUP(A109,Enforcements!$C$7:$K$13,8,0)</f>
        <v>#N/A</v>
      </c>
      <c r="AC109" s="53" t="e">
        <f>VLOOKUP(A109,Enforcements!$C$7:$E$13,3,0)</f>
        <v>#N/A</v>
      </c>
      <c r="AD109" s="54" t="str">
        <f t="shared" si="40"/>
        <v>0196-05</v>
      </c>
      <c r="AE109" s="80" t="str">
        <f t="shared" si="41"/>
        <v>aws s3 cp s3://rtdc.mdm.uploadarchive.raw/RTDC4013/ "%USERPROFILE%\AppData\Local\Temp\OnboardLogs"\RTDC4013\2017-06-05 --exclude "*" --recursive --include "*20170605*" &amp; "%USERPROFILE%\Documents\GitHub\mrs-test-scripts\Headless Mode &amp; Sideloading\WalkAndUnGZ.bat" "%USERPROFILE%\AppData\Local\Temp\OnboardLogs"\RTDC4013\2017-06-05 &amp; aws s3 cp s3://rtdc.mdm.uploadarchive.raw/RTDC4013/ "%USERPROFILE%\AppData\Local\Temp\OnboardLogs"\RTDC4013\2017-06-06 --exclude "*" --recursive --include "*20170606*" &amp; "%USERPROFILE%\Documents\GitHub\mrs-test-scripts\Headless Mode &amp; Sideloading\WalkAndUnGZ.bat" "%USERPROFILE%\AppData\Local\Temp\OnboardLogs"\RTDC4013\2017-06-06</v>
      </c>
      <c r="AF109" s="77" t="str">
        <f t="shared" si="42"/>
        <v>"C:\Program Files (x86)\AstroGrep\AstroGrep.exe" /e /r /s /spath="%USERPROFILE%\AppData\Local\Temp\OnboardLogs" /stypes="app*4013*20170605*" /stext=" 23:.+((SYSTEM_STATE.+slice.+state.+changed )|(ment ac)|(multiple cpu faults)|(system.+state.+changed )|(\[timeout)|(PRM\|1\|D)|(kpr)|(kdp)|(train st.+moving)|(\|lc)|(penalty))"</v>
      </c>
      <c r="AG109" s="1" t="str">
        <f t="shared" si="43"/>
        <v>EC</v>
      </c>
      <c r="AH109" s="81" t="str">
        <f t="shared" si="44"/>
        <v>"%USERPROFILE%\Documents\GitHub\eaglep3\Utilities\RefineRTDCRunTimes.py" --tripid 196-05 --locoid 4013 --swversion DE.1.0.9.0 --startMP 204:232982 --initTime 2017-06-05T16:18:46 --startdatetime 2017-06-05T16:27:16 --delay 2 --endMP 204:139 --enddatetime 2017-06-05T17:06:54 --enforcementcount 0 &gt;&gt;C:\Users\stu\Documents\GitHub\eaglep3-reporting\EC\2017-06-05-refined-times.txt</v>
      </c>
      <c r="AI109" s="99" t="str">
        <f t="shared" si="45"/>
        <v>echo {"issue":{"subject":"","project_id":79,"tracker_id":40,"status_id":1,"priority_id":2,"assigned_to_id":23,"start_date":"2017-06-05","description":"","custom_fields":[{"id":1,"name":"Subdivision","value":"EC"},{"id":4,"name":"Milepost","value":"0.0139"},{"id":17,"name":"Train ID","value":"196-05"},{"id":16,"name":"Locomotive ID","value":"4013"},{"id":130,"name":"Impact","value":""},{"id":150,"name":"Time of Event (Mountain Time)","value":"17:06:54"},{"id":151,"name":"Denver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5" t="str">
        <f t="shared" si="46"/>
        <v>start /low /b %USERPROFILE%\Documents\GitHub\eaglep3\Utilities\DownloadLogsFromS3.py --loco 4013 --day 2017-06-05</v>
      </c>
      <c r="AN109" s="154" t="str">
        <f t="shared" si="47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23:06:54"},{"id":29,"name":"Sharepoint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607</v>
      </c>
      <c r="B110" s="7">
        <v>4010</v>
      </c>
      <c r="C110" s="21" t="s">
        <v>204</v>
      </c>
      <c r="D110" s="21" t="s">
        <v>397</v>
      </c>
      <c r="E110" s="13">
        <v>42891.653784722221</v>
      </c>
      <c r="F110" s="13">
        <v>42891.656585648147</v>
      </c>
      <c r="G110" s="7">
        <v>2</v>
      </c>
      <c r="H110" s="21" t="s">
        <v>876</v>
      </c>
      <c r="I110" s="13">
        <v>42891.682615740741</v>
      </c>
      <c r="J110" s="7">
        <v>0</v>
      </c>
      <c r="K110" s="92" t="str">
        <f t="shared" si="32"/>
        <v>4009/4010</v>
      </c>
      <c r="L110" s="21" t="str">
        <f>VLOOKUP(A110,'Trips&amp;Operators'!$C$1:$G$99999,5,FALSE)</f>
        <v>BRANDNER MELINDA</v>
      </c>
      <c r="M110" s="6">
        <f t="shared" si="33"/>
        <v>2.6030092594737653E-2</v>
      </c>
      <c r="N110" s="7">
        <f t="shared" si="49"/>
        <v>37.48333333642222</v>
      </c>
      <c r="O110" s="7"/>
      <c r="P110" s="7"/>
      <c r="Q110" s="22"/>
      <c r="R110" s="173"/>
      <c r="S110" s="176">
        <f t="shared" ref="S110:S141" si="53">SUM(U110:U110)/IF(AG110="EC",12,1)</f>
        <v>1</v>
      </c>
      <c r="T110" s="202" t="str">
        <f t="shared" si="34"/>
        <v>NorthBound</v>
      </c>
      <c r="U110" s="202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03" t="str">
        <f t="shared" si="35"/>
        <v>https://d0f6bd738d7f1b3e5a7ca70fe4ff75f0.us-east-1.aws.found.io/app/kibana#/discover/Steve-Slow-Train-Analysis-(2080s-and-2083s)?_g=(refreshInterval:(display:Off,pause:!f,section:0,value:0),time:(from:'2017-06-05T14:41:27-0600',mode:absolute,to:'2017-06-05T17:22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0" s="204" t="str">
        <f t="shared" si="36"/>
        <v>N</v>
      </c>
      <c r="X110" s="204">
        <f t="shared" si="51"/>
        <v>1</v>
      </c>
      <c r="Y110" s="204">
        <f t="shared" si="52"/>
        <v>4.6199999999999998E-2</v>
      </c>
      <c r="Z110" s="204">
        <f t="shared" si="38"/>
        <v>23.326599999999999</v>
      </c>
      <c r="AA110" s="204">
        <f t="shared" si="39"/>
        <v>23.2804</v>
      </c>
      <c r="AB110" s="57" t="e">
        <f>VLOOKUP(A110,Enforcements!$C$7:$K$13,8,0)</f>
        <v>#N/A</v>
      </c>
      <c r="AC110" s="53" t="e">
        <f>VLOOKUP(A110,Enforcements!$C$7:$E$13,3,0)</f>
        <v>#N/A</v>
      </c>
      <c r="AD110" s="54" t="str">
        <f t="shared" si="40"/>
        <v>0197-05</v>
      </c>
      <c r="AE110" s="80" t="str">
        <f t="shared" si="41"/>
        <v>aws s3 cp s3://rtdc.mdm.uploadarchive.raw/RTDC4010/ "%USERPROFILE%\AppData\Local\Temp\OnboardLogs"\RTDC4010\2017-06-05 --exclude "*" --recursive --include "*20170605*" &amp; "%USERPROFILE%\Documents\GitHub\mrs-test-scripts\Headless Mode &amp; Sideloading\WalkAndUnGZ.bat" "%USERPROFILE%\AppData\Local\Temp\OnboardLogs"\RTDC4010\2017-06-05 &amp; aws s3 cp s3://rtdc.mdm.uploadarchive.raw/RTDC4010/ "%USERPROFILE%\AppData\Local\Temp\OnboardLogs"\RTDC4010\2017-06-06 --exclude "*" --recursive --include "*20170606*" &amp; "%USERPROFILE%\Documents\GitHub\mrs-test-scripts\Headless Mode &amp; Sideloading\WalkAndUnGZ.bat" "%USERPROFILE%\AppData\Local\Temp\OnboardLogs"\RTDC4010\2017-06-06</v>
      </c>
      <c r="AF110" s="77" t="str">
        <f t="shared" si="42"/>
        <v>"C:\Program Files (x86)\AstroGrep\AstroGrep.exe" /e /r /s /spath="%USERPROFILE%\AppData\Local\Temp\OnboardLogs" /stypes="app*4010*20170605*" /stext=" 22:.+((SYSTEM_STATE.+slice.+state.+changed )|(ment ac)|(multiple cpu faults)|(system.+state.+changed )|(\[timeout)|(PRM\|1\|D)|(kpr)|(kdp)|(train st.+moving)|(\|lc)|(penalty))"</v>
      </c>
      <c r="AG110" s="1" t="str">
        <f t="shared" si="43"/>
        <v>EC</v>
      </c>
      <c r="AH110" s="81" t="str">
        <f t="shared" si="44"/>
        <v>"%USERPROFILE%\Documents\GitHub\eaglep3\Utilities\RefineRTDCRunTimes.py" --tripid 197-05 --locoid 4010 --swversion DE.1.0.9.0 --startMP 204:462 --initTime 2017-06-05T15:41:27 --startdatetime 2017-06-05T15:45:29 --delay 2 --endMP 204:233266 --enddatetime 2017-06-05T16:22:58 --enforcementcount 0 &gt;&gt;C:\Users\stu\Documents\GitHub\eaglep3-reporting\EC\2017-06-05-refined-times.txt</v>
      </c>
      <c r="AI110" s="99" t="str">
        <f t="shared" si="45"/>
        <v>echo {"issue":{"subject":"","project_id":79,"tracker_id":40,"status_id":1,"priority_id":2,"assigned_to_id":23,"start_date":"2017-06-05","description":"","custom_fields":[{"id":1,"name":"Subdivision","value":"EC"},{"id":4,"name":"Milepost","value":"23.3266"},{"id":17,"name":"Train ID","value":"197-05"},{"id":16,"name":"Locomotive ID","value":"4010"},{"id":130,"name":"Impact","value":""},{"id":150,"name":"Time of Event (Mountain Time)","value":"16:22:58"},{"id":151,"name":"Denver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5" t="str">
        <f t="shared" si="46"/>
        <v>start /low /b %USERPROFILE%\Documents\GitHub\eaglep3\Utilities\DownloadLogsFromS3.py --loco 4010 --day 2017-06-05</v>
      </c>
      <c r="AN110" s="154" t="str">
        <f t="shared" si="47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22:22:58"},{"id":29,"name":"Sharepoint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614</v>
      </c>
      <c r="B111" s="7">
        <v>4009</v>
      </c>
      <c r="C111" s="21" t="s">
        <v>204</v>
      </c>
      <c r="D111" s="21" t="s">
        <v>870</v>
      </c>
      <c r="E111" s="13">
        <v>42891.689212962963</v>
      </c>
      <c r="F111" s="13">
        <v>42891.696076388886</v>
      </c>
      <c r="G111" s="7">
        <v>1</v>
      </c>
      <c r="H111" s="21" t="s">
        <v>542</v>
      </c>
      <c r="I111" s="13">
        <v>42891.724768518521</v>
      </c>
      <c r="J111" s="7">
        <v>0</v>
      </c>
      <c r="K111" s="92" t="str">
        <f t="shared" si="32"/>
        <v>4009/4010</v>
      </c>
      <c r="L111" s="21" t="str">
        <f>VLOOKUP(A111,'Trips&amp;Operators'!$C$1:$G$99999,5,FALSE)</f>
        <v>BRANDNER MELINDA</v>
      </c>
      <c r="M111" s="6">
        <f t="shared" si="33"/>
        <v>2.8692129635601304E-2</v>
      </c>
      <c r="N111" s="7">
        <f t="shared" si="49"/>
        <v>41.316666675265878</v>
      </c>
      <c r="O111" s="7"/>
      <c r="P111" s="7"/>
      <c r="Q111" s="22"/>
      <c r="R111" s="173" t="s">
        <v>1038</v>
      </c>
      <c r="S111" s="176">
        <f t="shared" si="53"/>
        <v>1</v>
      </c>
      <c r="T111" s="202" t="str">
        <f t="shared" si="34"/>
        <v>Southbound</v>
      </c>
      <c r="U111" s="202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03" t="str">
        <f t="shared" si="35"/>
        <v>https://d0f6bd738d7f1b3e5a7ca70fe4ff75f0.us-east-1.aws.found.io/app/kibana#/discover/Steve-Slow-Train-Analysis-(2080s-and-2083s)?_g=(refreshInterval:(display:Off,pause:!f,section:0,value:0),time:(from:'2017-06-05T15:32:28-0600',mode:absolute,to:'2017-06-05T18:23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1" s="204" t="str">
        <f t="shared" si="36"/>
        <v>N</v>
      </c>
      <c r="X111" s="204">
        <f t="shared" si="51"/>
        <v>1</v>
      </c>
      <c r="Y111" s="204">
        <f t="shared" si="52"/>
        <v>23.2957</v>
      </c>
      <c r="Z111" s="204">
        <f t="shared" si="38"/>
        <v>1.29E-2</v>
      </c>
      <c r="AA111" s="204">
        <f t="shared" si="39"/>
        <v>23.282800000000002</v>
      </c>
      <c r="AB111" s="57" t="e">
        <f>VLOOKUP(A111,Enforcements!$C$7:$K$13,8,0)</f>
        <v>#N/A</v>
      </c>
      <c r="AC111" s="53" t="e">
        <f>VLOOKUP(A111,Enforcements!$C$7:$E$13,3,0)</f>
        <v>#N/A</v>
      </c>
      <c r="AD111" s="54" t="str">
        <f t="shared" si="40"/>
        <v>0198-05</v>
      </c>
      <c r="AE111" s="80" t="str">
        <f t="shared" si="41"/>
        <v>aws s3 cp s3://rtdc.mdm.uploadarchive.raw/RTDC4009/ "%USERPROFILE%\AppData\Local\Temp\OnboardLogs"\RTDC4009\2017-06-05 --exclude "*" --recursive --include "*20170605*" &amp; "%USERPROFILE%\Documents\GitHub\mrs-test-scripts\Headless Mode &amp; Sideloading\WalkAndUnGZ.bat" "%USERPROFILE%\AppData\Local\Temp\OnboardLogs"\RTDC4009\2017-06-05 &amp; aws s3 cp s3://rtdc.mdm.uploadarchive.raw/RTDC4009/ "%USERPROFILE%\AppData\Local\Temp\OnboardLogs"\RTDC4009\2017-06-06 --exclude "*" --recursive --include "*20170606*" &amp; "%USERPROFILE%\Documents\GitHub\mrs-test-scripts\Headless Mode &amp; Sideloading\WalkAndUnGZ.bat" "%USERPROFILE%\AppData\Local\Temp\OnboardLogs"\RTDC4009\2017-06-06</v>
      </c>
      <c r="AF111" s="77" t="str">
        <f t="shared" si="42"/>
        <v>"C:\Program Files (x86)\AstroGrep\AstroGrep.exe" /e /r /s /spath="%USERPROFILE%\AppData\Local\Temp\OnboardLogs" /stypes="app*4009*20170605*" /stext=" 23:.+((SYSTEM_STATE.+slice.+state.+changed )|(ment ac)|(multiple cpu faults)|(system.+state.+changed )|(\[timeout)|(PRM\|1\|D)|(kpr)|(kdp)|(train st.+moving)|(\|lc)|(penalty))"</v>
      </c>
      <c r="AG111" s="1" t="str">
        <f t="shared" si="43"/>
        <v>EC</v>
      </c>
      <c r="AH111" s="81" t="str">
        <f t="shared" si="44"/>
        <v>"%USERPROFILE%\Documents\GitHub\eaglep3\Utilities\RefineRTDCRunTimes.py" --tripid 198-05 --locoid 4009 --swversion DE.1.0.9.0 --startMP 204:232957 --initTime 2017-06-05T16:32:28 --startdatetime 2017-06-05T16:42:21 --delay 1 --endMP 204:129 --enddatetime 2017-06-05T17:23:40 --enforcementcount 0 &gt;&gt;C:\Users\stu\Documents\GitHub\eaglep3-reporting\EC\2017-06-05-refined-times.txt</v>
      </c>
      <c r="AI111" s="99" t="str">
        <f t="shared" si="45"/>
        <v>echo {"issue":{"subject":"Wi-MAX data drop; no cut out or enforcement","project_id":79,"tracker_id":40,"status_id":1,"priority_id":2,"assigned_to_id":23,"start_date":"2017-06-05","description":"","custom_fields":[{"id":1,"name":"Subdivision","value":"EC"},{"id":4,"name":"Milepost","value":"0.0129"},{"id":17,"name":"Train ID","value":"198-05"},{"id":16,"name":"Locomotive ID","value":"4009"},{"id":130,"name":"Impact","value":""},{"id":150,"name":"Time of Event (Mountain Time)","value":"17:23:40"},{"id":151,"name":"Denver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5" t="str">
        <f t="shared" si="46"/>
        <v>start /low /b %USERPROFILE%\Documents\GitHub\eaglep3\Utilities\DownloadLogsFromS3.py --loco 4009 --day 2017-06-05</v>
      </c>
      <c r="AN111" s="154" t="str">
        <f t="shared" si="47"/>
        <v>echo {"issue":{"subject":"Wi-MAX data drop; no cut out or enforcement","project_id":30,"tracker_id":4,"status_id":1,"priority_id":1,"assigned_to_id":10,"start_date":"2017-06-05","description":"","custom_fields":[{"id":30,"name":"Category","value":"Issue"},{"id":3,"name":"Functional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23:23:40"},{"id":29,"name":"Sharepoint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610</v>
      </c>
      <c r="B112" s="7">
        <v>4058</v>
      </c>
      <c r="C112" s="21" t="s">
        <v>204</v>
      </c>
      <c r="D112" s="21" t="s">
        <v>397</v>
      </c>
      <c r="E112" s="13">
        <v>42891.664097222223</v>
      </c>
      <c r="F112" s="13">
        <v>42891.666990740741</v>
      </c>
      <c r="G112" s="7">
        <v>1</v>
      </c>
      <c r="H112" s="21" t="s">
        <v>877</v>
      </c>
      <c r="I112" s="13">
        <v>42891.694039351853</v>
      </c>
      <c r="J112" s="7">
        <v>0</v>
      </c>
      <c r="K112" s="92" t="str">
        <f t="shared" si="32"/>
        <v>4057/4058</v>
      </c>
      <c r="L112" s="21" t="str">
        <f>VLOOKUP(A112,'Trips&amp;Operators'!$C$1:$G$99999,5,FALSE)</f>
        <v>CHANDLER KELVIN</v>
      </c>
      <c r="M112" s="6">
        <f t="shared" si="33"/>
        <v>2.7048611111240461E-2</v>
      </c>
      <c r="N112" s="7">
        <f t="shared" si="49"/>
        <v>38.950000000186265</v>
      </c>
      <c r="O112" s="7"/>
      <c r="P112" s="7"/>
      <c r="Q112" s="22"/>
      <c r="R112" s="173"/>
      <c r="S112" s="176">
        <f t="shared" si="53"/>
        <v>1</v>
      </c>
      <c r="T112" s="202" t="str">
        <f t="shared" si="34"/>
        <v>NorthBound</v>
      </c>
      <c r="U112" s="202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03" t="str">
        <f t="shared" si="35"/>
        <v>https://d0f6bd738d7f1b3e5a7ca70fe4ff75f0.us-east-1.aws.found.io/app/kibana#/discover/Steve-Slow-Train-Analysis-(2080s-and-2083s)?_g=(refreshInterval:(display:Off,pause:!f,section:0,value:0),time:(from:'2017-06-05T14:56:18-0600',mode:absolute,to:'2017-06-05T17:39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12" s="204" t="str">
        <f t="shared" si="36"/>
        <v>N</v>
      </c>
      <c r="X112" s="204">
        <f t="shared" si="51"/>
        <v>1</v>
      </c>
      <c r="Y112" s="204">
        <f t="shared" si="52"/>
        <v>4.6199999999999998E-2</v>
      </c>
      <c r="Z112" s="204">
        <v>23.3</v>
      </c>
      <c r="AA112" s="204">
        <f t="shared" si="39"/>
        <v>23.253800000000002</v>
      </c>
      <c r="AB112" s="57" t="e">
        <f>VLOOKUP(A112,Enforcements!$C$7:$K$13,8,0)</f>
        <v>#N/A</v>
      </c>
      <c r="AC112" s="53" t="e">
        <f>VLOOKUP(A112,Enforcements!$C$7:$E$13,3,0)</f>
        <v>#N/A</v>
      </c>
      <c r="AD112" s="54" t="str">
        <f t="shared" si="40"/>
        <v>0199-05</v>
      </c>
      <c r="AE112" s="80" t="str">
        <f t="shared" si="41"/>
        <v>aws s3 cp s3://rtdc.mdm.uploadarchive.raw/RTDC4058/ "%USERPROFILE%\AppData\Local\Temp\OnboardLogs"\RTDC4058\2017-06-05 --exclude "*" --recursive --include "*20170605*" &amp; "%USERPROFILE%\Documents\GitHub\mrs-test-scripts\Headless Mode &amp; Sideloading\WalkAndUnGZ.bat" "%USERPROFILE%\AppData\Local\Temp\OnboardLogs"\RTDC4058\2017-06-05 &amp; aws s3 cp s3://rtdc.mdm.uploadarchive.raw/RTDC4058/ "%USERPROFILE%\AppData\Local\Temp\OnboardLogs"\RTDC4058\2017-06-06 --exclude "*" --recursive --include "*20170606*" &amp; "%USERPROFILE%\Documents\GitHub\mrs-test-scripts\Headless Mode &amp; Sideloading\WalkAndUnGZ.bat" "%USERPROFILE%\AppData\Local\Temp\OnboardLogs"\RTDC4058\2017-06-06</v>
      </c>
      <c r="AF112" s="77" t="str">
        <f t="shared" si="42"/>
        <v>"C:\Program Files (x86)\AstroGrep\AstroGrep.exe" /e /r /s /spath="%USERPROFILE%\AppData\Local\Temp\OnboardLogs" /stypes="app*4058*20170605*" /stext=" 22:.+((SYSTEM_STATE.+slice.+state.+changed )|(ment ac)|(multiple cpu faults)|(system.+state.+changed )|(\[timeout)|(PRM\|1\|D)|(kpr)|(kdp)|(train st.+moving)|(\|lc)|(penalty))"</v>
      </c>
      <c r="AG112" s="1" t="str">
        <f t="shared" si="43"/>
        <v>EC</v>
      </c>
      <c r="AH112" s="81" t="str">
        <f t="shared" si="44"/>
        <v>"%USERPROFILE%\Documents\GitHub\eaglep3\Utilities\RefineRTDCRunTimes.py" --tripid 199-05 --locoid 4058 --swversion DE.1.0.9.0 --startMP 204:462 --initTime 2017-06-05T15:56:18 --startdatetime 2017-06-05T16:00:28 --delay 1 --endMP 204:147977 --enddatetime 2017-06-05T16:39:25 --enforcementcount 0 &gt;&gt;C:\Users\stu\Documents\GitHub\eaglep3-reporting\EC\2017-06-05-refined-times.txt</v>
      </c>
      <c r="AI112" s="99" t="str">
        <f t="shared" si="45"/>
        <v>echo {"issue":{"subject":"","project_id":79,"tracker_id":40,"status_id":1,"priority_id":2,"assigned_to_id":23,"start_date":"2017-06-05","description":"","custom_fields":[{"id":1,"name":"Subdivision","value":"EC"},{"id":4,"name":"Milepost","value":"23.3"},{"id":17,"name":"Train ID","value":"199-05"},{"id":16,"name":"Locomotive ID","value":"4058"},{"id":130,"name":"Impact","value":""},{"id":150,"name":"Time of Event (Mountain Time)","value":"16:39:25"},{"id":151,"name":"Denver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5" t="str">
        <f t="shared" si="46"/>
        <v>start /low /b %USERPROFILE%\Documents\GitHub\eaglep3\Utilities\DownloadLogsFromS3.py --loco 4058 --day 2017-06-05</v>
      </c>
      <c r="AN112" s="154" t="str">
        <f t="shared" si="47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22:39:25"},{"id":29,"name":"Sharepoint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771</v>
      </c>
      <c r="B113" s="7">
        <v>4057</v>
      </c>
      <c r="C113" s="21" t="s">
        <v>204</v>
      </c>
      <c r="D113" s="21" t="s">
        <v>841</v>
      </c>
      <c r="E113" s="13">
        <v>42891.705312500002</v>
      </c>
      <c r="F113" s="13">
        <v>42891.70652777778</v>
      </c>
      <c r="G113" s="7">
        <v>1</v>
      </c>
      <c r="H113" s="21" t="s">
        <v>195</v>
      </c>
      <c r="I113" s="13">
        <v>42891.734618055554</v>
      </c>
      <c r="J113" s="7">
        <v>0</v>
      </c>
      <c r="K113" s="92" t="str">
        <f t="shared" si="32"/>
        <v>4057/4058</v>
      </c>
      <c r="L113" s="21" t="str">
        <f>VLOOKUP(A113,'Trips&amp;Operators'!$C$1:$G$99999,5,FALSE)</f>
        <v>CHANDLER KELVIN</v>
      </c>
      <c r="M113" s="6">
        <f t="shared" si="33"/>
        <v>2.8090277774026617E-2</v>
      </c>
      <c r="N113" s="7">
        <f t="shared" si="49"/>
        <v>40.449999994598329</v>
      </c>
      <c r="O113" s="7"/>
      <c r="P113" s="7"/>
      <c r="Q113" s="22"/>
      <c r="R113" s="173"/>
      <c r="S113" s="176">
        <f t="shared" si="53"/>
        <v>1</v>
      </c>
      <c r="T113" s="202" t="str">
        <f t="shared" si="34"/>
        <v>Southbound</v>
      </c>
      <c r="U113" s="202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03" t="str">
        <f t="shared" si="35"/>
        <v>https://d0f6bd738d7f1b3e5a7ca70fe4ff75f0.us-east-1.aws.found.io/app/kibana#/discover/Steve-Slow-Train-Analysis-(2080s-and-2083s)?_g=(refreshInterval:(display:Off,pause:!f,section:0,value:0),time:(from:'2017-06-05T15:55:39-0600',mode:absolute,to:'2017-06-05T18:37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13" s="204" t="str">
        <f t="shared" si="36"/>
        <v>N</v>
      </c>
      <c r="X113" s="204">
        <f t="shared" si="51"/>
        <v>1</v>
      </c>
      <c r="Y113" s="204">
        <f t="shared" si="52"/>
        <v>23.2973</v>
      </c>
      <c r="Z113" s="204">
        <f t="shared" ref="Z113:Z144" si="54">RIGHT(H113,LEN(H113)-4)/10000</f>
        <v>1.52E-2</v>
      </c>
      <c r="AA113" s="204">
        <f t="shared" si="39"/>
        <v>23.2821</v>
      </c>
      <c r="AB113" s="57" t="e">
        <f>VLOOKUP(A113,Enforcements!$C$7:$K$13,8,0)</f>
        <v>#N/A</v>
      </c>
      <c r="AC113" s="53" t="e">
        <f>VLOOKUP(A113,Enforcements!$C$7:$E$13,3,0)</f>
        <v>#N/A</v>
      </c>
      <c r="AD113" s="54" t="str">
        <f t="shared" si="40"/>
        <v>0200-05</v>
      </c>
      <c r="AE113" s="80" t="str">
        <f t="shared" si="41"/>
        <v>aws s3 cp s3://rtdc.mdm.uploadarchive.raw/RTDC4057/ "%USERPROFILE%\AppData\Local\Temp\OnboardLogs"\RTDC4057\2017-06-05 --exclude "*" --recursive --include "*20170605*" &amp; "%USERPROFILE%\Documents\GitHub\mrs-test-scripts\Headless Mode &amp; Sideloading\WalkAndUnGZ.bat" "%USERPROFILE%\AppData\Local\Temp\OnboardLogs"\RTDC4057\2017-06-05 &amp; aws s3 cp s3://rtdc.mdm.uploadarchive.raw/RTDC4057/ "%USERPROFILE%\AppData\Local\Temp\OnboardLogs"\RTDC4057\2017-06-06 --exclude "*" --recursive --include "*20170606*" &amp; "%USERPROFILE%\Documents\GitHub\mrs-test-scripts\Headless Mode &amp; Sideloading\WalkAndUnGZ.bat" "%USERPROFILE%\AppData\Local\Temp\OnboardLogs"\RTDC4057\2017-06-06</v>
      </c>
      <c r="AF113" s="77" t="str">
        <f t="shared" si="42"/>
        <v>"C:\Program Files (x86)\AstroGrep\AstroGrep.exe" /e /r /s /spath="%USERPROFILE%\AppData\Local\Temp\OnboardLogs" /stypes="app*4057*20170605*" /stext=" 23:.+((SYSTEM_STATE.+slice.+state.+changed )|(ment ac)|(multiple cpu faults)|(system.+state.+changed )|(\[timeout)|(PRM\|1\|D)|(kpr)|(kdp)|(train st.+moving)|(\|lc)|(penalty))"</v>
      </c>
      <c r="AG113" s="1" t="str">
        <f t="shared" si="43"/>
        <v>EC</v>
      </c>
      <c r="AH113" s="81" t="str">
        <f t="shared" si="44"/>
        <v>"%USERPROFILE%\Documents\GitHub\eaglep3\Utilities\RefineRTDCRunTimes.py" --tripid 200-05 --locoid 4057 --swversion DE.1.0.9.0 --startMP 204:232973 --initTime 2017-06-05T16:55:39 --startdatetime 2017-06-05T16:57:24 --delay 1 --endMP 204:152 --enddatetime 2017-06-05T17:37:51 --enforcementcount 0 &gt;&gt;C:\Users\stu\Documents\GitHub\eaglep3-reporting\EC\2017-06-05-refined-times.txt</v>
      </c>
      <c r="AI113" s="99" t="str">
        <f t="shared" si="45"/>
        <v>echo {"issue":{"subject":"","project_id":79,"tracker_id":40,"status_id":1,"priority_id":2,"assigned_to_id":23,"start_date":"2017-06-05","description":"","custom_fields":[{"id":1,"name":"Subdivision","value":"EC"},{"id":4,"name":"Milepost","value":"0.0152"},{"id":17,"name":"Train ID","value":"200-05"},{"id":16,"name":"Locomotive ID","value":"4057"},{"id":130,"name":"Impact","value":""},{"id":150,"name":"Time of Event (Mountain Time)","value":"17:37:51"},{"id":151,"name":"Denver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5" t="str">
        <f t="shared" si="46"/>
        <v>start /low /b %USERPROFILE%\Documents\GitHub\eaglep3\Utilities\DownloadLogsFromS3.py --loco 4057 --day 2017-06-05</v>
      </c>
      <c r="AN113" s="154" t="str">
        <f t="shared" si="47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23:37:51"},{"id":29,"name":"Sharepoint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611</v>
      </c>
      <c r="B114" s="7">
        <v>4062</v>
      </c>
      <c r="C114" s="21" t="s">
        <v>204</v>
      </c>
      <c r="D114" s="21" t="s">
        <v>359</v>
      </c>
      <c r="E114" s="13">
        <v>42891.673263888886</v>
      </c>
      <c r="F114" s="13">
        <v>42891.677256944444</v>
      </c>
      <c r="G114" s="7">
        <v>1</v>
      </c>
      <c r="H114" s="21" t="s">
        <v>878</v>
      </c>
      <c r="I114" s="13">
        <v>42891.700810185182</v>
      </c>
      <c r="J114" s="7">
        <v>0</v>
      </c>
      <c r="K114" s="92" t="str">
        <f t="shared" si="32"/>
        <v>4061/4062</v>
      </c>
      <c r="L114" s="21" t="str">
        <f>VLOOKUP(A114,'Trips&amp;Operators'!$C$1:$G$99999,5,FALSE)</f>
        <v>MCREYNOLDS KYLE</v>
      </c>
      <c r="M114" s="6">
        <f t="shared" si="33"/>
        <v>2.3553240738692693E-2</v>
      </c>
      <c r="N114" s="7"/>
      <c r="O114" s="7"/>
      <c r="P114" s="7">
        <f>24*60*SUM($M114:$M114)</f>
        <v>33.916666663717479</v>
      </c>
      <c r="Q114" s="22"/>
      <c r="R114" s="173" t="s">
        <v>419</v>
      </c>
      <c r="S114" s="176">
        <f t="shared" si="53"/>
        <v>1</v>
      </c>
      <c r="T114" s="202" t="str">
        <f t="shared" si="34"/>
        <v>NorthBound</v>
      </c>
      <c r="U114" s="202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03" t="str">
        <f t="shared" si="35"/>
        <v>https://d0f6bd738d7f1b3e5a7ca70fe4ff75f0.us-east-1.aws.found.io/app/kibana#/discover/Steve-Slow-Train-Analysis-(2080s-and-2083s)?_g=(refreshInterval:(display:Off,pause:!f,section:0,value:0),time:(from:'2017-06-05T15:09:30-0600',mode:absolute,to:'2017-06-05T17:49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14" s="204" t="str">
        <f t="shared" si="36"/>
        <v>Y</v>
      </c>
      <c r="X114" s="204">
        <f t="shared" si="51"/>
        <v>1</v>
      </c>
      <c r="Y114" s="204">
        <f t="shared" si="52"/>
        <v>4.53E-2</v>
      </c>
      <c r="Z114" s="204">
        <f t="shared" si="54"/>
        <v>21.259</v>
      </c>
      <c r="AA114" s="204">
        <f t="shared" si="39"/>
        <v>21.213699999999999</v>
      </c>
      <c r="AB114" s="57" t="e">
        <f>VLOOKUP(A114,Enforcements!$C$7:$K$13,8,0)</f>
        <v>#N/A</v>
      </c>
      <c r="AC114" s="53" t="e">
        <f>VLOOKUP(A114,Enforcements!$C$7:$E$13,3,0)</f>
        <v>#N/A</v>
      </c>
      <c r="AD114" s="54" t="str">
        <f t="shared" si="40"/>
        <v>0201-05</v>
      </c>
      <c r="AE114" s="80" t="str">
        <f t="shared" si="41"/>
        <v>aws s3 cp s3://rtdc.mdm.uploadarchive.raw/RTDC4062/ "%USERPROFILE%\AppData\Local\Temp\OnboardLogs"\RTDC4062\2017-06-05 --exclude "*" --recursive --include "*20170605*" &amp; "%USERPROFILE%\Documents\GitHub\mrs-test-scripts\Headless Mode &amp; Sideloading\WalkAndUnGZ.bat" "%USERPROFILE%\AppData\Local\Temp\OnboardLogs"\RTDC4062\2017-06-05 &amp; aws s3 cp s3://rtdc.mdm.uploadarchive.raw/RTDC4062/ "%USERPROFILE%\AppData\Local\Temp\OnboardLogs"\RTDC4062\2017-06-06 --exclude "*" --recursive --include "*20170606*" &amp; "%USERPROFILE%\Documents\GitHub\mrs-test-scripts\Headless Mode &amp; Sideloading\WalkAndUnGZ.bat" "%USERPROFILE%\AppData\Local\Temp\OnboardLogs"\RTDC4062\2017-06-06</v>
      </c>
      <c r="AF114" s="77" t="str">
        <f t="shared" si="42"/>
        <v>"C:\Program Files (x86)\AstroGrep\AstroGrep.exe" /e /r /s /spath="%USERPROFILE%\AppData\Local\Temp\OnboardLogs" /stypes="app*4062*20170605*" /stext=" 22:.+((SYSTEM_STATE.+slice.+state.+changed )|(ment ac)|(multiple cpu faults)|(system.+state.+changed )|(\[timeout)|(PRM\|1\|D)|(kpr)|(kdp)|(train st.+moving)|(\|lc)|(penalty))"</v>
      </c>
      <c r="AG114" s="1" t="str">
        <f t="shared" si="43"/>
        <v>EC</v>
      </c>
      <c r="AH114" s="81" t="str">
        <f t="shared" si="44"/>
        <v>"%USERPROFILE%\Documents\GitHub\eaglep3\Utilities\RefineRTDCRunTimes.py" --tripid 201-05 --locoid 4062 --swversion DE.1.0.9.0 --startMP 204:453 --initTime 2017-06-05T16:09:30 --startdatetime 2017-06-05T16:15:15 --delay 1 --endMP 204:212590 --enddatetime 2017-06-05T16:49:10 --enforcementcount 0 &gt;&gt;C:\Users\stu\Documents\GitHub\eaglep3-reporting\EC\2017-06-05-refined-times.txt</v>
      </c>
      <c r="AI114" s="99" t="str">
        <f t="shared" si="45"/>
        <v>echo {"issue":{"subject":"Wi-MAX data drop","project_id":79,"tracker_id":40,"status_id":1,"priority_id":2,"assigned_to_id":23,"start_date":"2017-06-05","description":"","custom_fields":[{"id":1,"name":"Subdivision","value":"EC"},{"id":4,"name":"Milepost","value":"21.259"},{"id":17,"name":"Train ID","value":"201-05"},{"id":16,"name":"Locomotive ID","value":"4062"},{"id":130,"name":"Impact","value":""},{"id":150,"name":"Time of Event (Mountain Time)","value":"16:49:10"},{"id":151,"name":"Denver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5" t="str">
        <f t="shared" si="46"/>
        <v>start /low /b %USERPROFILE%\Documents\GitHub\eaglep3\Utilities\DownloadLogsFromS3.py --loco 4062 --day 2017-06-05</v>
      </c>
      <c r="AN114" s="154" t="str">
        <f t="shared" si="47"/>
        <v>echo {"issue":{"subject":"Wi-MAX data drop","project_id":30,"tracker_id":4,"status_id":1,"priority_id":1,"assigned_to_id":10,"start_date":"2017-06-05","description":"","custom_fields":[{"id":30,"name":"Category","value":"Issue"},{"id":3,"name":"Functional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22:49:10"},{"id":29,"name":"Sharepoint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775</v>
      </c>
      <c r="B115" s="7">
        <v>4061</v>
      </c>
      <c r="C115" s="21" t="s">
        <v>204</v>
      </c>
      <c r="D115" s="21" t="s">
        <v>875</v>
      </c>
      <c r="E115" s="13">
        <v>42891.712129629632</v>
      </c>
      <c r="F115" s="13">
        <v>42891.716828703706</v>
      </c>
      <c r="G115" s="7">
        <v>1</v>
      </c>
      <c r="H115" s="21" t="s">
        <v>364</v>
      </c>
      <c r="I115" s="13">
        <v>42891.742812500001</v>
      </c>
      <c r="J115" s="7">
        <v>0</v>
      </c>
      <c r="K115" s="92" t="str">
        <f t="shared" si="32"/>
        <v>4061/4062</v>
      </c>
      <c r="L115" s="21" t="str">
        <f>VLOOKUP(A115,'Trips&amp;Operators'!$C$1:$G$99999,5,FALSE)</f>
        <v>MCREYNOLDS KYLE</v>
      </c>
      <c r="M115" s="6">
        <f t="shared" si="33"/>
        <v>2.5983796294895001E-2</v>
      </c>
      <c r="N115" s="7">
        <f t="shared" ref="N115:N146" si="55">24*60*SUM($M115:$M115)</f>
        <v>37.416666664648801</v>
      </c>
      <c r="O115" s="7"/>
      <c r="P115" s="7"/>
      <c r="Q115" s="22"/>
      <c r="R115" s="173"/>
      <c r="S115" s="176">
        <f t="shared" si="53"/>
        <v>1</v>
      </c>
      <c r="T115" s="202" t="str">
        <f t="shared" si="34"/>
        <v>Southbound</v>
      </c>
      <c r="U115" s="202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03" t="str">
        <f t="shared" si="35"/>
        <v>https://d0f6bd738d7f1b3e5a7ca70fe4ff75f0.us-east-1.aws.found.io/app/kibana#/discover/Steve-Slow-Train-Analysis-(2080s-and-2083s)?_g=(refreshInterval:(display:Off,pause:!f,section:0,value:0),time:(from:'2017-06-05T16:05:28-0600',mode:absolute,to:'2017-06-05T18:49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15" s="204" t="str">
        <f t="shared" si="36"/>
        <v>N</v>
      </c>
      <c r="X115" s="204">
        <f t="shared" si="51"/>
        <v>1</v>
      </c>
      <c r="Y115" s="204">
        <f t="shared" si="52"/>
        <v>23.306799999999999</v>
      </c>
      <c r="Z115" s="204">
        <f t="shared" si="54"/>
        <v>1.47E-2</v>
      </c>
      <c r="AA115" s="204">
        <f t="shared" si="39"/>
        <v>23.292099999999998</v>
      </c>
      <c r="AB115" s="57" t="e">
        <f>VLOOKUP(A115,Enforcements!$C$7:$K$13,8,0)</f>
        <v>#N/A</v>
      </c>
      <c r="AC115" s="53" t="e">
        <f>VLOOKUP(A115,Enforcements!$C$7:$E$13,3,0)</f>
        <v>#N/A</v>
      </c>
      <c r="AD115" s="54" t="str">
        <f t="shared" si="40"/>
        <v>0202-05</v>
      </c>
      <c r="AE115" s="80" t="str">
        <f t="shared" si="41"/>
        <v>aws s3 cp s3://rtdc.mdm.uploadarchive.raw/RTDC4061/ "%USERPROFILE%\AppData\Local\Temp\OnboardLogs"\RTDC4061\2017-06-05 --exclude "*" --recursive --include "*20170605*" &amp; "%USERPROFILE%\Documents\GitHub\mrs-test-scripts\Headless Mode &amp; Sideloading\WalkAndUnGZ.bat" "%USERPROFILE%\AppData\Local\Temp\OnboardLogs"\RTDC4061\2017-06-05 &amp; aws s3 cp s3://rtdc.mdm.uploadarchive.raw/RTDC4061/ "%USERPROFILE%\AppData\Local\Temp\OnboardLogs"\RTDC4061\2017-06-06 --exclude "*" --recursive --include "*20170606*" &amp; "%USERPROFILE%\Documents\GitHub\mrs-test-scripts\Headless Mode &amp; Sideloading\WalkAndUnGZ.bat" "%USERPROFILE%\AppData\Local\Temp\OnboardLogs"\RTDC4061\2017-06-06</v>
      </c>
      <c r="AF115" s="77" t="str">
        <f t="shared" si="42"/>
        <v>"C:\Program Files (x86)\AstroGrep\AstroGrep.exe" /e /r /s /spath="%USERPROFILE%\AppData\Local\Temp\OnboardLogs" /stypes="app*4061*20170605*" /stext=" 23:.+((SYSTEM_STATE.+slice.+state.+changed )|(ment ac)|(multiple cpu faults)|(system.+state.+changed )|(\[timeout)|(PRM\|1\|D)|(kpr)|(kdp)|(train st.+moving)|(\|lc)|(penalty))"</v>
      </c>
      <c r="AG115" s="1" t="str">
        <f t="shared" si="43"/>
        <v>EC</v>
      </c>
      <c r="AH115" s="81" t="str">
        <f t="shared" si="44"/>
        <v>"%USERPROFILE%\Documents\GitHub\eaglep3\Utilities\RefineRTDCRunTimes.py" --tripid 202-05 --locoid 4061 --swversion DE.1.0.9.0 --startMP 204:233068 --initTime 2017-06-05T17:05:28 --startdatetime 2017-06-05T17:12:14 --delay 1 --endMP 204:147 --enddatetime 2017-06-05T17:49:39 --enforcementcount 0 &gt;&gt;C:\Users\stu\Documents\GitHub\eaglep3-reporting\EC\2017-06-05-refined-times.txt</v>
      </c>
      <c r="AI115" s="99" t="str">
        <f t="shared" si="45"/>
        <v>echo {"issue":{"subject":"","project_id":79,"tracker_id":40,"status_id":1,"priority_id":2,"assigned_to_id":23,"start_date":"2017-06-05","description":"","custom_fields":[{"id":1,"name":"Subdivision","value":"EC"},{"id":4,"name":"Milepost","value":"0.0147"},{"id":17,"name":"Train ID","value":"202-05"},{"id":16,"name":"Locomotive ID","value":"4061"},{"id":130,"name":"Impact","value":""},{"id":150,"name":"Time of Event (Mountain Time)","value":"17:49:39"},{"id":151,"name":"Denver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5" t="str">
        <f t="shared" si="46"/>
        <v>start /low /b %USERPROFILE%\Documents\GitHub\eaglep3\Utilities\DownloadLogsFromS3.py --loco 4061 --day 2017-06-05</v>
      </c>
      <c r="AN115" s="154" t="str">
        <f t="shared" si="47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23:49:39"},{"id":29,"name":"Sharepoint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767</v>
      </c>
      <c r="B116" s="7">
        <v>4016</v>
      </c>
      <c r="C116" s="21" t="s">
        <v>204</v>
      </c>
      <c r="D116" s="21" t="s">
        <v>359</v>
      </c>
      <c r="E116" s="13">
        <v>42891.684942129628</v>
      </c>
      <c r="F116" s="13">
        <v>42891.687847222223</v>
      </c>
      <c r="G116" s="7">
        <v>1</v>
      </c>
      <c r="H116" s="21" t="s">
        <v>557</v>
      </c>
      <c r="I116" s="13">
        <v>42891.715011574073</v>
      </c>
      <c r="J116" s="7">
        <v>0</v>
      </c>
      <c r="K116" s="92" t="str">
        <f t="shared" si="32"/>
        <v>4015/4016</v>
      </c>
      <c r="L116" s="21" t="str">
        <f>VLOOKUP(A116,'Trips&amp;Operators'!$C$1:$G$99999,5,FALSE)</f>
        <v>DAVIS MICHAEL</v>
      </c>
      <c r="M116" s="6">
        <f t="shared" si="33"/>
        <v>2.7164351849933155E-2</v>
      </c>
      <c r="N116" s="7">
        <f t="shared" si="55"/>
        <v>39.116666663903743</v>
      </c>
      <c r="O116" s="7"/>
      <c r="P116" s="7"/>
      <c r="Q116" s="22"/>
      <c r="R116" s="173" t="s">
        <v>1038</v>
      </c>
      <c r="S116" s="176">
        <f t="shared" si="53"/>
        <v>1</v>
      </c>
      <c r="T116" s="202" t="str">
        <f t="shared" si="34"/>
        <v>NorthBound</v>
      </c>
      <c r="U116" s="202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03" t="str">
        <f t="shared" si="35"/>
        <v>https://d0f6bd738d7f1b3e5a7ca70fe4ff75f0.us-east-1.aws.found.io/app/kibana#/discover/Steve-Slow-Train-Analysis-(2080s-and-2083s)?_g=(refreshInterval:(display:Off,pause:!f,section:0,value:0),time:(from:'2017-06-05T15:26:19-0600',mode:absolute,to:'2017-06-05T18:09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6" s="204" t="str">
        <f t="shared" si="36"/>
        <v>N</v>
      </c>
      <c r="X116" s="204">
        <f t="shared" si="51"/>
        <v>1</v>
      </c>
      <c r="Y116" s="204">
        <f t="shared" si="52"/>
        <v>4.53E-2</v>
      </c>
      <c r="Z116" s="204">
        <f t="shared" si="54"/>
        <v>23.337399999999999</v>
      </c>
      <c r="AA116" s="204">
        <f t="shared" si="39"/>
        <v>23.292099999999998</v>
      </c>
      <c r="AB116" s="57" t="e">
        <f>VLOOKUP(A116,Enforcements!$C$7:$K$13,8,0)</f>
        <v>#N/A</v>
      </c>
      <c r="AC116" s="53" t="e">
        <f>VLOOKUP(A116,Enforcements!$C$7:$E$13,3,0)</f>
        <v>#N/A</v>
      </c>
      <c r="AD116" s="54" t="str">
        <f t="shared" si="40"/>
        <v>0203-05</v>
      </c>
      <c r="AE116" s="80" t="str">
        <f t="shared" si="41"/>
        <v>aws s3 cp s3://rtdc.mdm.uploadarchive.raw/RTDC4016/ "%USERPROFILE%\AppData\Local\Temp\OnboardLogs"\RTDC4016\2017-06-05 --exclude "*" --recursive --include "*20170605*" &amp; "%USERPROFILE%\Documents\GitHub\mrs-test-scripts\Headless Mode &amp; Sideloading\WalkAndUnGZ.bat" "%USERPROFILE%\AppData\Local\Temp\OnboardLogs"\RTDC4016\2017-06-05 &amp; aws s3 cp s3://rtdc.mdm.uploadarchive.raw/RTDC4016/ "%USERPROFILE%\AppData\Local\Temp\OnboardLogs"\RTDC4016\2017-06-06 --exclude "*" --recursive --include "*20170606*" &amp; "%USERPROFILE%\Documents\GitHub\mrs-test-scripts\Headless Mode &amp; Sideloading\WalkAndUnGZ.bat" "%USERPROFILE%\AppData\Local\Temp\OnboardLogs"\RTDC4016\2017-06-06</v>
      </c>
      <c r="AF116" s="77" t="str">
        <f t="shared" si="42"/>
        <v>"C:\Program Files (x86)\AstroGrep\AstroGrep.exe" /e /r /s /spath="%USERPROFILE%\AppData\Local\Temp\OnboardLogs" /stypes="app*4016*20170605*" /stext=" 23:.+((SYSTEM_STATE.+slice.+state.+changed )|(ment ac)|(multiple cpu faults)|(system.+state.+changed )|(\[timeout)|(PRM\|1\|D)|(kpr)|(kdp)|(train st.+moving)|(\|lc)|(penalty))"</v>
      </c>
      <c r="AG116" s="1" t="str">
        <f t="shared" si="43"/>
        <v>EC</v>
      </c>
      <c r="AH116" s="81" t="str">
        <f t="shared" si="44"/>
        <v>"%USERPROFILE%\Documents\GitHub\eaglep3\Utilities\RefineRTDCRunTimes.py" --tripid 203-05 --locoid 4016 --swversion DE.1.0.9.0 --startMP 204:453 --initTime 2017-06-05T16:26:19 --startdatetime 2017-06-05T16:30:30 --delay 1 --endMP 204:233374 --enddatetime 2017-06-05T17:09:37 --enforcementcount 0 &gt;&gt;C:\Users\stu\Documents\GitHub\eaglep3-reporting\EC\2017-06-05-refined-times.txt</v>
      </c>
      <c r="AI116" s="99" t="str">
        <f t="shared" si="45"/>
        <v>echo {"issue":{"subject":"Wi-MAX data drop; no cut out or enforcement","project_id":79,"tracker_id":40,"status_id":1,"priority_id":2,"assigned_to_id":23,"start_date":"2017-06-05","description":"","custom_fields":[{"id":1,"name":"Subdivision","value":"EC"},{"id":4,"name":"Milepost","value":"23.3374"},{"id":17,"name":"Train ID","value":"203-05"},{"id":16,"name":"Locomotive ID","value":"4016"},{"id":130,"name":"Impact","value":""},{"id":150,"name":"Time of Event (Mountain Time)","value":"17:09:37"},{"id":151,"name":"Denver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5" t="str">
        <f t="shared" si="46"/>
        <v>start /low /b %USERPROFILE%\Documents\GitHub\eaglep3\Utilities\DownloadLogsFromS3.py --loco 4016 --day 2017-06-05</v>
      </c>
      <c r="AN116" s="154" t="str">
        <f t="shared" si="47"/>
        <v>echo {"issue":{"subject":"Wi-MAX data drop; no cut out or enforcement","project_id":30,"tracker_id":4,"status_id":1,"priority_id":1,"assigned_to_id":10,"start_date":"2017-06-05","description":"","custom_fields":[{"id":30,"name":"Category","value":"Issue"},{"id":3,"name":"Functional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23:09:37"},{"id":29,"name":"Sharepoint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779</v>
      </c>
      <c r="B117" s="7">
        <v>4015</v>
      </c>
      <c r="C117" s="21" t="s">
        <v>204</v>
      </c>
      <c r="D117" s="21" t="s">
        <v>556</v>
      </c>
      <c r="E117" s="13">
        <v>42891.724606481483</v>
      </c>
      <c r="F117" s="13">
        <v>42891.727465277778</v>
      </c>
      <c r="G117" s="7">
        <v>1</v>
      </c>
      <c r="H117" s="21" t="s">
        <v>364</v>
      </c>
      <c r="I117" s="13">
        <v>42891.75513888889</v>
      </c>
      <c r="J117" s="7">
        <v>0</v>
      </c>
      <c r="K117" s="92" t="str">
        <f t="shared" si="32"/>
        <v>4015/4016</v>
      </c>
      <c r="L117" s="21" t="str">
        <f>VLOOKUP(A117,'Trips&amp;Operators'!$C$1:$G$99999,5,FALSE)</f>
        <v>DAVIS MICHAEL</v>
      </c>
      <c r="M117" s="6">
        <f t="shared" si="33"/>
        <v>2.7673611111822538E-2</v>
      </c>
      <c r="N117" s="7">
        <f t="shared" si="55"/>
        <v>39.850000001024455</v>
      </c>
      <c r="O117" s="7"/>
      <c r="P117" s="7"/>
      <c r="Q117" s="22"/>
      <c r="R117" s="173"/>
      <c r="S117" s="176">
        <f t="shared" si="53"/>
        <v>1</v>
      </c>
      <c r="T117" s="202" t="str">
        <f t="shared" si="34"/>
        <v>Southbound</v>
      </c>
      <c r="U117" s="202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03" t="str">
        <f t="shared" si="35"/>
        <v>https://d0f6bd738d7f1b3e5a7ca70fe4ff75f0.us-east-1.aws.found.io/app/kibana#/discover/Steve-Slow-Train-Analysis-(2080s-and-2083s)?_g=(refreshInterval:(display:Off,pause:!f,section:0,value:0),time:(from:'2017-06-05T16:23:26-0600',mode:absolute,to:'2017-06-05T19:07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7" s="204" t="str">
        <f t="shared" si="36"/>
        <v>N</v>
      </c>
      <c r="X117" s="204">
        <f t="shared" si="51"/>
        <v>1</v>
      </c>
      <c r="Y117" s="204">
        <f t="shared" si="52"/>
        <v>23.305299999999999</v>
      </c>
      <c r="Z117" s="204">
        <f t="shared" si="54"/>
        <v>1.47E-2</v>
      </c>
      <c r="AA117" s="204">
        <f t="shared" si="39"/>
        <v>23.290599999999998</v>
      </c>
      <c r="AB117" s="57" t="e">
        <f>VLOOKUP(A117,Enforcements!$C$7:$K$13,8,0)</f>
        <v>#N/A</v>
      </c>
      <c r="AC117" s="53" t="e">
        <f>VLOOKUP(A117,Enforcements!$C$7:$E$13,3,0)</f>
        <v>#N/A</v>
      </c>
      <c r="AD117" s="54" t="str">
        <f t="shared" si="40"/>
        <v>0204-05</v>
      </c>
      <c r="AE117" s="80" t="str">
        <f t="shared" si="41"/>
        <v>aws s3 cp s3://rtdc.mdm.uploadarchive.raw/RTDC4015/ "%USERPROFILE%\AppData\Local\Temp\OnboardLogs"\RTDC4015\2017-06-05 --exclude "*" --recursive --include "*20170605*" &amp; "%USERPROFILE%\Documents\GitHub\mrs-test-scripts\Headless Mode &amp; Sideloading\WalkAndUnGZ.bat" "%USERPROFILE%\AppData\Local\Temp\OnboardLogs"\RTDC4015\2017-06-05 &amp; aws s3 cp s3://rtdc.mdm.uploadarchive.raw/RTDC4015/ "%USERPROFILE%\AppData\Local\Temp\OnboardLogs"\RTDC4015\2017-06-06 --exclude "*" --recursive --include "*20170606*" &amp; "%USERPROFILE%\Documents\GitHub\mrs-test-scripts\Headless Mode &amp; Sideloading\WalkAndUnGZ.bat" "%USERPROFILE%\AppData\Local\Temp\OnboardLogs"\RTDC4015\2017-06-06</v>
      </c>
      <c r="AF117" s="77" t="str">
        <f t="shared" si="42"/>
        <v>"C:\Program Files (x86)\AstroGrep\AstroGrep.exe" /e /r /s /spath="%USERPROFILE%\AppData\Local\Temp\OnboardLogs" /stypes="app*4015*20170606*" /stext=" 00:.+((SYSTEM_STATE.+slice.+state.+changed )|(ment ac)|(multiple cpu faults)|(system.+state.+changed )|(\[timeout)|(PRM\|1\|D)|(kpr)|(kdp)|(train st.+moving)|(\|lc)|(penalty))"</v>
      </c>
      <c r="AG117" s="1" t="str">
        <f t="shared" si="43"/>
        <v>EC</v>
      </c>
      <c r="AH117" s="81" t="str">
        <f t="shared" si="44"/>
        <v>"%USERPROFILE%\Documents\GitHub\eaglep3\Utilities\RefineRTDCRunTimes.py" --tripid 204-05 --locoid 4015 --swversion DE.1.0.9.0 --startMP 204:233053 --initTime 2017-06-05T17:23:26 --startdatetime 2017-06-05T17:27:33 --delay 1 --endMP 204:147 --enddatetime 2017-06-05T18:07:24 --enforcementcount 0 &gt;&gt;C:\Users\stu\Documents\GitHub\eaglep3-reporting\EC\2017-06-05-refined-times.txt</v>
      </c>
      <c r="AI117" s="99" t="str">
        <f t="shared" si="45"/>
        <v>echo {"issue":{"subject":"","project_id":79,"tracker_id":40,"status_id":1,"priority_id":2,"assigned_to_id":23,"start_date":"2017-06-05","description":"","custom_fields":[{"id":1,"name":"Subdivision","value":"EC"},{"id":4,"name":"Milepost","value":"0.0147"},{"id":17,"name":"Train ID","value":"204-05"},{"id":16,"name":"Locomotive ID","value":"4015"},{"id":130,"name":"Impact","value":""},{"id":150,"name":"Time of Event (Mountain Time)","value":"18:07:24"},{"id":151,"name":"Denver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5" t="str">
        <f t="shared" si="46"/>
        <v>start /low /b %USERPROFILE%\Documents\GitHub\eaglep3\Utilities\DownloadLogsFromS3.py --loco 4015 --day 2017-06-05</v>
      </c>
      <c r="AN117" s="154" t="str">
        <f t="shared" si="4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00:07:24"},{"id":29,"name":"Sharepoint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769</v>
      </c>
      <c r="B118" s="7">
        <v>4042</v>
      </c>
      <c r="C118" s="21" t="s">
        <v>204</v>
      </c>
      <c r="D118" s="21" t="s">
        <v>359</v>
      </c>
      <c r="E118" s="13">
        <v>42891.695289351854</v>
      </c>
      <c r="F118" s="13">
        <v>42891.698101851849</v>
      </c>
      <c r="G118" s="7">
        <v>1</v>
      </c>
      <c r="H118" s="21" t="s">
        <v>537</v>
      </c>
      <c r="I118" s="13">
        <v>42891.723460648151</v>
      </c>
      <c r="J118" s="7">
        <v>0</v>
      </c>
      <c r="K118" s="92" t="str">
        <f t="shared" si="32"/>
        <v>4041/4042</v>
      </c>
      <c r="L118" s="21" t="str">
        <f>VLOOKUP(A118,'Trips&amp;Operators'!$C$1:$G$99999,5,FALSE)</f>
        <v>ROBINSON KADDIBA</v>
      </c>
      <c r="M118" s="6">
        <f t="shared" si="33"/>
        <v>2.5358796301588882E-2</v>
      </c>
      <c r="N118" s="7">
        <f t="shared" si="55"/>
        <v>36.51666667428799</v>
      </c>
      <c r="O118" s="7"/>
      <c r="P118" s="7"/>
      <c r="Q118" s="22"/>
      <c r="R118" s="173"/>
      <c r="S118" s="176">
        <f t="shared" si="53"/>
        <v>1</v>
      </c>
      <c r="T118" s="202" t="str">
        <f t="shared" si="34"/>
        <v>NorthBound</v>
      </c>
      <c r="U118" s="202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03" t="str">
        <f t="shared" si="35"/>
        <v>https://d0f6bd738d7f1b3e5a7ca70fe4ff75f0.us-east-1.aws.found.io/app/kibana#/discover/Steve-Slow-Train-Analysis-(2080s-and-2083s)?_g=(refreshInterval:(display:Off,pause:!f,section:0,value:0),time:(from:'2017-06-05T15:41:13-0600',mode:absolute,to:'2017-06-05T18:21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8" s="204" t="str">
        <f t="shared" si="36"/>
        <v>N</v>
      </c>
      <c r="X118" s="204">
        <f t="shared" si="51"/>
        <v>1</v>
      </c>
      <c r="Y118" s="204">
        <f t="shared" si="52"/>
        <v>4.53E-2</v>
      </c>
      <c r="Z118" s="204">
        <f t="shared" si="54"/>
        <v>23.3325</v>
      </c>
      <c r="AA118" s="204">
        <f t="shared" si="39"/>
        <v>23.287199999999999</v>
      </c>
      <c r="AB118" s="57" t="e">
        <f>VLOOKUP(A118,Enforcements!$C$7:$K$13,8,0)</f>
        <v>#N/A</v>
      </c>
      <c r="AC118" s="53" t="e">
        <f>VLOOKUP(A118,Enforcements!$C$7:$E$13,3,0)</f>
        <v>#N/A</v>
      </c>
      <c r="AD118" s="54" t="str">
        <f t="shared" si="40"/>
        <v>0205-05</v>
      </c>
      <c r="AE118" s="80" t="str">
        <f t="shared" si="41"/>
        <v>aws s3 cp s3://rtdc.mdm.uploadarchive.raw/RTDC4042/ "%USERPROFILE%\AppData\Local\Temp\OnboardLogs"\RTDC4042\2017-06-05 --exclude "*" --recursive --include "*20170605*" &amp; "%USERPROFILE%\Documents\GitHub\mrs-test-scripts\Headless Mode &amp; Sideloading\WalkAndUnGZ.bat" "%USERPROFILE%\AppData\Local\Temp\OnboardLogs"\RTDC4042\2017-06-05 &amp; aws s3 cp s3://rtdc.mdm.uploadarchive.raw/RTDC4042/ "%USERPROFILE%\AppData\Local\Temp\OnboardLogs"\RTDC4042\2017-06-06 --exclude "*" --recursive --include "*20170606*" &amp; "%USERPROFILE%\Documents\GitHub\mrs-test-scripts\Headless Mode &amp; Sideloading\WalkAndUnGZ.bat" "%USERPROFILE%\AppData\Local\Temp\OnboardLogs"\RTDC4042\2017-06-06</v>
      </c>
      <c r="AF118" s="77" t="str">
        <f t="shared" si="42"/>
        <v>"C:\Program Files (x86)\AstroGrep\AstroGrep.exe" /e /r /s /spath="%USERPROFILE%\AppData\Local\Temp\OnboardLogs" /stypes="app*4042*20170605*" /stext=" 23:.+((SYSTEM_STATE.+slice.+state.+changed )|(ment ac)|(multiple cpu faults)|(system.+state.+changed )|(\[timeout)|(PRM\|1\|D)|(kpr)|(kdp)|(train st.+moving)|(\|lc)|(penalty))"</v>
      </c>
      <c r="AG118" s="1" t="str">
        <f t="shared" si="43"/>
        <v>EC</v>
      </c>
      <c r="AH118" s="81" t="str">
        <f t="shared" si="44"/>
        <v>"%USERPROFILE%\Documents\GitHub\eaglep3\Utilities\RefineRTDCRunTimes.py" --tripid 205-05 --locoid 4042 --swversion DE.1.0.9.0 --startMP 204:453 --initTime 2017-06-05T16:41:13 --startdatetime 2017-06-05T16:45:16 --delay 1 --endMP 204:233325 --enddatetime 2017-06-05T17:21:47 --enforcementcount 0 &gt;&gt;C:\Users\stu\Documents\GitHub\eaglep3-reporting\EC\2017-06-05-refined-times.txt</v>
      </c>
      <c r="AI118" s="99" t="str">
        <f t="shared" si="45"/>
        <v>echo {"issue":{"subject":"","project_id":79,"tracker_id":40,"status_id":1,"priority_id":2,"assigned_to_id":23,"start_date":"2017-06-05","description":"","custom_fields":[{"id":1,"name":"Subdivision","value":"EC"},{"id":4,"name":"Milepost","value":"23.3325"},{"id":17,"name":"Train ID","value":"205-05"},{"id":16,"name":"Locomotive ID","value":"4042"},{"id":130,"name":"Impact","value":""},{"id":150,"name":"Time of Event (Mountain Time)","value":"17:21:47"},{"id":151,"name":"Denver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5" t="str">
        <f t="shared" si="46"/>
        <v>start /low /b %USERPROFILE%\Documents\GitHub\eaglep3\Utilities\DownloadLogsFromS3.py --loco 4042 --day 2017-06-05</v>
      </c>
      <c r="AN118" s="154" t="str">
        <f t="shared" si="47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23:21:47"},{"id":29,"name":"Sharepoint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781</v>
      </c>
      <c r="B119" s="7">
        <v>4041</v>
      </c>
      <c r="C119" s="21" t="s">
        <v>204</v>
      </c>
      <c r="D119" s="21" t="s">
        <v>879</v>
      </c>
      <c r="E119" s="13">
        <v>42891.736331018517</v>
      </c>
      <c r="F119" s="13">
        <v>42891.737673611111</v>
      </c>
      <c r="G119" s="7">
        <v>0</v>
      </c>
      <c r="H119" s="21" t="s">
        <v>437</v>
      </c>
      <c r="I119" s="13">
        <v>42891.765405092592</v>
      </c>
      <c r="J119" s="7">
        <v>0</v>
      </c>
      <c r="K119" s="92" t="str">
        <f t="shared" si="32"/>
        <v>4041/4042</v>
      </c>
      <c r="L119" s="21" t="str">
        <f>VLOOKUP(A119,'Trips&amp;Operators'!$C$1:$G$99999,5,FALSE)</f>
        <v>ROBINSON KADDIBA</v>
      </c>
      <c r="M119" s="6">
        <f t="shared" si="33"/>
        <v>2.7731481481168885E-2</v>
      </c>
      <c r="N119" s="7">
        <f t="shared" si="55"/>
        <v>39.933333332883194</v>
      </c>
      <c r="O119" s="7"/>
      <c r="P119" s="7"/>
      <c r="Q119" s="22"/>
      <c r="R119" s="173"/>
      <c r="S119" s="176">
        <f t="shared" si="53"/>
        <v>1</v>
      </c>
      <c r="T119" s="202" t="str">
        <f t="shared" si="34"/>
        <v>Southbound</v>
      </c>
      <c r="U119" s="202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03" t="str">
        <f t="shared" si="35"/>
        <v>https://d0f6bd738d7f1b3e5a7ca70fe4ff75f0.us-east-1.aws.found.io/app/kibana#/discover/Steve-Slow-Train-Analysis-(2080s-and-2083s)?_g=(refreshInterval:(display:Off,pause:!f,section:0,value:0),time:(from:'2017-06-05T16:40:19-0600',mode:absolute,to:'2017-06-05T19:22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9" s="204" t="str">
        <f t="shared" si="36"/>
        <v>N</v>
      </c>
      <c r="X119" s="204">
        <f t="shared" si="51"/>
        <v>1</v>
      </c>
      <c r="Y119" s="204">
        <f t="shared" si="52"/>
        <v>23.3004</v>
      </c>
      <c r="Z119" s="204">
        <f t="shared" si="54"/>
        <v>1.4500000000000001E-2</v>
      </c>
      <c r="AA119" s="204">
        <f t="shared" si="39"/>
        <v>23.285899999999998</v>
      </c>
      <c r="AB119" s="57" t="e">
        <f>VLOOKUP(A119,Enforcements!$C$7:$K$13,8,0)</f>
        <v>#N/A</v>
      </c>
      <c r="AC119" s="53" t="e">
        <f>VLOOKUP(A119,Enforcements!$C$7:$E$13,3,0)</f>
        <v>#N/A</v>
      </c>
      <c r="AD119" s="54" t="str">
        <f t="shared" si="40"/>
        <v>0206-05</v>
      </c>
      <c r="AE119" s="80" t="str">
        <f t="shared" si="41"/>
        <v>aws s3 cp s3://rtdc.mdm.uploadarchive.raw/RTDC4041/ "%USERPROFILE%\AppData\Local\Temp\OnboardLogs"\RTDC4041\2017-06-05 --exclude "*" --recursive --include "*20170605*" &amp; "%USERPROFILE%\Documents\GitHub\mrs-test-scripts\Headless Mode &amp; Sideloading\WalkAndUnGZ.bat" "%USERPROFILE%\AppData\Local\Temp\OnboardLogs"\RTDC4041\2017-06-05 &amp; aws s3 cp s3://rtdc.mdm.uploadarchive.raw/RTDC4041/ "%USERPROFILE%\AppData\Local\Temp\OnboardLogs"\RTDC4041\2017-06-06 --exclude "*" --recursive --include "*20170606*" &amp; "%USERPROFILE%\Documents\GitHub\mrs-test-scripts\Headless Mode &amp; Sideloading\WalkAndUnGZ.bat" "%USERPROFILE%\AppData\Local\Temp\OnboardLogs"\RTDC4041\2017-06-06</v>
      </c>
      <c r="AF119" s="77" t="str">
        <f t="shared" si="42"/>
        <v>"C:\Program Files (x86)\AstroGrep\AstroGrep.exe" /e /r /s /spath="%USERPROFILE%\AppData\Local\Temp\OnboardLogs" /stypes="app*4041*20170606*" /stext=" 00:.+((SYSTEM_STATE.+slice.+state.+changed )|(ment ac)|(multiple cpu faults)|(system.+state.+changed )|(\[timeout)|(PRM\|1\|D)|(kpr)|(kdp)|(train st.+moving)|(\|lc)|(penalty))"</v>
      </c>
      <c r="AG119" s="1" t="str">
        <f t="shared" si="43"/>
        <v>EC</v>
      </c>
      <c r="AH119" s="81" t="str">
        <f t="shared" si="44"/>
        <v>"%USERPROFILE%\Documents\GitHub\eaglep3\Utilities\RefineRTDCRunTimes.py" --tripid 206-05 --locoid 4041 --swversion DE.1.0.9.0 --startMP 204:233004 --initTime 2017-06-05T17:40:19 --startdatetime 2017-06-05T17:42:15 --delay 0 --endMP 204:145 --enddatetime 2017-06-05T18:22:11 --enforcementcount 0 &gt;&gt;C:\Users\stu\Documents\GitHub\eaglep3-reporting\EC\2017-06-05-refined-times.txt</v>
      </c>
      <c r="AI119" s="99" t="str">
        <f t="shared" si="45"/>
        <v>echo {"issue":{"subject":"","project_id":79,"tracker_id":40,"status_id":1,"priority_id":2,"assigned_to_id":23,"start_date":"2017-06-05","description":"","custom_fields":[{"id":1,"name":"Subdivision","value":"EC"},{"id":4,"name":"Milepost","value":"0.0145"},{"id":17,"name":"Train ID","value":"206-05"},{"id":16,"name":"Locomotive ID","value":"4041"},{"id":130,"name":"Impact","value":""},{"id":150,"name":"Time of Event (Mountain Time)","value":"18:22:11"},{"id":151,"name":"Denver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5" t="str">
        <f t="shared" si="46"/>
        <v>start /low /b %USERPROFILE%\Documents\GitHub\eaglep3\Utilities\DownloadLogsFromS3.py --loco 4041 --day 2017-06-05</v>
      </c>
      <c r="AN119" s="154" t="str">
        <f t="shared" si="4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00:22:11"},{"id":29,"name":"Sharepoint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770</v>
      </c>
      <c r="B120" s="7">
        <v>4008</v>
      </c>
      <c r="C120" s="21" t="s">
        <v>204</v>
      </c>
      <c r="D120" s="21" t="s">
        <v>404</v>
      </c>
      <c r="E120" s="13">
        <v>42891.704340277778</v>
      </c>
      <c r="F120" s="13">
        <v>42891.708564814813</v>
      </c>
      <c r="G120" s="7">
        <v>1</v>
      </c>
      <c r="H120" s="21" t="s">
        <v>525</v>
      </c>
      <c r="I120" s="13">
        <v>42891.734849537039</v>
      </c>
      <c r="J120" s="7">
        <v>0</v>
      </c>
      <c r="K120" s="92" t="str">
        <f t="shared" si="32"/>
        <v>4007/4008</v>
      </c>
      <c r="L120" s="21" t="str">
        <f>VLOOKUP(A120,'Trips&amp;Operators'!$C$1:$G$99999,5,FALSE)</f>
        <v>LEVERE CRAIG</v>
      </c>
      <c r="M120" s="6">
        <f t="shared" si="33"/>
        <v>2.6284722225682344E-2</v>
      </c>
      <c r="N120" s="7">
        <f t="shared" si="55"/>
        <v>37.850000004982576</v>
      </c>
      <c r="O120" s="7"/>
      <c r="P120" s="7"/>
      <c r="Q120" s="22"/>
      <c r="R120" s="173"/>
      <c r="S120" s="176">
        <f t="shared" si="53"/>
        <v>1</v>
      </c>
      <c r="T120" s="202" t="str">
        <f t="shared" si="34"/>
        <v>NorthBound</v>
      </c>
      <c r="U120" s="202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03" t="str">
        <f t="shared" si="35"/>
        <v>https://d0f6bd738d7f1b3e5a7ca70fe4ff75f0.us-east-1.aws.found.io/app/kibana#/discover/Steve-Slow-Train-Analysis-(2080s-and-2083s)?_g=(refreshInterval:(display:Off,pause:!f,section:0,value:0),time:(from:'2017-06-05T15:54:15-0600',mode:absolute,to:'2017-06-05T18:38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0" s="204" t="str">
        <f t="shared" si="36"/>
        <v>N</v>
      </c>
      <c r="X120" s="204">
        <f t="shared" si="51"/>
        <v>1</v>
      </c>
      <c r="Y120" s="204">
        <f t="shared" si="52"/>
        <v>4.7300000000000002E-2</v>
      </c>
      <c r="Z120" s="204">
        <f t="shared" si="54"/>
        <v>23.3324</v>
      </c>
      <c r="AA120" s="204">
        <f t="shared" si="39"/>
        <v>23.2851</v>
      </c>
      <c r="AB120" s="57" t="e">
        <f>VLOOKUP(A120,Enforcements!$C$7:$K$13,8,0)</f>
        <v>#N/A</v>
      </c>
      <c r="AC120" s="53" t="e">
        <f>VLOOKUP(A120,Enforcements!$C$7:$E$13,3,0)</f>
        <v>#N/A</v>
      </c>
      <c r="AD120" s="54" t="str">
        <f t="shared" si="40"/>
        <v>0207-05</v>
      </c>
      <c r="AE120" s="80" t="str">
        <f t="shared" si="41"/>
        <v>aws s3 cp s3://rtdc.mdm.uploadarchive.raw/RTDC4008/ "%USERPROFILE%\AppData\Local\Temp\OnboardLogs"\RTDC4008\2017-06-05 --exclude "*" --recursive --include "*20170605*" &amp; "%USERPROFILE%\Documents\GitHub\mrs-test-scripts\Headless Mode &amp; Sideloading\WalkAndUnGZ.bat" "%USERPROFILE%\AppData\Local\Temp\OnboardLogs"\RTDC4008\2017-06-05 &amp; aws s3 cp s3://rtdc.mdm.uploadarchive.raw/RTDC4008/ "%USERPROFILE%\AppData\Local\Temp\OnboardLogs"\RTDC4008\2017-06-06 --exclude "*" --recursive --include "*20170606*" &amp; "%USERPROFILE%\Documents\GitHub\mrs-test-scripts\Headless Mode &amp; Sideloading\WalkAndUnGZ.bat" "%USERPROFILE%\AppData\Local\Temp\OnboardLogs"\RTDC4008\2017-06-06</v>
      </c>
      <c r="AF120" s="77" t="str">
        <f t="shared" si="42"/>
        <v>"C:\Program Files (x86)\AstroGrep\AstroGrep.exe" /e /r /s /spath="%USERPROFILE%\AppData\Local\Temp\OnboardLogs" /stypes="app*4008*20170605*" /stext=" 23:.+((SYSTEM_STATE.+slice.+state.+changed )|(ment ac)|(multiple cpu faults)|(system.+state.+changed )|(\[timeout)|(PRM\|1\|D)|(kpr)|(kdp)|(train st.+moving)|(\|lc)|(penalty))"</v>
      </c>
      <c r="AG120" s="1" t="str">
        <f t="shared" si="43"/>
        <v>EC</v>
      </c>
      <c r="AH120" s="81" t="str">
        <f t="shared" si="44"/>
        <v>"%USERPROFILE%\Documents\GitHub\eaglep3\Utilities\RefineRTDCRunTimes.py" --tripid 207-05 --locoid 4008 --swversion DE.1.0.9.0 --startMP 204:473 --initTime 2017-06-05T16:54:15 --startdatetime 2017-06-05T17:00:20 --delay 1 --endMP 204:233324 --enddatetime 2017-06-05T17:38:11 --enforcementcount 0 &gt;&gt;C:\Users\stu\Documents\GitHub\eaglep3-reporting\EC\2017-06-05-refined-times.txt</v>
      </c>
      <c r="AI120" s="99" t="str">
        <f t="shared" si="45"/>
        <v>echo {"issue":{"subject":"","project_id":79,"tracker_id":40,"status_id":1,"priority_id":2,"assigned_to_id":23,"start_date":"2017-06-05","description":"","custom_fields":[{"id":1,"name":"Subdivision","value":"EC"},{"id":4,"name":"Milepost","value":"23.3324"},{"id":17,"name":"Train ID","value":"207-05"},{"id":16,"name":"Locomotive ID","value":"4008"},{"id":130,"name":"Impact","value":""},{"id":150,"name":"Time of Event (Mountain Time)","value":"17:38:11"},{"id":151,"name":"Denver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5" t="str">
        <f t="shared" si="46"/>
        <v>start /low /b %USERPROFILE%\Documents\GitHub\eaglep3\Utilities\DownloadLogsFromS3.py --loco 4008 --day 2017-06-05</v>
      </c>
      <c r="AN120" s="154" t="str">
        <f t="shared" si="47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23:38:11"},{"id":29,"name":"Sharepoint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617</v>
      </c>
      <c r="B121" s="7">
        <v>4007</v>
      </c>
      <c r="C121" s="21" t="s">
        <v>204</v>
      </c>
      <c r="D121" s="21" t="s">
        <v>436</v>
      </c>
      <c r="E121" s="13">
        <v>42891.743171296293</v>
      </c>
      <c r="F121" s="13">
        <v>42891.748090277775</v>
      </c>
      <c r="G121" s="7">
        <v>1</v>
      </c>
      <c r="H121" s="21" t="s">
        <v>542</v>
      </c>
      <c r="I121" s="13">
        <v>42891.776689814818</v>
      </c>
      <c r="J121" s="7">
        <v>0</v>
      </c>
      <c r="K121" s="92" t="str">
        <f t="shared" si="32"/>
        <v>4007/4008</v>
      </c>
      <c r="L121" s="21" t="str">
        <f>VLOOKUP(A121,'Trips&amp;Operators'!$C$1:$G$99999,5,FALSE)</f>
        <v>LEVERE CRAIG</v>
      </c>
      <c r="M121" s="6">
        <f t="shared" si="33"/>
        <v>2.8599537043191958E-2</v>
      </c>
      <c r="N121" s="7">
        <f t="shared" si="55"/>
        <v>41.18333334219642</v>
      </c>
      <c r="O121" s="7"/>
      <c r="P121" s="7"/>
      <c r="Q121" s="22"/>
      <c r="R121" s="173"/>
      <c r="S121" s="176">
        <f t="shared" si="53"/>
        <v>1</v>
      </c>
      <c r="T121" s="202" t="str">
        <f t="shared" si="34"/>
        <v>Southbound</v>
      </c>
      <c r="U121" s="202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03" t="str">
        <f t="shared" si="35"/>
        <v>https://d0f6bd738d7f1b3e5a7ca70fe4ff75f0.us-east-1.aws.found.io/app/kibana#/discover/Steve-Slow-Train-Analysis-(2080s-and-2083s)?_g=(refreshInterval:(display:Off,pause:!f,section:0,value:0),time:(from:'2017-06-05T16:50:10-0600',mode:absolute,to:'2017-06-05T19:38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1" s="204" t="str">
        <f t="shared" si="36"/>
        <v>N</v>
      </c>
      <c r="X121" s="204">
        <f t="shared" si="51"/>
        <v>1</v>
      </c>
      <c r="Y121" s="204">
        <f t="shared" si="52"/>
        <v>23.299399999999999</v>
      </c>
      <c r="Z121" s="204">
        <f t="shared" si="54"/>
        <v>1.29E-2</v>
      </c>
      <c r="AA121" s="204">
        <f t="shared" si="39"/>
        <v>23.2865</v>
      </c>
      <c r="AB121" s="57" t="e">
        <f>VLOOKUP(A121,Enforcements!$C$7:$K$13,8,0)</f>
        <v>#N/A</v>
      </c>
      <c r="AC121" s="53" t="e">
        <f>VLOOKUP(A121,Enforcements!$C$7:$E$13,3,0)</f>
        <v>#N/A</v>
      </c>
      <c r="AD121" s="54" t="str">
        <f t="shared" si="40"/>
        <v>0208-05</v>
      </c>
      <c r="AE121" s="80" t="str">
        <f t="shared" si="41"/>
        <v>aws s3 cp s3://rtdc.mdm.uploadarchive.raw/RTDC4007/ "%USERPROFILE%\AppData\Local\Temp\OnboardLogs"\RTDC4007\2017-06-05 --exclude "*" --recursive --include "*20170605*" &amp; "%USERPROFILE%\Documents\GitHub\mrs-test-scripts\Headless Mode &amp; Sideloading\WalkAndUnGZ.bat" "%USERPROFILE%\AppData\Local\Temp\OnboardLogs"\RTDC4007\2017-06-05 &amp; aws s3 cp s3://rtdc.mdm.uploadarchive.raw/RTDC4007/ "%USERPROFILE%\AppData\Local\Temp\OnboardLogs"\RTDC4007\2017-06-06 --exclude "*" --recursive --include "*20170606*" &amp; "%USERPROFILE%\Documents\GitHub\mrs-test-scripts\Headless Mode &amp; Sideloading\WalkAndUnGZ.bat" "%USERPROFILE%\AppData\Local\Temp\OnboardLogs"\RTDC4007\2017-06-06</v>
      </c>
      <c r="AF121" s="77" t="str">
        <f t="shared" si="42"/>
        <v>"C:\Program Files (x86)\AstroGrep\AstroGrep.exe" /e /r /s /spath="%USERPROFILE%\AppData\Local\Temp\OnboardLogs" /stypes="app*4007*20170606*" /stext=" 00:.+((SYSTEM_STATE.+slice.+state.+changed )|(ment ac)|(multiple cpu faults)|(system.+state.+changed )|(\[timeout)|(PRM\|1\|D)|(kpr)|(kdp)|(train st.+moving)|(\|lc)|(penalty))"</v>
      </c>
      <c r="AG121" s="1" t="str">
        <f t="shared" si="43"/>
        <v>EC</v>
      </c>
      <c r="AH121" s="81" t="str">
        <f t="shared" si="44"/>
        <v>"%USERPROFILE%\Documents\GitHub\eaglep3\Utilities\RefineRTDCRunTimes.py" --tripid 208-05 --locoid 4007 --swversion DE.1.0.9.0 --startMP 204:232994 --initTime 2017-06-05T17:50:10 --startdatetime 2017-06-05T17:57:15 --delay 1 --endMP 204:129 --enddatetime 2017-06-05T18:38:26 --enforcementcount 0 &gt;&gt;C:\Users\stu\Documents\GitHub\eaglep3-reporting\EC\2017-06-05-refined-times.txt</v>
      </c>
      <c r="AI121" s="99" t="str">
        <f t="shared" si="45"/>
        <v>echo {"issue":{"subject":"","project_id":79,"tracker_id":40,"status_id":1,"priority_id":2,"assigned_to_id":23,"start_date":"2017-06-05","description":"","custom_fields":[{"id":1,"name":"Subdivision","value":"EC"},{"id":4,"name":"Milepost","value":"0.0129"},{"id":17,"name":"Train ID","value":"208-05"},{"id":16,"name":"Locomotive ID","value":"4007"},{"id":130,"name":"Impact","value":""},{"id":150,"name":"Time of Event (Mountain Time)","value":"18:38:26"},{"id":151,"name":"Denver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5" t="str">
        <f t="shared" si="46"/>
        <v>start /low /b %USERPROFILE%\Documents\GitHub\eaglep3\Utilities\DownloadLogsFromS3.py --loco 4007 --day 2017-06-05</v>
      </c>
      <c r="AN121" s="154" t="str">
        <f t="shared" si="4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00:38:26"},{"id":29,"name":"Sharepoint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776</v>
      </c>
      <c r="B122" s="7">
        <v>4014</v>
      </c>
      <c r="C122" s="21" t="s">
        <v>204</v>
      </c>
      <c r="D122" s="21" t="s">
        <v>471</v>
      </c>
      <c r="E122" s="13">
        <v>42891.715138888889</v>
      </c>
      <c r="F122" s="13">
        <v>42891.719097222223</v>
      </c>
      <c r="G122" s="7">
        <v>1</v>
      </c>
      <c r="H122" s="21" t="s">
        <v>528</v>
      </c>
      <c r="I122" s="13">
        <v>42891.744201388887</v>
      </c>
      <c r="J122" s="7">
        <v>0</v>
      </c>
      <c r="K122" s="92" t="str">
        <f t="shared" si="32"/>
        <v>4013/4014</v>
      </c>
      <c r="L122" s="21" t="str">
        <f>VLOOKUP(A122,'Trips&amp;Operators'!$C$1:$G$99999,5,FALSE)</f>
        <v>BRUDER RICHARD</v>
      </c>
      <c r="M122" s="6">
        <f t="shared" si="33"/>
        <v>2.5104166663368233E-2</v>
      </c>
      <c r="N122" s="7">
        <f t="shared" si="55"/>
        <v>36.149999995250255</v>
      </c>
      <c r="O122" s="7"/>
      <c r="P122" s="7"/>
      <c r="Q122" s="22"/>
      <c r="R122" s="173"/>
      <c r="S122" s="176">
        <f t="shared" si="53"/>
        <v>1</v>
      </c>
      <c r="T122" s="202" t="str">
        <f t="shared" si="34"/>
        <v>NorthBound</v>
      </c>
      <c r="U122" s="202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03" t="str">
        <f t="shared" si="35"/>
        <v>https://d0f6bd738d7f1b3e5a7ca70fe4ff75f0.us-east-1.aws.found.io/app/kibana#/discover/Steve-Slow-Train-Analysis-(2080s-and-2083s)?_g=(refreshInterval:(display:Off,pause:!f,section:0,value:0),time:(from:'2017-06-05T16:09:48-0600',mode:absolute,to:'2017-06-05T18:51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2" s="204" t="str">
        <f t="shared" si="36"/>
        <v>N</v>
      </c>
      <c r="X122" s="204">
        <f t="shared" si="51"/>
        <v>1</v>
      </c>
      <c r="Y122" s="204">
        <f t="shared" si="52"/>
        <v>4.6899999999999997E-2</v>
      </c>
      <c r="Z122" s="204">
        <f t="shared" si="54"/>
        <v>23.330200000000001</v>
      </c>
      <c r="AA122" s="204">
        <f t="shared" si="39"/>
        <v>23.283300000000001</v>
      </c>
      <c r="AB122" s="57" t="e">
        <f>VLOOKUP(A122,Enforcements!$C$7:$K$13,8,0)</f>
        <v>#N/A</v>
      </c>
      <c r="AC122" s="53" t="e">
        <f>VLOOKUP(A122,Enforcements!$C$7:$E$13,3,0)</f>
        <v>#N/A</v>
      </c>
      <c r="AD122" s="54" t="str">
        <f t="shared" si="40"/>
        <v>0209-05</v>
      </c>
      <c r="AE122" s="80" t="str">
        <f t="shared" si="41"/>
        <v>aws s3 cp s3://rtdc.mdm.uploadarchive.raw/RTDC4014/ "%USERPROFILE%\AppData\Local\Temp\OnboardLogs"\RTDC4014\2017-06-05 --exclude "*" --recursive --include "*20170605*" &amp; "%USERPROFILE%\Documents\GitHub\mrs-test-scripts\Headless Mode &amp; Sideloading\WalkAndUnGZ.bat" "%USERPROFILE%\AppData\Local\Temp\OnboardLogs"\RTDC4014\2017-06-05 &amp; aws s3 cp s3://rtdc.mdm.uploadarchive.raw/RTDC4014/ "%USERPROFILE%\AppData\Local\Temp\OnboardLogs"\RTDC4014\2017-06-06 --exclude "*" --recursive --include "*20170606*" &amp; "%USERPROFILE%\Documents\GitHub\mrs-test-scripts\Headless Mode &amp; Sideloading\WalkAndUnGZ.bat" "%USERPROFILE%\AppData\Local\Temp\OnboardLogs"\RTDC4014\2017-06-06</v>
      </c>
      <c r="AF122" s="77" t="str">
        <f t="shared" si="42"/>
        <v>"C:\Program Files (x86)\AstroGrep\AstroGrep.exe" /e /r /s /spath="%USERPROFILE%\AppData\Local\Temp\OnboardLogs" /stypes="app*4014*20170605*" /stext=" 23:.+((SYSTEM_STATE.+slice.+state.+changed )|(ment ac)|(multiple cpu faults)|(system.+state.+changed )|(\[timeout)|(PRM\|1\|D)|(kpr)|(kdp)|(train st.+moving)|(\|lc)|(penalty))"</v>
      </c>
      <c r="AG122" s="1" t="str">
        <f t="shared" si="43"/>
        <v>EC</v>
      </c>
      <c r="AH122" s="81" t="str">
        <f t="shared" si="44"/>
        <v>"%USERPROFILE%\Documents\GitHub\eaglep3\Utilities\RefineRTDCRunTimes.py" --tripid 209-05 --locoid 4014 --swversion DE.1.0.9.0 --startMP 204:469 --initTime 2017-06-05T17:09:48 --startdatetime 2017-06-05T17:15:30 --delay 1 --endMP 204:233302 --enddatetime 2017-06-05T17:51:39 --enforcementcount 0 &gt;&gt;C:\Users\stu\Documents\GitHub\eaglep3-reporting\EC\2017-06-05-refined-times.txt</v>
      </c>
      <c r="AI122" s="99" t="str">
        <f t="shared" si="45"/>
        <v>echo {"issue":{"subject":"","project_id":79,"tracker_id":40,"status_id":1,"priority_id":2,"assigned_to_id":23,"start_date":"2017-06-05","description":"","custom_fields":[{"id":1,"name":"Subdivision","value":"EC"},{"id":4,"name":"Milepost","value":"23.3302"},{"id":17,"name":"Train ID","value":"209-05"},{"id":16,"name":"Locomotive ID","value":"4014"},{"id":130,"name":"Impact","value":""},{"id":150,"name":"Time of Event (Mountain Time)","value":"17:51:39"},{"id":151,"name":"Denver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5" t="str">
        <f t="shared" si="46"/>
        <v>start /low /b %USERPROFILE%\Documents\GitHub\eaglep3\Utilities\DownloadLogsFromS3.py --loco 4014 --day 2017-06-05</v>
      </c>
      <c r="AN122" s="154" t="str">
        <f t="shared" si="47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23:51:39"},{"id":29,"name":"Sharepoint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785</v>
      </c>
      <c r="B123" s="7">
        <v>4013</v>
      </c>
      <c r="C123" s="21" t="s">
        <v>204</v>
      </c>
      <c r="D123" s="21" t="s">
        <v>522</v>
      </c>
      <c r="E123" s="13">
        <v>42891.752025462964</v>
      </c>
      <c r="F123" s="13">
        <v>42891.758518518516</v>
      </c>
      <c r="G123" s="7">
        <v>1</v>
      </c>
      <c r="H123" s="21" t="s">
        <v>195</v>
      </c>
      <c r="I123" s="13">
        <v>42891.784733796296</v>
      </c>
      <c r="J123" s="7">
        <v>0</v>
      </c>
      <c r="K123" s="92" t="str">
        <f t="shared" si="32"/>
        <v>4013/4014</v>
      </c>
      <c r="L123" s="21" t="str">
        <f>VLOOKUP(A123,'Trips&amp;Operators'!$C$1:$G$99999,5,FALSE)</f>
        <v>BRUDER RICHARD</v>
      </c>
      <c r="M123" s="6">
        <f t="shared" si="33"/>
        <v>2.6215277779556345E-2</v>
      </c>
      <c r="N123" s="7">
        <f t="shared" si="55"/>
        <v>37.750000002561137</v>
      </c>
      <c r="O123" s="7"/>
      <c r="P123" s="7"/>
      <c r="Q123" s="22"/>
      <c r="R123" s="173"/>
      <c r="S123" s="176">
        <f t="shared" si="53"/>
        <v>1</v>
      </c>
      <c r="T123" s="202" t="str">
        <f t="shared" si="34"/>
        <v>Southbound</v>
      </c>
      <c r="U123" s="202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03" t="str">
        <f t="shared" si="35"/>
        <v>https://d0f6bd738d7f1b3e5a7ca70fe4ff75f0.us-east-1.aws.found.io/app/kibana#/discover/Steve-Slow-Train-Analysis-(2080s-and-2083s)?_g=(refreshInterval:(display:Off,pause:!f,section:0,value:0),time:(from:'2017-06-05T17:02:55-0600',mode:absolute,to:'2017-06-05T19:50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3" s="204" t="str">
        <f t="shared" si="36"/>
        <v>N</v>
      </c>
      <c r="X123" s="204">
        <f t="shared" si="51"/>
        <v>1</v>
      </c>
      <c r="Y123" s="204">
        <f t="shared" si="52"/>
        <v>23.299099999999999</v>
      </c>
      <c r="Z123" s="204">
        <f t="shared" si="54"/>
        <v>1.52E-2</v>
      </c>
      <c r="AA123" s="204">
        <f t="shared" si="39"/>
        <v>23.283899999999999</v>
      </c>
      <c r="AB123" s="57" t="e">
        <f>VLOOKUP(A123,Enforcements!$C$7:$K$13,8,0)</f>
        <v>#N/A</v>
      </c>
      <c r="AC123" s="53" t="e">
        <f>VLOOKUP(A123,Enforcements!$C$7:$E$13,3,0)</f>
        <v>#N/A</v>
      </c>
      <c r="AD123" s="54" t="str">
        <f t="shared" si="40"/>
        <v>0210-05</v>
      </c>
      <c r="AE123" s="80" t="str">
        <f t="shared" si="41"/>
        <v>aws s3 cp s3://rtdc.mdm.uploadarchive.raw/RTDC4013/ "%USERPROFILE%\AppData\Local\Temp\OnboardLogs"\RTDC4013\2017-06-05 --exclude "*" --recursive --include "*20170605*" &amp; "%USERPROFILE%\Documents\GitHub\mrs-test-scripts\Headless Mode &amp; Sideloading\WalkAndUnGZ.bat" "%USERPROFILE%\AppData\Local\Temp\OnboardLogs"\RTDC4013\2017-06-05 &amp; aws s3 cp s3://rtdc.mdm.uploadarchive.raw/RTDC4013/ "%USERPROFILE%\AppData\Local\Temp\OnboardLogs"\RTDC4013\2017-06-06 --exclude "*" --recursive --include "*20170606*" &amp; "%USERPROFILE%\Documents\GitHub\mrs-test-scripts\Headless Mode &amp; Sideloading\WalkAndUnGZ.bat" "%USERPROFILE%\AppData\Local\Temp\OnboardLogs"\RTDC4013\2017-06-06</v>
      </c>
      <c r="AF123" s="77" t="str">
        <f t="shared" si="42"/>
        <v>"C:\Program Files (x86)\AstroGrep\AstroGrep.exe" /e /r /s /spath="%USERPROFILE%\AppData\Local\Temp\OnboardLogs" /stypes="app*4013*20170606*" /stext=" 00:.+((SYSTEM_STATE.+slice.+state.+changed )|(ment ac)|(multiple cpu faults)|(system.+state.+changed )|(\[timeout)|(PRM\|1\|D)|(kpr)|(kdp)|(train st.+moving)|(\|lc)|(penalty))"</v>
      </c>
      <c r="AG123" s="1" t="str">
        <f t="shared" si="43"/>
        <v>EC</v>
      </c>
      <c r="AH123" s="81" t="str">
        <f t="shared" si="44"/>
        <v>"%USERPROFILE%\Documents\GitHub\eaglep3\Utilities\RefineRTDCRunTimes.py" --tripid 210-05 --locoid 4013 --swversion DE.1.0.9.0 --startMP 204:232991 --initTime 2017-06-05T18:02:55 --startdatetime 2017-06-05T18:12:16 --delay 1 --endMP 204:152 --enddatetime 2017-06-05T18:50:01 --enforcementcount 0 &gt;&gt;C:\Users\stu\Documents\GitHub\eaglep3-reporting\EC\2017-06-05-refined-times.txt</v>
      </c>
      <c r="AI123" s="99" t="str">
        <f t="shared" si="45"/>
        <v>echo {"issue":{"subject":"","project_id":79,"tracker_id":40,"status_id":1,"priority_id":2,"assigned_to_id":23,"start_date":"2017-06-05","description":"","custom_fields":[{"id":1,"name":"Subdivision","value":"EC"},{"id":4,"name":"Milepost","value":"0.0152"},{"id":17,"name":"Train ID","value":"210-05"},{"id":16,"name":"Locomotive ID","value":"4013"},{"id":130,"name":"Impact","value":""},{"id":150,"name":"Time of Event (Mountain Time)","value":"18:50:01"},{"id":151,"name":"Denver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5" t="str">
        <f t="shared" si="46"/>
        <v>start /low /b %USERPROFILE%\Documents\GitHub\eaglep3\Utilities\DownloadLogsFromS3.py --loco 4013 --day 2017-06-05</v>
      </c>
      <c r="AN123" s="154" t="str">
        <f t="shared" si="4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00:50:01"},{"id":29,"name":"Sharepoint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615</v>
      </c>
      <c r="B124" s="7">
        <v>4010</v>
      </c>
      <c r="C124" s="21" t="s">
        <v>204</v>
      </c>
      <c r="D124" s="21" t="s">
        <v>345</v>
      </c>
      <c r="E124" s="13">
        <v>42891.726400462961</v>
      </c>
      <c r="F124" s="13">
        <v>42891.729432870372</v>
      </c>
      <c r="G124" s="7">
        <v>1</v>
      </c>
      <c r="H124" s="21" t="s">
        <v>459</v>
      </c>
      <c r="I124" s="13">
        <v>42891.757349537038</v>
      </c>
      <c r="J124" s="7">
        <v>0</v>
      </c>
      <c r="K124" s="92" t="str">
        <f t="shared" si="32"/>
        <v>4009/4010</v>
      </c>
      <c r="L124" s="21" t="str">
        <f>VLOOKUP(A124,'Trips&amp;Operators'!$C$1:$G$99999,5,FALSE)</f>
        <v>BRANDNER MELINDA</v>
      </c>
      <c r="M124" s="6">
        <f t="shared" si="33"/>
        <v>2.7916666665987577E-2</v>
      </c>
      <c r="N124" s="7">
        <f t="shared" si="55"/>
        <v>40.199999999022111</v>
      </c>
      <c r="O124" s="7"/>
      <c r="P124" s="7"/>
      <c r="Q124" s="22"/>
      <c r="R124" s="173"/>
      <c r="S124" s="176">
        <f t="shared" si="53"/>
        <v>1</v>
      </c>
      <c r="T124" s="202" t="str">
        <f t="shared" si="34"/>
        <v>NorthBound</v>
      </c>
      <c r="U124" s="202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03" t="str">
        <f t="shared" si="35"/>
        <v>https://d0f6bd738d7f1b3e5a7ca70fe4ff75f0.us-east-1.aws.found.io/app/kibana#/discover/Steve-Slow-Train-Analysis-(2080s-and-2083s)?_g=(refreshInterval:(display:Off,pause:!f,section:0,value:0),time:(from:'2017-06-05T16:26:01-0600',mode:absolute,to:'2017-06-05T19:10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4" s="204" t="str">
        <f t="shared" si="36"/>
        <v>N</v>
      </c>
      <c r="X124" s="204">
        <f t="shared" si="51"/>
        <v>1</v>
      </c>
      <c r="Y124" s="204">
        <f t="shared" si="52"/>
        <v>4.4900000000000002E-2</v>
      </c>
      <c r="Z124" s="204">
        <f t="shared" si="54"/>
        <v>23.329699999999999</v>
      </c>
      <c r="AA124" s="204">
        <f t="shared" si="39"/>
        <v>23.284800000000001</v>
      </c>
      <c r="AB124" s="57" t="str">
        <f>VLOOKUP(A124,Enforcements!$C$7:$K$13,8,0)</f>
        <v>Bulletin (2)</v>
      </c>
      <c r="AC124" s="53" t="str">
        <f>VLOOKUP(A124,Enforcements!$C$7:$E$13,3,0)</f>
        <v>GRADE CROSSING</v>
      </c>
      <c r="AD124" s="54" t="str">
        <f t="shared" si="40"/>
        <v>0211-05</v>
      </c>
      <c r="AE124" s="80" t="str">
        <f t="shared" si="41"/>
        <v>aws s3 cp s3://rtdc.mdm.uploadarchive.raw/RTDC4010/ "%USERPROFILE%\AppData\Local\Temp\OnboardLogs"\RTDC4010\2017-06-05 --exclude "*" --recursive --include "*20170605*" &amp; "%USERPROFILE%\Documents\GitHub\mrs-test-scripts\Headless Mode &amp; Sideloading\WalkAndUnGZ.bat" "%USERPROFILE%\AppData\Local\Temp\OnboardLogs"\RTDC4010\2017-06-05 &amp; aws s3 cp s3://rtdc.mdm.uploadarchive.raw/RTDC4010/ "%USERPROFILE%\AppData\Local\Temp\OnboardLogs"\RTDC4010\2017-06-06 --exclude "*" --recursive --include "*20170606*" &amp; "%USERPROFILE%\Documents\GitHub\mrs-test-scripts\Headless Mode &amp; Sideloading\WalkAndUnGZ.bat" "%USERPROFILE%\AppData\Local\Temp\OnboardLogs"\RTDC4010\2017-06-06</v>
      </c>
      <c r="AF124" s="77" t="str">
        <f t="shared" si="42"/>
        <v>"C:\Program Files (x86)\AstroGrep\AstroGrep.exe" /e /r /s /spath="%USERPROFILE%\AppData\Local\Temp\OnboardLogs" /stypes="app*4010*20170606*" /stext=" 00:.+((SYSTEM_STATE.+slice.+state.+changed )|(ment ac)|(multiple cpu faults)|(system.+state.+changed )|(\[timeout)|(PRM\|1\|D)|(kpr)|(kdp)|(train st.+moving)|(\|lc)|(penalty))"</v>
      </c>
      <c r="AG124" s="1" t="str">
        <f t="shared" si="43"/>
        <v>EC</v>
      </c>
      <c r="AH124" s="81" t="str">
        <f t="shared" si="44"/>
        <v>"%USERPROFILE%\Documents\GitHub\eaglep3\Utilities\RefineRTDCRunTimes.py" --tripid 211-05 --locoid 4010 --swversion DE.1.0.9.0 --startMP 204:449 --initTime 2017-06-05T17:26:01 --startdatetime 2017-06-05T17:30:23 --delay 1 --endMP 204:233297 --enddatetime 2017-06-05T18:10:35 --enforcementcount 0 &gt;&gt;C:\Users\stu\Documents\GitHub\eaglep3-reporting\EC\2017-06-05-refined-times.txt</v>
      </c>
      <c r="AI124" s="99" t="str">
        <f t="shared" si="45"/>
        <v>echo {"issue":{"subject":"","project_id":79,"tracker_id":40,"status_id":1,"priority_id":2,"assigned_to_id":23,"start_date":"2017-06-05","description":"","custom_fields":[{"id":1,"name":"Subdivision","value":"EC"},{"id":4,"name":"Milepost","value":"23.3297"},{"id":17,"name":"Train ID","value":"211-05"},{"id":16,"name":"Locomotive ID","value":"4010"},{"id":130,"name":"Impact","value":""},{"id":150,"name":"Time of Event (Mountain Time)","value":"18:10:35"},{"id":151,"name":"Denver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5" t="str">
        <f t="shared" si="46"/>
        <v>start /low /b %USERPROFILE%\Documents\GitHub\eaglep3\Utilities\DownloadLogsFromS3.py --loco 4010 --day 2017-06-05</v>
      </c>
      <c r="AN124" s="154" t="str">
        <f t="shared" si="4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00:10:35"},{"id":29,"name":"Sharepoint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789</v>
      </c>
      <c r="B125" s="7">
        <v>4009</v>
      </c>
      <c r="C125" s="21" t="s">
        <v>204</v>
      </c>
      <c r="D125" s="21" t="s">
        <v>855</v>
      </c>
      <c r="E125" s="13">
        <v>42891.764791666668</v>
      </c>
      <c r="F125" s="13">
        <v>42891.768969907411</v>
      </c>
      <c r="G125" s="7">
        <v>1</v>
      </c>
      <c r="H125" s="21" t="s">
        <v>576</v>
      </c>
      <c r="I125" s="13">
        <v>42891.796030092592</v>
      </c>
      <c r="J125" s="7">
        <v>0</v>
      </c>
      <c r="K125" s="92" t="str">
        <f t="shared" si="32"/>
        <v>4009/4010</v>
      </c>
      <c r="L125" s="21" t="str">
        <f>VLOOKUP(A125,'Trips&amp;Operators'!$C$1:$G$99999,5,FALSE)</f>
        <v>BRANDNER MELINDA</v>
      </c>
      <c r="M125" s="6">
        <f t="shared" si="33"/>
        <v>2.7060185180744156E-2</v>
      </c>
      <c r="N125" s="7">
        <f t="shared" si="55"/>
        <v>38.966666660271585</v>
      </c>
      <c r="O125" s="7"/>
      <c r="P125" s="7"/>
      <c r="Q125" s="22"/>
      <c r="R125" s="173"/>
      <c r="S125" s="176">
        <f t="shared" si="53"/>
        <v>1</v>
      </c>
      <c r="T125" s="202" t="str">
        <f t="shared" si="34"/>
        <v>Southbound</v>
      </c>
      <c r="U125" s="202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03" t="str">
        <f t="shared" si="35"/>
        <v>https://d0f6bd738d7f1b3e5a7ca70fe4ff75f0.us-east-1.aws.found.io/app/kibana#/discover/Steve-Slow-Train-Analysis-(2080s-and-2083s)?_g=(refreshInterval:(display:Off,pause:!f,section:0,value:0),time:(from:'2017-06-05T17:21:18-0600',mode:absolute,to:'2017-06-05T20:06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5" s="204" t="str">
        <f t="shared" si="36"/>
        <v>N</v>
      </c>
      <c r="X125" s="204">
        <f t="shared" si="51"/>
        <v>1</v>
      </c>
      <c r="Y125" s="204">
        <f t="shared" si="52"/>
        <v>23.297499999999999</v>
      </c>
      <c r="Z125" s="204">
        <f t="shared" si="54"/>
        <v>1.72E-2</v>
      </c>
      <c r="AA125" s="204">
        <f t="shared" si="39"/>
        <v>23.2803</v>
      </c>
      <c r="AB125" s="57" t="e">
        <f>VLOOKUP(A125,Enforcements!$C$7:$K$13,8,0)</f>
        <v>#N/A</v>
      </c>
      <c r="AC125" s="53" t="e">
        <f>VLOOKUP(A125,Enforcements!$C$7:$E$13,3,0)</f>
        <v>#N/A</v>
      </c>
      <c r="AD125" s="54" t="str">
        <f t="shared" si="40"/>
        <v>0212-05</v>
      </c>
      <c r="AE125" s="80" t="str">
        <f t="shared" si="41"/>
        <v>aws s3 cp s3://rtdc.mdm.uploadarchive.raw/RTDC4009/ "%USERPROFILE%\AppData\Local\Temp\OnboardLogs"\RTDC4009\2017-06-05 --exclude "*" --recursive --include "*20170605*" &amp; "%USERPROFILE%\Documents\GitHub\mrs-test-scripts\Headless Mode &amp; Sideloading\WalkAndUnGZ.bat" "%USERPROFILE%\AppData\Local\Temp\OnboardLogs"\RTDC4009\2017-06-05 &amp; aws s3 cp s3://rtdc.mdm.uploadarchive.raw/RTDC4009/ "%USERPROFILE%\AppData\Local\Temp\OnboardLogs"\RTDC4009\2017-06-06 --exclude "*" --recursive --include "*20170606*" &amp; "%USERPROFILE%\Documents\GitHub\mrs-test-scripts\Headless Mode &amp; Sideloading\WalkAndUnGZ.bat" "%USERPROFILE%\AppData\Local\Temp\OnboardLogs"\RTDC4009\2017-06-06</v>
      </c>
      <c r="AF125" s="77" t="str">
        <f t="shared" si="42"/>
        <v>"C:\Program Files (x86)\AstroGrep\AstroGrep.exe" /e /r /s /spath="%USERPROFILE%\AppData\Local\Temp\OnboardLogs" /stypes="app*4009*20170606*" /stext=" 01:.+((SYSTEM_STATE.+slice.+state.+changed )|(ment ac)|(multiple cpu faults)|(system.+state.+changed )|(\[timeout)|(PRM\|1\|D)|(kpr)|(kdp)|(train st.+moving)|(\|lc)|(penalty))"</v>
      </c>
      <c r="AG125" s="1" t="str">
        <f t="shared" si="43"/>
        <v>EC</v>
      </c>
      <c r="AH125" s="81" t="str">
        <f t="shared" si="44"/>
        <v>"%USERPROFILE%\Documents\GitHub\eaglep3\Utilities\RefineRTDCRunTimes.py" --tripid 212-05 --locoid 4009 --swversion DE.1.0.9.0 --startMP 204:232975 --initTime 2017-06-05T18:21:18 --startdatetime 2017-06-05T18:27:19 --delay 1 --endMP 204:172 --enddatetime 2017-06-05T19:06:17 --enforcementcount 0 &gt;&gt;C:\Users\stu\Documents\GitHub\eaglep3-reporting\EC\2017-06-05-refined-times.txt</v>
      </c>
      <c r="AI125" s="99" t="str">
        <f t="shared" si="45"/>
        <v>echo {"issue":{"subject":"","project_id":79,"tracker_id":40,"status_id":1,"priority_id":2,"assigned_to_id":23,"start_date":"2017-06-05","description":"","custom_fields":[{"id":1,"name":"Subdivision","value":"EC"},{"id":4,"name":"Milepost","value":"0.0172"},{"id":17,"name":"Train ID","value":"212-05"},{"id":16,"name":"Locomotive ID","value":"4009"},{"id":130,"name":"Impact","value":""},{"id":150,"name":"Time of Event (Mountain Time)","value":"19:06:17"},{"id":151,"name":"Denver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5" t="str">
        <f t="shared" si="46"/>
        <v>start /low /b %USERPROFILE%\Documents\GitHub\eaglep3\Utilities\DownloadLogsFromS3.py --loco 4009 --day 2017-06-05</v>
      </c>
      <c r="AN125" s="154" t="str">
        <f t="shared" si="4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01:06:17"},{"id":29,"name":"Sharepoint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782</v>
      </c>
      <c r="B126" s="7">
        <v>4058</v>
      </c>
      <c r="C126" s="21" t="s">
        <v>204</v>
      </c>
      <c r="D126" s="21" t="s">
        <v>563</v>
      </c>
      <c r="E126" s="13">
        <v>42891.737962962965</v>
      </c>
      <c r="F126" s="13">
        <v>42891.740173611113</v>
      </c>
      <c r="G126" s="7">
        <v>2</v>
      </c>
      <c r="H126" s="21" t="s">
        <v>535</v>
      </c>
      <c r="I126" s="13">
        <v>42891.765011574076</v>
      </c>
      <c r="J126" s="7">
        <v>0</v>
      </c>
      <c r="K126" s="92" t="str">
        <f t="shared" si="32"/>
        <v>4057/4058</v>
      </c>
      <c r="L126" s="21" t="str">
        <f>VLOOKUP(A126,'Trips&amp;Operators'!$C$1:$G$99999,5,FALSE)</f>
        <v>SMITH MICHAEL</v>
      </c>
      <c r="M126" s="6">
        <f t="shared" si="33"/>
        <v>2.4837962962919846E-2</v>
      </c>
      <c r="N126" s="7">
        <f t="shared" si="55"/>
        <v>35.766666666604578</v>
      </c>
      <c r="O126" s="7"/>
      <c r="P126" s="7"/>
      <c r="Q126" s="22"/>
      <c r="R126" s="173"/>
      <c r="S126" s="176">
        <f t="shared" si="53"/>
        <v>1</v>
      </c>
      <c r="T126" s="202" t="str">
        <f t="shared" si="34"/>
        <v>NorthBound</v>
      </c>
      <c r="U126" s="202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03" t="str">
        <f t="shared" si="35"/>
        <v>https://d0f6bd738d7f1b3e5a7ca70fe4ff75f0.us-east-1.aws.found.io/app/kibana#/discover/Steve-Slow-Train-Analysis-(2080s-and-2083s)?_g=(refreshInterval:(display:Off,pause:!f,section:0,value:0),time:(from:'2017-06-05T16:42:40-0600',mode:absolute,to:'2017-06-05T19:21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26" s="204" t="str">
        <f t="shared" si="36"/>
        <v>N</v>
      </c>
      <c r="X126" s="204">
        <f t="shared" si="51"/>
        <v>1</v>
      </c>
      <c r="Y126" s="204">
        <f t="shared" si="52"/>
        <v>4.7699999999999999E-2</v>
      </c>
      <c r="Z126" s="204">
        <f t="shared" si="54"/>
        <v>23.335899999999999</v>
      </c>
      <c r="AA126" s="204">
        <f t="shared" si="39"/>
        <v>23.2882</v>
      </c>
      <c r="AB126" s="57" t="e">
        <f>VLOOKUP(A126,Enforcements!$C$7:$K$13,8,0)</f>
        <v>#N/A</v>
      </c>
      <c r="AC126" s="53" t="e">
        <f>VLOOKUP(A126,Enforcements!$C$7:$E$13,3,0)</f>
        <v>#N/A</v>
      </c>
      <c r="AD126" s="54" t="str">
        <f t="shared" si="40"/>
        <v>0213-05</v>
      </c>
      <c r="AE126" s="80" t="str">
        <f t="shared" si="41"/>
        <v>aws s3 cp s3://rtdc.mdm.uploadarchive.raw/RTDC4058/ "%USERPROFILE%\AppData\Local\Temp\OnboardLogs"\RTDC4058\2017-06-05 --exclude "*" --recursive --include "*20170605*" &amp; "%USERPROFILE%\Documents\GitHub\mrs-test-scripts\Headless Mode &amp; Sideloading\WalkAndUnGZ.bat" "%USERPROFILE%\AppData\Local\Temp\OnboardLogs"\RTDC4058\2017-06-05 &amp; aws s3 cp s3://rtdc.mdm.uploadarchive.raw/RTDC4058/ "%USERPROFILE%\AppData\Local\Temp\OnboardLogs"\RTDC4058\2017-06-06 --exclude "*" --recursive --include "*20170606*" &amp; "%USERPROFILE%\Documents\GitHub\mrs-test-scripts\Headless Mode &amp; Sideloading\WalkAndUnGZ.bat" "%USERPROFILE%\AppData\Local\Temp\OnboardLogs"\RTDC4058\2017-06-06</v>
      </c>
      <c r="AF126" s="77" t="str">
        <f t="shared" si="42"/>
        <v>"C:\Program Files (x86)\AstroGrep\AstroGrep.exe" /e /r /s /spath="%USERPROFILE%\AppData\Local\Temp\OnboardLogs" /stypes="app*4058*20170606*" /stext=" 00:.+((SYSTEM_STATE.+slice.+state.+changed )|(ment ac)|(multiple cpu faults)|(system.+state.+changed )|(\[timeout)|(PRM\|1\|D)|(kpr)|(kdp)|(train st.+moving)|(\|lc)|(penalty))"</v>
      </c>
      <c r="AG126" s="1" t="str">
        <f t="shared" si="43"/>
        <v>EC</v>
      </c>
      <c r="AH126" s="81" t="str">
        <f t="shared" si="44"/>
        <v>"%USERPROFILE%\Documents\GitHub\eaglep3\Utilities\RefineRTDCRunTimes.py" --tripid 213-05 --locoid 4058 --swversion DE.1.0.9.0 --startMP 204:477 --initTime 2017-06-05T17:42:40 --startdatetime 2017-06-05T17:45:51 --delay 2 --endMP 204:233359 --enddatetime 2017-06-05T18:21:37 --enforcementcount 0 &gt;&gt;C:\Users\stu\Documents\GitHub\eaglep3-reporting\EC\2017-06-05-refined-times.txt</v>
      </c>
      <c r="AI126" s="99" t="str">
        <f t="shared" si="45"/>
        <v>echo {"issue":{"subject":"","project_id":79,"tracker_id":40,"status_id":1,"priority_id":2,"assigned_to_id":23,"start_date":"2017-06-05","description":"","custom_fields":[{"id":1,"name":"Subdivision","value":"EC"},{"id":4,"name":"Milepost","value":"23.3359"},{"id":17,"name":"Train ID","value":"213-05"},{"id":16,"name":"Locomotive ID","value":"4058"},{"id":130,"name":"Impact","value":""},{"id":150,"name":"Time of Event (Mountain Time)","value":"18:21:37"},{"id":151,"name":"Denver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5" t="str">
        <f t="shared" si="46"/>
        <v>start /low /b %USERPROFILE%\Documents\GitHub\eaglep3\Utilities\DownloadLogsFromS3.py --loco 4058 --day 2017-06-05</v>
      </c>
      <c r="AN126" s="154" t="str">
        <f t="shared" si="4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00:21:37"},{"id":29,"name":"Sharepoint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621</v>
      </c>
      <c r="B127" s="7">
        <v>4057</v>
      </c>
      <c r="C127" s="21" t="s">
        <v>204</v>
      </c>
      <c r="D127" s="21" t="s">
        <v>880</v>
      </c>
      <c r="E127" s="13">
        <v>42891.770995370367</v>
      </c>
      <c r="F127" s="13">
        <v>42891.779328703706</v>
      </c>
      <c r="G127" s="7">
        <v>1</v>
      </c>
      <c r="H127" s="21" t="s">
        <v>881</v>
      </c>
      <c r="I127" s="13">
        <v>42891.805787037039</v>
      </c>
      <c r="J127" s="7">
        <v>0</v>
      </c>
      <c r="K127" s="92" t="str">
        <f t="shared" si="32"/>
        <v>4057/4058</v>
      </c>
      <c r="L127" s="21" t="str">
        <f>VLOOKUP(A127,'Trips&amp;Operators'!$C$1:$G$99999,5,FALSE)</f>
        <v>SMITH MICHAEL</v>
      </c>
      <c r="M127" s="6">
        <f t="shared" si="33"/>
        <v>2.6458333333721384E-2</v>
      </c>
      <c r="N127" s="7">
        <f t="shared" si="55"/>
        <v>38.100000000558794</v>
      </c>
      <c r="O127" s="7"/>
      <c r="P127" s="7"/>
      <c r="Q127" s="22"/>
      <c r="R127" s="173"/>
      <c r="S127" s="176">
        <f t="shared" si="53"/>
        <v>1</v>
      </c>
      <c r="T127" s="202" t="str">
        <f t="shared" si="34"/>
        <v>Southbound</v>
      </c>
      <c r="U127" s="202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03" t="str">
        <f t="shared" si="35"/>
        <v>https://d0f6bd738d7f1b3e5a7ca70fe4ff75f0.us-east-1.aws.found.io/app/kibana#/discover/Steve-Slow-Train-Analysis-(2080s-and-2083s)?_g=(refreshInterval:(display:Off,pause:!f,section:0,value:0),time:(from:'2017-06-05T17:30:14-0600',mode:absolute,to:'2017-06-05T20:20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27" s="204" t="str">
        <f t="shared" si="36"/>
        <v>N</v>
      </c>
      <c r="X127" s="204">
        <f t="shared" si="51"/>
        <v>1</v>
      </c>
      <c r="Y127" s="204">
        <f t="shared" si="52"/>
        <v>23.3062</v>
      </c>
      <c r="Z127" s="204">
        <f t="shared" si="54"/>
        <v>9.2999999999999999E-2</v>
      </c>
      <c r="AA127" s="204">
        <f t="shared" si="39"/>
        <v>23.213200000000001</v>
      </c>
      <c r="AB127" s="57" t="e">
        <f>VLOOKUP(A127,Enforcements!$C$7:$K$13,8,0)</f>
        <v>#N/A</v>
      </c>
      <c r="AC127" s="53" t="e">
        <f>VLOOKUP(A127,Enforcements!$C$7:$E$13,3,0)</f>
        <v>#N/A</v>
      </c>
      <c r="AD127" s="54" t="str">
        <f t="shared" si="40"/>
        <v>0214-05</v>
      </c>
      <c r="AE127" s="80" t="str">
        <f t="shared" si="41"/>
        <v>aws s3 cp s3://rtdc.mdm.uploadarchive.raw/RTDC4057/ "%USERPROFILE%\AppData\Local\Temp\OnboardLogs"\RTDC4057\2017-06-05 --exclude "*" --recursive --include "*20170605*" &amp; "%USERPROFILE%\Documents\GitHub\mrs-test-scripts\Headless Mode &amp; Sideloading\WalkAndUnGZ.bat" "%USERPROFILE%\AppData\Local\Temp\OnboardLogs"\RTDC4057\2017-06-05 &amp; aws s3 cp s3://rtdc.mdm.uploadarchive.raw/RTDC4057/ "%USERPROFILE%\AppData\Local\Temp\OnboardLogs"\RTDC4057\2017-06-06 --exclude "*" --recursive --include "*20170606*" &amp; "%USERPROFILE%\Documents\GitHub\mrs-test-scripts\Headless Mode &amp; Sideloading\WalkAndUnGZ.bat" "%USERPROFILE%\AppData\Local\Temp\OnboardLogs"\RTDC4057\2017-06-06</v>
      </c>
      <c r="AF127" s="77" t="str">
        <f t="shared" si="42"/>
        <v>"C:\Program Files (x86)\AstroGrep\AstroGrep.exe" /e /r /s /spath="%USERPROFILE%\AppData\Local\Temp\OnboardLogs" /stypes="app*4057*20170606*" /stext=" 01:.+((SYSTEM_STATE.+slice.+state.+changed )|(ment ac)|(multiple cpu faults)|(system.+state.+changed )|(\[timeout)|(PRM\|1\|D)|(kpr)|(kdp)|(train st.+moving)|(\|lc)|(penalty))"</v>
      </c>
      <c r="AG127" s="1" t="str">
        <f t="shared" si="43"/>
        <v>EC</v>
      </c>
      <c r="AH127" s="81" t="str">
        <f t="shared" si="44"/>
        <v>"%USERPROFILE%\Documents\GitHub\eaglep3\Utilities\RefineRTDCRunTimes.py" --tripid 214-05 --locoid 4057 --swversion DE.1.0.9.0 --startMP 204:233062 --initTime 2017-06-05T18:30:14 --startdatetime 2017-06-05T18:42:14 --delay 1 --endMP 204:930 --enddatetime 2017-06-05T19:20:20 --enforcementcount 0 &gt;&gt;C:\Users\stu\Documents\GitHub\eaglep3-reporting\EC\2017-06-05-refined-times.txt</v>
      </c>
      <c r="AI127" s="99" t="str">
        <f t="shared" si="45"/>
        <v>echo {"issue":{"subject":"","project_id":79,"tracker_id":40,"status_id":1,"priority_id":2,"assigned_to_id":23,"start_date":"2017-06-05","description":"","custom_fields":[{"id":1,"name":"Subdivision","value":"EC"},{"id":4,"name":"Milepost","value":"0.093"},{"id":17,"name":"Train ID","value":"214-05"},{"id":16,"name":"Locomotive ID","value":"4057"},{"id":130,"name":"Impact","value":""},{"id":150,"name":"Time of Event (Mountain Time)","value":"19:20:20"},{"id":151,"name":"Denver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5" t="str">
        <f t="shared" si="46"/>
        <v>start /low /b %USERPROFILE%\Documents\GitHub\eaglep3\Utilities\DownloadLogsFromS3.py --loco 4057 --day 2017-06-05</v>
      </c>
      <c r="AN127" s="154" t="str">
        <f t="shared" si="4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01:20:20"},{"id":29,"name":"Sharepoint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784</v>
      </c>
      <c r="B128" s="7">
        <v>4062</v>
      </c>
      <c r="C128" s="21" t="s">
        <v>204</v>
      </c>
      <c r="D128" s="21" t="s">
        <v>345</v>
      </c>
      <c r="E128" s="13">
        <v>42891.74523148148</v>
      </c>
      <c r="F128" s="13">
        <v>42891.750173611108</v>
      </c>
      <c r="G128" s="7">
        <v>1</v>
      </c>
      <c r="H128" s="21" t="s">
        <v>882</v>
      </c>
      <c r="I128" s="13">
        <v>42891.775335648148</v>
      </c>
      <c r="J128" s="7">
        <v>0</v>
      </c>
      <c r="K128" s="92" t="str">
        <f t="shared" si="32"/>
        <v>4061/4062</v>
      </c>
      <c r="L128" s="21" t="str">
        <f>VLOOKUP(A128,'Trips&amp;Operators'!$C$1:$G$99999,5,FALSE)</f>
        <v>MCREYNOLDS KYLE</v>
      </c>
      <c r="M128" s="6">
        <f t="shared" si="33"/>
        <v>2.5162037039990537E-2</v>
      </c>
      <c r="N128" s="7">
        <f t="shared" si="55"/>
        <v>36.233333337586373</v>
      </c>
      <c r="O128" s="7"/>
      <c r="P128" s="7"/>
      <c r="Q128" s="22"/>
      <c r="R128" s="173"/>
      <c r="S128" s="176">
        <f t="shared" si="53"/>
        <v>1</v>
      </c>
      <c r="T128" s="202" t="str">
        <f t="shared" si="34"/>
        <v>NorthBound</v>
      </c>
      <c r="U128" s="202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03" t="str">
        <f t="shared" si="35"/>
        <v>https://d0f6bd738d7f1b3e5a7ca70fe4ff75f0.us-east-1.aws.found.io/app/kibana#/discover/Steve-Slow-Train-Analysis-(2080s-and-2083s)?_g=(refreshInterval:(display:Off,pause:!f,section:0,value:0),time:(from:'2017-06-05T16:53:08-0600',mode:absolute,to:'2017-06-05T19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28" s="204" t="str">
        <f t="shared" si="36"/>
        <v>N</v>
      </c>
      <c r="X128" s="204">
        <f t="shared" si="51"/>
        <v>1</v>
      </c>
      <c r="Y128" s="204">
        <f t="shared" si="52"/>
        <v>4.4900000000000002E-2</v>
      </c>
      <c r="Z128" s="204">
        <f t="shared" si="54"/>
        <v>23.339300000000001</v>
      </c>
      <c r="AA128" s="204">
        <f t="shared" si="39"/>
        <v>23.294400000000003</v>
      </c>
      <c r="AB128" s="57" t="e">
        <f>VLOOKUP(A128,Enforcements!$C$7:$K$13,8,0)</f>
        <v>#N/A</v>
      </c>
      <c r="AC128" s="53" t="e">
        <f>VLOOKUP(A128,Enforcements!$C$7:$E$13,3,0)</f>
        <v>#N/A</v>
      </c>
      <c r="AD128" s="54" t="str">
        <f t="shared" si="40"/>
        <v>0215-05</v>
      </c>
      <c r="AE128" s="80" t="str">
        <f t="shared" si="41"/>
        <v>aws s3 cp s3://rtdc.mdm.uploadarchive.raw/RTDC4062/ "%USERPROFILE%\AppData\Local\Temp\OnboardLogs"\RTDC4062\2017-06-05 --exclude "*" --recursive --include "*20170605*" &amp; "%USERPROFILE%\Documents\GitHub\mrs-test-scripts\Headless Mode &amp; Sideloading\WalkAndUnGZ.bat" "%USERPROFILE%\AppData\Local\Temp\OnboardLogs"\RTDC4062\2017-06-05 &amp; aws s3 cp s3://rtdc.mdm.uploadarchive.raw/RTDC4062/ "%USERPROFILE%\AppData\Local\Temp\OnboardLogs"\RTDC4062\2017-06-06 --exclude "*" --recursive --include "*20170606*" &amp; "%USERPROFILE%\Documents\GitHub\mrs-test-scripts\Headless Mode &amp; Sideloading\WalkAndUnGZ.bat" "%USERPROFILE%\AppData\Local\Temp\OnboardLogs"\RTDC4062\2017-06-06</v>
      </c>
      <c r="AF128" s="77" t="str">
        <f t="shared" si="42"/>
        <v>"C:\Program Files (x86)\AstroGrep\AstroGrep.exe" /e /r /s /spath="%USERPROFILE%\AppData\Local\Temp\OnboardLogs" /stypes="app*4062*20170606*" /stext=" 00:.+((SYSTEM_STATE.+slice.+state.+changed )|(ment ac)|(multiple cpu faults)|(system.+state.+changed )|(\[timeout)|(PRM\|1\|D)|(kpr)|(kdp)|(train st.+moving)|(\|lc)|(penalty))"</v>
      </c>
      <c r="AG128" s="1" t="str">
        <f t="shared" si="43"/>
        <v>EC</v>
      </c>
      <c r="AH128" s="81" t="str">
        <f t="shared" si="44"/>
        <v>"%USERPROFILE%\Documents\GitHub\eaglep3\Utilities\RefineRTDCRunTimes.py" --tripid 215-05 --locoid 4062 --swversion DE.1.0.9.0 --startMP 204:449 --initTime 2017-06-05T17:53:08 --startdatetime 2017-06-05T18:00:15 --delay 1 --endMP 204:233393 --enddatetime 2017-06-05T18:36:29 --enforcementcount 0 &gt;&gt;C:\Users\stu\Documents\GitHub\eaglep3-reporting\EC\2017-06-05-refined-times.txt</v>
      </c>
      <c r="AI128" s="99" t="str">
        <f t="shared" si="45"/>
        <v>echo {"issue":{"subject":"","project_id":79,"tracker_id":40,"status_id":1,"priority_id":2,"assigned_to_id":23,"start_date":"2017-06-05","description":"","custom_fields":[{"id":1,"name":"Subdivision","value":"EC"},{"id":4,"name":"Milepost","value":"23.3393"},{"id":17,"name":"Train ID","value":"215-05"},{"id":16,"name":"Locomotive ID","value":"4062"},{"id":130,"name":"Impact","value":""},{"id":150,"name":"Time of Event (Mountain Time)","value":"18:36:29"},{"id":151,"name":"Denver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5" t="str">
        <f t="shared" si="46"/>
        <v>start /low /b %USERPROFILE%\Documents\GitHub\eaglep3\Utilities\DownloadLogsFromS3.py --loco 4062 --day 2017-06-05</v>
      </c>
      <c r="AN128" s="154" t="str">
        <f t="shared" si="4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00:36:29"},{"id":29,"name":"Sharepoint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792</v>
      </c>
      <c r="B129" s="7">
        <v>4061</v>
      </c>
      <c r="C129" s="21" t="s">
        <v>204</v>
      </c>
      <c r="D129" s="21" t="s">
        <v>883</v>
      </c>
      <c r="E129" s="13">
        <v>42891.783726851849</v>
      </c>
      <c r="F129" s="13">
        <v>42891.78974537037</v>
      </c>
      <c r="G129" s="7">
        <v>2</v>
      </c>
      <c r="H129" s="21" t="s">
        <v>884</v>
      </c>
      <c r="I129" s="13">
        <v>42891.815243055556</v>
      </c>
      <c r="J129" s="7">
        <v>0</v>
      </c>
      <c r="K129" s="92" t="str">
        <f t="shared" si="32"/>
        <v>4061/4062</v>
      </c>
      <c r="L129" s="21" t="str">
        <f>VLOOKUP(A129,'Trips&amp;Operators'!$C$1:$G$99999,5,FALSE)</f>
        <v>MCREYNOLDS KYLE</v>
      </c>
      <c r="M129" s="6">
        <f t="shared" si="33"/>
        <v>2.5497685186564922E-2</v>
      </c>
      <c r="N129" s="7">
        <f t="shared" si="55"/>
        <v>36.716666668653488</v>
      </c>
      <c r="O129" s="7"/>
      <c r="P129" s="7"/>
      <c r="Q129" s="22"/>
      <c r="R129" s="173"/>
      <c r="S129" s="176">
        <f t="shared" si="53"/>
        <v>1</v>
      </c>
      <c r="T129" s="202" t="str">
        <f t="shared" si="34"/>
        <v>Southbound</v>
      </c>
      <c r="U129" s="202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03" t="str">
        <f t="shared" si="35"/>
        <v>https://d0f6bd738d7f1b3e5a7ca70fe4ff75f0.us-east-1.aws.found.io/app/kibana#/discover/Steve-Slow-Train-Analysis-(2080s-and-2083s)?_g=(refreshInterval:(display:Off,pause:!f,section:0,value:0),time:(from:'2017-06-05T17:48:34-0600',mode:absolute,to:'2017-06-05T20:33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29" s="204" t="str">
        <f t="shared" si="36"/>
        <v>N</v>
      </c>
      <c r="X129" s="204">
        <f t="shared" si="51"/>
        <v>1</v>
      </c>
      <c r="Y129" s="204">
        <f t="shared" si="52"/>
        <v>23.306899999999999</v>
      </c>
      <c r="Z129" s="204">
        <f t="shared" si="54"/>
        <v>0.1792</v>
      </c>
      <c r="AA129" s="204">
        <f t="shared" si="39"/>
        <v>23.127699999999997</v>
      </c>
      <c r="AB129" s="57" t="e">
        <f>VLOOKUP(A129,Enforcements!$C$7:$K$13,8,0)</f>
        <v>#N/A</v>
      </c>
      <c r="AC129" s="53" t="e">
        <f>VLOOKUP(A129,Enforcements!$C$7:$E$13,3,0)</f>
        <v>#N/A</v>
      </c>
      <c r="AD129" s="54" t="str">
        <f t="shared" si="40"/>
        <v>0216-05</v>
      </c>
      <c r="AE129" s="80" t="str">
        <f t="shared" si="41"/>
        <v>aws s3 cp s3://rtdc.mdm.uploadarchive.raw/RTDC4061/ "%USERPROFILE%\AppData\Local\Temp\OnboardLogs"\RTDC4061\2017-06-05 --exclude "*" --recursive --include "*20170605*" &amp; "%USERPROFILE%\Documents\GitHub\mrs-test-scripts\Headless Mode &amp; Sideloading\WalkAndUnGZ.bat" "%USERPROFILE%\AppData\Local\Temp\OnboardLogs"\RTDC4061\2017-06-05 &amp; aws s3 cp s3://rtdc.mdm.uploadarchive.raw/RTDC4061/ "%USERPROFILE%\AppData\Local\Temp\OnboardLogs"\RTDC4061\2017-06-06 --exclude "*" --recursive --include "*20170606*" &amp; "%USERPROFILE%\Documents\GitHub\mrs-test-scripts\Headless Mode &amp; Sideloading\WalkAndUnGZ.bat" "%USERPROFILE%\AppData\Local\Temp\OnboardLogs"\RTDC4061\2017-06-06</v>
      </c>
      <c r="AF129" s="77" t="str">
        <f t="shared" si="42"/>
        <v>"C:\Program Files (x86)\AstroGrep\AstroGrep.exe" /e /r /s /spath="%USERPROFILE%\AppData\Local\Temp\OnboardLogs" /stypes="app*4061*20170606*" /stext=" 01:.+((SYSTEM_STATE.+slice.+state.+changed )|(ment ac)|(multiple cpu faults)|(system.+state.+changed )|(\[timeout)|(PRM\|1\|D)|(kpr)|(kdp)|(train st.+moving)|(\|lc)|(penalty))"</v>
      </c>
      <c r="AG129" s="1" t="str">
        <f t="shared" si="43"/>
        <v>EC</v>
      </c>
      <c r="AH129" s="81" t="str">
        <f t="shared" si="44"/>
        <v>"%USERPROFILE%\Documents\GitHub\eaglep3\Utilities\RefineRTDCRunTimes.py" --tripid 216-05 --locoid 4061 --swversion DE.1.0.9.0 --startMP 204:233069 --initTime 2017-06-05T18:48:34 --startdatetime 2017-06-05T18:57:14 --delay 2 --endMP 204:1792 --enddatetime 2017-06-05T19:33:57 --enforcementcount 0 &gt;&gt;C:\Users\stu\Documents\GitHub\eaglep3-reporting\EC\2017-06-05-refined-times.txt</v>
      </c>
      <c r="AI129" s="99" t="str">
        <f t="shared" si="45"/>
        <v>echo {"issue":{"subject":"","project_id":79,"tracker_id":40,"status_id":1,"priority_id":2,"assigned_to_id":23,"start_date":"2017-06-05","description":"","custom_fields":[{"id":1,"name":"Subdivision","value":"EC"},{"id":4,"name":"Milepost","value":"0.1792"},{"id":17,"name":"Train ID","value":"216-05"},{"id":16,"name":"Locomotive ID","value":"4061"},{"id":130,"name":"Impact","value":""},{"id":150,"name":"Time of Event (Mountain Time)","value":"19:33:57"},{"id":151,"name":"Denver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5" t="str">
        <f t="shared" si="46"/>
        <v>start /low /b %USERPROFILE%\Documents\GitHub\eaglep3\Utilities\DownloadLogsFromS3.py --loco 4061 --day 2017-06-05</v>
      </c>
      <c r="AN129" s="154" t="str">
        <f t="shared" si="4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01:33:57"},{"id":29,"name":"Sharepoint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787</v>
      </c>
      <c r="B130" s="7">
        <v>4016</v>
      </c>
      <c r="C130" s="21" t="s">
        <v>204</v>
      </c>
      <c r="D130" s="21" t="s">
        <v>540</v>
      </c>
      <c r="E130" s="13">
        <v>42891.756354166668</v>
      </c>
      <c r="F130" s="13">
        <v>42891.760648148149</v>
      </c>
      <c r="G130" s="7">
        <v>2</v>
      </c>
      <c r="H130" s="21" t="s">
        <v>574</v>
      </c>
      <c r="I130" s="13">
        <v>42891.786041666666</v>
      </c>
      <c r="J130" s="7">
        <v>0</v>
      </c>
      <c r="K130" s="92" t="str">
        <f t="shared" si="32"/>
        <v>4015/4016</v>
      </c>
      <c r="L130" s="21" t="str">
        <f>VLOOKUP(A130,'Trips&amp;Operators'!$C$1:$G$99999,5,FALSE)</f>
        <v>HAITHCOX MICHAEL</v>
      </c>
      <c r="M130" s="6">
        <f t="shared" si="33"/>
        <v>2.5393518517375924E-2</v>
      </c>
      <c r="N130" s="7">
        <f t="shared" si="55"/>
        <v>36.56666666502133</v>
      </c>
      <c r="O130" s="7"/>
      <c r="P130" s="7"/>
      <c r="Q130" s="22"/>
      <c r="R130" s="173"/>
      <c r="S130" s="176">
        <f t="shared" si="53"/>
        <v>1</v>
      </c>
      <c r="T130" s="202" t="str">
        <f t="shared" si="34"/>
        <v>NorthBound</v>
      </c>
      <c r="U130" s="202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03" t="str">
        <f t="shared" si="35"/>
        <v>https://d0f6bd738d7f1b3e5a7ca70fe4ff75f0.us-east-1.aws.found.io/app/kibana#/discover/Steve-Slow-Train-Analysis-(2080s-and-2083s)?_g=(refreshInterval:(display:Off,pause:!f,section:0,value:0),time:(from:'2017-06-05T17:09:09-0600',mode:absolute,to:'2017-06-05T19:51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0" s="204" t="str">
        <f t="shared" si="36"/>
        <v>N</v>
      </c>
      <c r="X130" s="204">
        <f t="shared" si="51"/>
        <v>1</v>
      </c>
      <c r="Y130" s="204">
        <f t="shared" si="52"/>
        <v>4.3700000000000003E-2</v>
      </c>
      <c r="Z130" s="204">
        <f t="shared" si="54"/>
        <v>23.338100000000001</v>
      </c>
      <c r="AA130" s="204">
        <f t="shared" si="39"/>
        <v>23.2944</v>
      </c>
      <c r="AB130" s="57" t="e">
        <f>VLOOKUP(A130,Enforcements!$C$7:$K$13,8,0)</f>
        <v>#N/A</v>
      </c>
      <c r="AC130" s="53" t="e">
        <f>VLOOKUP(A130,Enforcements!$C$7:$E$13,3,0)</f>
        <v>#N/A</v>
      </c>
      <c r="AD130" s="54" t="str">
        <f t="shared" si="40"/>
        <v>0217-05</v>
      </c>
      <c r="AE130" s="80" t="str">
        <f t="shared" si="41"/>
        <v>aws s3 cp s3://rtdc.mdm.uploadarchive.raw/RTDC4016/ "%USERPROFILE%\AppData\Local\Temp\OnboardLogs"\RTDC4016\2017-06-05 --exclude "*" --recursive --include "*20170605*" &amp; "%USERPROFILE%\Documents\GitHub\mrs-test-scripts\Headless Mode &amp; Sideloading\WalkAndUnGZ.bat" "%USERPROFILE%\AppData\Local\Temp\OnboardLogs"\RTDC4016\2017-06-05 &amp; aws s3 cp s3://rtdc.mdm.uploadarchive.raw/RTDC4016/ "%USERPROFILE%\AppData\Local\Temp\OnboardLogs"\RTDC4016\2017-06-06 --exclude "*" --recursive --include "*20170606*" &amp; "%USERPROFILE%\Documents\GitHub\mrs-test-scripts\Headless Mode &amp; Sideloading\WalkAndUnGZ.bat" "%USERPROFILE%\AppData\Local\Temp\OnboardLogs"\RTDC4016\2017-06-06</v>
      </c>
      <c r="AF130" s="77" t="str">
        <f t="shared" si="42"/>
        <v>"C:\Program Files (x86)\AstroGrep\AstroGrep.exe" /e /r /s /spath="%USERPROFILE%\AppData\Local\Temp\OnboardLogs" /stypes="app*4016*20170606*" /stext=" 00:.+((SYSTEM_STATE.+slice.+state.+changed )|(ment ac)|(multiple cpu faults)|(system.+state.+changed )|(\[timeout)|(PRM\|1\|D)|(kpr)|(kdp)|(train st.+moving)|(\|lc)|(penalty))"</v>
      </c>
      <c r="AG130" s="1" t="str">
        <f t="shared" si="43"/>
        <v>EC</v>
      </c>
      <c r="AH130" s="81" t="str">
        <f t="shared" si="44"/>
        <v>"%USERPROFILE%\Documents\GitHub\eaglep3\Utilities\RefineRTDCRunTimes.py" --tripid 217-05 --locoid 4016 --swversion DE.1.0.9.0 --startMP 204:437 --initTime 2017-06-05T18:09:09 --startdatetime 2017-06-05T18:15:20 --delay 2 --endMP 204:233381 --enddatetime 2017-06-05T18:51:54 --enforcementcount 0 &gt;&gt;C:\Users\stu\Documents\GitHub\eaglep3-reporting\EC\2017-06-05-refined-times.txt</v>
      </c>
      <c r="AI130" s="99" t="str">
        <f t="shared" si="45"/>
        <v>echo {"issue":{"subject":"","project_id":79,"tracker_id":40,"status_id":1,"priority_id":2,"assigned_to_id":23,"start_date":"2017-06-05","description":"","custom_fields":[{"id":1,"name":"Subdivision","value":"EC"},{"id":4,"name":"Milepost","value":"23.3381"},{"id":17,"name":"Train ID","value":"217-05"},{"id":16,"name":"Locomotive ID","value":"4016"},{"id":130,"name":"Impact","value":""},{"id":150,"name":"Time of Event (Mountain Time)","value":"18:51:54"},{"id":151,"name":"Denver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5" t="str">
        <f t="shared" si="46"/>
        <v>start /low /b %USERPROFILE%\Documents\GitHub\eaglep3\Utilities\DownloadLogsFromS3.py --loco 4016 --day 2017-06-05</v>
      </c>
      <c r="AN130" s="154" t="str">
        <f t="shared" si="4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00:51:54"},{"id":29,"name":"Sharepoint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794</v>
      </c>
      <c r="B131" s="7">
        <v>4015</v>
      </c>
      <c r="C131" s="21" t="s">
        <v>204</v>
      </c>
      <c r="D131" s="21" t="s">
        <v>885</v>
      </c>
      <c r="E131" s="13">
        <v>42891.793506944443</v>
      </c>
      <c r="F131" s="13">
        <v>42891.800243055557</v>
      </c>
      <c r="G131" s="7">
        <v>1</v>
      </c>
      <c r="H131" s="21" t="s">
        <v>352</v>
      </c>
      <c r="I131" s="13">
        <v>42891.827789351853</v>
      </c>
      <c r="J131" s="7">
        <v>0</v>
      </c>
      <c r="K131" s="92" t="str">
        <f t="shared" si="32"/>
        <v>4015/4016</v>
      </c>
      <c r="L131" s="21" t="str">
        <f>VLOOKUP(A131,'Trips&amp;Operators'!$C$1:$G$99999,5,FALSE)</f>
        <v>HAITHCOX MICHAEL</v>
      </c>
      <c r="M131" s="6">
        <f t="shared" si="33"/>
        <v>2.7546296296350192E-2</v>
      </c>
      <c r="N131" s="7">
        <f t="shared" si="55"/>
        <v>39.666666666744277</v>
      </c>
      <c r="O131" s="7"/>
      <c r="P131" s="7"/>
      <c r="Q131" s="22"/>
      <c r="R131" s="173"/>
      <c r="S131" s="176">
        <f t="shared" si="53"/>
        <v>1</v>
      </c>
      <c r="T131" s="202" t="str">
        <f t="shared" si="34"/>
        <v>Southbound</v>
      </c>
      <c r="U131" s="202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03" t="str">
        <f t="shared" si="35"/>
        <v>https://d0f6bd738d7f1b3e5a7ca70fe4ff75f0.us-east-1.aws.found.io/app/kibana#/discover/Steve-Slow-Train-Analysis-(2080s-and-2083s)?_g=(refreshInterval:(display:Off,pause:!f,section:0,value:0),time:(from:'2017-06-05T18:02:39-0600',mode:absolute,to:'2017-06-05T20:52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1" s="204" t="str">
        <f t="shared" si="36"/>
        <v>N</v>
      </c>
      <c r="X131" s="204">
        <f t="shared" si="51"/>
        <v>1</v>
      </c>
      <c r="Y131" s="204">
        <f t="shared" si="52"/>
        <v>23.307700000000001</v>
      </c>
      <c r="Z131" s="204">
        <f t="shared" si="54"/>
        <v>1.4999999999999999E-2</v>
      </c>
      <c r="AA131" s="204">
        <f t="shared" si="39"/>
        <v>23.2927</v>
      </c>
      <c r="AB131" s="57" t="e">
        <f>VLOOKUP(A131,Enforcements!$C$7:$K$13,8,0)</f>
        <v>#N/A</v>
      </c>
      <c r="AC131" s="53" t="e">
        <f>VLOOKUP(A131,Enforcements!$C$7:$E$13,3,0)</f>
        <v>#N/A</v>
      </c>
      <c r="AD131" s="54" t="str">
        <f t="shared" si="40"/>
        <v>0218-05</v>
      </c>
      <c r="AE131" s="80" t="str">
        <f t="shared" si="41"/>
        <v>aws s3 cp s3://rtdc.mdm.uploadarchive.raw/RTDC4015/ "%USERPROFILE%\AppData\Local\Temp\OnboardLogs"\RTDC4015\2017-06-05 --exclude "*" --recursive --include "*20170605*" &amp; "%USERPROFILE%\Documents\GitHub\mrs-test-scripts\Headless Mode &amp; Sideloading\WalkAndUnGZ.bat" "%USERPROFILE%\AppData\Local\Temp\OnboardLogs"\RTDC4015\2017-06-05 &amp; aws s3 cp s3://rtdc.mdm.uploadarchive.raw/RTDC4015/ "%USERPROFILE%\AppData\Local\Temp\OnboardLogs"\RTDC4015\2017-06-06 --exclude "*" --recursive --include "*20170606*" &amp; "%USERPROFILE%\Documents\GitHub\mrs-test-scripts\Headless Mode &amp; Sideloading\WalkAndUnGZ.bat" "%USERPROFILE%\AppData\Local\Temp\OnboardLogs"\RTDC4015\2017-06-06</v>
      </c>
      <c r="AF131" s="77" t="str">
        <f t="shared" si="42"/>
        <v>"C:\Program Files (x86)\AstroGrep\AstroGrep.exe" /e /r /s /spath="%USERPROFILE%\AppData\Local\Temp\OnboardLogs" /stypes="app*4015*20170606*" /stext=" 01:.+((SYSTEM_STATE.+slice.+state.+changed )|(ment ac)|(multiple cpu faults)|(system.+state.+changed )|(\[timeout)|(PRM\|1\|D)|(kpr)|(kdp)|(train st.+moving)|(\|lc)|(penalty))"</v>
      </c>
      <c r="AG131" s="1" t="str">
        <f t="shared" si="43"/>
        <v>EC</v>
      </c>
      <c r="AH131" s="81" t="str">
        <f t="shared" si="44"/>
        <v>"%USERPROFILE%\Documents\GitHub\eaglep3\Utilities\RefineRTDCRunTimes.py" --tripid 218-05 --locoid 4015 --swversion DE.1.0.9.0 --startMP 204:233077 --initTime 2017-06-05T19:02:39 --startdatetime 2017-06-05T19:12:21 --delay 1 --endMP 204:150 --enddatetime 2017-06-05T19:52:01 --enforcementcount 0 &gt;&gt;C:\Users\stu\Documents\GitHub\eaglep3-reporting\EC\2017-06-05-refined-times.txt</v>
      </c>
      <c r="AI131" s="99" t="str">
        <f t="shared" si="45"/>
        <v>echo {"issue":{"subject":"","project_id":79,"tracker_id":40,"status_id":1,"priority_id":2,"assigned_to_id":23,"start_date":"2017-06-05","description":"","custom_fields":[{"id":1,"name":"Subdivision","value":"EC"},{"id":4,"name":"Milepost","value":"0.015"},{"id":17,"name":"Train ID","value":"218-05"},{"id":16,"name":"Locomotive ID","value":"4015"},{"id":130,"name":"Impact","value":""},{"id":150,"name":"Time of Event (Mountain Time)","value":"19:52:01"},{"id":151,"name":"Denver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5" t="str">
        <f t="shared" si="46"/>
        <v>start /low /b %USERPROFILE%\Documents\GitHub\eaglep3\Utilities\DownloadLogsFromS3.py --loco 4015 --day 2017-06-05</v>
      </c>
      <c r="AN131" s="154" t="str">
        <f t="shared" si="4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01:52:01"},{"id":29,"name":"Sharepoint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790</v>
      </c>
      <c r="B132" s="7">
        <v>4042</v>
      </c>
      <c r="C132" s="21" t="s">
        <v>204</v>
      </c>
      <c r="D132" s="21" t="s">
        <v>200</v>
      </c>
      <c r="E132" s="13">
        <v>42891.767708333333</v>
      </c>
      <c r="F132" s="13">
        <v>42891.77103009259</v>
      </c>
      <c r="G132" s="7">
        <v>2</v>
      </c>
      <c r="H132" s="21" t="s">
        <v>459</v>
      </c>
      <c r="I132" s="13">
        <v>42891.796863425923</v>
      </c>
      <c r="J132" s="7">
        <v>0</v>
      </c>
      <c r="K132" s="92" t="str">
        <f t="shared" si="32"/>
        <v>4041/4042</v>
      </c>
      <c r="L132" s="21" t="str">
        <f>VLOOKUP(A132,'Trips&amp;Operators'!$C$1:$G$99999,5,FALSE)</f>
        <v>GUZMAN DANNY</v>
      </c>
      <c r="M132" s="6">
        <f t="shared" si="33"/>
        <v>2.5833333333139308E-2</v>
      </c>
      <c r="N132" s="7">
        <f t="shared" si="55"/>
        <v>37.199999999720603</v>
      </c>
      <c r="O132" s="7"/>
      <c r="P132" s="7"/>
      <c r="Q132" s="22"/>
      <c r="R132" s="173"/>
      <c r="S132" s="176">
        <f t="shared" si="53"/>
        <v>1</v>
      </c>
      <c r="T132" s="202" t="str">
        <f t="shared" si="34"/>
        <v>NorthBound</v>
      </c>
      <c r="U132" s="202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03" t="str">
        <f t="shared" si="35"/>
        <v>https://d0f6bd738d7f1b3e5a7ca70fe4ff75f0.us-east-1.aws.found.io/app/kibana#/discover/Steve-Slow-Train-Analysis-(2080s-and-2083s)?_g=(refreshInterval:(display:Off,pause:!f,section:0,value:0),time:(from:'2017-06-05T17:25:30-0600',mode:absolute,to:'2017-06-05T20:07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2" s="204" t="str">
        <f t="shared" si="36"/>
        <v>N</v>
      </c>
      <c r="X132" s="204">
        <f t="shared" si="51"/>
        <v>1</v>
      </c>
      <c r="Y132" s="204">
        <f t="shared" si="52"/>
        <v>4.5699999999999998E-2</v>
      </c>
      <c r="Z132" s="204">
        <f t="shared" si="54"/>
        <v>23.329699999999999</v>
      </c>
      <c r="AA132" s="204">
        <f t="shared" si="39"/>
        <v>23.283999999999999</v>
      </c>
      <c r="AB132" s="57" t="e">
        <f>VLOOKUP(A132,Enforcements!$C$7:$K$13,8,0)</f>
        <v>#N/A</v>
      </c>
      <c r="AC132" s="53" t="e">
        <f>VLOOKUP(A132,Enforcements!$C$7:$E$13,3,0)</f>
        <v>#N/A</v>
      </c>
      <c r="AD132" s="54" t="str">
        <f t="shared" si="40"/>
        <v>0219-05</v>
      </c>
      <c r="AE132" s="80" t="str">
        <f t="shared" si="41"/>
        <v>aws s3 cp s3://rtdc.mdm.uploadarchive.raw/RTDC4042/ "%USERPROFILE%\AppData\Local\Temp\OnboardLogs"\RTDC4042\2017-06-05 --exclude "*" --recursive --include "*20170605*" &amp; "%USERPROFILE%\Documents\GitHub\mrs-test-scripts\Headless Mode &amp; Sideloading\WalkAndUnGZ.bat" "%USERPROFILE%\AppData\Local\Temp\OnboardLogs"\RTDC4042\2017-06-05 &amp; aws s3 cp s3://rtdc.mdm.uploadarchive.raw/RTDC4042/ "%USERPROFILE%\AppData\Local\Temp\OnboardLogs"\RTDC4042\2017-06-06 --exclude "*" --recursive --include "*20170606*" &amp; "%USERPROFILE%\Documents\GitHub\mrs-test-scripts\Headless Mode &amp; Sideloading\WalkAndUnGZ.bat" "%USERPROFILE%\AppData\Local\Temp\OnboardLogs"\RTDC4042\2017-06-06</v>
      </c>
      <c r="AF132" s="77" t="str">
        <f t="shared" si="42"/>
        <v>"C:\Program Files (x86)\AstroGrep\AstroGrep.exe" /e /r /s /spath="%USERPROFILE%\AppData\Local\Temp\OnboardLogs" /stypes="app*4042*20170606*" /stext=" 01:.+((SYSTEM_STATE.+slice.+state.+changed )|(ment ac)|(multiple cpu faults)|(system.+state.+changed )|(\[timeout)|(PRM\|1\|D)|(kpr)|(kdp)|(train st.+moving)|(\|lc)|(penalty))"</v>
      </c>
      <c r="AG132" s="1" t="str">
        <f t="shared" si="43"/>
        <v>EC</v>
      </c>
      <c r="AH132" s="81" t="str">
        <f t="shared" si="44"/>
        <v>"%USERPROFILE%\Documents\GitHub\eaglep3\Utilities\RefineRTDCRunTimes.py" --tripid 219-05 --locoid 4042 --swversion DE.1.0.9.0 --startMP 204:457 --initTime 2017-06-05T18:25:30 --startdatetime 2017-06-05T18:30:17 --delay 2 --endMP 204:233297 --enddatetime 2017-06-05T19:07:29 --enforcementcount 0 &gt;&gt;C:\Users\stu\Documents\GitHub\eaglep3-reporting\EC\2017-06-05-refined-times.txt</v>
      </c>
      <c r="AI132" s="99" t="str">
        <f t="shared" si="45"/>
        <v>echo {"issue":{"subject":"","project_id":79,"tracker_id":40,"status_id":1,"priority_id":2,"assigned_to_id":23,"start_date":"2017-06-05","description":"","custom_fields":[{"id":1,"name":"Subdivision","value":"EC"},{"id":4,"name":"Milepost","value":"23.3297"},{"id":17,"name":"Train ID","value":"219-05"},{"id":16,"name":"Locomotive ID","value":"4042"},{"id":130,"name":"Impact","value":""},{"id":150,"name":"Time of Event (Mountain Time)","value":"19:07:29"},{"id":151,"name":"Denver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5" t="str">
        <f t="shared" si="46"/>
        <v>start /low /b %USERPROFILE%\Documents\GitHub\eaglep3\Utilities\DownloadLogsFromS3.py --loco 4042 --day 2017-06-05</v>
      </c>
      <c r="AN132" s="154" t="str">
        <f t="shared" si="4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01:07:29"},{"id":29,"name":"Sharepoint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797</v>
      </c>
      <c r="B133" s="7">
        <v>4041</v>
      </c>
      <c r="C133" s="21" t="s">
        <v>204</v>
      </c>
      <c r="D133" s="21" t="s">
        <v>403</v>
      </c>
      <c r="E133" s="13">
        <v>42891.798900462964</v>
      </c>
      <c r="F133" s="13">
        <v>42891.810659722221</v>
      </c>
      <c r="G133" s="7">
        <v>1</v>
      </c>
      <c r="H133" s="21" t="s">
        <v>361</v>
      </c>
      <c r="I133" s="13">
        <v>42891.837337962963</v>
      </c>
      <c r="J133" s="7">
        <v>0</v>
      </c>
      <c r="K133" s="92" t="str">
        <f t="shared" si="32"/>
        <v>4041/4042</v>
      </c>
      <c r="L133" s="21" t="str">
        <f>VLOOKUP(A133,'Trips&amp;Operators'!$C$1:$G$99999,5,FALSE)</f>
        <v>GUZMAN DANNY</v>
      </c>
      <c r="M133" s="6">
        <f t="shared" si="33"/>
        <v>2.6678240741603076E-2</v>
      </c>
      <c r="N133" s="7">
        <f t="shared" si="55"/>
        <v>38.41666666790843</v>
      </c>
      <c r="O133" s="7"/>
      <c r="P133" s="7"/>
      <c r="Q133" s="22"/>
      <c r="R133" s="173"/>
      <c r="S133" s="176">
        <f t="shared" si="53"/>
        <v>1</v>
      </c>
      <c r="T133" s="202" t="str">
        <f t="shared" si="34"/>
        <v>Southbound</v>
      </c>
      <c r="U133" s="202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03" t="str">
        <f t="shared" si="35"/>
        <v>https://d0f6bd738d7f1b3e5a7ca70fe4ff75f0.us-east-1.aws.found.io/app/kibana#/discover/Steve-Slow-Train-Analysis-(2080s-and-2083s)?_g=(refreshInterval:(display:Off,pause:!f,section:0,value:0),time:(from:'2017-06-05T18:10:25-0600',mode:absolute,to:'2017-06-05T21:05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3" s="204" t="str">
        <f t="shared" si="36"/>
        <v>N</v>
      </c>
      <c r="X133" s="204">
        <f t="shared" si="51"/>
        <v>1</v>
      </c>
      <c r="Y133" s="204">
        <f t="shared" si="52"/>
        <v>23.298200000000001</v>
      </c>
      <c r="Z133" s="204">
        <f t="shared" si="54"/>
        <v>1.3899999999999999E-2</v>
      </c>
      <c r="AA133" s="204">
        <f t="shared" si="39"/>
        <v>23.284300000000002</v>
      </c>
      <c r="AB133" s="57" t="e">
        <f>VLOOKUP(A133,Enforcements!$C$7:$K$13,8,0)</f>
        <v>#N/A</v>
      </c>
      <c r="AC133" s="53" t="e">
        <f>VLOOKUP(A133,Enforcements!$C$7:$E$13,3,0)</f>
        <v>#N/A</v>
      </c>
      <c r="AD133" s="54" t="str">
        <f t="shared" si="40"/>
        <v>0220-05</v>
      </c>
      <c r="AE133" s="80" t="str">
        <f t="shared" si="41"/>
        <v>aws s3 cp s3://rtdc.mdm.uploadarchive.raw/RTDC4041/ "%USERPROFILE%\AppData\Local\Temp\OnboardLogs"\RTDC4041\2017-06-05 --exclude "*" --recursive --include "*20170605*" &amp; "%USERPROFILE%\Documents\GitHub\mrs-test-scripts\Headless Mode &amp; Sideloading\WalkAndUnGZ.bat" "%USERPROFILE%\AppData\Local\Temp\OnboardLogs"\RTDC4041\2017-06-05 &amp; aws s3 cp s3://rtdc.mdm.uploadarchive.raw/RTDC4041/ "%USERPROFILE%\AppData\Local\Temp\OnboardLogs"\RTDC4041\2017-06-06 --exclude "*" --recursive --include "*20170606*" &amp; "%USERPROFILE%\Documents\GitHub\mrs-test-scripts\Headless Mode &amp; Sideloading\WalkAndUnGZ.bat" "%USERPROFILE%\AppData\Local\Temp\OnboardLogs"\RTDC4041\2017-06-06</v>
      </c>
      <c r="AF133" s="77" t="str">
        <f t="shared" si="42"/>
        <v>"C:\Program Files (x86)\AstroGrep\AstroGrep.exe" /e /r /s /spath="%USERPROFILE%\AppData\Local\Temp\OnboardLogs" /stypes="app*4041*20170606*" /stext=" 02:.+((SYSTEM_STATE.+slice.+state.+changed )|(ment ac)|(multiple cpu faults)|(system.+state.+changed )|(\[timeout)|(PRM\|1\|D)|(kpr)|(kdp)|(train st.+moving)|(\|lc)|(penalty))"</v>
      </c>
      <c r="AG133" s="1" t="str">
        <f t="shared" si="43"/>
        <v>EC</v>
      </c>
      <c r="AH133" s="81" t="str">
        <f t="shared" si="44"/>
        <v>"%USERPROFILE%\Documents\GitHub\eaglep3\Utilities\RefineRTDCRunTimes.py" --tripid 220-05 --locoid 4041 --swversion DE.1.0.9.0 --startMP 204:232982 --initTime 2017-06-05T19:10:25 --startdatetime 2017-06-05T19:27:21 --delay 1 --endMP 204:139 --enddatetime 2017-06-05T20:05:46 --enforcementcount 0 &gt;&gt;C:\Users\stu\Documents\GitHub\eaglep3-reporting\EC\2017-06-05-refined-times.txt</v>
      </c>
      <c r="AI133" s="99" t="str">
        <f t="shared" si="45"/>
        <v>echo {"issue":{"subject":"","project_id":79,"tracker_id":40,"status_id":1,"priority_id":2,"assigned_to_id":23,"start_date":"2017-06-05","description":"","custom_fields":[{"id":1,"name":"Subdivision","value":"EC"},{"id":4,"name":"Milepost","value":"0.0139"},{"id":17,"name":"Train ID","value":"220-05"},{"id":16,"name":"Locomotive ID","value":"4041"},{"id":130,"name":"Impact","value":""},{"id":150,"name":"Time of Event (Mountain Time)","value":"20:05:46"},{"id":151,"name":"Denver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5" t="str">
        <f t="shared" si="46"/>
        <v>start /low /b %USERPROFILE%\Documents\GitHub\eaglep3\Utilities\DownloadLogsFromS3.py --loco 4041 --day 2017-06-05</v>
      </c>
      <c r="AN133" s="154" t="str">
        <f t="shared" si="4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02:05:46"},{"id":29,"name":"Sharepoint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793</v>
      </c>
      <c r="B134" s="7">
        <v>4014</v>
      </c>
      <c r="C134" s="21" t="s">
        <v>204</v>
      </c>
      <c r="D134" s="21" t="s">
        <v>397</v>
      </c>
      <c r="E134" s="13">
        <v>42891.786261574074</v>
      </c>
      <c r="F134" s="13">
        <v>42891.791828703703</v>
      </c>
      <c r="G134" s="7">
        <v>1</v>
      </c>
      <c r="H134" s="21" t="s">
        <v>459</v>
      </c>
      <c r="I134" s="13">
        <v>42891.817777777775</v>
      </c>
      <c r="J134" s="7">
        <v>0</v>
      </c>
      <c r="K134" s="92" t="str">
        <f t="shared" si="32"/>
        <v>4013/4014</v>
      </c>
      <c r="L134" s="21" t="str">
        <f>VLOOKUP(A134,'Trips&amp;Operators'!$C$1:$G$99999,5,FALSE)</f>
        <v>PERKINS DARREN</v>
      </c>
      <c r="M134" s="6">
        <f t="shared" si="33"/>
        <v>2.5949074071832001E-2</v>
      </c>
      <c r="N134" s="7">
        <f t="shared" si="55"/>
        <v>37.366666663438082</v>
      </c>
      <c r="O134" s="7"/>
      <c r="P134" s="7"/>
      <c r="Q134" s="22"/>
      <c r="R134" s="173"/>
      <c r="S134" s="176">
        <f t="shared" si="53"/>
        <v>1</v>
      </c>
      <c r="T134" s="202" t="str">
        <f t="shared" si="34"/>
        <v>NorthBound</v>
      </c>
      <c r="U134" s="202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03" t="str">
        <f t="shared" si="35"/>
        <v>https://d0f6bd738d7f1b3e5a7ca70fe4ff75f0.us-east-1.aws.found.io/app/kibana#/discover/Steve-Slow-Train-Analysis-(2080s-and-2083s)?_g=(refreshInterval:(display:Off,pause:!f,section:0,value:0),time:(from:'2017-06-05T17:52:13-0600',mode:absolute,to:'2017-06-05T20:37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4" s="204" t="str">
        <f t="shared" si="36"/>
        <v>N</v>
      </c>
      <c r="X134" s="204">
        <f t="shared" si="51"/>
        <v>1</v>
      </c>
      <c r="Y134" s="204">
        <f t="shared" si="52"/>
        <v>4.6199999999999998E-2</v>
      </c>
      <c r="Z134" s="204">
        <f t="shared" si="54"/>
        <v>23.329699999999999</v>
      </c>
      <c r="AA134" s="204">
        <f t="shared" si="39"/>
        <v>23.2835</v>
      </c>
      <c r="AB134" s="57" t="e">
        <f>VLOOKUP(A134,Enforcements!$C$7:$K$13,8,0)</f>
        <v>#N/A</v>
      </c>
      <c r="AC134" s="53" t="e">
        <f>VLOOKUP(A134,Enforcements!$C$7:$E$13,3,0)</f>
        <v>#N/A</v>
      </c>
      <c r="AD134" s="54" t="str">
        <f t="shared" si="40"/>
        <v>0221-05</v>
      </c>
      <c r="AE134" s="80" t="str">
        <f t="shared" si="41"/>
        <v>aws s3 cp s3://rtdc.mdm.uploadarchive.raw/RTDC4014/ "%USERPROFILE%\AppData\Local\Temp\OnboardLogs"\RTDC4014\2017-06-05 --exclude "*" --recursive --include "*20170605*" &amp; "%USERPROFILE%\Documents\GitHub\mrs-test-scripts\Headless Mode &amp; Sideloading\WalkAndUnGZ.bat" "%USERPROFILE%\AppData\Local\Temp\OnboardLogs"\RTDC4014\2017-06-05 &amp; aws s3 cp s3://rtdc.mdm.uploadarchive.raw/RTDC4014/ "%USERPROFILE%\AppData\Local\Temp\OnboardLogs"\RTDC4014\2017-06-06 --exclude "*" --recursive --include "*20170606*" &amp; "%USERPROFILE%\Documents\GitHub\mrs-test-scripts\Headless Mode &amp; Sideloading\WalkAndUnGZ.bat" "%USERPROFILE%\AppData\Local\Temp\OnboardLogs"\RTDC4014\2017-06-06</v>
      </c>
      <c r="AF134" s="77" t="str">
        <f t="shared" si="42"/>
        <v>"C:\Program Files (x86)\AstroGrep\AstroGrep.exe" /e /r /s /spath="%USERPROFILE%\AppData\Local\Temp\OnboardLogs" /stypes="app*4014*20170606*" /stext=" 01:.+((SYSTEM_STATE.+slice.+state.+changed )|(ment ac)|(multiple cpu faults)|(system.+state.+changed )|(\[timeout)|(PRM\|1\|D)|(kpr)|(kdp)|(train st.+moving)|(\|lc)|(penalty))"</v>
      </c>
      <c r="AG134" s="1" t="str">
        <f t="shared" si="43"/>
        <v>EC</v>
      </c>
      <c r="AH134" s="81" t="str">
        <f t="shared" si="44"/>
        <v>"%USERPROFILE%\Documents\GitHub\eaglep3\Utilities\RefineRTDCRunTimes.py" --tripid 221-05 --locoid 4014 --swversion DE.1.0.9.0 --startMP 204:462 --initTime 2017-06-05T18:52:13 --startdatetime 2017-06-05T19:00:14 --delay 1 --endMP 204:233297 --enddatetime 2017-06-05T19:37:36 --enforcementcount 0 &gt;&gt;C:\Users\stu\Documents\GitHub\eaglep3-reporting\EC\2017-06-05-refined-times.txt</v>
      </c>
      <c r="AI134" s="99" t="str">
        <f t="shared" si="45"/>
        <v>echo {"issue":{"subject":"","project_id":79,"tracker_id":40,"status_id":1,"priority_id":2,"assigned_to_id":23,"start_date":"2017-06-05","description":"","custom_fields":[{"id":1,"name":"Subdivision","value":"EC"},{"id":4,"name":"Milepost","value":"23.3297"},{"id":17,"name":"Train ID","value":"221-05"},{"id":16,"name":"Locomotive ID","value":"4014"},{"id":130,"name":"Impact","value":""},{"id":150,"name":"Time of Event (Mountain Time)","value":"19:37:36"},{"id":151,"name":"Denver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5" t="str">
        <f t="shared" si="46"/>
        <v>start /low /b %USERPROFILE%\Documents\GitHub\eaglep3\Utilities\DownloadLogsFromS3.py --loco 4014 --day 2017-06-05</v>
      </c>
      <c r="AN134" s="154" t="str">
        <f t="shared" si="4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01:37:36"},{"id":29,"name":"Sharepoint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802</v>
      </c>
      <c r="B135" s="7">
        <v>4013</v>
      </c>
      <c r="C135" s="21" t="s">
        <v>204</v>
      </c>
      <c r="D135" s="21" t="s">
        <v>436</v>
      </c>
      <c r="E135" s="13">
        <v>42891.824814814812</v>
      </c>
      <c r="F135" s="13">
        <v>42891.831412037034</v>
      </c>
      <c r="G135" s="7">
        <v>1</v>
      </c>
      <c r="H135" s="21" t="s">
        <v>353</v>
      </c>
      <c r="I135" s="13">
        <v>42891.857395833336</v>
      </c>
      <c r="J135" s="7">
        <v>0</v>
      </c>
      <c r="K135" s="92" t="str">
        <f t="shared" si="32"/>
        <v>4013/4014</v>
      </c>
      <c r="L135" s="21" t="str">
        <f>VLOOKUP(A135,'Trips&amp;Operators'!$C$1:$G$99999,5,FALSE)</f>
        <v>PERKINS DARREN</v>
      </c>
      <c r="M135" s="6">
        <f t="shared" si="33"/>
        <v>2.5983796302170958E-2</v>
      </c>
      <c r="N135" s="7">
        <f t="shared" si="55"/>
        <v>37.41666667512618</v>
      </c>
      <c r="O135" s="7"/>
      <c r="P135" s="7"/>
      <c r="Q135" s="22"/>
      <c r="R135" s="173"/>
      <c r="S135" s="176">
        <f t="shared" si="53"/>
        <v>1</v>
      </c>
      <c r="T135" s="202" t="str">
        <f t="shared" si="34"/>
        <v>Southbound</v>
      </c>
      <c r="U135" s="202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03" t="str">
        <f t="shared" si="35"/>
        <v>https://d0f6bd738d7f1b3e5a7ca70fe4ff75f0.us-east-1.aws.found.io/app/kibana#/discover/Steve-Slow-Train-Analysis-(2080s-and-2083s)?_g=(refreshInterval:(display:Off,pause:!f,section:0,value:0),time:(from:'2017-06-05T18:47:44-0600',mode:absolute,to:'2017-06-05T21:34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5" s="204" t="str">
        <f t="shared" si="36"/>
        <v>N</v>
      </c>
      <c r="X135" s="204">
        <f t="shared" ref="X135:X166" si="56">VALUE(LEFT(AD135,4))-VALUE(LEFT(AD134,4))</f>
        <v>1</v>
      </c>
      <c r="Y135" s="204">
        <f t="shared" si="52"/>
        <v>23.299399999999999</v>
      </c>
      <c r="Z135" s="204">
        <f t="shared" si="54"/>
        <v>1.49E-2</v>
      </c>
      <c r="AA135" s="204">
        <f t="shared" si="39"/>
        <v>23.284499999999998</v>
      </c>
      <c r="AB135" s="57" t="e">
        <f>VLOOKUP(A135,Enforcements!$C$7:$K$13,8,0)</f>
        <v>#N/A</v>
      </c>
      <c r="AC135" s="53" t="e">
        <f>VLOOKUP(A135,Enforcements!$C$7:$E$13,3,0)</f>
        <v>#N/A</v>
      </c>
      <c r="AD135" s="54" t="str">
        <f t="shared" si="40"/>
        <v>0222-05</v>
      </c>
      <c r="AE135" s="80" t="str">
        <f t="shared" si="41"/>
        <v>aws s3 cp s3://rtdc.mdm.uploadarchive.raw/RTDC4013/ "%USERPROFILE%\AppData\Local\Temp\OnboardLogs"\RTDC4013\2017-06-05 --exclude "*" --recursive --include "*20170605*" &amp; "%USERPROFILE%\Documents\GitHub\mrs-test-scripts\Headless Mode &amp; Sideloading\WalkAndUnGZ.bat" "%USERPROFILE%\AppData\Local\Temp\OnboardLogs"\RTDC4013\2017-06-05 &amp; aws s3 cp s3://rtdc.mdm.uploadarchive.raw/RTDC4013/ "%USERPROFILE%\AppData\Local\Temp\OnboardLogs"\RTDC4013\2017-06-06 --exclude "*" --recursive --include "*20170606*" &amp; "%USERPROFILE%\Documents\GitHub\mrs-test-scripts\Headless Mode &amp; Sideloading\WalkAndUnGZ.bat" "%USERPROFILE%\AppData\Local\Temp\OnboardLogs"\RTDC4013\2017-06-06</v>
      </c>
      <c r="AF135" s="77" t="str">
        <f t="shared" si="42"/>
        <v>"C:\Program Files (x86)\AstroGrep\AstroGrep.exe" /e /r /s /spath="%USERPROFILE%\AppData\Local\Temp\OnboardLogs" /stypes="app*4013*20170606*" /stext=" 02:.+((SYSTEM_STATE.+slice.+state.+changed )|(ment ac)|(multiple cpu faults)|(system.+state.+changed )|(\[timeout)|(PRM\|1\|D)|(kpr)|(kdp)|(train st.+moving)|(\|lc)|(penalty))"</v>
      </c>
      <c r="AG135" s="1" t="str">
        <f t="shared" si="43"/>
        <v>EC</v>
      </c>
      <c r="AH135" s="81" t="str">
        <f t="shared" si="44"/>
        <v>"%USERPROFILE%\Documents\GitHub\eaglep3\Utilities\RefineRTDCRunTimes.py" --tripid 222-05 --locoid 4013 --swversion DE.1.0.9.0 --startMP 204:232994 --initTime 2017-06-05T19:47:44 --startdatetime 2017-06-05T19:57:14 --delay 1 --endMP 204:149 --enddatetime 2017-06-05T20:34:39 --enforcementcount 0 &gt;&gt;C:\Users\stu\Documents\GitHub\eaglep3-reporting\EC\2017-06-05-refined-times.txt</v>
      </c>
      <c r="AI135" s="99" t="str">
        <f t="shared" si="45"/>
        <v>echo {"issue":{"subject":"","project_id":79,"tracker_id":40,"status_id":1,"priority_id":2,"assigned_to_id":23,"start_date":"2017-06-05","description":"","custom_fields":[{"id":1,"name":"Subdivision","value":"EC"},{"id":4,"name":"Milepost","value":"0.0149"},{"id":17,"name":"Train ID","value":"222-05"},{"id":16,"name":"Locomotive ID","value":"4013"},{"id":130,"name":"Impact","value":""},{"id":150,"name":"Time of Event (Mountain Time)","value":"20:34:39"},{"id":151,"name":"Denver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5" t="str">
        <f t="shared" si="46"/>
        <v>start /low /b %USERPROFILE%\Documents\GitHub\eaglep3\Utilities\DownloadLogsFromS3.py --loco 4013 --day 2017-06-05</v>
      </c>
      <c r="AN135" s="154" t="str">
        <f t="shared" si="4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02:34:39"},{"id":29,"name":"Sharepoint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800</v>
      </c>
      <c r="B136" s="7">
        <v>4012</v>
      </c>
      <c r="C136" s="21" t="s">
        <v>204</v>
      </c>
      <c r="D136" s="21" t="s">
        <v>201</v>
      </c>
      <c r="E136" s="13">
        <v>42891.804965277777</v>
      </c>
      <c r="F136" s="13">
        <v>42891.812696759262</v>
      </c>
      <c r="G136" s="7">
        <v>3</v>
      </c>
      <c r="H136" s="21" t="s">
        <v>886</v>
      </c>
      <c r="I136" s="13">
        <v>42891.838275462964</v>
      </c>
      <c r="J136" s="7">
        <v>0</v>
      </c>
      <c r="K136" s="92" t="str">
        <f t="shared" si="32"/>
        <v>4011/4012</v>
      </c>
      <c r="L136" s="21" t="str">
        <f>VLOOKUP(A136,'Trips&amp;Operators'!$C$1:$G$99999,5,FALSE)</f>
        <v>SMITH MICHAEL</v>
      </c>
      <c r="M136" s="6">
        <f t="shared" si="33"/>
        <v>2.5578703702194616E-2</v>
      </c>
      <c r="N136" s="7">
        <f t="shared" si="55"/>
        <v>36.833333331160247</v>
      </c>
      <c r="O136" s="7"/>
      <c r="P136" s="7"/>
      <c r="Q136" s="22"/>
      <c r="R136" s="173"/>
      <c r="S136" s="176">
        <f t="shared" si="53"/>
        <v>1</v>
      </c>
      <c r="T136" s="202" t="str">
        <f t="shared" si="34"/>
        <v>NorthBound</v>
      </c>
      <c r="U136" s="202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03" t="str">
        <f t="shared" si="35"/>
        <v>https://d0f6bd738d7f1b3e5a7ca70fe4ff75f0.us-east-1.aws.found.io/app/kibana#/discover/Steve-Slow-Train-Analysis-(2080s-and-2083s)?_g=(refreshInterval:(display:Off,pause:!f,section:0,value:0),time:(from:'2017-06-05T18:19:09-0600',mode:absolute,to:'2017-06-05T21:07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6" s="204" t="str">
        <f t="shared" si="36"/>
        <v>N</v>
      </c>
      <c r="X136" s="204">
        <f t="shared" si="56"/>
        <v>1</v>
      </c>
      <c r="Y136" s="204">
        <f t="shared" si="52"/>
        <v>4.5999999999999999E-2</v>
      </c>
      <c r="Z136" s="204">
        <f t="shared" si="54"/>
        <v>23.3385</v>
      </c>
      <c r="AA136" s="204">
        <f t="shared" si="39"/>
        <v>23.2925</v>
      </c>
      <c r="AB136" s="57" t="e">
        <f>VLOOKUP(A136,Enforcements!$C$7:$K$13,8,0)</f>
        <v>#N/A</v>
      </c>
      <c r="AC136" s="53" t="e">
        <f>VLOOKUP(A136,Enforcements!$C$7:$E$13,3,0)</f>
        <v>#N/A</v>
      </c>
      <c r="AD136" s="54" t="str">
        <f t="shared" si="40"/>
        <v>0223-05</v>
      </c>
      <c r="AE136" s="80" t="str">
        <f t="shared" si="41"/>
        <v>aws s3 cp s3://rtdc.mdm.uploadarchive.raw/RTDC4012/ "%USERPROFILE%\AppData\Local\Temp\OnboardLogs"\RTDC4012\2017-06-05 --exclude "*" --recursive --include "*20170605*" &amp; "%USERPROFILE%\Documents\GitHub\mrs-test-scripts\Headless Mode &amp; Sideloading\WalkAndUnGZ.bat" "%USERPROFILE%\AppData\Local\Temp\OnboardLogs"\RTDC4012\2017-06-05 &amp; aws s3 cp s3://rtdc.mdm.uploadarchive.raw/RTDC4012/ "%USERPROFILE%\AppData\Local\Temp\OnboardLogs"\RTDC4012\2017-06-06 --exclude "*" --recursive --include "*20170606*" &amp; "%USERPROFILE%\Documents\GitHub\mrs-test-scripts\Headless Mode &amp; Sideloading\WalkAndUnGZ.bat" "%USERPROFILE%\AppData\Local\Temp\OnboardLogs"\RTDC4012\2017-06-06</v>
      </c>
      <c r="AF136" s="77" t="str">
        <f t="shared" si="42"/>
        <v>"C:\Program Files (x86)\AstroGrep\AstroGrep.exe" /e /r /s /spath="%USERPROFILE%\AppData\Local\Temp\OnboardLogs" /stypes="app*4012*20170606*" /stext=" 02:.+((SYSTEM_STATE.+slice.+state.+changed )|(ment ac)|(multiple cpu faults)|(system.+state.+changed )|(\[timeout)|(PRM\|1\|D)|(kpr)|(kdp)|(train st.+moving)|(\|lc)|(penalty))"</v>
      </c>
      <c r="AG136" s="1" t="str">
        <f t="shared" si="43"/>
        <v>EC</v>
      </c>
      <c r="AH136" s="81" t="str">
        <f t="shared" si="44"/>
        <v>"%USERPROFILE%\Documents\GitHub\eaglep3\Utilities\RefineRTDCRunTimes.py" --tripid 223-05 --locoid 4012 --swversion DE.1.0.9.0 --startMP 204:460 --initTime 2017-06-05T19:19:09 --startdatetime 2017-06-05T19:30:17 --delay 3 --endMP 204:233385 --enddatetime 2017-06-05T20:07:07 --enforcementcount 0 &gt;&gt;C:\Users\stu\Documents\GitHub\eaglep3-reporting\EC\2017-06-05-refined-times.txt</v>
      </c>
      <c r="AI136" s="99" t="str">
        <f t="shared" si="45"/>
        <v>echo {"issue":{"subject":"","project_id":79,"tracker_id":40,"status_id":1,"priority_id":2,"assigned_to_id":23,"start_date":"2017-06-05","description":"","custom_fields":[{"id":1,"name":"Subdivision","value":"EC"},{"id":4,"name":"Milepost","value":"23.3385"},{"id":17,"name":"Train ID","value":"223-05"},{"id":16,"name":"Locomotive ID","value":"4012"},{"id":130,"name":"Impact","value":""},{"id":150,"name":"Time of Event (Mountain Time)","value":"20:07:07"},{"id":151,"name":"Denver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5" t="str">
        <f t="shared" si="46"/>
        <v>start /low /b %USERPROFILE%\Documents\GitHub\eaglep3\Utilities\DownloadLogsFromS3.py --loco 4012 --day 2017-06-05</v>
      </c>
      <c r="AN136" s="154" t="str">
        <f t="shared" si="4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02:07:07"},{"id":29,"name":"Sharepoint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806</v>
      </c>
      <c r="B137" s="7">
        <v>4011</v>
      </c>
      <c r="C137" s="21" t="s">
        <v>204</v>
      </c>
      <c r="D137" s="21" t="s">
        <v>887</v>
      </c>
      <c r="E137" s="13">
        <v>42891.844675925924</v>
      </c>
      <c r="F137" s="13">
        <v>42891.852314814816</v>
      </c>
      <c r="G137" s="7">
        <v>1</v>
      </c>
      <c r="H137" s="21" t="s">
        <v>888</v>
      </c>
      <c r="I137" s="13">
        <v>42891.879386574074</v>
      </c>
      <c r="J137" s="7">
        <v>0</v>
      </c>
      <c r="K137" s="92" t="str">
        <f t="shared" si="32"/>
        <v>4011/4012</v>
      </c>
      <c r="L137" s="21" t="str">
        <f>VLOOKUP(A137,'Trips&amp;Operators'!$C$1:$G$99999,5,FALSE)</f>
        <v>SMITH MICHAEL</v>
      </c>
      <c r="M137" s="6">
        <f t="shared" si="33"/>
        <v>2.7071759257523809E-2</v>
      </c>
      <c r="N137" s="7">
        <f t="shared" si="55"/>
        <v>38.983333330834284</v>
      </c>
      <c r="O137" s="7"/>
      <c r="P137" s="7"/>
      <c r="Q137" s="22"/>
      <c r="R137" s="173"/>
      <c r="S137" s="176">
        <f t="shared" si="53"/>
        <v>1</v>
      </c>
      <c r="T137" s="202" t="str">
        <f t="shared" si="34"/>
        <v>Southbound</v>
      </c>
      <c r="U137" s="202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03" t="str">
        <f t="shared" si="35"/>
        <v>https://d0f6bd738d7f1b3e5a7ca70fe4ff75f0.us-east-1.aws.found.io/app/kibana#/discover/Steve-Slow-Train-Analysis-(2080s-and-2083s)?_g=(refreshInterval:(display:Off,pause:!f,section:0,value:0),time:(from:'2017-06-05T19:16:20-0600',mode:absolute,to:'2017-06-05T22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7" s="204" t="str">
        <f t="shared" si="36"/>
        <v>N</v>
      </c>
      <c r="X137" s="204">
        <f t="shared" si="56"/>
        <v>1</v>
      </c>
      <c r="Y137" s="204">
        <f t="shared" si="52"/>
        <v>23.304200000000002</v>
      </c>
      <c r="Z137" s="204">
        <f t="shared" si="54"/>
        <v>9.9599999999999994E-2</v>
      </c>
      <c r="AA137" s="204">
        <f t="shared" si="39"/>
        <v>23.204600000000003</v>
      </c>
      <c r="AB137" s="57" t="e">
        <f>VLOOKUP(A137,Enforcements!$C$7:$K$13,8,0)</f>
        <v>#N/A</v>
      </c>
      <c r="AC137" s="53" t="e">
        <f>VLOOKUP(A137,Enforcements!$C$7:$E$13,3,0)</f>
        <v>#N/A</v>
      </c>
      <c r="AD137" s="54" t="str">
        <f t="shared" si="40"/>
        <v>0224-05</v>
      </c>
      <c r="AE137" s="80" t="str">
        <f t="shared" si="41"/>
        <v>aws s3 cp s3://rtdc.mdm.uploadarchive.raw/RTDC4011/ "%USERPROFILE%\AppData\Local\Temp\OnboardLogs"\RTDC4011\2017-06-05 --exclude "*" --recursive --include "*20170605*" &amp; "%USERPROFILE%\Documents\GitHub\mrs-test-scripts\Headless Mode &amp; Sideloading\WalkAndUnGZ.bat" "%USERPROFILE%\AppData\Local\Temp\OnboardLogs"\RTDC4011\2017-06-05 &amp; aws s3 cp s3://rtdc.mdm.uploadarchive.raw/RTDC4011/ "%USERPROFILE%\AppData\Local\Temp\OnboardLogs"\RTDC4011\2017-06-06 --exclude "*" --recursive --include "*20170606*" &amp; "%USERPROFILE%\Documents\GitHub\mrs-test-scripts\Headless Mode &amp; Sideloading\WalkAndUnGZ.bat" "%USERPROFILE%\AppData\Local\Temp\OnboardLogs"\RTDC4011\2017-06-06</v>
      </c>
      <c r="AF137" s="77" t="str">
        <f t="shared" si="42"/>
        <v>"C:\Program Files (x86)\AstroGrep\AstroGrep.exe" /e /r /s /spath="%USERPROFILE%\AppData\Local\Temp\OnboardLogs" /stypes="app*4011*20170606*" /stext=" 03:.+((SYSTEM_STATE.+slice.+state.+changed )|(ment ac)|(multiple cpu faults)|(system.+state.+changed )|(\[timeout)|(PRM\|1\|D)|(kpr)|(kdp)|(train st.+moving)|(\|lc)|(penalty))"</v>
      </c>
      <c r="AG137" s="1" t="str">
        <f t="shared" si="43"/>
        <v>EC</v>
      </c>
      <c r="AH137" s="81" t="str">
        <f t="shared" si="44"/>
        <v>"%USERPROFILE%\Documents\GitHub\eaglep3\Utilities\RefineRTDCRunTimes.py" --tripid 224-05 --locoid 4011 --swversion DE.1.0.9.0 --startMP 204:233042 --initTime 2017-06-05T20:16:20 --startdatetime 2017-06-05T20:27:20 --delay 1 --endMP 204:996 --enddatetime 2017-06-05T21:06:19 --enforcementcount 0 &gt;&gt;C:\Users\stu\Documents\GitHub\eaglep3-reporting\EC\2017-06-05-refined-times.txt</v>
      </c>
      <c r="AI137" s="99" t="str">
        <f t="shared" si="45"/>
        <v>echo {"issue":{"subject":"","project_id":79,"tracker_id":40,"status_id":1,"priority_id":2,"assigned_to_id":23,"start_date":"2017-06-05","description":"","custom_fields":[{"id":1,"name":"Subdivision","value":"EC"},{"id":4,"name":"Milepost","value":"0.0996"},{"id":17,"name":"Train ID","value":"224-05"},{"id":16,"name":"Locomotive ID","value":"4011"},{"id":130,"name":"Impact","value":""},{"id":150,"name":"Time of Event (Mountain Time)","value":"21:06:19"},{"id":151,"name":"Denver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5" t="str">
        <f t="shared" si="46"/>
        <v>start /low /b %USERPROFILE%\Documents\GitHub\eaglep3\Utilities\DownloadLogsFromS3.py --loco 4011 --day 2017-06-05</v>
      </c>
      <c r="AN137" s="154" t="str">
        <f t="shared" si="4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03:06:19"},{"id":29,"name":"Sharepoint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803</v>
      </c>
      <c r="B138" s="7">
        <v>4016</v>
      </c>
      <c r="C138" s="21" t="s">
        <v>204</v>
      </c>
      <c r="D138" s="21" t="s">
        <v>355</v>
      </c>
      <c r="E138" s="13">
        <v>42891.828935185185</v>
      </c>
      <c r="F138" s="13">
        <v>42891.833564814813</v>
      </c>
      <c r="G138" s="7">
        <v>1</v>
      </c>
      <c r="H138" s="21" t="s">
        <v>398</v>
      </c>
      <c r="I138" s="13">
        <v>42891.860196759262</v>
      </c>
      <c r="J138" s="7">
        <v>0</v>
      </c>
      <c r="K138" s="92" t="str">
        <f t="shared" si="32"/>
        <v>4015/4016</v>
      </c>
      <c r="L138" s="21" t="str">
        <f>VLOOKUP(A138,'Trips&amp;Operators'!$C$1:$G$99999,5,FALSE)</f>
        <v>HAITHCOX MICHAEL</v>
      </c>
      <c r="M138" s="6">
        <f t="shared" si="33"/>
        <v>2.6631944449036382E-2</v>
      </c>
      <c r="N138" s="7">
        <f t="shared" si="55"/>
        <v>38.35000000661239</v>
      </c>
      <c r="O138" s="7"/>
      <c r="P138" s="7"/>
      <c r="Q138" s="22"/>
      <c r="R138" s="173"/>
      <c r="S138" s="176">
        <f t="shared" si="53"/>
        <v>1</v>
      </c>
      <c r="T138" s="202" t="str">
        <f t="shared" si="34"/>
        <v>NorthBound</v>
      </c>
      <c r="U138" s="202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03" t="str">
        <f t="shared" si="35"/>
        <v>https://d0f6bd738d7f1b3e5a7ca70fe4ff75f0.us-east-1.aws.found.io/app/kibana#/discover/Steve-Slow-Train-Analysis-(2080s-and-2083s)?_g=(refreshInterval:(display:Off,pause:!f,section:0,value:0),time:(from:'2017-06-05T18:53:40-0600',mode:absolute,to:'2017-06-05T21:38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8" s="204" t="str">
        <f t="shared" si="36"/>
        <v>N</v>
      </c>
      <c r="X138" s="204">
        <f t="shared" si="56"/>
        <v>1</v>
      </c>
      <c r="Y138" s="204">
        <f t="shared" si="52"/>
        <v>4.6600000000000003E-2</v>
      </c>
      <c r="Z138" s="204">
        <f t="shared" si="54"/>
        <v>23.3293</v>
      </c>
      <c r="AA138" s="204">
        <f t="shared" si="39"/>
        <v>23.282699999999998</v>
      </c>
      <c r="AB138" s="57" t="e">
        <f>VLOOKUP(A138,Enforcements!$C$7:$K$13,8,0)</f>
        <v>#N/A</v>
      </c>
      <c r="AC138" s="53" t="e">
        <f>VLOOKUP(A138,Enforcements!$C$7:$E$13,3,0)</f>
        <v>#N/A</v>
      </c>
      <c r="AD138" s="54" t="str">
        <f t="shared" si="40"/>
        <v>0225-05</v>
      </c>
      <c r="AE138" s="80" t="str">
        <f t="shared" si="41"/>
        <v>aws s3 cp s3://rtdc.mdm.uploadarchive.raw/RTDC4016/ "%USERPROFILE%\AppData\Local\Temp\OnboardLogs"\RTDC4016\2017-06-05 --exclude "*" --recursive --include "*20170605*" &amp; "%USERPROFILE%\Documents\GitHub\mrs-test-scripts\Headless Mode &amp; Sideloading\WalkAndUnGZ.bat" "%USERPROFILE%\AppData\Local\Temp\OnboardLogs"\RTDC4016\2017-06-05 &amp; aws s3 cp s3://rtdc.mdm.uploadarchive.raw/RTDC4016/ "%USERPROFILE%\AppData\Local\Temp\OnboardLogs"\RTDC4016\2017-06-06 --exclude "*" --recursive --include "*20170606*" &amp; "%USERPROFILE%\Documents\GitHub\mrs-test-scripts\Headless Mode &amp; Sideloading\WalkAndUnGZ.bat" "%USERPROFILE%\AppData\Local\Temp\OnboardLogs"\RTDC4016\2017-06-06</v>
      </c>
      <c r="AF138" s="77" t="str">
        <f t="shared" si="42"/>
        <v>"C:\Program Files (x86)\AstroGrep\AstroGrep.exe" /e /r /s /spath="%USERPROFILE%\AppData\Local\Temp\OnboardLogs" /stypes="app*4016*20170606*" /stext=" 02:.+((SYSTEM_STATE.+slice.+state.+changed )|(ment ac)|(multiple cpu faults)|(system.+state.+changed )|(\[timeout)|(PRM\|1\|D)|(kpr)|(kdp)|(train st.+moving)|(\|lc)|(penalty))"</v>
      </c>
      <c r="AG138" s="1" t="str">
        <f t="shared" si="43"/>
        <v>EC</v>
      </c>
      <c r="AH138" s="81" t="str">
        <f t="shared" si="44"/>
        <v>"%USERPROFILE%\Documents\GitHub\eaglep3\Utilities\RefineRTDCRunTimes.py" --tripid 225-05 --locoid 4016 --swversion DE.1.0.9.0 --startMP 204:466 --initTime 2017-06-05T19:53:40 --startdatetime 2017-06-05T20:00:20 --delay 1 --endMP 204:233293 --enddatetime 2017-06-05T20:38:41 --enforcementcount 0 &gt;&gt;C:\Users\stu\Documents\GitHub\eaglep3-reporting\EC\2017-06-05-refined-times.txt</v>
      </c>
      <c r="AI138" s="99" t="str">
        <f t="shared" si="45"/>
        <v>echo {"issue":{"subject":"","project_id":79,"tracker_id":40,"status_id":1,"priority_id":2,"assigned_to_id":23,"start_date":"2017-06-05","description":"","custom_fields":[{"id":1,"name":"Subdivision","value":"EC"},{"id":4,"name":"Milepost","value":"23.3293"},{"id":17,"name":"Train ID","value":"225-05"},{"id":16,"name":"Locomotive ID","value":"4016"},{"id":130,"name":"Impact","value":""},{"id":150,"name":"Time of Event (Mountain Time)","value":"20:38:41"},{"id":151,"name":"Denver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5" t="str">
        <f t="shared" si="46"/>
        <v>start /low /b %USERPROFILE%\Documents\GitHub\eaglep3\Utilities\DownloadLogsFromS3.py --loco 4016 --day 2017-06-05</v>
      </c>
      <c r="AN138" s="154" t="str">
        <f t="shared" si="4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02:38:41"},{"id":29,"name":"Sharepoint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808</v>
      </c>
      <c r="B139" s="7">
        <v>4015</v>
      </c>
      <c r="C139" s="21" t="s">
        <v>204</v>
      </c>
      <c r="D139" s="21" t="s">
        <v>558</v>
      </c>
      <c r="E139" s="13">
        <v>42891.865879629629</v>
      </c>
      <c r="F139" s="13">
        <v>42891.873182870368</v>
      </c>
      <c r="G139" s="7">
        <v>1</v>
      </c>
      <c r="H139" s="21" t="s">
        <v>401</v>
      </c>
      <c r="I139" s="13">
        <v>42891.901053240741</v>
      </c>
      <c r="J139" s="7">
        <v>0</v>
      </c>
      <c r="K139" s="92" t="str">
        <f t="shared" si="32"/>
        <v>4015/4016</v>
      </c>
      <c r="L139" s="21" t="str">
        <f>VLOOKUP(A139,'Trips&amp;Operators'!$C$1:$G$99999,5,FALSE)</f>
        <v>HAITHCOX MICHAEL</v>
      </c>
      <c r="M139" s="6">
        <f t="shared" si="33"/>
        <v>2.7870370373420883E-2</v>
      </c>
      <c r="N139" s="7">
        <f t="shared" si="55"/>
        <v>40.133333337726071</v>
      </c>
      <c r="O139" s="7"/>
      <c r="P139" s="7"/>
      <c r="Q139" s="22"/>
      <c r="R139" s="173"/>
      <c r="S139" s="176">
        <f t="shared" si="53"/>
        <v>1</v>
      </c>
      <c r="T139" s="202" t="str">
        <f t="shared" si="34"/>
        <v>Southbound</v>
      </c>
      <c r="U139" s="202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03" t="str">
        <f t="shared" si="35"/>
        <v>https://d0f6bd738d7f1b3e5a7ca70fe4ff75f0.us-east-1.aws.found.io/app/kibana#/discover/Steve-Slow-Train-Analysis-(2080s-and-2083s)?_g=(refreshInterval:(display:Off,pause:!f,section:0,value:0),time:(from:'2017-06-05T19:46:52-0600',mode:absolute,to:'2017-06-05T22:37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9" s="204" t="str">
        <f t="shared" si="36"/>
        <v>N</v>
      </c>
      <c r="X139" s="204">
        <f t="shared" si="56"/>
        <v>1</v>
      </c>
      <c r="Y139" s="204">
        <f t="shared" si="52"/>
        <v>23.2986</v>
      </c>
      <c r="Z139" s="204">
        <f t="shared" si="54"/>
        <v>1.54E-2</v>
      </c>
      <c r="AA139" s="204">
        <f t="shared" si="39"/>
        <v>23.283200000000001</v>
      </c>
      <c r="AB139" s="57" t="e">
        <f>VLOOKUP(A139,Enforcements!$C$7:$K$13,8,0)</f>
        <v>#N/A</v>
      </c>
      <c r="AC139" s="53" t="e">
        <f>VLOOKUP(A139,Enforcements!$C$7:$E$13,3,0)</f>
        <v>#N/A</v>
      </c>
      <c r="AD139" s="54" t="str">
        <f t="shared" si="40"/>
        <v>0226-05</v>
      </c>
      <c r="AE139" s="80" t="str">
        <f t="shared" si="41"/>
        <v>aws s3 cp s3://rtdc.mdm.uploadarchive.raw/RTDC4015/ "%USERPROFILE%\AppData\Local\Temp\OnboardLogs"\RTDC4015\2017-06-05 --exclude "*" --recursive --include "*20170605*" &amp; "%USERPROFILE%\Documents\GitHub\mrs-test-scripts\Headless Mode &amp; Sideloading\WalkAndUnGZ.bat" "%USERPROFILE%\AppData\Local\Temp\OnboardLogs"\RTDC4015\2017-06-05 &amp; aws s3 cp s3://rtdc.mdm.uploadarchive.raw/RTDC4015/ "%USERPROFILE%\AppData\Local\Temp\OnboardLogs"\RTDC4015\2017-06-06 --exclude "*" --recursive --include "*20170606*" &amp; "%USERPROFILE%\Documents\GitHub\mrs-test-scripts\Headless Mode &amp; Sideloading\WalkAndUnGZ.bat" "%USERPROFILE%\AppData\Local\Temp\OnboardLogs"\RTDC4015\2017-06-06</v>
      </c>
      <c r="AF139" s="77" t="str">
        <f t="shared" si="42"/>
        <v>"C:\Program Files (x86)\AstroGrep\AstroGrep.exe" /e /r /s /spath="%USERPROFILE%\AppData\Local\Temp\OnboardLogs" /stypes="app*4015*20170606*" /stext=" 03:.+((SYSTEM_STATE.+slice.+state.+changed )|(ment ac)|(multiple cpu faults)|(system.+state.+changed )|(\[timeout)|(PRM\|1\|D)|(kpr)|(kdp)|(train st.+moving)|(\|lc)|(penalty))"</v>
      </c>
      <c r="AG139" s="1" t="str">
        <f t="shared" si="43"/>
        <v>EC</v>
      </c>
      <c r="AH139" s="81" t="str">
        <f t="shared" si="44"/>
        <v>"%USERPROFILE%\Documents\GitHub\eaglep3\Utilities\RefineRTDCRunTimes.py" --tripid 226-05 --locoid 4015 --swversion DE.1.0.9.0 --startMP 204:232986 --initTime 2017-06-05T20:46:52 --startdatetime 2017-06-05T20:57:23 --delay 1 --endMP 204:154 --enddatetime 2017-06-05T21:37:31 --enforcementcount 0 &gt;&gt;C:\Users\stu\Documents\GitHub\eaglep3-reporting\EC\2017-06-05-refined-times.txt</v>
      </c>
      <c r="AI139" s="99" t="str">
        <f t="shared" si="45"/>
        <v>echo {"issue":{"subject":"","project_id":79,"tracker_id":40,"status_id":1,"priority_id":2,"assigned_to_id":23,"start_date":"2017-06-05","description":"","custom_fields":[{"id":1,"name":"Subdivision","value":"EC"},{"id":4,"name":"Milepost","value":"0.0154"},{"id":17,"name":"Train ID","value":"226-05"},{"id":16,"name":"Locomotive ID","value":"4015"},{"id":130,"name":"Impact","value":""},{"id":150,"name":"Time of Event (Mountain Time)","value":"21:37:31"},{"id":151,"name":"Denver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5" t="str">
        <f t="shared" si="46"/>
        <v>start /low /b %USERPROFILE%\Documents\GitHub\eaglep3\Utilities\DownloadLogsFromS3.py --loco 4015 --day 2017-06-05</v>
      </c>
      <c r="AN139" s="154" t="str">
        <f t="shared" si="4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03:37:31"},{"id":29,"name":"Sharepoint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804</v>
      </c>
      <c r="B140" s="7">
        <v>4042</v>
      </c>
      <c r="C140" s="21" t="s">
        <v>204</v>
      </c>
      <c r="D140" s="21" t="s">
        <v>368</v>
      </c>
      <c r="E140" s="13">
        <v>42891.839618055557</v>
      </c>
      <c r="F140" s="13">
        <v>42891.854351851849</v>
      </c>
      <c r="G140" s="7">
        <v>1</v>
      </c>
      <c r="H140" s="21" t="s">
        <v>889</v>
      </c>
      <c r="I140" s="13">
        <v>42891.880520833336</v>
      </c>
      <c r="J140" s="7">
        <v>0</v>
      </c>
      <c r="K140" s="92" t="str">
        <f t="shared" si="32"/>
        <v>4041/4042</v>
      </c>
      <c r="L140" s="21" t="str">
        <f>VLOOKUP(A140,'Trips&amp;Operators'!$C$1:$G$99999,5,FALSE)</f>
        <v>GUZMAN DANNY</v>
      </c>
      <c r="M140" s="6">
        <f t="shared" si="33"/>
        <v>2.6168981486989651E-2</v>
      </c>
      <c r="N140" s="7">
        <f t="shared" si="55"/>
        <v>37.683333341265097</v>
      </c>
      <c r="O140" s="7"/>
      <c r="P140" s="7"/>
      <c r="Q140" s="22"/>
      <c r="R140" s="173"/>
      <c r="S140" s="176">
        <f t="shared" si="53"/>
        <v>1</v>
      </c>
      <c r="T140" s="202" t="str">
        <f t="shared" si="34"/>
        <v>NorthBound</v>
      </c>
      <c r="U140" s="202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03" t="str">
        <f t="shared" si="35"/>
        <v>https://d0f6bd738d7f1b3e5a7ca70fe4ff75f0.us-east-1.aws.found.io/app/kibana#/discover/Steve-Slow-Train-Analysis-(2080s-and-2083s)?_g=(refreshInterval:(display:Off,pause:!f,section:0,value:0),time:(from:'2017-06-05T19:09:03-0600',mode:absolute,to:'2017-06-05T22:07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0" s="204" t="str">
        <f t="shared" si="36"/>
        <v>N</v>
      </c>
      <c r="X140" s="204">
        <f t="shared" si="56"/>
        <v>1</v>
      </c>
      <c r="Y140" s="204">
        <f t="shared" si="52"/>
        <v>4.5499999999999999E-2</v>
      </c>
      <c r="Z140" s="204">
        <f t="shared" si="54"/>
        <v>23.3276</v>
      </c>
      <c r="AA140" s="204">
        <f t="shared" si="39"/>
        <v>23.2821</v>
      </c>
      <c r="AB140" s="57" t="e">
        <f>VLOOKUP(A140,Enforcements!$C$7:$K$13,8,0)</f>
        <v>#N/A</v>
      </c>
      <c r="AC140" s="53" t="e">
        <f>VLOOKUP(A140,Enforcements!$C$7:$E$13,3,0)</f>
        <v>#N/A</v>
      </c>
      <c r="AD140" s="54" t="str">
        <f t="shared" si="40"/>
        <v>0227-05</v>
      </c>
      <c r="AE140" s="80" t="str">
        <f t="shared" si="41"/>
        <v>aws s3 cp s3://rtdc.mdm.uploadarchive.raw/RTDC4042/ "%USERPROFILE%\AppData\Local\Temp\OnboardLogs"\RTDC4042\2017-06-05 --exclude "*" --recursive --include "*20170605*" &amp; "%USERPROFILE%\Documents\GitHub\mrs-test-scripts\Headless Mode &amp; Sideloading\WalkAndUnGZ.bat" "%USERPROFILE%\AppData\Local\Temp\OnboardLogs"\RTDC4042\2017-06-05 &amp; aws s3 cp s3://rtdc.mdm.uploadarchive.raw/RTDC4042/ "%USERPROFILE%\AppData\Local\Temp\OnboardLogs"\RTDC4042\2017-06-06 --exclude "*" --recursive --include "*20170606*" &amp; "%USERPROFILE%\Documents\GitHub\mrs-test-scripts\Headless Mode &amp; Sideloading\WalkAndUnGZ.bat" "%USERPROFILE%\AppData\Local\Temp\OnboardLogs"\RTDC4042\2017-06-06</v>
      </c>
      <c r="AF140" s="77" t="str">
        <f t="shared" si="42"/>
        <v>"C:\Program Files (x86)\AstroGrep\AstroGrep.exe" /e /r /s /spath="%USERPROFILE%\AppData\Local\Temp\OnboardLogs" /stypes="app*4042*20170606*" /stext=" 03:.+((SYSTEM_STATE.+slice.+state.+changed )|(ment ac)|(multiple cpu faults)|(system.+state.+changed )|(\[timeout)|(PRM\|1\|D)|(kpr)|(kdp)|(train st.+moving)|(\|lc)|(penalty))"</v>
      </c>
      <c r="AG140" s="1" t="str">
        <f t="shared" si="43"/>
        <v>EC</v>
      </c>
      <c r="AH140" s="81" t="str">
        <f t="shared" ref="AH140:AH204" si="57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227-05 --locoid 4042 --swversion DE.1.0.9.0 --startMP 204:455 --initTime 2017-06-05T20:09:03 --startdatetime 2017-06-05T20:30:16 --delay 1 --endMP 204:233276 --enddatetime 2017-06-05T21:07:57 --enforcementcount 0 &gt;&gt;C:\Users\stu\Documents\GitHub\eaglep3-reporting\EC\2017-06-05-refined-times.txt</v>
      </c>
      <c r="AI140" s="99" t="str">
        <f t="shared" ref="AI140:AI204" si="58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{"issue":{"subject":"","project_id":79,"tracker_id":40,"status_id":1,"priority_id":2,"assigned_to_id":23,"start_date":"2017-06-05","description":"","custom_fields":[{"id":1,"name":"Subdivision","value":"EC"},{"id":4,"name":"Milepost","value":"23.3276"},{"id":17,"name":"Train ID","value":"227-05"},{"id":16,"name":"Locomotive ID","value":"4042"},{"id":130,"name":"Impact","value":""},{"id":150,"name":"Time of Event (Mountain Time)","value":"21:07:57"},{"id":151,"name":"Denver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5" t="str">
        <f t="shared" ref="AM140:AM204" si="59">"start /low /b "&amp;dls3logs&amp;" --loco "&amp;B140&amp;" --day "&amp;TEXT(F140,"YYYY-MM-DD")</f>
        <v>start /low /b %USERPROFILE%\Documents\GitHub\eaglep3\Utilities\DownloadLogsFromS3.py --loco 4042 --day 2017-06-05</v>
      </c>
      <c r="AN140" s="154" t="str">
        <f t="shared" ref="AN140:AN204" si="60">"echo {""issue"":{""subject"":"""&amp;R140&amp;""",""project_id"":30,""tracker_id"":4,""status_id"":"&amp;redmine_status_wcr&amp;",""priority_id"":"&amp;redmine_priority_wcr&amp;",""assigned_to_id"":"&amp;redmine_assignee_wcr&amp;",""start_date"":"""&amp;TEXT(I140-utc_offset/24,"YYYY-mm-dd")&amp;""",""description"":"""&amp;AJ140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03:07:57"},{"id":29,"name":"Sharepoint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625</v>
      </c>
      <c r="B141" s="7">
        <v>4041</v>
      </c>
      <c r="C141" s="21" t="s">
        <v>204</v>
      </c>
      <c r="D141" s="21" t="s">
        <v>536</v>
      </c>
      <c r="E141" s="13">
        <v>42891.885752314818</v>
      </c>
      <c r="F141" s="13">
        <v>42891.893900462965</v>
      </c>
      <c r="G141" s="7">
        <v>1</v>
      </c>
      <c r="H141" s="21" t="s">
        <v>890</v>
      </c>
      <c r="I141" s="13">
        <v>42891.921238425923</v>
      </c>
      <c r="J141" s="7">
        <v>0</v>
      </c>
      <c r="K141" s="92" t="str">
        <f t="shared" ref="K141:K204" si="61">IF(ISEVEN(B141),(B141-1)&amp;"/"&amp;B141,B141&amp;"/"&amp;(B141+1))</f>
        <v>4041/4042</v>
      </c>
      <c r="L141" s="21" t="str">
        <f>VLOOKUP(A141,'Trips&amp;Operators'!$C$1:$G$99999,5,FALSE)</f>
        <v>GUZMAN DANNY</v>
      </c>
      <c r="M141" s="6">
        <f t="shared" ref="M141:M204" si="62">I141-F141</f>
        <v>2.7337962957972195E-2</v>
      </c>
      <c r="N141" s="7">
        <f t="shared" si="55"/>
        <v>39.366666659479961</v>
      </c>
      <c r="O141" s="7"/>
      <c r="P141" s="7"/>
      <c r="Q141" s="22"/>
      <c r="R141" s="173"/>
      <c r="S141" s="176">
        <f t="shared" si="53"/>
        <v>1</v>
      </c>
      <c r="T141" s="202" t="str">
        <f t="shared" ref="T141:T204" si="63">IF(ISEVEN(LEFT(AD141,4)),"Southbound","NorthBound")</f>
        <v>Southbound</v>
      </c>
      <c r="U141" s="202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03" t="str">
        <f t="shared" ref="V141:V204" si="64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-06-05T20:15:29-0600',mode:absolute,to:'2017-06-05T23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1" s="204" t="str">
        <f t="shared" ref="W141:W204" si="65">IF(AA141&lt;IF(AG141="EC",23,5.65),"Y","N")</f>
        <v>N</v>
      </c>
      <c r="X141" s="204">
        <f t="shared" si="56"/>
        <v>1</v>
      </c>
      <c r="Y141" s="204">
        <f t="shared" ref="Y141:Y172" si="66">RIGHT(D141,LEN(D141)-4)/10000</f>
        <v>23.301100000000002</v>
      </c>
      <c r="Z141" s="204">
        <f t="shared" si="54"/>
        <v>1.67E-2</v>
      </c>
      <c r="AA141" s="204">
        <f t="shared" ref="AA141:AA204" si="67">ABS(Z141-Y141)</f>
        <v>23.284400000000002</v>
      </c>
      <c r="AB141" s="57" t="e">
        <f>VLOOKUP(A141,Enforcements!$C$7:$K$13,8,0)</f>
        <v>#N/A</v>
      </c>
      <c r="AC141" s="53" t="e">
        <f>VLOOKUP(A141,Enforcements!$C$7:$E$13,3,0)</f>
        <v>#N/A</v>
      </c>
      <c r="AD141" s="54" t="str">
        <f t="shared" ref="AD141:AD204" si="68">IF(LEN(A141)=6,"0"&amp;A141,A141)</f>
        <v>0228-05</v>
      </c>
      <c r="AE141" s="80" t="str">
        <f t="shared" ref="AE141:AE204" si="69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s3://rtdc.mdm.uploadarchive.raw/RTDC4041/ "%USERPROFILE%\AppData\Local\Temp\OnboardLogs"\RTDC4041\2017-06-05 --exclude "*" --recursive --include "*20170605*" &amp; "%USERPROFILE%\Documents\GitHub\mrs-test-scripts\Headless Mode &amp; Sideloading\WalkAndUnGZ.bat" "%USERPROFILE%\AppData\Local\Temp\OnboardLogs"\RTDC4041\2017-06-05 &amp; aws s3 cp s3://rtdc.mdm.uploadarchive.raw/RTDC4041/ "%USERPROFILE%\AppData\Local\Temp\OnboardLogs"\RTDC4041\2017-06-06 --exclude "*" --recursive --include "*20170606*" &amp; "%USERPROFILE%\Documents\GitHub\mrs-test-scripts\Headless Mode &amp; Sideloading\WalkAndUnGZ.bat" "%USERPROFILE%\AppData\Local\Temp\OnboardLogs"\RTDC4041\2017-06-06</v>
      </c>
      <c r="AF141" s="77" t="str">
        <f t="shared" ref="AF141:AF204" si="70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/stypes="app*4041*20170606*" /stext=" 04:.+((SYSTEM_STATE.+slice.+state.+changed )|(ment ac)|(multiple cpu faults)|(system.+state.+changed )|(\[timeout)|(PRM\|1\|D)|(kpr)|(kdp)|(train st.+moving)|(\|lc)|(penalty))"</v>
      </c>
      <c r="AG141" s="1" t="str">
        <f t="shared" ref="AG141:AG204" si="71">IFERROR(IF(VALUE(LEFT(AD141,2))&lt;=2,"EC",IF(OR(VALUE(LEFT(AD141,2))=8,VALUE(LEFT(AD141,2))=18),"NW","Other")),"Other")</f>
        <v>EC</v>
      </c>
      <c r="AH141" s="81" t="str">
        <f t="shared" si="57"/>
        <v>"%USERPROFILE%\Documents\GitHub\eaglep3\Utilities\RefineRTDCRunTimes.py" --tripid 228-05 --locoid 4041 --swversion DE.1.0.9.0 --startMP 204:233011 --initTime 2017-06-05T21:15:29 --startdatetime 2017-06-05T21:27:13 --delay 1 --endMP 204:167 --enddatetime 2017-06-05T22:06:35 --enforcementcount 0 &gt;&gt;C:\Users\stu\Documents\GitHub\eaglep3-reporting\EC\2017-06-05-refined-times.txt</v>
      </c>
      <c r="AI141" s="99" t="str">
        <f t="shared" si="58"/>
        <v>echo {"issue":{"subject":"","project_id":79,"tracker_id":40,"status_id":1,"priority_id":2,"assigned_to_id":23,"start_date":"2017-06-05","description":"","custom_fields":[{"id":1,"name":"Subdivision","value":"EC"},{"id":4,"name":"Milepost","value":"0.0167"},{"id":17,"name":"Train ID","value":"228-05"},{"id":16,"name":"Locomotive ID","value":"4041"},{"id":130,"name":"Impact","value":""},{"id":150,"name":"Time of Event (Mountain Time)","value":"22:06:35"},{"id":151,"name":"Denver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5" t="str">
        <f t="shared" si="59"/>
        <v>start /low /b %USERPROFILE%\Documents\GitHub\eaglep3\Utilities\DownloadLogsFromS3.py --loco 4041 --day 2017-06-05</v>
      </c>
      <c r="AN141" s="154" t="str">
        <f t="shared" si="60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04:06:35"},{"id":29,"name":"Sharepoint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623</v>
      </c>
      <c r="B142" s="7">
        <v>4014</v>
      </c>
      <c r="C142" s="21" t="s">
        <v>204</v>
      </c>
      <c r="D142" s="21" t="s">
        <v>360</v>
      </c>
      <c r="E142" s="13">
        <v>42891.869108796294</v>
      </c>
      <c r="F142" s="13">
        <v>42891.875659722224</v>
      </c>
      <c r="G142" s="7">
        <v>1</v>
      </c>
      <c r="H142" s="21" t="s">
        <v>472</v>
      </c>
      <c r="I142" s="13">
        <v>42891.901597222219</v>
      </c>
      <c r="J142" s="7">
        <v>0</v>
      </c>
      <c r="K142" s="92" t="str">
        <f t="shared" si="61"/>
        <v>4013/4014</v>
      </c>
      <c r="L142" s="21" t="str">
        <f>VLOOKUP(A142,'Trips&amp;Operators'!$C$1:$G$99999,5,FALSE)</f>
        <v>PERKINS DARREN</v>
      </c>
      <c r="M142" s="6">
        <f t="shared" si="62"/>
        <v>2.5937499995052349E-2</v>
      </c>
      <c r="N142" s="7">
        <f t="shared" si="55"/>
        <v>37.349999992875382</v>
      </c>
      <c r="O142" s="7"/>
      <c r="P142" s="7"/>
      <c r="Q142" s="22"/>
      <c r="R142" s="173"/>
      <c r="S142" s="176">
        <f t="shared" ref="S142:S173" si="72">SUM(U142:U142)/IF(AG142="EC",12,1)</f>
        <v>1</v>
      </c>
      <c r="T142" s="202" t="str">
        <f t="shared" si="63"/>
        <v>NorthBound</v>
      </c>
      <c r="U142" s="202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03" t="str">
        <f t="shared" si="64"/>
        <v>https://d0f6bd738d7f1b3e5a7ca70fe4ff75f0.us-east-1.aws.found.io/app/kibana#/discover/Steve-Slow-Train-Analysis-(2080s-and-2083s)?_g=(refreshInterval:(display:Off,pause:!f,section:0,value:0),time:(from:'2017-06-05T19:51:31-0600',mode:absolute,to:'2017-06-05T22:38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2" s="204" t="str">
        <f t="shared" si="65"/>
        <v>N</v>
      </c>
      <c r="X142" s="204">
        <f t="shared" si="56"/>
        <v>1</v>
      </c>
      <c r="Y142" s="204">
        <f t="shared" si="66"/>
        <v>4.4699999999999997E-2</v>
      </c>
      <c r="Z142" s="204">
        <f t="shared" si="54"/>
        <v>23.3309</v>
      </c>
      <c r="AA142" s="204">
        <f t="shared" si="67"/>
        <v>23.286200000000001</v>
      </c>
      <c r="AB142" s="57" t="e">
        <f>VLOOKUP(A142,Enforcements!$C$7:$K$13,8,0)</f>
        <v>#N/A</v>
      </c>
      <c r="AC142" s="53" t="e">
        <f>VLOOKUP(A142,Enforcements!$C$7:$E$13,3,0)</f>
        <v>#N/A</v>
      </c>
      <c r="AD142" s="54" t="str">
        <f t="shared" si="68"/>
        <v>0229-05</v>
      </c>
      <c r="AE142" s="80" t="str">
        <f t="shared" si="69"/>
        <v>aws s3 cp s3://rtdc.mdm.uploadarchive.raw/RTDC4014/ "%USERPROFILE%\AppData\Local\Temp\OnboardLogs"\RTDC4014\2017-06-05 --exclude "*" --recursive --include "*20170605*" &amp; "%USERPROFILE%\Documents\GitHub\mrs-test-scripts\Headless Mode &amp; Sideloading\WalkAndUnGZ.bat" "%USERPROFILE%\AppData\Local\Temp\OnboardLogs"\RTDC4014\2017-06-05 &amp; aws s3 cp s3://rtdc.mdm.uploadarchive.raw/RTDC4014/ "%USERPROFILE%\AppData\Local\Temp\OnboardLogs"\RTDC4014\2017-06-06 --exclude "*" --recursive --include "*20170606*" &amp; "%USERPROFILE%\Documents\GitHub\mrs-test-scripts\Headless Mode &amp; Sideloading\WalkAndUnGZ.bat" "%USERPROFILE%\AppData\Local\Temp\OnboardLogs"\RTDC4014\2017-06-06</v>
      </c>
      <c r="AF142" s="77" t="str">
        <f t="shared" si="70"/>
        <v>"C:\Program Files (x86)\AstroGrep\AstroGrep.exe" /e /r /s /spath="%USERPROFILE%\AppData\Local\Temp\OnboardLogs" /stypes="app*4014*20170606*" /stext=" 03:.+((SYSTEM_STATE.+slice.+state.+changed )|(ment ac)|(multiple cpu faults)|(system.+state.+changed )|(\[timeout)|(PRM\|1\|D)|(kpr)|(kdp)|(train st.+moving)|(\|lc)|(penalty))"</v>
      </c>
      <c r="AG142" s="1" t="str">
        <f t="shared" si="71"/>
        <v>EC</v>
      </c>
      <c r="AH142" s="81" t="str">
        <f t="shared" si="57"/>
        <v>"%USERPROFILE%\Documents\GitHub\eaglep3\Utilities\RefineRTDCRunTimes.py" --tripid 229-05 --locoid 4014 --swversion DE.1.0.9.0 --startMP 204:447 --initTime 2017-06-05T20:51:31 --startdatetime 2017-06-05T21:00:57 --delay 1 --endMP 204:233309 --enddatetime 2017-06-05T21:38:18 --enforcementcount 0 &gt;&gt;C:\Users\stu\Documents\GitHub\eaglep3-reporting\EC\2017-06-05-refined-times.txt</v>
      </c>
      <c r="AI142" s="99" t="str">
        <f t="shared" si="58"/>
        <v>echo {"issue":{"subject":"","project_id":79,"tracker_id":40,"status_id":1,"priority_id":2,"assigned_to_id":23,"start_date":"2017-06-05","description":"","custom_fields":[{"id":1,"name":"Subdivision","value":"EC"},{"id":4,"name":"Milepost","value":"23.3309"},{"id":17,"name":"Train ID","value":"229-05"},{"id":16,"name":"Locomotive ID","value":"4014"},{"id":130,"name":"Impact","value":""},{"id":150,"name":"Time of Event (Mountain Time)","value":"21:38:18"},{"id":151,"name":"Denver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5" t="str">
        <f t="shared" si="59"/>
        <v>start /low /b %USERPROFILE%\Documents\GitHub\eaglep3\Utilities\DownloadLogsFromS3.py --loco 4014 --day 2017-06-05</v>
      </c>
      <c r="AN142" s="154" t="str">
        <f t="shared" si="60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03:38:18"},{"id":29,"name":"Sharepoint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811</v>
      </c>
      <c r="B143" s="7">
        <v>4013</v>
      </c>
      <c r="C143" s="21" t="s">
        <v>204</v>
      </c>
      <c r="D143" s="21" t="s">
        <v>432</v>
      </c>
      <c r="E143" s="13">
        <v>42891.908009259256</v>
      </c>
      <c r="F143" s="13">
        <v>42891.91474537037</v>
      </c>
      <c r="G143" s="7">
        <v>1</v>
      </c>
      <c r="H143" s="21" t="s">
        <v>361</v>
      </c>
      <c r="I143" s="13">
        <v>42891.942002314812</v>
      </c>
      <c r="J143" s="7">
        <v>0</v>
      </c>
      <c r="K143" s="92" t="str">
        <f t="shared" si="61"/>
        <v>4013/4014</v>
      </c>
      <c r="L143" s="21" t="str">
        <f>VLOOKUP(A143,'Trips&amp;Operators'!$C$1:$G$99999,5,FALSE)</f>
        <v>PERKINS DARREN</v>
      </c>
      <c r="M143" s="6">
        <f t="shared" si="62"/>
        <v>2.7256944442342501E-2</v>
      </c>
      <c r="N143" s="7">
        <f t="shared" si="55"/>
        <v>39.249999996973202</v>
      </c>
      <c r="O143" s="7"/>
      <c r="P143" s="7"/>
      <c r="Q143" s="22"/>
      <c r="R143" s="173"/>
      <c r="S143" s="176">
        <f t="shared" si="72"/>
        <v>1</v>
      </c>
      <c r="T143" s="202" t="str">
        <f t="shared" si="63"/>
        <v>Southbound</v>
      </c>
      <c r="U143" s="202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03" t="str">
        <f t="shared" si="64"/>
        <v>https://d0f6bd738d7f1b3e5a7ca70fe4ff75f0.us-east-1.aws.found.io/app/kibana#/discover/Steve-Slow-Train-Analysis-(2080s-and-2083s)?_g=(refreshInterval:(display:Off,pause:!f,section:0,value:0),time:(from:'2017-06-05T20:47:32-0600',mode:absolute,to:'2017-06-05T23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3" s="204" t="str">
        <f t="shared" si="65"/>
        <v>N</v>
      </c>
      <c r="X143" s="204">
        <f t="shared" si="56"/>
        <v>1</v>
      </c>
      <c r="Y143" s="204">
        <f t="shared" si="66"/>
        <v>23.299800000000001</v>
      </c>
      <c r="Z143" s="204">
        <f t="shared" si="54"/>
        <v>1.3899999999999999E-2</v>
      </c>
      <c r="AA143" s="204">
        <f t="shared" si="67"/>
        <v>23.285900000000002</v>
      </c>
      <c r="AB143" s="57" t="e">
        <f>VLOOKUP(A143,Enforcements!$C$7:$K$13,8,0)</f>
        <v>#N/A</v>
      </c>
      <c r="AC143" s="53" t="e">
        <f>VLOOKUP(A143,Enforcements!$C$7:$E$13,3,0)</f>
        <v>#N/A</v>
      </c>
      <c r="AD143" s="54" t="str">
        <f t="shared" si="68"/>
        <v>0230-05</v>
      </c>
      <c r="AE143" s="80" t="str">
        <f t="shared" si="69"/>
        <v>aws s3 cp s3://rtdc.mdm.uploadarchive.raw/RTDC4013/ "%USERPROFILE%\AppData\Local\Temp\OnboardLogs"\RTDC4013\2017-06-05 --exclude "*" --recursive --include "*20170605*" &amp; "%USERPROFILE%\Documents\GitHub\mrs-test-scripts\Headless Mode &amp; Sideloading\WalkAndUnGZ.bat" "%USERPROFILE%\AppData\Local\Temp\OnboardLogs"\RTDC4013\2017-06-05 &amp; aws s3 cp s3://rtdc.mdm.uploadarchive.raw/RTDC4013/ "%USERPROFILE%\AppData\Local\Temp\OnboardLogs"\RTDC4013\2017-06-06 --exclude "*" --recursive --include "*20170606*" &amp; "%USERPROFILE%\Documents\GitHub\mrs-test-scripts\Headless Mode &amp; Sideloading\WalkAndUnGZ.bat" "%USERPROFILE%\AppData\Local\Temp\OnboardLogs"\RTDC4013\2017-06-06</v>
      </c>
      <c r="AF143" s="77" t="str">
        <f t="shared" si="70"/>
        <v>"C:\Program Files (x86)\AstroGrep\AstroGrep.exe" /e /r /s /spath="%USERPROFILE%\AppData\Local\Temp\OnboardLogs" /stypes="app*4013*20170606*" /stext=" 04:.+((SYSTEM_STATE.+slice.+state.+changed )|(ment ac)|(multiple cpu faults)|(system.+state.+changed )|(\[timeout)|(PRM\|1\|D)|(kpr)|(kdp)|(train st.+moving)|(\|lc)|(penalty))"</v>
      </c>
      <c r="AG143" s="1" t="str">
        <f t="shared" si="71"/>
        <v>EC</v>
      </c>
      <c r="AH143" s="81" t="str">
        <f t="shared" si="57"/>
        <v>"%USERPROFILE%\Documents\GitHub\eaglep3\Utilities\RefineRTDCRunTimes.py" --tripid 230-05 --locoid 4013 --swversion DE.1.0.9.0 --startMP 204:232998 --initTime 2017-06-05T21:47:32 --startdatetime 2017-06-05T21:57:14 --delay 1 --endMP 204:139 --enddatetime 2017-06-05T22:36:29 --enforcementcount 0 &gt;&gt;C:\Users\stu\Documents\GitHub\eaglep3-reporting\EC\2017-06-05-refined-times.txt</v>
      </c>
      <c r="AI143" s="99" t="str">
        <f t="shared" si="58"/>
        <v>echo {"issue":{"subject":"","project_id":79,"tracker_id":40,"status_id":1,"priority_id":2,"assigned_to_id":23,"start_date":"2017-06-05","description":"","custom_fields":[{"id":1,"name":"Subdivision","value":"EC"},{"id":4,"name":"Milepost","value":"0.0139"},{"id":17,"name":"Train ID","value":"230-05"},{"id":16,"name":"Locomotive ID","value":"4013"},{"id":130,"name":"Impact","value":""},{"id":150,"name":"Time of Event (Mountain Time)","value":"22:36:29"},{"id":151,"name":"Denver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5" t="str">
        <f t="shared" si="59"/>
        <v>start /low /b %USERPROFILE%\Documents\GitHub\eaglep3\Utilities\DownloadLogsFromS3.py --loco 4013 --day 2017-06-05</v>
      </c>
      <c r="AN143" s="154" t="str">
        <f t="shared" si="60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04:36:29"},{"id":29,"name":"Sharepoint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810</v>
      </c>
      <c r="B144" s="7">
        <v>4062</v>
      </c>
      <c r="C144" s="21" t="s">
        <v>204</v>
      </c>
      <c r="D144" s="21" t="s">
        <v>397</v>
      </c>
      <c r="E144" s="13">
        <v>42891.884965277779</v>
      </c>
      <c r="F144" s="13">
        <v>42891.896168981482</v>
      </c>
      <c r="G144" s="7">
        <v>2</v>
      </c>
      <c r="H144" s="21" t="s">
        <v>532</v>
      </c>
      <c r="I144" s="13">
        <v>42891.922488425924</v>
      </c>
      <c r="J144" s="7">
        <v>0</v>
      </c>
      <c r="K144" s="92" t="str">
        <f t="shared" si="61"/>
        <v>4061/4062</v>
      </c>
      <c r="L144" s="21" t="str">
        <f>VLOOKUP(A144,'Trips&amp;Operators'!$C$1:$G$99999,5,FALSE)</f>
        <v>SMITH MICHAEL</v>
      </c>
      <c r="M144" s="6">
        <f t="shared" si="62"/>
        <v>2.6319444441469386E-2</v>
      </c>
      <c r="N144" s="7">
        <f t="shared" si="55"/>
        <v>37.899999995715916</v>
      </c>
      <c r="O144" s="7"/>
      <c r="P144" s="7"/>
      <c r="Q144" s="22"/>
      <c r="R144" s="173"/>
      <c r="S144" s="176">
        <f t="shared" si="72"/>
        <v>1</v>
      </c>
      <c r="T144" s="202" t="str">
        <f t="shared" si="63"/>
        <v>NorthBound</v>
      </c>
      <c r="U144" s="202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03" t="str">
        <f t="shared" si="64"/>
        <v>https://d0f6bd738d7f1b3e5a7ca70fe4ff75f0.us-east-1.aws.found.io/app/kibana#/discover/Steve-Slow-Train-Analysis-(2080s-and-2083s)?_g=(refreshInterval:(display:Off,pause:!f,section:0,value:0),time:(from:'2017-06-05T20:14:21-0600',mode:absolute,to:'2017-06-05T23:08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44" s="204" t="str">
        <f t="shared" si="65"/>
        <v>N</v>
      </c>
      <c r="X144" s="204">
        <f t="shared" si="56"/>
        <v>1</v>
      </c>
      <c r="Y144" s="204">
        <f t="shared" si="66"/>
        <v>4.6199999999999998E-2</v>
      </c>
      <c r="Z144" s="204">
        <f t="shared" si="54"/>
        <v>23.337199999999999</v>
      </c>
      <c r="AA144" s="204">
        <f t="shared" si="67"/>
        <v>23.291</v>
      </c>
      <c r="AB144" s="57" t="e">
        <f>VLOOKUP(A144,Enforcements!$C$7:$K$13,8,0)</f>
        <v>#N/A</v>
      </c>
      <c r="AC144" s="53" t="e">
        <f>VLOOKUP(A144,Enforcements!$C$7:$E$13,3,0)</f>
        <v>#N/A</v>
      </c>
      <c r="AD144" s="54" t="str">
        <f t="shared" si="68"/>
        <v>0231-05</v>
      </c>
      <c r="AE144" s="80" t="str">
        <f t="shared" si="69"/>
        <v>aws s3 cp s3://rtdc.mdm.uploadarchive.raw/RTDC4062/ "%USERPROFILE%\AppData\Local\Temp\OnboardLogs"\RTDC4062\2017-06-05 --exclude "*" --recursive --include "*20170605*" &amp; "%USERPROFILE%\Documents\GitHub\mrs-test-scripts\Headless Mode &amp; Sideloading\WalkAndUnGZ.bat" "%USERPROFILE%\AppData\Local\Temp\OnboardLogs"\RTDC4062\2017-06-05 &amp; aws s3 cp s3://rtdc.mdm.uploadarchive.raw/RTDC4062/ "%USERPROFILE%\AppData\Local\Temp\OnboardLogs"\RTDC4062\2017-06-06 --exclude "*" --recursive --include "*20170606*" &amp; "%USERPROFILE%\Documents\GitHub\mrs-test-scripts\Headless Mode &amp; Sideloading\WalkAndUnGZ.bat" "%USERPROFILE%\AppData\Local\Temp\OnboardLogs"\RTDC4062\2017-06-06</v>
      </c>
      <c r="AF144" s="77" t="str">
        <f t="shared" si="70"/>
        <v>"C:\Program Files (x86)\AstroGrep\AstroGrep.exe" /e /r /s /spath="%USERPROFILE%\AppData\Local\Temp\OnboardLogs" /stypes="app*4062*20170606*" /stext=" 04:.+((SYSTEM_STATE.+slice.+state.+changed )|(ment ac)|(multiple cpu faults)|(system.+state.+changed )|(\[timeout)|(PRM\|1\|D)|(kpr)|(kdp)|(train st.+moving)|(\|lc)|(penalty))"</v>
      </c>
      <c r="AG144" s="1" t="str">
        <f t="shared" si="71"/>
        <v>EC</v>
      </c>
      <c r="AH144" s="81" t="str">
        <f t="shared" si="57"/>
        <v>"%USERPROFILE%\Documents\GitHub\eaglep3\Utilities\RefineRTDCRunTimes.py" --tripid 231-05 --locoid 4062 --swversion DE.1.0.9.0 --startMP 204:462 --initTime 2017-06-05T21:14:21 --startdatetime 2017-06-05T21:30:29 --delay 2 --endMP 204:233372 --enddatetime 2017-06-05T22:08:23 --enforcementcount 0 &gt;&gt;C:\Users\stu\Documents\GitHub\eaglep3-reporting\EC\2017-06-05-refined-times.txt</v>
      </c>
      <c r="AI144" s="99" t="str">
        <f t="shared" si="58"/>
        <v>echo {"issue":{"subject":"","project_id":79,"tracker_id":40,"status_id":1,"priority_id":2,"assigned_to_id":23,"start_date":"2017-06-05","description":"","custom_fields":[{"id":1,"name":"Subdivision","value":"EC"},{"id":4,"name":"Milepost","value":"23.3372"},{"id":17,"name":"Train ID","value":"231-05"},{"id":16,"name":"Locomotive ID","value":"4062"},{"id":130,"name":"Impact","value":""},{"id":150,"name":"Time of Event (Mountain Time)","value":"22:08:23"},{"id":151,"name":"Denver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5" t="str">
        <f t="shared" si="59"/>
        <v>start /low /b %USERPROFILE%\Documents\GitHub\eaglep3\Utilities\DownloadLogsFromS3.py --loco 4062 --day 2017-06-05</v>
      </c>
      <c r="AN144" s="154" t="str">
        <f t="shared" si="60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04:08:23"},{"id":29,"name":"Sharepoint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627</v>
      </c>
      <c r="B145" s="7">
        <v>4061</v>
      </c>
      <c r="C145" s="21" t="s">
        <v>204</v>
      </c>
      <c r="D145" s="21" t="s">
        <v>891</v>
      </c>
      <c r="E145" s="13">
        <v>42891.92827546296</v>
      </c>
      <c r="F145" s="13">
        <v>42891.935636574075</v>
      </c>
      <c r="G145" s="7">
        <v>1</v>
      </c>
      <c r="H145" s="21" t="s">
        <v>195</v>
      </c>
      <c r="I145" s="13">
        <v>42891.963576388887</v>
      </c>
      <c r="J145" s="7">
        <v>0</v>
      </c>
      <c r="K145" s="92" t="str">
        <f t="shared" si="61"/>
        <v>4061/4062</v>
      </c>
      <c r="L145" s="21" t="str">
        <f>VLOOKUP(A145,'Trips&amp;Operators'!$C$1:$G$99999,5,FALSE)</f>
        <v>SMITH MICHAEL</v>
      </c>
      <c r="M145" s="6">
        <f t="shared" si="62"/>
        <v>2.7939814812270924E-2</v>
      </c>
      <c r="N145" s="7">
        <f t="shared" si="55"/>
        <v>40.233333329670131</v>
      </c>
      <c r="O145" s="7"/>
      <c r="P145" s="7"/>
      <c r="Q145" s="22"/>
      <c r="R145" s="173"/>
      <c r="S145" s="176">
        <f t="shared" si="72"/>
        <v>1</v>
      </c>
      <c r="T145" s="202" t="str">
        <f t="shared" si="63"/>
        <v>Southbound</v>
      </c>
      <c r="U145" s="202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03" t="str">
        <f t="shared" si="64"/>
        <v>https://d0f6bd738d7f1b3e5a7ca70fe4ff75f0.us-east-1.aws.found.io/app/kibana#/discover/Steve-Slow-Train-Analysis-(2080s-and-2083s)?_g=(refreshInterval:(display:Off,pause:!f,section:0,value:0),time:(from:'2017-06-05T21:16:43-0600',mode:absolute,to:'2017-06-06T00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45" s="204" t="str">
        <f t="shared" si="65"/>
        <v>N</v>
      </c>
      <c r="X145" s="204">
        <f t="shared" si="56"/>
        <v>1</v>
      </c>
      <c r="Y145" s="204">
        <f t="shared" si="66"/>
        <v>23.304400000000001</v>
      </c>
      <c r="Z145" s="204">
        <f t="shared" ref="Z145:Z176" si="73">RIGHT(H145,LEN(H145)-4)/10000</f>
        <v>1.52E-2</v>
      </c>
      <c r="AA145" s="204">
        <f t="shared" si="67"/>
        <v>23.289200000000001</v>
      </c>
      <c r="AB145" s="57" t="e">
        <f>VLOOKUP(A145,Enforcements!$C$7:$K$13,8,0)</f>
        <v>#N/A</v>
      </c>
      <c r="AC145" s="53" t="e">
        <f>VLOOKUP(A145,Enforcements!$C$7:$E$13,3,0)</f>
        <v>#N/A</v>
      </c>
      <c r="AD145" s="54" t="str">
        <f t="shared" si="68"/>
        <v>0232-05</v>
      </c>
      <c r="AE145" s="80" t="str">
        <f t="shared" si="69"/>
        <v>aws s3 cp s3://rtdc.mdm.uploadarchive.raw/RTDC4061/ "%USERPROFILE%\AppData\Local\Temp\OnboardLogs"\RTDC4061\2017-06-05 --exclude "*" --recursive --include "*20170605*" &amp; "%USERPROFILE%\Documents\GitHub\mrs-test-scripts\Headless Mode &amp; Sideloading\WalkAndUnGZ.bat" "%USERPROFILE%\AppData\Local\Temp\OnboardLogs"\RTDC4061\2017-06-05 &amp; aws s3 cp s3://rtdc.mdm.uploadarchive.raw/RTDC4061/ "%USERPROFILE%\AppData\Local\Temp\OnboardLogs"\RTDC4061\2017-06-06 --exclude "*" --recursive --include "*20170606*" &amp; "%USERPROFILE%\Documents\GitHub\mrs-test-scripts\Headless Mode &amp; Sideloading\WalkAndUnGZ.bat" "%USERPROFILE%\AppData\Local\Temp\OnboardLogs"\RTDC4061\2017-06-06</v>
      </c>
      <c r="AF145" s="77" t="str">
        <f t="shared" si="70"/>
        <v>"C:\Program Files (x86)\AstroGrep\AstroGrep.exe" /e /r /s /spath="%USERPROFILE%\AppData\Local\Temp\OnboardLogs" /stypes="app*4061*20170606*" /stext=" 05:.+((SYSTEM_STATE.+slice.+state.+changed )|(ment ac)|(multiple cpu faults)|(system.+state.+changed )|(\[timeout)|(PRM\|1\|D)|(kpr)|(kdp)|(train st.+moving)|(\|lc)|(penalty))"</v>
      </c>
      <c r="AG145" s="1" t="str">
        <f t="shared" si="71"/>
        <v>EC</v>
      </c>
      <c r="AH145" s="81" t="str">
        <f t="shared" si="57"/>
        <v>"%USERPROFILE%\Documents\GitHub\eaglep3\Utilities\RefineRTDCRunTimes.py" --tripid 232-05 --locoid 4061 --swversion DE.1.0.9.0 --startMP 204:233044 --initTime 2017-06-05T22:16:43 --startdatetime 2017-06-05T22:27:19 --delay 1 --endMP 204:152 --enddatetime 2017-06-05T23:07:33 --enforcementcount 0 &gt;&gt;C:\Users\stu\Documents\GitHub\eaglep3-reporting\EC\2017-06-05-refined-times.txt</v>
      </c>
      <c r="AI145" s="99" t="str">
        <f t="shared" si="58"/>
        <v>echo {"issue":{"subject":"","project_id":79,"tracker_id":40,"status_id":1,"priority_id":2,"assigned_to_id":23,"start_date":"2017-06-05","description":"","custom_fields":[{"id":1,"name":"Subdivision","value":"EC"},{"id":4,"name":"Milepost","value":"0.0152"},{"id":17,"name":"Train ID","value":"232-05"},{"id":16,"name":"Locomotive ID","value":"4061"},{"id":130,"name":"Impact","value":""},{"id":150,"name":"Time of Event (Mountain Time)","value":"23:07:33"},{"id":151,"name":"Denver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5" t="str">
        <f t="shared" si="59"/>
        <v>start /low /b %USERPROFILE%\Documents\GitHub\eaglep3\Utilities\DownloadLogsFromS3.py --loco 4061 --day 2017-06-05</v>
      </c>
      <c r="AN145" s="154" t="str">
        <f t="shared" si="60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05:07:33"},{"id":29,"name":"Sharepoint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626</v>
      </c>
      <c r="B146" s="7">
        <v>4016</v>
      </c>
      <c r="C146" s="21" t="s">
        <v>204</v>
      </c>
      <c r="D146" s="21" t="s">
        <v>498</v>
      </c>
      <c r="E146" s="13">
        <v>42891.904108796298</v>
      </c>
      <c r="F146" s="13">
        <v>42891.916863425926</v>
      </c>
      <c r="G146" s="7">
        <v>1</v>
      </c>
      <c r="H146" s="21" t="s">
        <v>537</v>
      </c>
      <c r="I146" s="13">
        <v>42891.944699074076</v>
      </c>
      <c r="J146" s="7">
        <v>0</v>
      </c>
      <c r="K146" s="92" t="str">
        <f t="shared" si="61"/>
        <v>4015/4016</v>
      </c>
      <c r="L146" s="21" t="str">
        <f>VLOOKUP(A146,'Trips&amp;Operators'!$C$1:$G$99999,5,FALSE)</f>
        <v>HAITHCOX MICHAEL</v>
      </c>
      <c r="M146" s="6">
        <f t="shared" si="62"/>
        <v>2.7835648150357883E-2</v>
      </c>
      <c r="N146" s="7">
        <f t="shared" si="55"/>
        <v>40.083333336515352</v>
      </c>
      <c r="O146" s="7"/>
      <c r="P146" s="7"/>
      <c r="Q146" s="22"/>
      <c r="R146" s="173"/>
      <c r="S146" s="176">
        <f t="shared" si="72"/>
        <v>1</v>
      </c>
      <c r="T146" s="202" t="str">
        <f t="shared" si="63"/>
        <v>NorthBound</v>
      </c>
      <c r="U146" s="202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03" t="str">
        <f t="shared" si="64"/>
        <v>https://d0f6bd738d7f1b3e5a7ca70fe4ff75f0.us-east-1.aws.found.io/app/kibana#/discover/Steve-Slow-Train-Analysis-(2080s-and-2083s)?_g=(refreshInterval:(display:Off,pause:!f,section:0,value:0),time:(from:'2017-06-05T20:41:55-0600',mode:absolute,to:'2017-06-05T23:40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6" s="204" t="str">
        <f t="shared" si="65"/>
        <v>N</v>
      </c>
      <c r="X146" s="204">
        <f t="shared" si="56"/>
        <v>1</v>
      </c>
      <c r="Y146" s="204">
        <f t="shared" si="66"/>
        <v>4.4400000000000002E-2</v>
      </c>
      <c r="Z146" s="204">
        <f t="shared" si="73"/>
        <v>23.3325</v>
      </c>
      <c r="AA146" s="204">
        <f t="shared" si="67"/>
        <v>23.2881</v>
      </c>
      <c r="AB146" s="57" t="e">
        <f>VLOOKUP(A146,Enforcements!$C$7:$K$13,8,0)</f>
        <v>#N/A</v>
      </c>
      <c r="AC146" s="53" t="e">
        <f>VLOOKUP(A146,Enforcements!$C$7:$E$13,3,0)</f>
        <v>#N/A</v>
      </c>
      <c r="AD146" s="54" t="str">
        <f t="shared" si="68"/>
        <v>0233-05</v>
      </c>
      <c r="AE146" s="80" t="str">
        <f t="shared" si="69"/>
        <v>aws s3 cp s3://rtdc.mdm.uploadarchive.raw/RTDC4016/ "%USERPROFILE%\AppData\Local\Temp\OnboardLogs"\RTDC4016\2017-06-05 --exclude "*" --recursive --include "*20170605*" &amp; "%USERPROFILE%\Documents\GitHub\mrs-test-scripts\Headless Mode &amp; Sideloading\WalkAndUnGZ.bat" "%USERPROFILE%\AppData\Local\Temp\OnboardLogs"\RTDC4016\2017-06-05 &amp; aws s3 cp s3://rtdc.mdm.uploadarchive.raw/RTDC4016/ "%USERPROFILE%\AppData\Local\Temp\OnboardLogs"\RTDC4016\2017-06-06 --exclude "*" --recursive --include "*20170606*" &amp; "%USERPROFILE%\Documents\GitHub\mrs-test-scripts\Headless Mode &amp; Sideloading\WalkAndUnGZ.bat" "%USERPROFILE%\AppData\Local\Temp\OnboardLogs"\RTDC4016\2017-06-06</v>
      </c>
      <c r="AF146" s="77" t="str">
        <f t="shared" si="70"/>
        <v>"C:\Program Files (x86)\AstroGrep\AstroGrep.exe" /e /r /s /spath="%USERPROFILE%\AppData\Local\Temp\OnboardLogs" /stypes="app*4016*20170606*" /stext=" 04:.+((SYSTEM_STATE.+slice.+state.+changed )|(ment ac)|(multiple cpu faults)|(system.+state.+changed )|(\[timeout)|(PRM\|1\|D)|(kpr)|(kdp)|(train st.+moving)|(\|lc)|(penalty))"</v>
      </c>
      <c r="AG146" s="1" t="str">
        <f t="shared" si="71"/>
        <v>EC</v>
      </c>
      <c r="AH146" s="81" t="str">
        <f t="shared" si="57"/>
        <v>"%USERPROFILE%\Documents\GitHub\eaglep3\Utilities\RefineRTDCRunTimes.py" --tripid 233-05 --locoid 4016 --swversion DE.1.0.9.0 --startMP 204:444 --initTime 2017-06-05T21:41:55 --startdatetime 2017-06-05T22:00:17 --delay 1 --endMP 204:233325 --enddatetime 2017-06-05T22:40:22 --enforcementcount 0 &gt;&gt;C:\Users\stu\Documents\GitHub\eaglep3-reporting\EC\2017-06-05-refined-times.txt</v>
      </c>
      <c r="AI146" s="99" t="str">
        <f t="shared" si="58"/>
        <v>echo {"issue":{"subject":"","project_id":79,"tracker_id":40,"status_id":1,"priority_id":2,"assigned_to_id":23,"start_date":"2017-06-05","description":"","custom_fields":[{"id":1,"name":"Subdivision","value":"EC"},{"id":4,"name":"Milepost","value":"23.3325"},{"id":17,"name":"Train ID","value":"233-05"},{"id":16,"name":"Locomotive ID","value":"4016"},{"id":130,"name":"Impact","value":""},{"id":150,"name":"Time of Event (Mountain Time)","value":"22:40:22"},{"id":151,"name":"Denver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5" t="str">
        <f t="shared" si="59"/>
        <v>start /low /b %USERPROFILE%\Documents\GitHub\eaglep3\Utilities\DownloadLogsFromS3.py --loco 4016 --day 2017-06-05</v>
      </c>
      <c r="AN146" s="154" t="str">
        <f t="shared" si="60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04:40:22"},{"id":29,"name":"Sharepoint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815</v>
      </c>
      <c r="B147" s="7">
        <v>4015</v>
      </c>
      <c r="C147" s="21" t="s">
        <v>204</v>
      </c>
      <c r="D147" s="21" t="s">
        <v>562</v>
      </c>
      <c r="E147" s="13">
        <v>42891.946817129632</v>
      </c>
      <c r="F147" s="13">
        <v>42891.956412037034</v>
      </c>
      <c r="G147" s="7">
        <v>1</v>
      </c>
      <c r="H147" s="21" t="s">
        <v>466</v>
      </c>
      <c r="I147" s="13">
        <v>42891.984710648147</v>
      </c>
      <c r="J147" s="7">
        <v>0</v>
      </c>
      <c r="K147" s="92" t="str">
        <f t="shared" si="61"/>
        <v>4015/4016</v>
      </c>
      <c r="L147" s="21" t="str">
        <f>VLOOKUP(A147,'Trips&amp;Operators'!$C$1:$G$99999,5,FALSE)</f>
        <v>HAITHCOX MICHAEL</v>
      </c>
      <c r="M147" s="6">
        <f t="shared" si="62"/>
        <v>2.8298611112404615E-2</v>
      </c>
      <c r="N147" s="7">
        <f t="shared" ref="N147:N180" si="74">24*60*SUM($M147:$M147)</f>
        <v>40.750000001862645</v>
      </c>
      <c r="O147" s="7"/>
      <c r="P147" s="7"/>
      <c r="Q147" s="22"/>
      <c r="R147" s="173"/>
      <c r="S147" s="176">
        <f t="shared" si="72"/>
        <v>1</v>
      </c>
      <c r="T147" s="202" t="str">
        <f t="shared" si="63"/>
        <v>Southbound</v>
      </c>
      <c r="U147" s="202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03" t="str">
        <f t="shared" si="64"/>
        <v>https://d0f6bd738d7f1b3e5a7ca70fe4ff75f0.us-east-1.aws.found.io/app/kibana#/discover/Steve-Slow-Train-Analysis-(2080s-and-2083s)?_g=(refreshInterval:(display:Off,pause:!f,section:0,value:0),time:(from:'2017-06-05T21:43:25-0600',mode:absolute,to:'2017-06-06T00:37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7" s="204" t="str">
        <f t="shared" si="65"/>
        <v>N</v>
      </c>
      <c r="X147" s="204">
        <f t="shared" si="56"/>
        <v>1</v>
      </c>
      <c r="Y147" s="204">
        <f t="shared" si="66"/>
        <v>23.3017</v>
      </c>
      <c r="Z147" s="204">
        <f t="shared" si="73"/>
        <v>1.5599999999999999E-2</v>
      </c>
      <c r="AA147" s="204">
        <f t="shared" si="67"/>
        <v>23.286100000000001</v>
      </c>
      <c r="AB147" s="57" t="e">
        <f>VLOOKUP(A147,Enforcements!$C$7:$K$13,8,0)</f>
        <v>#N/A</v>
      </c>
      <c r="AC147" s="53" t="e">
        <f>VLOOKUP(A147,Enforcements!$C$7:$E$13,3,0)</f>
        <v>#N/A</v>
      </c>
      <c r="AD147" s="54" t="str">
        <f t="shared" si="68"/>
        <v>0234-05</v>
      </c>
      <c r="AE147" s="80" t="str">
        <f t="shared" si="69"/>
        <v>aws s3 cp s3://rtdc.mdm.uploadarchive.raw/RTDC4015/ "%USERPROFILE%\AppData\Local\Temp\OnboardLogs"\RTDC4015\2017-06-05 --exclude "*" --recursive --include "*20170605*" &amp; "%USERPROFILE%\Documents\GitHub\mrs-test-scripts\Headless Mode &amp; Sideloading\WalkAndUnGZ.bat" "%USERPROFILE%\AppData\Local\Temp\OnboardLogs"\RTDC4015\2017-06-05 &amp; aws s3 cp s3://rtdc.mdm.uploadarchive.raw/RTDC4015/ "%USERPROFILE%\AppData\Local\Temp\OnboardLogs"\RTDC4015\2017-06-06 --exclude "*" --recursive --include "*20170606*" &amp; "%USERPROFILE%\Documents\GitHub\mrs-test-scripts\Headless Mode &amp; Sideloading\WalkAndUnGZ.bat" "%USERPROFILE%\AppData\Local\Temp\OnboardLogs"\RTDC4015\2017-06-06</v>
      </c>
      <c r="AF147" s="77" t="str">
        <f t="shared" si="70"/>
        <v>"C:\Program Files (x86)\AstroGrep\AstroGrep.exe" /e /r /s /spath="%USERPROFILE%\AppData\Local\Temp\OnboardLogs" /stypes="app*4015*20170606*" /stext=" 05:.+((SYSTEM_STATE.+slice.+state.+changed )|(ment ac)|(multiple cpu faults)|(system.+state.+changed )|(\[timeout)|(PRM\|1\|D)|(kpr)|(kdp)|(train st.+moving)|(\|lc)|(penalty))"</v>
      </c>
      <c r="AG147" s="1" t="str">
        <f t="shared" si="71"/>
        <v>EC</v>
      </c>
      <c r="AH147" s="81" t="str">
        <f t="shared" si="57"/>
        <v>"%USERPROFILE%\Documents\GitHub\eaglep3\Utilities\RefineRTDCRunTimes.py" --tripid 234-05 --locoid 4015 --swversion DE.1.0.9.0 --startMP 204:233017 --initTime 2017-06-05T22:43:25 --startdatetime 2017-06-05T22:57:14 --delay 1 --endMP 204:156 --enddatetime 2017-06-05T23:37:59 --enforcementcount 0 &gt;&gt;C:\Users\stu\Documents\GitHub\eaglep3-reporting\EC\2017-06-05-refined-times.txt</v>
      </c>
      <c r="AI147" s="99" t="str">
        <f t="shared" si="58"/>
        <v>echo {"issue":{"subject":"","project_id":79,"tracker_id":40,"status_id":1,"priority_id":2,"assigned_to_id":23,"start_date":"2017-06-05","description":"","custom_fields":[{"id":1,"name":"Subdivision","value":"EC"},{"id":4,"name":"Milepost","value":"0.0156"},{"id":17,"name":"Train ID","value":"234-05"},{"id":16,"name":"Locomotive ID","value":"4015"},{"id":130,"name":"Impact","value":""},{"id":150,"name":"Time of Event (Mountain Time)","value":"23:37:59"},{"id":151,"name":"Denver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5" t="str">
        <f t="shared" si="59"/>
        <v>start /low /b %USERPROFILE%\Documents\GitHub\eaglep3\Utilities\DownloadLogsFromS3.py --loco 4015 --day 2017-06-05</v>
      </c>
      <c r="AN147" s="154" t="str">
        <f t="shared" si="60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05:37:59"},{"id":29,"name":"Sharepoint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813</v>
      </c>
      <c r="B148" s="7">
        <v>4042</v>
      </c>
      <c r="C148" s="21" t="s">
        <v>204</v>
      </c>
      <c r="D148" s="21" t="s">
        <v>358</v>
      </c>
      <c r="E148" s="13">
        <v>42891.925416666665</v>
      </c>
      <c r="F148" s="13">
        <v>42891.9377662037</v>
      </c>
      <c r="G148" s="7">
        <v>1</v>
      </c>
      <c r="H148" s="21" t="s">
        <v>892</v>
      </c>
      <c r="I148" s="13">
        <v>42891.963043981479</v>
      </c>
      <c r="J148" s="7">
        <v>0</v>
      </c>
      <c r="K148" s="92" t="str">
        <f t="shared" si="61"/>
        <v>4041/4042</v>
      </c>
      <c r="L148" s="21" t="str">
        <f>VLOOKUP(A148,'Trips&amp;Operators'!$C$1:$G$99999,5,FALSE)</f>
        <v>GUZMAN DANNY</v>
      </c>
      <c r="M148" s="6">
        <f t="shared" si="62"/>
        <v>2.527777777868323E-2</v>
      </c>
      <c r="N148" s="7">
        <f t="shared" si="74"/>
        <v>36.400000001303852</v>
      </c>
      <c r="O148" s="7"/>
      <c r="P148" s="7"/>
      <c r="Q148" s="22"/>
      <c r="R148" s="173"/>
      <c r="S148" s="176">
        <f t="shared" si="72"/>
        <v>1</v>
      </c>
      <c r="T148" s="202" t="str">
        <f t="shared" si="63"/>
        <v>NorthBound</v>
      </c>
      <c r="U148" s="202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03" t="str">
        <f t="shared" si="64"/>
        <v>https://d0f6bd738d7f1b3e5a7ca70fe4ff75f0.us-east-1.aws.found.io/app/kibana#/discover/Steve-Slow-Train-Analysis-(2080s-and-2083s)?_g=(refreshInterval:(display:Off,pause:!f,section:0,value:0),time:(from:'2017-06-05T21:12:36-0600',mode:absolute,to:'2017-06-06T00:06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8" s="204" t="str">
        <f t="shared" si="65"/>
        <v>N</v>
      </c>
      <c r="X148" s="204">
        <f t="shared" si="56"/>
        <v>1</v>
      </c>
      <c r="Y148" s="204">
        <f t="shared" si="66"/>
        <v>4.6399999999999997E-2</v>
      </c>
      <c r="Z148" s="204">
        <f t="shared" si="73"/>
        <v>23.334099999999999</v>
      </c>
      <c r="AA148" s="204">
        <f t="shared" si="67"/>
        <v>23.287700000000001</v>
      </c>
      <c r="AB148" s="57" t="e">
        <f>VLOOKUP(A148,Enforcements!$C$7:$K$13,8,0)</f>
        <v>#N/A</v>
      </c>
      <c r="AC148" s="53" t="e">
        <f>VLOOKUP(A148,Enforcements!$C$7:$E$13,3,0)</f>
        <v>#N/A</v>
      </c>
      <c r="AD148" s="54" t="str">
        <f t="shared" si="68"/>
        <v>0235-05</v>
      </c>
      <c r="AE148" s="80" t="str">
        <f t="shared" si="69"/>
        <v>aws s3 cp s3://rtdc.mdm.uploadarchive.raw/RTDC4042/ "%USERPROFILE%\AppData\Local\Temp\OnboardLogs"\RTDC4042\2017-06-05 --exclude "*" --recursive --include "*20170605*" &amp; "%USERPROFILE%\Documents\GitHub\mrs-test-scripts\Headless Mode &amp; Sideloading\WalkAndUnGZ.bat" "%USERPROFILE%\AppData\Local\Temp\OnboardLogs"\RTDC4042\2017-06-05 &amp; aws s3 cp s3://rtdc.mdm.uploadarchive.raw/RTDC4042/ "%USERPROFILE%\AppData\Local\Temp\OnboardLogs"\RTDC4042\2017-06-06 --exclude "*" --recursive --include "*20170606*" &amp; "%USERPROFILE%\Documents\GitHub\mrs-test-scripts\Headless Mode &amp; Sideloading\WalkAndUnGZ.bat" "%USERPROFILE%\AppData\Local\Temp\OnboardLogs"\RTDC4042\2017-06-06</v>
      </c>
      <c r="AF148" s="77" t="str">
        <f t="shared" si="70"/>
        <v>"C:\Program Files (x86)\AstroGrep\AstroGrep.exe" /e /r /s /spath="%USERPROFILE%\AppData\Local\Temp\OnboardLogs" /stypes="app*4042*20170606*" /stext=" 05:.+((SYSTEM_STATE.+slice.+state.+changed )|(ment ac)|(multiple cpu faults)|(system.+state.+changed )|(\[timeout)|(PRM\|1\|D)|(kpr)|(kdp)|(train st.+moving)|(\|lc)|(penalty))"</v>
      </c>
      <c r="AG148" s="1" t="str">
        <f t="shared" si="71"/>
        <v>EC</v>
      </c>
      <c r="AH148" s="81" t="str">
        <f t="shared" si="57"/>
        <v>"%USERPROFILE%\Documents\GitHub\eaglep3\Utilities\RefineRTDCRunTimes.py" --tripid 235-05 --locoid 4042 --swversion DE.1.0.9.0 --startMP 204:464 --initTime 2017-06-05T22:12:36 --startdatetime 2017-06-05T22:30:23 --delay 1 --endMP 204:233341 --enddatetime 2017-06-05T23:06:47 --enforcementcount 0 &gt;&gt;C:\Users\stu\Documents\GitHub\eaglep3-reporting\EC\2017-06-05-refined-times.txt</v>
      </c>
      <c r="AI148" s="99" t="str">
        <f t="shared" si="58"/>
        <v>echo {"issue":{"subject":"","project_id":79,"tracker_id":40,"status_id":1,"priority_id":2,"assigned_to_id":23,"start_date":"2017-06-05","description":"","custom_fields":[{"id":1,"name":"Subdivision","value":"EC"},{"id":4,"name":"Milepost","value":"23.3341"},{"id":17,"name":"Train ID","value":"235-05"},{"id":16,"name":"Locomotive ID","value":"4042"},{"id":130,"name":"Impact","value":""},{"id":150,"name":"Time of Event (Mountain Time)","value":"23:06:47"},{"id":151,"name":"Denver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5" t="str">
        <f t="shared" si="59"/>
        <v>start /low /b %USERPROFILE%\Documents\GitHub\eaglep3\Utilities\DownloadLogsFromS3.py --loco 4042 --day 2017-06-05</v>
      </c>
      <c r="AN148" s="154" t="str">
        <f t="shared" si="60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05:06:47"},{"id":29,"name":"Sharepoint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817</v>
      </c>
      <c r="B149" s="7">
        <v>4041</v>
      </c>
      <c r="C149" s="21" t="s">
        <v>204</v>
      </c>
      <c r="D149" s="21" t="s">
        <v>893</v>
      </c>
      <c r="E149" s="13">
        <v>42891.969201388885</v>
      </c>
      <c r="F149" s="13">
        <v>42891.977256944447</v>
      </c>
      <c r="G149" s="7">
        <v>1</v>
      </c>
      <c r="H149" s="21" t="s">
        <v>195</v>
      </c>
      <c r="I149" s="13">
        <v>42892.004560185182</v>
      </c>
      <c r="J149" s="7">
        <v>0</v>
      </c>
      <c r="K149" s="92" t="str">
        <f t="shared" si="61"/>
        <v>4041/4042</v>
      </c>
      <c r="L149" s="21" t="str">
        <f>VLOOKUP(A149,'Trips&amp;Operators'!$C$1:$G$99999,5,FALSE)</f>
        <v>GUZMAN DANNY</v>
      </c>
      <c r="M149" s="6">
        <f t="shared" si="62"/>
        <v>2.7303240734909195E-2</v>
      </c>
      <c r="N149" s="7">
        <f t="shared" si="74"/>
        <v>39.316666658269241</v>
      </c>
      <c r="O149" s="7"/>
      <c r="P149" s="7"/>
      <c r="Q149" s="22"/>
      <c r="R149" s="173"/>
      <c r="S149" s="176">
        <f t="shared" si="72"/>
        <v>1</v>
      </c>
      <c r="T149" s="202" t="str">
        <f t="shared" si="63"/>
        <v>Southbound</v>
      </c>
      <c r="U149" s="202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03" t="str">
        <f t="shared" si="64"/>
        <v>https://d0f6bd738d7f1b3e5a7ca70fe4ff75f0.us-east-1.aws.found.io/app/kibana#/discover/Steve-Slow-Train-Analysis-(2080s-and-2083s)?_g=(refreshInterval:(display:Off,pause:!f,section:0,value:0),time:(from:'2017-06-05T22:15:39-0600',mode:absolute,to:'2017-06-06T01:06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9" s="204" t="str">
        <f t="shared" si="65"/>
        <v>N</v>
      </c>
      <c r="X149" s="204">
        <f t="shared" si="56"/>
        <v>1</v>
      </c>
      <c r="Y149" s="204">
        <f t="shared" si="66"/>
        <v>23.303999999999998</v>
      </c>
      <c r="Z149" s="204">
        <f t="shared" si="73"/>
        <v>1.52E-2</v>
      </c>
      <c r="AA149" s="204">
        <f t="shared" si="67"/>
        <v>23.288799999999998</v>
      </c>
      <c r="AB149" s="57" t="e">
        <f>VLOOKUP(A149,Enforcements!$C$7:$K$13,8,0)</f>
        <v>#N/A</v>
      </c>
      <c r="AC149" s="53" t="e">
        <f>VLOOKUP(A149,Enforcements!$C$7:$E$13,3,0)</f>
        <v>#N/A</v>
      </c>
      <c r="AD149" s="54" t="str">
        <f t="shared" si="68"/>
        <v>0236-05</v>
      </c>
      <c r="AE149" s="80" t="str">
        <f t="shared" si="69"/>
        <v>aws s3 cp s3://rtdc.mdm.uploadarchive.raw/RTDC4041/ "%USERPROFILE%\AppData\Local\Temp\OnboardLogs"\RTDC4041\2017-06-05 --exclude "*" --recursive --include "*20170605*" &amp; "%USERPROFILE%\Documents\GitHub\mrs-test-scripts\Headless Mode &amp; Sideloading\WalkAndUnGZ.bat" "%USERPROFILE%\AppData\Local\Temp\OnboardLogs"\RTDC4041\2017-06-05 &amp; aws s3 cp s3://rtdc.mdm.uploadarchive.raw/RTDC4041/ "%USERPROFILE%\AppData\Local\Temp\OnboardLogs"\RTDC4041\2017-06-06 --exclude "*" --recursive --include "*20170606*" &amp; "%USERPROFILE%\Documents\GitHub\mrs-test-scripts\Headless Mode &amp; Sideloading\WalkAndUnGZ.bat" "%USERPROFILE%\AppData\Local\Temp\OnboardLogs"\RTDC4041\2017-06-06</v>
      </c>
      <c r="AF149" s="77" t="str">
        <f t="shared" si="70"/>
        <v>"C:\Program Files (x86)\AstroGrep\AstroGrep.exe" /e /r /s /spath="%USERPROFILE%\AppData\Local\Temp\OnboardLogs" /stypes="app*4041*20170606*" /stext=" 06:.+((SYSTEM_STATE.+slice.+state.+changed )|(ment ac)|(multiple cpu faults)|(system.+state.+changed )|(\[timeout)|(PRM\|1\|D)|(kpr)|(kdp)|(train st.+moving)|(\|lc)|(penalty))"</v>
      </c>
      <c r="AG149" s="1" t="str">
        <f t="shared" si="71"/>
        <v>EC</v>
      </c>
      <c r="AH149" s="81" t="str">
        <f t="shared" si="57"/>
        <v>"%USERPROFILE%\Documents\GitHub\eaglep3\Utilities\RefineRTDCRunTimes.py" --tripid 236-05 --locoid 4041 --swversion DE.1.0.9.0 --startMP 204:233040 --initTime 2017-06-05T23:15:39 --startdatetime 2017-06-05T23:27:15 --delay 1 --endMP 204:152 --enddatetime 2017-06-06T00:06:34 --enforcementcount 0 &gt;&gt;C:\Users\stu\Documents\GitHub\eaglep3-reporting\EC\2017-06-05-refined-times.txt</v>
      </c>
      <c r="AI149" s="99" t="str">
        <f t="shared" si="58"/>
        <v>echo {"issue":{"subject":"","project_id":79,"tracker_id":40,"status_id":1,"priority_id":2,"assigned_to_id":23,"start_date":"2017-06-06","description":"","custom_fields":[{"id":1,"name":"Subdivision","value":"EC"},{"id":4,"name":"Milepost","value":"0.0152"},{"id":17,"name":"Train ID","value":"236-05"},{"id":16,"name":"Locomotive ID","value":"4041"},{"id":130,"name":"Impact","value":""},{"id":150,"name":"Time of Event (Mountain Time)","value":"00:06:34"},{"id":151,"name":"Denver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5" t="str">
        <f t="shared" si="59"/>
        <v>start /low /b %USERPROFILE%\Documents\GitHub\eaglep3\Utilities\DownloadLogsFromS3.py --loco 4041 --day 2017-06-05</v>
      </c>
      <c r="AN149" s="154" t="str">
        <f t="shared" si="60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06:06:34"},{"id":29,"name":"Sharepoint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816</v>
      </c>
      <c r="B150" s="7">
        <v>4014</v>
      </c>
      <c r="C150" s="21" t="s">
        <v>204</v>
      </c>
      <c r="D150" s="21" t="s">
        <v>201</v>
      </c>
      <c r="E150" s="13">
        <v>42891.95175925926</v>
      </c>
      <c r="F150" s="13">
        <v>42891.958518518521</v>
      </c>
      <c r="G150" s="7">
        <v>1</v>
      </c>
      <c r="H150" s="21" t="s">
        <v>894</v>
      </c>
      <c r="I150" s="13">
        <v>42891.983807870369</v>
      </c>
      <c r="J150" s="7">
        <v>0</v>
      </c>
      <c r="K150" s="92" t="str">
        <f t="shared" si="61"/>
        <v>4013/4014</v>
      </c>
      <c r="L150" s="21" t="str">
        <f>VLOOKUP(A150,'Trips&amp;Operators'!$C$1:$G$99999,5,FALSE)</f>
        <v>PERKINS DARREN</v>
      </c>
      <c r="M150" s="6">
        <f t="shared" si="62"/>
        <v>2.5289351848186925E-2</v>
      </c>
      <c r="N150" s="7">
        <f t="shared" si="74"/>
        <v>36.416666661389172</v>
      </c>
      <c r="O150" s="7"/>
      <c r="P150" s="7"/>
      <c r="Q150" s="22"/>
      <c r="R150" s="173"/>
      <c r="S150" s="176">
        <f t="shared" si="72"/>
        <v>1</v>
      </c>
      <c r="T150" s="202" t="str">
        <f t="shared" si="63"/>
        <v>NorthBound</v>
      </c>
      <c r="U150" s="202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03" t="str">
        <f t="shared" si="64"/>
        <v>https://d0f6bd738d7f1b3e5a7ca70fe4ff75f0.us-east-1.aws.found.io/app/kibana#/discover/Steve-Slow-Train-Analysis-(2080s-and-2083s)?_g=(refreshInterval:(display:Off,pause:!f,section:0,value:0),time:(from:'2017-06-05T21:50:32-0600',mode:absolute,to:'2017-06-06T00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0" s="204" t="str">
        <f t="shared" si="65"/>
        <v>N</v>
      </c>
      <c r="X150" s="204">
        <f t="shared" si="56"/>
        <v>1</v>
      </c>
      <c r="Y150" s="204">
        <f t="shared" si="66"/>
        <v>4.5999999999999999E-2</v>
      </c>
      <c r="Z150" s="204">
        <f t="shared" si="73"/>
        <v>23.331900000000001</v>
      </c>
      <c r="AA150" s="204">
        <f t="shared" si="67"/>
        <v>23.285900000000002</v>
      </c>
      <c r="AB150" s="57" t="e">
        <f>VLOOKUP(A150,Enforcements!$C$7:$K$13,8,0)</f>
        <v>#N/A</v>
      </c>
      <c r="AC150" s="53" t="e">
        <f>VLOOKUP(A150,Enforcements!$C$7:$E$13,3,0)</f>
        <v>#N/A</v>
      </c>
      <c r="AD150" s="54" t="str">
        <f t="shared" si="68"/>
        <v>0237-05</v>
      </c>
      <c r="AE150" s="80" t="str">
        <f t="shared" si="69"/>
        <v>aws s3 cp s3://rtdc.mdm.uploadarchive.raw/RTDC4014/ "%USERPROFILE%\AppData\Local\Temp\OnboardLogs"\RTDC4014\2017-06-05 --exclude "*" --recursive --include "*20170605*" &amp; "%USERPROFILE%\Documents\GitHub\mrs-test-scripts\Headless Mode &amp; Sideloading\WalkAndUnGZ.bat" "%USERPROFILE%\AppData\Local\Temp\OnboardLogs"\RTDC4014\2017-06-05 &amp; aws s3 cp s3://rtdc.mdm.uploadarchive.raw/RTDC4014/ "%USERPROFILE%\AppData\Local\Temp\OnboardLogs"\RTDC4014\2017-06-06 --exclude "*" --recursive --include "*20170606*" &amp; "%USERPROFILE%\Documents\GitHub\mrs-test-scripts\Headless Mode &amp; Sideloading\WalkAndUnGZ.bat" "%USERPROFILE%\AppData\Local\Temp\OnboardLogs"\RTDC4014\2017-06-06</v>
      </c>
      <c r="AF150" s="77" t="str">
        <f t="shared" si="70"/>
        <v>"C:\Program Files (x86)\AstroGrep\AstroGrep.exe" /e /r /s /spath="%USERPROFILE%\AppData\Local\Temp\OnboardLogs" /stypes="app*4014*20170606*" /stext=" 05:.+((SYSTEM_STATE.+slice.+state.+changed )|(ment ac)|(multiple cpu faults)|(system.+state.+changed )|(\[timeout)|(PRM\|1\|D)|(kpr)|(kdp)|(train st.+moving)|(\|lc)|(penalty))"</v>
      </c>
      <c r="AG150" s="1" t="str">
        <f t="shared" si="71"/>
        <v>EC</v>
      </c>
      <c r="AH150" s="81" t="str">
        <f t="shared" si="57"/>
        <v>"%USERPROFILE%\Documents\GitHub\eaglep3\Utilities\RefineRTDCRunTimes.py" --tripid 237-05 --locoid 4014 --swversion DE.1.0.9.0 --startMP 204:460 --initTime 2017-06-05T22:50:32 --startdatetime 2017-06-05T23:00:16 --delay 1 --endMP 204:233319 --enddatetime 2017-06-05T23:36:41 --enforcementcount 0 &gt;&gt;C:\Users\stu\Documents\GitHub\eaglep3-reporting\EC\2017-06-05-refined-times.txt</v>
      </c>
      <c r="AI150" s="99" t="str">
        <f t="shared" si="58"/>
        <v>echo {"issue":{"subject":"","project_id":79,"tracker_id":40,"status_id":1,"priority_id":2,"assigned_to_id":23,"start_date":"2017-06-05","description":"","custom_fields":[{"id":1,"name":"Subdivision","value":"EC"},{"id":4,"name":"Milepost","value":"23.3319"},{"id":17,"name":"Train ID","value":"237-05"},{"id":16,"name":"Locomotive ID","value":"4014"},{"id":130,"name":"Impact","value":""},{"id":150,"name":"Time of Event (Mountain Time)","value":"23:36:41"},{"id":151,"name":"Denver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5" t="str">
        <f t="shared" si="59"/>
        <v>start /low /b %USERPROFILE%\Documents\GitHub\eaglep3\Utilities\DownloadLogsFromS3.py --loco 4014 --day 2017-06-05</v>
      </c>
      <c r="AN150" s="154" t="str">
        <f t="shared" si="60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05:36:41"},{"id":29,"name":"Sharepoint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818</v>
      </c>
      <c r="B151" s="7">
        <v>4013</v>
      </c>
      <c r="C151" s="21" t="s">
        <v>204</v>
      </c>
      <c r="D151" s="21" t="s">
        <v>562</v>
      </c>
      <c r="E151" s="13">
        <v>42891.994039351855</v>
      </c>
      <c r="F151" s="13">
        <v>42891.998206018521</v>
      </c>
      <c r="G151" s="7">
        <v>1</v>
      </c>
      <c r="H151" s="21" t="s">
        <v>354</v>
      </c>
      <c r="I151" s="13">
        <v>42892.025150462963</v>
      </c>
      <c r="J151" s="7">
        <v>0</v>
      </c>
      <c r="K151" s="92" t="str">
        <f t="shared" si="61"/>
        <v>4013/4014</v>
      </c>
      <c r="L151" s="21" t="str">
        <f>VLOOKUP(A151,'Trips&amp;Operators'!$C$1:$G$99999,5,FALSE)</f>
        <v>PERKINS DARREN</v>
      </c>
      <c r="M151" s="6">
        <f t="shared" si="62"/>
        <v>2.6944444442051463E-2</v>
      </c>
      <c r="N151" s="7">
        <f t="shared" si="74"/>
        <v>38.799999996554106</v>
      </c>
      <c r="O151" s="7"/>
      <c r="P151" s="7"/>
      <c r="Q151" s="22"/>
      <c r="R151" s="173"/>
      <c r="S151" s="176">
        <f t="shared" si="72"/>
        <v>1</v>
      </c>
      <c r="T151" s="202" t="str">
        <f t="shared" si="63"/>
        <v>Southbound</v>
      </c>
      <c r="U151" s="202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03" t="str">
        <f t="shared" si="64"/>
        <v>https://d0f6bd738d7f1b3e5a7ca70fe4ff75f0.us-east-1.aws.found.io/app/kibana#/discover/Steve-Slow-Train-Analysis-(2080s-and-2083s)?_g=(refreshInterval:(display:Off,pause:!f,section:0,value:0),time:(from:'2017-06-05T22:51:25-0600',mode:absolute,to:'2017-06-06T01:36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1" s="204" t="str">
        <f t="shared" si="65"/>
        <v>N</v>
      </c>
      <c r="X151" s="204">
        <f t="shared" si="56"/>
        <v>1</v>
      </c>
      <c r="Y151" s="204">
        <f t="shared" si="66"/>
        <v>23.3017</v>
      </c>
      <c r="Z151" s="204">
        <f t="shared" si="73"/>
        <v>1.43E-2</v>
      </c>
      <c r="AA151" s="204">
        <f t="shared" si="67"/>
        <v>23.287400000000002</v>
      </c>
      <c r="AB151" s="57" t="e">
        <f>VLOOKUP(A151,Enforcements!$C$7:$K$13,8,0)</f>
        <v>#N/A</v>
      </c>
      <c r="AC151" s="53" t="e">
        <f>VLOOKUP(A151,Enforcements!$C$7:$E$13,3,0)</f>
        <v>#N/A</v>
      </c>
      <c r="AD151" s="54" t="str">
        <f t="shared" si="68"/>
        <v>0238-05</v>
      </c>
      <c r="AE151" s="80" t="str">
        <f t="shared" si="69"/>
        <v>aws s3 cp s3://rtdc.mdm.uploadarchive.raw/RTDC4013/ "%USERPROFILE%\AppData\Local\Temp\OnboardLogs"\RTDC4013\2017-06-05 --exclude "*" --recursive --include "*20170605*" &amp; "%USERPROFILE%\Documents\GitHub\mrs-test-scripts\Headless Mode &amp; Sideloading\WalkAndUnGZ.bat" "%USERPROFILE%\AppData\Local\Temp\OnboardLogs"\RTDC4013\2017-06-05 &amp; aws s3 cp s3://rtdc.mdm.uploadarchive.raw/RTDC4013/ "%USERPROFILE%\AppData\Local\Temp\OnboardLogs"\RTDC4013\2017-06-06 --exclude "*" --recursive --include "*20170606*" &amp; "%USERPROFILE%\Documents\GitHub\mrs-test-scripts\Headless Mode &amp; Sideloading\WalkAndUnGZ.bat" "%USERPROFILE%\AppData\Local\Temp\OnboardLogs"\RTDC4013\2017-06-06</v>
      </c>
      <c r="AF151" s="77" t="str">
        <f t="shared" si="70"/>
        <v>"C:\Program Files (x86)\AstroGrep\AstroGrep.exe" /e /r /s /spath="%USERPROFILE%\AppData\Local\Temp\OnboardLogs" /stypes="app*4013*20170606*" /stext=" 06:.+((SYSTEM_STATE.+slice.+state.+changed )|(ment ac)|(multiple cpu faults)|(system.+state.+changed )|(\[timeout)|(PRM\|1\|D)|(kpr)|(kdp)|(train st.+moving)|(\|lc)|(penalty))"</v>
      </c>
      <c r="AG151" s="1" t="str">
        <f t="shared" si="71"/>
        <v>EC</v>
      </c>
      <c r="AH151" s="81" t="str">
        <f t="shared" si="57"/>
        <v>"%USERPROFILE%\Documents\GitHub\eaglep3\Utilities\RefineRTDCRunTimes.py" --tripid 238-05 --locoid 4013 --swversion DE.1.0.9.0 --startMP 204:233017 --initTime 2017-06-05T23:51:25 --startdatetime 2017-06-05T23:57:25 --delay 1 --endMP 204:143 --enddatetime 2017-06-06T00:36:13 --enforcementcount 0 &gt;&gt;C:\Users\stu\Documents\GitHub\eaglep3-reporting\EC\2017-06-05-refined-times.txt</v>
      </c>
      <c r="AI151" s="99" t="str">
        <f t="shared" si="58"/>
        <v>echo {"issue":{"subject":"","project_id":79,"tracker_id":40,"status_id":1,"priority_id":2,"assigned_to_id":23,"start_date":"2017-06-06","description":"","custom_fields":[{"id":1,"name":"Subdivision","value":"EC"},{"id":4,"name":"Milepost","value":"0.0143"},{"id":17,"name":"Train ID","value":"238-05"},{"id":16,"name":"Locomotive ID","value":"4013"},{"id":130,"name":"Impact","value":""},{"id":150,"name":"Time of Event (Mountain Time)","value":"00:36:13"},{"id":151,"name":"Denver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5" t="str">
        <f t="shared" si="59"/>
        <v>start /low /b %USERPROFILE%\Documents\GitHub\eaglep3\Utilities\DownloadLogsFromS3.py --loco 4013 --day 2017-06-05</v>
      </c>
      <c r="AN151" s="154" t="str">
        <f t="shared" si="60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06:36:13"},{"id":29,"name":"Sharepoint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628</v>
      </c>
      <c r="B152" s="7">
        <v>4062</v>
      </c>
      <c r="C152" s="21" t="s">
        <v>204</v>
      </c>
      <c r="D152" s="21" t="s">
        <v>496</v>
      </c>
      <c r="E152" s="13">
        <v>42891.970150462963</v>
      </c>
      <c r="F152" s="13">
        <v>42891.979641203703</v>
      </c>
      <c r="G152" s="7">
        <v>1</v>
      </c>
      <c r="H152" s="21" t="s">
        <v>895</v>
      </c>
      <c r="I152" s="13">
        <v>42892.004374999997</v>
      </c>
      <c r="J152" s="7">
        <v>0</v>
      </c>
      <c r="K152" s="92" t="str">
        <f t="shared" si="61"/>
        <v>4061/4062</v>
      </c>
      <c r="L152" s="21" t="str">
        <f>VLOOKUP(A152,'Trips&amp;Operators'!$C$1:$G$99999,5,FALSE)</f>
        <v>SMITH MICHAEL</v>
      </c>
      <c r="M152" s="6">
        <f t="shared" si="62"/>
        <v>2.4733796293730848E-2</v>
      </c>
      <c r="N152" s="7">
        <f t="shared" si="74"/>
        <v>35.61666666297242</v>
      </c>
      <c r="O152" s="7"/>
      <c r="P152" s="7"/>
      <c r="Q152" s="22"/>
      <c r="R152" s="173"/>
      <c r="S152" s="176">
        <f t="shared" si="72"/>
        <v>1</v>
      </c>
      <c r="T152" s="202" t="str">
        <f t="shared" si="63"/>
        <v>NorthBound</v>
      </c>
      <c r="U152" s="202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03" t="str">
        <f t="shared" si="64"/>
        <v>https://d0f6bd738d7f1b3e5a7ca70fe4ff75f0.us-east-1.aws.found.io/app/kibana#/discover/Steve-Slow-Train-Analysis-(2080s-and-2083s)?_g=(refreshInterval:(display:Off,pause:!f,section:0,value:0),time:(from:'2017-06-05T22:17:01-0600',mode:absolute,to:'2017-06-06T01:06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52" s="204" t="str">
        <f t="shared" si="65"/>
        <v>N</v>
      </c>
      <c r="X152" s="204">
        <f t="shared" si="56"/>
        <v>1</v>
      </c>
      <c r="Y152" s="204">
        <f t="shared" si="66"/>
        <v>4.8000000000000001E-2</v>
      </c>
      <c r="Z152" s="204">
        <f t="shared" si="73"/>
        <v>23.345099999999999</v>
      </c>
      <c r="AA152" s="204">
        <f t="shared" si="67"/>
        <v>23.2971</v>
      </c>
      <c r="AB152" s="57" t="e">
        <f>VLOOKUP(A152,Enforcements!$C$7:$K$13,8,0)</f>
        <v>#N/A</v>
      </c>
      <c r="AC152" s="53" t="e">
        <f>VLOOKUP(A152,Enforcements!$C$7:$E$13,3,0)</f>
        <v>#N/A</v>
      </c>
      <c r="AD152" s="54" t="str">
        <f t="shared" si="68"/>
        <v>0239-05</v>
      </c>
      <c r="AE152" s="80" t="str">
        <f t="shared" si="69"/>
        <v>aws s3 cp s3://rtdc.mdm.uploadarchive.raw/RTDC4062/ "%USERPROFILE%\AppData\Local\Temp\OnboardLogs"\RTDC4062\2017-06-05 --exclude "*" --recursive --include "*20170605*" &amp; "%USERPROFILE%\Documents\GitHub\mrs-test-scripts\Headless Mode &amp; Sideloading\WalkAndUnGZ.bat" "%USERPROFILE%\AppData\Local\Temp\OnboardLogs"\RTDC4062\2017-06-05 &amp; aws s3 cp s3://rtdc.mdm.uploadarchive.raw/RTDC4062/ "%USERPROFILE%\AppData\Local\Temp\OnboardLogs"\RTDC4062\2017-06-06 --exclude "*" --recursive --include "*20170606*" &amp; "%USERPROFILE%\Documents\GitHub\mrs-test-scripts\Headless Mode &amp; Sideloading\WalkAndUnGZ.bat" "%USERPROFILE%\AppData\Local\Temp\OnboardLogs"\RTDC4062\2017-06-06</v>
      </c>
      <c r="AF152" s="77" t="str">
        <f t="shared" si="70"/>
        <v>"C:\Program Files (x86)\AstroGrep\AstroGrep.exe" /e /r /s /spath="%USERPROFILE%\AppData\Local\Temp\OnboardLogs" /stypes="app*4062*20170606*" /stext=" 06:.+((SYSTEM_STATE.+slice.+state.+changed )|(ment ac)|(multiple cpu faults)|(system.+state.+changed )|(\[timeout)|(PRM\|1\|D)|(kpr)|(kdp)|(train st.+moving)|(\|lc)|(penalty))"</v>
      </c>
      <c r="AG152" s="1" t="str">
        <f t="shared" si="71"/>
        <v>EC</v>
      </c>
      <c r="AH152" s="81" t="str">
        <f t="shared" si="57"/>
        <v>"%USERPROFILE%\Documents\GitHub\eaglep3\Utilities\RefineRTDCRunTimes.py" --tripid 239-05 --locoid 4062 --swversion DE.1.0.9.0 --startMP 204:480 --initTime 2017-06-05T23:17:01 --startdatetime 2017-06-05T23:30:41 --delay 1 --endMP 204:233451 --enddatetime 2017-06-06T00:06:18 --enforcementcount 0 &gt;&gt;C:\Users\stu\Documents\GitHub\eaglep3-reporting\EC\2017-06-05-refined-times.txt</v>
      </c>
      <c r="AI152" s="99" t="str">
        <f t="shared" si="58"/>
        <v>echo {"issue":{"subject":"","project_id":79,"tracker_id":40,"status_id":1,"priority_id":2,"assigned_to_id":23,"start_date":"2017-06-06","description":"","custom_fields":[{"id":1,"name":"Subdivision","value":"EC"},{"id":4,"name":"Milepost","value":"23.3451"},{"id":17,"name":"Train ID","value":"239-05"},{"id":16,"name":"Locomotive ID","value":"4062"},{"id":130,"name":"Impact","value":""},{"id":150,"name":"Time of Event (Mountain Time)","value":"00:06:18"},{"id":151,"name":"Denver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5" t="str">
        <f t="shared" si="59"/>
        <v>start /low /b %USERPROFILE%\Documents\GitHub\eaglep3\Utilities\DownloadLogsFromS3.py --loco 4062 --day 2017-06-05</v>
      </c>
      <c r="AN152" s="154" t="str">
        <f t="shared" si="60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06:06:18"},{"id":29,"name":"Sharepoint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819</v>
      </c>
      <c r="B153" s="7">
        <v>4061</v>
      </c>
      <c r="C153" s="21" t="s">
        <v>204</v>
      </c>
      <c r="D153" s="21" t="s">
        <v>896</v>
      </c>
      <c r="E153" s="13">
        <v>42892.007048611114</v>
      </c>
      <c r="F153" s="13">
        <v>42892.01902777778</v>
      </c>
      <c r="G153" s="7">
        <v>1</v>
      </c>
      <c r="H153" s="21" t="s">
        <v>401</v>
      </c>
      <c r="I153" s="13">
        <v>42892.045243055552</v>
      </c>
      <c r="J153" s="7">
        <v>0</v>
      </c>
      <c r="K153" s="92" t="str">
        <f t="shared" si="61"/>
        <v>4061/4062</v>
      </c>
      <c r="L153" s="21" t="str">
        <f>VLOOKUP(A153,'Trips&amp;Operators'!$C$1:$G$99999,5,FALSE)</f>
        <v>SMITH MICHAEL</v>
      </c>
      <c r="M153" s="6">
        <f t="shared" si="62"/>
        <v>2.6215277772280388E-2</v>
      </c>
      <c r="N153" s="7">
        <f t="shared" si="74"/>
        <v>37.749999992083758</v>
      </c>
      <c r="O153" s="7"/>
      <c r="P153" s="7"/>
      <c r="Q153" s="22"/>
      <c r="R153" s="173"/>
      <c r="S153" s="176">
        <f t="shared" si="72"/>
        <v>1</v>
      </c>
      <c r="T153" s="202" t="str">
        <f t="shared" si="63"/>
        <v>Southbound</v>
      </c>
      <c r="U153" s="202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03" t="str">
        <f t="shared" si="64"/>
        <v>https://d0f6bd738d7f1b3e5a7ca70fe4ff75f0.us-east-1.aws.found.io/app/kibana#/discover/Steve-Slow-Train-Analysis-(2080s-and-2083s)?_g=(refreshInterval:(display:Off,pause:!f,section:0,value:0),time:(from:'2017-06-05T23:10:09-0600',mode:absolute,to:'2017-06-06T02:05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53" s="204" t="str">
        <f t="shared" si="65"/>
        <v>N</v>
      </c>
      <c r="X153" s="204">
        <f t="shared" si="56"/>
        <v>1</v>
      </c>
      <c r="Y153" s="204">
        <f t="shared" si="66"/>
        <v>23.3124</v>
      </c>
      <c r="Z153" s="204">
        <f t="shared" si="73"/>
        <v>1.54E-2</v>
      </c>
      <c r="AA153" s="204">
        <f t="shared" si="67"/>
        <v>23.297000000000001</v>
      </c>
      <c r="AB153" s="57" t="e">
        <f>VLOOKUP(A153,Enforcements!$C$7:$K$13,8,0)</f>
        <v>#N/A</v>
      </c>
      <c r="AC153" s="53" t="e">
        <f>VLOOKUP(A153,Enforcements!$C$7:$E$13,3,0)</f>
        <v>#N/A</v>
      </c>
      <c r="AD153" s="54" t="str">
        <f t="shared" si="68"/>
        <v>0240-05</v>
      </c>
      <c r="AE153" s="80" t="str">
        <f t="shared" si="69"/>
        <v>aws s3 cp s3://rtdc.mdm.uploadarchive.raw/RTDC4061/ "%USERPROFILE%\AppData\Local\Temp\OnboardLogs"\RTDC4061\2017-06-06 --exclude "*" --recursive --include "*20170606*" &amp; "%USERPROFILE%\Documents\GitHub\mrs-test-scripts\Headless Mode &amp; Sideloading\WalkAndUnGZ.bat" "%USERPROFILE%\AppData\Local\Temp\OnboardLogs"\RTDC4061\2017-06-06 &amp; aws s3 cp s3://rtdc.mdm.uploadarchive.raw/RTDC4061/ "%USERPROFILE%\AppData\Local\Temp\OnboardLogs"\RTDC4061\2017-06-07 --exclude "*" --recursive --include "*20170607*" &amp; "%USERPROFILE%\Documents\GitHub\mrs-test-scripts\Headless Mode &amp; Sideloading\WalkAndUnGZ.bat" "%USERPROFILE%\AppData\Local\Temp\OnboardLogs"\RTDC4061\2017-06-07</v>
      </c>
      <c r="AF153" s="77" t="str">
        <f t="shared" si="70"/>
        <v>"C:\Program Files (x86)\AstroGrep\AstroGrep.exe" /e /r /s /spath="%USERPROFILE%\AppData\Local\Temp\OnboardLogs" /stypes="app*4061*20170606*" /stext=" 07:.+((SYSTEM_STATE.+slice.+state.+changed )|(ment ac)|(multiple cpu faults)|(system.+state.+changed )|(\[timeout)|(PRM\|1\|D)|(kpr)|(kdp)|(train st.+moving)|(\|lc)|(penalty))"</v>
      </c>
      <c r="AG153" s="1" t="str">
        <f t="shared" si="71"/>
        <v>EC</v>
      </c>
      <c r="AH153" s="81" t="str">
        <f t="shared" si="57"/>
        <v>"%USERPROFILE%\Documents\GitHub\eaglep3\Utilities\RefineRTDCRunTimes.py" --tripid 240-05 --locoid 4061 --swversion DE.1.0.9.0 --startMP 204:233124 --initTime 2017-06-06T00:10:09 --startdatetime 2017-06-06T00:27:24 --delay 1 --endMP 204:154 --enddatetime 2017-06-06T01:05:09 --enforcementcount 0 &gt;&gt;C:\Users\stu\Documents\GitHub\eaglep3-reporting\EC\2017-06-05-refined-times.txt</v>
      </c>
      <c r="AI153" s="99" t="str">
        <f t="shared" si="58"/>
        <v>echo {"issue":{"subject":"","project_id":79,"tracker_id":40,"status_id":1,"priority_id":2,"assigned_to_id":23,"start_date":"2017-06-06","description":"","custom_fields":[{"id":1,"name":"Subdivision","value":"EC"},{"id":4,"name":"Milepost","value":"0.0154"},{"id":17,"name":"Train ID","value":"240-05"},{"id":16,"name":"Locomotive ID","value":"4061"},{"id":130,"name":"Impact","value":""},{"id":150,"name":"Time of Event (Mountain Time)","value":"01:05:09"},{"id":151,"name":"Denver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5" t="str">
        <f t="shared" si="59"/>
        <v>start /low /b %USERPROFILE%\Documents\GitHub\eaglep3\Utilities\DownloadLogsFromS3.py --loco 4061 --day 2017-06-06</v>
      </c>
      <c r="AN153" s="154" t="str">
        <f t="shared" si="60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07:05:09"},{"id":29,"name":"Sharepoint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629</v>
      </c>
      <c r="B154" s="7">
        <v>4016</v>
      </c>
      <c r="C154" s="21" t="s">
        <v>204</v>
      </c>
      <c r="D154" s="21" t="s">
        <v>368</v>
      </c>
      <c r="E154" s="13">
        <v>42891.98642361111</v>
      </c>
      <c r="F154" s="13">
        <v>42892.000254629631</v>
      </c>
      <c r="G154" s="7">
        <v>1</v>
      </c>
      <c r="H154" s="21" t="s">
        <v>894</v>
      </c>
      <c r="I154" s="13">
        <v>42892.026053240741</v>
      </c>
      <c r="J154" s="7">
        <v>0</v>
      </c>
      <c r="K154" s="92" t="str">
        <f t="shared" si="61"/>
        <v>4015/4016</v>
      </c>
      <c r="L154" s="21" t="str">
        <f>VLOOKUP(A154,'Trips&amp;Operators'!$C$1:$G$99999,5,FALSE)</f>
        <v>HAITHCOX MICHAEL</v>
      </c>
      <c r="M154" s="6">
        <f t="shared" si="62"/>
        <v>2.5798611110076308E-2</v>
      </c>
      <c r="N154" s="7">
        <f t="shared" si="74"/>
        <v>37.149999998509884</v>
      </c>
      <c r="O154" s="7"/>
      <c r="P154" s="7"/>
      <c r="Q154" s="22"/>
      <c r="R154" s="173"/>
      <c r="S154" s="176">
        <f t="shared" si="72"/>
        <v>1</v>
      </c>
      <c r="T154" s="202" t="str">
        <f t="shared" si="63"/>
        <v>NorthBound</v>
      </c>
      <c r="U154" s="202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03" t="str">
        <f t="shared" si="64"/>
        <v>https://d0f6bd738d7f1b3e5a7ca70fe4ff75f0.us-east-1.aws.found.io/app/kibana#/discover/Steve-Slow-Train-Analysis-(2080s-and-2083s)?_g=(refreshInterval:(display:Off,pause:!f,section:0,value:0),time:(from:'2017-06-05T22:40:27-0600',mode:absolute,to:'2017-06-06T01:37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4" s="204" t="str">
        <f t="shared" si="65"/>
        <v>N</v>
      </c>
      <c r="X154" s="204">
        <f t="shared" si="56"/>
        <v>1</v>
      </c>
      <c r="Y154" s="204">
        <f t="shared" si="66"/>
        <v>4.5499999999999999E-2</v>
      </c>
      <c r="Z154" s="204">
        <f t="shared" si="73"/>
        <v>23.331900000000001</v>
      </c>
      <c r="AA154" s="204">
        <f t="shared" si="67"/>
        <v>23.2864</v>
      </c>
      <c r="AB154" s="57" t="str">
        <f>VLOOKUP(A154,Enforcements!$C$7:$K$13,8,0)</f>
        <v>Bulletin (2)</v>
      </c>
      <c r="AC154" s="53" t="str">
        <f>VLOOKUP(A154,Enforcements!$C$7:$E$13,3,0)</f>
        <v>GRADE CROSSING</v>
      </c>
      <c r="AD154" s="54" t="str">
        <f t="shared" si="68"/>
        <v>0241-05</v>
      </c>
      <c r="AE154" s="80" t="str">
        <f t="shared" si="69"/>
        <v>aws s3 cp s3://rtdc.mdm.uploadarchive.raw/RTDC4016/ "%USERPROFILE%\AppData\Local\Temp\OnboardLogs"\RTDC4016\2017-06-06 --exclude "*" --recursive --include "*20170606*" &amp; "%USERPROFILE%\Documents\GitHub\mrs-test-scripts\Headless Mode &amp; Sideloading\WalkAndUnGZ.bat" "%USERPROFILE%\AppData\Local\Temp\OnboardLogs"\RTDC4016\2017-06-06 &amp; aws s3 cp s3://rtdc.mdm.uploadarchive.raw/RTDC4016/ "%USERPROFILE%\AppData\Local\Temp\OnboardLogs"\RTDC4016\2017-06-07 --exclude "*" --recursive --include "*20170607*" &amp; "%USERPROFILE%\Documents\GitHub\mrs-test-scripts\Headless Mode &amp; Sideloading\WalkAndUnGZ.bat" "%USERPROFILE%\AppData\Local\Temp\OnboardLogs"\RTDC4016\2017-06-07</v>
      </c>
      <c r="AF154" s="77" t="str">
        <f t="shared" si="70"/>
        <v>"C:\Program Files (x86)\AstroGrep\AstroGrep.exe" /e /r /s /spath="%USERPROFILE%\AppData\Local\Temp\OnboardLogs" /stypes="app*4016*20170606*" /stext=" 06:.+((SYSTEM_STATE.+slice.+state.+changed )|(ment ac)|(multiple cpu faults)|(system.+state.+changed )|(\[timeout)|(PRM\|1\|D)|(kpr)|(kdp)|(train st.+moving)|(\|lc)|(penalty))"</v>
      </c>
      <c r="AG154" s="1" t="str">
        <f t="shared" si="71"/>
        <v>EC</v>
      </c>
      <c r="AH154" s="81" t="str">
        <f t="shared" si="57"/>
        <v>"%USERPROFILE%\Documents\GitHub\eaglep3\Utilities\RefineRTDCRunTimes.py" --tripid 241-05 --locoid 4016 --swversion DE.1.0.9.0 --startMP 204:455 --initTime 2017-06-05T23:40:27 --startdatetime 2017-06-06T00:00:22 --delay 1 --endMP 204:233319 --enddatetime 2017-06-06T00:37:31 --enforcementcount 0 &gt;&gt;C:\Users\stu\Documents\GitHub\eaglep3-reporting\EC\2017-06-05-refined-times.txt</v>
      </c>
      <c r="AI154" s="99" t="str">
        <f t="shared" si="58"/>
        <v>echo {"issue":{"subject":"","project_id":79,"tracker_id":40,"status_id":1,"priority_id":2,"assigned_to_id":23,"start_date":"2017-06-06","description":"","custom_fields":[{"id":1,"name":"Subdivision","value":"EC"},{"id":4,"name":"Milepost","value":"23.3319"},{"id":17,"name":"Train ID","value":"241-05"},{"id":16,"name":"Locomotive ID","value":"4016"},{"id":130,"name":"Impact","value":""},{"id":150,"name":"Time of Event (Mountain Time)","value":"00:37:31"},{"id":151,"name":"Denver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5" t="str">
        <f t="shared" si="59"/>
        <v>start /low /b %USERPROFILE%\Documents\GitHub\eaglep3\Utilities\DownloadLogsFromS3.py --loco 4016 --day 2017-06-06</v>
      </c>
      <c r="AN154" s="154" t="str">
        <f t="shared" si="60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06:37:31"},{"id":29,"name":"Sharepoint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822</v>
      </c>
      <c r="B155" s="7">
        <v>4015</v>
      </c>
      <c r="C155" s="21" t="s">
        <v>204</v>
      </c>
      <c r="D155" s="21" t="s">
        <v>480</v>
      </c>
      <c r="E155" s="13">
        <v>42892.027731481481</v>
      </c>
      <c r="F155" s="13">
        <v>42892.039837962962</v>
      </c>
      <c r="G155" s="7">
        <v>1</v>
      </c>
      <c r="H155" s="21" t="s">
        <v>196</v>
      </c>
      <c r="I155" s="13">
        <v>42892.067824074074</v>
      </c>
      <c r="J155" s="7">
        <v>0</v>
      </c>
      <c r="K155" s="92" t="str">
        <f t="shared" si="61"/>
        <v>4015/4016</v>
      </c>
      <c r="L155" s="21" t="str">
        <f>VLOOKUP(A155,'Trips&amp;Operators'!$C$1:$G$99999,5,FALSE)</f>
        <v>HAITHCOX MICHAEL</v>
      </c>
      <c r="M155" s="6">
        <f t="shared" si="62"/>
        <v>2.7986111112113576E-2</v>
      </c>
      <c r="N155" s="7">
        <f t="shared" si="74"/>
        <v>40.30000000144355</v>
      </c>
      <c r="O155" s="7"/>
      <c r="P155" s="7"/>
      <c r="Q155" s="22"/>
      <c r="R155" s="173"/>
      <c r="S155" s="176">
        <f t="shared" si="72"/>
        <v>1</v>
      </c>
      <c r="T155" s="202" t="str">
        <f t="shared" si="63"/>
        <v>Southbound</v>
      </c>
      <c r="U155" s="202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03" t="str">
        <f t="shared" si="64"/>
        <v>https://d0f6bd738d7f1b3e5a7ca70fe4ff75f0.us-east-1.aws.found.io/app/kibana#/discover/Steve-Slow-Train-Analysis-(2080s-and-2083s)?_g=(refreshInterval:(display:Off,pause:!f,section:0,value:0),time:(from:'2017-06-05T23:39:56-0600',mode:absolute,to:'2017-06-06T02:37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5" s="204" t="str">
        <f t="shared" si="65"/>
        <v>N</v>
      </c>
      <c r="X155" s="204">
        <f t="shared" si="56"/>
        <v>1</v>
      </c>
      <c r="Y155" s="204">
        <f t="shared" si="66"/>
        <v>23.3002</v>
      </c>
      <c r="Z155" s="204">
        <f t="shared" si="73"/>
        <v>1.5800000000000002E-2</v>
      </c>
      <c r="AA155" s="204">
        <f t="shared" si="67"/>
        <v>23.284400000000002</v>
      </c>
      <c r="AB155" s="57" t="e">
        <f>VLOOKUP(A155,Enforcements!$C$7:$K$13,8,0)</f>
        <v>#N/A</v>
      </c>
      <c r="AC155" s="53" t="e">
        <f>VLOOKUP(A155,Enforcements!$C$7:$E$13,3,0)</f>
        <v>#N/A</v>
      </c>
      <c r="AD155" s="54" t="str">
        <f t="shared" si="68"/>
        <v>0242-05</v>
      </c>
      <c r="AE155" s="80" t="str">
        <f t="shared" si="69"/>
        <v>aws s3 cp s3://rtdc.mdm.uploadarchive.raw/RTDC4015/ "%USERPROFILE%\AppData\Local\Temp\OnboardLogs"\RTDC4015\2017-06-06 --exclude "*" --recursive --include "*20170606*" &amp; "%USERPROFILE%\Documents\GitHub\mrs-test-scripts\Headless Mode &amp; Sideloading\WalkAndUnGZ.bat" "%USERPROFILE%\AppData\Local\Temp\OnboardLogs"\RTDC4015\2017-06-06 &amp; aws s3 cp s3://rtdc.mdm.uploadarchive.raw/RTDC4015/ "%USERPROFILE%\AppData\Local\Temp\OnboardLogs"\RTDC4015\2017-06-07 --exclude "*" --recursive --include "*20170607*" &amp; "%USERPROFILE%\Documents\GitHub\mrs-test-scripts\Headless Mode &amp; Sideloading\WalkAndUnGZ.bat" "%USERPROFILE%\AppData\Local\Temp\OnboardLogs"\RTDC4015\2017-06-07</v>
      </c>
      <c r="AF155" s="77" t="str">
        <f t="shared" si="70"/>
        <v>"C:\Program Files (x86)\AstroGrep\AstroGrep.exe" /e /r /s /spath="%USERPROFILE%\AppData\Local\Temp\OnboardLogs" /stypes="app*4015*20170606*" /stext=" 07:.+((SYSTEM_STATE.+slice.+state.+changed )|(ment ac)|(multiple cpu faults)|(system.+state.+changed )|(\[timeout)|(PRM\|1\|D)|(kpr)|(kdp)|(train st.+moving)|(\|lc)|(penalty))"</v>
      </c>
      <c r="AG155" s="1" t="str">
        <f t="shared" si="71"/>
        <v>EC</v>
      </c>
      <c r="AH155" s="81" t="str">
        <f t="shared" si="57"/>
        <v>"%USERPROFILE%\Documents\GitHub\eaglep3\Utilities\RefineRTDCRunTimes.py" --tripid 242-05 --locoid 4015 --swversion DE.1.0.9.0 --startMP 204:233002 --initTime 2017-06-06T00:39:56 --startdatetime 2017-06-06T00:57:22 --delay 1 --endMP 204:158 --enddatetime 2017-06-06T01:37:40 --enforcementcount 0 &gt;&gt;C:\Users\stu\Documents\GitHub\eaglep3-reporting\EC\2017-06-05-refined-times.txt</v>
      </c>
      <c r="AI155" s="99" t="str">
        <f t="shared" si="58"/>
        <v>echo {"issue":{"subject":"","project_id":79,"tracker_id":40,"status_id":1,"priority_id":2,"assigned_to_id":23,"start_date":"2017-06-06","description":"","custom_fields":[{"id":1,"name":"Subdivision","value":"EC"},{"id":4,"name":"Milepost","value":"0.0158"},{"id":17,"name":"Train ID","value":"242-05"},{"id":16,"name":"Locomotive ID","value":"4015"},{"id":130,"name":"Impact","value":""},{"id":150,"name":"Time of Event (Mountain Time)","value":"01:37:40"},{"id":151,"name":"Denver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5" t="str">
        <f t="shared" si="59"/>
        <v>start /low /b %USERPROFILE%\Documents\GitHub\eaglep3\Utilities\DownloadLogsFromS3.py --loco 4015 --day 2017-06-06</v>
      </c>
      <c r="AN155" s="154" t="str">
        <f t="shared" si="60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07:37:40"},{"id":29,"name":"Sharepoint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820</v>
      </c>
      <c r="B156" s="7">
        <v>4042</v>
      </c>
      <c r="C156" s="21" t="s">
        <v>204</v>
      </c>
      <c r="D156" s="21" t="s">
        <v>897</v>
      </c>
      <c r="E156" s="13">
        <v>42892.007164351853</v>
      </c>
      <c r="F156" s="13">
        <v>42892.021018518521</v>
      </c>
      <c r="G156" s="7">
        <v>1</v>
      </c>
      <c r="H156" s="21" t="s">
        <v>499</v>
      </c>
      <c r="I156" s="13">
        <v>42892.046319444446</v>
      </c>
      <c r="J156" s="7">
        <v>0</v>
      </c>
      <c r="K156" s="92" t="str">
        <f t="shared" si="61"/>
        <v>4041/4042</v>
      </c>
      <c r="L156" s="21" t="str">
        <f>VLOOKUP(A156,'Trips&amp;Operators'!$C$1:$G$99999,5,FALSE)</f>
        <v>GUZMAN DANNY</v>
      </c>
      <c r="M156" s="6">
        <f t="shared" si="62"/>
        <v>2.5300925924966577E-2</v>
      </c>
      <c r="N156" s="7">
        <f t="shared" si="74"/>
        <v>36.433333331951872</v>
      </c>
      <c r="O156" s="7"/>
      <c r="P156" s="7"/>
      <c r="Q156" s="22"/>
      <c r="R156" s="173"/>
      <c r="S156" s="176">
        <f t="shared" si="72"/>
        <v>1</v>
      </c>
      <c r="T156" s="202" t="str">
        <f t="shared" si="63"/>
        <v>NorthBound</v>
      </c>
      <c r="U156" s="202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03" t="str">
        <f t="shared" si="64"/>
        <v>https://d0f6bd738d7f1b3e5a7ca70fe4ff75f0.us-east-1.aws.found.io/app/kibana#/discover/Steve-Slow-Train-Analysis-(2080s-and-2083s)?_g=(refreshInterval:(display:Off,pause:!f,section:0,value:0),time:(from:'2017-06-05T23:10:19-0600',mode:absolute,to:'2017-06-06T02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6" s="204" t="str">
        <f t="shared" si="65"/>
        <v>N</v>
      </c>
      <c r="X156" s="204">
        <f t="shared" si="56"/>
        <v>1</v>
      </c>
      <c r="Y156" s="204">
        <f t="shared" si="66"/>
        <v>4.7100000000000003E-2</v>
      </c>
      <c r="Z156" s="204">
        <f t="shared" si="73"/>
        <v>23.329899999999999</v>
      </c>
      <c r="AA156" s="204">
        <f t="shared" si="67"/>
        <v>23.282799999999998</v>
      </c>
      <c r="AB156" s="57" t="e">
        <f>VLOOKUP(A156,Enforcements!$C$7:$K$13,8,0)</f>
        <v>#N/A</v>
      </c>
      <c r="AC156" s="53" t="e">
        <f>VLOOKUP(A156,Enforcements!$C$7:$E$13,3,0)</f>
        <v>#N/A</v>
      </c>
      <c r="AD156" s="54" t="str">
        <f t="shared" si="68"/>
        <v>0243-05</v>
      </c>
      <c r="AE156" s="80" t="str">
        <f t="shared" si="69"/>
        <v>aws s3 cp s3://rtdc.mdm.uploadarchive.raw/RTDC4042/ "%USERPROFILE%\AppData\Local\Temp\OnboardLogs"\RTDC4042\2017-06-06 --exclude "*" --recursive --include "*20170606*" &amp; "%USERPROFILE%\Documents\GitHub\mrs-test-scripts\Headless Mode &amp; Sideloading\WalkAndUnGZ.bat" "%USERPROFILE%\AppData\Local\Temp\OnboardLogs"\RTDC4042\2017-06-06 &amp; aws s3 cp s3://rtdc.mdm.uploadarchive.raw/RTDC4042/ "%USERPROFILE%\AppData\Local\Temp\OnboardLogs"\RTDC4042\2017-06-07 --exclude "*" --recursive --include "*20170607*" &amp; "%USERPROFILE%\Documents\GitHub\mrs-test-scripts\Headless Mode &amp; Sideloading\WalkAndUnGZ.bat" "%USERPROFILE%\AppData\Local\Temp\OnboardLogs"\RTDC4042\2017-06-07</v>
      </c>
      <c r="AF156" s="77" t="str">
        <f t="shared" si="70"/>
        <v>"C:\Program Files (x86)\AstroGrep\AstroGrep.exe" /e /r /s /spath="%USERPROFILE%\AppData\Local\Temp\OnboardLogs" /stypes="app*4042*20170606*" /stext=" 07:.+((SYSTEM_STATE.+slice.+state.+changed )|(ment ac)|(multiple cpu faults)|(system.+state.+changed )|(\[timeout)|(PRM\|1\|D)|(kpr)|(kdp)|(train st.+moving)|(\|lc)|(penalty))"</v>
      </c>
      <c r="AG156" s="1" t="str">
        <f t="shared" si="71"/>
        <v>EC</v>
      </c>
      <c r="AH156" s="81" t="str">
        <f t="shared" si="57"/>
        <v>"%USERPROFILE%\Documents\GitHub\eaglep3\Utilities\RefineRTDCRunTimes.py" --tripid 243-05 --locoid 4042 --swversion DE.1.0.9.0 --startMP 204:471 --initTime 2017-06-06T00:10:19 --startdatetime 2017-06-06T00:30:16 --delay 1 --endMP 204:233299 --enddatetime 2017-06-06T01:06:42 --enforcementcount 0 &gt;&gt;C:\Users\stu\Documents\GitHub\eaglep3-reporting\EC\2017-06-05-refined-times.txt</v>
      </c>
      <c r="AI156" s="99" t="str">
        <f t="shared" si="58"/>
        <v>echo {"issue":{"subject":"","project_id":79,"tracker_id":40,"status_id":1,"priority_id":2,"assigned_to_id":23,"start_date":"2017-06-06","description":"","custom_fields":[{"id":1,"name":"Subdivision","value":"EC"},{"id":4,"name":"Milepost","value":"23.3299"},{"id":17,"name":"Train ID","value":"243-05"},{"id":16,"name":"Locomotive ID","value":"4042"},{"id":130,"name":"Impact","value":""},{"id":150,"name":"Time of Event (Mountain Time)","value":"01:06:42"},{"id":151,"name":"Denver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5" t="str">
        <f t="shared" si="59"/>
        <v>start /low /b %USERPROFILE%\Documents\GitHub\eaglep3\Utilities\DownloadLogsFromS3.py --loco 4042 --day 2017-06-06</v>
      </c>
      <c r="AN156" s="154" t="str">
        <f t="shared" si="60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07:06:42"},{"id":29,"name":"Sharepoint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2" t="s">
        <v>824</v>
      </c>
      <c r="B157" s="7">
        <v>4041</v>
      </c>
      <c r="C157" s="21" t="s">
        <v>204</v>
      </c>
      <c r="D157" s="21" t="s">
        <v>898</v>
      </c>
      <c r="E157" s="13">
        <v>42892.048668981479</v>
      </c>
      <c r="F157" s="13">
        <v>42892.060590277775</v>
      </c>
      <c r="G157" s="7">
        <v>1</v>
      </c>
      <c r="H157" s="21" t="s">
        <v>487</v>
      </c>
      <c r="I157" s="13">
        <v>42892.087511574071</v>
      </c>
      <c r="J157" s="7">
        <v>0</v>
      </c>
      <c r="K157" s="92" t="str">
        <f t="shared" si="61"/>
        <v>4041/4042</v>
      </c>
      <c r="L157" s="21" t="str">
        <f>VLOOKUP(A157,'Trips&amp;Operators'!$C$1:$G$99999,5,FALSE)</f>
        <v>GUZMAN DANNY</v>
      </c>
      <c r="M157" s="6">
        <f t="shared" si="62"/>
        <v>2.6921296295768116E-2</v>
      </c>
      <c r="N157" s="7">
        <f t="shared" si="74"/>
        <v>38.766666665906087</v>
      </c>
      <c r="O157" s="7"/>
      <c r="P157" s="7"/>
      <c r="Q157" s="22"/>
      <c r="R157" s="173"/>
      <c r="S157" s="176">
        <f t="shared" si="72"/>
        <v>1</v>
      </c>
      <c r="T157" s="202" t="str">
        <f t="shared" si="63"/>
        <v>Southbound</v>
      </c>
      <c r="U157" s="202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03" t="str">
        <f t="shared" si="64"/>
        <v>https://d0f6bd738d7f1b3e5a7ca70fe4ff75f0.us-east-1.aws.found.io/app/kibana#/discover/Steve-Slow-Train-Analysis-(2080s-and-2083s)?_g=(refreshInterval:(display:Off,pause:!f,section:0,value:0),time:(from:'2017-06-06T00:10:05-0600',mode:absolute,to:'2017-06-06T03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7" s="204" t="str">
        <f t="shared" si="65"/>
        <v>N</v>
      </c>
      <c r="X157" s="204">
        <f t="shared" si="56"/>
        <v>1</v>
      </c>
      <c r="Y157" s="204">
        <f t="shared" si="66"/>
        <v>23.3003</v>
      </c>
      <c r="Z157" s="204">
        <f t="shared" si="73"/>
        <v>1.6500000000000001E-2</v>
      </c>
      <c r="AA157" s="204">
        <f t="shared" si="67"/>
        <v>23.283799999999999</v>
      </c>
      <c r="AB157" s="57" t="e">
        <f>VLOOKUP(A157,Enforcements!$C$7:$K$13,8,0)</f>
        <v>#N/A</v>
      </c>
      <c r="AC157" s="53" t="e">
        <f>VLOOKUP(A157,Enforcements!$C$7:$E$13,3,0)</f>
        <v>#N/A</v>
      </c>
      <c r="AD157" s="54" t="str">
        <f t="shared" si="68"/>
        <v>0244-05</v>
      </c>
      <c r="AE157" s="80" t="str">
        <f t="shared" si="69"/>
        <v>aws s3 cp s3://rtdc.mdm.uploadarchive.raw/RTDC4041/ "%USERPROFILE%\AppData\Local\Temp\OnboardLogs"\RTDC4041\2017-06-06 --exclude "*" --recursive --include "*20170606*" &amp; "%USERPROFILE%\Documents\GitHub\mrs-test-scripts\Headless Mode &amp; Sideloading\WalkAndUnGZ.bat" "%USERPROFILE%\AppData\Local\Temp\OnboardLogs"\RTDC4041\2017-06-06 &amp; aws s3 cp s3://rtdc.mdm.uploadarchive.raw/RTDC4041/ "%USERPROFILE%\AppData\Local\Temp\OnboardLogs"\RTDC4041\2017-06-07 --exclude "*" --recursive --include "*20170607*" &amp; "%USERPROFILE%\Documents\GitHub\mrs-test-scripts\Headless Mode &amp; Sideloading\WalkAndUnGZ.bat" "%USERPROFILE%\AppData\Local\Temp\OnboardLogs"\RTDC4041\2017-06-07</v>
      </c>
      <c r="AF157" s="77" t="str">
        <f t="shared" si="70"/>
        <v>"C:\Program Files (x86)\AstroGrep\AstroGrep.exe" /e /r /s /spath="%USERPROFILE%\AppData\Local\Temp\OnboardLogs" /stypes="app*4041*20170606*" /stext=" 08:.+((SYSTEM_STATE.+slice.+state.+changed )|(ment ac)|(multiple cpu faults)|(system.+state.+changed )|(\[timeout)|(PRM\|1\|D)|(kpr)|(kdp)|(train st.+moving)|(\|lc)|(penalty))"</v>
      </c>
      <c r="AG157" s="1" t="str">
        <f t="shared" si="71"/>
        <v>EC</v>
      </c>
      <c r="AH157" s="81" t="str">
        <f t="shared" si="57"/>
        <v>"%USERPROFILE%\Documents\GitHub\eaglep3\Utilities\RefineRTDCRunTimes.py" --tripid 244-05 --locoid 4041 --swversion DE.1.0.9.0 --startMP 204:233003 --initTime 2017-06-06T01:10:05 --startdatetime 2017-06-06T01:27:15 --delay 1 --endMP 204:165 --enddatetime 2017-06-06T02:06:01 --enforcementcount 0 &gt;&gt;C:\Users\stu\Documents\GitHub\eaglep3-reporting\EC\2017-06-05-refined-times.txt</v>
      </c>
      <c r="AI157" s="99" t="str">
        <f t="shared" si="58"/>
        <v>echo {"issue":{"subject":"","project_id":79,"tracker_id":40,"status_id":1,"priority_id":2,"assigned_to_id":23,"start_date":"2017-06-06","description":"","custom_fields":[{"id":1,"name":"Subdivision","value":"EC"},{"id":4,"name":"Milepost","value":"0.0165"},{"id":17,"name":"Train ID","value":"244-05"},{"id":16,"name":"Locomotive ID","value":"4041"},{"id":130,"name":"Impact","value":""},{"id":150,"name":"Time of Event (Mountain Time)","value":"02:06:01"},{"id":151,"name":"Denver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7"/>
      <c r="AL157" s="47"/>
      <c r="AM157" s="145" t="str">
        <f t="shared" si="59"/>
        <v>start /low /b %USERPROFILE%\Documents\GitHub\eaglep3\Utilities\DownloadLogsFromS3.py --loco 4041 --day 2017-06-06</v>
      </c>
      <c r="AN157" s="154" t="str">
        <f t="shared" si="60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08:06:01"},{"id":29,"name":"Sharepoint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8" spans="1:91" s="20" customFormat="1" x14ac:dyDescent="0.25">
      <c r="A158" s="32" t="s">
        <v>653</v>
      </c>
      <c r="B158" s="7">
        <v>4027</v>
      </c>
      <c r="C158" s="21" t="s">
        <v>204</v>
      </c>
      <c r="D158" s="21" t="s">
        <v>569</v>
      </c>
      <c r="E158" s="13">
        <v>42891.210046296299</v>
      </c>
      <c r="F158" s="13">
        <v>42891.211817129632</v>
      </c>
      <c r="G158" s="7">
        <v>1</v>
      </c>
      <c r="H158" s="21" t="s">
        <v>944</v>
      </c>
      <c r="I158" s="13">
        <v>42891.226412037038</v>
      </c>
      <c r="J158" s="7">
        <v>0</v>
      </c>
      <c r="K158" s="92" t="str">
        <f t="shared" si="61"/>
        <v>4027/4028</v>
      </c>
      <c r="L158" s="21" t="str">
        <f>VLOOKUP(A158,'Trips&amp;Operators'!$C$1:$G$99999,5,FALSE)</f>
        <v>DAVIDSON DAVID</v>
      </c>
      <c r="M158" s="6">
        <f t="shared" si="62"/>
        <v>1.4594907406717539E-2</v>
      </c>
      <c r="N158" s="7">
        <f t="shared" si="74"/>
        <v>21.016666665673256</v>
      </c>
      <c r="O158" s="7"/>
      <c r="P158" s="7"/>
      <c r="Q158" s="22"/>
      <c r="R158" s="173"/>
      <c r="S158" s="176">
        <f t="shared" si="72"/>
        <v>1</v>
      </c>
      <c r="T158" s="202" t="str">
        <f t="shared" si="63"/>
        <v>Southbound</v>
      </c>
      <c r="U158" s="202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203" t="str">
        <f t="shared" si="64"/>
        <v>https://d0f6bd738d7f1b3e5a7ca70fe4ff75f0.us-east-1.aws.found.io/app/kibana#/discover/Steve-Slow-Train-Analysis-(2080s-and-2083s)?_g=(refreshInterval:(display:Off,pause:!f,section:0,value:0),time:(from:'2017-06-05T04:02:28-0600',mode:absolute,to:'2017-06-05T06:26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8" s="204" t="str">
        <f t="shared" si="65"/>
        <v>N</v>
      </c>
      <c r="X158" s="204">
        <f t="shared" si="56"/>
        <v>556</v>
      </c>
      <c r="Y158" s="204">
        <f t="shared" si="66"/>
        <v>5.8638000000000003</v>
      </c>
      <c r="Z158" s="204">
        <f t="shared" si="73"/>
        <v>7.0999999999999994E-2</v>
      </c>
      <c r="AA158" s="204">
        <f t="shared" si="67"/>
        <v>5.7928000000000006</v>
      </c>
      <c r="AB158" s="57" t="e">
        <f>VLOOKUP(A158,Enforcements!$C$7:$K$13,8,0)</f>
        <v>#N/A</v>
      </c>
      <c r="AC158" s="53" t="e">
        <f>VLOOKUP(A158,Enforcements!$C$7:$E$13,3,0)</f>
        <v>#N/A</v>
      </c>
      <c r="AD158" s="54" t="str">
        <f t="shared" si="68"/>
        <v>0800-05</v>
      </c>
      <c r="AE158" s="80" t="str">
        <f t="shared" si="69"/>
        <v>aws s3 cp s3://rtdc.mdm.uploadarchive.raw/RTDC4027/ "%USERPROFILE%\AppData\Local\Temp\OnboardLogs"\RTDC4027\2017-06-05 --exclude "*" --recursive --include "*20170605*" &amp; "%USERPROFILE%\Documents\GitHub\mrs-test-scripts\Headless Mode &amp; Sideloading\WalkAndUnGZ.bat" "%USERPROFILE%\AppData\Local\Temp\OnboardLogs"\RTDC4027\2017-06-05 &amp; aws s3 cp s3://rtdc.mdm.uploadarchive.raw/RTDC4027/ "%USERPROFILE%\AppData\Local\Temp\OnboardLogs"\RTDC4027\2017-06-06 --exclude "*" --recursive --include "*20170606*" &amp; "%USERPROFILE%\Documents\GitHub\mrs-test-scripts\Headless Mode &amp; Sideloading\WalkAndUnGZ.bat" "%USERPROFILE%\AppData\Local\Temp\OnboardLogs"\RTDC4027\2017-06-06</v>
      </c>
      <c r="AF158" s="77" t="str">
        <f t="shared" si="70"/>
        <v>"C:\Program Files (x86)\AstroGrep\AstroGrep.exe" /e /r /s /spath="%USERPROFILE%\AppData\Local\Temp\OnboardLogs" /stypes="app*4027*20170605*" /stext=" 11:.+((SYSTEM_STATE.+slice.+state.+changed )|(ment ac)|(multiple cpu faults)|(system.+state.+changed )|(\[timeout)|(PRM\|1\|D)|(kpr)|(kdp)|(train st.+moving)|(\|lc)|(penalty))"</v>
      </c>
      <c r="AG158" s="1" t="str">
        <f t="shared" si="71"/>
        <v>NW</v>
      </c>
      <c r="AH158" s="81" t="str">
        <f t="shared" si="57"/>
        <v>"%USERPROFILE%\Documents\GitHub\eaglep3\Utilities\RefineRTDCRunTimes.py" --tripid 800-05 --locoid 4027 --swversion DE.1.0.9.0 --startMP 300:58638 --initTime 2017-06-05T05:02:28 --startdatetime 2017-06-05T05:05:01 --delay 1 --endMP 204:710 --enddatetime 2017-06-05T05:26:02 --enforcementcount 0 &gt;&gt;C:\Users\stu\Documents\GitHub\eaglep3-reporting\EC\2017-06-05-refined-times.txt</v>
      </c>
      <c r="AI158" s="99" t="str">
        <f t="shared" si="58"/>
        <v>echo {"issue":{"subject":"","project_id":79,"tracker_id":40,"status_id":1,"priority_id":2,"assigned_to_id":23,"start_date":"2017-06-05","description":"","custom_fields":[{"id":1,"name":"Subdivision","value":"NW"},{"id":4,"name":"Milepost","value":"0.071"},{"id":17,"name":"Train ID","value":"800-05"},{"id":16,"name":"Locomotive ID","value":"4027"},{"id":130,"name":"Impact","value":""},{"id":150,"name":"Time of Event (Mountain Time)","value":"05:26:02"},{"id":151,"name":"Denver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5" t="str">
        <f t="shared" si="59"/>
        <v>start /low /b %USERPROFILE%\Documents\GitHub\eaglep3\Utilities\DownloadLogsFromS3.py --loco 4027 --day 2017-06-05</v>
      </c>
      <c r="AN158" s="154" t="str">
        <f t="shared" si="60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11:26:02"},{"id":29,"name":"Sharepoint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2" t="s">
        <v>658</v>
      </c>
      <c r="B159" s="7">
        <v>4028</v>
      </c>
      <c r="C159" s="21" t="s">
        <v>204</v>
      </c>
      <c r="D159" s="21" t="s">
        <v>945</v>
      </c>
      <c r="E159" s="13">
        <v>42891.228483796294</v>
      </c>
      <c r="F159" s="13">
        <v>42891.244016203702</v>
      </c>
      <c r="G159" s="7">
        <v>1</v>
      </c>
      <c r="H159" s="21" t="s">
        <v>946</v>
      </c>
      <c r="I159" s="13">
        <v>42891.253900462965</v>
      </c>
      <c r="J159" s="7">
        <v>0</v>
      </c>
      <c r="K159" s="92" t="str">
        <f t="shared" si="61"/>
        <v>4027/4028</v>
      </c>
      <c r="L159" s="21" t="str">
        <f>VLOOKUP(A159,'Trips&amp;Operators'!$C$1:$G$99999,5,FALSE)</f>
        <v>DAVIDSON DAVID</v>
      </c>
      <c r="M159" s="6">
        <f t="shared" si="62"/>
        <v>9.8842592633445747E-3</v>
      </c>
      <c r="N159" s="7">
        <f t="shared" si="74"/>
        <v>14.233333339216188</v>
      </c>
      <c r="O159" s="7"/>
      <c r="P159" s="7"/>
      <c r="Q159" s="22"/>
      <c r="R159" s="173"/>
      <c r="S159" s="176">
        <f t="shared" si="72"/>
        <v>1</v>
      </c>
      <c r="T159" s="202" t="str">
        <f t="shared" si="63"/>
        <v>NorthBound</v>
      </c>
      <c r="U159" s="202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03" t="str">
        <f t="shared" si="64"/>
        <v>https://d0f6bd738d7f1b3e5a7ca70fe4ff75f0.us-east-1.aws.found.io/app/kibana#/discover/Steve-Slow-Train-Analysis-(2080s-and-2083s)?_g=(refreshInterval:(display:Off,pause:!f,section:0,value:0),time:(from:'2017-06-05T04:29:01-0600',mode:absolute,to:'2017-06-05T07:05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9" s="204" t="str">
        <f t="shared" si="65"/>
        <v>N</v>
      </c>
      <c r="X159" s="204">
        <f t="shared" si="56"/>
        <v>1</v>
      </c>
      <c r="Y159" s="204">
        <f t="shared" si="66"/>
        <v>9.8599999999999993E-2</v>
      </c>
      <c r="Z159" s="204">
        <f t="shared" si="73"/>
        <v>5.8959999999999999</v>
      </c>
      <c r="AA159" s="204">
        <f t="shared" si="67"/>
        <v>5.7973999999999997</v>
      </c>
      <c r="AB159" s="57" t="e">
        <f>VLOOKUP(A159,Enforcements!$C$7:$K$13,8,0)</f>
        <v>#N/A</v>
      </c>
      <c r="AC159" s="53" t="e">
        <f>VLOOKUP(A159,Enforcements!$C$7:$E$13,3,0)</f>
        <v>#N/A</v>
      </c>
      <c r="AD159" s="54" t="str">
        <f t="shared" si="68"/>
        <v>0801-05</v>
      </c>
      <c r="AE159" s="80" t="str">
        <f t="shared" si="69"/>
        <v>aws s3 cp s3://rtdc.mdm.uploadarchive.raw/RTDC4028/ "%USERPROFILE%\AppData\Local\Temp\OnboardLogs"\RTDC4028\2017-06-05 --exclude "*" --recursive --include "*20170605*" &amp; "%USERPROFILE%\Documents\GitHub\mrs-test-scripts\Headless Mode &amp; Sideloading\WalkAndUnGZ.bat" "%USERPROFILE%\AppData\Local\Temp\OnboardLogs"\RTDC4028\2017-06-05 &amp; aws s3 cp s3://rtdc.mdm.uploadarchive.raw/RTDC4028/ "%USERPROFILE%\AppData\Local\Temp\OnboardLogs"\RTDC4028\2017-06-06 --exclude "*" --recursive --include "*20170606*" &amp; "%USERPROFILE%\Documents\GitHub\mrs-test-scripts\Headless Mode &amp; Sideloading\WalkAndUnGZ.bat" "%USERPROFILE%\AppData\Local\Temp\OnboardLogs"\RTDC4028\2017-06-06</v>
      </c>
      <c r="AF159" s="77" t="str">
        <f t="shared" si="70"/>
        <v>"C:\Program Files (x86)\AstroGrep\AstroGrep.exe" /e /r /s /spath="%USERPROFILE%\AppData\Local\Temp\OnboardLogs" /stypes="app*4028*20170605*" /stext=" 12:.+((SYSTEM_STATE.+slice.+state.+changed )|(ment ac)|(multiple cpu faults)|(system.+state.+changed )|(\[timeout)|(PRM\|1\|D)|(kpr)|(kdp)|(train st.+moving)|(\|lc)|(penalty))"</v>
      </c>
      <c r="AG159" s="1" t="str">
        <f t="shared" si="71"/>
        <v>NW</v>
      </c>
      <c r="AH159" s="81" t="str">
        <f t="shared" si="57"/>
        <v>"%USERPROFILE%\Documents\GitHub\eaglep3\Utilities\RefineRTDCRunTimes.py" --tripid 801-05 --locoid 4028 --swversion DE.1.0.9.0 --startMP 204:986 --initTime 2017-06-05T05:29:01 --startdatetime 2017-06-05T05:51:23 --delay 1 --endMP 300:58960 --enddatetime 2017-06-05T06:05:37 --enforcementcount 0 &gt;&gt;C:\Users\stu\Documents\GitHub\eaglep3-reporting\EC\2017-06-05-refined-times.txt</v>
      </c>
      <c r="AI159" s="99" t="str">
        <f t="shared" si="58"/>
        <v>echo {"issue":{"subject":"","project_id":79,"tracker_id":40,"status_id":1,"priority_id":2,"assigned_to_id":23,"start_date":"2017-06-05","description":"","custom_fields":[{"id":1,"name":"Subdivision","value":"NW"},{"id":4,"name":"Milepost","value":"5.896"},{"id":17,"name":"Train ID","value":"801-05"},{"id":16,"name":"Locomotive ID","value":"4028"},{"id":130,"name":"Impact","value":""},{"id":150,"name":"Time of Event (Mountain Time)","value":"06:05:37"},{"id":151,"name":"Denver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5" t="str">
        <f t="shared" si="59"/>
        <v>start /low /b %USERPROFILE%\Documents\GitHub\eaglep3\Utilities\DownloadLogsFromS3.py --loco 4028 --day 2017-06-05</v>
      </c>
      <c r="AN159" s="154" t="str">
        <f t="shared" si="60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12:05:37"},{"id":29,"name":"Sharepoint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x14ac:dyDescent="0.25">
      <c r="A160" s="32" t="s">
        <v>664</v>
      </c>
      <c r="B160" s="7">
        <v>4027</v>
      </c>
      <c r="C160" s="21" t="s">
        <v>204</v>
      </c>
      <c r="D160" s="21" t="s">
        <v>947</v>
      </c>
      <c r="E160" s="13">
        <v>42891.254918981482</v>
      </c>
      <c r="F160" s="13">
        <v>42891.256238425929</v>
      </c>
      <c r="G160" s="7">
        <v>1</v>
      </c>
      <c r="H160" s="21" t="s">
        <v>948</v>
      </c>
      <c r="I160" s="13">
        <v>42891.268287037034</v>
      </c>
      <c r="J160" s="7">
        <v>0</v>
      </c>
      <c r="K160" s="92" t="str">
        <f t="shared" si="61"/>
        <v>4027/4028</v>
      </c>
      <c r="L160" s="21" t="str">
        <f>VLOOKUP(A160,'Trips&amp;Operators'!$C$1:$G$99999,5,FALSE)</f>
        <v>DAVIDSON DAVID</v>
      </c>
      <c r="M160" s="6">
        <f t="shared" si="62"/>
        <v>1.204861110454658E-2</v>
      </c>
      <c r="N160" s="7">
        <f t="shared" si="74"/>
        <v>17.349999990547076</v>
      </c>
      <c r="O160" s="7"/>
      <c r="P160" s="7"/>
      <c r="Q160" s="22"/>
      <c r="R160" s="173"/>
      <c r="S160" s="176">
        <f t="shared" si="72"/>
        <v>1</v>
      </c>
      <c r="T160" s="202" t="str">
        <f t="shared" si="63"/>
        <v>Southbound</v>
      </c>
      <c r="U160" s="202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03" t="str">
        <f t="shared" si="64"/>
        <v>https://d0f6bd738d7f1b3e5a7ca70fe4ff75f0.us-east-1.aws.found.io/app/kibana#/discover/Steve-Slow-Train-Analysis-(2080s-and-2083s)?_g=(refreshInterval:(display:Off,pause:!f,section:0,value:0),time:(from:'2017-06-05T05:07:05-0600',mode:absolute,to:'2017-06-05T07:26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0" s="204" t="str">
        <f t="shared" si="65"/>
        <v>N</v>
      </c>
      <c r="X160" s="204">
        <f t="shared" si="56"/>
        <v>1</v>
      </c>
      <c r="Y160" s="204">
        <f t="shared" si="66"/>
        <v>5.8644999999999996</v>
      </c>
      <c r="Z160" s="204">
        <f t="shared" si="73"/>
        <v>6.9400000000000003E-2</v>
      </c>
      <c r="AA160" s="204">
        <f t="shared" si="67"/>
        <v>5.7950999999999997</v>
      </c>
      <c r="AB160" s="57" t="e">
        <f>VLOOKUP(A160,Enforcements!$C$7:$K$13,8,0)</f>
        <v>#N/A</v>
      </c>
      <c r="AC160" s="53" t="e">
        <f>VLOOKUP(A160,Enforcements!$C$7:$E$13,3,0)</f>
        <v>#N/A</v>
      </c>
      <c r="AD160" s="54" t="str">
        <f t="shared" si="68"/>
        <v>0802-05</v>
      </c>
      <c r="AE160" s="80" t="str">
        <f t="shared" si="69"/>
        <v>aws s3 cp s3://rtdc.mdm.uploadarchive.raw/RTDC4027/ "%USERPROFILE%\AppData\Local\Temp\OnboardLogs"\RTDC4027\2017-06-05 --exclude "*" --recursive --include "*20170605*" &amp; "%USERPROFILE%\Documents\GitHub\mrs-test-scripts\Headless Mode &amp; Sideloading\WalkAndUnGZ.bat" "%USERPROFILE%\AppData\Local\Temp\OnboardLogs"\RTDC4027\2017-06-05 &amp; aws s3 cp s3://rtdc.mdm.uploadarchive.raw/RTDC4027/ "%USERPROFILE%\AppData\Local\Temp\OnboardLogs"\RTDC4027\2017-06-06 --exclude "*" --recursive --include "*20170606*" &amp; "%USERPROFILE%\Documents\GitHub\mrs-test-scripts\Headless Mode &amp; Sideloading\WalkAndUnGZ.bat" "%USERPROFILE%\AppData\Local\Temp\OnboardLogs"\RTDC4027\2017-06-06</v>
      </c>
      <c r="AF160" s="77" t="str">
        <f t="shared" si="70"/>
        <v>"C:\Program Files (x86)\AstroGrep\AstroGrep.exe" /e /r /s /spath="%USERPROFILE%\AppData\Local\Temp\OnboardLogs" /stypes="app*4027*20170605*" /stext=" 12:.+((SYSTEM_STATE.+slice.+state.+changed )|(ment ac)|(multiple cpu faults)|(system.+state.+changed )|(\[timeout)|(PRM\|1\|D)|(kpr)|(kdp)|(train st.+moving)|(\|lc)|(penalty))"</v>
      </c>
      <c r="AG160" s="1" t="str">
        <f t="shared" si="71"/>
        <v>NW</v>
      </c>
      <c r="AH160" s="81" t="str">
        <f t="shared" si="57"/>
        <v>"%USERPROFILE%\Documents\GitHub\eaglep3\Utilities\RefineRTDCRunTimes.py" --tripid 802-05 --locoid 4027 --swversion DE.1.0.9.0 --startMP 300:58645 --initTime 2017-06-05T06:07:05 --startdatetime 2017-06-05T06:08:59 --delay 1 --endMP 204:694 --enddatetime 2017-06-05T06:26:20 --enforcementcount 0 &gt;&gt;C:\Users\stu\Documents\GitHub\eaglep3-reporting\EC\2017-06-05-refined-times.txt</v>
      </c>
      <c r="AI160" s="99" t="str">
        <f t="shared" si="58"/>
        <v>echo {"issue":{"subject":"","project_id":79,"tracker_id":40,"status_id":1,"priority_id":2,"assigned_to_id":23,"start_date":"2017-06-05","description":"","custom_fields":[{"id":1,"name":"Subdivision","value":"NW"},{"id":4,"name":"Milepost","value":"0.0694"},{"id":17,"name":"Train ID","value":"802-05"},{"id":16,"name":"Locomotive ID","value":"4027"},{"id":130,"name":"Impact","value":""},{"id":150,"name":"Time of Event (Mountain Time)","value":"06:26:20"},{"id":151,"name":"Denver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5" t="str">
        <f t="shared" si="59"/>
        <v>start /low /b %USERPROFILE%\Documents\GitHub\eaglep3\Utilities\DownloadLogsFromS3.py --loco 4027 --day 2017-06-05</v>
      </c>
      <c r="AN160" s="154" t="str">
        <f t="shared" si="60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12:26:20"},{"id":29,"name":"Sharepoint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1" spans="1:91" s="20" customFormat="1" x14ac:dyDescent="0.25">
      <c r="A161" s="32" t="s">
        <v>667</v>
      </c>
      <c r="B161" s="7">
        <v>4046</v>
      </c>
      <c r="C161" s="21" t="s">
        <v>204</v>
      </c>
      <c r="D161" s="21" t="s">
        <v>949</v>
      </c>
      <c r="E161" s="13">
        <v>42891.261689814812</v>
      </c>
      <c r="F161" s="13">
        <v>42891.265046296299</v>
      </c>
      <c r="G161" s="7">
        <v>1</v>
      </c>
      <c r="H161" s="21" t="s">
        <v>950</v>
      </c>
      <c r="I161" s="13">
        <v>42891.273981481485</v>
      </c>
      <c r="J161" s="7">
        <v>0</v>
      </c>
      <c r="K161" s="92" t="str">
        <f t="shared" si="61"/>
        <v>4045/4046</v>
      </c>
      <c r="L161" s="21" t="str">
        <f>VLOOKUP(A161,'Trips&amp;Operators'!$C$1:$G$99999,5,FALSE)</f>
        <v>LOZA FIDEL</v>
      </c>
      <c r="M161" s="6">
        <f t="shared" si="62"/>
        <v>8.9351851856918074E-3</v>
      </c>
      <c r="N161" s="7">
        <f t="shared" si="74"/>
        <v>12.866666667396203</v>
      </c>
      <c r="O161" s="7"/>
      <c r="P161" s="7"/>
      <c r="Q161" s="22"/>
      <c r="R161" s="173"/>
      <c r="S161" s="176">
        <f t="shared" si="72"/>
        <v>1</v>
      </c>
      <c r="T161" s="202" t="str">
        <f t="shared" si="63"/>
        <v>NorthBound</v>
      </c>
      <c r="U161" s="202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03" t="str">
        <f t="shared" si="64"/>
        <v>https://d0f6bd738d7f1b3e5a7ca70fe4ff75f0.us-east-1.aws.found.io/app/kibana#/discover/Steve-Slow-Train-Analysis-(2080s-and-2083s)?_g=(refreshInterval:(display:Off,pause:!f,section:0,value:0),time:(from:'2017-06-05T05:16:50-0600',mode:absolute,to:'2017-06-05T07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1" s="204" t="str">
        <f t="shared" si="65"/>
        <v>N</v>
      </c>
      <c r="X161" s="204">
        <f t="shared" si="56"/>
        <v>1</v>
      </c>
      <c r="Y161" s="204">
        <f t="shared" si="66"/>
        <v>9.6699999999999994E-2</v>
      </c>
      <c r="Z161" s="204">
        <f t="shared" si="73"/>
        <v>5.8939000000000004</v>
      </c>
      <c r="AA161" s="204">
        <f t="shared" si="67"/>
        <v>5.7972000000000001</v>
      </c>
      <c r="AB161" s="57" t="e">
        <f>VLOOKUP(A161,Enforcements!$C$7:$K$13,8,0)</f>
        <v>#N/A</v>
      </c>
      <c r="AC161" s="53" t="e">
        <f>VLOOKUP(A161,Enforcements!$C$7:$E$13,3,0)</f>
        <v>#N/A</v>
      </c>
      <c r="AD161" s="54" t="str">
        <f t="shared" si="68"/>
        <v>0803-05</v>
      </c>
      <c r="AE161" s="80" t="str">
        <f t="shared" si="69"/>
        <v>aws s3 cp s3://rtdc.mdm.uploadarchive.raw/RTDC4046/ "%USERPROFILE%\AppData\Local\Temp\OnboardLogs"\RTDC4046\2017-06-05 --exclude "*" --recursive --include "*20170605*" &amp; "%USERPROFILE%\Documents\GitHub\mrs-test-scripts\Headless Mode &amp; Sideloading\WalkAndUnGZ.bat" "%USERPROFILE%\AppData\Local\Temp\OnboardLogs"\RTDC4046\2017-06-05 &amp; aws s3 cp s3://rtdc.mdm.uploadarchive.raw/RTDC4046/ "%USERPROFILE%\AppData\Local\Temp\OnboardLogs"\RTDC4046\2017-06-06 --exclude "*" --recursive --include "*20170606*" &amp; "%USERPROFILE%\Documents\GitHub\mrs-test-scripts\Headless Mode &amp; Sideloading\WalkAndUnGZ.bat" "%USERPROFILE%\AppData\Local\Temp\OnboardLogs"\RTDC4046\2017-06-06</v>
      </c>
      <c r="AF161" s="77" t="str">
        <f t="shared" si="70"/>
        <v>"C:\Program Files (x86)\AstroGrep\AstroGrep.exe" /e /r /s /spath="%USERPROFILE%\AppData\Local\Temp\OnboardLogs" /stypes="app*4046*20170605*" /stext=" 12:.+((SYSTEM_STATE.+slice.+state.+changed )|(ment ac)|(multiple cpu faults)|(system.+state.+changed )|(\[timeout)|(PRM\|1\|D)|(kpr)|(kdp)|(train st.+moving)|(\|lc)|(penalty))"</v>
      </c>
      <c r="AG161" s="1" t="str">
        <f t="shared" si="71"/>
        <v>NW</v>
      </c>
      <c r="AH161" s="81" t="str">
        <f t="shared" si="57"/>
        <v>"%USERPROFILE%\Documents\GitHub\eaglep3\Utilities\RefineRTDCRunTimes.py" --tripid 803-05 --locoid 4046 --swversion DE.1.0.9.0 --startMP 204:967 --initTime 2017-06-05T06:16:50 --startdatetime 2017-06-05T06:21:40 --delay 1 --endMP 300:58939 --enddatetime 2017-06-05T06:34:32 --enforcementcount 0 &gt;&gt;C:\Users\stu\Documents\GitHub\eaglep3-reporting\EC\2017-06-05-refined-times.txt</v>
      </c>
      <c r="AI161" s="99" t="str">
        <f t="shared" si="58"/>
        <v>echo {"issue":{"subject":"","project_id":79,"tracker_id":40,"status_id":1,"priority_id":2,"assigned_to_id":23,"start_date":"2017-06-05","description":"","custom_fields":[{"id":1,"name":"Subdivision","value":"NW"},{"id":4,"name":"Milepost","value":"5.8939"},{"id":17,"name":"Train ID","value":"803-05"},{"id":16,"name":"Locomotive ID","value":"4046"},{"id":130,"name":"Impact","value":""},{"id":150,"name":"Time of Event (Mountain Time)","value":"06:34:32"},{"id":151,"name":"Denver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5" t="str">
        <f t="shared" si="59"/>
        <v>start /low /b %USERPROFILE%\Documents\GitHub\eaglep3\Utilities\DownloadLogsFromS3.py --loco 4046 --day 2017-06-05</v>
      </c>
      <c r="AN161" s="154" t="str">
        <f t="shared" si="60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12:34:32"},{"id":29,"name":"Sharepoint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2" t="s">
        <v>670</v>
      </c>
      <c r="B162" s="7">
        <v>4045</v>
      </c>
      <c r="C162" s="21" t="s">
        <v>204</v>
      </c>
      <c r="D162" s="21" t="s">
        <v>951</v>
      </c>
      <c r="E162" s="13">
        <v>42891.275300925925</v>
      </c>
      <c r="F162" s="13">
        <v>42891.277060185188</v>
      </c>
      <c r="G162" s="7">
        <v>1</v>
      </c>
      <c r="H162" s="21" t="s">
        <v>948</v>
      </c>
      <c r="I162" s="13">
        <v>42891.288252314815</v>
      </c>
      <c r="J162" s="7">
        <v>0</v>
      </c>
      <c r="K162" s="92" t="str">
        <f t="shared" si="61"/>
        <v>4045/4046</v>
      </c>
      <c r="L162" s="21" t="str">
        <f>VLOOKUP(A162,'Trips&amp;Operators'!$C$1:$G$99999,5,FALSE)</f>
        <v>LOZA FIDEL</v>
      </c>
      <c r="M162" s="6">
        <f t="shared" si="62"/>
        <v>1.1192129626579117E-2</v>
      </c>
      <c r="N162" s="7">
        <f t="shared" si="74"/>
        <v>16.116666662273929</v>
      </c>
      <c r="O162" s="7"/>
      <c r="P162" s="7"/>
      <c r="Q162" s="22"/>
      <c r="R162" s="173"/>
      <c r="S162" s="176">
        <f t="shared" si="72"/>
        <v>1</v>
      </c>
      <c r="T162" s="202" t="str">
        <f t="shared" si="63"/>
        <v>Southbound</v>
      </c>
      <c r="U162" s="202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03" t="str">
        <f t="shared" si="64"/>
        <v>https://d0f6bd738d7f1b3e5a7ca70fe4ff75f0.us-east-1.aws.found.io/app/kibana#/discover/Steve-Slow-Train-Analysis-(2080s-and-2083s)?_g=(refreshInterval:(display:Off,pause:!f,section:0,value:0),time:(from:'2017-06-05T05:36:26-0600',mode:absolute,to:'2017-06-05T07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2" s="204" t="str">
        <f t="shared" si="65"/>
        <v>N</v>
      </c>
      <c r="X162" s="204">
        <f t="shared" si="56"/>
        <v>1</v>
      </c>
      <c r="Y162" s="204">
        <f t="shared" si="66"/>
        <v>5.8620999999999999</v>
      </c>
      <c r="Z162" s="204">
        <f t="shared" si="73"/>
        <v>6.9400000000000003E-2</v>
      </c>
      <c r="AA162" s="204">
        <f t="shared" si="67"/>
        <v>5.7927</v>
      </c>
      <c r="AB162" s="57" t="e">
        <f>VLOOKUP(A162,Enforcements!$C$7:$K$13,8,0)</f>
        <v>#N/A</v>
      </c>
      <c r="AC162" s="53" t="e">
        <f>VLOOKUP(A162,Enforcements!$C$7:$E$13,3,0)</f>
        <v>#N/A</v>
      </c>
      <c r="AD162" s="54" t="str">
        <f t="shared" si="68"/>
        <v>0804-05</v>
      </c>
      <c r="AE162" s="80" t="str">
        <f t="shared" si="69"/>
        <v>aws s3 cp s3://rtdc.mdm.uploadarchive.raw/RTDC4045/ "%USERPROFILE%\AppData\Local\Temp\OnboardLogs"\RTDC4045\2017-06-05 --exclude "*" --recursive --include "*20170605*" &amp; "%USERPROFILE%\Documents\GitHub\mrs-test-scripts\Headless Mode &amp; Sideloading\WalkAndUnGZ.bat" "%USERPROFILE%\AppData\Local\Temp\OnboardLogs"\RTDC4045\2017-06-05 &amp; aws s3 cp s3://rtdc.mdm.uploadarchive.raw/RTDC4045/ "%USERPROFILE%\AppData\Local\Temp\OnboardLogs"\RTDC4045\2017-06-06 --exclude "*" --recursive --include "*20170606*" &amp; "%USERPROFILE%\Documents\GitHub\mrs-test-scripts\Headless Mode &amp; Sideloading\WalkAndUnGZ.bat" "%USERPROFILE%\AppData\Local\Temp\OnboardLogs"\RTDC4045\2017-06-06</v>
      </c>
      <c r="AF162" s="77" t="str">
        <f t="shared" si="70"/>
        <v>"C:\Program Files (x86)\AstroGrep\AstroGrep.exe" /e /r /s /spath="%USERPROFILE%\AppData\Local\Temp\OnboardLogs" /stypes="app*4045*20170605*" /stext=" 12:.+((SYSTEM_STATE.+slice.+state.+changed )|(ment ac)|(multiple cpu faults)|(system.+state.+changed )|(\[timeout)|(PRM\|1\|D)|(kpr)|(kdp)|(train st.+moving)|(\|lc)|(penalty))"</v>
      </c>
      <c r="AG162" s="1" t="str">
        <f t="shared" si="71"/>
        <v>NW</v>
      </c>
      <c r="AH162" s="81" t="str">
        <f t="shared" si="57"/>
        <v>"%USERPROFILE%\Documents\GitHub\eaglep3\Utilities\RefineRTDCRunTimes.py" --tripid 804-05 --locoid 4045 --swversion DE.1.0.9.0 --startMP 300:58621 --initTime 2017-06-05T06:36:26 --startdatetime 2017-06-05T06:38:58 --delay 1 --endMP 204:694 --enddatetime 2017-06-05T06:55:05 --enforcementcount 0 &gt;&gt;C:\Users\stu\Documents\GitHub\eaglep3-reporting\EC\2017-06-05-refined-times.txt</v>
      </c>
      <c r="AI162" s="99" t="str">
        <f t="shared" si="58"/>
        <v>echo {"issue":{"subject":"","project_id":79,"tracker_id":40,"status_id":1,"priority_id":2,"assigned_to_id":23,"start_date":"2017-06-05","description":"","custom_fields":[{"id":1,"name":"Subdivision","value":"NW"},{"id":4,"name":"Milepost","value":"0.0694"},{"id":17,"name":"Train ID","value":"804-05"},{"id":16,"name":"Locomotive ID","value":"4045"},{"id":130,"name":"Impact","value":""},{"id":150,"name":"Time of Event (Mountain Time)","value":"06:55:05"},{"id":151,"name":"Denver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5" t="str">
        <f t="shared" si="59"/>
        <v>start /low /b %USERPROFILE%\Documents\GitHub\eaglep3\Utilities\DownloadLogsFromS3.py --loco 4045 --day 2017-06-05</v>
      </c>
      <c r="AN162" s="154" t="str">
        <f t="shared" si="60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12:55:05"},{"id":29,"name":"Sharepoint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3" spans="1:91" s="20" customFormat="1" x14ac:dyDescent="0.25">
      <c r="A163" s="32" t="s">
        <v>669</v>
      </c>
      <c r="B163" s="7">
        <v>4028</v>
      </c>
      <c r="C163" s="21" t="s">
        <v>204</v>
      </c>
      <c r="D163" s="21" t="s">
        <v>572</v>
      </c>
      <c r="E163" s="13">
        <v>42891.271238425928</v>
      </c>
      <c r="F163" s="13">
        <v>42891.285624999997</v>
      </c>
      <c r="G163" s="7">
        <v>1</v>
      </c>
      <c r="H163" s="21" t="s">
        <v>567</v>
      </c>
      <c r="I163" s="13">
        <v>42891.295115740744</v>
      </c>
      <c r="J163" s="7">
        <v>0</v>
      </c>
      <c r="K163" s="92" t="str">
        <f t="shared" si="61"/>
        <v>4027/4028</v>
      </c>
      <c r="L163" s="21" t="str">
        <f>VLOOKUP(A163,'Trips&amp;Operators'!$C$1:$G$99999,5,FALSE)</f>
        <v>DAVIDSON DAVID</v>
      </c>
      <c r="M163" s="6">
        <f t="shared" si="62"/>
        <v>9.4907407474238425E-3</v>
      </c>
      <c r="N163" s="7">
        <f t="shared" si="74"/>
        <v>13.666666676290333</v>
      </c>
      <c r="O163" s="7"/>
      <c r="P163" s="7"/>
      <c r="Q163" s="22"/>
      <c r="R163" s="173"/>
      <c r="S163" s="176">
        <f t="shared" si="72"/>
        <v>1</v>
      </c>
      <c r="T163" s="202" t="str">
        <f t="shared" si="63"/>
        <v>NorthBound</v>
      </c>
      <c r="U163" s="202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03" t="str">
        <f t="shared" si="64"/>
        <v>https://d0f6bd738d7f1b3e5a7ca70fe4ff75f0.us-east-1.aws.found.io/app/kibana#/discover/Steve-Slow-Train-Analysis-(2080s-and-2083s)?_g=(refreshInterval:(display:Off,pause:!f,section:0,value:0),time:(from:'2017-06-05T05:30:35-0600',mode:absolute,to:'2017-06-05T08:04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3" s="204" t="str">
        <f t="shared" si="65"/>
        <v>N</v>
      </c>
      <c r="X163" s="204">
        <f t="shared" si="56"/>
        <v>1</v>
      </c>
      <c r="Y163" s="204">
        <f t="shared" si="66"/>
        <v>9.7600000000000006E-2</v>
      </c>
      <c r="Z163" s="204">
        <f t="shared" si="73"/>
        <v>5.8954000000000004</v>
      </c>
      <c r="AA163" s="204">
        <f t="shared" si="67"/>
        <v>5.7978000000000005</v>
      </c>
      <c r="AB163" s="57" t="e">
        <f>VLOOKUP(A163,Enforcements!$C$7:$K$13,8,0)</f>
        <v>#N/A</v>
      </c>
      <c r="AC163" s="53" t="e">
        <f>VLOOKUP(A163,Enforcements!$C$7:$E$13,3,0)</f>
        <v>#N/A</v>
      </c>
      <c r="AD163" s="54" t="str">
        <f t="shared" si="68"/>
        <v>0805-05</v>
      </c>
      <c r="AE163" s="80" t="str">
        <f t="shared" si="69"/>
        <v>aws s3 cp s3://rtdc.mdm.uploadarchive.raw/RTDC4028/ "%USERPROFILE%\AppData\Local\Temp\OnboardLogs"\RTDC4028\2017-06-05 --exclude "*" --recursive --include "*20170605*" &amp; "%USERPROFILE%\Documents\GitHub\mrs-test-scripts\Headless Mode &amp; Sideloading\WalkAndUnGZ.bat" "%USERPROFILE%\AppData\Local\Temp\OnboardLogs"\RTDC4028\2017-06-05 &amp; aws s3 cp s3://rtdc.mdm.uploadarchive.raw/RTDC4028/ "%USERPROFILE%\AppData\Local\Temp\OnboardLogs"\RTDC4028\2017-06-06 --exclude "*" --recursive --include "*20170606*" &amp; "%USERPROFILE%\Documents\GitHub\mrs-test-scripts\Headless Mode &amp; Sideloading\WalkAndUnGZ.bat" "%USERPROFILE%\AppData\Local\Temp\OnboardLogs"\RTDC4028\2017-06-06</v>
      </c>
      <c r="AF163" s="77" t="str">
        <f t="shared" si="70"/>
        <v>"C:\Program Files (x86)\AstroGrep\AstroGrep.exe" /e /r /s /spath="%USERPROFILE%\AppData\Local\Temp\OnboardLogs" /stypes="app*4028*20170605*" /stext=" 13:.+((SYSTEM_STATE.+slice.+state.+changed )|(ment ac)|(multiple cpu faults)|(system.+state.+changed )|(\[timeout)|(PRM\|1\|D)|(kpr)|(kdp)|(train st.+moving)|(\|lc)|(penalty))"</v>
      </c>
      <c r="AG163" s="1" t="str">
        <f t="shared" si="71"/>
        <v>NW</v>
      </c>
      <c r="AH163" s="81" t="str">
        <f t="shared" si="57"/>
        <v>"%USERPROFILE%\Documents\GitHub\eaglep3\Utilities\RefineRTDCRunTimes.py" --tripid 805-05 --locoid 4028 --swversion DE.1.0.9.0 --startMP 204:976 --initTime 2017-06-05T06:30:35 --startdatetime 2017-06-05T06:51:18 --delay 1 --endMP 300:58954 --enddatetime 2017-06-05T07:04:58 --enforcementcount 0 &gt;&gt;C:\Users\stu\Documents\GitHub\eaglep3-reporting\EC\2017-06-05-refined-times.txt</v>
      </c>
      <c r="AI163" s="99" t="str">
        <f t="shared" si="58"/>
        <v>echo {"issue":{"subject":"","project_id":79,"tracker_id":40,"status_id":1,"priority_id":2,"assigned_to_id":23,"start_date":"2017-06-05","description":"","custom_fields":[{"id":1,"name":"Subdivision","value":"NW"},{"id":4,"name":"Milepost","value":"5.8954"},{"id":17,"name":"Train ID","value":"805-05"},{"id":16,"name":"Locomotive ID","value":"4028"},{"id":130,"name":"Impact","value":""},{"id":150,"name":"Time of Event (Mountain Time)","value":"07:04:58"},{"id":151,"name":"Denver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5" t="str">
        <f t="shared" si="59"/>
        <v>start /low /b %USERPROFILE%\Documents\GitHub\eaglep3\Utilities\DownloadLogsFromS3.py --loco 4028 --day 2017-06-05</v>
      </c>
      <c r="AN163" s="154" t="str">
        <f t="shared" si="60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13:04:58"},{"id":29,"name":"Sharepoint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2" t="s">
        <v>583</v>
      </c>
      <c r="B164" s="7">
        <v>4027</v>
      </c>
      <c r="C164" s="21" t="s">
        <v>204</v>
      </c>
      <c r="D164" s="21" t="s">
        <v>565</v>
      </c>
      <c r="E164" s="13">
        <v>42891.296087962961</v>
      </c>
      <c r="F164" s="13">
        <v>42891.297476851854</v>
      </c>
      <c r="G164" s="7">
        <v>1</v>
      </c>
      <c r="H164" s="21" t="s">
        <v>952</v>
      </c>
      <c r="I164" s="13">
        <v>42891.310532407406</v>
      </c>
      <c r="J164" s="7">
        <v>0</v>
      </c>
      <c r="K164" s="92" t="str">
        <f t="shared" si="61"/>
        <v>4027/4028</v>
      </c>
      <c r="L164" s="21" t="str">
        <f>VLOOKUP(A164,'Trips&amp;Operators'!$C$1:$G$99999,5,FALSE)</f>
        <v>DAVIDSON DAVID</v>
      </c>
      <c r="M164" s="6">
        <f t="shared" si="62"/>
        <v>1.3055555551545694E-2</v>
      </c>
      <c r="N164" s="7">
        <f t="shared" si="74"/>
        <v>18.7999999942258</v>
      </c>
      <c r="O164" s="7"/>
      <c r="P164" s="7"/>
      <c r="Q164" s="22"/>
      <c r="R164" s="173"/>
      <c r="S164" s="176">
        <f t="shared" si="72"/>
        <v>1</v>
      </c>
      <c r="T164" s="202" t="str">
        <f t="shared" si="63"/>
        <v>Southbound</v>
      </c>
      <c r="U164" s="202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03" t="str">
        <f t="shared" si="64"/>
        <v>https://d0f6bd738d7f1b3e5a7ca70fe4ff75f0.us-east-1.aws.found.io/app/kibana#/discover/Steve-Slow-Train-Analysis-(2080s-and-2083s)?_g=(refreshInterval:(display:Off,pause:!f,section:0,value:0),time:(from:'2017-06-05T06:06:22-0600',mode:absolute,to:'2017-06-05T08:27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4" s="204" t="str">
        <f t="shared" si="65"/>
        <v>N</v>
      </c>
      <c r="X164" s="204">
        <f t="shared" si="56"/>
        <v>1</v>
      </c>
      <c r="Y164" s="204">
        <f t="shared" si="66"/>
        <v>5.8635999999999999</v>
      </c>
      <c r="Z164" s="204">
        <f t="shared" si="73"/>
        <v>6.8699999999999997E-2</v>
      </c>
      <c r="AA164" s="204">
        <f t="shared" si="67"/>
        <v>5.7949000000000002</v>
      </c>
      <c r="AB164" s="57" t="e">
        <f>VLOOKUP(A164,Enforcements!$C$7:$K$13,8,0)</f>
        <v>#N/A</v>
      </c>
      <c r="AC164" s="53" t="e">
        <f>VLOOKUP(A164,Enforcements!$C$7:$E$13,3,0)</f>
        <v>#N/A</v>
      </c>
      <c r="AD164" s="54" t="str">
        <f t="shared" si="68"/>
        <v>0806-05</v>
      </c>
      <c r="AE164" s="80" t="str">
        <f t="shared" si="69"/>
        <v>aws s3 cp s3://rtdc.mdm.uploadarchive.raw/RTDC4027/ "%USERPROFILE%\AppData\Local\Temp\OnboardLogs"\RTDC4027\2017-06-05 --exclude "*" --recursive --include "*20170605*" &amp; "%USERPROFILE%\Documents\GitHub\mrs-test-scripts\Headless Mode &amp; Sideloading\WalkAndUnGZ.bat" "%USERPROFILE%\AppData\Local\Temp\OnboardLogs"\RTDC4027\2017-06-05 &amp; aws s3 cp s3://rtdc.mdm.uploadarchive.raw/RTDC4027/ "%USERPROFILE%\AppData\Local\Temp\OnboardLogs"\RTDC4027\2017-06-06 --exclude "*" --recursive --include "*20170606*" &amp; "%USERPROFILE%\Documents\GitHub\mrs-test-scripts\Headless Mode &amp; Sideloading\WalkAndUnGZ.bat" "%USERPROFILE%\AppData\Local\Temp\OnboardLogs"\RTDC4027\2017-06-06</v>
      </c>
      <c r="AF164" s="77" t="str">
        <f t="shared" si="70"/>
        <v>"C:\Program Files (x86)\AstroGrep\AstroGrep.exe" /e /r /s /spath="%USERPROFILE%\AppData\Local\Temp\OnboardLogs" /stypes="app*4027*20170605*" /stext=" 13:.+((SYSTEM_STATE.+slice.+state.+changed )|(ment ac)|(multiple cpu faults)|(system.+state.+changed )|(\[timeout)|(PRM\|1\|D)|(kpr)|(kdp)|(train st.+moving)|(\|lc)|(penalty))"</v>
      </c>
      <c r="AG164" s="1" t="str">
        <f t="shared" si="71"/>
        <v>NW</v>
      </c>
      <c r="AH164" s="81" t="str">
        <f t="shared" si="57"/>
        <v>"%USERPROFILE%\Documents\GitHub\eaglep3\Utilities\RefineRTDCRunTimes.py" --tripid 806-05 --locoid 4027 --swversion DE.1.0.9.0 --startMP 300:58636 --initTime 2017-06-05T07:06:22 --startdatetime 2017-06-05T07:08:22 --delay 1 --endMP 204:687 --enddatetime 2017-06-05T07:27:10 --enforcementcount 0 &gt;&gt;C:\Users\stu\Documents\GitHub\eaglep3-reporting\EC\2017-06-05-refined-times.txt</v>
      </c>
      <c r="AI164" s="99" t="str">
        <f t="shared" si="58"/>
        <v>echo {"issue":{"subject":"","project_id":79,"tracker_id":40,"status_id":1,"priority_id":2,"assigned_to_id":23,"start_date":"2017-06-05","description":"","custom_fields":[{"id":1,"name":"Subdivision","value":"NW"},{"id":4,"name":"Milepost","value":"0.0687"},{"id":17,"name":"Train ID","value":"806-05"},{"id":16,"name":"Locomotive ID","value":"4027"},{"id":130,"name":"Impact","value":""},{"id":150,"name":"Time of Event (Mountain Time)","value":"07:27:10"},{"id":151,"name":"Denver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7"/>
      <c r="AL164" s="47"/>
      <c r="AM164" s="145" t="str">
        <f t="shared" si="59"/>
        <v>start /low /b %USERPROFILE%\Documents\GitHub\eaglep3\Utilities\DownloadLogsFromS3.py --loco 4027 --day 2017-06-05</v>
      </c>
      <c r="AN164" s="154" t="str">
        <f t="shared" si="60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13:27:10"},{"id":29,"name":"Sharepoint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5" spans="1:91" s="20" customFormat="1" x14ac:dyDescent="0.25">
      <c r="A165" s="32" t="s">
        <v>680</v>
      </c>
      <c r="B165" s="7">
        <v>4046</v>
      </c>
      <c r="C165" s="21" t="s">
        <v>204</v>
      </c>
      <c r="D165" s="21" t="s">
        <v>481</v>
      </c>
      <c r="E165" s="13">
        <v>42891.303055555552</v>
      </c>
      <c r="F165" s="13">
        <v>42891.306631944448</v>
      </c>
      <c r="G165" s="7">
        <v>1</v>
      </c>
      <c r="H165" s="21" t="s">
        <v>953</v>
      </c>
      <c r="I165" s="13">
        <v>42891.316076388888</v>
      </c>
      <c r="J165" s="7">
        <v>0</v>
      </c>
      <c r="K165" s="92" t="str">
        <f t="shared" si="61"/>
        <v>4045/4046</v>
      </c>
      <c r="L165" s="21" t="str">
        <f>VLOOKUP(A165,'Trips&amp;Operators'!$C$1:$G$99999,5,FALSE)</f>
        <v>LOZA FIDEL</v>
      </c>
      <c r="M165" s="6">
        <f t="shared" si="62"/>
        <v>9.444444440305233E-3</v>
      </c>
      <c r="N165" s="7">
        <f t="shared" si="74"/>
        <v>13.599999994039536</v>
      </c>
      <c r="O165" s="7"/>
      <c r="P165" s="7"/>
      <c r="Q165" s="22"/>
      <c r="R165" s="173"/>
      <c r="S165" s="176">
        <f t="shared" si="72"/>
        <v>1</v>
      </c>
      <c r="T165" s="202" t="str">
        <f t="shared" si="63"/>
        <v>NorthBound</v>
      </c>
      <c r="U165" s="202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03" t="str">
        <f t="shared" si="64"/>
        <v>https://d0f6bd738d7f1b3e5a7ca70fe4ff75f0.us-east-1.aws.found.io/app/kibana#/discover/Steve-Slow-Train-Analysis-(2080s-and-2083s)?_g=(refreshInterval:(display:Off,pause:!f,section:0,value:0),time:(from:'2017-06-05T06:16:24-0600',mode:absolute,to:'2017-06-05T08:35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5" s="204" t="str">
        <f t="shared" si="65"/>
        <v>N</v>
      </c>
      <c r="X165" s="204">
        <f t="shared" si="56"/>
        <v>1</v>
      </c>
      <c r="Y165" s="204">
        <f t="shared" si="66"/>
        <v>9.7799999999999998E-2</v>
      </c>
      <c r="Z165" s="204">
        <f t="shared" si="73"/>
        <v>5.8943000000000003</v>
      </c>
      <c r="AA165" s="204">
        <f t="shared" si="67"/>
        <v>5.7965</v>
      </c>
      <c r="AB165" s="57" t="e">
        <f>VLOOKUP(A165,Enforcements!$C$7:$K$13,8,0)</f>
        <v>#N/A</v>
      </c>
      <c r="AC165" s="53" t="e">
        <f>VLOOKUP(A165,Enforcements!$C$7:$E$13,3,0)</f>
        <v>#N/A</v>
      </c>
      <c r="AD165" s="54" t="str">
        <f t="shared" si="68"/>
        <v>0807-05</v>
      </c>
      <c r="AE165" s="80" t="str">
        <f t="shared" si="69"/>
        <v>aws s3 cp s3://rtdc.mdm.uploadarchive.raw/RTDC4046/ "%USERPROFILE%\AppData\Local\Temp\OnboardLogs"\RTDC4046\2017-06-05 --exclude "*" --recursive --include "*20170605*" &amp; "%USERPROFILE%\Documents\GitHub\mrs-test-scripts\Headless Mode &amp; Sideloading\WalkAndUnGZ.bat" "%USERPROFILE%\AppData\Local\Temp\OnboardLogs"\RTDC4046\2017-06-05 &amp; aws s3 cp s3://rtdc.mdm.uploadarchive.raw/RTDC4046/ "%USERPROFILE%\AppData\Local\Temp\OnboardLogs"\RTDC4046\2017-06-06 --exclude "*" --recursive --include "*20170606*" &amp; "%USERPROFILE%\Documents\GitHub\mrs-test-scripts\Headless Mode &amp; Sideloading\WalkAndUnGZ.bat" "%USERPROFILE%\AppData\Local\Temp\OnboardLogs"\RTDC4046\2017-06-06</v>
      </c>
      <c r="AF165" s="77" t="str">
        <f t="shared" si="70"/>
        <v>"C:\Program Files (x86)\AstroGrep\AstroGrep.exe" /e /r /s /spath="%USERPROFILE%\AppData\Local\Temp\OnboardLogs" /stypes="app*4046*20170605*" /stext=" 13:.+((SYSTEM_STATE.+slice.+state.+changed )|(ment ac)|(multiple cpu faults)|(system.+state.+changed )|(\[timeout)|(PRM\|1\|D)|(kpr)|(kdp)|(train st.+moving)|(\|lc)|(penalty))"</v>
      </c>
      <c r="AG165" s="1" t="str">
        <f t="shared" si="71"/>
        <v>NW</v>
      </c>
      <c r="AH165" s="81" t="str">
        <f t="shared" si="57"/>
        <v>"%USERPROFILE%\Documents\GitHub\eaglep3\Utilities\RefineRTDCRunTimes.py" --tripid 807-05 --locoid 4046 --swversion DE.1.0.9.0 --startMP 204:978 --initTime 2017-06-05T07:16:24 --startdatetime 2017-06-05T07:21:33 --delay 1 --endMP 300:58943 --enddatetime 2017-06-05T07:35:09 --enforcementcount 0 &gt;&gt;C:\Users\stu\Documents\GitHub\eaglep3-reporting\EC\2017-06-05-refined-times.txt</v>
      </c>
      <c r="AI165" s="99" t="str">
        <f t="shared" si="58"/>
        <v>echo {"issue":{"subject":"","project_id":79,"tracker_id":40,"status_id":1,"priority_id":2,"assigned_to_id":23,"start_date":"2017-06-05","description":"","custom_fields":[{"id":1,"name":"Subdivision","value":"NW"},{"id":4,"name":"Milepost","value":"5.8943"},{"id":17,"name":"Train ID","value":"807-05"},{"id":16,"name":"Locomotive ID","value":"4046"},{"id":130,"name":"Impact","value":""},{"id":150,"name":"Time of Event (Mountain Time)","value":"07:35:09"},{"id":151,"name":"Denver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5" t="str">
        <f t="shared" si="59"/>
        <v>start /low /b %USERPROFILE%\Documents\GitHub\eaglep3\Utilities\DownloadLogsFromS3.py --loco 4046 --day 2017-06-05</v>
      </c>
      <c r="AN165" s="154" t="str">
        <f t="shared" si="60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13:35:09"},{"id":29,"name":"Sharepoint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2" t="s">
        <v>683</v>
      </c>
      <c r="B166" s="7">
        <v>4045</v>
      </c>
      <c r="C166" s="21" t="s">
        <v>204</v>
      </c>
      <c r="D166" s="21" t="s">
        <v>954</v>
      </c>
      <c r="E166" s="13">
        <v>42891.31795138889</v>
      </c>
      <c r="F166" s="13">
        <v>42891.319618055553</v>
      </c>
      <c r="G166" s="7">
        <v>1</v>
      </c>
      <c r="H166" s="21" t="s">
        <v>501</v>
      </c>
      <c r="I166" s="13">
        <v>42891.329988425925</v>
      </c>
      <c r="J166" s="7">
        <v>0</v>
      </c>
      <c r="K166" s="92" t="str">
        <f t="shared" si="61"/>
        <v>4045/4046</v>
      </c>
      <c r="L166" s="21" t="str">
        <f>VLOOKUP(A166,'Trips&amp;Operators'!$C$1:$G$99999,5,FALSE)</f>
        <v>LOZA FIDEL</v>
      </c>
      <c r="M166" s="6">
        <f t="shared" si="62"/>
        <v>1.0370370371674653E-2</v>
      </c>
      <c r="N166" s="7">
        <f t="shared" si="74"/>
        <v>14.933333335211501</v>
      </c>
      <c r="O166" s="7"/>
      <c r="P166" s="7"/>
      <c r="Q166" s="22"/>
      <c r="R166" s="173"/>
      <c r="S166" s="176">
        <f t="shared" si="72"/>
        <v>1</v>
      </c>
      <c r="T166" s="202" t="str">
        <f t="shared" si="63"/>
        <v>Southbound</v>
      </c>
      <c r="U166" s="202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03" t="str">
        <f t="shared" si="64"/>
        <v>https://d0f6bd738d7f1b3e5a7ca70fe4ff75f0.us-east-1.aws.found.io/app/kibana#/discover/Steve-Slow-Train-Analysis-(2080s-and-2083s)?_g=(refreshInterval:(display:Off,pause:!f,section:0,value:0),time:(from:'2017-06-05T06:37:51-0600',mode:absolute,to:'2017-06-05T08:55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6" s="204" t="str">
        <f t="shared" si="65"/>
        <v>N</v>
      </c>
      <c r="X166" s="204">
        <f t="shared" si="56"/>
        <v>1</v>
      </c>
      <c r="Y166" s="204">
        <f t="shared" si="66"/>
        <v>5.8619000000000003</v>
      </c>
      <c r="Z166" s="204">
        <f t="shared" si="73"/>
        <v>6.8500000000000005E-2</v>
      </c>
      <c r="AA166" s="204">
        <f t="shared" si="67"/>
        <v>5.7934000000000001</v>
      </c>
      <c r="AB166" s="57" t="e">
        <f>VLOOKUP(A166,Enforcements!$C$7:$K$13,8,0)</f>
        <v>#N/A</v>
      </c>
      <c r="AC166" s="53" t="e">
        <f>VLOOKUP(A166,Enforcements!$C$7:$E$13,3,0)</f>
        <v>#N/A</v>
      </c>
      <c r="AD166" s="54" t="str">
        <f t="shared" si="68"/>
        <v>0808-05</v>
      </c>
      <c r="AE166" s="80" t="str">
        <f t="shared" si="69"/>
        <v>aws s3 cp s3://rtdc.mdm.uploadarchive.raw/RTDC4045/ "%USERPROFILE%\AppData\Local\Temp\OnboardLogs"\RTDC4045\2017-06-05 --exclude "*" --recursive --include "*20170605*" &amp; "%USERPROFILE%\Documents\GitHub\mrs-test-scripts\Headless Mode &amp; Sideloading\WalkAndUnGZ.bat" "%USERPROFILE%\AppData\Local\Temp\OnboardLogs"\RTDC4045\2017-06-05 &amp; aws s3 cp s3://rtdc.mdm.uploadarchive.raw/RTDC4045/ "%USERPROFILE%\AppData\Local\Temp\OnboardLogs"\RTDC4045\2017-06-06 --exclude "*" --recursive --include "*20170606*" &amp; "%USERPROFILE%\Documents\GitHub\mrs-test-scripts\Headless Mode &amp; Sideloading\WalkAndUnGZ.bat" "%USERPROFILE%\AppData\Local\Temp\OnboardLogs"\RTDC4045\2017-06-06</v>
      </c>
      <c r="AF166" s="77" t="str">
        <f t="shared" si="70"/>
        <v>"C:\Program Files (x86)\AstroGrep\AstroGrep.exe" /e /r /s /spath="%USERPROFILE%\AppData\Local\Temp\OnboardLogs" /stypes="app*4045*20170605*" /stext=" 13:.+((SYSTEM_STATE.+slice.+state.+changed )|(ment ac)|(multiple cpu faults)|(system.+state.+changed )|(\[timeout)|(PRM\|1\|D)|(kpr)|(kdp)|(train st.+moving)|(\|lc)|(penalty))"</v>
      </c>
      <c r="AG166" s="1" t="str">
        <f t="shared" si="71"/>
        <v>NW</v>
      </c>
      <c r="AH166" s="81" t="str">
        <f t="shared" si="57"/>
        <v>"%USERPROFILE%\Documents\GitHub\eaglep3\Utilities\RefineRTDCRunTimes.py" --tripid 808-05 --locoid 4045 --swversion DE.1.0.9.0 --startMP 300:58619 --initTime 2017-06-05T07:37:51 --startdatetime 2017-06-05T07:40:15 --delay 1 --endMP 204:685 --enddatetime 2017-06-05T07:55:11 --enforcementcount 0 &gt;&gt;C:\Users\stu\Documents\GitHub\eaglep3-reporting\EC\2017-06-05-refined-times.txt</v>
      </c>
      <c r="AI166" s="99" t="str">
        <f t="shared" si="58"/>
        <v>echo {"issue":{"subject":"","project_id":79,"tracker_id":40,"status_id":1,"priority_id":2,"assigned_to_id":23,"start_date":"2017-06-05","description":"","custom_fields":[{"id":1,"name":"Subdivision","value":"NW"},{"id":4,"name":"Milepost","value":"0.0685"},{"id":17,"name":"Train ID","value":"808-05"},{"id":16,"name":"Locomotive ID","value":"4045"},{"id":130,"name":"Impact","value":""},{"id":150,"name":"Time of Event (Mountain Time)","value":"07:55:11"},{"id":151,"name":"Denver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5" t="str">
        <f t="shared" si="59"/>
        <v>start /low /b %USERPROFILE%\Documents\GitHub\eaglep3\Utilities\DownloadLogsFromS3.py --loco 4045 --day 2017-06-05</v>
      </c>
      <c r="AN166" s="154" t="str">
        <f t="shared" si="60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13:55:11"},{"id":29,"name":"Sharepoint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s="20" customFormat="1" x14ac:dyDescent="0.25">
      <c r="A167" s="32" t="s">
        <v>681</v>
      </c>
      <c r="B167" s="7">
        <v>4028</v>
      </c>
      <c r="C167" s="21" t="s">
        <v>204</v>
      </c>
      <c r="D167" s="21" t="s">
        <v>955</v>
      </c>
      <c r="E167" s="13">
        <v>42891.312719907408</v>
      </c>
      <c r="F167" s="13">
        <v>42891.327280092592</v>
      </c>
      <c r="G167" s="7">
        <v>1</v>
      </c>
      <c r="H167" s="21" t="s">
        <v>956</v>
      </c>
      <c r="I167" s="13">
        <v>42891.337256944447</v>
      </c>
      <c r="J167" s="7">
        <v>0</v>
      </c>
      <c r="K167" s="92" t="str">
        <f t="shared" si="61"/>
        <v>4027/4028</v>
      </c>
      <c r="L167" s="21" t="str">
        <f>VLOOKUP(A167,'Trips&amp;Operators'!$C$1:$G$99999,5,FALSE)</f>
        <v>DAVIDSON DAVID</v>
      </c>
      <c r="M167" s="6">
        <f t="shared" si="62"/>
        <v>9.976851855753921E-3</v>
      </c>
      <c r="N167" s="7">
        <f t="shared" si="74"/>
        <v>14.366666672285646</v>
      </c>
      <c r="O167" s="7"/>
      <c r="P167" s="7"/>
      <c r="Q167" s="22"/>
      <c r="R167" s="173"/>
      <c r="S167" s="176">
        <f t="shared" si="72"/>
        <v>1</v>
      </c>
      <c r="T167" s="202" t="str">
        <f t="shared" si="63"/>
        <v>NorthBound</v>
      </c>
      <c r="U167" s="202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03" t="str">
        <f t="shared" si="64"/>
        <v>https://d0f6bd738d7f1b3e5a7ca70fe4ff75f0.us-east-1.aws.found.io/app/kibana#/discover/Steve-Slow-Train-Analysis-(2080s-and-2083s)?_g=(refreshInterval:(display:Off,pause:!f,section:0,value:0),time:(from:'2017-06-05T06:30:19-0600',mode:absolute,to:'2017-06-05T09:05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7" s="204" t="str">
        <f t="shared" si="65"/>
        <v>N</v>
      </c>
      <c r="X167" s="204">
        <f t="shared" ref="X167:X196" si="75">VALUE(LEFT(AD167,4))-VALUE(LEFT(AD166,4))</f>
        <v>1</v>
      </c>
      <c r="Y167" s="204">
        <f t="shared" si="66"/>
        <v>9.8299999999999998E-2</v>
      </c>
      <c r="Z167" s="204">
        <f t="shared" si="73"/>
        <v>5.8948</v>
      </c>
      <c r="AA167" s="204">
        <f t="shared" si="67"/>
        <v>5.7965</v>
      </c>
      <c r="AB167" s="57" t="e">
        <f>VLOOKUP(A167,Enforcements!$C$7:$K$13,8,0)</f>
        <v>#N/A</v>
      </c>
      <c r="AC167" s="53" t="e">
        <f>VLOOKUP(A167,Enforcements!$C$7:$E$13,3,0)</f>
        <v>#N/A</v>
      </c>
      <c r="AD167" s="54" t="str">
        <f t="shared" si="68"/>
        <v>0809-05</v>
      </c>
      <c r="AE167" s="80" t="str">
        <f t="shared" si="69"/>
        <v>aws s3 cp s3://rtdc.mdm.uploadarchive.raw/RTDC4028/ "%USERPROFILE%\AppData\Local\Temp\OnboardLogs"\RTDC4028\2017-06-05 --exclude "*" --recursive --include "*20170605*" &amp; "%USERPROFILE%\Documents\GitHub\mrs-test-scripts\Headless Mode &amp; Sideloading\WalkAndUnGZ.bat" "%USERPROFILE%\AppData\Local\Temp\OnboardLogs"\RTDC4028\2017-06-05 &amp; aws s3 cp s3://rtdc.mdm.uploadarchive.raw/RTDC4028/ "%USERPROFILE%\AppData\Local\Temp\OnboardLogs"\RTDC4028\2017-06-06 --exclude "*" --recursive --include "*20170606*" &amp; "%USERPROFILE%\Documents\GitHub\mrs-test-scripts\Headless Mode &amp; Sideloading\WalkAndUnGZ.bat" "%USERPROFILE%\AppData\Local\Temp\OnboardLogs"\RTDC4028\2017-06-06</v>
      </c>
      <c r="AF167" s="77" t="str">
        <f t="shared" si="70"/>
        <v>"C:\Program Files (x86)\AstroGrep\AstroGrep.exe" /e /r /s /spath="%USERPROFILE%\AppData\Local\Temp\OnboardLogs" /stypes="app*4028*20170605*" /stext=" 14:.+((SYSTEM_STATE.+slice.+state.+changed )|(ment ac)|(multiple cpu faults)|(system.+state.+changed )|(\[timeout)|(PRM\|1\|D)|(kpr)|(kdp)|(train st.+moving)|(\|lc)|(penalty))"</v>
      </c>
      <c r="AG167" s="1" t="str">
        <f t="shared" si="71"/>
        <v>NW</v>
      </c>
      <c r="AH167" s="81" t="str">
        <f t="shared" si="57"/>
        <v>"%USERPROFILE%\Documents\GitHub\eaglep3\Utilities\RefineRTDCRunTimes.py" --tripid 809-05 --locoid 4028 --swversion DE.1.0.9.0 --startMP 204:983 --initTime 2017-06-05T07:30:19 --startdatetime 2017-06-05T07:51:17 --delay 1 --endMP 300:58948 --enddatetime 2017-06-05T08:05:39 --enforcementcount 0 &gt;&gt;C:\Users\stu\Documents\GitHub\eaglep3-reporting\EC\2017-06-05-refined-times.txt</v>
      </c>
      <c r="AI167" s="99" t="str">
        <f t="shared" si="58"/>
        <v>echo {"issue":{"subject":"","project_id":79,"tracker_id":40,"status_id":1,"priority_id":2,"assigned_to_id":23,"start_date":"2017-06-05","description":"","custom_fields":[{"id":1,"name":"Subdivision","value":"NW"},{"id":4,"name":"Milepost","value":"5.8948"},{"id":17,"name":"Train ID","value":"809-05"},{"id":16,"name":"Locomotive ID","value":"4028"},{"id":130,"name":"Impact","value":""},{"id":150,"name":"Time of Event (Mountain Time)","value":"08:05:39"},{"id":151,"name":"Denver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5" t="str">
        <f t="shared" si="59"/>
        <v>start /low /b %USERPROFILE%\Documents\GitHub\eaglep3\Utilities\DownloadLogsFromS3.py --loco 4028 --day 2017-06-05</v>
      </c>
      <c r="AN167" s="154" t="str">
        <f t="shared" si="60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14:05:39"},{"id":29,"name":"Sharepoint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585</v>
      </c>
      <c r="B168" s="7">
        <v>4027</v>
      </c>
      <c r="C168" s="21" t="s">
        <v>204</v>
      </c>
      <c r="D168" s="21" t="s">
        <v>951</v>
      </c>
      <c r="E168" s="13">
        <v>42891.338321759256</v>
      </c>
      <c r="F168" s="13">
        <v>42891.339618055557</v>
      </c>
      <c r="G168" s="7">
        <v>1</v>
      </c>
      <c r="H168" s="21" t="s">
        <v>501</v>
      </c>
      <c r="I168" s="13">
        <v>42891.352002314816</v>
      </c>
      <c r="J168" s="7">
        <v>0</v>
      </c>
      <c r="K168" s="92" t="str">
        <f t="shared" si="61"/>
        <v>4027/4028</v>
      </c>
      <c r="L168" s="21" t="str">
        <f>VLOOKUP(A168,'Trips&amp;Operators'!$C$1:$G$99999,5,FALSE)</f>
        <v>DAVIDSON DAVID</v>
      </c>
      <c r="M168" s="6">
        <f t="shared" si="62"/>
        <v>1.2384259258396924E-2</v>
      </c>
      <c r="N168" s="7">
        <f t="shared" si="74"/>
        <v>17.83333333209157</v>
      </c>
      <c r="O168" s="7"/>
      <c r="P168" s="7"/>
      <c r="Q168" s="22"/>
      <c r="R168" s="173"/>
      <c r="S168" s="176">
        <f t="shared" si="72"/>
        <v>1</v>
      </c>
      <c r="T168" s="202" t="str">
        <f t="shared" si="63"/>
        <v>Southbound</v>
      </c>
      <c r="U168" s="202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03" t="str">
        <f t="shared" si="64"/>
        <v>https://d0f6bd738d7f1b3e5a7ca70fe4ff75f0.us-east-1.aws.found.io/app/kibana#/discover/Steve-Slow-Train-Analysis-(2080s-and-2083s)?_g=(refreshInterval:(display:Off,pause:!f,section:0,value:0),time:(from:'2017-06-05T07:07:11-0600',mode:absolute,to:'2017-06-05T09:26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8" s="204" t="str">
        <f t="shared" si="65"/>
        <v>N</v>
      </c>
      <c r="X168" s="204">
        <f t="shared" si="75"/>
        <v>1</v>
      </c>
      <c r="Y168" s="204">
        <f t="shared" si="66"/>
        <v>5.8620999999999999</v>
      </c>
      <c r="Z168" s="204">
        <f t="shared" si="73"/>
        <v>6.8500000000000005E-2</v>
      </c>
      <c r="AA168" s="204">
        <f t="shared" si="67"/>
        <v>5.7935999999999996</v>
      </c>
      <c r="AB168" s="57" t="e">
        <f>VLOOKUP(A168,Enforcements!$C$7:$K$13,8,0)</f>
        <v>#N/A</v>
      </c>
      <c r="AC168" s="53" t="e">
        <f>VLOOKUP(A168,Enforcements!$C$7:$E$13,3,0)</f>
        <v>#N/A</v>
      </c>
      <c r="AD168" s="54" t="str">
        <f t="shared" si="68"/>
        <v>0810-05</v>
      </c>
      <c r="AE168" s="80" t="str">
        <f t="shared" si="69"/>
        <v>aws s3 cp s3://rtdc.mdm.uploadarchive.raw/RTDC4027/ "%USERPROFILE%\AppData\Local\Temp\OnboardLogs"\RTDC4027\2017-06-05 --exclude "*" --recursive --include "*20170605*" &amp; "%USERPROFILE%\Documents\GitHub\mrs-test-scripts\Headless Mode &amp; Sideloading\WalkAndUnGZ.bat" "%USERPROFILE%\AppData\Local\Temp\OnboardLogs"\RTDC4027\2017-06-05 &amp; aws s3 cp s3://rtdc.mdm.uploadarchive.raw/RTDC4027/ "%USERPROFILE%\AppData\Local\Temp\OnboardLogs"\RTDC4027\2017-06-06 --exclude "*" --recursive --include "*20170606*" &amp; "%USERPROFILE%\Documents\GitHub\mrs-test-scripts\Headless Mode &amp; Sideloading\WalkAndUnGZ.bat" "%USERPROFILE%\AppData\Local\Temp\OnboardLogs"\RTDC4027\2017-06-06</v>
      </c>
      <c r="AF168" s="77" t="str">
        <f t="shared" si="70"/>
        <v>"C:\Program Files (x86)\AstroGrep\AstroGrep.exe" /e /r /s /spath="%USERPROFILE%\AppData\Local\Temp\OnboardLogs" /stypes="app*4027*20170605*" /stext=" 14:.+((SYSTEM_STATE.+slice.+state.+changed )|(ment ac)|(multiple cpu faults)|(system.+state.+changed )|(\[timeout)|(PRM\|1\|D)|(kpr)|(kdp)|(train st.+moving)|(\|lc)|(penalty))"</v>
      </c>
      <c r="AG168" s="1" t="str">
        <f t="shared" si="71"/>
        <v>NW</v>
      </c>
      <c r="AH168" s="81" t="str">
        <f t="shared" si="57"/>
        <v>"%USERPROFILE%\Documents\GitHub\eaglep3\Utilities\RefineRTDCRunTimes.py" --tripid 810-05 --locoid 4027 --swversion DE.1.0.9.0 --startMP 300:58621 --initTime 2017-06-05T08:07:11 --startdatetime 2017-06-05T08:09:03 --delay 1 --endMP 204:685 --enddatetime 2017-06-05T08:26:53 --enforcementcount 0 &gt;&gt;C:\Users\stu\Documents\GitHub\eaglep3-reporting\EC\2017-06-05-refined-times.txt</v>
      </c>
      <c r="AI168" s="99" t="str">
        <f t="shared" si="58"/>
        <v>echo {"issue":{"subject":"","project_id":79,"tracker_id":40,"status_id":1,"priority_id":2,"assigned_to_id":23,"start_date":"2017-06-05","description":"","custom_fields":[{"id":1,"name":"Subdivision","value":"NW"},{"id":4,"name":"Milepost","value":"0.0685"},{"id":17,"name":"Train ID","value":"810-05"},{"id":16,"name":"Locomotive ID","value":"4027"},{"id":130,"name":"Impact","value":""},{"id":150,"name":"Time of Event (Mountain Time)","value":"08:26:53"},{"id":151,"name":"Denver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5" t="str">
        <f t="shared" si="59"/>
        <v>start /low /b %USERPROFILE%\Documents\GitHub\eaglep3\Utilities\DownloadLogsFromS3.py --loco 4027 --day 2017-06-05</v>
      </c>
      <c r="AN168" s="154" t="str">
        <f t="shared" si="60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14:26:53"},{"id":29,"name":"Sharepoint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686</v>
      </c>
      <c r="B169" s="7">
        <v>4046</v>
      </c>
      <c r="C169" s="21" t="s">
        <v>204</v>
      </c>
      <c r="D169" s="21" t="s">
        <v>570</v>
      </c>
      <c r="E169" s="13">
        <v>42891.332291666666</v>
      </c>
      <c r="F169" s="13">
        <v>42891.348240740743</v>
      </c>
      <c r="G169" s="7">
        <v>1</v>
      </c>
      <c r="H169" s="21" t="s">
        <v>957</v>
      </c>
      <c r="I169" s="13">
        <v>42891.357222222221</v>
      </c>
      <c r="J169" s="7">
        <v>0</v>
      </c>
      <c r="K169" s="92" t="str">
        <f t="shared" si="61"/>
        <v>4045/4046</v>
      </c>
      <c r="L169" s="21" t="str">
        <f>VLOOKUP(A169,'Trips&amp;Operators'!$C$1:$G$99999,5,FALSE)</f>
        <v>LOZA FIDEL</v>
      </c>
      <c r="M169" s="6">
        <f t="shared" si="62"/>
        <v>8.9814814782585017E-3</v>
      </c>
      <c r="N169" s="7">
        <f t="shared" si="74"/>
        <v>12.933333328692243</v>
      </c>
      <c r="O169" s="7"/>
      <c r="P169" s="7"/>
      <c r="Q169" s="22"/>
      <c r="R169" s="173"/>
      <c r="S169" s="176">
        <f t="shared" si="72"/>
        <v>1</v>
      </c>
      <c r="T169" s="202" t="str">
        <f t="shared" si="63"/>
        <v>NorthBound</v>
      </c>
      <c r="U169" s="202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03" t="str">
        <f t="shared" si="64"/>
        <v>https://d0f6bd738d7f1b3e5a7ca70fe4ff75f0.us-east-1.aws.found.io/app/kibana#/discover/Steve-Slow-Train-Analysis-(2080s-and-2083s)?_g=(refreshInterval:(display:Off,pause:!f,section:0,value:0),time:(from:'2017-06-05T06:58:30-0600',mode:absolute,to:'2017-06-05T09:34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9" s="204" t="str">
        <f t="shared" si="65"/>
        <v>N</v>
      </c>
      <c r="X169" s="204">
        <f t="shared" si="75"/>
        <v>1</v>
      </c>
      <c r="Y169" s="204">
        <f t="shared" si="66"/>
        <v>9.9299999999999999E-2</v>
      </c>
      <c r="Z169" s="204">
        <f t="shared" si="73"/>
        <v>5.8933</v>
      </c>
      <c r="AA169" s="204">
        <f t="shared" si="67"/>
        <v>5.7939999999999996</v>
      </c>
      <c r="AB169" s="57" t="e">
        <f>VLOOKUP(A169,Enforcements!$C$7:$K$13,8,0)</f>
        <v>#N/A</v>
      </c>
      <c r="AC169" s="53" t="e">
        <f>VLOOKUP(A169,Enforcements!$C$7:$E$13,3,0)</f>
        <v>#N/A</v>
      </c>
      <c r="AD169" s="54" t="str">
        <f t="shared" si="68"/>
        <v>0811-05</v>
      </c>
      <c r="AE169" s="80" t="str">
        <f t="shared" si="69"/>
        <v>aws s3 cp s3://rtdc.mdm.uploadarchive.raw/RTDC4046/ "%USERPROFILE%\AppData\Local\Temp\OnboardLogs"\RTDC4046\2017-06-05 --exclude "*" --recursive --include "*20170605*" &amp; "%USERPROFILE%\Documents\GitHub\mrs-test-scripts\Headless Mode &amp; Sideloading\WalkAndUnGZ.bat" "%USERPROFILE%\AppData\Local\Temp\OnboardLogs"\RTDC4046\2017-06-05 &amp; aws s3 cp s3://rtdc.mdm.uploadarchive.raw/RTDC4046/ "%USERPROFILE%\AppData\Local\Temp\OnboardLogs"\RTDC4046\2017-06-06 --exclude "*" --recursive --include "*20170606*" &amp; "%USERPROFILE%\Documents\GitHub\mrs-test-scripts\Headless Mode &amp; Sideloading\WalkAndUnGZ.bat" "%USERPROFILE%\AppData\Local\Temp\OnboardLogs"\RTDC4046\2017-06-06</v>
      </c>
      <c r="AF169" s="77" t="str">
        <f t="shared" si="70"/>
        <v>"C:\Program Files (x86)\AstroGrep\AstroGrep.exe" /e /r /s /spath="%USERPROFILE%\AppData\Local\Temp\OnboardLogs" /stypes="app*4046*20170605*" /stext=" 14:.+((SYSTEM_STATE.+slice.+state.+changed )|(ment ac)|(multiple cpu faults)|(system.+state.+changed )|(\[timeout)|(PRM\|1\|D)|(kpr)|(kdp)|(train st.+moving)|(\|lc)|(penalty))"</v>
      </c>
      <c r="AG169" s="1" t="str">
        <f t="shared" si="71"/>
        <v>NW</v>
      </c>
      <c r="AH169" s="81" t="str">
        <f t="shared" si="57"/>
        <v>"%USERPROFILE%\Documents\GitHub\eaglep3\Utilities\RefineRTDCRunTimes.py" --tripid 811-05 --locoid 4046 --swversion DE.1.0.9.0 --startMP 204:993 --initTime 2017-06-05T07:58:30 --startdatetime 2017-06-05T08:21:28 --delay 1 --endMP 300:58933 --enddatetime 2017-06-05T08:34:24 --enforcementcount 0 &gt;&gt;C:\Users\stu\Documents\GitHub\eaglep3-reporting\EC\2017-06-05-refined-times.txt</v>
      </c>
      <c r="AI169" s="99" t="str">
        <f t="shared" si="58"/>
        <v>echo {"issue":{"subject":"","project_id":79,"tracker_id":40,"status_id":1,"priority_id":2,"assigned_to_id":23,"start_date":"2017-06-05","description":"","custom_fields":[{"id":1,"name":"Subdivision","value":"NW"},{"id":4,"name":"Milepost","value":"5.8933"},{"id":17,"name":"Train ID","value":"811-05"},{"id":16,"name":"Locomotive ID","value":"4046"},{"id":130,"name":"Impact","value":""},{"id":150,"name":"Time of Event (Mountain Time)","value":"08:34:24"},{"id":151,"name":"Denver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5" t="str">
        <f t="shared" si="59"/>
        <v>start /low /b %USERPROFILE%\Documents\GitHub\eaglep3\Utilities\DownloadLogsFromS3.py --loco 4046 --day 2017-06-05</v>
      </c>
      <c r="AN169" s="154" t="str">
        <f t="shared" si="60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14:34:24"},{"id":29,"name":"Sharepoint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691</v>
      </c>
      <c r="B170" s="7">
        <v>4045</v>
      </c>
      <c r="C170" s="21" t="s">
        <v>204</v>
      </c>
      <c r="D170" s="21" t="s">
        <v>958</v>
      </c>
      <c r="E170" s="13">
        <v>42891.359432870369</v>
      </c>
      <c r="F170" s="13">
        <v>42891.361145833333</v>
      </c>
      <c r="G170" s="7">
        <v>1</v>
      </c>
      <c r="H170" s="21" t="s">
        <v>959</v>
      </c>
      <c r="I170" s="13">
        <v>42891.37128472222</v>
      </c>
      <c r="J170" s="7">
        <v>0</v>
      </c>
      <c r="K170" s="92" t="str">
        <f t="shared" si="61"/>
        <v>4045/4046</v>
      </c>
      <c r="L170" s="21" t="str">
        <f>VLOOKUP(A170,'Trips&amp;Operators'!$C$1:$G$99999,5,FALSE)</f>
        <v>LOZA FIDEL</v>
      </c>
      <c r="M170" s="6">
        <f t="shared" si="62"/>
        <v>1.0138888887013309E-2</v>
      </c>
      <c r="N170" s="7">
        <f t="shared" si="74"/>
        <v>14.599999997299165</v>
      </c>
      <c r="O170" s="7"/>
      <c r="P170" s="7"/>
      <c r="Q170" s="22"/>
      <c r="R170" s="173"/>
      <c r="S170" s="176">
        <f t="shared" si="72"/>
        <v>1</v>
      </c>
      <c r="T170" s="202" t="str">
        <f t="shared" si="63"/>
        <v>Southbound</v>
      </c>
      <c r="U170" s="202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03" t="str">
        <f t="shared" si="64"/>
        <v>https://d0f6bd738d7f1b3e5a7ca70fe4ff75f0.us-east-1.aws.found.io/app/kibana#/discover/Steve-Slow-Train-Analysis-(2080s-and-2083s)?_g=(refreshInterval:(display:Off,pause:!f,section:0,value:0),time:(from:'2017-06-05T07:37:35-0600',mode:absolute,to:'2017-06-05T09:54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70" s="204" t="str">
        <f t="shared" si="65"/>
        <v>N</v>
      </c>
      <c r="X170" s="204">
        <f t="shared" si="75"/>
        <v>1</v>
      </c>
      <c r="Y170" s="204">
        <f t="shared" si="66"/>
        <v>5.8613</v>
      </c>
      <c r="Z170" s="204">
        <f t="shared" si="73"/>
        <v>7.0099999999999996E-2</v>
      </c>
      <c r="AA170" s="204">
        <f t="shared" si="67"/>
        <v>5.7911999999999999</v>
      </c>
      <c r="AB170" s="57" t="e">
        <f>VLOOKUP(A170,Enforcements!$C$7:$K$13,8,0)</f>
        <v>#N/A</v>
      </c>
      <c r="AC170" s="53" t="e">
        <f>VLOOKUP(A170,Enforcements!$C$7:$E$13,3,0)</f>
        <v>#N/A</v>
      </c>
      <c r="AD170" s="54" t="str">
        <f t="shared" si="68"/>
        <v>0812-05</v>
      </c>
      <c r="AE170" s="80" t="str">
        <f t="shared" si="69"/>
        <v>aws s3 cp s3://rtdc.mdm.uploadarchive.raw/RTDC4045/ "%USERPROFILE%\AppData\Local\Temp\OnboardLogs"\RTDC4045\2017-06-05 --exclude "*" --recursive --include "*20170605*" &amp; "%USERPROFILE%\Documents\GitHub\mrs-test-scripts\Headless Mode &amp; Sideloading\WalkAndUnGZ.bat" "%USERPROFILE%\AppData\Local\Temp\OnboardLogs"\RTDC4045\2017-06-05 &amp; aws s3 cp s3://rtdc.mdm.uploadarchive.raw/RTDC4045/ "%USERPROFILE%\AppData\Local\Temp\OnboardLogs"\RTDC4045\2017-06-06 --exclude "*" --recursive --include "*20170606*" &amp; "%USERPROFILE%\Documents\GitHub\mrs-test-scripts\Headless Mode &amp; Sideloading\WalkAndUnGZ.bat" "%USERPROFILE%\AppData\Local\Temp\OnboardLogs"\RTDC4045\2017-06-06</v>
      </c>
      <c r="AF170" s="77" t="str">
        <f t="shared" si="70"/>
        <v>"C:\Program Files (x86)\AstroGrep\AstroGrep.exe" /e /r /s /spath="%USERPROFILE%\AppData\Local\Temp\OnboardLogs" /stypes="app*4045*20170605*" /stext=" 14:.+((SYSTEM_STATE.+slice.+state.+changed )|(ment ac)|(multiple cpu faults)|(system.+state.+changed )|(\[timeout)|(PRM\|1\|D)|(kpr)|(kdp)|(train st.+moving)|(\|lc)|(penalty))"</v>
      </c>
      <c r="AG170" s="1" t="str">
        <f t="shared" si="71"/>
        <v>NW</v>
      </c>
      <c r="AH170" s="81" t="str">
        <f t="shared" si="57"/>
        <v>"%USERPROFILE%\Documents\GitHub\eaglep3\Utilities\RefineRTDCRunTimes.py" --tripid 812-05 --locoid 4045 --swversion DE.1.0.9.0 --startMP 300:58613 --initTime 2017-06-05T08:37:35 --startdatetime 2017-06-05T08:40:03 --delay 1 --endMP 204:701 --enddatetime 2017-06-05T08:54:39 --enforcementcount 0 &gt;&gt;C:\Users\stu\Documents\GitHub\eaglep3-reporting\EC\2017-06-05-refined-times.txt</v>
      </c>
      <c r="AI170" s="99" t="str">
        <f t="shared" si="58"/>
        <v>echo {"issue":{"subject":"","project_id":79,"tracker_id":40,"status_id":1,"priority_id":2,"assigned_to_id":23,"start_date":"2017-06-05","description":"","custom_fields":[{"id":1,"name":"Subdivision","value":"NW"},{"id":4,"name":"Milepost","value":"0.0701"},{"id":17,"name":"Train ID","value":"812-05"},{"id":16,"name":"Locomotive ID","value":"4045"},{"id":130,"name":"Impact","value":""},{"id":150,"name":"Time of Event (Mountain Time)","value":"08:54:39"},{"id":151,"name":"Denver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5" t="str">
        <f t="shared" si="59"/>
        <v>start /low /b %USERPROFILE%\Documents\GitHub\eaglep3\Utilities\DownloadLogsFromS3.py --loco 4045 --day 2017-06-05</v>
      </c>
      <c r="AN170" s="154" t="str">
        <f t="shared" si="60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14:54:39"},{"id":29,"name":"Sharepoint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697</v>
      </c>
      <c r="B171" s="7">
        <v>4046</v>
      </c>
      <c r="C171" s="21" t="s">
        <v>204</v>
      </c>
      <c r="D171" s="21" t="s">
        <v>531</v>
      </c>
      <c r="E171" s="13">
        <v>42891.384791666664</v>
      </c>
      <c r="F171" s="13">
        <v>42891.389907407407</v>
      </c>
      <c r="G171" s="7">
        <v>1</v>
      </c>
      <c r="H171" s="21" t="s">
        <v>956</v>
      </c>
      <c r="I171" s="13">
        <v>42891.399201388886</v>
      </c>
      <c r="J171" s="7">
        <v>0</v>
      </c>
      <c r="K171" s="92" t="str">
        <f t="shared" si="61"/>
        <v>4045/4046</v>
      </c>
      <c r="L171" s="21" t="str">
        <f>VLOOKUP(A171,'Trips&amp;Operators'!$C$1:$G$99999,5,FALSE)</f>
        <v>LOZA FIDEL</v>
      </c>
      <c r="M171" s="6">
        <f t="shared" si="62"/>
        <v>9.29398147854954E-3</v>
      </c>
      <c r="N171" s="7">
        <f t="shared" si="74"/>
        <v>13.383333329111338</v>
      </c>
      <c r="O171" s="7"/>
      <c r="P171" s="7"/>
      <c r="Q171" s="22"/>
      <c r="R171" s="173"/>
      <c r="S171" s="176">
        <f t="shared" si="72"/>
        <v>1</v>
      </c>
      <c r="T171" s="202" t="str">
        <f t="shared" si="63"/>
        <v>NorthBound</v>
      </c>
      <c r="U171" s="202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03" t="str">
        <f t="shared" si="64"/>
        <v>https://d0f6bd738d7f1b3e5a7ca70fe4ff75f0.us-east-1.aws.found.io/app/kibana#/discover/Steve-Slow-Train-Analysis-(2080s-and-2083s)?_g=(refreshInterval:(display:Off,pause:!f,section:0,value:0),time:(from:'2017-06-05T08:14:06-0600',mode:absolute,to:'2017-06-05T10:34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1" s="204" t="str">
        <f t="shared" si="65"/>
        <v>N</v>
      </c>
      <c r="X171" s="204">
        <f t="shared" si="75"/>
        <v>1</v>
      </c>
      <c r="Y171" s="204">
        <f t="shared" si="66"/>
        <v>9.7900000000000001E-2</v>
      </c>
      <c r="Z171" s="204">
        <f t="shared" si="73"/>
        <v>5.8948</v>
      </c>
      <c r="AA171" s="204">
        <f t="shared" si="67"/>
        <v>5.7968999999999999</v>
      </c>
      <c r="AB171" s="57" t="e">
        <f>VLOOKUP(A171,Enforcements!$C$7:$K$13,8,0)</f>
        <v>#N/A</v>
      </c>
      <c r="AC171" s="53" t="e">
        <f>VLOOKUP(A171,Enforcements!$C$7:$E$13,3,0)</f>
        <v>#N/A</v>
      </c>
      <c r="AD171" s="54" t="str">
        <f t="shared" si="68"/>
        <v>0813-05</v>
      </c>
      <c r="AE171" s="80" t="str">
        <f t="shared" si="69"/>
        <v>aws s3 cp s3://rtdc.mdm.uploadarchive.raw/RTDC4046/ "%USERPROFILE%\AppData\Local\Temp\OnboardLogs"\RTDC4046\2017-06-05 --exclude "*" --recursive --include "*20170605*" &amp; "%USERPROFILE%\Documents\GitHub\mrs-test-scripts\Headless Mode &amp; Sideloading\WalkAndUnGZ.bat" "%USERPROFILE%\AppData\Local\Temp\OnboardLogs"\RTDC4046\2017-06-05 &amp; aws s3 cp s3://rtdc.mdm.uploadarchive.raw/RTDC4046/ "%USERPROFILE%\AppData\Local\Temp\OnboardLogs"\RTDC4046\2017-06-06 --exclude "*" --recursive --include "*20170606*" &amp; "%USERPROFILE%\Documents\GitHub\mrs-test-scripts\Headless Mode &amp; Sideloading\WalkAndUnGZ.bat" "%USERPROFILE%\AppData\Local\Temp\OnboardLogs"\RTDC4046\2017-06-06</v>
      </c>
      <c r="AF171" s="77" t="str">
        <f t="shared" si="70"/>
        <v>"C:\Program Files (x86)\AstroGrep\AstroGrep.exe" /e /r /s /spath="%USERPROFILE%\AppData\Local\Temp\OnboardLogs" /stypes="app*4046*20170605*" /stext=" 15:.+((SYSTEM_STATE.+slice.+state.+changed )|(ment ac)|(multiple cpu faults)|(system.+state.+changed )|(\[timeout)|(PRM\|1\|D)|(kpr)|(kdp)|(train st.+moving)|(\|lc)|(penalty))"</v>
      </c>
      <c r="AG171" s="1" t="str">
        <f t="shared" si="71"/>
        <v>NW</v>
      </c>
      <c r="AH171" s="81" t="str">
        <f t="shared" si="57"/>
        <v>"%USERPROFILE%\Documents\GitHub\eaglep3\Utilities\RefineRTDCRunTimes.py" --tripid 813-05 --locoid 4046 --swversion DE.1.0.9.0 --startMP 204:979 --initTime 2017-06-05T09:14:06 --startdatetime 2017-06-05T09:21:28 --delay 1 --endMP 300:58948 --enddatetime 2017-06-05T09:34:51 --enforcementcount 0 &gt;&gt;C:\Users\stu\Documents\GitHub\eaglep3-reporting\EC\2017-06-05-refined-times.txt</v>
      </c>
      <c r="AI171" s="99" t="str">
        <f t="shared" si="58"/>
        <v>echo {"issue":{"subject":"","project_id":79,"tracker_id":40,"status_id":1,"priority_id":2,"assigned_to_id":23,"start_date":"2017-06-05","description":"","custom_fields":[{"id":1,"name":"Subdivision","value":"NW"},{"id":4,"name":"Milepost","value":"5.8948"},{"id":17,"name":"Train ID","value":"813-05"},{"id":16,"name":"Locomotive ID","value":"4046"},{"id":130,"name":"Impact","value":""},{"id":150,"name":"Time of Event (Mountain Time)","value":"09:34:51"},{"id":151,"name":"Denver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5" t="str">
        <f t="shared" si="59"/>
        <v>start /low /b %USERPROFILE%\Documents\GitHub\eaglep3\Utilities\DownloadLogsFromS3.py --loco 4046 --day 2017-06-05</v>
      </c>
      <c r="AN171" s="154" t="str">
        <f t="shared" si="60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15:34:51"},{"id":29,"name":"Sharepoint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702</v>
      </c>
      <c r="B172" s="7">
        <v>4045</v>
      </c>
      <c r="C172" s="21" t="s">
        <v>204</v>
      </c>
      <c r="D172" s="21" t="s">
        <v>960</v>
      </c>
      <c r="E172" s="13">
        <v>42891.401203703703</v>
      </c>
      <c r="F172" s="13">
        <v>42891.403067129628</v>
      </c>
      <c r="G172" s="7">
        <v>1</v>
      </c>
      <c r="H172" s="21" t="s">
        <v>568</v>
      </c>
      <c r="I172" s="13">
        <v>42891.414687500001</v>
      </c>
      <c r="J172" s="7">
        <v>0</v>
      </c>
      <c r="K172" s="92" t="str">
        <f t="shared" si="61"/>
        <v>4045/4046</v>
      </c>
      <c r="L172" s="21" t="str">
        <f>VLOOKUP(A172,'Trips&amp;Operators'!$C$1:$G$99999,5,FALSE)</f>
        <v>LOZA FIDEL</v>
      </c>
      <c r="M172" s="6">
        <f t="shared" si="62"/>
        <v>1.1620370372838806E-2</v>
      </c>
      <c r="N172" s="7">
        <f t="shared" si="74"/>
        <v>16.733333336887881</v>
      </c>
      <c r="O172" s="7"/>
      <c r="P172" s="7"/>
      <c r="Q172" s="22"/>
      <c r="R172" s="173"/>
      <c r="S172" s="176">
        <f t="shared" si="72"/>
        <v>1</v>
      </c>
      <c r="T172" s="202" t="str">
        <f t="shared" si="63"/>
        <v>Southbound</v>
      </c>
      <c r="U172" s="202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03" t="str">
        <f t="shared" si="64"/>
        <v>https://d0f6bd738d7f1b3e5a7ca70fe4ff75f0.us-east-1.aws.found.io/app/kibana#/discover/Steve-Slow-Train-Analysis-(2080s-and-2083s)?_g=(refreshInterval:(display:Off,pause:!f,section:0,value:0),time:(from:'2017-06-05T08:37:44-0600',mode:absolute,to:'2017-06-05T10:57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72" s="204" t="str">
        <f t="shared" si="65"/>
        <v>N</v>
      </c>
      <c r="X172" s="204">
        <f t="shared" si="75"/>
        <v>1</v>
      </c>
      <c r="Y172" s="204">
        <f t="shared" si="66"/>
        <v>5.8624000000000001</v>
      </c>
      <c r="Z172" s="204">
        <f t="shared" si="73"/>
        <v>7.0300000000000001E-2</v>
      </c>
      <c r="AA172" s="204">
        <f t="shared" si="67"/>
        <v>5.7921000000000005</v>
      </c>
      <c r="AB172" s="57" t="e">
        <f>VLOOKUP(A172,Enforcements!$C$7:$K$13,8,0)</f>
        <v>#N/A</v>
      </c>
      <c r="AC172" s="53" t="e">
        <f>VLOOKUP(A172,Enforcements!$C$7:$E$13,3,0)</f>
        <v>#N/A</v>
      </c>
      <c r="AD172" s="54" t="str">
        <f t="shared" si="68"/>
        <v>0814-05</v>
      </c>
      <c r="AE172" s="80" t="str">
        <f t="shared" si="69"/>
        <v>aws s3 cp s3://rtdc.mdm.uploadarchive.raw/RTDC4045/ "%USERPROFILE%\AppData\Local\Temp\OnboardLogs"\RTDC4045\2017-06-05 --exclude "*" --recursive --include "*20170605*" &amp; "%USERPROFILE%\Documents\GitHub\mrs-test-scripts\Headless Mode &amp; Sideloading\WalkAndUnGZ.bat" "%USERPROFILE%\AppData\Local\Temp\OnboardLogs"\RTDC4045\2017-06-05 &amp; aws s3 cp s3://rtdc.mdm.uploadarchive.raw/RTDC4045/ "%USERPROFILE%\AppData\Local\Temp\OnboardLogs"\RTDC4045\2017-06-06 --exclude "*" --recursive --include "*20170606*" &amp; "%USERPROFILE%\Documents\GitHub\mrs-test-scripts\Headless Mode &amp; Sideloading\WalkAndUnGZ.bat" "%USERPROFILE%\AppData\Local\Temp\OnboardLogs"\RTDC4045\2017-06-06</v>
      </c>
      <c r="AF172" s="77" t="str">
        <f t="shared" si="70"/>
        <v>"C:\Program Files (x86)\AstroGrep\AstroGrep.exe" /e /r /s /spath="%USERPROFILE%\AppData\Local\Temp\OnboardLogs" /stypes="app*4045*20170605*" /stext=" 15:.+((SYSTEM_STATE.+slice.+state.+changed )|(ment ac)|(multiple cpu faults)|(system.+state.+changed )|(\[timeout)|(PRM\|1\|D)|(kpr)|(kdp)|(train st.+moving)|(\|lc)|(penalty))"</v>
      </c>
      <c r="AG172" s="1" t="str">
        <f t="shared" si="71"/>
        <v>NW</v>
      </c>
      <c r="AH172" s="81" t="str">
        <f t="shared" si="57"/>
        <v>"%USERPROFILE%\Documents\GitHub\eaglep3\Utilities\RefineRTDCRunTimes.py" --tripid 814-05 --locoid 4045 --swversion DE.1.0.9.0 --startMP 300:58624 --initTime 2017-06-05T09:37:44 --startdatetime 2017-06-05T09:40:25 --delay 1 --endMP 204:703 --enddatetime 2017-06-05T09:57:09 --enforcementcount 0 &gt;&gt;C:\Users\stu\Documents\GitHub\eaglep3-reporting\EC\2017-06-05-refined-times.txt</v>
      </c>
      <c r="AI172" s="99" t="str">
        <f t="shared" si="58"/>
        <v>echo {"issue":{"subject":"","project_id":79,"tracker_id":40,"status_id":1,"priority_id":2,"assigned_to_id":23,"start_date":"2017-06-05","description":"","custom_fields":[{"id":1,"name":"Subdivision","value":"NW"},{"id":4,"name":"Milepost","value":"0.0703"},{"id":17,"name":"Train ID","value":"814-05"},{"id":16,"name":"Locomotive ID","value":"4045"},{"id":130,"name":"Impact","value":""},{"id":150,"name":"Time of Event (Mountain Time)","value":"09:57:09"},{"id":151,"name":"Denver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5" t="str">
        <f t="shared" si="59"/>
        <v>start /low /b %USERPROFILE%\Documents\GitHub\eaglep3\Utilities\DownloadLogsFromS3.py --loco 4045 --day 2017-06-05</v>
      </c>
      <c r="AN172" s="154" t="str">
        <f t="shared" si="60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15:57:09"},{"id":29,"name":"Sharepoint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707</v>
      </c>
      <c r="B173" s="7">
        <v>4046</v>
      </c>
      <c r="C173" s="21" t="s">
        <v>204</v>
      </c>
      <c r="D173" s="21" t="s">
        <v>961</v>
      </c>
      <c r="E173" s="13">
        <v>42891.425810185188</v>
      </c>
      <c r="F173" s="13">
        <v>42891.431504629632</v>
      </c>
      <c r="G173" s="7">
        <v>1</v>
      </c>
      <c r="H173" s="21" t="s">
        <v>962</v>
      </c>
      <c r="I173" s="13">
        <v>42891.440879629627</v>
      </c>
      <c r="J173" s="7">
        <v>0</v>
      </c>
      <c r="K173" s="92" t="str">
        <f t="shared" si="61"/>
        <v>4045/4046</v>
      </c>
      <c r="L173" s="21" t="str">
        <f>VLOOKUP(A173,'Trips&amp;Operators'!$C$1:$G$99999,5,FALSE)</f>
        <v>LOZA FIDEL</v>
      </c>
      <c r="M173" s="6">
        <f t="shared" si="62"/>
        <v>9.3749999941792339E-3</v>
      </c>
      <c r="N173" s="7">
        <f t="shared" si="74"/>
        <v>13.499999991618097</v>
      </c>
      <c r="O173" s="7"/>
      <c r="P173" s="7"/>
      <c r="Q173" s="22"/>
      <c r="R173" s="173"/>
      <c r="S173" s="176">
        <f t="shared" si="72"/>
        <v>1</v>
      </c>
      <c r="T173" s="202" t="str">
        <f t="shared" si="63"/>
        <v>NorthBound</v>
      </c>
      <c r="U173" s="202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03" t="str">
        <f t="shared" si="64"/>
        <v>https://d0f6bd738d7f1b3e5a7ca70fe4ff75f0.us-east-1.aws.found.io/app/kibana#/discover/Steve-Slow-Train-Analysis-(2080s-and-2083s)?_g=(refreshInterval:(display:Off,pause:!f,section:0,value:0),time:(from:'2017-06-05T09:13:10-0600',mode:absolute,to:'2017-06-05T11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3" s="204" t="str">
        <f t="shared" si="65"/>
        <v>N</v>
      </c>
      <c r="X173" s="204">
        <f t="shared" si="75"/>
        <v>1</v>
      </c>
      <c r="Y173" s="204">
        <f t="shared" ref="Y173:Y197" si="76">RIGHT(D173,LEN(D173)-4)/10000</f>
        <v>9.8500000000000004E-2</v>
      </c>
      <c r="Z173" s="204">
        <f t="shared" si="73"/>
        <v>5.8944000000000001</v>
      </c>
      <c r="AA173" s="204">
        <f t="shared" si="67"/>
        <v>5.7959000000000005</v>
      </c>
      <c r="AB173" s="57" t="e">
        <f>VLOOKUP(A173,Enforcements!$C$7:$K$13,8,0)</f>
        <v>#N/A</v>
      </c>
      <c r="AC173" s="53" t="e">
        <f>VLOOKUP(A173,Enforcements!$C$7:$E$13,3,0)</f>
        <v>#N/A</v>
      </c>
      <c r="AD173" s="54" t="str">
        <f t="shared" si="68"/>
        <v>0815-05</v>
      </c>
      <c r="AE173" s="80" t="str">
        <f t="shared" si="69"/>
        <v>aws s3 cp s3://rtdc.mdm.uploadarchive.raw/RTDC4046/ "%USERPROFILE%\AppData\Local\Temp\OnboardLogs"\RTDC4046\2017-06-05 --exclude "*" --recursive --include "*20170605*" &amp; "%USERPROFILE%\Documents\GitHub\mrs-test-scripts\Headless Mode &amp; Sideloading\WalkAndUnGZ.bat" "%USERPROFILE%\AppData\Local\Temp\OnboardLogs"\RTDC4046\2017-06-05 &amp; aws s3 cp s3://rtdc.mdm.uploadarchive.raw/RTDC4046/ "%USERPROFILE%\AppData\Local\Temp\OnboardLogs"\RTDC4046\2017-06-06 --exclude "*" --recursive --include "*20170606*" &amp; "%USERPROFILE%\Documents\GitHub\mrs-test-scripts\Headless Mode &amp; Sideloading\WalkAndUnGZ.bat" "%USERPROFILE%\AppData\Local\Temp\OnboardLogs"\RTDC4046\2017-06-06</v>
      </c>
      <c r="AF173" s="77" t="str">
        <f t="shared" si="70"/>
        <v>"C:\Program Files (x86)\AstroGrep\AstroGrep.exe" /e /r /s /spath="%USERPROFILE%\AppData\Local\Temp\OnboardLogs" /stypes="app*4046*20170605*" /stext=" 16:.+((SYSTEM_STATE.+slice.+state.+changed )|(ment ac)|(multiple cpu faults)|(system.+state.+changed )|(\[timeout)|(PRM\|1\|D)|(kpr)|(kdp)|(train st.+moving)|(\|lc)|(penalty))"</v>
      </c>
      <c r="AG173" s="1" t="str">
        <f t="shared" si="71"/>
        <v>NW</v>
      </c>
      <c r="AH173" s="81" t="str">
        <f t="shared" si="57"/>
        <v>"%USERPROFILE%\Documents\GitHub\eaglep3\Utilities\RefineRTDCRunTimes.py" --tripid 815-05 --locoid 4046 --swversion DE.1.0.9.0 --startMP 204:985 --initTime 2017-06-05T10:13:10 --startdatetime 2017-06-05T10:21:22 --delay 1 --endMP 300:58944 --enddatetime 2017-06-05T10:34:52 --enforcementcount 0 &gt;&gt;C:\Users\stu\Documents\GitHub\eaglep3-reporting\EC\2017-06-05-refined-times.txt</v>
      </c>
      <c r="AI173" s="99" t="str">
        <f t="shared" si="58"/>
        <v>echo {"issue":{"subject":"","project_id":79,"tracker_id":40,"status_id":1,"priority_id":2,"assigned_to_id":23,"start_date":"2017-06-05","description":"","custom_fields":[{"id":1,"name":"Subdivision","value":"NW"},{"id":4,"name":"Milepost","value":"5.8944"},{"id":17,"name":"Train ID","value":"815-05"},{"id":16,"name":"Locomotive ID","value":"4046"},{"id":130,"name":"Impact","value":""},{"id":150,"name":"Time of Event (Mountain Time)","value":"10:34:52"},{"id":151,"name":"Denver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7"/>
      <c r="AL173" s="47"/>
      <c r="AM173" s="145" t="str">
        <f t="shared" si="59"/>
        <v>start /low /b %USERPROFILE%\Documents\GitHub\eaglep3\Utilities\DownloadLogsFromS3.py --loco 4046 --day 2017-06-05</v>
      </c>
      <c r="AN173" s="154" t="str">
        <f t="shared" si="60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16:34:52"},{"id":29,"name":"Sharepoint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711</v>
      </c>
      <c r="B174" s="7">
        <v>4045</v>
      </c>
      <c r="C174" s="21" t="s">
        <v>204</v>
      </c>
      <c r="D174" s="21" t="s">
        <v>960</v>
      </c>
      <c r="E174" s="13">
        <v>42891.442141203705</v>
      </c>
      <c r="F174" s="13">
        <v>42891.443784722222</v>
      </c>
      <c r="G174" s="7">
        <v>1</v>
      </c>
      <c r="H174" s="21" t="s">
        <v>963</v>
      </c>
      <c r="I174" s="13">
        <v>42891.454895833333</v>
      </c>
      <c r="J174" s="7">
        <v>0</v>
      </c>
      <c r="K174" s="92" t="str">
        <f t="shared" si="61"/>
        <v>4045/4046</v>
      </c>
      <c r="L174" s="21" t="str">
        <f>VLOOKUP(A174,'Trips&amp;Operators'!$C$1:$G$99999,5,FALSE)</f>
        <v>LOZA FIDEL</v>
      </c>
      <c r="M174" s="6">
        <f t="shared" si="62"/>
        <v>1.1111111110949423E-2</v>
      </c>
      <c r="N174" s="7">
        <f t="shared" si="74"/>
        <v>15.999999999767169</v>
      </c>
      <c r="O174" s="7"/>
      <c r="P174" s="7"/>
      <c r="Q174" s="22"/>
      <c r="R174" s="173"/>
      <c r="S174" s="176">
        <f t="shared" ref="S174:S197" si="77">SUM(U174:U174)/IF(AG174="EC",12,1)</f>
        <v>1</v>
      </c>
      <c r="T174" s="202" t="str">
        <f t="shared" si="63"/>
        <v>Southbound</v>
      </c>
      <c r="U174" s="202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03" t="str">
        <f t="shared" si="64"/>
        <v>https://d0f6bd738d7f1b3e5a7ca70fe4ff75f0.us-east-1.aws.found.io/app/kibana#/discover/Steve-Slow-Train-Analysis-(2080s-and-2083s)?_g=(refreshInterval:(display:Off,pause:!f,section:0,value:0),time:(from:'2017-06-05T09:36:41-0600',mode:absolute,to:'2017-06-05T11:55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74" s="204" t="str">
        <f t="shared" si="65"/>
        <v>N</v>
      </c>
      <c r="X174" s="204">
        <f t="shared" si="75"/>
        <v>1</v>
      </c>
      <c r="Y174" s="204">
        <f t="shared" si="76"/>
        <v>5.8624000000000001</v>
      </c>
      <c r="Z174" s="204">
        <f t="shared" si="73"/>
        <v>7.1300000000000002E-2</v>
      </c>
      <c r="AA174" s="204">
        <f t="shared" si="67"/>
        <v>5.7911000000000001</v>
      </c>
      <c r="AB174" s="57" t="e">
        <f>VLOOKUP(A174,Enforcements!$C$7:$K$13,8,0)</f>
        <v>#N/A</v>
      </c>
      <c r="AC174" s="53" t="e">
        <f>VLOOKUP(A174,Enforcements!$C$7:$E$13,3,0)</f>
        <v>#N/A</v>
      </c>
      <c r="AD174" s="54" t="str">
        <f t="shared" si="68"/>
        <v>0816-05</v>
      </c>
      <c r="AE174" s="80" t="str">
        <f t="shared" si="69"/>
        <v>aws s3 cp s3://rtdc.mdm.uploadarchive.raw/RTDC4045/ "%USERPROFILE%\AppData\Local\Temp\OnboardLogs"\RTDC4045\2017-06-05 --exclude "*" --recursive --include "*20170605*" &amp; "%USERPROFILE%\Documents\GitHub\mrs-test-scripts\Headless Mode &amp; Sideloading\WalkAndUnGZ.bat" "%USERPROFILE%\AppData\Local\Temp\OnboardLogs"\RTDC4045\2017-06-05 &amp; aws s3 cp s3://rtdc.mdm.uploadarchive.raw/RTDC4045/ "%USERPROFILE%\AppData\Local\Temp\OnboardLogs"\RTDC4045\2017-06-06 --exclude "*" --recursive --include "*20170606*" &amp; "%USERPROFILE%\Documents\GitHub\mrs-test-scripts\Headless Mode &amp; Sideloading\WalkAndUnGZ.bat" "%USERPROFILE%\AppData\Local\Temp\OnboardLogs"\RTDC4045\2017-06-06</v>
      </c>
      <c r="AF174" s="77" t="str">
        <f t="shared" si="70"/>
        <v>"C:\Program Files (x86)\AstroGrep\AstroGrep.exe" /e /r /s /spath="%USERPROFILE%\AppData\Local\Temp\OnboardLogs" /stypes="app*4045*20170605*" /stext=" 16:.+((SYSTEM_STATE.+slice.+state.+changed )|(ment ac)|(multiple cpu faults)|(system.+state.+changed )|(\[timeout)|(PRM\|1\|D)|(kpr)|(kdp)|(train st.+moving)|(\|lc)|(penalty))"</v>
      </c>
      <c r="AG174" s="1" t="str">
        <f t="shared" si="71"/>
        <v>NW</v>
      </c>
      <c r="AH174" s="81" t="str">
        <f t="shared" si="57"/>
        <v>"%USERPROFILE%\Documents\GitHub\eaglep3\Utilities\RefineRTDCRunTimes.py" --tripid 816-05 --locoid 4045 --swversion DE.1.0.9.0 --startMP 300:58624 --initTime 2017-06-05T10:36:41 --startdatetime 2017-06-05T10:39:03 --delay 1 --endMP 204:713 --enddatetime 2017-06-05T10:55:03 --enforcementcount 0 &gt;&gt;C:\Users\stu\Documents\GitHub\eaglep3-reporting\EC\2017-06-05-refined-times.txt</v>
      </c>
      <c r="AI174" s="99" t="str">
        <f t="shared" si="58"/>
        <v>echo {"issue":{"subject":"","project_id":79,"tracker_id":40,"status_id":1,"priority_id":2,"assigned_to_id":23,"start_date":"2017-06-05","description":"","custom_fields":[{"id":1,"name":"Subdivision","value":"NW"},{"id":4,"name":"Milepost","value":"0.0713"},{"id":17,"name":"Train ID","value":"816-05"},{"id":16,"name":"Locomotive ID","value":"4045"},{"id":130,"name":"Impact","value":""},{"id":150,"name":"Time of Event (Mountain Time)","value":"10:55:03"},{"id":151,"name":"Denver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7"/>
      <c r="AL174" s="47"/>
      <c r="AM174" s="145" t="str">
        <f t="shared" si="59"/>
        <v>start /low /b %USERPROFILE%\Documents\GitHub\eaglep3\Utilities\DownloadLogsFromS3.py --loco 4045 --day 2017-06-05</v>
      </c>
      <c r="AN174" s="154" t="str">
        <f t="shared" si="60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16:55:03"},{"id":29,"name":"Sharepoint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2" t="s">
        <v>717</v>
      </c>
      <c r="B175" s="7">
        <v>4046</v>
      </c>
      <c r="C175" s="21" t="s">
        <v>204</v>
      </c>
      <c r="D175" s="21" t="s">
        <v>955</v>
      </c>
      <c r="E175" s="13">
        <v>42891.468055555553</v>
      </c>
      <c r="F175" s="13">
        <v>42891.473113425927</v>
      </c>
      <c r="G175" s="7">
        <v>1</v>
      </c>
      <c r="H175" s="21" t="s">
        <v>964</v>
      </c>
      <c r="I175" s="13">
        <v>42891.482476851852</v>
      </c>
      <c r="J175" s="7">
        <v>0</v>
      </c>
      <c r="K175" s="92" t="str">
        <f t="shared" si="61"/>
        <v>4045/4046</v>
      </c>
      <c r="L175" s="21" t="str">
        <f>VLOOKUP(A175,'Trips&amp;Operators'!$C$1:$G$99999,5,FALSE)</f>
        <v>LOZA FIDEL</v>
      </c>
      <c r="M175" s="6">
        <f t="shared" si="62"/>
        <v>9.3634259246755391E-3</v>
      </c>
      <c r="N175" s="7">
        <f t="shared" si="74"/>
        <v>13.483333331532776</v>
      </c>
      <c r="O175" s="7"/>
      <c r="P175" s="7"/>
      <c r="Q175" s="22"/>
      <c r="R175" s="173"/>
      <c r="S175" s="176">
        <f t="shared" si="77"/>
        <v>1</v>
      </c>
      <c r="T175" s="202" t="str">
        <f t="shared" si="63"/>
        <v>NorthBound</v>
      </c>
      <c r="U175" s="202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03" t="str">
        <f t="shared" si="64"/>
        <v>https://d0f6bd738d7f1b3e5a7ca70fe4ff75f0.us-east-1.aws.found.io/app/kibana#/discover/Steve-Slow-Train-Analysis-(2080s-and-2083s)?_g=(refreshInterval:(display:Off,pause:!f,section:0,value:0),time:(from:'2017-06-05T10:14:00-0600',mode:absolute,to:'2017-06-05T12:34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5" s="204" t="str">
        <f t="shared" si="65"/>
        <v>N</v>
      </c>
      <c r="X175" s="204">
        <f t="shared" si="75"/>
        <v>1</v>
      </c>
      <c r="Y175" s="204">
        <f t="shared" si="76"/>
        <v>9.8299999999999998E-2</v>
      </c>
      <c r="Z175" s="204">
        <f t="shared" si="73"/>
        <v>5.8935000000000004</v>
      </c>
      <c r="AA175" s="204">
        <f t="shared" si="67"/>
        <v>5.7952000000000004</v>
      </c>
      <c r="AB175" s="57" t="e">
        <f>VLOOKUP(A175,Enforcements!$C$7:$K$13,8,0)</f>
        <v>#N/A</v>
      </c>
      <c r="AC175" s="53" t="e">
        <f>VLOOKUP(A175,Enforcements!$C$7:$E$13,3,0)</f>
        <v>#N/A</v>
      </c>
      <c r="AD175" s="54" t="str">
        <f t="shared" si="68"/>
        <v>0817-05</v>
      </c>
      <c r="AE175" s="80" t="str">
        <f t="shared" si="69"/>
        <v>aws s3 cp s3://rtdc.mdm.uploadarchive.raw/RTDC4046/ "%USERPROFILE%\AppData\Local\Temp\OnboardLogs"\RTDC4046\2017-06-05 --exclude "*" --recursive --include "*20170605*" &amp; "%USERPROFILE%\Documents\GitHub\mrs-test-scripts\Headless Mode &amp; Sideloading\WalkAndUnGZ.bat" "%USERPROFILE%\AppData\Local\Temp\OnboardLogs"\RTDC4046\2017-06-05 &amp; aws s3 cp s3://rtdc.mdm.uploadarchive.raw/RTDC4046/ "%USERPROFILE%\AppData\Local\Temp\OnboardLogs"\RTDC4046\2017-06-06 --exclude "*" --recursive --include "*20170606*" &amp; "%USERPROFILE%\Documents\GitHub\mrs-test-scripts\Headless Mode &amp; Sideloading\WalkAndUnGZ.bat" "%USERPROFILE%\AppData\Local\Temp\OnboardLogs"\RTDC4046\2017-06-06</v>
      </c>
      <c r="AF175" s="77" t="str">
        <f t="shared" si="70"/>
        <v>"C:\Program Files (x86)\AstroGrep\AstroGrep.exe" /e /r /s /spath="%USERPROFILE%\AppData\Local\Temp\OnboardLogs" /stypes="app*4046*20170605*" /stext=" 17:.+((SYSTEM_STATE.+slice.+state.+changed )|(ment ac)|(multiple cpu faults)|(system.+state.+changed )|(\[timeout)|(PRM\|1\|D)|(kpr)|(kdp)|(train st.+moving)|(\|lc)|(penalty))"</v>
      </c>
      <c r="AG175" s="1" t="str">
        <f t="shared" si="71"/>
        <v>NW</v>
      </c>
      <c r="AH175" s="81" t="str">
        <f t="shared" si="57"/>
        <v>"%USERPROFILE%\Documents\GitHub\eaglep3\Utilities\RefineRTDCRunTimes.py" --tripid 817-05 --locoid 4046 --swversion DE.1.0.9.0 --startMP 204:983 --initTime 2017-06-05T11:14:00 --startdatetime 2017-06-05T11:21:17 --delay 1 --endMP 300:58935 --enddatetime 2017-06-05T11:34:46 --enforcementcount 0 &gt;&gt;C:\Users\stu\Documents\GitHub\eaglep3-reporting\EC\2017-06-05-refined-times.txt</v>
      </c>
      <c r="AI175" s="99" t="str">
        <f t="shared" si="58"/>
        <v>echo {"issue":{"subject":"","project_id":79,"tracker_id":40,"status_id":1,"priority_id":2,"assigned_to_id":23,"start_date":"2017-06-05","description":"","custom_fields":[{"id":1,"name":"Subdivision","value":"NW"},{"id":4,"name":"Milepost","value":"5.8935"},{"id":17,"name":"Train ID","value":"817-05"},{"id":16,"name":"Locomotive ID","value":"4046"},{"id":130,"name":"Impact","value":""},{"id":150,"name":"Time of Event (Mountain Time)","value":"11:34:46"},{"id":151,"name":"Denver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5" t="str">
        <f t="shared" si="59"/>
        <v>start /low /b %USERPROFILE%\Documents\GitHub\eaglep3\Utilities\DownloadLogsFromS3.py --loco 4046 --day 2017-06-05</v>
      </c>
      <c r="AN175" s="154" t="str">
        <f t="shared" si="60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17:34:46"},{"id":29,"name":"Sharepoint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6" spans="1:91" x14ac:dyDescent="0.25">
      <c r="A176" s="32" t="s">
        <v>722</v>
      </c>
      <c r="B176" s="7">
        <v>4045</v>
      </c>
      <c r="C176" s="21" t="s">
        <v>204</v>
      </c>
      <c r="D176" s="21" t="s">
        <v>965</v>
      </c>
      <c r="E176" s="13">
        <v>42891.483854166669</v>
      </c>
      <c r="F176" s="13">
        <v>42891.485555555555</v>
      </c>
      <c r="G176" s="7">
        <v>1</v>
      </c>
      <c r="H176" s="21" t="s">
        <v>952</v>
      </c>
      <c r="I176" s="13">
        <v>42891.496354166666</v>
      </c>
      <c r="J176" s="7">
        <v>0</v>
      </c>
      <c r="K176" s="92" t="str">
        <f t="shared" si="61"/>
        <v>4045/4046</v>
      </c>
      <c r="L176" s="21" t="str">
        <f>VLOOKUP(A176,'Trips&amp;Operators'!$C$1:$G$99999,5,FALSE)</f>
        <v>LOZA FIDEL</v>
      </c>
      <c r="M176" s="6">
        <f t="shared" si="62"/>
        <v>1.0798611110658385E-2</v>
      </c>
      <c r="N176" s="7">
        <f t="shared" si="74"/>
        <v>15.549999999348074</v>
      </c>
      <c r="O176" s="7"/>
      <c r="P176" s="7"/>
      <c r="Q176" s="22"/>
      <c r="R176" s="173"/>
      <c r="S176" s="176">
        <f t="shared" si="77"/>
        <v>1</v>
      </c>
      <c r="T176" s="202" t="str">
        <f t="shared" si="63"/>
        <v>Southbound</v>
      </c>
      <c r="U176" s="202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03" t="str">
        <f t="shared" si="64"/>
        <v>https://d0f6bd738d7f1b3e5a7ca70fe4ff75f0.us-east-1.aws.found.io/app/kibana#/discover/Steve-Slow-Train-Analysis-(2080s-and-2083s)?_g=(refreshInterval:(display:Off,pause:!f,section:0,value:0),time:(from:'2017-06-05T10:36:45-0600',mode:absolute,to:'2017-06-05T12:54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76" s="204" t="str">
        <f t="shared" si="65"/>
        <v>N</v>
      </c>
      <c r="X176" s="204">
        <f t="shared" si="75"/>
        <v>1</v>
      </c>
      <c r="Y176" s="204">
        <f t="shared" si="76"/>
        <v>5.8608000000000002</v>
      </c>
      <c r="Z176" s="204">
        <f t="shared" si="73"/>
        <v>6.8699999999999997E-2</v>
      </c>
      <c r="AA176" s="204">
        <f t="shared" si="67"/>
        <v>5.7921000000000005</v>
      </c>
      <c r="AB176" s="57" t="e">
        <f>VLOOKUP(A176,Enforcements!$C$7:$K$13,8,0)</f>
        <v>#N/A</v>
      </c>
      <c r="AC176" s="53" t="e">
        <f>VLOOKUP(A176,Enforcements!$C$7:$E$13,3,0)</f>
        <v>#N/A</v>
      </c>
      <c r="AD176" s="54" t="str">
        <f t="shared" si="68"/>
        <v>0818-05</v>
      </c>
      <c r="AE176" s="80" t="str">
        <f t="shared" si="69"/>
        <v>aws s3 cp s3://rtdc.mdm.uploadarchive.raw/RTDC4045/ "%USERPROFILE%\AppData\Local\Temp\OnboardLogs"\RTDC4045\2017-06-05 --exclude "*" --recursive --include "*20170605*" &amp; "%USERPROFILE%\Documents\GitHub\mrs-test-scripts\Headless Mode &amp; Sideloading\WalkAndUnGZ.bat" "%USERPROFILE%\AppData\Local\Temp\OnboardLogs"\RTDC4045\2017-06-05 &amp; aws s3 cp s3://rtdc.mdm.uploadarchive.raw/RTDC4045/ "%USERPROFILE%\AppData\Local\Temp\OnboardLogs"\RTDC4045\2017-06-06 --exclude "*" --recursive --include "*20170606*" &amp; "%USERPROFILE%\Documents\GitHub\mrs-test-scripts\Headless Mode &amp; Sideloading\WalkAndUnGZ.bat" "%USERPROFILE%\AppData\Local\Temp\OnboardLogs"\RTDC4045\2017-06-06</v>
      </c>
      <c r="AF176" s="77" t="str">
        <f t="shared" si="70"/>
        <v>"C:\Program Files (x86)\AstroGrep\AstroGrep.exe" /e /r /s /spath="%USERPROFILE%\AppData\Local\Temp\OnboardLogs" /stypes="app*4045*20170605*" /stext=" 17:.+((SYSTEM_STATE.+slice.+state.+changed )|(ment ac)|(multiple cpu faults)|(system.+state.+changed )|(\[timeout)|(PRM\|1\|D)|(kpr)|(kdp)|(train st.+moving)|(\|lc)|(penalty))"</v>
      </c>
      <c r="AG176" s="1" t="str">
        <f t="shared" si="71"/>
        <v>NW</v>
      </c>
      <c r="AH176" s="81" t="str">
        <f t="shared" si="57"/>
        <v>"%USERPROFILE%\Documents\GitHub\eaglep3\Utilities\RefineRTDCRunTimes.py" --tripid 818-05 --locoid 4045 --swversion DE.1.0.9.0 --startMP 300:58608 --initTime 2017-06-05T11:36:45 --startdatetime 2017-06-05T11:39:12 --delay 1 --endMP 204:687 --enddatetime 2017-06-05T11:54:45 --enforcementcount 0 &gt;&gt;C:\Users\stu\Documents\GitHub\eaglep3-reporting\EC\2017-06-05-refined-times.txt</v>
      </c>
      <c r="AI176" s="99" t="str">
        <f t="shared" si="58"/>
        <v>echo {"issue":{"subject":"","project_id":79,"tracker_id":40,"status_id":1,"priority_id":2,"assigned_to_id":23,"start_date":"2017-06-05","description":"","custom_fields":[{"id":1,"name":"Subdivision","value":"NW"},{"id":4,"name":"Milepost","value":"0.0687"},{"id":17,"name":"Train ID","value":"818-05"},{"id":16,"name":"Locomotive ID","value":"4045"},{"id":130,"name":"Impact","value":""},{"id":150,"name":"Time of Event (Mountain Time)","value":"11:54:45"},{"id":151,"name":"Denver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5" t="str">
        <f t="shared" si="59"/>
        <v>start /low /b %USERPROFILE%\Documents\GitHub\eaglep3\Utilities\DownloadLogsFromS3.py --loco 4045 --day 2017-06-05</v>
      </c>
      <c r="AN176" s="154" t="str">
        <f t="shared" si="60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17:54:45"},{"id":29,"name":"Sharepoint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x14ac:dyDescent="0.25">
      <c r="A177" s="32" t="s">
        <v>729</v>
      </c>
      <c r="B177" s="7">
        <v>4046</v>
      </c>
      <c r="C177" s="21" t="s">
        <v>204</v>
      </c>
      <c r="D177" s="21" t="s">
        <v>572</v>
      </c>
      <c r="E177" s="13">
        <v>42891.497939814813</v>
      </c>
      <c r="F177" s="13">
        <v>42891.514780092592</v>
      </c>
      <c r="G177" s="7">
        <v>1</v>
      </c>
      <c r="H177" s="21" t="s">
        <v>966</v>
      </c>
      <c r="I177" s="13">
        <v>42891.523668981485</v>
      </c>
      <c r="J177" s="7">
        <v>0</v>
      </c>
      <c r="K177" s="92" t="str">
        <f t="shared" si="61"/>
        <v>4045/4046</v>
      </c>
      <c r="L177" s="21" t="str">
        <f>VLOOKUP(A177,'Trips&amp;Operators'!$C$1:$G$99999,5,FALSE)</f>
        <v>LOZA FIDEL</v>
      </c>
      <c r="M177" s="6">
        <f t="shared" si="62"/>
        <v>8.8888888931251131E-3</v>
      </c>
      <c r="N177" s="7">
        <f t="shared" si="74"/>
        <v>12.800000006100163</v>
      </c>
      <c r="O177" s="7"/>
      <c r="P177" s="7"/>
      <c r="Q177" s="22"/>
      <c r="R177" s="173"/>
      <c r="S177" s="176">
        <f t="shared" si="77"/>
        <v>1</v>
      </c>
      <c r="T177" s="202" t="str">
        <f t="shared" si="63"/>
        <v>NorthBound</v>
      </c>
      <c r="U177" s="202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03" t="str">
        <f t="shared" si="64"/>
        <v>https://d0f6bd738d7f1b3e5a7ca70fe4ff75f0.us-east-1.aws.found.io/app/kibana#/discover/Steve-Slow-Train-Analysis-(2080s-and-2083s)?_g=(refreshInterval:(display:Off,pause:!f,section:0,value:0),time:(from:'2017-06-05T10:57:02-0600',mode:absolute,to:'2017-06-05T13:34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7" s="204" t="str">
        <f t="shared" si="65"/>
        <v>N</v>
      </c>
      <c r="X177" s="204">
        <f t="shared" si="75"/>
        <v>1</v>
      </c>
      <c r="Y177" s="204">
        <f t="shared" si="76"/>
        <v>9.7600000000000006E-2</v>
      </c>
      <c r="Z177" s="204">
        <f t="shared" ref="Z177:Z196" si="78">RIGHT(H177,LEN(H177)-4)/10000</f>
        <v>5.8940999999999999</v>
      </c>
      <c r="AA177" s="204">
        <f t="shared" si="67"/>
        <v>5.7965</v>
      </c>
      <c r="AB177" s="57" t="e">
        <f>VLOOKUP(A177,Enforcements!$C$7:$K$13,8,0)</f>
        <v>#N/A</v>
      </c>
      <c r="AC177" s="53" t="e">
        <f>VLOOKUP(A177,Enforcements!$C$7:$E$13,3,0)</f>
        <v>#N/A</v>
      </c>
      <c r="AD177" s="54" t="str">
        <f t="shared" si="68"/>
        <v>0819-05</v>
      </c>
      <c r="AE177" s="80" t="str">
        <f t="shared" si="69"/>
        <v>aws s3 cp s3://rtdc.mdm.uploadarchive.raw/RTDC4046/ "%USERPROFILE%\AppData\Local\Temp\OnboardLogs"\RTDC4046\2017-06-05 --exclude "*" --recursive --include "*20170605*" &amp; "%USERPROFILE%\Documents\GitHub\mrs-test-scripts\Headless Mode &amp; Sideloading\WalkAndUnGZ.bat" "%USERPROFILE%\AppData\Local\Temp\OnboardLogs"\RTDC4046\2017-06-05 &amp; aws s3 cp s3://rtdc.mdm.uploadarchive.raw/RTDC4046/ "%USERPROFILE%\AppData\Local\Temp\OnboardLogs"\RTDC4046\2017-06-06 --exclude "*" --recursive --include "*20170606*" &amp; "%USERPROFILE%\Documents\GitHub\mrs-test-scripts\Headless Mode &amp; Sideloading\WalkAndUnGZ.bat" "%USERPROFILE%\AppData\Local\Temp\OnboardLogs"\RTDC4046\2017-06-06</v>
      </c>
      <c r="AF177" s="77" t="str">
        <f t="shared" si="70"/>
        <v>"C:\Program Files (x86)\AstroGrep\AstroGrep.exe" /e /r /s /spath="%USERPROFILE%\AppData\Local\Temp\OnboardLogs" /stypes="app*4046*20170605*" /stext=" 18:.+((SYSTEM_STATE.+slice.+state.+changed )|(ment ac)|(multiple cpu faults)|(system.+state.+changed )|(\[timeout)|(PRM\|1\|D)|(kpr)|(kdp)|(train st.+moving)|(\|lc)|(penalty))"</v>
      </c>
      <c r="AG177" s="1" t="str">
        <f t="shared" si="71"/>
        <v>NW</v>
      </c>
      <c r="AH177" s="81" t="str">
        <f t="shared" si="57"/>
        <v>"%USERPROFILE%\Documents\GitHub\eaglep3\Utilities\RefineRTDCRunTimes.py" --tripid 819-05 --locoid 4046 --swversion DE.1.0.9.0 --startMP 204:976 --initTime 2017-06-05T11:57:02 --startdatetime 2017-06-05T12:21:17 --delay 1 --endMP 300:58941 --enddatetime 2017-06-05T12:34:05 --enforcementcount 0 &gt;&gt;C:\Users\stu\Documents\GitHub\eaglep3-reporting\EC\2017-06-05-refined-times.txt</v>
      </c>
      <c r="AI177" s="99" t="str">
        <f t="shared" si="58"/>
        <v>echo {"issue":{"subject":"","project_id":79,"tracker_id":40,"status_id":1,"priority_id":2,"assigned_to_id":23,"start_date":"2017-06-05","description":"","custom_fields":[{"id":1,"name":"Subdivision","value":"NW"},{"id":4,"name":"Milepost","value":"5.8941"},{"id":17,"name":"Train ID","value":"819-05"},{"id":16,"name":"Locomotive ID","value":"4046"},{"id":130,"name":"Impact","value":""},{"id":150,"name":"Time of Event (Mountain Time)","value":"12:34:05"},{"id":151,"name":"Denver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5" t="str">
        <f t="shared" si="59"/>
        <v>start /low /b %USERPROFILE%\Documents\GitHub\eaglep3\Utilities\DownloadLogsFromS3.py --loco 4046 --day 2017-06-05</v>
      </c>
      <c r="AN177" s="154" t="str">
        <f t="shared" si="60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18:34:05"},{"id":29,"name":"Sharepoint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x14ac:dyDescent="0.25">
      <c r="A178" s="32" t="s">
        <v>734</v>
      </c>
      <c r="B178" s="7">
        <v>4045</v>
      </c>
      <c r="C178" s="21" t="s">
        <v>204</v>
      </c>
      <c r="D178" s="21" t="s">
        <v>967</v>
      </c>
      <c r="E178" s="13">
        <v>42891.524780092594</v>
      </c>
      <c r="F178" s="13">
        <v>42891.526284722226</v>
      </c>
      <c r="G178" s="7">
        <v>0</v>
      </c>
      <c r="H178" s="21" t="s">
        <v>968</v>
      </c>
      <c r="I178" s="13">
        <v>42891.537824074076</v>
      </c>
      <c r="J178" s="7">
        <v>0</v>
      </c>
      <c r="K178" s="92" t="str">
        <f t="shared" si="61"/>
        <v>4045/4046</v>
      </c>
      <c r="L178" s="21" t="str">
        <f>VLOOKUP(A178,'Trips&amp;Operators'!$C$1:$G$99999,5,FALSE)</f>
        <v>LOZA FIDEL</v>
      </c>
      <c r="M178" s="6">
        <f t="shared" si="62"/>
        <v>1.1539351849933155E-2</v>
      </c>
      <c r="N178" s="7">
        <f t="shared" si="74"/>
        <v>16.616666663903743</v>
      </c>
      <c r="O178" s="7"/>
      <c r="P178" s="7"/>
      <c r="Q178" s="22"/>
      <c r="R178" s="173"/>
      <c r="S178" s="176">
        <f t="shared" si="77"/>
        <v>1</v>
      </c>
      <c r="T178" s="202" t="str">
        <f t="shared" si="63"/>
        <v>Southbound</v>
      </c>
      <c r="U178" s="202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03" t="str">
        <f t="shared" si="64"/>
        <v>https://d0f6bd738d7f1b3e5a7ca70fe4ff75f0.us-east-1.aws.found.io/app/kibana#/discover/Steve-Slow-Train-Analysis-(2080s-and-2083s)?_g=(refreshInterval:(display:Off,pause:!f,section:0,value:0),time:(from:'2017-06-05T11:35:41-0600',mode:absolute,to:'2017-06-05T13:54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78" s="204" t="str">
        <f t="shared" si="65"/>
        <v>N</v>
      </c>
      <c r="X178" s="204">
        <f t="shared" si="75"/>
        <v>1</v>
      </c>
      <c r="Y178" s="204">
        <f t="shared" si="76"/>
        <v>5.8623000000000003</v>
      </c>
      <c r="Z178" s="204">
        <f t="shared" si="78"/>
        <v>6.7799999999999999E-2</v>
      </c>
      <c r="AA178" s="204">
        <f t="shared" si="67"/>
        <v>5.7945000000000002</v>
      </c>
      <c r="AB178" s="57" t="e">
        <f>VLOOKUP(A178,Enforcements!$C$7:$K$13,8,0)</f>
        <v>#N/A</v>
      </c>
      <c r="AC178" s="53" t="e">
        <f>VLOOKUP(A178,Enforcements!$C$7:$E$13,3,0)</f>
        <v>#N/A</v>
      </c>
      <c r="AD178" s="54" t="str">
        <f t="shared" si="68"/>
        <v>0820-05</v>
      </c>
      <c r="AE178" s="80" t="str">
        <f t="shared" si="69"/>
        <v>aws s3 cp s3://rtdc.mdm.uploadarchive.raw/RTDC4045/ "%USERPROFILE%\AppData\Local\Temp\OnboardLogs"\RTDC4045\2017-06-05 --exclude "*" --recursive --include "*20170605*" &amp; "%USERPROFILE%\Documents\GitHub\mrs-test-scripts\Headless Mode &amp; Sideloading\WalkAndUnGZ.bat" "%USERPROFILE%\AppData\Local\Temp\OnboardLogs"\RTDC4045\2017-06-05 &amp; aws s3 cp s3://rtdc.mdm.uploadarchive.raw/RTDC4045/ "%USERPROFILE%\AppData\Local\Temp\OnboardLogs"\RTDC4045\2017-06-06 --exclude "*" --recursive --include "*20170606*" &amp; "%USERPROFILE%\Documents\GitHub\mrs-test-scripts\Headless Mode &amp; Sideloading\WalkAndUnGZ.bat" "%USERPROFILE%\AppData\Local\Temp\OnboardLogs"\RTDC4045\2017-06-06</v>
      </c>
      <c r="AF178" s="77" t="str">
        <f t="shared" si="70"/>
        <v>"C:\Program Files (x86)\AstroGrep\AstroGrep.exe" /e /r /s /spath="%USERPROFILE%\AppData\Local\Temp\OnboardLogs" /stypes="app*4045*20170605*" /stext=" 18:.+((SYSTEM_STATE.+slice.+state.+changed )|(ment ac)|(multiple cpu faults)|(system.+state.+changed )|(\[timeout)|(PRM\|1\|D)|(kpr)|(kdp)|(train st.+moving)|(\|lc)|(penalty))"</v>
      </c>
      <c r="AG178" s="1" t="str">
        <f t="shared" si="71"/>
        <v>NW</v>
      </c>
      <c r="AH178" s="81" t="str">
        <f t="shared" si="57"/>
        <v>"%USERPROFILE%\Documents\GitHub\eaglep3\Utilities\RefineRTDCRunTimes.py" --tripid 820-05 --locoid 4045 --swversion DE.1.0.9.0 --startMP 300:58623 --initTime 2017-06-05T12:35:41 --startdatetime 2017-06-05T12:37:51 --delay 0 --endMP 204:678 --enddatetime 2017-06-05T12:54:28 --enforcementcount 0 &gt;&gt;C:\Users\stu\Documents\GitHub\eaglep3-reporting\EC\2017-06-05-refined-times.txt</v>
      </c>
      <c r="AI178" s="99" t="str">
        <f t="shared" si="58"/>
        <v>echo {"issue":{"subject":"","project_id":79,"tracker_id":40,"status_id":1,"priority_id":2,"assigned_to_id":23,"start_date":"2017-06-05","description":"","custom_fields":[{"id":1,"name":"Subdivision","value":"NW"},{"id":4,"name":"Milepost","value":"0.0678"},{"id":17,"name":"Train ID","value":"820-05"},{"id":16,"name":"Locomotive ID","value":"4045"},{"id":130,"name":"Impact","value":""},{"id":150,"name":"Time of Event (Mountain Time)","value":"12:54:28"},{"id":151,"name":"Denver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5" t="str">
        <f t="shared" si="59"/>
        <v>start /low /b %USERPROFILE%\Documents\GitHub\eaglep3\Utilities\DownloadLogsFromS3.py --loco 4045 --day 2017-06-05</v>
      </c>
      <c r="AN178" s="154" t="str">
        <f t="shared" si="60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18:54:28"},{"id":29,"name":"Sharepoint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x14ac:dyDescent="0.25">
      <c r="A179" s="32" t="s">
        <v>599</v>
      </c>
      <c r="B179" s="7">
        <v>4046</v>
      </c>
      <c r="C179" s="21" t="s">
        <v>204</v>
      </c>
      <c r="D179" s="21" t="s">
        <v>969</v>
      </c>
      <c r="E179" s="13">
        <v>42891.554189814815</v>
      </c>
      <c r="F179" s="13">
        <v>42891.556435185186</v>
      </c>
      <c r="G179" s="7">
        <v>1</v>
      </c>
      <c r="H179" s="21" t="s">
        <v>966</v>
      </c>
      <c r="I179" s="13">
        <v>42891.566458333335</v>
      </c>
      <c r="J179" s="7">
        <v>0</v>
      </c>
      <c r="K179" s="92" t="str">
        <f t="shared" si="61"/>
        <v>4045/4046</v>
      </c>
      <c r="L179" s="21" t="str">
        <f>VLOOKUP(A179,'Trips&amp;Operators'!$C$1:$G$99999,5,FALSE)</f>
        <v>LEVIN SCOTT</v>
      </c>
      <c r="M179" s="6">
        <f t="shared" si="62"/>
        <v>1.0023148148320615E-2</v>
      </c>
      <c r="N179" s="7">
        <f t="shared" si="74"/>
        <v>14.433333333581686</v>
      </c>
      <c r="O179" s="7"/>
      <c r="P179" s="7"/>
      <c r="Q179" s="22"/>
      <c r="R179" s="173"/>
      <c r="S179" s="176">
        <f t="shared" si="77"/>
        <v>1</v>
      </c>
      <c r="T179" s="202" t="str">
        <f t="shared" si="63"/>
        <v>NorthBound</v>
      </c>
      <c r="U179" s="202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03" t="str">
        <f t="shared" si="64"/>
        <v>https://d0f6bd738d7f1b3e5a7ca70fe4ff75f0.us-east-1.aws.found.io/app/kibana#/discover/Steve-Slow-Train-Analysis-(2080s-and-2083s)?_g=(refreshInterval:(display:Off,pause:!f,section:0,value:0),time:(from:'2017-06-05T12:18:02-0600',mode:absolute,to:'2017-06-05T14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9" s="204" t="str">
        <f t="shared" si="65"/>
        <v>N</v>
      </c>
      <c r="X179" s="204">
        <f t="shared" si="75"/>
        <v>1</v>
      </c>
      <c r="Y179" s="204">
        <f t="shared" si="76"/>
        <v>9.64E-2</v>
      </c>
      <c r="Z179" s="204">
        <f t="shared" si="78"/>
        <v>5.8940999999999999</v>
      </c>
      <c r="AA179" s="204">
        <f t="shared" si="67"/>
        <v>5.7976999999999999</v>
      </c>
      <c r="AB179" s="57" t="e">
        <f>VLOOKUP(A179,Enforcements!$C$7:$K$13,8,0)</f>
        <v>#N/A</v>
      </c>
      <c r="AC179" s="53" t="e">
        <f>VLOOKUP(A179,Enforcements!$C$7:$E$13,3,0)</f>
        <v>#N/A</v>
      </c>
      <c r="AD179" s="54" t="str">
        <f t="shared" si="68"/>
        <v>0821-05</v>
      </c>
      <c r="AE179" s="80" t="str">
        <f t="shared" si="69"/>
        <v>aws s3 cp s3://rtdc.mdm.uploadarchive.raw/RTDC4046/ "%USERPROFILE%\AppData\Local\Temp\OnboardLogs"\RTDC4046\2017-06-05 --exclude "*" --recursive --include "*20170605*" &amp; "%USERPROFILE%\Documents\GitHub\mrs-test-scripts\Headless Mode &amp; Sideloading\WalkAndUnGZ.bat" "%USERPROFILE%\AppData\Local\Temp\OnboardLogs"\RTDC4046\2017-06-05 &amp; aws s3 cp s3://rtdc.mdm.uploadarchive.raw/RTDC4046/ "%USERPROFILE%\AppData\Local\Temp\OnboardLogs"\RTDC4046\2017-06-06 --exclude "*" --recursive --include "*20170606*" &amp; "%USERPROFILE%\Documents\GitHub\mrs-test-scripts\Headless Mode &amp; Sideloading\WalkAndUnGZ.bat" "%USERPROFILE%\AppData\Local\Temp\OnboardLogs"\RTDC4046\2017-06-06</v>
      </c>
      <c r="AF179" s="77" t="str">
        <f t="shared" si="70"/>
        <v>"C:\Program Files (x86)\AstroGrep\AstroGrep.exe" /e /r /s /spath="%USERPROFILE%\AppData\Local\Temp\OnboardLogs" /stypes="app*4046*20170605*" /stext=" 19:.+((SYSTEM_STATE.+slice.+state.+changed )|(ment ac)|(multiple cpu faults)|(system.+state.+changed )|(\[timeout)|(PRM\|1\|D)|(kpr)|(kdp)|(train st.+moving)|(\|lc)|(penalty))"</v>
      </c>
      <c r="AG179" s="1" t="str">
        <f t="shared" si="71"/>
        <v>NW</v>
      </c>
      <c r="AH179" s="81" t="str">
        <f t="shared" si="57"/>
        <v>"%USERPROFILE%\Documents\GitHub\eaglep3\Utilities\RefineRTDCRunTimes.py" --tripid 821-05 --locoid 4046 --swversion DE.1.0.9.0 --startMP 204:964 --initTime 2017-06-05T13:18:02 --startdatetime 2017-06-05T13:21:16 --delay 1 --endMP 300:58941 --enddatetime 2017-06-05T13:35:42 --enforcementcount 0 &gt;&gt;C:\Users\stu\Documents\GitHub\eaglep3-reporting\EC\2017-06-05-refined-times.txt</v>
      </c>
      <c r="AI179" s="99" t="str">
        <f t="shared" si="58"/>
        <v>echo {"issue":{"subject":"","project_id":79,"tracker_id":40,"status_id":1,"priority_id":2,"assigned_to_id":23,"start_date":"2017-06-05","description":"","custom_fields":[{"id":1,"name":"Subdivision","value":"NW"},{"id":4,"name":"Milepost","value":"5.8941"},{"id":17,"name":"Train ID","value":"821-05"},{"id":16,"name":"Locomotive ID","value":"4046"},{"id":130,"name":"Impact","value":""},{"id":150,"name":"Time of Event (Mountain Time)","value":"13:35:42"},{"id":151,"name":"Denver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5" t="str">
        <f t="shared" si="59"/>
        <v>start /low /b %USERPROFILE%\Documents\GitHub\eaglep3\Utilities\DownloadLogsFromS3.py --loco 4046 --day 2017-06-05</v>
      </c>
      <c r="AN179" s="154" t="str">
        <f t="shared" si="60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19:35:42"},{"id":29,"name":"Sharepoint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x14ac:dyDescent="0.25">
      <c r="A180" s="32" t="s">
        <v>602</v>
      </c>
      <c r="B180" s="7">
        <v>4045</v>
      </c>
      <c r="C180" s="21" t="s">
        <v>204</v>
      </c>
      <c r="D180" s="21" t="s">
        <v>954</v>
      </c>
      <c r="E180" s="13">
        <v>42891.567766203705</v>
      </c>
      <c r="F180" s="13">
        <v>42891.569328703707</v>
      </c>
      <c r="G180" s="7">
        <v>1</v>
      </c>
      <c r="H180" s="21" t="s">
        <v>970</v>
      </c>
      <c r="I180" s="13">
        <v>42891.580057870371</v>
      </c>
      <c r="J180" s="7">
        <v>0</v>
      </c>
      <c r="K180" s="92" t="str">
        <f t="shared" si="61"/>
        <v>4045/4046</v>
      </c>
      <c r="L180" s="21" t="str">
        <f>VLOOKUP(A180,'Trips&amp;Operators'!$C$1:$G$99999,5,FALSE)</f>
        <v>LEVIN SCOTT</v>
      </c>
      <c r="M180" s="6">
        <f t="shared" si="62"/>
        <v>1.0729166664532386E-2</v>
      </c>
      <c r="N180" s="7">
        <f t="shared" si="74"/>
        <v>15.449999996926636</v>
      </c>
      <c r="O180" s="7"/>
      <c r="P180" s="7"/>
      <c r="Q180" s="22"/>
      <c r="R180" s="173"/>
      <c r="S180" s="176">
        <f t="shared" si="77"/>
        <v>1</v>
      </c>
      <c r="T180" s="202" t="str">
        <f t="shared" si="63"/>
        <v>Southbound</v>
      </c>
      <c r="U180" s="202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03" t="str">
        <f t="shared" si="64"/>
        <v>https://d0f6bd738d7f1b3e5a7ca70fe4ff75f0.us-east-1.aws.found.io/app/kibana#/discover/Steve-Slow-Train-Analysis-(2080s-and-2083s)?_g=(refreshInterval:(display:Off,pause:!f,section:0,value:0),time:(from:'2017-06-05T12:37:35-0600',mode:absolute,to:'2017-06-05T14:55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0" s="204" t="str">
        <f t="shared" si="65"/>
        <v>N</v>
      </c>
      <c r="X180" s="204">
        <f t="shared" si="75"/>
        <v>1</v>
      </c>
      <c r="Y180" s="204">
        <f t="shared" si="76"/>
        <v>5.8619000000000003</v>
      </c>
      <c r="Z180" s="204">
        <f t="shared" si="78"/>
        <v>6.3299999999999995E-2</v>
      </c>
      <c r="AA180" s="204">
        <f t="shared" si="67"/>
        <v>5.7986000000000004</v>
      </c>
      <c r="AB180" s="57" t="e">
        <f>VLOOKUP(A180,Enforcements!$C$7:$K$13,8,0)</f>
        <v>#N/A</v>
      </c>
      <c r="AC180" s="53" t="e">
        <f>VLOOKUP(A180,Enforcements!$C$7:$E$13,3,0)</f>
        <v>#N/A</v>
      </c>
      <c r="AD180" s="54" t="str">
        <f t="shared" si="68"/>
        <v>0822-05</v>
      </c>
      <c r="AE180" s="80" t="str">
        <f t="shared" si="69"/>
        <v>aws s3 cp s3://rtdc.mdm.uploadarchive.raw/RTDC4045/ "%USERPROFILE%\AppData\Local\Temp\OnboardLogs"\RTDC4045\2017-06-05 --exclude "*" --recursive --include "*20170605*" &amp; "%USERPROFILE%\Documents\GitHub\mrs-test-scripts\Headless Mode &amp; Sideloading\WalkAndUnGZ.bat" "%USERPROFILE%\AppData\Local\Temp\OnboardLogs"\RTDC4045\2017-06-05 &amp; aws s3 cp s3://rtdc.mdm.uploadarchive.raw/RTDC4045/ "%USERPROFILE%\AppData\Local\Temp\OnboardLogs"\RTDC4045\2017-06-06 --exclude "*" --recursive --include "*20170606*" &amp; "%USERPROFILE%\Documents\GitHub\mrs-test-scripts\Headless Mode &amp; Sideloading\WalkAndUnGZ.bat" "%USERPROFILE%\AppData\Local\Temp\OnboardLogs"\RTDC4045\2017-06-06</v>
      </c>
      <c r="AF180" s="77" t="str">
        <f t="shared" si="70"/>
        <v>"C:\Program Files (x86)\AstroGrep\AstroGrep.exe" /e /r /s /spath="%USERPROFILE%\AppData\Local\Temp\OnboardLogs" /stypes="app*4045*20170605*" /stext=" 19:.+((SYSTEM_STATE.+slice.+state.+changed )|(ment ac)|(multiple cpu faults)|(system.+state.+changed )|(\[timeout)|(PRM\|1\|D)|(kpr)|(kdp)|(train st.+moving)|(\|lc)|(penalty))"</v>
      </c>
      <c r="AG180" s="1" t="str">
        <f t="shared" si="71"/>
        <v>NW</v>
      </c>
      <c r="AH180" s="81" t="str">
        <f t="shared" si="57"/>
        <v>"%USERPROFILE%\Documents\GitHub\eaglep3\Utilities\RefineRTDCRunTimes.py" --tripid 822-05 --locoid 4045 --swversion DE.1.0.9.0 --startMP 300:58619 --initTime 2017-06-05T13:37:35 --startdatetime 2017-06-05T13:39:50 --delay 1 --endMP 204:633 --enddatetime 2017-06-05T13:55:17 --enforcementcount 0 &gt;&gt;C:\Users\stu\Documents\GitHub\eaglep3-reporting\EC\2017-06-05-refined-times.txt</v>
      </c>
      <c r="AI180" s="99" t="str">
        <f t="shared" si="58"/>
        <v>echo {"issue":{"subject":"","project_id":79,"tracker_id":40,"status_id":1,"priority_id":2,"assigned_to_id":23,"start_date":"2017-06-05","description":"","custom_fields":[{"id":1,"name":"Subdivision","value":"NW"},{"id":4,"name":"Milepost","value":"0.0633"},{"id":17,"name":"Train ID","value":"822-05"},{"id":16,"name":"Locomotive ID","value":"4045"},{"id":130,"name":"Impact","value":""},{"id":150,"name":"Time of Event (Mountain Time)","value":"13:55:17"},{"id":151,"name":"Denver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5" t="str">
        <f t="shared" si="59"/>
        <v>start /low /b %USERPROFILE%\Documents\GitHub\eaglep3\Utilities\DownloadLogsFromS3.py --loco 4045 --day 2017-06-05</v>
      </c>
      <c r="AN180" s="154" t="str">
        <f t="shared" si="60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19:55:17"},{"id":29,"name":"Sharepoint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x14ac:dyDescent="0.25">
      <c r="A181" s="32" t="s">
        <v>750</v>
      </c>
      <c r="B181" s="7">
        <v>4046</v>
      </c>
      <c r="C181" s="21" t="s">
        <v>204</v>
      </c>
      <c r="D181" s="21" t="s">
        <v>971</v>
      </c>
      <c r="E181" s="13">
        <v>42891.595694444448</v>
      </c>
      <c r="F181" s="13">
        <v>42891.595833333333</v>
      </c>
      <c r="G181" s="7">
        <v>1</v>
      </c>
      <c r="H181" s="21" t="s">
        <v>567</v>
      </c>
      <c r="I181" s="13">
        <v>42891.59652777778</v>
      </c>
      <c r="J181" s="7">
        <v>0</v>
      </c>
      <c r="K181" s="92" t="str">
        <f t="shared" si="61"/>
        <v>4045/4046</v>
      </c>
      <c r="L181" s="21" t="str">
        <f>VLOOKUP(A181,'Trips&amp;Operators'!$C$1:$G$99999,5,FALSE)</f>
        <v>LEVIN SCOTT</v>
      </c>
      <c r="M181" s="6">
        <f t="shared" si="62"/>
        <v>6.944444467080757E-4</v>
      </c>
      <c r="N181" s="7"/>
      <c r="O181" s="7"/>
      <c r="P181" s="7">
        <f>24*60*SUM($M181:$M181)</f>
        <v>1.000000003259629</v>
      </c>
      <c r="Q181" s="22"/>
      <c r="R181" s="173" t="s">
        <v>1035</v>
      </c>
      <c r="S181" s="176">
        <f t="shared" si="77"/>
        <v>1</v>
      </c>
      <c r="T181" s="202" t="str">
        <f t="shared" si="63"/>
        <v>NorthBound</v>
      </c>
      <c r="U181" s="202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03" t="str">
        <f t="shared" si="64"/>
        <v>https://d0f6bd738d7f1b3e5a7ca70fe4ff75f0.us-east-1.aws.found.io/app/kibana#/discover/Steve-Slow-Train-Analysis-(2080s-and-2083s)?_g=(refreshInterval:(display:Off,pause:!f,section:0,value:0),time:(from:'2017-06-05T13:17:48-0600',mode:absolute,to:'2017-06-05T15:19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1" s="204" t="str">
        <f t="shared" si="65"/>
        <v>N</v>
      </c>
      <c r="X181" s="204">
        <f t="shared" si="75"/>
        <v>1</v>
      </c>
      <c r="Y181" s="204">
        <f t="shared" si="76"/>
        <v>9.3700000000000006E-2</v>
      </c>
      <c r="Z181" s="204">
        <f t="shared" si="78"/>
        <v>5.8954000000000004</v>
      </c>
      <c r="AA181" s="204">
        <f t="shared" si="67"/>
        <v>5.8017000000000003</v>
      </c>
      <c r="AB181" s="57" t="e">
        <f>VLOOKUP(A181,Enforcements!$C$7:$K$13,8,0)</f>
        <v>#N/A</v>
      </c>
      <c r="AC181" s="53" t="e">
        <f>VLOOKUP(A181,Enforcements!$C$7:$E$13,3,0)</f>
        <v>#N/A</v>
      </c>
      <c r="AD181" s="54" t="str">
        <f t="shared" si="68"/>
        <v>0823-05</v>
      </c>
      <c r="AE181" s="80" t="str">
        <f t="shared" si="69"/>
        <v>aws s3 cp s3://rtdc.mdm.uploadarchive.raw/RTDC4046/ "%USERPROFILE%\AppData\Local\Temp\OnboardLogs"\RTDC4046\2017-06-05 --exclude "*" --recursive --include "*20170605*" &amp; "%USERPROFILE%\Documents\GitHub\mrs-test-scripts\Headless Mode &amp; Sideloading\WalkAndUnGZ.bat" "%USERPROFILE%\AppData\Local\Temp\OnboardLogs"\RTDC4046\2017-06-05 &amp; aws s3 cp s3://rtdc.mdm.uploadarchive.raw/RTDC4046/ "%USERPROFILE%\AppData\Local\Temp\OnboardLogs"\RTDC4046\2017-06-06 --exclude "*" --recursive --include "*20170606*" &amp; "%USERPROFILE%\Documents\GitHub\mrs-test-scripts\Headless Mode &amp; Sideloading\WalkAndUnGZ.bat" "%USERPROFILE%\AppData\Local\Temp\OnboardLogs"\RTDC4046\2017-06-06</v>
      </c>
      <c r="AF181" s="77" t="str">
        <f t="shared" si="70"/>
        <v>"C:\Program Files (x86)\AstroGrep\AstroGrep.exe" /e /r /s /spath="%USERPROFILE%\AppData\Local\Temp\OnboardLogs" /stypes="app*4046*20170605*" /stext=" 20:.+((SYSTEM_STATE.+slice.+state.+changed )|(ment ac)|(multiple cpu faults)|(system.+state.+changed )|(\[timeout)|(PRM\|1\|D)|(kpr)|(kdp)|(train st.+moving)|(\|lc)|(penalty))"</v>
      </c>
      <c r="AG181" s="1" t="str">
        <f t="shared" si="71"/>
        <v>NW</v>
      </c>
      <c r="AH181" s="81" t="str">
        <f t="shared" si="57"/>
        <v>"%USERPROFILE%\Documents\GitHub\eaglep3\Utilities\RefineRTDCRunTimes.py" --tripid 823-05 --locoid 4046 --swversion DE.1.0.9.0 --startMP 204:937 --initTime 2017-06-05T14:17:48 --startdatetime 2017-06-05T14:18:00 --delay 1 --endMP 300:58954 --enddatetime 2017-06-05T14:19:00 --enforcementcount 0 &gt;&gt;C:\Users\stu\Documents\GitHub\eaglep3-reporting\EC\2017-06-05-refined-times.txt</v>
      </c>
      <c r="AI181" s="99" t="str">
        <f t="shared" si="58"/>
        <v>echo {"issue":{"subject":"Onboard in-route failure","project_id":79,"tracker_id":40,"status_id":1,"priority_id":2,"assigned_to_id":23,"start_date":"2017-06-05","description":"","custom_fields":[{"id":1,"name":"Subdivision","value":"NW"},{"id":4,"name":"Milepost","value":"5.8954"},{"id":17,"name":"Train ID","value":"823-05"},{"id":16,"name":"Locomotive ID","value":"4046"},{"id":130,"name":"Impact","value":""},{"id":150,"name":"Time of Event (Mountain Time)","value":"14:19:00"},{"id":151,"name":"Denver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5" t="str">
        <f t="shared" si="59"/>
        <v>start /low /b %USERPROFILE%\Documents\GitHub\eaglep3\Utilities\DownloadLogsFromS3.py --loco 4046 --day 2017-06-05</v>
      </c>
      <c r="AN181" s="154" t="str">
        <f t="shared" si="60"/>
        <v>echo {"issue":{"subject":"Onboard in-route failure","project_id":30,"tracker_id":4,"status_id":1,"priority_id":1,"assigned_to_id":10,"start_date":"2017-06-05","description":"","custom_fields":[{"id":30,"name":"Category","value":"Issue"},{"id":3,"name":"Functional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20:19:00"},{"id":29,"name":"Sharepoint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2" t="s">
        <v>603</v>
      </c>
      <c r="B182" s="7">
        <v>4045</v>
      </c>
      <c r="C182" s="21" t="s">
        <v>204</v>
      </c>
      <c r="D182" s="21" t="s">
        <v>571</v>
      </c>
      <c r="E182" s="13">
        <v>42891.610543981478</v>
      </c>
      <c r="F182" s="13">
        <v>42891.611793981479</v>
      </c>
      <c r="G182" s="7">
        <v>1</v>
      </c>
      <c r="H182" s="21" t="s">
        <v>972</v>
      </c>
      <c r="I182" s="13">
        <v>42891.621238425927</v>
      </c>
      <c r="J182" s="7">
        <v>0</v>
      </c>
      <c r="K182" s="92" t="str">
        <f t="shared" si="61"/>
        <v>4045/4046</v>
      </c>
      <c r="L182" s="21" t="str">
        <f>VLOOKUP(A182,'Trips&amp;Operators'!$C$1:$G$99999,5,FALSE)</f>
        <v>LEVIN SCOTT</v>
      </c>
      <c r="M182" s="6">
        <f t="shared" si="62"/>
        <v>9.4444444475811906E-3</v>
      </c>
      <c r="N182" s="7">
        <f t="shared" ref="N182:N196" si="79">24*60*SUM($M182:$M182)</f>
        <v>13.600000004516914</v>
      </c>
      <c r="O182" s="7"/>
      <c r="P182" s="7"/>
      <c r="Q182" s="22"/>
      <c r="R182" s="173"/>
      <c r="S182" s="176">
        <f t="shared" si="77"/>
        <v>1</v>
      </c>
      <c r="T182" s="202" t="str">
        <f t="shared" si="63"/>
        <v>Southbound</v>
      </c>
      <c r="U182" s="202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03" t="str">
        <f t="shared" si="64"/>
        <v>https://d0f6bd738d7f1b3e5a7ca70fe4ff75f0.us-east-1.aws.found.io/app/kibana#/discover/Steve-Slow-Train-Analysis-(2080s-and-2083s)?_g=(refreshInterval:(display:Off,pause:!f,section:0,value:0),time:(from:'2017-06-05T13:39:11-0600',mode:absolute,to:'2017-06-05T15:54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2" s="204" t="str">
        <f t="shared" si="65"/>
        <v>N</v>
      </c>
      <c r="X182" s="204">
        <f t="shared" si="75"/>
        <v>1</v>
      </c>
      <c r="Y182" s="204">
        <f t="shared" si="76"/>
        <v>5.8632</v>
      </c>
      <c r="Z182" s="204">
        <f t="shared" si="78"/>
        <v>6.6799999999999998E-2</v>
      </c>
      <c r="AA182" s="204">
        <f t="shared" si="67"/>
        <v>5.7964000000000002</v>
      </c>
      <c r="AB182" s="57" t="e">
        <f>VLOOKUP(A182,Enforcements!$C$7:$K$13,8,0)</f>
        <v>#N/A</v>
      </c>
      <c r="AC182" s="53" t="e">
        <f>VLOOKUP(A182,Enforcements!$C$7:$E$13,3,0)</f>
        <v>#N/A</v>
      </c>
      <c r="AD182" s="54" t="str">
        <f t="shared" si="68"/>
        <v>0824-05</v>
      </c>
      <c r="AE182" s="80" t="str">
        <f t="shared" si="69"/>
        <v>aws s3 cp s3://rtdc.mdm.uploadarchive.raw/RTDC4045/ "%USERPROFILE%\AppData\Local\Temp\OnboardLogs"\RTDC4045\2017-06-05 --exclude "*" --recursive --include "*20170605*" &amp; "%USERPROFILE%\Documents\GitHub\mrs-test-scripts\Headless Mode &amp; Sideloading\WalkAndUnGZ.bat" "%USERPROFILE%\AppData\Local\Temp\OnboardLogs"\RTDC4045\2017-06-05 &amp; aws s3 cp s3://rtdc.mdm.uploadarchive.raw/RTDC4045/ "%USERPROFILE%\AppData\Local\Temp\OnboardLogs"\RTDC4045\2017-06-06 --exclude "*" --recursive --include "*20170606*" &amp; "%USERPROFILE%\Documents\GitHub\mrs-test-scripts\Headless Mode &amp; Sideloading\WalkAndUnGZ.bat" "%USERPROFILE%\AppData\Local\Temp\OnboardLogs"\RTDC4045\2017-06-06</v>
      </c>
      <c r="AF182" s="77" t="str">
        <f t="shared" si="70"/>
        <v>"C:\Program Files (x86)\AstroGrep\AstroGrep.exe" /e /r /s /spath="%USERPROFILE%\AppData\Local\Temp\OnboardLogs" /stypes="app*4045*20170605*" /stext=" 20:.+((SYSTEM_STATE.+slice.+state.+changed )|(ment ac)|(multiple cpu faults)|(system.+state.+changed )|(\[timeout)|(PRM\|1\|D)|(kpr)|(kdp)|(train st.+moving)|(\|lc)|(penalty))"</v>
      </c>
      <c r="AG182" s="1" t="str">
        <f t="shared" si="71"/>
        <v>NW</v>
      </c>
      <c r="AH182" s="81" t="str">
        <f t="shared" si="57"/>
        <v>"%USERPROFILE%\Documents\GitHub\eaglep3\Utilities\RefineRTDCRunTimes.py" --tripid 824-05 --locoid 4045 --swversion DE.1.0.9.0 --startMP 300:58632 --initTime 2017-06-05T14:39:11 --startdatetime 2017-06-05T14:40:59 --delay 1 --endMP 204:668 --enddatetime 2017-06-05T14:54:35 --enforcementcount 0 &gt;&gt;C:\Users\stu\Documents\GitHub\eaglep3-reporting\EC\2017-06-05-refined-times.txt</v>
      </c>
      <c r="AI182" s="99" t="str">
        <f t="shared" si="58"/>
        <v>echo {"issue":{"subject":"","project_id":79,"tracker_id":40,"status_id":1,"priority_id":2,"assigned_to_id":23,"start_date":"2017-06-05","description":"","custom_fields":[{"id":1,"name":"Subdivision","value":"NW"},{"id":4,"name":"Milepost","value":"0.0668"},{"id":17,"name":"Train ID","value":"824-05"},{"id":16,"name":"Locomotive ID","value":"4045"},{"id":130,"name":"Impact","value":""},{"id":150,"name":"Time of Event (Mountain Time)","value":"14:54:35"},{"id":151,"name":"Denver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5" t="str">
        <f t="shared" si="59"/>
        <v>start /low /b %USERPROFILE%\Documents\GitHub\eaglep3\Utilities\DownloadLogsFromS3.py --loco 4045 --day 2017-06-05</v>
      </c>
      <c r="AN182" s="154" t="str">
        <f t="shared" si="60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20:54:35"},{"id":29,"name":"Sharepoint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s="20" customFormat="1" x14ac:dyDescent="0.25">
      <c r="A183" s="32" t="s">
        <v>758</v>
      </c>
      <c r="B183" s="7">
        <v>4046</v>
      </c>
      <c r="C183" s="21" t="s">
        <v>204</v>
      </c>
      <c r="D183" s="21" t="s">
        <v>973</v>
      </c>
      <c r="E183" s="13">
        <v>42891.635821759257</v>
      </c>
      <c r="F183" s="13">
        <v>42891.639780092592</v>
      </c>
      <c r="G183" s="7">
        <v>2</v>
      </c>
      <c r="H183" s="21" t="s">
        <v>567</v>
      </c>
      <c r="I183" s="13">
        <v>42891.649247685185</v>
      </c>
      <c r="J183" s="7">
        <v>0</v>
      </c>
      <c r="K183" s="92" t="str">
        <f t="shared" si="61"/>
        <v>4045/4046</v>
      </c>
      <c r="L183" s="21" t="str">
        <f>VLOOKUP(A183,'Trips&amp;Operators'!$C$1:$G$99999,5,FALSE)</f>
        <v>LEVIN SCOTT</v>
      </c>
      <c r="M183" s="6">
        <f t="shared" si="62"/>
        <v>9.4675925938645378E-3</v>
      </c>
      <c r="N183" s="7">
        <f t="shared" si="79"/>
        <v>13.633333335164934</v>
      </c>
      <c r="O183" s="7"/>
      <c r="P183" s="7"/>
      <c r="Q183" s="22"/>
      <c r="R183" s="173"/>
      <c r="S183" s="176">
        <f t="shared" si="77"/>
        <v>1</v>
      </c>
      <c r="T183" s="202" t="str">
        <f t="shared" si="63"/>
        <v>NorthBound</v>
      </c>
      <c r="U183" s="202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03" t="str">
        <f t="shared" si="64"/>
        <v>https://d0f6bd738d7f1b3e5a7ca70fe4ff75f0.us-east-1.aws.found.io/app/kibana#/discover/Steve-Slow-Train-Analysis-(2080s-and-2083s)?_g=(refreshInterval:(display:Off,pause:!f,section:0,value:0),time:(from:'2017-06-05T14:15:35-0600',mode:absolute,to:'2017-06-05T16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3" s="204" t="str">
        <f t="shared" si="65"/>
        <v>N</v>
      </c>
      <c r="X183" s="204">
        <f t="shared" si="75"/>
        <v>1</v>
      </c>
      <c r="Y183" s="204">
        <f t="shared" si="76"/>
        <v>9.4799999999999995E-2</v>
      </c>
      <c r="Z183" s="204">
        <f t="shared" si="78"/>
        <v>5.8954000000000004</v>
      </c>
      <c r="AA183" s="204">
        <f t="shared" si="67"/>
        <v>5.8006000000000002</v>
      </c>
      <c r="AB183" s="57" t="e">
        <f>VLOOKUP(A183,Enforcements!$C$7:$K$13,8,0)</f>
        <v>#N/A</v>
      </c>
      <c r="AC183" s="53" t="e">
        <f>VLOOKUP(A183,Enforcements!$C$7:$E$13,3,0)</f>
        <v>#N/A</v>
      </c>
      <c r="AD183" s="54" t="str">
        <f t="shared" si="68"/>
        <v>0825-05</v>
      </c>
      <c r="AE183" s="80" t="str">
        <f t="shared" si="69"/>
        <v>aws s3 cp s3://rtdc.mdm.uploadarchive.raw/RTDC4046/ "%USERPROFILE%\AppData\Local\Temp\OnboardLogs"\RTDC4046\2017-06-05 --exclude "*" --recursive --include "*20170605*" &amp; "%USERPROFILE%\Documents\GitHub\mrs-test-scripts\Headless Mode &amp; Sideloading\WalkAndUnGZ.bat" "%USERPROFILE%\AppData\Local\Temp\OnboardLogs"\RTDC4046\2017-06-05 &amp; aws s3 cp s3://rtdc.mdm.uploadarchive.raw/RTDC4046/ "%USERPROFILE%\AppData\Local\Temp\OnboardLogs"\RTDC4046\2017-06-06 --exclude "*" --recursive --include "*20170606*" &amp; "%USERPROFILE%\Documents\GitHub\mrs-test-scripts\Headless Mode &amp; Sideloading\WalkAndUnGZ.bat" "%USERPROFILE%\AppData\Local\Temp\OnboardLogs"\RTDC4046\2017-06-06</v>
      </c>
      <c r="AF183" s="77" t="str">
        <f t="shared" si="70"/>
        <v>"C:\Program Files (x86)\AstroGrep\AstroGrep.exe" /e /r /s /spath="%USERPROFILE%\AppData\Local\Temp\OnboardLogs" /stypes="app*4046*20170605*" /stext=" 21:.+((SYSTEM_STATE.+slice.+state.+changed )|(ment ac)|(multiple cpu faults)|(system.+state.+changed )|(\[timeout)|(PRM\|1\|D)|(kpr)|(kdp)|(train st.+moving)|(\|lc)|(penalty))"</v>
      </c>
      <c r="AG183" s="1" t="str">
        <f t="shared" si="71"/>
        <v>NW</v>
      </c>
      <c r="AH183" s="81" t="str">
        <f t="shared" si="57"/>
        <v>"%USERPROFILE%\Documents\GitHub\eaglep3\Utilities\RefineRTDCRunTimes.py" --tripid 825-05 --locoid 4046 --swversion DE.1.0.9.0 --startMP 204:948 --initTime 2017-06-05T15:15:35 --startdatetime 2017-06-05T15:21:17 --delay 2 --endMP 300:58954 --enddatetime 2017-06-05T15:34:55 --enforcementcount 0 &gt;&gt;C:\Users\stu\Documents\GitHub\eaglep3-reporting\EC\2017-06-05-refined-times.txt</v>
      </c>
      <c r="AI183" s="99" t="str">
        <f t="shared" si="58"/>
        <v>echo {"issue":{"subject":"","project_id":79,"tracker_id":40,"status_id":1,"priority_id":2,"assigned_to_id":23,"start_date":"2017-06-05","description":"","custom_fields":[{"id":1,"name":"Subdivision","value":"NW"},{"id":4,"name":"Milepost","value":"5.8954"},{"id":17,"name":"Train ID","value":"825-05"},{"id":16,"name":"Locomotive ID","value":"4046"},{"id":130,"name":"Impact","value":""},{"id":150,"name":"Time of Event (Mountain Time)","value":"15:34:55"},{"id":151,"name":"Denver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7"/>
      <c r="AL183" s="47"/>
      <c r="AM183" s="145" t="str">
        <f t="shared" si="59"/>
        <v>start /low /b %USERPROFILE%\Documents\GitHub\eaglep3\Utilities\DownloadLogsFromS3.py --loco 4046 --day 2017-06-05</v>
      </c>
      <c r="AN183" s="154" t="str">
        <f t="shared" si="60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21:34:55"},{"id":29,"name":"Sharepoint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606</v>
      </c>
      <c r="B184" s="7">
        <v>4045</v>
      </c>
      <c r="C184" s="21" t="s">
        <v>204</v>
      </c>
      <c r="D184" s="21" t="s">
        <v>974</v>
      </c>
      <c r="E184" s="13">
        <v>42891.65042824074</v>
      </c>
      <c r="F184" s="13">
        <v>42891.651770833334</v>
      </c>
      <c r="G184" s="7">
        <v>1</v>
      </c>
      <c r="H184" s="21" t="s">
        <v>972</v>
      </c>
      <c r="I184" s="13">
        <v>42891.663414351853</v>
      </c>
      <c r="J184" s="7">
        <v>0</v>
      </c>
      <c r="K184" s="92" t="str">
        <f t="shared" si="61"/>
        <v>4045/4046</v>
      </c>
      <c r="L184" s="21" t="str">
        <f>VLOOKUP(A184,'Trips&amp;Operators'!$C$1:$G$99999,5,FALSE)</f>
        <v>LEVIN SCOTT</v>
      </c>
      <c r="M184" s="6">
        <f t="shared" si="62"/>
        <v>1.1643518519122154E-2</v>
      </c>
      <c r="N184" s="7">
        <f t="shared" si="79"/>
        <v>16.766666667535901</v>
      </c>
      <c r="O184" s="7"/>
      <c r="P184" s="7"/>
      <c r="Q184" s="22"/>
      <c r="R184" s="173"/>
      <c r="S184" s="176">
        <f t="shared" si="77"/>
        <v>1</v>
      </c>
      <c r="T184" s="202" t="str">
        <f t="shared" si="63"/>
        <v>Southbound</v>
      </c>
      <c r="U184" s="202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03" t="str">
        <f t="shared" si="64"/>
        <v>https://d0f6bd738d7f1b3e5a7ca70fe4ff75f0.us-east-1.aws.found.io/app/kibana#/discover/Steve-Slow-Train-Analysis-(2080s-and-2083s)?_g=(refreshInterval:(display:Off,pause:!f,section:0,value:0),time:(from:'2017-06-05T14:36:37-0600',mode:absolute,to:'2017-06-05T16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4" s="204" t="str">
        <f t="shared" si="65"/>
        <v>N</v>
      </c>
      <c r="X184" s="204">
        <f t="shared" si="75"/>
        <v>1</v>
      </c>
      <c r="Y184" s="204">
        <f t="shared" si="76"/>
        <v>5.8630000000000004</v>
      </c>
      <c r="Z184" s="204">
        <f t="shared" si="78"/>
        <v>6.6799999999999998E-2</v>
      </c>
      <c r="AA184" s="204">
        <f t="shared" si="67"/>
        <v>5.7962000000000007</v>
      </c>
      <c r="AB184" s="57" t="e">
        <f>VLOOKUP(A184,Enforcements!$C$7:$K$13,8,0)</f>
        <v>#N/A</v>
      </c>
      <c r="AC184" s="53" t="e">
        <f>VLOOKUP(A184,Enforcements!$C$7:$E$13,3,0)</f>
        <v>#N/A</v>
      </c>
      <c r="AD184" s="54" t="str">
        <f t="shared" si="68"/>
        <v>0826-05</v>
      </c>
      <c r="AE184" s="80" t="str">
        <f t="shared" si="69"/>
        <v>aws s3 cp s3://rtdc.mdm.uploadarchive.raw/RTDC4045/ "%USERPROFILE%\AppData\Local\Temp\OnboardLogs"\RTDC4045\2017-06-05 --exclude "*" --recursive --include "*20170605*" &amp; "%USERPROFILE%\Documents\GitHub\mrs-test-scripts\Headless Mode &amp; Sideloading\WalkAndUnGZ.bat" "%USERPROFILE%\AppData\Local\Temp\OnboardLogs"\RTDC4045\2017-06-05 &amp; aws s3 cp s3://rtdc.mdm.uploadarchive.raw/RTDC4045/ "%USERPROFILE%\AppData\Local\Temp\OnboardLogs"\RTDC4045\2017-06-06 --exclude "*" --recursive --include "*20170606*" &amp; "%USERPROFILE%\Documents\GitHub\mrs-test-scripts\Headless Mode &amp; Sideloading\WalkAndUnGZ.bat" "%USERPROFILE%\AppData\Local\Temp\OnboardLogs"\RTDC4045\2017-06-06</v>
      </c>
      <c r="AF184" s="77" t="str">
        <f t="shared" si="70"/>
        <v>"C:\Program Files (x86)\AstroGrep\AstroGrep.exe" /e /r /s /spath="%USERPROFILE%\AppData\Local\Temp\OnboardLogs" /stypes="app*4045*20170605*" /stext=" 21:.+((SYSTEM_STATE.+slice.+state.+changed )|(ment ac)|(multiple cpu faults)|(system.+state.+changed )|(\[timeout)|(PRM\|1\|D)|(kpr)|(kdp)|(train st.+moving)|(\|lc)|(penalty))"</v>
      </c>
      <c r="AG184" s="1" t="str">
        <f t="shared" si="71"/>
        <v>NW</v>
      </c>
      <c r="AH184" s="81" t="str">
        <f t="shared" si="57"/>
        <v>"%USERPROFILE%\Documents\GitHub\eaglep3\Utilities\RefineRTDCRunTimes.py" --tripid 826-05 --locoid 4045 --swversion DE.1.0.9.0 --startMP 300:58630 --initTime 2017-06-05T15:36:37 --startdatetime 2017-06-05T15:38:33 --delay 1 --endMP 204:668 --enddatetime 2017-06-05T15:55:19 --enforcementcount 0 &gt;&gt;C:\Users\stu\Documents\GitHub\eaglep3-reporting\EC\2017-06-05-refined-times.txt</v>
      </c>
      <c r="AI184" s="99" t="str">
        <f t="shared" si="58"/>
        <v>echo {"issue":{"subject":"","project_id":79,"tracker_id":40,"status_id":1,"priority_id":2,"assigned_to_id":23,"start_date":"2017-06-05","description":"","custom_fields":[{"id":1,"name":"Subdivision","value":"NW"},{"id":4,"name":"Milepost","value":"0.0668"},{"id":17,"name":"Train ID","value":"826-05"},{"id":16,"name":"Locomotive ID","value":"4045"},{"id":130,"name":"Impact","value":""},{"id":150,"name":"Time of Event (Mountain Time)","value":"15:55:19"},{"id":151,"name":"Denver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7"/>
      <c r="AL184" s="47"/>
      <c r="AM184" s="145" t="str">
        <f t="shared" si="59"/>
        <v>start /low /b %USERPROFILE%\Documents\GitHub\eaglep3\Utilities\DownloadLogsFromS3.py --loco 4045 --day 2017-06-05</v>
      </c>
      <c r="AN184" s="154" t="str">
        <f t="shared" si="60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21:55:19"},{"id":29,"name":"Sharepoint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761</v>
      </c>
      <c r="B185" s="7">
        <v>4028</v>
      </c>
      <c r="C185" s="21" t="s">
        <v>204</v>
      </c>
      <c r="D185" s="21" t="s">
        <v>975</v>
      </c>
      <c r="E185" s="13">
        <v>42891.649710648147</v>
      </c>
      <c r="F185" s="13">
        <v>42891.660694444443</v>
      </c>
      <c r="G185" s="7">
        <v>1</v>
      </c>
      <c r="H185" s="21" t="s">
        <v>976</v>
      </c>
      <c r="I185" s="13">
        <v>42891.670115740744</v>
      </c>
      <c r="J185" s="7">
        <v>0</v>
      </c>
      <c r="K185" s="92" t="str">
        <f t="shared" si="61"/>
        <v>4027/4028</v>
      </c>
      <c r="L185" s="21" t="str">
        <f>VLOOKUP(A185,'Trips&amp;Operators'!$C$1:$G$99999,5,FALSE)</f>
        <v>STAMBAUGH JAMES</v>
      </c>
      <c r="M185" s="6">
        <f t="shared" si="62"/>
        <v>9.4212963012978435E-3</v>
      </c>
      <c r="N185" s="7">
        <f t="shared" si="79"/>
        <v>13.566666673868895</v>
      </c>
      <c r="O185" s="7"/>
      <c r="P185" s="7"/>
      <c r="Q185" s="22"/>
      <c r="R185" s="173"/>
      <c r="S185" s="176">
        <f t="shared" si="77"/>
        <v>1</v>
      </c>
      <c r="T185" s="202" t="str">
        <f t="shared" si="63"/>
        <v>NorthBound</v>
      </c>
      <c r="U185" s="202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03" t="str">
        <f t="shared" si="64"/>
        <v>https://d0f6bd738d7f1b3e5a7ca70fe4ff75f0.us-east-1.aws.found.io/app/kibana#/discover/Steve-Slow-Train-Analysis-(2080s-and-2083s)?_g=(refreshInterval:(display:Off,pause:!f,section:0,value:0),time:(from:'2017-06-05T14:35:35-0600',mode:absolute,to:'2017-06-05T17:04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5" s="204" t="str">
        <f t="shared" si="65"/>
        <v>N</v>
      </c>
      <c r="X185" s="204">
        <f t="shared" si="75"/>
        <v>1</v>
      </c>
      <c r="Y185" s="204">
        <f t="shared" si="76"/>
        <v>9.5699999999999993E-2</v>
      </c>
      <c r="Z185" s="204">
        <f t="shared" si="78"/>
        <v>5.8917999999999999</v>
      </c>
      <c r="AA185" s="204">
        <f t="shared" si="67"/>
        <v>5.7961</v>
      </c>
      <c r="AB185" s="57" t="e">
        <f>VLOOKUP(A185,Enforcements!$C$7:$K$13,8,0)</f>
        <v>#N/A</v>
      </c>
      <c r="AC185" s="53" t="e">
        <f>VLOOKUP(A185,Enforcements!$C$7:$E$13,3,0)</f>
        <v>#N/A</v>
      </c>
      <c r="AD185" s="54" t="str">
        <f t="shared" si="68"/>
        <v>0827-05</v>
      </c>
      <c r="AE185" s="80" t="str">
        <f t="shared" si="69"/>
        <v>aws s3 cp s3://rtdc.mdm.uploadarchive.raw/RTDC4028/ "%USERPROFILE%\AppData\Local\Temp\OnboardLogs"\RTDC4028\2017-06-05 --exclude "*" --recursive --include "*20170605*" &amp; "%USERPROFILE%\Documents\GitHub\mrs-test-scripts\Headless Mode &amp; Sideloading\WalkAndUnGZ.bat" "%USERPROFILE%\AppData\Local\Temp\OnboardLogs"\RTDC4028\2017-06-05 &amp; aws s3 cp s3://rtdc.mdm.uploadarchive.raw/RTDC4028/ "%USERPROFILE%\AppData\Local\Temp\OnboardLogs"\RTDC4028\2017-06-06 --exclude "*" --recursive --include "*20170606*" &amp; "%USERPROFILE%\Documents\GitHub\mrs-test-scripts\Headless Mode &amp; Sideloading\WalkAndUnGZ.bat" "%USERPROFILE%\AppData\Local\Temp\OnboardLogs"\RTDC4028\2017-06-06</v>
      </c>
      <c r="AF185" s="77" t="str">
        <f t="shared" si="70"/>
        <v>"C:\Program Files (x86)\AstroGrep\AstroGrep.exe" /e /r /s /spath="%USERPROFILE%\AppData\Local\Temp\OnboardLogs" /stypes="app*4028*20170605*" /stext=" 22:.+((SYSTEM_STATE.+slice.+state.+changed )|(ment ac)|(multiple cpu faults)|(system.+state.+changed )|(\[timeout)|(PRM\|1\|D)|(kpr)|(kdp)|(train st.+moving)|(\|lc)|(penalty))"</v>
      </c>
      <c r="AG185" s="1" t="str">
        <f t="shared" si="71"/>
        <v>NW</v>
      </c>
      <c r="AH185" s="81" t="str">
        <f t="shared" si="57"/>
        <v>"%USERPROFILE%\Documents\GitHub\eaglep3\Utilities\RefineRTDCRunTimes.py" --tripid 827-05 --locoid 4028 --swversion DE.1.0.9.0 --startMP 204:957 --initTime 2017-06-05T15:35:35 --startdatetime 2017-06-05T15:51:24 --delay 1 --endMP 300:58918 --enddatetime 2017-06-05T16:04:58 --enforcementcount 0 &gt;&gt;C:\Users\stu\Documents\GitHub\eaglep3-reporting\EC\2017-06-05-refined-times.txt</v>
      </c>
      <c r="AI185" s="99" t="str">
        <f t="shared" si="58"/>
        <v>echo {"issue":{"subject":"","project_id":79,"tracker_id":40,"status_id":1,"priority_id":2,"assigned_to_id":23,"start_date":"2017-06-05","description":"","custom_fields":[{"id":1,"name":"Subdivision","value":"NW"},{"id":4,"name":"Milepost","value":"5.8918"},{"id":17,"name":"Train ID","value":"827-05"},{"id":16,"name":"Locomotive ID","value":"4028"},{"id":130,"name":"Impact","value":""},{"id":150,"name":"Time of Event (Mountain Time)","value":"16:04:58"},{"id":151,"name":"Denver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5" s="47"/>
      <c r="AL185" s="47"/>
      <c r="AM185" s="145" t="str">
        <f t="shared" si="59"/>
        <v>start /low /b %USERPROFILE%\Documents\GitHub\eaglep3\Utilities\DownloadLogsFromS3.py --loco 4028 --day 2017-06-05</v>
      </c>
      <c r="AN185" s="154" t="str">
        <f t="shared" si="60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22:04:58"},{"id":29,"name":"Sharepoint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2" t="s">
        <v>608</v>
      </c>
      <c r="B186" s="7">
        <v>4027</v>
      </c>
      <c r="C186" s="21" t="s">
        <v>204</v>
      </c>
      <c r="D186" s="21" t="s">
        <v>977</v>
      </c>
      <c r="E186" s="13">
        <v>42891.671354166669</v>
      </c>
      <c r="F186" s="13">
        <v>42891.673032407409</v>
      </c>
      <c r="G186" s="7">
        <v>1</v>
      </c>
      <c r="H186" s="21" t="s">
        <v>978</v>
      </c>
      <c r="I186" s="13">
        <v>42891.684537037036</v>
      </c>
      <c r="J186" s="7">
        <v>0</v>
      </c>
      <c r="K186" s="92" t="str">
        <f t="shared" si="61"/>
        <v>4027/4028</v>
      </c>
      <c r="L186" s="21" t="str">
        <f>VLOOKUP(A186,'Trips&amp;Operators'!$C$1:$G$99999,5,FALSE)</f>
        <v>STAMBAUGH JAMES</v>
      </c>
      <c r="M186" s="6">
        <f t="shared" si="62"/>
        <v>1.1504629626870155E-2</v>
      </c>
      <c r="N186" s="7">
        <f t="shared" si="79"/>
        <v>16.566666662693024</v>
      </c>
      <c r="O186" s="7"/>
      <c r="P186" s="7"/>
      <c r="Q186" s="22"/>
      <c r="R186" s="173"/>
      <c r="S186" s="176">
        <f t="shared" si="77"/>
        <v>1</v>
      </c>
      <c r="T186" s="202" t="str">
        <f t="shared" si="63"/>
        <v>Southbound</v>
      </c>
      <c r="U186" s="202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03" t="str">
        <f t="shared" si="64"/>
        <v>https://d0f6bd738d7f1b3e5a7ca70fe4ff75f0.us-east-1.aws.found.io/app/kibana#/discover/Steve-Slow-Train-Analysis-(2080s-and-2083s)?_g=(refreshInterval:(display:Off,pause:!f,section:0,value:0),time:(from:'2017-06-05T15:06:45-0600',mode:absolute,to:'2017-06-05T17:25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6" s="204" t="str">
        <f t="shared" si="65"/>
        <v>N</v>
      </c>
      <c r="X186" s="204">
        <f t="shared" si="75"/>
        <v>1</v>
      </c>
      <c r="Y186" s="204">
        <f t="shared" si="76"/>
        <v>5.86</v>
      </c>
      <c r="Z186" s="204">
        <f t="shared" si="78"/>
        <v>7.17E-2</v>
      </c>
      <c r="AA186" s="204">
        <f t="shared" si="67"/>
        <v>5.7883000000000004</v>
      </c>
      <c r="AB186" s="57" t="e">
        <f>VLOOKUP(A186,Enforcements!$C$7:$K$13,8,0)</f>
        <v>#N/A</v>
      </c>
      <c r="AC186" s="53" t="e">
        <f>VLOOKUP(A186,Enforcements!$C$7:$E$13,3,0)</f>
        <v>#N/A</v>
      </c>
      <c r="AD186" s="54" t="str">
        <f t="shared" si="68"/>
        <v>0828-05</v>
      </c>
      <c r="AE186" s="80" t="str">
        <f t="shared" si="69"/>
        <v>aws s3 cp s3://rtdc.mdm.uploadarchive.raw/RTDC4027/ "%USERPROFILE%\AppData\Local\Temp\OnboardLogs"\RTDC4027\2017-06-05 --exclude "*" --recursive --include "*20170605*" &amp; "%USERPROFILE%\Documents\GitHub\mrs-test-scripts\Headless Mode &amp; Sideloading\WalkAndUnGZ.bat" "%USERPROFILE%\AppData\Local\Temp\OnboardLogs"\RTDC4027\2017-06-05 &amp; aws s3 cp s3://rtdc.mdm.uploadarchive.raw/RTDC4027/ "%USERPROFILE%\AppData\Local\Temp\OnboardLogs"\RTDC4027\2017-06-06 --exclude "*" --recursive --include "*20170606*" &amp; "%USERPROFILE%\Documents\GitHub\mrs-test-scripts\Headless Mode &amp; Sideloading\WalkAndUnGZ.bat" "%USERPROFILE%\AppData\Local\Temp\OnboardLogs"\RTDC4027\2017-06-06</v>
      </c>
      <c r="AF186" s="77" t="str">
        <f t="shared" si="70"/>
        <v>"C:\Program Files (x86)\AstroGrep\AstroGrep.exe" /e /r /s /spath="%USERPROFILE%\AppData\Local\Temp\OnboardLogs" /stypes="app*4027*20170605*" /stext=" 22:.+((SYSTEM_STATE.+slice.+state.+changed )|(ment ac)|(multiple cpu faults)|(system.+state.+changed )|(\[timeout)|(PRM\|1\|D)|(kpr)|(kdp)|(train st.+moving)|(\|lc)|(penalty))"</v>
      </c>
      <c r="AG186" s="1" t="str">
        <f t="shared" si="71"/>
        <v>NW</v>
      </c>
      <c r="AH186" s="81" t="str">
        <f t="shared" si="57"/>
        <v>"%USERPROFILE%\Documents\GitHub\eaglep3\Utilities\RefineRTDCRunTimes.py" --tripid 828-05 --locoid 4027 --swversion DE.1.0.9.0 --startMP 300:58600 --initTime 2017-06-05T16:06:45 --startdatetime 2017-06-05T16:09:10 --delay 1 --endMP 204:717 --enddatetime 2017-06-05T16:25:44 --enforcementcount 0 &gt;&gt;C:\Users\stu\Documents\GitHub\eaglep3-reporting\EC\2017-06-05-refined-times.txt</v>
      </c>
      <c r="AI186" s="99" t="str">
        <f t="shared" si="58"/>
        <v>echo {"issue":{"subject":"","project_id":79,"tracker_id":40,"status_id":1,"priority_id":2,"assigned_to_id":23,"start_date":"2017-06-05","description":"","custom_fields":[{"id":1,"name":"Subdivision","value":"NW"},{"id":4,"name":"Milepost","value":"0.0717"},{"id":17,"name":"Train ID","value":"828-05"},{"id":16,"name":"Locomotive ID","value":"4027"},{"id":130,"name":"Impact","value":""},{"id":150,"name":"Time of Event (Mountain Time)","value":"16:25:44"},{"id":151,"name":"Denver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5" t="str">
        <f t="shared" si="59"/>
        <v>start /low /b %USERPROFILE%\Documents\GitHub\eaglep3\Utilities\DownloadLogsFromS3.py --loco 4027 --day 2017-06-05</v>
      </c>
      <c r="AN186" s="154" t="str">
        <f t="shared" si="60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22:25:44"},{"id":29,"name":"Sharepoint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2" t="s">
        <v>765</v>
      </c>
      <c r="B187" s="7">
        <v>4046</v>
      </c>
      <c r="C187" s="21" t="s">
        <v>204</v>
      </c>
      <c r="D187" s="21" t="s">
        <v>973</v>
      </c>
      <c r="E187" s="13">
        <v>42891.679178240738</v>
      </c>
      <c r="F187" s="13">
        <v>42891.681493055556</v>
      </c>
      <c r="G187" s="7">
        <v>1</v>
      </c>
      <c r="H187" s="21" t="s">
        <v>979</v>
      </c>
      <c r="I187" s="13">
        <v>42891.69091435185</v>
      </c>
      <c r="J187" s="7">
        <v>0</v>
      </c>
      <c r="K187" s="92" t="str">
        <f t="shared" si="61"/>
        <v>4045/4046</v>
      </c>
      <c r="L187" s="21" t="str">
        <f>VLOOKUP(A187,'Trips&amp;Operators'!$C$1:$G$99999,5,FALSE)</f>
        <v>LEVIN SCOTT</v>
      </c>
      <c r="M187" s="6">
        <f t="shared" si="62"/>
        <v>9.4212962940218858E-3</v>
      </c>
      <c r="N187" s="7">
        <f t="shared" si="79"/>
        <v>13.566666663391516</v>
      </c>
      <c r="O187" s="7"/>
      <c r="P187" s="7"/>
      <c r="Q187" s="22"/>
      <c r="R187" s="173"/>
      <c r="S187" s="176">
        <f t="shared" si="77"/>
        <v>1</v>
      </c>
      <c r="T187" s="202" t="str">
        <f t="shared" si="63"/>
        <v>NorthBound</v>
      </c>
      <c r="U187" s="202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03" t="str">
        <f t="shared" si="64"/>
        <v>https://d0f6bd738d7f1b3e5a7ca70fe4ff75f0.us-east-1.aws.found.io/app/kibana#/discover/Steve-Slow-Train-Analysis-(2080s-and-2083s)?_g=(refreshInterval:(display:Off,pause:!f,section:0,value:0),time:(from:'2017-06-05T15:18:01-0600',mode:absolute,to:'2017-06-05T17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7" s="204" t="str">
        <f t="shared" si="65"/>
        <v>N</v>
      </c>
      <c r="X187" s="204">
        <f t="shared" si="75"/>
        <v>1</v>
      </c>
      <c r="Y187" s="204">
        <f t="shared" si="76"/>
        <v>9.4799999999999995E-2</v>
      </c>
      <c r="Z187" s="204">
        <f t="shared" si="78"/>
        <v>5.8928000000000003</v>
      </c>
      <c r="AA187" s="204">
        <f t="shared" si="67"/>
        <v>5.798</v>
      </c>
      <c r="AB187" s="57" t="e">
        <f>VLOOKUP(A187,Enforcements!$C$7:$K$13,8,0)</f>
        <v>#N/A</v>
      </c>
      <c r="AC187" s="53" t="e">
        <f>VLOOKUP(A187,Enforcements!$C$7:$E$13,3,0)</f>
        <v>#N/A</v>
      </c>
      <c r="AD187" s="54" t="str">
        <f t="shared" si="68"/>
        <v>0829-05</v>
      </c>
      <c r="AE187" s="80" t="str">
        <f t="shared" si="69"/>
        <v>aws s3 cp s3://rtdc.mdm.uploadarchive.raw/RTDC4046/ "%USERPROFILE%\AppData\Local\Temp\OnboardLogs"\RTDC4046\2017-06-05 --exclude "*" --recursive --include "*20170605*" &amp; "%USERPROFILE%\Documents\GitHub\mrs-test-scripts\Headless Mode &amp; Sideloading\WalkAndUnGZ.bat" "%USERPROFILE%\AppData\Local\Temp\OnboardLogs"\RTDC4046\2017-06-05 &amp; aws s3 cp s3://rtdc.mdm.uploadarchive.raw/RTDC4046/ "%USERPROFILE%\AppData\Local\Temp\OnboardLogs"\RTDC4046\2017-06-06 --exclude "*" --recursive --include "*20170606*" &amp; "%USERPROFILE%\Documents\GitHub\mrs-test-scripts\Headless Mode &amp; Sideloading\WalkAndUnGZ.bat" "%USERPROFILE%\AppData\Local\Temp\OnboardLogs"\RTDC4046\2017-06-06</v>
      </c>
      <c r="AF187" s="77" t="str">
        <f t="shared" si="70"/>
        <v>"C:\Program Files (x86)\AstroGrep\AstroGrep.exe" /e /r /s /spath="%USERPROFILE%\AppData\Local\Temp\OnboardLogs" /stypes="app*4046*20170605*" /stext=" 22:.+((SYSTEM_STATE.+slice.+state.+changed )|(ment ac)|(multiple cpu faults)|(system.+state.+changed )|(\[timeout)|(PRM\|1\|D)|(kpr)|(kdp)|(train st.+moving)|(\|lc)|(penalty))"</v>
      </c>
      <c r="AG187" s="1" t="str">
        <f t="shared" si="71"/>
        <v>NW</v>
      </c>
      <c r="AH187" s="81" t="str">
        <f t="shared" si="57"/>
        <v>"%USERPROFILE%\Documents\GitHub\eaglep3\Utilities\RefineRTDCRunTimes.py" --tripid 829-05 --locoid 4046 --swversion DE.1.0.9.0 --startMP 204:948 --initTime 2017-06-05T16:18:01 --startdatetime 2017-06-05T16:21:21 --delay 1 --endMP 300:58928 --enddatetime 2017-06-05T16:34:55 --enforcementcount 0 &gt;&gt;C:\Users\stu\Documents\GitHub\eaglep3-reporting\EC\2017-06-05-refined-times.txt</v>
      </c>
      <c r="AI187" s="99" t="str">
        <f t="shared" si="58"/>
        <v>echo {"issue":{"subject":"","project_id":79,"tracker_id":40,"status_id":1,"priority_id":2,"assigned_to_id":23,"start_date":"2017-06-05","description":"","custom_fields":[{"id":1,"name":"Subdivision","value":"NW"},{"id":4,"name":"Milepost","value":"5.8928"},{"id":17,"name":"Train ID","value":"829-05"},{"id":16,"name":"Locomotive ID","value":"4046"},{"id":130,"name":"Impact","value":""},{"id":150,"name":"Time of Event (Mountain Time)","value":"16:34:55"},{"id":151,"name":"Denver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5" t="str">
        <f t="shared" si="59"/>
        <v>start /low /b %USERPROFILE%\Documents\GitHub\eaglep3\Utilities\DownloadLogsFromS3.py --loco 4046 --day 2017-06-05</v>
      </c>
      <c r="AN187" s="154" t="str">
        <f t="shared" si="60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22:34:55"},{"id":29,"name":"Sharepoint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2" t="s">
        <v>768</v>
      </c>
      <c r="B188" s="7">
        <v>4045</v>
      </c>
      <c r="C188" s="21" t="s">
        <v>204</v>
      </c>
      <c r="D188" s="21" t="s">
        <v>980</v>
      </c>
      <c r="E188" s="13">
        <v>42891.691770833335</v>
      </c>
      <c r="F188" s="13">
        <v>42891.69295138889</v>
      </c>
      <c r="G188" s="7">
        <v>1</v>
      </c>
      <c r="H188" s="21" t="s">
        <v>981</v>
      </c>
      <c r="I188" s="13">
        <v>42891.705601851849</v>
      </c>
      <c r="J188" s="7">
        <v>0</v>
      </c>
      <c r="K188" s="92" t="str">
        <f t="shared" si="61"/>
        <v>4045/4046</v>
      </c>
      <c r="L188" s="21" t="str">
        <f>VLOOKUP(A188,'Trips&amp;Operators'!$C$1:$G$99999,5,FALSE)</f>
        <v>LEVIN SCOTT</v>
      </c>
      <c r="M188" s="6">
        <f t="shared" si="62"/>
        <v>1.265046295884531E-2</v>
      </c>
      <c r="N188" s="7">
        <f t="shared" si="79"/>
        <v>18.216666660737246</v>
      </c>
      <c r="O188" s="7"/>
      <c r="P188" s="7"/>
      <c r="Q188" s="22"/>
      <c r="R188" s="173"/>
      <c r="S188" s="176">
        <f t="shared" si="77"/>
        <v>1</v>
      </c>
      <c r="T188" s="202" t="str">
        <f t="shared" si="63"/>
        <v>Southbound</v>
      </c>
      <c r="U188" s="202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03" t="str">
        <f t="shared" si="64"/>
        <v>https://d0f6bd738d7f1b3e5a7ca70fe4ff75f0.us-east-1.aws.found.io/app/kibana#/discover/Steve-Slow-Train-Analysis-(2080s-and-2083s)?_g=(refreshInterval:(display:Off,pause:!f,section:0,value:0),time:(from:'2017-06-05T15:36:09-0600',mode:absolute,to:'2017-06-05T17:56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8" s="204" t="str">
        <f t="shared" si="65"/>
        <v>N</v>
      </c>
      <c r="X188" s="204">
        <f t="shared" si="75"/>
        <v>1</v>
      </c>
      <c r="Y188" s="204">
        <f t="shared" si="76"/>
        <v>5.8616999999999999</v>
      </c>
      <c r="Z188" s="204">
        <f t="shared" si="78"/>
        <v>6.5000000000000002E-2</v>
      </c>
      <c r="AA188" s="204">
        <f t="shared" si="67"/>
        <v>5.7966999999999995</v>
      </c>
      <c r="AB188" s="57" t="e">
        <f>VLOOKUP(A188,Enforcements!$C$7:$K$13,8,0)</f>
        <v>#N/A</v>
      </c>
      <c r="AC188" s="53" t="e">
        <f>VLOOKUP(A188,Enforcements!$C$7:$E$13,3,0)</f>
        <v>#N/A</v>
      </c>
      <c r="AD188" s="54" t="str">
        <f t="shared" si="68"/>
        <v>0830-05</v>
      </c>
      <c r="AE188" s="80" t="str">
        <f t="shared" si="69"/>
        <v>aws s3 cp s3://rtdc.mdm.uploadarchive.raw/RTDC4045/ "%USERPROFILE%\AppData\Local\Temp\OnboardLogs"\RTDC4045\2017-06-05 --exclude "*" --recursive --include "*20170605*" &amp; "%USERPROFILE%\Documents\GitHub\mrs-test-scripts\Headless Mode &amp; Sideloading\WalkAndUnGZ.bat" "%USERPROFILE%\AppData\Local\Temp\OnboardLogs"\RTDC4045\2017-06-05 &amp; aws s3 cp s3://rtdc.mdm.uploadarchive.raw/RTDC4045/ "%USERPROFILE%\AppData\Local\Temp\OnboardLogs"\RTDC4045\2017-06-06 --exclude "*" --recursive --include "*20170606*" &amp; "%USERPROFILE%\Documents\GitHub\mrs-test-scripts\Headless Mode &amp; Sideloading\WalkAndUnGZ.bat" "%USERPROFILE%\AppData\Local\Temp\OnboardLogs"\RTDC4045\2017-06-06</v>
      </c>
      <c r="AF188" s="77" t="str">
        <f t="shared" si="70"/>
        <v>"C:\Program Files (x86)\AstroGrep\AstroGrep.exe" /e /r /s /spath="%USERPROFILE%\AppData\Local\Temp\OnboardLogs" /stypes="app*4045*20170605*" /stext=" 22:.+((SYSTEM_STATE.+slice.+state.+changed )|(ment ac)|(multiple cpu faults)|(system.+state.+changed )|(\[timeout)|(PRM\|1\|D)|(kpr)|(kdp)|(train st.+moving)|(\|lc)|(penalty))"</v>
      </c>
      <c r="AG188" s="1" t="str">
        <f t="shared" si="71"/>
        <v>NW</v>
      </c>
      <c r="AH188" s="81" t="str">
        <f t="shared" si="57"/>
        <v>"%USERPROFILE%\Documents\GitHub\eaglep3\Utilities\RefineRTDCRunTimes.py" --tripid 830-05 --locoid 4045 --swversion DE.1.0.9.0 --startMP 300:58617 --initTime 2017-06-05T16:36:09 --startdatetime 2017-06-05T16:37:51 --delay 1 --endMP 204:650 --enddatetime 2017-06-05T16:56:04 --enforcementcount 0 &gt;&gt;C:\Users\stu\Documents\GitHub\eaglep3-reporting\EC\2017-06-05-refined-times.txt</v>
      </c>
      <c r="AI188" s="99" t="str">
        <f t="shared" si="58"/>
        <v>echo {"issue":{"subject":"","project_id":79,"tracker_id":40,"status_id":1,"priority_id":2,"assigned_to_id":23,"start_date":"2017-06-05","description":"","custom_fields":[{"id":1,"name":"Subdivision","value":"NW"},{"id":4,"name":"Milepost","value":"0.065"},{"id":17,"name":"Train ID","value":"830-05"},{"id":16,"name":"Locomotive ID","value":"4045"},{"id":130,"name":"Impact","value":""},{"id":150,"name":"Time of Event (Mountain Time)","value":"16:56:04"},{"id":151,"name":"Denver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5" t="str">
        <f t="shared" si="59"/>
        <v>start /low /b %USERPROFILE%\Documents\GitHub\eaglep3\Utilities\DownloadLogsFromS3.py --loco 4045 --day 2017-06-05</v>
      </c>
      <c r="AN188" s="154" t="str">
        <f t="shared" si="60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22:56:04"},{"id":29,"name":"Sharepoint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2" t="s">
        <v>612</v>
      </c>
      <c r="B189" s="7">
        <v>4028</v>
      </c>
      <c r="C189" s="21" t="s">
        <v>204</v>
      </c>
      <c r="D189" s="21" t="s">
        <v>982</v>
      </c>
      <c r="E189" s="13">
        <v>42891.686064814814</v>
      </c>
      <c r="F189" s="13">
        <v>42891.702604166669</v>
      </c>
      <c r="G189" s="7">
        <v>1</v>
      </c>
      <c r="H189" s="21" t="s">
        <v>976</v>
      </c>
      <c r="I189" s="13">
        <v>42891.713750000003</v>
      </c>
      <c r="J189" s="7">
        <v>0</v>
      </c>
      <c r="K189" s="92" t="str">
        <f t="shared" si="61"/>
        <v>4027/4028</v>
      </c>
      <c r="L189" s="21" t="str">
        <f>VLOOKUP(A189,'Trips&amp;Operators'!$C$1:$G$99999,5,FALSE)</f>
        <v>STAMBAUGH JAMES</v>
      </c>
      <c r="M189" s="6">
        <f t="shared" si="62"/>
        <v>1.1145833334012423E-2</v>
      </c>
      <c r="N189" s="7">
        <f t="shared" si="79"/>
        <v>16.050000000977889</v>
      </c>
      <c r="O189" s="7"/>
      <c r="P189" s="7"/>
      <c r="Q189" s="22"/>
      <c r="R189" s="173"/>
      <c r="S189" s="176">
        <f t="shared" si="77"/>
        <v>1</v>
      </c>
      <c r="T189" s="202" t="str">
        <f t="shared" si="63"/>
        <v>NorthBound</v>
      </c>
      <c r="U189" s="202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03" t="str">
        <f t="shared" si="64"/>
        <v>https://d0f6bd738d7f1b3e5a7ca70fe4ff75f0.us-east-1.aws.found.io/app/kibana#/discover/Steve-Slow-Train-Analysis-(2080s-and-2083s)?_g=(refreshInterval:(display:Off,pause:!f,section:0,value:0),time:(from:'2017-06-05T15:27:56-0600',mode:absolute,to:'2017-06-05T18:07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9" s="204" t="str">
        <f t="shared" si="65"/>
        <v>N</v>
      </c>
      <c r="X189" s="204">
        <f t="shared" si="75"/>
        <v>1</v>
      </c>
      <c r="Y189" s="204">
        <f t="shared" si="76"/>
        <v>0.1004</v>
      </c>
      <c r="Z189" s="204">
        <f t="shared" si="78"/>
        <v>5.8917999999999999</v>
      </c>
      <c r="AA189" s="204">
        <f t="shared" si="67"/>
        <v>5.7914000000000003</v>
      </c>
      <c r="AB189" s="57" t="e">
        <f>VLOOKUP(A189,Enforcements!$C$7:$K$13,8,0)</f>
        <v>#N/A</v>
      </c>
      <c r="AC189" s="53" t="e">
        <f>VLOOKUP(A189,Enforcements!$C$7:$E$13,3,0)</f>
        <v>#N/A</v>
      </c>
      <c r="AD189" s="54" t="str">
        <f t="shared" si="68"/>
        <v>0831-05</v>
      </c>
      <c r="AE189" s="80" t="str">
        <f t="shared" si="69"/>
        <v>aws s3 cp s3://rtdc.mdm.uploadarchive.raw/RTDC4028/ "%USERPROFILE%\AppData\Local\Temp\OnboardLogs"\RTDC4028\2017-06-05 --exclude "*" --recursive --include "*20170605*" &amp; "%USERPROFILE%\Documents\GitHub\mrs-test-scripts\Headless Mode &amp; Sideloading\WalkAndUnGZ.bat" "%USERPROFILE%\AppData\Local\Temp\OnboardLogs"\RTDC4028\2017-06-05 &amp; aws s3 cp s3://rtdc.mdm.uploadarchive.raw/RTDC4028/ "%USERPROFILE%\AppData\Local\Temp\OnboardLogs"\RTDC4028\2017-06-06 --exclude "*" --recursive --include "*20170606*" &amp; "%USERPROFILE%\Documents\GitHub\mrs-test-scripts\Headless Mode &amp; Sideloading\WalkAndUnGZ.bat" "%USERPROFILE%\AppData\Local\Temp\OnboardLogs"\RTDC4028\2017-06-06</v>
      </c>
      <c r="AF189" s="77" t="str">
        <f t="shared" si="70"/>
        <v>"C:\Program Files (x86)\AstroGrep\AstroGrep.exe" /e /r /s /spath="%USERPROFILE%\AppData\Local\Temp\OnboardLogs" /stypes="app*4028*20170605*" /stext=" 23:.+((SYSTEM_STATE.+slice.+state.+changed )|(ment ac)|(multiple cpu faults)|(system.+state.+changed )|(\[timeout)|(PRM\|1\|D)|(kpr)|(kdp)|(train st.+moving)|(\|lc)|(penalty))"</v>
      </c>
      <c r="AG189" s="1" t="str">
        <f t="shared" si="71"/>
        <v>NW</v>
      </c>
      <c r="AH189" s="81" t="str">
        <f t="shared" si="57"/>
        <v>"%USERPROFILE%\Documents\GitHub\eaglep3\Utilities\RefineRTDCRunTimes.py" --tripid 831-05 --locoid 4028 --swversion DE.1.0.9.0 --startMP 204:1004 --initTime 2017-06-05T16:27:56 --startdatetime 2017-06-05T16:51:45 --delay 1 --endMP 300:58918 --enddatetime 2017-06-05T17:07:48 --enforcementcount 0 &gt;&gt;C:\Users\stu\Documents\GitHub\eaglep3-reporting\EC\2017-06-05-refined-times.txt</v>
      </c>
      <c r="AI189" s="99" t="str">
        <f t="shared" si="58"/>
        <v>echo {"issue":{"subject":"","project_id":79,"tracker_id":40,"status_id":1,"priority_id":2,"assigned_to_id":23,"start_date":"2017-06-05","description":"","custom_fields":[{"id":1,"name":"Subdivision","value":"NW"},{"id":4,"name":"Milepost","value":"5.8918"},{"id":17,"name":"Train ID","value":"831-05"},{"id":16,"name":"Locomotive ID","value":"4028"},{"id":130,"name":"Impact","value":""},{"id":150,"name":"Time of Event (Mountain Time)","value":"17:07:48"},{"id":151,"name":"Denver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5" t="str">
        <f t="shared" si="59"/>
        <v>start /low /b %USERPROFILE%\Documents\GitHub\eaglep3\Utilities\DownloadLogsFromS3.py --loco 4028 --day 2017-06-05</v>
      </c>
      <c r="AN189" s="154" t="str">
        <f t="shared" si="60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23:07:48"},{"id":29,"name":"Sharepoint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2" t="s">
        <v>613</v>
      </c>
      <c r="B190" s="7">
        <v>4027</v>
      </c>
      <c r="C190" s="21" t="s">
        <v>204</v>
      </c>
      <c r="D190" s="21" t="s">
        <v>977</v>
      </c>
      <c r="E190" s="13">
        <v>42891.714837962965</v>
      </c>
      <c r="F190" s="13">
        <v>42891.716539351852</v>
      </c>
      <c r="G190" s="7">
        <v>2</v>
      </c>
      <c r="H190" s="21" t="s">
        <v>983</v>
      </c>
      <c r="I190" s="13">
        <v>42891.727731481478</v>
      </c>
      <c r="J190" s="7">
        <v>0</v>
      </c>
      <c r="K190" s="92" t="str">
        <f t="shared" si="61"/>
        <v>4027/4028</v>
      </c>
      <c r="L190" s="21" t="str">
        <f>VLOOKUP(A190,'Trips&amp;Operators'!$C$1:$G$99999,5,FALSE)</f>
        <v>STAMBAUGH JAMES</v>
      </c>
      <c r="M190" s="6">
        <f t="shared" si="62"/>
        <v>1.1192129626579117E-2</v>
      </c>
      <c r="N190" s="7">
        <f t="shared" si="79"/>
        <v>16.116666662273929</v>
      </c>
      <c r="O190" s="7"/>
      <c r="P190" s="7"/>
      <c r="Q190" s="22"/>
      <c r="R190" s="173"/>
      <c r="S190" s="176">
        <f t="shared" si="77"/>
        <v>1</v>
      </c>
      <c r="T190" s="202" t="str">
        <f t="shared" si="63"/>
        <v>Southbound</v>
      </c>
      <c r="U190" s="202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03" t="str">
        <f t="shared" si="64"/>
        <v>https://d0f6bd738d7f1b3e5a7ca70fe4ff75f0.us-east-1.aws.found.io/app/kibana#/discover/Steve-Slow-Train-Analysis-(2080s-and-2083s)?_g=(refreshInterval:(display:Off,pause:!f,section:0,value:0),time:(from:'2017-06-05T16:09:22-0600',mode:absolute,to:'2017-06-05T18:27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0" s="204" t="str">
        <f t="shared" si="65"/>
        <v>N</v>
      </c>
      <c r="X190" s="204">
        <f t="shared" si="75"/>
        <v>1</v>
      </c>
      <c r="Y190" s="204">
        <f t="shared" si="76"/>
        <v>5.86</v>
      </c>
      <c r="Z190" s="204">
        <f t="shared" si="78"/>
        <v>6.7699999999999996E-2</v>
      </c>
      <c r="AA190" s="204">
        <f t="shared" si="67"/>
        <v>5.7923</v>
      </c>
      <c r="AB190" s="57" t="e">
        <f>VLOOKUP(A190,Enforcements!$C$7:$K$13,8,0)</f>
        <v>#N/A</v>
      </c>
      <c r="AC190" s="53" t="e">
        <f>VLOOKUP(A190,Enforcements!$C$7:$E$13,3,0)</f>
        <v>#N/A</v>
      </c>
      <c r="AD190" s="54" t="str">
        <f t="shared" si="68"/>
        <v>0832-05</v>
      </c>
      <c r="AE190" s="80" t="str">
        <f t="shared" si="69"/>
        <v>aws s3 cp s3://rtdc.mdm.uploadarchive.raw/RTDC4027/ "%USERPROFILE%\AppData\Local\Temp\OnboardLogs"\RTDC4027\2017-06-05 --exclude "*" --recursive --include "*20170605*" &amp; "%USERPROFILE%\Documents\GitHub\mrs-test-scripts\Headless Mode &amp; Sideloading\WalkAndUnGZ.bat" "%USERPROFILE%\AppData\Local\Temp\OnboardLogs"\RTDC4027\2017-06-05 &amp; aws s3 cp s3://rtdc.mdm.uploadarchive.raw/RTDC4027/ "%USERPROFILE%\AppData\Local\Temp\OnboardLogs"\RTDC4027\2017-06-06 --exclude "*" --recursive --include "*20170606*" &amp; "%USERPROFILE%\Documents\GitHub\mrs-test-scripts\Headless Mode &amp; Sideloading\WalkAndUnGZ.bat" "%USERPROFILE%\AppData\Local\Temp\OnboardLogs"\RTDC4027\2017-06-06</v>
      </c>
      <c r="AF190" s="77" t="str">
        <f t="shared" si="70"/>
        <v>"C:\Program Files (x86)\AstroGrep\AstroGrep.exe" /e /r /s /spath="%USERPROFILE%\AppData\Local\Temp\OnboardLogs" /stypes="app*4027*20170605*" /stext=" 23:.+((SYSTEM_STATE.+slice.+state.+changed )|(ment ac)|(multiple cpu faults)|(system.+state.+changed )|(\[timeout)|(PRM\|1\|D)|(kpr)|(kdp)|(train st.+moving)|(\|lc)|(penalty))"</v>
      </c>
      <c r="AG190" s="1" t="str">
        <f t="shared" si="71"/>
        <v>NW</v>
      </c>
      <c r="AH190" s="81" t="str">
        <f t="shared" si="57"/>
        <v>"%USERPROFILE%\Documents\GitHub\eaglep3\Utilities\RefineRTDCRunTimes.py" --tripid 832-05 --locoid 4027 --swversion DE.1.0.9.0 --startMP 300:58600 --initTime 2017-06-05T17:09:22 --startdatetime 2017-06-05T17:11:49 --delay 2 --endMP 204:677 --enddatetime 2017-06-05T17:27:56 --enforcementcount 0 &gt;&gt;C:\Users\stu\Documents\GitHub\eaglep3-reporting\EC\2017-06-05-refined-times.txt</v>
      </c>
      <c r="AI190" s="99" t="str">
        <f t="shared" si="58"/>
        <v>echo {"issue":{"subject":"","project_id":79,"tracker_id":40,"status_id":1,"priority_id":2,"assigned_to_id":23,"start_date":"2017-06-05","description":"","custom_fields":[{"id":1,"name":"Subdivision","value":"NW"},{"id":4,"name":"Milepost","value":"0.0677"},{"id":17,"name":"Train ID","value":"832-05"},{"id":16,"name":"Locomotive ID","value":"4027"},{"id":130,"name":"Impact","value":""},{"id":150,"name":"Time of Event (Mountain Time)","value":"17:27:56"},{"id":151,"name":"Denver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5" t="str">
        <f t="shared" si="59"/>
        <v>start /low /b %USERPROFILE%\Documents\GitHub\eaglep3\Utilities\DownloadLogsFromS3.py --loco 4027 --day 2017-06-05</v>
      </c>
      <c r="AN190" s="154" t="str">
        <f t="shared" si="60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23:27:56"},{"id":29,"name":"Sharepoint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2" t="s">
        <v>777</v>
      </c>
      <c r="B191" s="7">
        <v>4046</v>
      </c>
      <c r="C191" s="21" t="s">
        <v>204</v>
      </c>
      <c r="D191" s="21" t="s">
        <v>984</v>
      </c>
      <c r="E191" s="13">
        <v>42891.720266203702</v>
      </c>
      <c r="F191" s="13">
        <v>42891.723263888889</v>
      </c>
      <c r="G191" s="7">
        <v>1</v>
      </c>
      <c r="H191" s="21" t="s">
        <v>530</v>
      </c>
      <c r="I191" s="13">
        <v>42891.732812499999</v>
      </c>
      <c r="J191" s="7">
        <v>0</v>
      </c>
      <c r="K191" s="92" t="str">
        <f t="shared" si="61"/>
        <v>4045/4046</v>
      </c>
      <c r="L191" s="21" t="str">
        <f>VLOOKUP(A191,'Trips&amp;Operators'!$C$1:$G$99999,5,FALSE)</f>
        <v>LEVIN SCOTT</v>
      </c>
      <c r="M191" s="6">
        <f t="shared" si="62"/>
        <v>9.5486111094942316E-3</v>
      </c>
      <c r="N191" s="7">
        <f t="shared" si="79"/>
        <v>13.749999997671694</v>
      </c>
      <c r="O191" s="7"/>
      <c r="P191" s="7"/>
      <c r="Q191" s="22"/>
      <c r="R191" s="173"/>
      <c r="S191" s="176">
        <f t="shared" si="77"/>
        <v>1</v>
      </c>
      <c r="T191" s="202" t="str">
        <f t="shared" si="63"/>
        <v>NorthBound</v>
      </c>
      <c r="U191" s="202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03" t="str">
        <f t="shared" si="64"/>
        <v>https://d0f6bd738d7f1b3e5a7ca70fe4ff75f0.us-east-1.aws.found.io/app/kibana#/discover/Steve-Slow-Train-Analysis-(2080s-and-2083s)?_g=(refreshInterval:(display:Off,pause:!f,section:0,value:0),time:(from:'2017-06-05T16:17:11-0600',mode:absolute,to:'2017-06-05T18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1" s="204" t="str">
        <f t="shared" si="65"/>
        <v>N</v>
      </c>
      <c r="X191" s="204">
        <f t="shared" si="75"/>
        <v>1</v>
      </c>
      <c r="Y191" s="204">
        <f t="shared" si="76"/>
        <v>9.2700000000000005E-2</v>
      </c>
      <c r="Z191" s="204">
        <f t="shared" si="78"/>
        <v>5.8949999999999996</v>
      </c>
      <c r="AA191" s="204">
        <f t="shared" si="67"/>
        <v>5.8022999999999998</v>
      </c>
      <c r="AB191" s="57" t="e">
        <f>VLOOKUP(A191,Enforcements!$C$7:$K$13,8,0)</f>
        <v>#N/A</v>
      </c>
      <c r="AC191" s="53" t="e">
        <f>VLOOKUP(A191,Enforcements!$C$7:$E$13,3,0)</f>
        <v>#N/A</v>
      </c>
      <c r="AD191" s="54" t="str">
        <f t="shared" si="68"/>
        <v>0833-05</v>
      </c>
      <c r="AE191" s="80" t="str">
        <f t="shared" si="69"/>
        <v>aws s3 cp s3://rtdc.mdm.uploadarchive.raw/RTDC4046/ "%USERPROFILE%\AppData\Local\Temp\OnboardLogs"\RTDC4046\2017-06-05 --exclude "*" --recursive --include "*20170605*" &amp; "%USERPROFILE%\Documents\GitHub\mrs-test-scripts\Headless Mode &amp; Sideloading\WalkAndUnGZ.bat" "%USERPROFILE%\AppData\Local\Temp\OnboardLogs"\RTDC4046\2017-06-05 &amp; aws s3 cp s3://rtdc.mdm.uploadarchive.raw/RTDC4046/ "%USERPROFILE%\AppData\Local\Temp\OnboardLogs"\RTDC4046\2017-06-06 --exclude "*" --recursive --include "*20170606*" &amp; "%USERPROFILE%\Documents\GitHub\mrs-test-scripts\Headless Mode &amp; Sideloading\WalkAndUnGZ.bat" "%USERPROFILE%\AppData\Local\Temp\OnboardLogs"\RTDC4046\2017-06-06</v>
      </c>
      <c r="AF191" s="77" t="str">
        <f t="shared" si="70"/>
        <v>"C:\Program Files (x86)\AstroGrep\AstroGrep.exe" /e /r /s /spath="%USERPROFILE%\AppData\Local\Temp\OnboardLogs" /stypes="app*4046*20170605*" /stext=" 23:.+((SYSTEM_STATE.+slice.+state.+changed )|(ment ac)|(multiple cpu faults)|(system.+state.+changed )|(\[timeout)|(PRM\|1\|D)|(kpr)|(kdp)|(train st.+moving)|(\|lc)|(penalty))"</v>
      </c>
      <c r="AG191" s="1" t="str">
        <f t="shared" si="71"/>
        <v>NW</v>
      </c>
      <c r="AH191" s="81" t="str">
        <f t="shared" si="57"/>
        <v>"%USERPROFILE%\Documents\GitHub\eaglep3\Utilities\RefineRTDCRunTimes.py" --tripid 833-05 --locoid 4046 --swversion DE.1.0.9.0 --startMP 204:927 --initTime 2017-06-05T17:17:11 --startdatetime 2017-06-05T17:21:30 --delay 1 --endMP 300:58950 --enddatetime 2017-06-05T17:35:15 --enforcementcount 0 &gt;&gt;C:\Users\stu\Documents\GitHub\eaglep3-reporting\EC\2017-06-05-refined-times.txt</v>
      </c>
      <c r="AI191" s="99" t="str">
        <f t="shared" si="58"/>
        <v>echo {"issue":{"subject":"","project_id":79,"tracker_id":40,"status_id":1,"priority_id":2,"assigned_to_id":23,"start_date":"2017-06-05","description":"","custom_fields":[{"id":1,"name":"Subdivision","value":"NW"},{"id":4,"name":"Milepost","value":"5.895"},{"id":17,"name":"Train ID","value":"833-05"},{"id":16,"name":"Locomotive ID","value":"4046"},{"id":130,"name":"Impact","value":""},{"id":150,"name":"Time of Event (Mountain Time)","value":"17:35:15"},{"id":151,"name":"Denver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5" t="str">
        <f t="shared" si="59"/>
        <v>start /low /b %USERPROFILE%\Documents\GitHub\eaglep3\Utilities\DownloadLogsFromS3.py --loco 4046 --day 2017-06-05</v>
      </c>
      <c r="AN191" s="154" t="str">
        <f t="shared" si="60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23:35:15"},{"id":29,"name":"Sharepoint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2" t="s">
        <v>780</v>
      </c>
      <c r="B192" s="7">
        <v>4045</v>
      </c>
      <c r="C192" s="21" t="s">
        <v>204</v>
      </c>
      <c r="D192" s="21" t="s">
        <v>985</v>
      </c>
      <c r="E192" s="13">
        <v>42891.733912037038</v>
      </c>
      <c r="F192" s="13">
        <v>42891.735208333332</v>
      </c>
      <c r="G192" s="7">
        <v>1</v>
      </c>
      <c r="H192" s="21" t="s">
        <v>986</v>
      </c>
      <c r="I192" s="13">
        <v>42891.748101851852</v>
      </c>
      <c r="J192" s="7">
        <v>0</v>
      </c>
      <c r="K192" s="92" t="str">
        <f t="shared" si="61"/>
        <v>4045/4046</v>
      </c>
      <c r="L192" s="21" t="str">
        <f>VLOOKUP(A192,'Trips&amp;Operators'!$C$1:$G$99999,5,FALSE)</f>
        <v>LEVIN SCOTT</v>
      </c>
      <c r="M192" s="6">
        <f t="shared" si="62"/>
        <v>1.2893518520286307E-2</v>
      </c>
      <c r="N192" s="7">
        <f t="shared" si="79"/>
        <v>18.566666669212282</v>
      </c>
      <c r="O192" s="7"/>
      <c r="P192" s="7"/>
      <c r="Q192" s="22"/>
      <c r="R192" s="173"/>
      <c r="S192" s="176">
        <f t="shared" si="77"/>
        <v>1</v>
      </c>
      <c r="T192" s="202" t="str">
        <f t="shared" si="63"/>
        <v>Southbound</v>
      </c>
      <c r="U192" s="202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03" t="str">
        <f t="shared" si="64"/>
        <v>https://d0f6bd738d7f1b3e5a7ca70fe4ff75f0.us-east-1.aws.found.io/app/kibana#/discover/Steve-Slow-Train-Analysis-(2080s-and-2083s)?_g=(refreshInterval:(display:Off,pause:!f,section:0,value:0),time:(from:'2017-06-05T16:36:50-0600',mode:absolute,to:'2017-06-05T18:57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92" s="204" t="str">
        <f t="shared" si="65"/>
        <v>N</v>
      </c>
      <c r="X192" s="204">
        <f t="shared" si="75"/>
        <v>1</v>
      </c>
      <c r="Y192" s="204">
        <f t="shared" si="76"/>
        <v>5.8639999999999999</v>
      </c>
      <c r="Z192" s="204">
        <f t="shared" si="78"/>
        <v>6.4000000000000001E-2</v>
      </c>
      <c r="AA192" s="204">
        <f t="shared" si="67"/>
        <v>5.8</v>
      </c>
      <c r="AB192" s="57" t="e">
        <f>VLOOKUP(A192,Enforcements!$C$7:$K$13,8,0)</f>
        <v>#N/A</v>
      </c>
      <c r="AC192" s="53" t="e">
        <f>VLOOKUP(A192,Enforcements!$C$7:$E$13,3,0)</f>
        <v>#N/A</v>
      </c>
      <c r="AD192" s="54" t="str">
        <f t="shared" si="68"/>
        <v>0834-05</v>
      </c>
      <c r="AE192" s="80" t="str">
        <f t="shared" si="69"/>
        <v>aws s3 cp s3://rtdc.mdm.uploadarchive.raw/RTDC4045/ "%USERPROFILE%\AppData\Local\Temp\OnboardLogs"\RTDC4045\2017-06-05 --exclude "*" --recursive --include "*20170605*" &amp; "%USERPROFILE%\Documents\GitHub\mrs-test-scripts\Headless Mode &amp; Sideloading\WalkAndUnGZ.bat" "%USERPROFILE%\AppData\Local\Temp\OnboardLogs"\RTDC4045\2017-06-05 &amp; aws s3 cp s3://rtdc.mdm.uploadarchive.raw/RTDC4045/ "%USERPROFILE%\AppData\Local\Temp\OnboardLogs"\RTDC4045\2017-06-06 --exclude "*" --recursive --include "*20170606*" &amp; "%USERPROFILE%\Documents\GitHub\mrs-test-scripts\Headless Mode &amp; Sideloading\WalkAndUnGZ.bat" "%USERPROFILE%\AppData\Local\Temp\OnboardLogs"\RTDC4045\2017-06-06</v>
      </c>
      <c r="AF192" s="77" t="str">
        <f t="shared" si="70"/>
        <v>"C:\Program Files (x86)\AstroGrep\AstroGrep.exe" /e /r /s /spath="%USERPROFILE%\AppData\Local\Temp\OnboardLogs" /stypes="app*4045*20170605*" /stext=" 23:.+((SYSTEM_STATE.+slice.+state.+changed )|(ment ac)|(multiple cpu faults)|(system.+state.+changed )|(\[timeout)|(PRM\|1\|D)|(kpr)|(kdp)|(train st.+moving)|(\|lc)|(penalty))"</v>
      </c>
      <c r="AG192" s="1" t="str">
        <f t="shared" si="71"/>
        <v>NW</v>
      </c>
      <c r="AH192" s="81" t="str">
        <f t="shared" si="57"/>
        <v>"%USERPROFILE%\Documents\GitHub\eaglep3\Utilities\RefineRTDCRunTimes.py" --tripid 834-05 --locoid 4045 --swversion DE.1.0.9.0 --startMP 300:58640 --initTime 2017-06-05T17:36:50 --startdatetime 2017-06-05T17:38:42 --delay 1 --endMP 204:640 --enddatetime 2017-06-05T17:57:16 --enforcementcount 0 &gt;&gt;C:\Users\stu\Documents\GitHub\eaglep3-reporting\EC\2017-06-05-refined-times.txt</v>
      </c>
      <c r="AI192" s="99" t="str">
        <f t="shared" si="58"/>
        <v>echo {"issue":{"subject":"","project_id":79,"tracker_id":40,"status_id":1,"priority_id":2,"assigned_to_id":23,"start_date":"2017-06-05","description":"","custom_fields":[{"id":1,"name":"Subdivision","value":"NW"},{"id":4,"name":"Milepost","value":"0.064"},{"id":17,"name":"Train ID","value":"834-05"},{"id":16,"name":"Locomotive ID","value":"4045"},{"id":130,"name":"Impact","value":""},{"id":150,"name":"Time of Event (Mountain Time)","value":"17:57:16"},{"id":151,"name":"Denver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5" t="str">
        <f t="shared" si="59"/>
        <v>start /low /b %USERPROFILE%\Documents\GitHub\eaglep3\Utilities\DownloadLogsFromS3.py --loco 4045 --day 2017-06-05</v>
      </c>
      <c r="AN192" s="154" t="str">
        <f t="shared" si="60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23:57:16"},{"id":29,"name":"Sharepoint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91" x14ac:dyDescent="0.25">
      <c r="A193" s="32" t="s">
        <v>783</v>
      </c>
      <c r="B193" s="7">
        <v>4028</v>
      </c>
      <c r="C193" s="21" t="s">
        <v>204</v>
      </c>
      <c r="D193" s="21" t="s">
        <v>949</v>
      </c>
      <c r="E193" s="13">
        <v>42891.740856481483</v>
      </c>
      <c r="F193" s="13">
        <v>42891.744108796294</v>
      </c>
      <c r="G193" s="7">
        <v>2</v>
      </c>
      <c r="H193" s="21" t="s">
        <v>987</v>
      </c>
      <c r="I193" s="13">
        <v>42891.754745370374</v>
      </c>
      <c r="J193" s="7">
        <v>0</v>
      </c>
      <c r="K193" s="92" t="str">
        <f t="shared" si="61"/>
        <v>4027/4028</v>
      </c>
      <c r="L193" s="21" t="str">
        <f>VLOOKUP(A193,'Trips&amp;Operators'!$C$1:$G$99999,5,FALSE)</f>
        <v>STAMBAUGH JAMES</v>
      </c>
      <c r="M193" s="6">
        <f t="shared" si="62"/>
        <v>1.0636574079398997E-2</v>
      </c>
      <c r="N193" s="7">
        <f t="shared" si="79"/>
        <v>15.316666674334556</v>
      </c>
      <c r="O193" s="7"/>
      <c r="P193" s="7"/>
      <c r="Q193" s="22"/>
      <c r="R193" s="173"/>
      <c r="S193" s="176">
        <f t="shared" si="77"/>
        <v>1</v>
      </c>
      <c r="T193" s="202" t="str">
        <f t="shared" si="63"/>
        <v>NorthBound</v>
      </c>
      <c r="U193" s="202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03" t="str">
        <f t="shared" si="64"/>
        <v>https://d0f6bd738d7f1b3e5a7ca70fe4ff75f0.us-east-1.aws.found.io/app/kibana#/discover/Steve-Slow-Train-Analysis-(2080s-and-2083s)?_g=(refreshInterval:(display:Off,pause:!f,section:0,value:0),time:(from:'2017-06-05T16:46:50-0600',mode:absolute,to:'2017-06-05T19:06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3" s="204" t="str">
        <f t="shared" si="65"/>
        <v>N</v>
      </c>
      <c r="X193" s="204">
        <f t="shared" si="75"/>
        <v>1</v>
      </c>
      <c r="Y193" s="204">
        <f t="shared" si="76"/>
        <v>9.6699999999999994E-2</v>
      </c>
      <c r="Z193" s="204">
        <f t="shared" si="78"/>
        <v>5.8929</v>
      </c>
      <c r="AA193" s="204">
        <f t="shared" si="67"/>
        <v>5.7961999999999998</v>
      </c>
      <c r="AB193" s="57" t="e">
        <f>VLOOKUP(A193,Enforcements!$C$7:$K$13,8,0)</f>
        <v>#N/A</v>
      </c>
      <c r="AC193" s="53" t="e">
        <f>VLOOKUP(A193,Enforcements!$C$7:$E$13,3,0)</f>
        <v>#N/A</v>
      </c>
      <c r="AD193" s="54" t="str">
        <f t="shared" si="68"/>
        <v>0835-05</v>
      </c>
      <c r="AE193" s="80" t="str">
        <f t="shared" si="69"/>
        <v>aws s3 cp s3://rtdc.mdm.uploadarchive.raw/RTDC4028/ "%USERPROFILE%\AppData\Local\Temp\OnboardLogs"\RTDC4028\2017-06-05 --exclude "*" --recursive --include "*20170605*" &amp; "%USERPROFILE%\Documents\GitHub\mrs-test-scripts\Headless Mode &amp; Sideloading\WalkAndUnGZ.bat" "%USERPROFILE%\AppData\Local\Temp\OnboardLogs"\RTDC4028\2017-06-05 &amp; aws s3 cp s3://rtdc.mdm.uploadarchive.raw/RTDC4028/ "%USERPROFILE%\AppData\Local\Temp\OnboardLogs"\RTDC4028\2017-06-06 --exclude "*" --recursive --include "*20170606*" &amp; "%USERPROFILE%\Documents\GitHub\mrs-test-scripts\Headless Mode &amp; Sideloading\WalkAndUnGZ.bat" "%USERPROFILE%\AppData\Local\Temp\OnboardLogs"\RTDC4028\2017-06-06</v>
      </c>
      <c r="AF193" s="77" t="str">
        <f t="shared" si="70"/>
        <v>"C:\Program Files (x86)\AstroGrep\AstroGrep.exe" /e /r /s /spath="%USERPROFILE%\AppData\Local\Temp\OnboardLogs" /stypes="app*4028*20170606*" /stext=" 00:.+((SYSTEM_STATE.+slice.+state.+changed )|(ment ac)|(multiple cpu faults)|(system.+state.+changed )|(\[timeout)|(PRM\|1\|D)|(kpr)|(kdp)|(train st.+moving)|(\|lc)|(penalty))"</v>
      </c>
      <c r="AG193" s="1" t="str">
        <f t="shared" si="71"/>
        <v>NW</v>
      </c>
      <c r="AH193" s="81" t="str">
        <f t="shared" si="57"/>
        <v>"%USERPROFILE%\Documents\GitHub\eaglep3\Utilities\RefineRTDCRunTimes.py" --tripid 835-05 --locoid 4028 --swversion DE.1.0.9.0 --startMP 204:967 --initTime 2017-06-05T17:46:50 --startdatetime 2017-06-05T17:51:31 --delay 2 --endMP 300:58929 --enddatetime 2017-06-05T18:06:50 --enforcementcount 0 &gt;&gt;C:\Users\stu\Documents\GitHub\eaglep3-reporting\EC\2017-06-05-refined-times.txt</v>
      </c>
      <c r="AI193" s="99" t="str">
        <f t="shared" si="58"/>
        <v>echo {"issue":{"subject":"","project_id":79,"tracker_id":40,"status_id":1,"priority_id":2,"assigned_to_id":23,"start_date":"2017-06-05","description":"","custom_fields":[{"id":1,"name":"Subdivision","value":"NW"},{"id":4,"name":"Milepost","value":"5.8929"},{"id":17,"name":"Train ID","value":"835-05"},{"id":16,"name":"Locomotive ID","value":"4028"},{"id":130,"name":"Impact","value":""},{"id":150,"name":"Time of Event (Mountain Time)","value":"18:06:50"},{"id":151,"name":"Denver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5" t="str">
        <f t="shared" si="59"/>
        <v>start /low /b %USERPROFILE%\Documents\GitHub\eaglep3\Utilities\DownloadLogsFromS3.py --loco 4028 --day 2017-06-05</v>
      </c>
      <c r="AN193" s="154" t="str">
        <f t="shared" si="60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00:06:50"},{"id":29,"name":"Sharepoint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91" s="20" customFormat="1" x14ac:dyDescent="0.25">
      <c r="A194" s="32" t="s">
        <v>786</v>
      </c>
      <c r="B194" s="7">
        <v>4027</v>
      </c>
      <c r="C194" s="21" t="s">
        <v>204</v>
      </c>
      <c r="D194" s="21" t="s">
        <v>988</v>
      </c>
      <c r="E194" s="13">
        <v>42891.756099537037</v>
      </c>
      <c r="F194" s="13">
        <v>42891.757650462961</v>
      </c>
      <c r="G194" s="7">
        <v>1</v>
      </c>
      <c r="H194" s="21" t="s">
        <v>989</v>
      </c>
      <c r="I194" s="13">
        <v>42891.768159722225</v>
      </c>
      <c r="J194" s="7">
        <v>0</v>
      </c>
      <c r="K194" s="92" t="str">
        <f t="shared" si="61"/>
        <v>4027/4028</v>
      </c>
      <c r="L194" s="21" t="str">
        <f>VLOOKUP(A194,'Trips&amp;Operators'!$C$1:$G$99999,5,FALSE)</f>
        <v>STAMBAUGH JAMES</v>
      </c>
      <c r="M194" s="6">
        <f t="shared" si="62"/>
        <v>1.0509259263926651E-2</v>
      </c>
      <c r="N194" s="7">
        <f t="shared" si="79"/>
        <v>15.133333340054378</v>
      </c>
      <c r="O194" s="7"/>
      <c r="P194" s="7"/>
      <c r="Q194" s="22"/>
      <c r="R194" s="173"/>
      <c r="S194" s="176">
        <f t="shared" si="77"/>
        <v>1</v>
      </c>
      <c r="T194" s="202" t="str">
        <f t="shared" si="63"/>
        <v>Southbound</v>
      </c>
      <c r="U194" s="202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03" t="str">
        <f t="shared" si="64"/>
        <v>https://d0f6bd738d7f1b3e5a7ca70fe4ff75f0.us-east-1.aws.found.io/app/kibana#/discover/Steve-Slow-Train-Analysis-(2080s-and-2083s)?_g=(refreshInterval:(display:Off,pause:!f,section:0,value:0),time:(from:'2017-06-05T17:08:47-0600',mode:absolute,to:'2017-06-05T19:26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4" s="204" t="str">
        <f t="shared" si="65"/>
        <v>N</v>
      </c>
      <c r="X194" s="204">
        <f t="shared" si="75"/>
        <v>1</v>
      </c>
      <c r="Y194" s="204">
        <f t="shared" si="76"/>
        <v>5.8615000000000004</v>
      </c>
      <c r="Z194" s="204">
        <f t="shared" si="78"/>
        <v>6.8400000000000002E-2</v>
      </c>
      <c r="AA194" s="204">
        <f t="shared" si="67"/>
        <v>5.7931000000000008</v>
      </c>
      <c r="AB194" s="57" t="e">
        <f>VLOOKUP(A194,Enforcements!$C$7:$K$13,8,0)</f>
        <v>#N/A</v>
      </c>
      <c r="AC194" s="53" t="e">
        <f>VLOOKUP(A194,Enforcements!$C$7:$E$13,3,0)</f>
        <v>#N/A</v>
      </c>
      <c r="AD194" s="54" t="str">
        <f t="shared" si="68"/>
        <v>0836-05</v>
      </c>
      <c r="AE194" s="80" t="str">
        <f t="shared" si="69"/>
        <v>aws s3 cp s3://rtdc.mdm.uploadarchive.raw/RTDC4027/ "%USERPROFILE%\AppData\Local\Temp\OnboardLogs"\RTDC4027\2017-06-05 --exclude "*" --recursive --include "*20170605*" &amp; "%USERPROFILE%\Documents\GitHub\mrs-test-scripts\Headless Mode &amp; Sideloading\WalkAndUnGZ.bat" "%USERPROFILE%\AppData\Local\Temp\OnboardLogs"\RTDC4027\2017-06-05 &amp; aws s3 cp s3://rtdc.mdm.uploadarchive.raw/RTDC4027/ "%USERPROFILE%\AppData\Local\Temp\OnboardLogs"\RTDC4027\2017-06-06 --exclude "*" --recursive --include "*20170606*" &amp; "%USERPROFILE%\Documents\GitHub\mrs-test-scripts\Headless Mode &amp; Sideloading\WalkAndUnGZ.bat" "%USERPROFILE%\AppData\Local\Temp\OnboardLogs"\RTDC4027\2017-06-06</v>
      </c>
      <c r="AF194" s="77" t="str">
        <f t="shared" si="70"/>
        <v>"C:\Program Files (x86)\AstroGrep\AstroGrep.exe" /e /r /s /spath="%USERPROFILE%\AppData\Local\Temp\OnboardLogs" /stypes="app*4027*20170606*" /stext=" 00:.+((SYSTEM_STATE.+slice.+state.+changed )|(ment ac)|(multiple cpu faults)|(system.+state.+changed )|(\[timeout)|(PRM\|1\|D)|(kpr)|(kdp)|(train st.+moving)|(\|lc)|(penalty))"</v>
      </c>
      <c r="AG194" s="1" t="str">
        <f t="shared" si="71"/>
        <v>NW</v>
      </c>
      <c r="AH194" s="81" t="str">
        <f t="shared" si="57"/>
        <v>"%USERPROFILE%\Documents\GitHub\eaglep3\Utilities\RefineRTDCRunTimes.py" --tripid 836-05 --locoid 4027 --swversion DE.1.0.9.0 --startMP 300:58615 --initTime 2017-06-05T18:08:47 --startdatetime 2017-06-05T18:11:01 --delay 1 --endMP 204:684 --enddatetime 2017-06-05T18:26:09 --enforcementcount 0 &gt;&gt;C:\Users\stu\Documents\GitHub\eaglep3-reporting\EC\2017-06-05-refined-times.txt</v>
      </c>
      <c r="AI194" s="99" t="str">
        <f t="shared" si="58"/>
        <v>echo {"issue":{"subject":"","project_id":79,"tracker_id":40,"status_id":1,"priority_id":2,"assigned_to_id":23,"start_date":"2017-06-05","description":"","custom_fields":[{"id":1,"name":"Subdivision","value":"NW"},{"id":4,"name":"Milepost","value":"0.0684"},{"id":17,"name":"Train ID","value":"836-05"},{"id":16,"name":"Locomotive ID","value":"4027"},{"id":130,"name":"Impact","value":""},{"id":150,"name":"Time of Event (Mountain Time)","value":"18:26:09"},{"id":151,"name":"Denver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4" s="47"/>
      <c r="AL194" s="47"/>
      <c r="AM194" s="145" t="str">
        <f t="shared" si="59"/>
        <v>start /low /b %USERPROFILE%\Documents\GitHub\eaglep3\Utilities\DownloadLogsFromS3.py --loco 4027 --day 2017-06-05</v>
      </c>
      <c r="AN194" s="154" t="str">
        <f t="shared" si="60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00:26:09"},{"id":29,"name":"Sharepoint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x14ac:dyDescent="0.25">
      <c r="A195" s="32" t="s">
        <v>788</v>
      </c>
      <c r="B195" s="7">
        <v>4046</v>
      </c>
      <c r="C195" s="21" t="s">
        <v>204</v>
      </c>
      <c r="D195" s="21" t="s">
        <v>990</v>
      </c>
      <c r="E195" s="13">
        <v>42891.762881944444</v>
      </c>
      <c r="F195" s="13">
        <v>42891.764745370368</v>
      </c>
      <c r="G195" s="7">
        <v>1</v>
      </c>
      <c r="H195" s="21" t="s">
        <v>966</v>
      </c>
      <c r="I195" s="13">
        <v>42891.773773148147</v>
      </c>
      <c r="J195" s="7">
        <v>0</v>
      </c>
      <c r="K195" s="92" t="str">
        <f t="shared" si="61"/>
        <v>4045/4046</v>
      </c>
      <c r="L195" s="21" t="str">
        <f>VLOOKUP(A195,'Trips&amp;Operators'!$C$1:$G$99999,5,FALSE)</f>
        <v>LEVIN SCOTT</v>
      </c>
      <c r="M195" s="6">
        <f t="shared" si="62"/>
        <v>9.0277777781011537E-3</v>
      </c>
      <c r="N195" s="7">
        <f t="shared" si="79"/>
        <v>13.000000000465661</v>
      </c>
      <c r="O195" s="7"/>
      <c r="P195" s="7"/>
      <c r="Q195" s="22"/>
      <c r="R195" s="173"/>
      <c r="S195" s="176">
        <f t="shared" si="77"/>
        <v>1</v>
      </c>
      <c r="T195" s="202" t="str">
        <f t="shared" si="63"/>
        <v>NorthBound</v>
      </c>
      <c r="U195" s="202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03" t="str">
        <f t="shared" si="64"/>
        <v>https://d0f6bd738d7f1b3e5a7ca70fe4ff75f0.us-east-1.aws.found.io/app/kibana#/discover/Steve-Slow-Train-Analysis-(2080s-and-2083s)?_g=(refreshInterval:(display:Off,pause:!f,section:0,value:0),time:(from:'2017-06-05T17:18:33-0600',mode:absolute,to:'2017-06-05T19:34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5" s="204" t="str">
        <f t="shared" si="65"/>
        <v>N</v>
      </c>
      <c r="X195" s="204">
        <f t="shared" si="75"/>
        <v>1</v>
      </c>
      <c r="Y195" s="204">
        <f t="shared" si="76"/>
        <v>9.0899999999999995E-2</v>
      </c>
      <c r="Z195" s="204">
        <f t="shared" si="78"/>
        <v>5.8940999999999999</v>
      </c>
      <c r="AA195" s="204">
        <f t="shared" si="67"/>
        <v>5.8031999999999995</v>
      </c>
      <c r="AB195" s="57" t="e">
        <f>VLOOKUP(A195,Enforcements!$C$7:$K$13,8,0)</f>
        <v>#N/A</v>
      </c>
      <c r="AC195" s="53" t="e">
        <f>VLOOKUP(A195,Enforcements!$C$7:$E$13,3,0)</f>
        <v>#N/A</v>
      </c>
      <c r="AD195" s="54" t="str">
        <f t="shared" si="68"/>
        <v>0837-05</v>
      </c>
      <c r="AE195" s="80" t="str">
        <f t="shared" si="69"/>
        <v>aws s3 cp s3://rtdc.mdm.uploadarchive.raw/RTDC4046/ "%USERPROFILE%\AppData\Local\Temp\OnboardLogs"\RTDC4046\2017-06-05 --exclude "*" --recursive --include "*20170605*" &amp; "%USERPROFILE%\Documents\GitHub\mrs-test-scripts\Headless Mode &amp; Sideloading\WalkAndUnGZ.bat" "%USERPROFILE%\AppData\Local\Temp\OnboardLogs"\RTDC4046\2017-06-05 &amp; aws s3 cp s3://rtdc.mdm.uploadarchive.raw/RTDC4046/ "%USERPROFILE%\AppData\Local\Temp\OnboardLogs"\RTDC4046\2017-06-06 --exclude "*" --recursive --include "*20170606*" &amp; "%USERPROFILE%\Documents\GitHub\mrs-test-scripts\Headless Mode &amp; Sideloading\WalkAndUnGZ.bat" "%USERPROFILE%\AppData\Local\Temp\OnboardLogs"\RTDC4046\2017-06-06</v>
      </c>
      <c r="AF195" s="77" t="str">
        <f t="shared" si="70"/>
        <v>"C:\Program Files (x86)\AstroGrep\AstroGrep.exe" /e /r /s /spath="%USERPROFILE%\AppData\Local\Temp\OnboardLogs" /stypes="app*4046*20170606*" /stext=" 00:.+((SYSTEM_STATE.+slice.+state.+changed )|(ment ac)|(multiple cpu faults)|(system.+state.+changed )|(\[timeout)|(PRM\|1\|D)|(kpr)|(kdp)|(train st.+moving)|(\|lc)|(penalty))"</v>
      </c>
      <c r="AG195" s="1" t="str">
        <f t="shared" si="71"/>
        <v>NW</v>
      </c>
      <c r="AH195" s="81" t="str">
        <f t="shared" si="57"/>
        <v>"%USERPROFILE%\Documents\GitHub\eaglep3\Utilities\RefineRTDCRunTimes.py" --tripid 837-05 --locoid 4046 --swversion DE.1.0.9.0 --startMP 204:909 --initTime 2017-06-05T18:18:33 --startdatetime 2017-06-05T18:21:14 --delay 1 --endMP 300:58941 --enddatetime 2017-06-05T18:34:14 --enforcementcount 0 &gt;&gt;C:\Users\stu\Documents\GitHub\eaglep3-reporting\EC\2017-06-05-refined-times.txt</v>
      </c>
      <c r="AI195" s="99" t="str">
        <f t="shared" si="58"/>
        <v>echo {"issue":{"subject":"","project_id":79,"tracker_id":40,"status_id":1,"priority_id":2,"assigned_to_id":23,"start_date":"2017-06-05","description":"","custom_fields":[{"id":1,"name":"Subdivision","value":"NW"},{"id":4,"name":"Milepost","value":"5.8941"},{"id":17,"name":"Train ID","value":"837-05"},{"id":16,"name":"Locomotive ID","value":"4046"},{"id":130,"name":"Impact","value":""},{"id":150,"name":"Time of Event (Mountain Time)","value":"18:34:14"},{"id":151,"name":"Denver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5" t="str">
        <f t="shared" si="59"/>
        <v>start /low /b %USERPROFILE%\Documents\GitHub\eaglep3\Utilities\DownloadLogsFromS3.py --loco 4046 --day 2017-06-05</v>
      </c>
      <c r="AN195" s="154" t="str">
        <f t="shared" si="60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00:34:14"},{"id":29,"name":"Sharepoint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91" x14ac:dyDescent="0.25">
      <c r="A196" s="32" t="s">
        <v>618</v>
      </c>
      <c r="B196" s="7">
        <v>4045</v>
      </c>
      <c r="C196" s="21" t="s">
        <v>204</v>
      </c>
      <c r="D196" s="21" t="s">
        <v>571</v>
      </c>
      <c r="E196" s="13">
        <v>42891.774907407409</v>
      </c>
      <c r="F196" s="13">
        <v>42891.776550925926</v>
      </c>
      <c r="G196" s="7">
        <v>1</v>
      </c>
      <c r="H196" s="21" t="s">
        <v>991</v>
      </c>
      <c r="I196" s="13">
        <v>42891.790706018517</v>
      </c>
      <c r="J196" s="7">
        <v>0</v>
      </c>
      <c r="K196" s="92" t="str">
        <f t="shared" si="61"/>
        <v>4045/4046</v>
      </c>
      <c r="L196" s="21" t="str">
        <f>VLOOKUP(A196,'Trips&amp;Operators'!$C$1:$G$99999,5,FALSE)</f>
        <v>LEVIN SCOTT</v>
      </c>
      <c r="M196" s="6">
        <f t="shared" si="62"/>
        <v>1.4155092590954155E-2</v>
      </c>
      <c r="N196" s="7">
        <f t="shared" si="79"/>
        <v>20.383333330973983</v>
      </c>
      <c r="O196" s="7"/>
      <c r="P196" s="7"/>
      <c r="Q196" s="22"/>
      <c r="R196" s="173"/>
      <c r="S196" s="176">
        <f t="shared" si="77"/>
        <v>1</v>
      </c>
      <c r="T196" s="202" t="str">
        <f t="shared" si="63"/>
        <v>Southbound</v>
      </c>
      <c r="U196" s="202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03" t="str">
        <f t="shared" si="64"/>
        <v>https://d0f6bd738d7f1b3e5a7ca70fe4ff75f0.us-east-1.aws.found.io/app/kibana#/discover/Steve-Slow-Train-Analysis-(2080s-and-2083s)?_g=(refreshInterval:(display:Off,pause:!f,section:0,value:0),time:(from:'2017-06-05T17:35:52-0600',mode:absolute,to:'2017-06-05T19:58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96" s="204" t="str">
        <f t="shared" si="65"/>
        <v>N</v>
      </c>
      <c r="X196" s="204">
        <f t="shared" si="75"/>
        <v>1</v>
      </c>
      <c r="Y196" s="204">
        <f t="shared" si="76"/>
        <v>5.8632</v>
      </c>
      <c r="Z196" s="204">
        <f t="shared" si="78"/>
        <v>6.3500000000000001E-2</v>
      </c>
      <c r="AA196" s="204">
        <f t="shared" si="67"/>
        <v>5.7996999999999996</v>
      </c>
      <c r="AB196" s="57" t="e">
        <f>VLOOKUP(A196,Enforcements!$C$7:$K$13,8,0)</f>
        <v>#N/A</v>
      </c>
      <c r="AC196" s="53" t="e">
        <f>VLOOKUP(A196,Enforcements!$C$7:$E$13,3,0)</f>
        <v>#N/A</v>
      </c>
      <c r="AD196" s="54" t="str">
        <f t="shared" si="68"/>
        <v>0838-05</v>
      </c>
      <c r="AE196" s="80" t="str">
        <f t="shared" si="69"/>
        <v>aws s3 cp s3://rtdc.mdm.uploadarchive.raw/RTDC4045/ "%USERPROFILE%\AppData\Local\Temp\OnboardLogs"\RTDC4045\2017-06-05 --exclude "*" --recursive --include "*20170605*" &amp; "%USERPROFILE%\Documents\GitHub\mrs-test-scripts\Headless Mode &amp; Sideloading\WalkAndUnGZ.bat" "%USERPROFILE%\AppData\Local\Temp\OnboardLogs"\RTDC4045\2017-06-05 &amp; aws s3 cp s3://rtdc.mdm.uploadarchive.raw/RTDC4045/ "%USERPROFILE%\AppData\Local\Temp\OnboardLogs"\RTDC4045\2017-06-06 --exclude "*" --recursive --include "*20170606*" &amp; "%USERPROFILE%\Documents\GitHub\mrs-test-scripts\Headless Mode &amp; Sideloading\WalkAndUnGZ.bat" "%USERPROFILE%\AppData\Local\Temp\OnboardLogs"\RTDC4045\2017-06-06</v>
      </c>
      <c r="AF196" s="77" t="str">
        <f t="shared" si="70"/>
        <v>"C:\Program Files (x86)\AstroGrep\AstroGrep.exe" /e /r /s /spath="%USERPROFILE%\AppData\Local\Temp\OnboardLogs" /stypes="app*4045*20170606*" /stext=" 00:.+((SYSTEM_STATE.+slice.+state.+changed )|(ment ac)|(multiple cpu faults)|(system.+state.+changed )|(\[timeout)|(PRM\|1\|D)|(kpr)|(kdp)|(train st.+moving)|(\|lc)|(penalty))"</v>
      </c>
      <c r="AG196" s="1" t="str">
        <f t="shared" si="71"/>
        <v>NW</v>
      </c>
      <c r="AH196" s="81" t="str">
        <f t="shared" si="57"/>
        <v>"%USERPROFILE%\Documents\GitHub\eaglep3\Utilities\RefineRTDCRunTimes.py" --tripid 838-05 --locoid 4045 --swversion DE.1.0.9.0 --startMP 300:58632 --initTime 2017-06-05T18:35:52 --startdatetime 2017-06-05T18:38:14 --delay 1 --endMP 204:635 --enddatetime 2017-06-05T18:58:37 --enforcementcount 0 &gt;&gt;C:\Users\stu\Documents\GitHub\eaglep3-reporting\EC\2017-06-05-refined-times.txt</v>
      </c>
      <c r="AI196" s="99" t="str">
        <f t="shared" si="58"/>
        <v>echo {"issue":{"subject":"","project_id":79,"tracker_id":40,"status_id":1,"priority_id":2,"assigned_to_id":23,"start_date":"2017-06-05","description":"","custom_fields":[{"id":1,"name":"Subdivision","value":"NW"},{"id":4,"name":"Milepost","value":"0.0635"},{"id":17,"name":"Train ID","value":"838-05"},{"id":16,"name":"Locomotive ID","value":"4045"},{"id":130,"name":"Impact","value":""},{"id":150,"name":"Time of Event (Mountain Time)","value":"18:58:37"},{"id":151,"name":"Denver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5" t="str">
        <f t="shared" si="59"/>
        <v>start /low /b %USERPROFILE%\Documents\GitHub\eaglep3\Utilities\DownloadLogsFromS3.py --loco 4045 --day 2017-06-05</v>
      </c>
      <c r="AN196" s="154" t="str">
        <f t="shared" si="60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00:58:37"},{"id":29,"name":"Sharepoint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91" x14ac:dyDescent="0.25">
      <c r="A197" s="32" t="s">
        <v>619</v>
      </c>
      <c r="B197" s="7">
        <v>4028</v>
      </c>
      <c r="C197" s="21" t="s">
        <v>204</v>
      </c>
      <c r="D197" s="21" t="s">
        <v>992</v>
      </c>
      <c r="E197" s="13">
        <v>42891.777974537035</v>
      </c>
      <c r="F197" s="13">
        <v>42891.785740740743</v>
      </c>
      <c r="G197" s="7">
        <v>2</v>
      </c>
      <c r="H197" s="21" t="s">
        <v>993</v>
      </c>
      <c r="I197" s="13">
        <v>42891.790983796294</v>
      </c>
      <c r="J197" s="7">
        <v>0</v>
      </c>
      <c r="K197" s="92" t="str">
        <f t="shared" si="61"/>
        <v>4027/4028</v>
      </c>
      <c r="L197" s="21" t="str">
        <f>VLOOKUP(A197,'Trips&amp;Operators'!$C$1:$G$99999,5,FALSE)</f>
        <v>STAMBAUGH JAMES</v>
      </c>
      <c r="M197" s="6">
        <f t="shared" si="62"/>
        <v>5.2430555515456945E-3</v>
      </c>
      <c r="N197" s="7"/>
      <c r="O197" s="7"/>
      <c r="P197" s="7">
        <f>24*60*SUM($M197:$M198)</f>
        <v>16.333333327202126</v>
      </c>
      <c r="Q197" s="22"/>
      <c r="R197" s="173" t="s">
        <v>419</v>
      </c>
      <c r="S197" s="176">
        <f t="shared" si="77"/>
        <v>1</v>
      </c>
      <c r="T197" s="202" t="str">
        <f t="shared" si="63"/>
        <v>NorthBound</v>
      </c>
      <c r="U197" s="202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03" t="str">
        <f t="shared" si="64"/>
        <v>https://d0f6bd738d7f1b3e5a7ca70fe4ff75f0.us-east-1.aws.found.io/app/kibana#/discover/Steve-Slow-Train-Analysis-(2080s-and-2083s)?_g=(refreshInterval:(display:Off,pause:!f,section:0,value:0),time:(from:'2017-06-05T17:40:17-0600',mode:absolute,to:'2017-06-05T19:59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7" s="204" t="str">
        <f t="shared" si="65"/>
        <v>Y</v>
      </c>
      <c r="X197" s="204">
        <f t="shared" ref="X197:X201" si="80">VALUE(LEFT(AD197,4))-VALUE(LEFT(AD196,4))</f>
        <v>1</v>
      </c>
      <c r="Y197" s="204">
        <f t="shared" si="76"/>
        <v>9.7100000000000006E-2</v>
      </c>
      <c r="Z197" s="204">
        <v>3.5</v>
      </c>
      <c r="AA197" s="204">
        <f t="shared" si="67"/>
        <v>3.4028999999999998</v>
      </c>
      <c r="AB197" s="57" t="e">
        <f>VLOOKUP(A197,Enforcements!$C$7:$K$13,8,0)</f>
        <v>#N/A</v>
      </c>
      <c r="AC197" s="53" t="e">
        <f>VLOOKUP(A197,Enforcements!$C$7:$E$13,3,0)</f>
        <v>#N/A</v>
      </c>
      <c r="AD197" s="54" t="str">
        <f t="shared" si="68"/>
        <v>0839-05</v>
      </c>
      <c r="AE197" s="80" t="str">
        <f t="shared" si="69"/>
        <v>aws s3 cp s3://rtdc.mdm.uploadarchive.raw/RTDC4028/ "%USERPROFILE%\AppData\Local\Temp\OnboardLogs"\RTDC4028\2017-06-05 --exclude "*" --recursive --include "*20170605*" &amp; "%USERPROFILE%\Documents\GitHub\mrs-test-scripts\Headless Mode &amp; Sideloading\WalkAndUnGZ.bat" "%USERPROFILE%\AppData\Local\Temp\OnboardLogs"\RTDC4028\2017-06-05 &amp; aws s3 cp s3://rtdc.mdm.uploadarchive.raw/RTDC4028/ "%USERPROFILE%\AppData\Local\Temp\OnboardLogs"\RTDC4028\2017-06-06 --exclude "*" --recursive --include "*20170606*" &amp; "%USERPROFILE%\Documents\GitHub\mrs-test-scripts\Headless Mode &amp; Sideloading\WalkAndUnGZ.bat" "%USERPROFILE%\AppData\Local\Temp\OnboardLogs"\RTDC4028\2017-06-06</v>
      </c>
      <c r="AF197" s="77" t="str">
        <f t="shared" si="70"/>
        <v>"C:\Program Files (x86)\AstroGrep\AstroGrep.exe" /e /r /s /spath="%USERPROFILE%\AppData\Local\Temp\OnboardLogs" /stypes="app*4028*20170606*" /stext=" 00:.+((SYSTEM_STATE.+slice.+state.+changed )|(ment ac)|(multiple cpu faults)|(system.+state.+changed )|(\[timeout)|(PRM\|1\|D)|(kpr)|(kdp)|(train st.+moving)|(\|lc)|(penalty))"</v>
      </c>
      <c r="AG197" s="1" t="str">
        <f t="shared" si="71"/>
        <v>NW</v>
      </c>
      <c r="AH197" s="81" t="str">
        <f t="shared" si="57"/>
        <v>"%USERPROFILE%\Documents\GitHub\eaglep3\Utilities\RefineRTDCRunTimes.py" --tripid 839-05 --locoid 4028 --swversion DE.1.0.9.0 --startMP 204:971 --initTime 2017-06-05T18:40:17 --startdatetime 2017-06-05T18:51:28 --delay 2 --endMP 300:58926 --enddatetime 2017-06-05T18:59:01 --enforcementcount 0 &gt;&gt;C:\Users\stu\Documents\GitHub\eaglep3-reporting\EC\2017-06-05-refined-times.txt</v>
      </c>
      <c r="AI197" s="99" t="str">
        <f t="shared" si="58"/>
        <v>echo {"issue":{"subject":"Wi-MAX data drop","project_id":79,"tracker_id":40,"status_id":1,"priority_id":2,"assigned_to_id":23,"start_date":"2017-06-05","description":"","custom_fields":[{"id":1,"name":"Subdivision","value":"NW"},{"id":4,"name":"Milepost","value":"3.5"},{"id":17,"name":"Train ID","value":"839-05"},{"id":16,"name":"Locomotive ID","value":"4028"},{"id":130,"name":"Impact","value":""},{"id":150,"name":"Time of Event (Mountain Time)","value":"18:59:01"},{"id":151,"name":"Denver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5" t="str">
        <f t="shared" si="59"/>
        <v>start /low /b %USERPROFILE%\Documents\GitHub\eaglep3\Utilities\DownloadLogsFromS3.py --loco 4028 --day 2017-06-05</v>
      </c>
      <c r="AN197" s="154" t="str">
        <f t="shared" si="60"/>
        <v>echo {"issue":{"subject":"Wi-MAX data drop","project_id":30,"tracker_id":4,"status_id":1,"priority_id":1,"assigned_to_id":10,"start_date":"2017-06-06","description":"","custom_fields":[{"id":30,"name":"Category","value":"Issue"},{"id":3,"name":"Functional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00:59:01"},{"id":29,"name":"Sharepoint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91" s="20" customFormat="1" x14ac:dyDescent="0.25">
      <c r="A198" s="32" t="s">
        <v>619</v>
      </c>
      <c r="B198" s="7">
        <v>4028</v>
      </c>
      <c r="C198" s="21" t="s">
        <v>204</v>
      </c>
      <c r="D198" s="21" t="s">
        <v>992</v>
      </c>
      <c r="E198" s="13">
        <v>42891.777974537035</v>
      </c>
      <c r="F198" s="13">
        <v>42891.791666666664</v>
      </c>
      <c r="G198" s="7">
        <v>2</v>
      </c>
      <c r="H198" s="21" t="s">
        <v>993</v>
      </c>
      <c r="I198" s="13">
        <v>42891.797766203701</v>
      </c>
      <c r="J198" s="7">
        <v>0</v>
      </c>
      <c r="K198" s="92" t="str">
        <f t="shared" si="61"/>
        <v>4027/4028</v>
      </c>
      <c r="L198" s="21" t="str">
        <f>VLOOKUP(A198,'Trips&amp;Operators'!$C$1:$G$99999,5,FALSE)</f>
        <v>STAMBAUGH JAMES</v>
      </c>
      <c r="M198" s="6">
        <f t="shared" si="62"/>
        <v>6.0995370367891155E-3</v>
      </c>
      <c r="N198" s="7"/>
      <c r="O198" s="7"/>
      <c r="P198" s="7"/>
      <c r="Q198" s="22"/>
      <c r="R198" s="173"/>
      <c r="S198" s="176"/>
      <c r="T198" s="202" t="str">
        <f t="shared" si="63"/>
        <v>NorthBound</v>
      </c>
      <c r="U198" s="202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0</v>
      </c>
      <c r="V198" s="203" t="str">
        <f t="shared" si="64"/>
        <v>https://d0f6bd738d7f1b3e5a7ca70fe4ff75f0.us-east-1.aws.found.io/app/kibana#/discover/Steve-Slow-Train-Analysis-(2080s-and-2083s)?_g=(refreshInterval:(display:Off,pause:!f,section:0,value:0),time:(from:'2017-06-05T17:40:17-0600',mode:absolute,to:'2017-06-05T20:08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8" s="204" t="str">
        <f t="shared" si="65"/>
        <v>Y</v>
      </c>
      <c r="X198" s="204">
        <f t="shared" si="80"/>
        <v>0</v>
      </c>
      <c r="Y198" s="204">
        <v>3.63</v>
      </c>
      <c r="Z198" s="204">
        <f t="shared" ref="Z198:Z229" si="81">RIGHT(H198,LEN(H198)-4)/10000</f>
        <v>5.8925999999999998</v>
      </c>
      <c r="AA198" s="204">
        <f t="shared" si="67"/>
        <v>2.2625999999999999</v>
      </c>
      <c r="AB198" s="57" t="e">
        <f>VLOOKUP(A198,Enforcements!$C$7:$K$13,8,0)</f>
        <v>#N/A</v>
      </c>
      <c r="AC198" s="53" t="e">
        <f>VLOOKUP(A198,Enforcements!$C$7:$E$13,3,0)</f>
        <v>#N/A</v>
      </c>
      <c r="AD198" s="54" t="str">
        <f t="shared" si="68"/>
        <v>0839-05</v>
      </c>
      <c r="AE198" s="80" t="str">
        <f t="shared" si="69"/>
        <v>aws s3 cp s3://rtdc.mdm.uploadarchive.raw/RTDC4028/ "%USERPROFILE%\AppData\Local\Temp\OnboardLogs"\RTDC4028\2017-06-05 --exclude "*" --recursive --include "*20170605*" &amp; "%USERPROFILE%\Documents\GitHub\mrs-test-scripts\Headless Mode &amp; Sideloading\WalkAndUnGZ.bat" "%USERPROFILE%\AppData\Local\Temp\OnboardLogs"\RTDC4028\2017-06-05 &amp; aws s3 cp s3://rtdc.mdm.uploadarchive.raw/RTDC4028/ "%USERPROFILE%\AppData\Local\Temp\OnboardLogs"\RTDC4028\2017-06-06 --exclude "*" --recursive --include "*20170606*" &amp; "%USERPROFILE%\Documents\GitHub\mrs-test-scripts\Headless Mode &amp; Sideloading\WalkAndUnGZ.bat" "%USERPROFILE%\AppData\Local\Temp\OnboardLogs"\RTDC4028\2017-06-06</v>
      </c>
      <c r="AF198" s="77" t="str">
        <f t="shared" si="70"/>
        <v>"C:\Program Files (x86)\AstroGrep\AstroGrep.exe" /e /r /s /spath="%USERPROFILE%\AppData\Local\Temp\OnboardLogs" /stypes="app*4028*20170606*" /stext=" 01:.+((SYSTEM_STATE.+slice.+state.+changed )|(ment ac)|(multiple cpu faults)|(system.+state.+changed )|(\[timeout)|(PRM\|1\|D)|(kpr)|(kdp)|(train st.+moving)|(\|lc)|(penalty))"</v>
      </c>
      <c r="AG198" s="1" t="str">
        <f t="shared" si="71"/>
        <v>NW</v>
      </c>
      <c r="AH198" s="81" t="str">
        <f t="shared" ref="AH198" si="82">refinertdcruntimes&amp;" --tripid "&amp;A198&amp;" --locoid "&amp;B198&amp;" --swversion "&amp;C198&amp;" --startMP "&amp;D198&amp;" --initTime "&amp;TEXT(E198,"yyyy-mm-ddTHH:MM:SS")&amp;" --startdatetime "&amp;TEXT(F198,"yyyy-mm-ddTHH:MM:SS")&amp;" --delay "&amp;G198&amp;" --endMP "&amp;H198&amp;" --enddatetime "&amp;TEXT(I198,"yyyy-mm-ddTHH:MM:SS")&amp;" --enforcementcount "&amp;J198&amp;IF(outputrefinedruntimes," &gt;&gt;"&amp;RefinedRTDCRunTimesOutputFile,"")</f>
        <v>"%USERPROFILE%\Documents\GitHub\eaglep3\Utilities\RefineRTDCRunTimes.py" --tripid 839-05 --locoid 4028 --swversion DE.1.0.9.0 --startMP 204:971 --initTime 2017-06-05T18:40:17 --startdatetime 2017-06-05T19:00:00 --delay 2 --endMP 300:58926 --enddatetime 2017-06-05T19:08:47 --enforcementcount 0 &gt;&gt;C:\Users\stu\Documents\GitHub\eaglep3-reporting\EC\2017-06-05-refined-times.txt</v>
      </c>
      <c r="AI198" s="99" t="str">
        <f t="shared" ref="AI198" si="83">"echo {""issue"":{""subject"":"""&amp;R198&amp;""",""project_id"":79,""tracker_id"":40,""status_id"":"&amp;redmine_status&amp;",""priority_id"":"&amp;redmine_priority&amp;",""assigned_to_id"":"&amp;redmine_assignee&amp;",""start_date"":"""&amp;TEXT(I198,"YYYY-mm-dd")&amp;""",""description"":"""&amp;AJ198&amp;""",""custom_fields"":[{""id"":1,""name"":""Subdivision"",""value"":"""&amp;AG198&amp;"""},{""id"":4,""name"":""Milepost"",""value"":"""&amp;Z198&amp;"""},{""id"":17,""name"":""Train ID"",""value"":"""&amp;A198&amp;"""},{""id"":16,""name"":""Locomotive ID"",""value"":"""&amp;B198&amp;"""},{""id"":130,""name"":""Impact"",""value"":"""&amp;AK198&amp;"""},{""id"":150,""name"":""Time of Event (Mountain Time)"",""value"":"""&amp;TEXT(I198,"hh:mm:ss")&amp;"""},{""id"":151,""name"":""Denver Issue ID"",""value"":"""&amp;"""},{""id"":178,""name"":""Operational Impact"",""value"":"""&amp;redmine_op_impact&amp;"""},{""id"":179,""name"":""Denver Segment Assigned"",""value"":"""&amp;AL198&amp;"""}]}}"&amp;"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{"issue":{"subject":"","project_id":79,"tracker_id":40,"status_id":1,"priority_id":2,"assigned_to_id":23,"start_date":"2017-06-05","description":"","custom_fields":[{"id":1,"name":"Subdivision","value":"NW"},{"id":4,"name":"Milepost","value":"5.8926"},{"id":17,"name":"Train ID","value":"839-05"},{"id":16,"name":"Locomotive ID","value":"4028"},{"id":130,"name":"Impact","value":""},{"id":150,"name":"Time of Event (Mountain Time)","value":"19:08:47"},{"id":151,"name":"Denver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8" s="47"/>
      <c r="AL198" s="47"/>
      <c r="AM198" s="145" t="str">
        <f t="shared" ref="AM198" si="84">"start /low /b "&amp;dls3logs&amp;" --loco "&amp;B198&amp;" --day "&amp;TEXT(F198,"YYYY-MM-DD")</f>
        <v>start /low /b %USERPROFILE%\Documents\GitHub\eaglep3\Utilities\DownloadLogsFromS3.py --loco 4028 --day 2017-06-05</v>
      </c>
      <c r="AN198" s="154" t="str">
        <f t="shared" ref="AN198" si="85">"echo {""issue"":{""subject"":"""&amp;R198&amp;""",""project_id"":30,""tracker_id"":4,""status_id"":"&amp;redmine_status_wcr&amp;",""priority_id"":"&amp;redmine_priority_wcr&amp;",""assigned_to_id"":"&amp;redmine_assignee_wcr&amp;",""start_date"":"""&amp;TEXT(I198-utc_offset/24,"YYYY-mm-dd")&amp;""",""description"":"""&amp;AJ198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01:08:47"},{"id":29,"name":"Sharepoint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91" x14ac:dyDescent="0.25">
      <c r="A199" s="32" t="s">
        <v>622</v>
      </c>
      <c r="B199" s="7">
        <v>4045</v>
      </c>
      <c r="C199" s="21" t="s">
        <v>204</v>
      </c>
      <c r="D199" s="21" t="s">
        <v>994</v>
      </c>
      <c r="E199" s="13">
        <v>42891.817986111113</v>
      </c>
      <c r="F199" s="13">
        <v>42891.819467592592</v>
      </c>
      <c r="G199" s="7">
        <v>1</v>
      </c>
      <c r="H199" s="21" t="s">
        <v>995</v>
      </c>
      <c r="I199" s="13">
        <v>42891.829571759263</v>
      </c>
      <c r="J199" s="7">
        <v>0</v>
      </c>
      <c r="K199" s="92" t="str">
        <f t="shared" si="61"/>
        <v>4045/4046</v>
      </c>
      <c r="L199" s="21" t="str">
        <f>VLOOKUP(A199,'Trips&amp;Operators'!$C$1:$G$99999,5,FALSE)</f>
        <v>LEVIN SCOTT</v>
      </c>
      <c r="M199" s="6">
        <f t="shared" si="62"/>
        <v>1.0104166671226267E-2</v>
      </c>
      <c r="N199" s="7">
        <f t="shared" ref="N199:N230" si="86">24*60*SUM($M199:$M199)</f>
        <v>14.550000006565824</v>
      </c>
      <c r="O199" s="7"/>
      <c r="P199" s="7"/>
      <c r="Q199" s="22"/>
      <c r="R199" s="173"/>
      <c r="S199" s="176">
        <f t="shared" ref="S199:S230" si="87">SUM(U199:U199)/IF(AG199="EC",12,1)</f>
        <v>1</v>
      </c>
      <c r="T199" s="202" t="str">
        <f t="shared" si="63"/>
        <v>Southbound</v>
      </c>
      <c r="U199" s="202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03" t="str">
        <f t="shared" si="64"/>
        <v>https://d0f6bd738d7f1b3e5a7ca70fe4ff75f0.us-east-1.aws.found.io/app/kibana#/discover/Steve-Slow-Train-Analysis-(2080s-and-2083s)?_g=(refreshInterval:(display:Off,pause:!f,section:0,value:0),time:(from:'2017-06-05T18:37:54-0600',mode:absolute,to:'2017-06-05T20:54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99" s="204" t="str">
        <f t="shared" si="65"/>
        <v>N</v>
      </c>
      <c r="X199" s="204">
        <f t="shared" si="80"/>
        <v>1</v>
      </c>
      <c r="Y199" s="204">
        <f t="shared" ref="Y199:Y230" si="88">RIGHT(D199,LEN(D199)-4)/10000</f>
        <v>5.8681000000000001</v>
      </c>
      <c r="Z199" s="204">
        <f t="shared" si="81"/>
        <v>7.3400000000000007E-2</v>
      </c>
      <c r="AA199" s="204">
        <f t="shared" si="67"/>
        <v>5.7946999999999997</v>
      </c>
      <c r="AB199" s="57" t="e">
        <f>VLOOKUP(A199,Enforcements!$C$7:$K$13,8,0)</f>
        <v>#N/A</v>
      </c>
      <c r="AC199" s="53" t="e">
        <f>VLOOKUP(A199,Enforcements!$C$7:$E$13,3,0)</f>
        <v>#N/A</v>
      </c>
      <c r="AD199" s="54" t="str">
        <f t="shared" si="68"/>
        <v>0840-05</v>
      </c>
      <c r="AE199" s="80" t="str">
        <f t="shared" si="69"/>
        <v>aws s3 cp s3://rtdc.mdm.uploadarchive.raw/RTDC4045/ "%USERPROFILE%\AppData\Local\Temp\OnboardLogs"\RTDC4045\2017-06-05 --exclude "*" --recursive --include "*20170605*" &amp; "%USERPROFILE%\Documents\GitHub\mrs-test-scripts\Headless Mode &amp; Sideloading\WalkAndUnGZ.bat" "%USERPROFILE%\AppData\Local\Temp\OnboardLogs"\RTDC4045\2017-06-05 &amp; aws s3 cp s3://rtdc.mdm.uploadarchive.raw/RTDC4045/ "%USERPROFILE%\AppData\Local\Temp\OnboardLogs"\RTDC4045\2017-06-06 --exclude "*" --recursive --include "*20170606*" &amp; "%USERPROFILE%\Documents\GitHub\mrs-test-scripts\Headless Mode &amp; Sideloading\WalkAndUnGZ.bat" "%USERPROFILE%\AppData\Local\Temp\OnboardLogs"\RTDC4045\2017-06-06</v>
      </c>
      <c r="AF199" s="77" t="str">
        <f t="shared" si="70"/>
        <v>"C:\Program Files (x86)\AstroGrep\AstroGrep.exe" /e /r /s /spath="%USERPROFILE%\AppData\Local\Temp\OnboardLogs" /stypes="app*4045*20170606*" /stext=" 01:.+((SYSTEM_STATE.+slice.+state.+changed )|(ment ac)|(multiple cpu faults)|(system.+state.+changed )|(\[timeout)|(PRM\|1\|D)|(kpr)|(kdp)|(train st.+moving)|(\|lc)|(penalty))"</v>
      </c>
      <c r="AG199" s="1" t="str">
        <f t="shared" si="71"/>
        <v>NW</v>
      </c>
      <c r="AH199" s="81" t="str">
        <f t="shared" si="57"/>
        <v>"%USERPROFILE%\Documents\GitHub\eaglep3\Utilities\RefineRTDCRunTimes.py" --tripid 840-05 --locoid 4045 --swversion DE.1.0.9.0 --startMP 300:58681 --initTime 2017-06-05T19:37:54 --startdatetime 2017-06-05T19:40:02 --delay 1 --endMP 204:734 --enddatetime 2017-06-05T19:54:35 --enforcementcount 0 &gt;&gt;C:\Users\stu\Documents\GitHub\eaglep3-reporting\EC\2017-06-05-refined-times.txt</v>
      </c>
      <c r="AI199" s="99" t="str">
        <f t="shared" si="58"/>
        <v>echo {"issue":{"subject":"","project_id":79,"tracker_id":40,"status_id":1,"priority_id":2,"assigned_to_id":23,"start_date":"2017-06-05","description":"","custom_fields":[{"id":1,"name":"Subdivision","value":"NW"},{"id":4,"name":"Milepost","value":"0.0734"},{"id":17,"name":"Train ID","value":"840-05"},{"id":16,"name":"Locomotive ID","value":"4045"},{"id":130,"name":"Impact","value":""},{"id":150,"name":"Time of Event (Mountain Time)","value":"19:54:35"},{"id":151,"name":"Denver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5" t="str">
        <f t="shared" si="59"/>
        <v>start /low /b %USERPROFILE%\Documents\GitHub\eaglep3\Utilities\DownloadLogsFromS3.py --loco 4045 --day 2017-06-05</v>
      </c>
      <c r="AN199" s="154" t="str">
        <f t="shared" si="60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01:54:35"},{"id":29,"name":"Sharepoint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91" x14ac:dyDescent="0.25">
      <c r="A200" s="32" t="s">
        <v>799</v>
      </c>
      <c r="B200" s="7">
        <v>4046</v>
      </c>
      <c r="C200" s="21" t="s">
        <v>204</v>
      </c>
      <c r="D200" s="21" t="s">
        <v>996</v>
      </c>
      <c r="E200" s="13">
        <v>42891.803622685184</v>
      </c>
      <c r="F200" s="13">
        <v>42891.806423611109</v>
      </c>
      <c r="G200" s="7">
        <v>2</v>
      </c>
      <c r="H200" s="21" t="s">
        <v>997</v>
      </c>
      <c r="I200" s="13">
        <v>42891.815879629627</v>
      </c>
      <c r="J200" s="7">
        <v>0</v>
      </c>
      <c r="K200" s="92" t="str">
        <f t="shared" si="61"/>
        <v>4045/4046</v>
      </c>
      <c r="L200" s="21" t="str">
        <f>VLOOKUP(A200,'Trips&amp;Operators'!$C$1:$G$99999,5,FALSE)</f>
        <v>LEVIN SCOTT</v>
      </c>
      <c r="M200" s="6">
        <f t="shared" si="62"/>
        <v>9.4560185170848854E-3</v>
      </c>
      <c r="N200" s="7">
        <f t="shared" si="86"/>
        <v>13.616666664602235</v>
      </c>
      <c r="O200" s="7"/>
      <c r="P200" s="7"/>
      <c r="Q200" s="22"/>
      <c r="R200" s="173"/>
      <c r="S200" s="176">
        <f t="shared" si="87"/>
        <v>1</v>
      </c>
      <c r="T200" s="202" t="str">
        <f t="shared" si="63"/>
        <v>NorthBound</v>
      </c>
      <c r="U200" s="202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03" t="str">
        <f t="shared" si="64"/>
        <v>https://d0f6bd738d7f1b3e5a7ca70fe4ff75f0.us-east-1.aws.found.io/app/kibana#/discover/Steve-Slow-Train-Analysis-(2080s-and-2083s)?_g=(refreshInterval:(display:Off,pause:!f,section:0,value:0),time:(from:'2017-06-05T18:17:13-0600',mode:absolute,to:'2017-06-05T20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0" s="204" t="str">
        <f t="shared" si="65"/>
        <v>N</v>
      </c>
      <c r="X200" s="204">
        <f t="shared" si="80"/>
        <v>1</v>
      </c>
      <c r="Y200" s="204">
        <f t="shared" si="88"/>
        <v>9.1999999999999998E-2</v>
      </c>
      <c r="Z200" s="204">
        <f t="shared" si="81"/>
        <v>5.8987999999999996</v>
      </c>
      <c r="AA200" s="204">
        <f t="shared" si="67"/>
        <v>5.8068</v>
      </c>
      <c r="AB200" s="57" t="e">
        <f>VLOOKUP(A200,Enforcements!$C$7:$K$13,8,0)</f>
        <v>#N/A</v>
      </c>
      <c r="AC200" s="53" t="e">
        <f>VLOOKUP(A200,Enforcements!$C$7:$E$13,3,0)</f>
        <v>#N/A</v>
      </c>
      <c r="AD200" s="54" t="str">
        <f t="shared" si="68"/>
        <v>0841-05</v>
      </c>
      <c r="AE200" s="80" t="str">
        <f t="shared" si="69"/>
        <v>aws s3 cp s3://rtdc.mdm.uploadarchive.raw/RTDC4046/ "%USERPROFILE%\AppData\Local\Temp\OnboardLogs"\RTDC4046\2017-06-05 --exclude "*" --recursive --include "*20170605*" &amp; "%USERPROFILE%\Documents\GitHub\mrs-test-scripts\Headless Mode &amp; Sideloading\WalkAndUnGZ.bat" "%USERPROFILE%\AppData\Local\Temp\OnboardLogs"\RTDC4046\2017-06-05 &amp; aws s3 cp s3://rtdc.mdm.uploadarchive.raw/RTDC4046/ "%USERPROFILE%\AppData\Local\Temp\OnboardLogs"\RTDC4046\2017-06-06 --exclude "*" --recursive --include "*20170606*" &amp; "%USERPROFILE%\Documents\GitHub\mrs-test-scripts\Headless Mode &amp; Sideloading\WalkAndUnGZ.bat" "%USERPROFILE%\AppData\Local\Temp\OnboardLogs"\RTDC4046\2017-06-06</v>
      </c>
      <c r="AF200" s="77" t="str">
        <f t="shared" si="70"/>
        <v>"C:\Program Files (x86)\AstroGrep\AstroGrep.exe" /e /r /s /spath="%USERPROFILE%\AppData\Local\Temp\OnboardLogs" /stypes="app*4046*20170606*" /stext=" 01:.+((SYSTEM_STATE.+slice.+state.+changed )|(ment ac)|(multiple cpu faults)|(system.+state.+changed )|(\[timeout)|(PRM\|1\|D)|(kpr)|(kdp)|(train st.+moving)|(\|lc)|(penalty))"</v>
      </c>
      <c r="AG200" s="1" t="str">
        <f t="shared" si="71"/>
        <v>NW</v>
      </c>
      <c r="AH200" s="81" t="str">
        <f t="shared" si="57"/>
        <v>"%USERPROFILE%\Documents\GitHub\eaglep3\Utilities\RefineRTDCRunTimes.py" --tripid 841-05 --locoid 4046 --swversion DE.1.0.9.0 --startMP 204:920 --initTime 2017-06-05T19:17:13 --startdatetime 2017-06-05T19:21:15 --delay 2 --endMP 300:58988 --enddatetime 2017-06-05T19:34:52 --enforcementcount 0 &gt;&gt;C:\Users\stu\Documents\GitHub\eaglep3-reporting\EC\2017-06-05-refined-times.txt</v>
      </c>
      <c r="AI200" s="99" t="str">
        <f t="shared" si="58"/>
        <v>echo {"issue":{"subject":"","project_id":79,"tracker_id":40,"status_id":1,"priority_id":2,"assigned_to_id":23,"start_date":"2017-06-05","description":"","custom_fields":[{"id":1,"name":"Subdivision","value":"NW"},{"id":4,"name":"Milepost","value":"5.8988"},{"id":17,"name":"Train ID","value":"841-05"},{"id":16,"name":"Locomotive ID","value":"4046"},{"id":130,"name":"Impact","value":""},{"id":150,"name":"Time of Event (Mountain Time)","value":"19:34:52"},{"id":151,"name":"Denver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5" t="str">
        <f t="shared" si="59"/>
        <v>start /low /b %USERPROFILE%\Documents\GitHub\eaglep3\Utilities\DownloadLogsFromS3.py --loco 4046 --day 2017-06-05</v>
      </c>
      <c r="AN200" s="154" t="str">
        <f t="shared" si="60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01:34:52"},{"id":29,"name":"Sharepoint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91" x14ac:dyDescent="0.25">
      <c r="A201" s="32" t="s">
        <v>807</v>
      </c>
      <c r="B201" s="7">
        <v>4045</v>
      </c>
      <c r="C201" s="21" t="s">
        <v>204</v>
      </c>
      <c r="D201" s="21" t="s">
        <v>951</v>
      </c>
      <c r="E201" s="13">
        <v>42891.858287037037</v>
      </c>
      <c r="F201" s="13">
        <v>42891.859942129631</v>
      </c>
      <c r="G201" s="7">
        <v>1</v>
      </c>
      <c r="H201" s="21" t="s">
        <v>991</v>
      </c>
      <c r="I201" s="13">
        <v>42891.871770833335</v>
      </c>
      <c r="J201" s="7">
        <v>0</v>
      </c>
      <c r="K201" s="92" t="str">
        <f t="shared" si="61"/>
        <v>4045/4046</v>
      </c>
      <c r="L201" s="21" t="str">
        <f>VLOOKUP(A201,'Trips&amp;Operators'!$C$1:$G$99999,5,FALSE)</f>
        <v>LEVIN SCOTT</v>
      </c>
      <c r="M201" s="6">
        <f t="shared" si="62"/>
        <v>1.1828703703940846E-2</v>
      </c>
      <c r="N201" s="7">
        <f t="shared" si="86"/>
        <v>17.033333333674818</v>
      </c>
      <c r="O201" s="7"/>
      <c r="P201" s="7"/>
      <c r="Q201" s="22"/>
      <c r="R201" s="173"/>
      <c r="S201" s="176">
        <f t="shared" si="87"/>
        <v>1</v>
      </c>
      <c r="T201" s="202" t="str">
        <f t="shared" si="63"/>
        <v>Southbound</v>
      </c>
      <c r="U201" s="202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03" t="str">
        <f t="shared" si="64"/>
        <v>https://d0f6bd738d7f1b3e5a7ca70fe4ff75f0.us-east-1.aws.found.io/app/kibana#/discover/Steve-Slow-Train-Analysis-(2080s-and-2083s)?_g=(refreshInterval:(display:Off,pause:!f,section:0,value:0),time:(from:'2017-06-05T19:35:56-0600',mode:absolute,to:'2017-06-05T21:55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1" s="204" t="str">
        <f t="shared" si="65"/>
        <v>N</v>
      </c>
      <c r="X201" s="204">
        <f t="shared" si="80"/>
        <v>1</v>
      </c>
      <c r="Y201" s="204">
        <f t="shared" si="88"/>
        <v>5.8620999999999999</v>
      </c>
      <c r="Z201" s="204">
        <f t="shared" si="81"/>
        <v>6.3500000000000001E-2</v>
      </c>
      <c r="AA201" s="204">
        <f t="shared" si="67"/>
        <v>5.7985999999999995</v>
      </c>
      <c r="AB201" s="57" t="e">
        <f>VLOOKUP(A201,Enforcements!$C$7:$K$13,8,0)</f>
        <v>#N/A</v>
      </c>
      <c r="AC201" s="53" t="e">
        <f>VLOOKUP(A201,Enforcements!$C$7:$E$13,3,0)</f>
        <v>#N/A</v>
      </c>
      <c r="AD201" s="54" t="str">
        <f t="shared" si="68"/>
        <v>0842-05</v>
      </c>
      <c r="AE201" s="80" t="str">
        <f t="shared" si="69"/>
        <v>aws s3 cp s3://rtdc.mdm.uploadarchive.raw/RTDC4045/ "%USERPROFILE%\AppData\Local\Temp\OnboardLogs"\RTDC4045\2017-06-05 --exclude "*" --recursive --include "*20170605*" &amp; "%USERPROFILE%\Documents\GitHub\mrs-test-scripts\Headless Mode &amp; Sideloading\WalkAndUnGZ.bat" "%USERPROFILE%\AppData\Local\Temp\OnboardLogs"\RTDC4045\2017-06-05 &amp; aws s3 cp s3://rtdc.mdm.uploadarchive.raw/RTDC4045/ "%USERPROFILE%\AppData\Local\Temp\OnboardLogs"\RTDC4045\2017-06-06 --exclude "*" --recursive --include "*20170606*" &amp; "%USERPROFILE%\Documents\GitHub\mrs-test-scripts\Headless Mode &amp; Sideloading\WalkAndUnGZ.bat" "%USERPROFILE%\AppData\Local\Temp\OnboardLogs"\RTDC4045\2017-06-06</v>
      </c>
      <c r="AF201" s="77" t="str">
        <f t="shared" si="70"/>
        <v>"C:\Program Files (x86)\AstroGrep\AstroGrep.exe" /e /r /s /spath="%USERPROFILE%\AppData\Local\Temp\OnboardLogs" /stypes="app*4045*20170606*" /stext=" 02:.+((SYSTEM_STATE.+slice.+state.+changed )|(ment ac)|(multiple cpu faults)|(system.+state.+changed )|(\[timeout)|(PRM\|1\|D)|(kpr)|(kdp)|(train st.+moving)|(\|lc)|(penalty))"</v>
      </c>
      <c r="AG201" s="1" t="str">
        <f t="shared" si="71"/>
        <v>NW</v>
      </c>
      <c r="AH201" s="81" t="str">
        <f t="shared" si="57"/>
        <v>"%USERPROFILE%\Documents\GitHub\eaglep3\Utilities\RefineRTDCRunTimes.py" --tripid 842-05 --locoid 4045 --swversion DE.1.0.9.0 --startMP 300:58621 --initTime 2017-06-05T20:35:56 --startdatetime 2017-06-05T20:38:19 --delay 1 --endMP 204:635 --enddatetime 2017-06-05T20:55:21 --enforcementcount 0 &gt;&gt;C:\Users\stu\Documents\GitHub\eaglep3-reporting\EC\2017-06-05-refined-times.txt</v>
      </c>
      <c r="AI201" s="99" t="str">
        <f t="shared" si="58"/>
        <v>echo {"issue":{"subject":"","project_id":79,"tracker_id":40,"status_id":1,"priority_id":2,"assigned_to_id":23,"start_date":"2017-06-05","description":"","custom_fields":[{"id":1,"name":"Subdivision","value":"NW"},{"id":4,"name":"Milepost","value":"0.0635"},{"id":17,"name":"Train ID","value":"842-05"},{"id":16,"name":"Locomotive ID","value":"4045"},{"id":130,"name":"Impact","value":""},{"id":150,"name":"Time of Event (Mountain Time)","value":"20:55:21"},{"id":151,"name":"Denver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5" t="str">
        <f t="shared" si="59"/>
        <v>start /low /b %USERPROFILE%\Documents\GitHub\eaglep3\Utilities\DownloadLogsFromS3.py --loco 4045 --day 2017-06-05</v>
      </c>
      <c r="AN201" s="154" t="str">
        <f t="shared" si="60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02:55:21"},{"id":29,"name":"Sharepoint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91" s="20" customFormat="1" x14ac:dyDescent="0.25">
      <c r="A202" s="32" t="s">
        <v>805</v>
      </c>
      <c r="B202" s="7">
        <v>4046</v>
      </c>
      <c r="C202" s="21" t="s">
        <v>204</v>
      </c>
      <c r="D202" s="21" t="s">
        <v>998</v>
      </c>
      <c r="E202" s="13">
        <v>42891.843518518515</v>
      </c>
      <c r="F202" s="13">
        <v>42891.848101851851</v>
      </c>
      <c r="G202" s="7">
        <v>1</v>
      </c>
      <c r="H202" s="21" t="s">
        <v>956</v>
      </c>
      <c r="I202" s="13">
        <v>42891.857395833336</v>
      </c>
      <c r="J202" s="7">
        <v>0</v>
      </c>
      <c r="K202" s="92" t="str">
        <f t="shared" si="61"/>
        <v>4045/4046</v>
      </c>
      <c r="L202" s="21" t="str">
        <f>VLOOKUP(A202,'Trips&amp;Operators'!$C$1:$G$99999,5,FALSE)</f>
        <v>LEVIN SCOTT</v>
      </c>
      <c r="M202" s="6">
        <f t="shared" si="62"/>
        <v>9.2939814858254977E-3</v>
      </c>
      <c r="N202" s="7">
        <f t="shared" si="86"/>
        <v>13.383333339588717</v>
      </c>
      <c r="O202" s="7"/>
      <c r="P202" s="7"/>
      <c r="Q202" s="22"/>
      <c r="R202" s="173"/>
      <c r="S202" s="176">
        <f t="shared" si="87"/>
        <v>1</v>
      </c>
      <c r="T202" s="202" t="str">
        <f t="shared" si="63"/>
        <v>NorthBound</v>
      </c>
      <c r="U202" s="202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03" t="str">
        <f t="shared" si="64"/>
        <v>https://d0f6bd738d7f1b3e5a7ca70fe4ff75f0.us-east-1.aws.found.io/app/kibana#/discover/Steve-Slow-Train-Analysis-(2080s-and-2083s)?_g=(refreshInterval:(display:Off,pause:!f,section:0,value:0),time:(from:'2017-06-05T19:14:40-0600',mode:absolute,to:'2017-06-05T21:34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2" s="204" t="str">
        <f t="shared" si="65"/>
        <v>N</v>
      </c>
      <c r="X202" s="204">
        <f t="shared" ref="X202:X247" si="89">VALUE(LEFT(AD202,4))-VALUE(LEFT(AD201,4))</f>
        <v>1</v>
      </c>
      <c r="Y202" s="204">
        <f t="shared" si="88"/>
        <v>0.1051</v>
      </c>
      <c r="Z202" s="204">
        <f t="shared" si="81"/>
        <v>5.8948</v>
      </c>
      <c r="AA202" s="204">
        <f t="shared" si="67"/>
        <v>5.7896999999999998</v>
      </c>
      <c r="AB202" s="57" t="e">
        <f>VLOOKUP(A202,Enforcements!$C$7:$K$13,8,0)</f>
        <v>#N/A</v>
      </c>
      <c r="AC202" s="53" t="e">
        <f>VLOOKUP(A202,Enforcements!$C$7:$E$13,3,0)</f>
        <v>#N/A</v>
      </c>
      <c r="AD202" s="54" t="str">
        <f t="shared" si="68"/>
        <v>0843-05</v>
      </c>
      <c r="AE202" s="80" t="str">
        <f t="shared" si="69"/>
        <v>aws s3 cp s3://rtdc.mdm.uploadarchive.raw/RTDC4046/ "%USERPROFILE%\AppData\Local\Temp\OnboardLogs"\RTDC4046\2017-06-05 --exclude "*" --recursive --include "*20170605*" &amp; "%USERPROFILE%\Documents\GitHub\mrs-test-scripts\Headless Mode &amp; Sideloading\WalkAndUnGZ.bat" "%USERPROFILE%\AppData\Local\Temp\OnboardLogs"\RTDC4046\2017-06-05 &amp; aws s3 cp s3://rtdc.mdm.uploadarchive.raw/RTDC4046/ "%USERPROFILE%\AppData\Local\Temp\OnboardLogs"\RTDC4046\2017-06-06 --exclude "*" --recursive --include "*20170606*" &amp; "%USERPROFILE%\Documents\GitHub\mrs-test-scripts\Headless Mode &amp; Sideloading\WalkAndUnGZ.bat" "%USERPROFILE%\AppData\Local\Temp\OnboardLogs"\RTDC4046\2017-06-06</v>
      </c>
      <c r="AF202" s="77" t="str">
        <f t="shared" si="70"/>
        <v>"C:\Program Files (x86)\AstroGrep\AstroGrep.exe" /e /r /s /spath="%USERPROFILE%\AppData\Local\Temp\OnboardLogs" /stypes="app*4046*20170606*" /stext=" 02:.+((SYSTEM_STATE.+slice.+state.+changed )|(ment ac)|(multiple cpu faults)|(system.+state.+changed )|(\[timeout)|(PRM\|1\|D)|(kpr)|(kdp)|(train st.+moving)|(\|lc)|(penalty))"</v>
      </c>
      <c r="AG202" s="1" t="str">
        <f t="shared" si="71"/>
        <v>NW</v>
      </c>
      <c r="AH202" s="81" t="str">
        <f t="shared" si="57"/>
        <v>"%USERPROFILE%\Documents\GitHub\eaglep3\Utilities\RefineRTDCRunTimes.py" --tripid 843-05 --locoid 4046 --swversion DE.1.0.9.0 --startMP 204:1051 --initTime 2017-06-05T20:14:40 --startdatetime 2017-06-05T20:21:16 --delay 1 --endMP 300:58948 --enddatetime 2017-06-05T20:34:39 --enforcementcount 0 &gt;&gt;C:\Users\stu\Documents\GitHub\eaglep3-reporting\EC\2017-06-05-refined-times.txt</v>
      </c>
      <c r="AI202" s="99" t="str">
        <f t="shared" si="58"/>
        <v>echo {"issue":{"subject":"","project_id":79,"tracker_id":40,"status_id":1,"priority_id":2,"assigned_to_id":23,"start_date":"2017-06-05","description":"","custom_fields":[{"id":1,"name":"Subdivision","value":"NW"},{"id":4,"name":"Milepost","value":"5.8948"},{"id":17,"name":"Train ID","value":"843-05"},{"id":16,"name":"Locomotive ID","value":"4046"},{"id":130,"name":"Impact","value":""},{"id":150,"name":"Time of Event (Mountain Time)","value":"20:34:39"},{"id":151,"name":"Denver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2" s="47"/>
      <c r="AL202" s="47"/>
      <c r="AM202" s="145" t="str">
        <f t="shared" si="59"/>
        <v>start /low /b %USERPROFILE%\Documents\GitHub\eaglep3\Utilities\DownloadLogsFromS3.py --loco 4046 --day 2017-06-05</v>
      </c>
      <c r="AN202" s="154" t="str">
        <f t="shared" si="60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02:34:39"},{"id":29,"name":"Sharepoint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2" t="s">
        <v>624</v>
      </c>
      <c r="B203" s="7">
        <v>4045</v>
      </c>
      <c r="C203" s="21" t="s">
        <v>204</v>
      </c>
      <c r="D203" s="21" t="s">
        <v>999</v>
      </c>
      <c r="E203" s="13">
        <v>42891.90121527778</v>
      </c>
      <c r="F203" s="13">
        <v>42891.904270833336</v>
      </c>
      <c r="G203" s="7">
        <v>4</v>
      </c>
      <c r="H203" s="21" t="s">
        <v>1000</v>
      </c>
      <c r="I203" s="13">
        <v>42891.913865740738</v>
      </c>
      <c r="J203" s="7">
        <v>0</v>
      </c>
      <c r="K203" s="92" t="str">
        <f t="shared" si="61"/>
        <v>4045/4046</v>
      </c>
      <c r="L203" s="21" t="str">
        <f>VLOOKUP(A203,'Trips&amp;Operators'!$C$1:$G$99999,5,FALSE)</f>
        <v>STAMBAUGH JAMES</v>
      </c>
      <c r="M203" s="6">
        <f t="shared" si="62"/>
        <v>9.594907402060926E-3</v>
      </c>
      <c r="N203" s="7">
        <f t="shared" si="86"/>
        <v>13.816666658967733</v>
      </c>
      <c r="O203" s="7"/>
      <c r="P203" s="7"/>
      <c r="Q203" s="22"/>
      <c r="R203" s="173"/>
      <c r="S203" s="176">
        <f t="shared" si="87"/>
        <v>1</v>
      </c>
      <c r="T203" s="202" t="str">
        <f t="shared" si="63"/>
        <v>Southbound</v>
      </c>
      <c r="U203" s="202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03" t="str">
        <f t="shared" si="64"/>
        <v>https://d0f6bd738d7f1b3e5a7ca70fe4ff75f0.us-east-1.aws.found.io/app/kibana#/discover/Steve-Slow-Train-Analysis-(2080s-and-2083s)?_g=(refreshInterval:(display:Off,pause:!f,section:0,value:0),time:(from:'2017-06-05T20:37:45-0600',mode:absolute,to:'2017-06-05T22:55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3" s="204" t="str">
        <f t="shared" si="65"/>
        <v>N</v>
      </c>
      <c r="X203" s="204">
        <f t="shared" si="89"/>
        <v>1</v>
      </c>
      <c r="Y203" s="204">
        <f t="shared" si="88"/>
        <v>5.8592000000000004</v>
      </c>
      <c r="Z203" s="204">
        <f t="shared" si="81"/>
        <v>7.4800000000000005E-2</v>
      </c>
      <c r="AA203" s="204">
        <f t="shared" si="67"/>
        <v>5.7844000000000007</v>
      </c>
      <c r="AB203" s="57" t="e">
        <f>VLOOKUP(A203,Enforcements!$C$7:$K$13,8,0)</f>
        <v>#N/A</v>
      </c>
      <c r="AC203" s="53" t="e">
        <f>VLOOKUP(A203,Enforcements!$C$7:$E$13,3,0)</f>
        <v>#N/A</v>
      </c>
      <c r="AD203" s="54" t="str">
        <f t="shared" si="68"/>
        <v>0844-05</v>
      </c>
      <c r="AE203" s="80" t="str">
        <f t="shared" si="69"/>
        <v>aws s3 cp s3://rtdc.mdm.uploadarchive.raw/RTDC4045/ "%USERPROFILE%\AppData\Local\Temp\OnboardLogs"\RTDC4045\2017-06-05 --exclude "*" --recursive --include "*20170605*" &amp; "%USERPROFILE%\Documents\GitHub\mrs-test-scripts\Headless Mode &amp; Sideloading\WalkAndUnGZ.bat" "%USERPROFILE%\AppData\Local\Temp\OnboardLogs"\RTDC4045\2017-06-05 &amp; aws s3 cp s3://rtdc.mdm.uploadarchive.raw/RTDC4045/ "%USERPROFILE%\AppData\Local\Temp\OnboardLogs"\RTDC4045\2017-06-06 --exclude "*" --recursive --include "*20170606*" &amp; "%USERPROFILE%\Documents\GitHub\mrs-test-scripts\Headless Mode &amp; Sideloading\WalkAndUnGZ.bat" "%USERPROFILE%\AppData\Local\Temp\OnboardLogs"\RTDC4045\2017-06-06</v>
      </c>
      <c r="AF203" s="77" t="str">
        <f t="shared" si="70"/>
        <v>"C:\Program Files (x86)\AstroGrep\AstroGrep.exe" /e /r /s /spath="%USERPROFILE%\AppData\Local\Temp\OnboardLogs" /stypes="app*4045*20170606*" /stext=" 03:.+((SYSTEM_STATE.+slice.+state.+changed )|(ment ac)|(multiple cpu faults)|(system.+state.+changed )|(\[timeout)|(PRM\|1\|D)|(kpr)|(kdp)|(train st.+moving)|(\|lc)|(penalty))"</v>
      </c>
      <c r="AG203" s="1" t="str">
        <f t="shared" si="71"/>
        <v>NW</v>
      </c>
      <c r="AH203" s="81" t="str">
        <f t="shared" si="57"/>
        <v>"%USERPROFILE%\Documents\GitHub\eaglep3\Utilities\RefineRTDCRunTimes.py" --tripid 844-05 --locoid 4045 --swversion DE.1.0.9.0 --startMP 300:58592 --initTime 2017-06-05T21:37:45 --startdatetime 2017-06-05T21:42:09 --delay 4 --endMP 204:748 --enddatetime 2017-06-05T21:55:58 --enforcementcount 0 &gt;&gt;C:\Users\stu\Documents\GitHub\eaglep3-reporting\EC\2017-06-05-refined-times.txt</v>
      </c>
      <c r="AI203" s="99" t="str">
        <f t="shared" si="58"/>
        <v>echo {"issue":{"subject":"","project_id":79,"tracker_id":40,"status_id":1,"priority_id":2,"assigned_to_id":23,"start_date":"2017-06-05","description":"","custom_fields":[{"id":1,"name":"Subdivision","value":"NW"},{"id":4,"name":"Milepost","value":"0.0748"},{"id":17,"name":"Train ID","value":"844-05"},{"id":16,"name":"Locomotive ID","value":"4045"},{"id":130,"name":"Impact","value":""},{"id":150,"name":"Time of Event (Mountain Time)","value":"21:55:58"},{"id":151,"name":"Denver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5" t="str">
        <f t="shared" si="59"/>
        <v>start /low /b %USERPROFILE%\Documents\GitHub\eaglep3\Utilities\DownloadLogsFromS3.py --loco 4045 --day 2017-06-05</v>
      </c>
      <c r="AN203" s="154" t="str">
        <f t="shared" si="60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03:55:58"},{"id":29,"name":"Sharepoint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91" s="20" customFormat="1" x14ac:dyDescent="0.25">
      <c r="A204" s="32" t="s">
        <v>809</v>
      </c>
      <c r="B204" s="7">
        <v>4046</v>
      </c>
      <c r="C204" s="21" t="s">
        <v>204</v>
      </c>
      <c r="D204" s="21" t="s">
        <v>996</v>
      </c>
      <c r="E204" s="13">
        <v>42891.874259259261</v>
      </c>
      <c r="F204" s="13">
        <v>42891.89</v>
      </c>
      <c r="G204" s="7">
        <v>2</v>
      </c>
      <c r="H204" s="21" t="s">
        <v>1001</v>
      </c>
      <c r="I204" s="13">
        <v>42891.899965277778</v>
      </c>
      <c r="J204" s="7">
        <v>0</v>
      </c>
      <c r="K204" s="92" t="str">
        <f t="shared" si="61"/>
        <v>4045/4046</v>
      </c>
      <c r="L204" s="21" t="str">
        <f>VLOOKUP(A204,'Trips&amp;Operators'!$C$1:$G$99999,5,FALSE)</f>
        <v>STAMBAUGH JAMES</v>
      </c>
      <c r="M204" s="6">
        <f t="shared" si="62"/>
        <v>9.9652777789742686E-3</v>
      </c>
      <c r="N204" s="7">
        <f t="shared" si="86"/>
        <v>14.350000001722947</v>
      </c>
      <c r="O204" s="7"/>
      <c r="P204" s="7"/>
      <c r="Q204" s="22"/>
      <c r="R204" s="173"/>
      <c r="S204" s="176">
        <f t="shared" si="87"/>
        <v>1</v>
      </c>
      <c r="T204" s="202" t="str">
        <f t="shared" si="63"/>
        <v>NorthBound</v>
      </c>
      <c r="U204" s="202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03" t="str">
        <f t="shared" si="64"/>
        <v>https://d0f6bd738d7f1b3e5a7ca70fe4ff75f0.us-east-1.aws.found.io/app/kibana#/discover/Steve-Slow-Train-Analysis-(2080s-and-2083s)?_g=(refreshInterval:(display:Off,pause:!f,section:0,value:0),time:(from:'2017-06-05T19:58:56-0600',mode:absolute,to:'2017-06-05T22:35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4" s="204" t="str">
        <f t="shared" si="65"/>
        <v>N</v>
      </c>
      <c r="X204" s="204">
        <f t="shared" si="89"/>
        <v>1</v>
      </c>
      <c r="Y204" s="204">
        <f t="shared" si="88"/>
        <v>9.1999999999999998E-2</v>
      </c>
      <c r="Z204" s="204">
        <f t="shared" si="81"/>
        <v>5.8914</v>
      </c>
      <c r="AA204" s="204">
        <f t="shared" si="67"/>
        <v>5.7994000000000003</v>
      </c>
      <c r="AB204" s="57" t="e">
        <f>VLOOKUP(A204,Enforcements!$C$7:$K$13,8,0)</f>
        <v>#N/A</v>
      </c>
      <c r="AC204" s="53" t="e">
        <f>VLOOKUP(A204,Enforcements!$C$7:$E$13,3,0)</f>
        <v>#N/A</v>
      </c>
      <c r="AD204" s="54" t="str">
        <f t="shared" si="68"/>
        <v>0845-05</v>
      </c>
      <c r="AE204" s="80" t="str">
        <f t="shared" si="69"/>
        <v>aws s3 cp s3://rtdc.mdm.uploadarchive.raw/RTDC4046/ "%USERPROFILE%\AppData\Local\Temp\OnboardLogs"\RTDC4046\2017-06-05 --exclude "*" --recursive --include "*20170605*" &amp; "%USERPROFILE%\Documents\GitHub\mrs-test-scripts\Headless Mode &amp; Sideloading\WalkAndUnGZ.bat" "%USERPROFILE%\AppData\Local\Temp\OnboardLogs"\RTDC4046\2017-06-05 &amp; aws s3 cp s3://rtdc.mdm.uploadarchive.raw/RTDC4046/ "%USERPROFILE%\AppData\Local\Temp\OnboardLogs"\RTDC4046\2017-06-06 --exclude "*" --recursive --include "*20170606*" &amp; "%USERPROFILE%\Documents\GitHub\mrs-test-scripts\Headless Mode &amp; Sideloading\WalkAndUnGZ.bat" "%USERPROFILE%\AppData\Local\Temp\OnboardLogs"\RTDC4046\2017-06-06</v>
      </c>
      <c r="AF204" s="77" t="str">
        <f t="shared" si="70"/>
        <v>"C:\Program Files (x86)\AstroGrep\AstroGrep.exe" /e /r /s /spath="%USERPROFILE%\AppData\Local\Temp\OnboardLogs" /stypes="app*4046*20170606*" /stext=" 03:.+((SYSTEM_STATE.+slice.+state.+changed )|(ment ac)|(multiple cpu faults)|(system.+state.+changed )|(\[timeout)|(PRM\|1\|D)|(kpr)|(kdp)|(train st.+moving)|(\|lc)|(penalty))"</v>
      </c>
      <c r="AG204" s="1" t="str">
        <f t="shared" si="71"/>
        <v>NW</v>
      </c>
      <c r="AH204" s="81" t="str">
        <f t="shared" si="57"/>
        <v>"%USERPROFILE%\Documents\GitHub\eaglep3\Utilities\RefineRTDCRunTimes.py" --tripid 845-05 --locoid 4046 --swversion DE.1.0.9.0 --startMP 204:920 --initTime 2017-06-05T20:58:56 --startdatetime 2017-06-05T21:21:36 --delay 2 --endMP 300:58914 --enddatetime 2017-06-05T21:35:57 --enforcementcount 0 &gt;&gt;C:\Users\stu\Documents\GitHub\eaglep3-reporting\EC\2017-06-05-refined-times.txt</v>
      </c>
      <c r="AI204" s="99" t="str">
        <f t="shared" si="58"/>
        <v>echo {"issue":{"subject":"","project_id":79,"tracker_id":40,"status_id":1,"priority_id":2,"assigned_to_id":23,"start_date":"2017-06-05","description":"","custom_fields":[{"id":1,"name":"Subdivision","value":"NW"},{"id":4,"name":"Milepost","value":"5.8914"},{"id":17,"name":"Train ID","value":"845-05"},{"id":16,"name":"Locomotive ID","value":"4046"},{"id":130,"name":"Impact","value":""},{"id":150,"name":"Time of Event (Mountain Time)","value":"21:35:57"},{"id":151,"name":"Denver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4" s="47"/>
      <c r="AL204" s="47"/>
      <c r="AM204" s="145" t="str">
        <f t="shared" si="59"/>
        <v>start /low /b %USERPROFILE%\Documents\GitHub\eaglep3\Utilities\DownloadLogsFromS3.py --loco 4046 --day 2017-06-05</v>
      </c>
      <c r="AN204" s="154" t="str">
        <f t="shared" si="60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03:35:57"},{"id":29,"name":"Sharepoint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x14ac:dyDescent="0.25">
      <c r="A205" s="32" t="s">
        <v>812</v>
      </c>
      <c r="B205" s="7">
        <v>4046</v>
      </c>
      <c r="C205" s="21" t="s">
        <v>204</v>
      </c>
      <c r="D205" s="21" t="s">
        <v>1002</v>
      </c>
      <c r="E205" s="13">
        <v>42891.916076388887</v>
      </c>
      <c r="F205" s="13">
        <v>42891.931585648148</v>
      </c>
      <c r="G205" s="7">
        <v>17</v>
      </c>
      <c r="H205" s="21" t="s">
        <v>1003</v>
      </c>
      <c r="I205" s="13">
        <v>42891.941504629627</v>
      </c>
      <c r="J205" s="7">
        <v>0</v>
      </c>
      <c r="K205" s="92" t="str">
        <f t="shared" ref="K205:K247" si="90">IF(ISEVEN(B205),(B205-1)&amp;"/"&amp;B205,B205&amp;"/"&amp;(B205+1))</f>
        <v>4045/4046</v>
      </c>
      <c r="L205" s="21" t="str">
        <f>VLOOKUP(A205,'Trips&amp;Operators'!$C$1:$G$99999,5,FALSE)</f>
        <v>STAMBAUGH JAMES</v>
      </c>
      <c r="M205" s="6">
        <f t="shared" ref="M205:M247" si="91">I205-F205</f>
        <v>9.9189814791316167E-3</v>
      </c>
      <c r="N205" s="7">
        <f t="shared" si="86"/>
        <v>14.283333329949528</v>
      </c>
      <c r="O205" s="7"/>
      <c r="P205" s="7"/>
      <c r="Q205" s="22"/>
      <c r="R205" s="173"/>
      <c r="S205" s="176">
        <f t="shared" si="87"/>
        <v>1</v>
      </c>
      <c r="T205" s="202" t="str">
        <f t="shared" ref="T205:T247" si="92">IF(ISEVEN(LEFT(AD205,4)),"Southbound","NorthBound")</f>
        <v>NorthBound</v>
      </c>
      <c r="U205" s="202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03" t="str">
        <f t="shared" ref="V205:V247" si="93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-06-05T20:59:09-0600',mode:absolute,to:'2017-06-05T23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5" s="204" t="str">
        <f t="shared" ref="W205:W247" si="94">IF(AA205&lt;IF(AG205="EC",23,5.65),"Y","N")</f>
        <v>N</v>
      </c>
      <c r="X205" s="204">
        <f t="shared" si="89"/>
        <v>2</v>
      </c>
      <c r="Y205" s="204">
        <f t="shared" si="88"/>
        <v>0.1076</v>
      </c>
      <c r="Z205" s="204">
        <f t="shared" si="81"/>
        <v>5.8921999999999999</v>
      </c>
      <c r="AA205" s="204">
        <f t="shared" ref="AA205:AA247" si="95">ABS(Z205-Y205)</f>
        <v>5.7846000000000002</v>
      </c>
      <c r="AB205" s="57" t="e">
        <f>VLOOKUP(A205,Enforcements!$C$7:$K$13,8,0)</f>
        <v>#N/A</v>
      </c>
      <c r="AC205" s="53" t="e">
        <f>VLOOKUP(A205,Enforcements!$C$7:$E$13,3,0)</f>
        <v>#N/A</v>
      </c>
      <c r="AD205" s="54" t="str">
        <f t="shared" ref="AD205:AD247" si="96">IF(LEN(A205)=6,"0"&amp;A205,A205)</f>
        <v>0847-05</v>
      </c>
      <c r="AE205" s="80" t="str">
        <f t="shared" ref="AE205:AE247" si="97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s3://rtdc.mdm.uploadarchive.raw/RTDC4046/ "%USERPROFILE%\AppData\Local\Temp\OnboardLogs"\RTDC4046\2017-06-05 --exclude "*" --recursive --include "*20170605*" &amp; "%USERPROFILE%\Documents\GitHub\mrs-test-scripts\Headless Mode &amp; Sideloading\WalkAndUnGZ.bat" "%USERPROFILE%\AppData\Local\Temp\OnboardLogs"\RTDC4046\2017-06-05 &amp; aws s3 cp s3://rtdc.mdm.uploadarchive.raw/RTDC4046/ "%USERPROFILE%\AppData\Local\Temp\OnboardLogs"\RTDC4046\2017-06-06 --exclude "*" --recursive --include "*20170606*" &amp; "%USERPROFILE%\Documents\GitHub\mrs-test-scripts\Headless Mode &amp; Sideloading\WalkAndUnGZ.bat" "%USERPROFILE%\AppData\Local\Temp\OnboardLogs"\RTDC4046\2017-06-06</v>
      </c>
      <c r="AF205" s="77" t="str">
        <f t="shared" ref="AF205:AF247" si="98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/stypes="app*4046*20170606*" /stext=" 04:.+((SYSTEM_STATE.+slice.+state.+changed )|(ment ac)|(multiple cpu faults)|(system.+state.+changed )|(\[timeout)|(PRM\|1\|D)|(kpr)|(kdp)|(train st.+moving)|(\|lc)|(penalty))"</v>
      </c>
      <c r="AG205" s="1" t="str">
        <f t="shared" ref="AG205:AG247" si="99">IFERROR(IF(VALUE(LEFT(AD205,2))&lt;=2,"EC",IF(OR(VALUE(LEFT(AD205,2))=8,VALUE(LEFT(AD205,2))=18),"NW","Other")),"Other")</f>
        <v>NW</v>
      </c>
      <c r="AH205" s="81" t="str">
        <f t="shared" ref="AH205:AH247" si="100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847-05 --locoid 4046 --swversion DE.1.0.9.0 --startMP 204:1076 --initTime 2017-06-05T21:59:09 --startdatetime 2017-06-05T22:21:29 --delay 17 --endMP 300:58922 --enddatetime 2017-06-05T22:35:46 --enforcementcount 0 &gt;&gt;C:\Users\stu\Documents\GitHub\eaglep3-reporting\EC\2017-06-05-refined-times.txt</v>
      </c>
      <c r="AI205" s="99" t="str">
        <f t="shared" ref="AI205:AI247" si="101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{"issue":{"subject":"","project_id":79,"tracker_id":40,"status_id":1,"priority_id":2,"assigned_to_id":23,"start_date":"2017-06-05","description":"","custom_fields":[{"id":1,"name":"Subdivision","value":"NW"},{"id":4,"name":"Milepost","value":"5.8922"},{"id":17,"name":"Train ID","value":"847-05"},{"id":16,"name":"Locomotive ID","value":"4046"},{"id":130,"name":"Impact","value":""},{"id":150,"name":"Time of Event (Mountain Time)","value":"22:35:46"},{"id":151,"name":"Denver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5" t="str">
        <f t="shared" ref="AM205:AM247" si="102">"start /low /b "&amp;dls3logs&amp;" --loco "&amp;B205&amp;" --day "&amp;TEXT(F205,"YYYY-MM-DD")</f>
        <v>start /low /b %USERPROFILE%\Documents\GitHub\eaglep3\Utilities\DownloadLogsFromS3.py --loco 4046 --day 2017-06-05</v>
      </c>
      <c r="AN205" s="154" t="str">
        <f t="shared" ref="AN205:AN247" si="103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04:35:46"},{"id":29,"name":"Sharepoint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91" x14ac:dyDescent="0.25">
      <c r="A206" s="32" t="s">
        <v>630</v>
      </c>
      <c r="B206" s="7">
        <v>4013</v>
      </c>
      <c r="C206" s="21" t="s">
        <v>204</v>
      </c>
      <c r="D206" s="21" t="s">
        <v>899</v>
      </c>
      <c r="E206" s="13">
        <v>42891.115370370368</v>
      </c>
      <c r="F206" s="13">
        <v>42891.118460648147</v>
      </c>
      <c r="G206" s="7">
        <v>4</v>
      </c>
      <c r="H206" s="21" t="s">
        <v>487</v>
      </c>
      <c r="I206" s="13">
        <v>42891.12703703704</v>
      </c>
      <c r="J206" s="7">
        <v>0</v>
      </c>
      <c r="K206" s="92" t="str">
        <f t="shared" si="90"/>
        <v>4013/4014</v>
      </c>
      <c r="L206" s="21" t="str">
        <f>VLOOKUP(A206,'Trips&amp;Operators'!$C$1:$G$99999,5,FALSE)</f>
        <v>MAELZER KURT</v>
      </c>
      <c r="M206" s="6">
        <f t="shared" si="91"/>
        <v>8.5763888928340748E-3</v>
      </c>
      <c r="N206" s="7">
        <f t="shared" si="86"/>
        <v>12.350000005681068</v>
      </c>
      <c r="O206" s="7"/>
      <c r="P206" s="7"/>
      <c r="Q206" s="22"/>
      <c r="R206" s="173"/>
      <c r="S206" s="176">
        <f t="shared" si="87"/>
        <v>1</v>
      </c>
      <c r="T206" s="202" t="str">
        <f t="shared" si="92"/>
        <v>Southbound</v>
      </c>
      <c r="U206" s="202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03" t="str">
        <f t="shared" si="93"/>
        <v>https://d0f6bd738d7f1b3e5a7ca70fe4ff75f0.us-east-1.aws.found.io/app/kibana#/discover/Steve-Slow-Train-Analysis-(2080s-and-2083s)?_g=(refreshInterval:(display:Off,pause:!f,section:0,value:0),time:(from:'2017-06-05T01:46:08-0600',mode:absolute,to:'2017-06-05T04:02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6" s="204" t="str">
        <f t="shared" si="94"/>
        <v>Y</v>
      </c>
      <c r="X206" s="204">
        <f t="shared" si="89"/>
        <v>-547</v>
      </c>
      <c r="Y206" s="204">
        <f t="shared" si="88"/>
        <v>2.1760999999999999</v>
      </c>
      <c r="Z206" s="204">
        <f t="shared" si="81"/>
        <v>1.6500000000000001E-2</v>
      </c>
      <c r="AA206" s="204">
        <f t="shared" si="95"/>
        <v>2.1595999999999997</v>
      </c>
      <c r="AB206" s="57" t="e">
        <f>VLOOKUP(A206,Enforcements!$C$7:$K$13,8,0)</f>
        <v>#N/A</v>
      </c>
      <c r="AC206" s="53" t="e">
        <f>VLOOKUP(A206,Enforcements!$C$7:$E$13,3,0)</f>
        <v>#N/A</v>
      </c>
      <c r="AD206" s="54" t="str">
        <f t="shared" si="96"/>
        <v>0300-05</v>
      </c>
      <c r="AE206" s="80" t="str">
        <f t="shared" si="97"/>
        <v>aws s3 cp s3://rtdc.mdm.uploadarchive.raw/RTDC4013/ "%USERPROFILE%\AppData\Local\Temp\OnboardLogs"\RTDC4013\2017-06-05 --exclude "*" --recursive --include "*20170605*" &amp; "%USERPROFILE%\Documents\GitHub\mrs-test-scripts\Headless Mode &amp; Sideloading\WalkAndUnGZ.bat" "%USERPROFILE%\AppData\Local\Temp\OnboardLogs"\RTDC4013\2017-06-05 &amp; aws s3 cp s3://rtdc.mdm.uploadarchive.raw/RTDC4013/ "%USERPROFILE%\AppData\Local\Temp\OnboardLogs"\RTDC4013\2017-06-06 --exclude "*" --recursive --include "*20170606*" &amp; "%USERPROFILE%\Documents\GitHub\mrs-test-scripts\Headless Mode &amp; Sideloading\WalkAndUnGZ.bat" "%USERPROFILE%\AppData\Local\Temp\OnboardLogs"\RTDC4013\2017-06-06</v>
      </c>
      <c r="AF206" s="77" t="str">
        <f t="shared" si="98"/>
        <v>"C:\Program Files (x86)\AstroGrep\AstroGrep.exe" /e /r /s /spath="%USERPROFILE%\AppData\Local\Temp\OnboardLogs" /stypes="app*4013*20170605*" /stext=" 09:.+((SYSTEM_STATE.+slice.+state.+changed )|(ment ac)|(multiple cpu faults)|(system.+state.+changed )|(\[timeout)|(PRM\|1\|D)|(kpr)|(kdp)|(train st.+moving)|(\|lc)|(penalty))"</v>
      </c>
      <c r="AG206" s="1" t="str">
        <f t="shared" si="99"/>
        <v>Other</v>
      </c>
      <c r="AH206" s="81" t="str">
        <f t="shared" si="100"/>
        <v>"%USERPROFILE%\Documents\GitHub\eaglep3\Utilities\RefineRTDCRunTimes.py" --tripid 300-05 --locoid 4013 --swversion DE.1.0.9.0 --startMP 300:21761 --initTime 2017-06-05T02:46:08 --startdatetime 2017-06-05T02:50:35 --delay 4 --endMP 204:165 --enddatetime 2017-06-05T03:02:56 --enforcementcount 0 &gt;&gt;C:\Users\stu\Documents\GitHub\eaglep3-reporting\EC\2017-06-05-refined-times.txt</v>
      </c>
      <c r="AI206" s="99" t="str">
        <f t="shared" si="101"/>
        <v>echo {"issue":{"subject":"","project_id":79,"tracker_id":40,"status_id":1,"priority_id":2,"assigned_to_id":23,"start_date":"2017-06-05","description":"","custom_fields":[{"id":1,"name":"Subdivision","value":"Other"},{"id":4,"name":"Milepost","value":"0.0165"},{"id":17,"name":"Train ID","value":"300-05"},{"id":16,"name":"Locomotive ID","value":"4013"},{"id":130,"name":"Impact","value":""},{"id":150,"name":"Time of Event (Mountain Time)","value":"03:02:56"},{"id":151,"name":"Denver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5" t="str">
        <f t="shared" si="102"/>
        <v>start /low /b %USERPROFILE%\Documents\GitHub\eaglep3\Utilities\DownloadLogsFromS3.py --loco 4013 --day 2017-06-05</v>
      </c>
      <c r="AN206" s="154" t="str">
        <f t="shared" si="103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09:02:56"},{"id":29,"name":"Sharepoint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91" x14ac:dyDescent="0.25">
      <c r="A207" s="32" t="s">
        <v>791</v>
      </c>
      <c r="B207" s="7">
        <v>4008</v>
      </c>
      <c r="C207" s="21" t="s">
        <v>204</v>
      </c>
      <c r="D207" s="21" t="s">
        <v>439</v>
      </c>
      <c r="E207" s="13">
        <v>42891.781909722224</v>
      </c>
      <c r="F207" s="13">
        <v>42891.783483796295</v>
      </c>
      <c r="G207" s="7">
        <v>1</v>
      </c>
      <c r="H207" s="21" t="s">
        <v>900</v>
      </c>
      <c r="I207" s="13">
        <v>42891.789074074077</v>
      </c>
      <c r="J207" s="7">
        <v>0</v>
      </c>
      <c r="K207" s="92" t="str">
        <f t="shared" si="90"/>
        <v>4007/4008</v>
      </c>
      <c r="L207" s="21" t="str">
        <f>VLOOKUP(A207,'Trips&amp;Operators'!$C$1:$G$99999,5,FALSE)</f>
        <v>LEVERE CRAIG</v>
      </c>
      <c r="M207" s="6">
        <f t="shared" si="91"/>
        <v>5.5902777821756899E-3</v>
      </c>
      <c r="N207" s="7">
        <f t="shared" si="86"/>
        <v>8.0500000063329935</v>
      </c>
      <c r="O207" s="7"/>
      <c r="P207" s="7"/>
      <c r="Q207" s="22"/>
      <c r="R207" s="173"/>
      <c r="S207" s="176">
        <f t="shared" si="87"/>
        <v>1</v>
      </c>
      <c r="T207" s="202" t="str">
        <f t="shared" si="92"/>
        <v>NorthBound</v>
      </c>
      <c r="U207" s="202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03" t="str">
        <f t="shared" si="93"/>
        <v>https://d0f6bd738d7f1b3e5a7ca70fe4ff75f0.us-east-1.aws.found.io/app/kibana#/discover/Steve-Slow-Train-Analysis-(2080s-and-2083s)?_g=(refreshInterval:(display:Off,pause:!f,section:0,value:0),time:(from:'2017-06-05T17:45:57-0600',mode:absolute,to:'2017-06-05T19:56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7" s="204" t="str">
        <f t="shared" si="94"/>
        <v>Y</v>
      </c>
      <c r="X207" s="204">
        <f t="shared" si="89"/>
        <v>1</v>
      </c>
      <c r="Y207" s="204">
        <f t="shared" si="88"/>
        <v>4.4200000000000003E-2</v>
      </c>
      <c r="Z207" s="204">
        <f t="shared" si="81"/>
        <v>2.3064</v>
      </c>
      <c r="AA207" s="204">
        <f t="shared" si="95"/>
        <v>2.2622</v>
      </c>
      <c r="AB207" s="57" t="e">
        <f>VLOOKUP(A207,Enforcements!$C$7:$K$13,8,0)</f>
        <v>#N/A</v>
      </c>
      <c r="AC207" s="53" t="e">
        <f>VLOOKUP(A207,Enforcements!$C$7:$E$13,3,0)</f>
        <v>#N/A</v>
      </c>
      <c r="AD207" s="54" t="str">
        <f t="shared" si="96"/>
        <v>0301-05</v>
      </c>
      <c r="AE207" s="80" t="str">
        <f t="shared" si="97"/>
        <v>aws s3 cp s3://rtdc.mdm.uploadarchive.raw/RTDC4008/ "%USERPROFILE%\AppData\Local\Temp\OnboardLogs"\RTDC4008\2017-06-05 --exclude "*" --recursive --include "*20170605*" &amp; "%USERPROFILE%\Documents\GitHub\mrs-test-scripts\Headless Mode &amp; Sideloading\WalkAndUnGZ.bat" "%USERPROFILE%\AppData\Local\Temp\OnboardLogs"\RTDC4008\2017-06-05 &amp; aws s3 cp s3://rtdc.mdm.uploadarchive.raw/RTDC4008/ "%USERPROFILE%\AppData\Local\Temp\OnboardLogs"\RTDC4008\2017-06-06 --exclude "*" --recursive --include "*20170606*" &amp; "%USERPROFILE%\Documents\GitHub\mrs-test-scripts\Headless Mode &amp; Sideloading\WalkAndUnGZ.bat" "%USERPROFILE%\AppData\Local\Temp\OnboardLogs"\RTDC4008\2017-06-06</v>
      </c>
      <c r="AF207" s="77" t="str">
        <f t="shared" si="98"/>
        <v>"C:\Program Files (x86)\AstroGrep\AstroGrep.exe" /e /r /s /spath="%USERPROFILE%\AppData\Local\Temp\OnboardLogs" /stypes="app*4008*20170606*" /stext=" 00:.+((SYSTEM_STATE.+slice.+state.+changed )|(ment ac)|(multiple cpu faults)|(system.+state.+changed )|(\[timeout)|(PRM\|1\|D)|(kpr)|(kdp)|(train st.+moving)|(\|lc)|(penalty))"</v>
      </c>
      <c r="AG207" s="1" t="str">
        <f t="shared" si="99"/>
        <v>Other</v>
      </c>
      <c r="AH207" s="81" t="str">
        <f t="shared" si="100"/>
        <v>"%USERPROFILE%\Documents\GitHub\eaglep3\Utilities\RefineRTDCRunTimes.py" --tripid 301-05 --locoid 4008 --swversion DE.1.0.9.0 --startMP 204:442 --initTime 2017-06-05T18:45:57 --startdatetime 2017-06-05T18:48:13 --delay 1 --endMP 300:23064 --enddatetime 2017-06-05T18:56:16 --enforcementcount 0 &gt;&gt;C:\Users\stu\Documents\GitHub\eaglep3-reporting\EC\2017-06-05-refined-times.txt</v>
      </c>
      <c r="AI207" s="99" t="str">
        <f t="shared" si="101"/>
        <v>echo {"issue":{"subject":"","project_id":79,"tracker_id":40,"status_id":1,"priority_id":2,"assigned_to_id":23,"start_date":"2017-06-05","description":"","custom_fields":[{"id":1,"name":"Subdivision","value":"Other"},{"id":4,"name":"Milepost","value":"2.3064"},{"id":17,"name":"Train ID","value":"301-05"},{"id":16,"name":"Locomotive ID","value":"4008"},{"id":130,"name":"Impact","value":""},{"id":150,"name":"Time of Event (Mountain Time)","value":"18:56:16"},{"id":151,"name":"Denver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5" t="str">
        <f t="shared" si="102"/>
        <v>start /low /b %USERPROFILE%\Documents\GitHub\eaglep3\Utilities\DownloadLogsFromS3.py --loco 4008 --day 2017-06-05</v>
      </c>
      <c r="AN207" s="154" t="str">
        <f t="shared" si="103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00:56:16"},{"id":29,"name":"Sharepoint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91" x14ac:dyDescent="0.25">
      <c r="A208" s="32" t="s">
        <v>791</v>
      </c>
      <c r="B208" s="7">
        <v>4008</v>
      </c>
      <c r="C208" s="21" t="s">
        <v>204</v>
      </c>
      <c r="D208" s="21" t="s">
        <v>200</v>
      </c>
      <c r="E208" s="13">
        <v>42891.780092592591</v>
      </c>
      <c r="F208" s="13">
        <v>42891.783483796295</v>
      </c>
      <c r="G208" s="7">
        <v>1</v>
      </c>
      <c r="H208" s="21" t="s">
        <v>200</v>
      </c>
      <c r="I208" s="13">
        <v>42891.789074074077</v>
      </c>
      <c r="J208" s="7">
        <v>0</v>
      </c>
      <c r="K208" s="92" t="str">
        <f t="shared" si="90"/>
        <v>4007/4008</v>
      </c>
      <c r="L208" s="21" t="str">
        <f>VLOOKUP(A208,'Trips&amp;Operators'!$C$1:$G$99999,5,FALSE)</f>
        <v>LEVERE CRAIG</v>
      </c>
      <c r="M208" s="6">
        <f t="shared" si="91"/>
        <v>5.5902777821756899E-3</v>
      </c>
      <c r="N208" s="7">
        <f t="shared" si="86"/>
        <v>8.0500000063329935</v>
      </c>
      <c r="O208" s="7"/>
      <c r="P208" s="7"/>
      <c r="Q208" s="22"/>
      <c r="R208" s="173"/>
      <c r="S208" s="176">
        <f t="shared" si="87"/>
        <v>0</v>
      </c>
      <c r="T208" s="202" t="str">
        <f t="shared" si="92"/>
        <v>NorthBound</v>
      </c>
      <c r="U208" s="202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203" t="str">
        <f t="shared" si="93"/>
        <v>https://d0f6bd738d7f1b3e5a7ca70fe4ff75f0.us-east-1.aws.found.io/app/kibana#/discover/Steve-Slow-Train-Analysis-(2080s-and-2083s)?_g=(refreshInterval:(display:Off,pause:!f,section:0,value:0),time:(from:'2017-06-05T17:43:20-0600',mode:absolute,to:'2017-06-05T19:56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8" s="204" t="str">
        <f t="shared" si="94"/>
        <v>Y</v>
      </c>
      <c r="X208" s="204">
        <f t="shared" si="89"/>
        <v>0</v>
      </c>
      <c r="Y208" s="204">
        <f t="shared" si="88"/>
        <v>4.5699999999999998E-2</v>
      </c>
      <c r="Z208" s="204">
        <f t="shared" si="81"/>
        <v>4.5699999999999998E-2</v>
      </c>
      <c r="AA208" s="204">
        <f t="shared" si="95"/>
        <v>0</v>
      </c>
      <c r="AB208" s="57" t="e">
        <f>VLOOKUP(A208,Enforcements!$C$7:$K$13,8,0)</f>
        <v>#N/A</v>
      </c>
      <c r="AC208" s="53" t="e">
        <f>VLOOKUP(A208,Enforcements!$C$7:$E$13,3,0)</f>
        <v>#N/A</v>
      </c>
      <c r="AD208" s="54" t="str">
        <f t="shared" si="96"/>
        <v>0301-05</v>
      </c>
      <c r="AE208" s="80" t="str">
        <f t="shared" si="97"/>
        <v>aws s3 cp s3://rtdc.mdm.uploadarchive.raw/RTDC4008/ "%USERPROFILE%\AppData\Local\Temp\OnboardLogs"\RTDC4008\2017-06-05 --exclude "*" --recursive --include "*20170605*" &amp; "%USERPROFILE%\Documents\GitHub\mrs-test-scripts\Headless Mode &amp; Sideloading\WalkAndUnGZ.bat" "%USERPROFILE%\AppData\Local\Temp\OnboardLogs"\RTDC4008\2017-06-05 &amp; aws s3 cp s3://rtdc.mdm.uploadarchive.raw/RTDC4008/ "%USERPROFILE%\AppData\Local\Temp\OnboardLogs"\RTDC4008\2017-06-06 --exclude "*" --recursive --include "*20170606*" &amp; "%USERPROFILE%\Documents\GitHub\mrs-test-scripts\Headless Mode &amp; Sideloading\WalkAndUnGZ.bat" "%USERPROFILE%\AppData\Local\Temp\OnboardLogs"\RTDC4008\2017-06-06</v>
      </c>
      <c r="AF208" s="77" t="str">
        <f t="shared" si="98"/>
        <v>"C:\Program Files (x86)\AstroGrep\AstroGrep.exe" /e /r /s /spath="%USERPROFILE%\AppData\Local\Temp\OnboardLogs" /stypes="app*4008*20170606*" /stext=" 00:.+((SYSTEM_STATE.+slice.+state.+changed )|(ment ac)|(multiple cpu faults)|(system.+state.+changed )|(\[timeout)|(PRM\|1\|D)|(kpr)|(kdp)|(train st.+moving)|(\|lc)|(penalty))"</v>
      </c>
      <c r="AG208" s="1" t="str">
        <f t="shared" si="99"/>
        <v>Other</v>
      </c>
      <c r="AH208" s="81" t="str">
        <f t="shared" si="100"/>
        <v>"%USERPROFILE%\Documents\GitHub\eaglep3\Utilities\RefineRTDCRunTimes.py" --tripid 301-05 --locoid 4008 --swversion DE.1.0.9.0 --startMP 204:457 --initTime 2017-06-05T18:43:20 --startdatetime 2017-06-05T18:48:13 --delay 1 --endMP 204:457 --enddatetime 2017-06-05T18:56:16 --enforcementcount 0 &gt;&gt;C:\Users\stu\Documents\GitHub\eaglep3-reporting\EC\2017-06-05-refined-times.txt</v>
      </c>
      <c r="AI208" s="99" t="str">
        <f t="shared" si="101"/>
        <v>echo {"issue":{"subject":"","project_id":79,"tracker_id":40,"status_id":1,"priority_id":2,"assigned_to_id":23,"start_date":"2017-06-05","description":"","custom_fields":[{"id":1,"name":"Subdivision","value":"Other"},{"id":4,"name":"Milepost","value":"0.0457"},{"id":17,"name":"Train ID","value":"301-05"},{"id":16,"name":"Locomotive ID","value":"4008"},{"id":130,"name":"Impact","value":""},{"id":150,"name":"Time of Event (Mountain Time)","value":"18:56:16"},{"id":151,"name":"Denver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5" t="str">
        <f t="shared" si="102"/>
        <v>start /low /b %USERPROFILE%\Documents\GitHub\eaglep3\Utilities\DownloadLogsFromS3.py --loco 4008 --day 2017-06-05</v>
      </c>
      <c r="AN208" s="154" t="str">
        <f t="shared" si="103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00:56:16"},{"id":29,"name":"Sharepoint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2" t="s">
        <v>634</v>
      </c>
      <c r="B209" s="7">
        <v>4019</v>
      </c>
      <c r="C209" s="21" t="s">
        <v>204</v>
      </c>
      <c r="D209" s="21" t="s">
        <v>901</v>
      </c>
      <c r="E209" s="13">
        <v>42891.135000000002</v>
      </c>
      <c r="F209" s="13">
        <v>42891.138240740744</v>
      </c>
      <c r="G209" s="7">
        <v>4</v>
      </c>
      <c r="H209" s="21" t="s">
        <v>350</v>
      </c>
      <c r="I209" s="13">
        <v>42891.144976851851</v>
      </c>
      <c r="J209" s="7">
        <v>0</v>
      </c>
      <c r="K209" s="92" t="str">
        <f t="shared" si="90"/>
        <v>4019/4020</v>
      </c>
      <c r="L209" s="21" t="str">
        <f>VLOOKUP(A209,'Trips&amp;Operators'!$C$1:$G$99999,5,FALSE)</f>
        <v>THOMPSON LESTER</v>
      </c>
      <c r="M209" s="6">
        <f t="shared" si="91"/>
        <v>6.7361111068748869E-3</v>
      </c>
      <c r="N209" s="7">
        <f t="shared" si="86"/>
        <v>9.6999999938998371</v>
      </c>
      <c r="O209" s="7"/>
      <c r="P209" s="7"/>
      <c r="Q209" s="22"/>
      <c r="R209" s="173"/>
      <c r="S209" s="176">
        <f t="shared" si="87"/>
        <v>1</v>
      </c>
      <c r="T209" s="202" t="str">
        <f t="shared" si="92"/>
        <v>Southbound</v>
      </c>
      <c r="U209" s="202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03" t="str">
        <f t="shared" si="93"/>
        <v>https://d0f6bd738d7f1b3e5a7ca70fe4ff75f0.us-east-1.aws.found.io/app/kibana#/discover/Steve-Slow-Train-Analysis-(2080s-and-2083s)?_g=(refreshInterval:(display:Off,pause:!f,section:0,value:0),time:(from:'2017-06-05T02:14:24-0600',mode:absolute,to:'2017-06-05T04:28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9" s="204" t="str">
        <f t="shared" si="94"/>
        <v>Y</v>
      </c>
      <c r="X209" s="204">
        <f t="shared" si="89"/>
        <v>1</v>
      </c>
      <c r="Y209" s="204">
        <f t="shared" si="88"/>
        <v>2.3624000000000001</v>
      </c>
      <c r="Z209" s="204">
        <f t="shared" si="81"/>
        <v>1.6E-2</v>
      </c>
      <c r="AA209" s="204">
        <f t="shared" si="95"/>
        <v>2.3464</v>
      </c>
      <c r="AB209" s="57" t="e">
        <f>VLOOKUP(A209,Enforcements!$C$7:$K$13,8,0)</f>
        <v>#N/A</v>
      </c>
      <c r="AC209" s="53" t="e">
        <f>VLOOKUP(A209,Enforcements!$C$7:$E$13,3,0)</f>
        <v>#N/A</v>
      </c>
      <c r="AD209" s="54" t="str">
        <f t="shared" si="96"/>
        <v>0302-05</v>
      </c>
      <c r="AE209" s="80" t="str">
        <f t="shared" si="97"/>
        <v>aws s3 cp s3://rtdc.mdm.uploadarchive.raw/RTDC4019/ "%USERPROFILE%\AppData\Local\Temp\OnboardLogs"\RTDC4019\2017-06-05 --exclude "*" --recursive --include "*20170605*" &amp; "%USERPROFILE%\Documents\GitHub\mrs-test-scripts\Headless Mode &amp; Sideloading\WalkAndUnGZ.bat" "%USERPROFILE%\AppData\Local\Temp\OnboardLogs"\RTDC4019\2017-06-05 &amp; aws s3 cp s3://rtdc.mdm.uploadarchive.raw/RTDC4019/ "%USERPROFILE%\AppData\Local\Temp\OnboardLogs"\RTDC4019\2017-06-06 --exclude "*" --recursive --include "*20170606*" &amp; "%USERPROFILE%\Documents\GitHub\mrs-test-scripts\Headless Mode &amp; Sideloading\WalkAndUnGZ.bat" "%USERPROFILE%\AppData\Local\Temp\OnboardLogs"\RTDC4019\2017-06-06</v>
      </c>
      <c r="AF209" s="77" t="str">
        <f t="shared" si="98"/>
        <v>"C:\Program Files (x86)\AstroGrep\AstroGrep.exe" /e /r /s /spath="%USERPROFILE%\AppData\Local\Temp\OnboardLogs" /stypes="app*4019*20170605*" /stext=" 09:.+((SYSTEM_STATE.+slice.+state.+changed )|(ment ac)|(multiple cpu faults)|(system.+state.+changed )|(\[timeout)|(PRM\|1\|D)|(kpr)|(kdp)|(train st.+moving)|(\|lc)|(penalty))"</v>
      </c>
      <c r="AG209" s="1" t="str">
        <f t="shared" si="99"/>
        <v>Other</v>
      </c>
      <c r="AH209" s="81" t="str">
        <f t="shared" si="100"/>
        <v>"%USERPROFILE%\Documents\GitHub\eaglep3\Utilities\RefineRTDCRunTimes.py" --tripid 302-05 --locoid 4019 --swversion DE.1.0.9.0 --startMP 300:23624 --initTime 2017-06-05T03:14:24 --startdatetime 2017-06-05T03:19:04 --delay 4 --endMP 204:160 --enddatetime 2017-06-05T03:28:46 --enforcementcount 0 &gt;&gt;C:\Users\stu\Documents\GitHub\eaglep3-reporting\EC\2017-06-05-refined-times.txt</v>
      </c>
      <c r="AI209" s="99" t="str">
        <f t="shared" si="101"/>
        <v>echo {"issue":{"subject":"","project_id":79,"tracker_id":40,"status_id":1,"priority_id":2,"assigned_to_id":23,"start_date":"2017-06-05","description":"","custom_fields":[{"id":1,"name":"Subdivision","value":"Other"},{"id":4,"name":"Milepost","value":"0.016"},{"id":17,"name":"Train ID","value":"302-05"},{"id":16,"name":"Locomotive ID","value":"4019"},{"id":130,"name":"Impact","value":""},{"id":150,"name":"Time of Event (Mountain Time)","value":"03:28:46"},{"id":151,"name":"Denver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5" t="str">
        <f t="shared" si="102"/>
        <v>start /low /b %USERPROFILE%\Documents\GitHub\eaglep3\Utilities\DownloadLogsFromS3.py --loco 4019 --day 2017-06-05</v>
      </c>
      <c r="AN209" s="154" t="str">
        <f t="shared" si="103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09:28:46"},{"id":29,"name":"Sharepoint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2" t="s">
        <v>796</v>
      </c>
      <c r="B210" s="7">
        <v>4010</v>
      </c>
      <c r="C210" s="21" t="s">
        <v>204</v>
      </c>
      <c r="D210" s="21" t="s">
        <v>356</v>
      </c>
      <c r="E210" s="13">
        <v>42891.798796296294</v>
      </c>
      <c r="F210" s="13">
        <v>42891.80027777778</v>
      </c>
      <c r="G210" s="7">
        <v>1</v>
      </c>
      <c r="H210" s="21" t="s">
        <v>902</v>
      </c>
      <c r="I210" s="13">
        <v>42891.805879629632</v>
      </c>
      <c r="J210" s="7">
        <v>0</v>
      </c>
      <c r="K210" s="92" t="str">
        <f t="shared" si="90"/>
        <v>4009/4010</v>
      </c>
      <c r="L210" s="21" t="str">
        <f>VLOOKUP(A210,'Trips&amp;Operators'!$C$1:$G$99999,5,FALSE)</f>
        <v>BRANDNER MELINDA</v>
      </c>
      <c r="M210" s="6">
        <f t="shared" si="91"/>
        <v>5.6018518516793847E-3</v>
      </c>
      <c r="N210" s="7">
        <f t="shared" si="86"/>
        <v>8.066666666418314</v>
      </c>
      <c r="O210" s="7"/>
      <c r="P210" s="7"/>
      <c r="Q210" s="22"/>
      <c r="R210" s="173"/>
      <c r="S210" s="176">
        <f t="shared" si="87"/>
        <v>1</v>
      </c>
      <c r="T210" s="202" t="str">
        <f t="shared" si="92"/>
        <v>NorthBound</v>
      </c>
      <c r="U210" s="202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03" t="str">
        <f t="shared" si="93"/>
        <v>https://d0f6bd738d7f1b3e5a7ca70fe4ff75f0.us-east-1.aws.found.io/app/kibana#/discover/Steve-Slow-Train-Analysis-(2080s-and-2083s)?_g=(refreshInterval:(display:Off,pause:!f,section:0,value:0),time:(from:'2017-06-05T18:10:16-0600',mode:absolute,to:'2017-06-05T20:20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0" s="204" t="str">
        <f t="shared" si="94"/>
        <v>Y</v>
      </c>
      <c r="X210" s="204">
        <f t="shared" si="89"/>
        <v>1</v>
      </c>
      <c r="Y210" s="204">
        <f t="shared" si="88"/>
        <v>4.5100000000000001E-2</v>
      </c>
      <c r="Z210" s="204">
        <f t="shared" si="81"/>
        <v>2.3026</v>
      </c>
      <c r="AA210" s="204">
        <f t="shared" si="95"/>
        <v>2.2574999999999998</v>
      </c>
      <c r="AB210" s="57" t="e">
        <f>VLOOKUP(A210,Enforcements!$C$7:$K$13,8,0)</f>
        <v>#N/A</v>
      </c>
      <c r="AC210" s="53" t="e">
        <f>VLOOKUP(A210,Enforcements!$C$7:$E$13,3,0)</f>
        <v>#N/A</v>
      </c>
      <c r="AD210" s="54" t="str">
        <f t="shared" si="96"/>
        <v>0303-05</v>
      </c>
      <c r="AE210" s="80" t="str">
        <f t="shared" si="97"/>
        <v>aws s3 cp s3://rtdc.mdm.uploadarchive.raw/RTDC4010/ "%USERPROFILE%\AppData\Local\Temp\OnboardLogs"\RTDC4010\2017-06-05 --exclude "*" --recursive --include "*20170605*" &amp; "%USERPROFILE%\Documents\GitHub\mrs-test-scripts\Headless Mode &amp; Sideloading\WalkAndUnGZ.bat" "%USERPROFILE%\AppData\Local\Temp\OnboardLogs"\RTDC4010\2017-06-05 &amp; aws s3 cp s3://rtdc.mdm.uploadarchive.raw/RTDC4010/ "%USERPROFILE%\AppData\Local\Temp\OnboardLogs"\RTDC4010\2017-06-06 --exclude "*" --recursive --include "*20170606*" &amp; "%USERPROFILE%\Documents\GitHub\mrs-test-scripts\Headless Mode &amp; Sideloading\WalkAndUnGZ.bat" "%USERPROFILE%\AppData\Local\Temp\OnboardLogs"\RTDC4010\2017-06-06</v>
      </c>
      <c r="AF210" s="77" t="str">
        <f t="shared" si="98"/>
        <v>"C:\Program Files (x86)\AstroGrep\AstroGrep.exe" /e /r /s /spath="%USERPROFILE%\AppData\Local\Temp\OnboardLogs" /stypes="app*4010*20170606*" /stext=" 01:.+((SYSTEM_STATE.+slice.+state.+changed )|(ment ac)|(multiple cpu faults)|(system.+state.+changed )|(\[timeout)|(PRM\|1\|D)|(kpr)|(kdp)|(train st.+moving)|(\|lc)|(penalty))"</v>
      </c>
      <c r="AG210" s="1" t="str">
        <f t="shared" si="99"/>
        <v>Other</v>
      </c>
      <c r="AH210" s="81" t="str">
        <f t="shared" si="100"/>
        <v>"%USERPROFILE%\Documents\GitHub\eaglep3\Utilities\RefineRTDCRunTimes.py" --tripid 303-05 --locoid 4010 --swversion DE.1.0.9.0 --startMP 204:451 --initTime 2017-06-05T19:10:16 --startdatetime 2017-06-05T19:12:24 --delay 1 --endMP 300:23026 --enddatetime 2017-06-05T19:20:28 --enforcementcount 0 &gt;&gt;C:\Users\stu\Documents\GitHub\eaglep3-reporting\EC\2017-06-05-refined-times.txt</v>
      </c>
      <c r="AI210" s="99" t="str">
        <f t="shared" si="101"/>
        <v>echo {"issue":{"subject":"","project_id":79,"tracker_id":40,"status_id":1,"priority_id":2,"assigned_to_id":23,"start_date":"2017-06-05","description":"","custom_fields":[{"id":1,"name":"Subdivision","value":"Other"},{"id":4,"name":"Milepost","value":"2.3026"},{"id":17,"name":"Train ID","value":"303-05"},{"id":16,"name":"Locomotive ID","value":"4010"},{"id":130,"name":"Impact","value":""},{"id":150,"name":"Time of Event (Mountain Time)","value":"19:20:28"},{"id":151,"name":"Denver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5" t="str">
        <f t="shared" si="102"/>
        <v>start /low /b %USERPROFILE%\Documents\GitHub\eaglep3\Utilities\DownloadLogsFromS3.py --loco 4010 --day 2017-06-05</v>
      </c>
      <c r="AN210" s="154" t="str">
        <f t="shared" si="103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01:20:28"},{"id":29,"name":"Sharepoint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2" t="s">
        <v>637</v>
      </c>
      <c r="B211" s="7">
        <v>4015</v>
      </c>
      <c r="C211" s="21" t="s">
        <v>204</v>
      </c>
      <c r="D211" s="21" t="s">
        <v>903</v>
      </c>
      <c r="E211" s="13">
        <v>42891.160081018519</v>
      </c>
      <c r="F211" s="13">
        <v>42891.163368055553</v>
      </c>
      <c r="G211" s="7">
        <v>2</v>
      </c>
      <c r="H211" s="21" t="s">
        <v>354</v>
      </c>
      <c r="I211" s="13">
        <v>42891.163564814815</v>
      </c>
      <c r="J211" s="7">
        <v>0</v>
      </c>
      <c r="K211" s="92" t="str">
        <f t="shared" si="90"/>
        <v>4015/4016</v>
      </c>
      <c r="L211" s="21" t="str">
        <f>VLOOKUP(A211,'Trips&amp;Operators'!$C$1:$G$99999,5,FALSE)</f>
        <v>STARKS ANGELINA</v>
      </c>
      <c r="M211" s="6">
        <f t="shared" si="91"/>
        <v>1.9675926159834489E-4</v>
      </c>
      <c r="N211" s="7">
        <f t="shared" si="86"/>
        <v>0.28333333670161664</v>
      </c>
      <c r="O211" s="7"/>
      <c r="P211" s="7"/>
      <c r="Q211" s="22"/>
      <c r="R211" s="173"/>
      <c r="S211" s="176">
        <f t="shared" si="87"/>
        <v>1</v>
      </c>
      <c r="T211" s="202" t="str">
        <f t="shared" si="92"/>
        <v>Southbound</v>
      </c>
      <c r="U211" s="202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03" t="str">
        <f t="shared" si="93"/>
        <v>https://d0f6bd738d7f1b3e5a7ca70fe4ff75f0.us-east-1.aws.found.io/app/kibana#/discover/Steve-Slow-Train-Analysis-(2080s-and-2083s)?_g=(refreshInterval:(display:Off,pause:!f,section:0,value:0),time:(from:'2017-06-05T02:50:31-0600',mode:absolute,to:'2017-06-05T04:55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1" s="204" t="str">
        <f t="shared" si="94"/>
        <v>Y</v>
      </c>
      <c r="X211" s="204">
        <f t="shared" si="89"/>
        <v>1</v>
      </c>
      <c r="Y211" s="204">
        <f t="shared" si="88"/>
        <v>2.6095999999999999</v>
      </c>
      <c r="Z211" s="204">
        <f t="shared" si="81"/>
        <v>1.43E-2</v>
      </c>
      <c r="AA211" s="204">
        <f t="shared" si="95"/>
        <v>2.5952999999999999</v>
      </c>
      <c r="AB211" s="57" t="e">
        <f>VLOOKUP(A211,Enforcements!$C$7:$K$13,8,0)</f>
        <v>#N/A</v>
      </c>
      <c r="AC211" s="53" t="e">
        <f>VLOOKUP(A211,Enforcements!$C$7:$E$13,3,0)</f>
        <v>#N/A</v>
      </c>
      <c r="AD211" s="54" t="str">
        <f t="shared" si="96"/>
        <v>0304-05</v>
      </c>
      <c r="AE211" s="80" t="str">
        <f t="shared" si="97"/>
        <v>aws s3 cp s3://rtdc.mdm.uploadarchive.raw/RTDC4015/ "%USERPROFILE%\AppData\Local\Temp\OnboardLogs"\RTDC4015\2017-06-05 --exclude "*" --recursive --include "*20170605*" &amp; "%USERPROFILE%\Documents\GitHub\mrs-test-scripts\Headless Mode &amp; Sideloading\WalkAndUnGZ.bat" "%USERPROFILE%\AppData\Local\Temp\OnboardLogs"\RTDC4015\2017-06-05 &amp; aws s3 cp s3://rtdc.mdm.uploadarchive.raw/RTDC4015/ "%USERPROFILE%\AppData\Local\Temp\OnboardLogs"\RTDC4015\2017-06-06 --exclude "*" --recursive --include "*20170606*" &amp; "%USERPROFILE%\Documents\GitHub\mrs-test-scripts\Headless Mode &amp; Sideloading\WalkAndUnGZ.bat" "%USERPROFILE%\AppData\Local\Temp\OnboardLogs"\RTDC4015\2017-06-06</v>
      </c>
      <c r="AF211" s="77" t="str">
        <f t="shared" si="98"/>
        <v>"C:\Program Files (x86)\AstroGrep\AstroGrep.exe" /e /r /s /spath="%USERPROFILE%\AppData\Local\Temp\OnboardLogs" /stypes="app*4015*20170605*" /stext=" 09:.+((SYSTEM_STATE.+slice.+state.+changed )|(ment ac)|(multiple cpu faults)|(system.+state.+changed )|(\[timeout)|(PRM\|1\|D)|(kpr)|(kdp)|(train st.+moving)|(\|lc)|(penalty))"</v>
      </c>
      <c r="AG211" s="1" t="str">
        <f t="shared" si="99"/>
        <v>Other</v>
      </c>
      <c r="AH211" s="81" t="str">
        <f t="shared" si="100"/>
        <v>"%USERPROFILE%\Documents\GitHub\eaglep3\Utilities\RefineRTDCRunTimes.py" --tripid 304-05 --locoid 4015 --swversion DE.1.0.9.0 --startMP 300:26096 --initTime 2017-06-05T03:50:31 --startdatetime 2017-06-05T03:55:15 --delay 2 --endMP 204:143 --enddatetime 2017-06-05T03:55:32 --enforcementcount 0 &gt;&gt;C:\Users\stu\Documents\GitHub\eaglep3-reporting\EC\2017-06-05-refined-times.txt</v>
      </c>
      <c r="AI211" s="99" t="str">
        <f t="shared" si="101"/>
        <v>echo {"issue":{"subject":"","project_id":79,"tracker_id":40,"status_id":1,"priority_id":2,"assigned_to_id":23,"start_date":"2017-06-05","description":"","custom_fields":[{"id":1,"name":"Subdivision","value":"Other"},{"id":4,"name":"Milepost","value":"0.0143"},{"id":17,"name":"Train ID","value":"304-05"},{"id":16,"name":"Locomotive ID","value":"4015"},{"id":130,"name":"Impact","value":""},{"id":150,"name":"Time of Event (Mountain Time)","value":"03:55:32"},{"id":151,"name":"Denver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5" t="str">
        <f t="shared" si="102"/>
        <v>start /low /b %USERPROFILE%\Documents\GitHub\eaglep3\Utilities\DownloadLogsFromS3.py --loco 4015 --day 2017-06-05</v>
      </c>
      <c r="AN211" s="154" t="str">
        <f t="shared" si="103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09:55:32"},{"id":29,"name":"Sharepoint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2" t="s">
        <v>801</v>
      </c>
      <c r="B212" s="7">
        <v>4058</v>
      </c>
      <c r="C212" s="21" t="s">
        <v>204</v>
      </c>
      <c r="D212" s="21" t="s">
        <v>904</v>
      </c>
      <c r="E212" s="13">
        <v>42891.823993055557</v>
      </c>
      <c r="F212" s="13">
        <v>42891.829895833333</v>
      </c>
      <c r="G212" s="7">
        <v>1</v>
      </c>
      <c r="H212" s="21" t="s">
        <v>905</v>
      </c>
      <c r="I212" s="13">
        <v>42891.838217592594</v>
      </c>
      <c r="J212" s="7">
        <v>0</v>
      </c>
      <c r="K212" s="92" t="str">
        <f t="shared" si="90"/>
        <v>4057/4058</v>
      </c>
      <c r="L212" s="21" t="str">
        <f>VLOOKUP(A212,'Trips&amp;Operators'!$C$1:$G$99999,5,FALSE)</f>
        <v>MCREYNOLDS KYLE</v>
      </c>
      <c r="M212" s="6">
        <f t="shared" si="91"/>
        <v>8.3217592618893832E-3</v>
      </c>
      <c r="N212" s="7">
        <f t="shared" si="86"/>
        <v>11.983333337120712</v>
      </c>
      <c r="O212" s="7"/>
      <c r="P212" s="7"/>
      <c r="Q212" s="22"/>
      <c r="R212" s="173"/>
      <c r="S212" s="176">
        <f t="shared" si="87"/>
        <v>1</v>
      </c>
      <c r="T212" s="202" t="str">
        <f t="shared" si="92"/>
        <v>NorthBound</v>
      </c>
      <c r="U212" s="202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03" t="str">
        <f t="shared" si="93"/>
        <v>https://d0f6bd738d7f1b3e5a7ca70fe4ff75f0.us-east-1.aws.found.io/app/kibana#/discover/Steve-Slow-Train-Analysis-(2080s-and-2083s)?_g=(refreshInterval:(display:Off,pause:!f,section:0,value:0),time:(from:'2017-06-05T18:46:33-0600',mode:absolute,to:'2017-06-05T21:07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12" s="204" t="str">
        <f t="shared" si="94"/>
        <v>Y</v>
      </c>
      <c r="X212" s="204">
        <f t="shared" si="89"/>
        <v>1</v>
      </c>
      <c r="Y212" s="204">
        <f t="shared" si="88"/>
        <v>0.12640000000000001</v>
      </c>
      <c r="Z212" s="204">
        <f t="shared" si="81"/>
        <v>2.3311999999999999</v>
      </c>
      <c r="AA212" s="204">
        <f t="shared" si="95"/>
        <v>2.2048000000000001</v>
      </c>
      <c r="AB212" s="57" t="e">
        <f>VLOOKUP(A212,Enforcements!$C$7:$K$13,8,0)</f>
        <v>#N/A</v>
      </c>
      <c r="AC212" s="53" t="e">
        <f>VLOOKUP(A212,Enforcements!$C$7:$E$13,3,0)</f>
        <v>#N/A</v>
      </c>
      <c r="AD212" s="54" t="str">
        <f t="shared" si="96"/>
        <v>0305-05</v>
      </c>
      <c r="AE212" s="80" t="str">
        <f t="shared" si="97"/>
        <v>aws s3 cp s3://rtdc.mdm.uploadarchive.raw/RTDC4058/ "%USERPROFILE%\AppData\Local\Temp\OnboardLogs"\RTDC4058\2017-06-05 --exclude "*" --recursive --include "*20170605*" &amp; "%USERPROFILE%\Documents\GitHub\mrs-test-scripts\Headless Mode &amp; Sideloading\WalkAndUnGZ.bat" "%USERPROFILE%\AppData\Local\Temp\OnboardLogs"\RTDC4058\2017-06-05 &amp; aws s3 cp s3://rtdc.mdm.uploadarchive.raw/RTDC4058/ "%USERPROFILE%\AppData\Local\Temp\OnboardLogs"\RTDC4058\2017-06-06 --exclude "*" --recursive --include "*20170606*" &amp; "%USERPROFILE%\Documents\GitHub\mrs-test-scripts\Headless Mode &amp; Sideloading\WalkAndUnGZ.bat" "%USERPROFILE%\AppData\Local\Temp\OnboardLogs"\RTDC4058\2017-06-06</v>
      </c>
      <c r="AF212" s="77" t="str">
        <f t="shared" si="98"/>
        <v>"C:\Program Files (x86)\AstroGrep\AstroGrep.exe" /e /r /s /spath="%USERPROFILE%\AppData\Local\Temp\OnboardLogs" /stypes="app*4058*20170606*" /stext=" 02:.+((SYSTEM_STATE.+slice.+state.+changed )|(ment ac)|(multiple cpu faults)|(system.+state.+changed )|(\[timeout)|(PRM\|1\|D)|(kpr)|(kdp)|(train st.+moving)|(\|lc)|(penalty))"</v>
      </c>
      <c r="AG212" s="1" t="str">
        <f t="shared" si="99"/>
        <v>Other</v>
      </c>
      <c r="AH212" s="81" t="str">
        <f t="shared" si="100"/>
        <v>"%USERPROFILE%\Documents\GitHub\eaglep3\Utilities\RefineRTDCRunTimes.py" --tripid 305-05 --locoid 4058 --swversion DE.1.0.9.0 --startMP 204:1264 --initTime 2017-06-05T19:46:33 --startdatetime 2017-06-05T19:55:03 --delay 1 --endMP 300:23312 --enddatetime 2017-06-05T20:07:02 --enforcementcount 0 &gt;&gt;C:\Users\stu\Documents\GitHub\eaglep3-reporting\EC\2017-06-05-refined-times.txt</v>
      </c>
      <c r="AI212" s="99" t="str">
        <f t="shared" si="101"/>
        <v>echo {"issue":{"subject":"","project_id":79,"tracker_id":40,"status_id":1,"priority_id":2,"assigned_to_id":23,"start_date":"2017-06-05","description":"","custom_fields":[{"id":1,"name":"Subdivision","value":"Other"},{"id":4,"name":"Milepost","value":"2.3312"},{"id":17,"name":"Train ID","value":"305-05"},{"id":16,"name":"Locomotive ID","value":"4058"},{"id":130,"name":"Impact","value":""},{"id":150,"name":"Time of Event (Mountain Time)","value":"20:07:02"},{"id":151,"name":"Denver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5" t="str">
        <f t="shared" si="102"/>
        <v>start /low /b %USERPROFILE%\Documents\GitHub\eaglep3\Utilities\DownloadLogsFromS3.py --loco 4058 --day 2017-06-05</v>
      </c>
      <c r="AN212" s="154" t="str">
        <f t="shared" si="103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02:07:02"},{"id":29,"name":"Sharepoint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2" t="s">
        <v>641</v>
      </c>
      <c r="B213" s="7">
        <v>4041</v>
      </c>
      <c r="C213" s="21" t="s">
        <v>204</v>
      </c>
      <c r="D213" s="21" t="s">
        <v>906</v>
      </c>
      <c r="E213" s="13">
        <v>42891.172407407408</v>
      </c>
      <c r="F213" s="13">
        <v>42891.175208333334</v>
      </c>
      <c r="G213" s="7">
        <v>3</v>
      </c>
      <c r="H213" s="21" t="s">
        <v>352</v>
      </c>
      <c r="I213" s="13">
        <v>42891.180428240739</v>
      </c>
      <c r="J213" s="7">
        <v>0</v>
      </c>
      <c r="K213" s="92" t="str">
        <f t="shared" si="90"/>
        <v>4041/4042</v>
      </c>
      <c r="L213" s="21" t="str">
        <f>VLOOKUP(A213,'Trips&amp;Operators'!$C$1:$G$99999,5,FALSE)</f>
        <v>LALONDE GREGORY</v>
      </c>
      <c r="M213" s="6">
        <f t="shared" si="91"/>
        <v>5.2199074052623473E-3</v>
      </c>
      <c r="N213" s="7">
        <f t="shared" si="86"/>
        <v>7.5166666635777801</v>
      </c>
      <c r="O213" s="7"/>
      <c r="P213" s="7"/>
      <c r="Q213" s="22"/>
      <c r="R213" s="173"/>
      <c r="S213" s="176">
        <f t="shared" si="87"/>
        <v>1</v>
      </c>
      <c r="T213" s="202" t="str">
        <f t="shared" si="92"/>
        <v>Southbound</v>
      </c>
      <c r="U213" s="202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03" t="str">
        <f t="shared" si="93"/>
        <v>https://d0f6bd738d7f1b3e5a7ca70fe4ff75f0.us-east-1.aws.found.io/app/kibana#/discover/Steve-Slow-Train-Analysis-(2080s-and-2083s)?_g=(refreshInterval:(display:Off,pause:!f,section:0,value:0),time:(from:'2017-06-05T03:08:16-0600',mode:absolute,to:'2017-06-05T05:19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3" s="204" t="str">
        <f t="shared" si="94"/>
        <v>Y</v>
      </c>
      <c r="X213" s="204">
        <f t="shared" si="89"/>
        <v>1</v>
      </c>
      <c r="Y213" s="204">
        <f t="shared" si="88"/>
        <v>2.3382999999999998</v>
      </c>
      <c r="Z213" s="204">
        <f t="shared" si="81"/>
        <v>1.4999999999999999E-2</v>
      </c>
      <c r="AA213" s="204">
        <f t="shared" si="95"/>
        <v>2.3232999999999997</v>
      </c>
      <c r="AB213" s="57" t="e">
        <f>VLOOKUP(A213,Enforcements!$C$7:$K$13,8,0)</f>
        <v>#N/A</v>
      </c>
      <c r="AC213" s="53" t="e">
        <f>VLOOKUP(A213,Enforcements!$C$7:$E$13,3,0)</f>
        <v>#N/A</v>
      </c>
      <c r="AD213" s="54" t="str">
        <f t="shared" si="96"/>
        <v>0306-05</v>
      </c>
      <c r="AE213" s="80" t="str">
        <f t="shared" si="97"/>
        <v>aws s3 cp s3://rtdc.mdm.uploadarchive.raw/RTDC4041/ "%USERPROFILE%\AppData\Local\Temp\OnboardLogs"\RTDC4041\2017-06-05 --exclude "*" --recursive --include "*20170605*" &amp; "%USERPROFILE%\Documents\GitHub\mrs-test-scripts\Headless Mode &amp; Sideloading\WalkAndUnGZ.bat" "%USERPROFILE%\AppData\Local\Temp\OnboardLogs"\RTDC4041\2017-06-05 &amp; aws s3 cp s3://rtdc.mdm.uploadarchive.raw/RTDC4041/ "%USERPROFILE%\AppData\Local\Temp\OnboardLogs"\RTDC4041\2017-06-06 --exclude "*" --recursive --include "*20170606*" &amp; "%USERPROFILE%\Documents\GitHub\mrs-test-scripts\Headless Mode &amp; Sideloading\WalkAndUnGZ.bat" "%USERPROFILE%\AppData\Local\Temp\OnboardLogs"\RTDC4041\2017-06-06</v>
      </c>
      <c r="AF213" s="77" t="str">
        <f t="shared" si="98"/>
        <v>"C:\Program Files (x86)\AstroGrep\AstroGrep.exe" /e /r /s /spath="%USERPROFILE%\AppData\Local\Temp\OnboardLogs" /stypes="app*4041*20170605*" /stext=" 10:.+((SYSTEM_STATE.+slice.+state.+changed )|(ment ac)|(multiple cpu faults)|(system.+state.+changed )|(\[timeout)|(PRM\|1\|D)|(kpr)|(kdp)|(train st.+moving)|(\|lc)|(penalty))"</v>
      </c>
      <c r="AG213" s="1" t="str">
        <f t="shared" si="99"/>
        <v>Other</v>
      </c>
      <c r="AH213" s="81" t="str">
        <f t="shared" si="100"/>
        <v>"%USERPROFILE%\Documents\GitHub\eaglep3\Utilities\RefineRTDCRunTimes.py" --tripid 306-05 --locoid 4041 --swversion DE.1.0.9.0 --startMP 300:23383 --initTime 2017-06-05T04:08:16 --startdatetime 2017-06-05T04:12:18 --delay 3 --endMP 204:150 --enddatetime 2017-06-05T04:19:49 --enforcementcount 0 &gt;&gt;C:\Users\stu\Documents\GitHub\eaglep3-reporting\EC\2017-06-05-refined-times.txt</v>
      </c>
      <c r="AI213" s="99" t="str">
        <f t="shared" si="101"/>
        <v>echo {"issue":{"subject":"","project_id":79,"tracker_id":40,"status_id":1,"priority_id":2,"assigned_to_id":23,"start_date":"2017-06-05","description":"","custom_fields":[{"id":1,"name":"Subdivision","value":"Other"},{"id":4,"name":"Milepost","value":"0.015"},{"id":17,"name":"Train ID","value":"306-05"},{"id":16,"name":"Locomotive ID","value":"4041"},{"id":130,"name":"Impact","value":""},{"id":150,"name":"Time of Event (Mountain Time)","value":"04:19:49"},{"id":151,"name":"Denver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5" t="str">
        <f t="shared" si="102"/>
        <v>start /low /b %USERPROFILE%\Documents\GitHub\eaglep3\Utilities\DownloadLogsFromS3.py --loco 4041 --day 2017-06-05</v>
      </c>
      <c r="AN213" s="154" t="str">
        <f t="shared" si="103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10:19:49"},{"id":29,"name":"Sharepoint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2" t="s">
        <v>643</v>
      </c>
      <c r="B214" s="7">
        <v>4007</v>
      </c>
      <c r="C214" s="21" t="s">
        <v>204</v>
      </c>
      <c r="D214" s="21" t="s">
        <v>907</v>
      </c>
      <c r="E214" s="13">
        <v>42891.179976851854</v>
      </c>
      <c r="F214" s="13">
        <v>42891.183078703703</v>
      </c>
      <c r="G214" s="7">
        <v>4</v>
      </c>
      <c r="H214" s="21" t="s">
        <v>401</v>
      </c>
      <c r="I214" s="13">
        <v>42891.190810185188</v>
      </c>
      <c r="J214" s="7">
        <v>0</v>
      </c>
      <c r="K214" s="92" t="str">
        <f t="shared" si="90"/>
        <v>4007/4008</v>
      </c>
      <c r="L214" s="21" t="str">
        <f>VLOOKUP(A214,'Trips&amp;Operators'!$C$1:$G$99999,5,FALSE)</f>
        <v>WILLIAMS DONTE</v>
      </c>
      <c r="M214" s="6">
        <f t="shared" si="91"/>
        <v>7.7314814843703061E-3</v>
      </c>
      <c r="N214" s="7">
        <f t="shared" si="86"/>
        <v>11.133333337493241</v>
      </c>
      <c r="O214" s="7"/>
      <c r="P214" s="7"/>
      <c r="Q214" s="22"/>
      <c r="R214" s="173"/>
      <c r="S214" s="176">
        <f t="shared" si="87"/>
        <v>1</v>
      </c>
      <c r="T214" s="202" t="str">
        <f t="shared" si="92"/>
        <v>Southbound</v>
      </c>
      <c r="U214" s="202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03" t="str">
        <f t="shared" si="93"/>
        <v>https://d0f6bd738d7f1b3e5a7ca70fe4ff75f0.us-east-1.aws.found.io/app/kibana#/discover/Steve-Slow-Train-Analysis-(2080s-and-2083s)?_g=(refreshInterval:(display:Off,pause:!f,section:0,value:0),time:(from:'2017-06-05T03:19:10-0600',mode:absolute,to:'2017-06-05T05:34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4" s="204" t="str">
        <f t="shared" si="94"/>
        <v>Y</v>
      </c>
      <c r="X214" s="204">
        <f t="shared" si="89"/>
        <v>2</v>
      </c>
      <c r="Y214" s="204">
        <f t="shared" si="88"/>
        <v>2.3508</v>
      </c>
      <c r="Z214" s="204">
        <f t="shared" si="81"/>
        <v>1.54E-2</v>
      </c>
      <c r="AA214" s="204">
        <f t="shared" si="95"/>
        <v>2.3353999999999999</v>
      </c>
      <c r="AB214" s="57" t="e">
        <f>VLOOKUP(A214,Enforcements!$C$7:$K$13,8,0)</f>
        <v>#N/A</v>
      </c>
      <c r="AC214" s="53" t="e">
        <f>VLOOKUP(A214,Enforcements!$C$7:$E$13,3,0)</f>
        <v>#N/A</v>
      </c>
      <c r="AD214" s="54" t="str">
        <f t="shared" si="96"/>
        <v>0308-05</v>
      </c>
      <c r="AE214" s="80" t="str">
        <f t="shared" si="97"/>
        <v>aws s3 cp s3://rtdc.mdm.uploadarchive.raw/RTDC4007/ "%USERPROFILE%\AppData\Local\Temp\OnboardLogs"\RTDC4007\2017-06-05 --exclude "*" --recursive --include "*20170605*" &amp; "%USERPROFILE%\Documents\GitHub\mrs-test-scripts\Headless Mode &amp; Sideloading\WalkAndUnGZ.bat" "%USERPROFILE%\AppData\Local\Temp\OnboardLogs"\RTDC4007\2017-06-05 &amp; aws s3 cp s3://rtdc.mdm.uploadarchive.raw/RTDC4007/ "%USERPROFILE%\AppData\Local\Temp\OnboardLogs"\RTDC4007\2017-06-06 --exclude "*" --recursive --include "*20170606*" &amp; "%USERPROFILE%\Documents\GitHub\mrs-test-scripts\Headless Mode &amp; Sideloading\WalkAndUnGZ.bat" "%USERPROFILE%\AppData\Local\Temp\OnboardLogs"\RTDC4007\2017-06-06</v>
      </c>
      <c r="AF214" s="77" t="str">
        <f t="shared" si="98"/>
        <v>"C:\Program Files (x86)\AstroGrep\AstroGrep.exe" /e /r /s /spath="%USERPROFILE%\AppData\Local\Temp\OnboardLogs" /stypes="app*4007*20170605*" /stext=" 10:.+((SYSTEM_STATE.+slice.+state.+changed )|(ment ac)|(multiple cpu faults)|(system.+state.+changed )|(\[timeout)|(PRM\|1\|D)|(kpr)|(kdp)|(train st.+moving)|(\|lc)|(penalty))"</v>
      </c>
      <c r="AG214" s="1" t="str">
        <f t="shared" si="99"/>
        <v>Other</v>
      </c>
      <c r="AH214" s="81" t="str">
        <f t="shared" si="100"/>
        <v>"%USERPROFILE%\Documents\GitHub\eaglep3\Utilities\RefineRTDCRunTimes.py" --tripid 308-05 --locoid 4007 --swversion DE.1.0.9.0 --startMP 300:23508 --initTime 2017-06-05T04:19:10 --startdatetime 2017-06-05T04:23:38 --delay 4 --endMP 204:154 --enddatetime 2017-06-05T04:34:46 --enforcementcount 0 &gt;&gt;C:\Users\stu\Documents\GitHub\eaglep3-reporting\EC\2017-06-05-refined-times.txt</v>
      </c>
      <c r="AI214" s="99" t="str">
        <f t="shared" si="101"/>
        <v>echo {"issue":{"subject":"","project_id":79,"tracker_id":40,"status_id":1,"priority_id":2,"assigned_to_id":23,"start_date":"2017-06-05","description":"","custom_fields":[{"id":1,"name":"Subdivision","value":"Other"},{"id":4,"name":"Milepost","value":"0.0154"},{"id":17,"name":"Train ID","value":"308-05"},{"id":16,"name":"Locomotive ID","value":"4007"},{"id":130,"name":"Impact","value":""},{"id":150,"name":"Time of Event (Mountain Time)","value":"04:34:46"},{"id":151,"name":"Denver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5" t="str">
        <f t="shared" si="102"/>
        <v>start /low /b %USERPROFILE%\Documents\GitHub\eaglep3\Utilities\DownloadLogsFromS3.py --loco 4007 --day 2017-06-05</v>
      </c>
      <c r="AN214" s="154" t="str">
        <f t="shared" si="103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10:34:46"},{"id":29,"name":"Sharepoint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2" t="s">
        <v>823</v>
      </c>
      <c r="B215" s="7">
        <v>4062</v>
      </c>
      <c r="C215" s="21" t="s">
        <v>204</v>
      </c>
      <c r="D215" s="21" t="s">
        <v>360</v>
      </c>
      <c r="E215" s="13">
        <v>42892.048159722224</v>
      </c>
      <c r="F215" s="13">
        <v>42892.04965277778</v>
      </c>
      <c r="G215" s="7">
        <v>1</v>
      </c>
      <c r="H215" s="21" t="s">
        <v>908</v>
      </c>
      <c r="I215" s="13">
        <v>42892.058738425927</v>
      </c>
      <c r="J215" s="7">
        <v>0</v>
      </c>
      <c r="K215" s="92" t="str">
        <f t="shared" si="90"/>
        <v>4061/4062</v>
      </c>
      <c r="L215" s="21" t="str">
        <f>VLOOKUP(A215,'Trips&amp;Operators'!$C$1:$G$99999,5,FALSE)</f>
        <v>SMITH MICHAEL</v>
      </c>
      <c r="M215" s="6">
        <f t="shared" si="91"/>
        <v>9.0856481474475004E-3</v>
      </c>
      <c r="N215" s="7">
        <f t="shared" si="86"/>
        <v>13.083333332324401</v>
      </c>
      <c r="O215" s="7"/>
      <c r="P215" s="7"/>
      <c r="Q215" s="22"/>
      <c r="R215" s="173"/>
      <c r="S215" s="176">
        <f t="shared" si="87"/>
        <v>1</v>
      </c>
      <c r="T215" s="202" t="str">
        <f t="shared" si="92"/>
        <v>NorthBound</v>
      </c>
      <c r="U215" s="202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03" t="str">
        <f t="shared" si="93"/>
        <v>https://d0f6bd738d7f1b3e5a7ca70fe4ff75f0.us-east-1.aws.found.io/app/kibana#/discover/Steve-Slow-Train-Analysis-(2080s-and-2083s)?_g=(refreshInterval:(display:Off,pause:!f,section:0,value:0),time:(from:'2017-06-06T00:09:21-0600',mode:absolute,to:'2017-06-06T02:24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15" s="204" t="str">
        <f t="shared" si="94"/>
        <v>Y</v>
      </c>
      <c r="X215" s="204">
        <f t="shared" si="89"/>
        <v>1</v>
      </c>
      <c r="Y215" s="204">
        <f t="shared" si="88"/>
        <v>4.4699999999999997E-2</v>
      </c>
      <c r="Z215" s="204">
        <f t="shared" si="81"/>
        <v>2.3302</v>
      </c>
      <c r="AA215" s="204">
        <f t="shared" si="95"/>
        <v>2.2854999999999999</v>
      </c>
      <c r="AB215" s="57" t="e">
        <f>VLOOKUP(A215,Enforcements!$C$7:$K$13,8,0)</f>
        <v>#N/A</v>
      </c>
      <c r="AC215" s="53" t="e">
        <f>VLOOKUP(A215,Enforcements!$C$7:$E$13,3,0)</f>
        <v>#N/A</v>
      </c>
      <c r="AD215" s="54" t="str">
        <f t="shared" si="96"/>
        <v>0309-05</v>
      </c>
      <c r="AE215" s="80" t="str">
        <f t="shared" si="97"/>
        <v>aws s3 cp s3://rtdc.mdm.uploadarchive.raw/RTDC4062/ "%USERPROFILE%\AppData\Local\Temp\OnboardLogs"\RTDC4062\2017-06-06 --exclude "*" --recursive --include "*20170606*" &amp; "%USERPROFILE%\Documents\GitHub\mrs-test-scripts\Headless Mode &amp; Sideloading\WalkAndUnGZ.bat" "%USERPROFILE%\AppData\Local\Temp\OnboardLogs"\RTDC4062\2017-06-06 &amp; aws s3 cp s3://rtdc.mdm.uploadarchive.raw/RTDC4062/ "%USERPROFILE%\AppData\Local\Temp\OnboardLogs"\RTDC4062\2017-06-07 --exclude "*" --recursive --include "*20170607*" &amp; "%USERPROFILE%\Documents\GitHub\mrs-test-scripts\Headless Mode &amp; Sideloading\WalkAndUnGZ.bat" "%USERPROFILE%\AppData\Local\Temp\OnboardLogs"\RTDC4062\2017-06-07</v>
      </c>
      <c r="AF215" s="77" t="str">
        <f t="shared" si="98"/>
        <v>"C:\Program Files (x86)\AstroGrep\AstroGrep.exe" /e /r /s /spath="%USERPROFILE%\AppData\Local\Temp\OnboardLogs" /stypes="app*4062*20170606*" /stext=" 07:.+((SYSTEM_STATE.+slice.+state.+changed )|(ment ac)|(multiple cpu faults)|(system.+state.+changed )|(\[timeout)|(PRM\|1\|D)|(kpr)|(kdp)|(train st.+moving)|(\|lc)|(penalty))"</v>
      </c>
      <c r="AG215" s="1" t="str">
        <f t="shared" si="99"/>
        <v>Other</v>
      </c>
      <c r="AH215" s="81" t="str">
        <f t="shared" si="100"/>
        <v>"%USERPROFILE%\Documents\GitHub\eaglep3\Utilities\RefineRTDCRunTimes.py" --tripid 309-05 --locoid 4062 --swversion DE.1.0.9.0 --startMP 204:447 --initTime 2017-06-06T01:09:21 --startdatetime 2017-06-06T01:11:30 --delay 1 --endMP 300:23302 --enddatetime 2017-06-06T01:24:35 --enforcementcount 0 &gt;&gt;C:\Users\stu\Documents\GitHub\eaglep3-reporting\EC\2017-06-05-refined-times.txt</v>
      </c>
      <c r="AI215" s="99" t="str">
        <f t="shared" si="101"/>
        <v>echo {"issue":{"subject":"","project_id":79,"tracker_id":40,"status_id":1,"priority_id":2,"assigned_to_id":23,"start_date":"2017-06-06","description":"","custom_fields":[{"id":1,"name":"Subdivision","value":"Other"},{"id":4,"name":"Milepost","value":"2.3302"},{"id":17,"name":"Train ID","value":"309-05"},{"id":16,"name":"Locomotive ID","value":"4062"},{"id":130,"name":"Impact","value":""},{"id":150,"name":"Time of Event (Mountain Time)","value":"01:24:35"},{"id":151,"name":"Denver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5" t="str">
        <f t="shared" si="102"/>
        <v>start /low /b %USERPROFILE%\Documents\GitHub\eaglep3\Utilities\DownloadLogsFromS3.py --loco 4062 --day 2017-06-06</v>
      </c>
      <c r="AN215" s="154" t="str">
        <f t="shared" si="103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07:24:35"},{"id":29,"name":"Sharepoint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2" t="s">
        <v>648</v>
      </c>
      <c r="B216" s="7">
        <v>4031</v>
      </c>
      <c r="C216" s="21" t="s">
        <v>204</v>
      </c>
      <c r="D216" s="21" t="s">
        <v>909</v>
      </c>
      <c r="E216" s="13">
        <v>42891.199421296296</v>
      </c>
      <c r="F216" s="13">
        <v>42891.201655092591</v>
      </c>
      <c r="G216" s="7">
        <v>3</v>
      </c>
      <c r="H216" s="21" t="s">
        <v>487</v>
      </c>
      <c r="I216" s="13">
        <v>42891.206932870373</v>
      </c>
      <c r="J216" s="7">
        <v>0</v>
      </c>
      <c r="K216" s="92" t="str">
        <f t="shared" si="90"/>
        <v>4031/4032</v>
      </c>
      <c r="L216" s="21" t="str">
        <f>VLOOKUP(A216,'Trips&amp;Operators'!$C$1:$G$99999,5,FALSE)</f>
        <v>HELVIE ADAM</v>
      </c>
      <c r="M216" s="6">
        <f t="shared" si="91"/>
        <v>5.2777777818846516E-3</v>
      </c>
      <c r="N216" s="7">
        <f t="shared" si="86"/>
        <v>7.6000000059138983</v>
      </c>
      <c r="O216" s="7"/>
      <c r="P216" s="7"/>
      <c r="Q216" s="22"/>
      <c r="R216" s="173"/>
      <c r="S216" s="176">
        <f t="shared" si="87"/>
        <v>1</v>
      </c>
      <c r="T216" s="202" t="str">
        <f t="shared" si="92"/>
        <v>Southbound</v>
      </c>
      <c r="U216" s="202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03" t="str">
        <f t="shared" si="93"/>
        <v>https://d0f6bd738d7f1b3e5a7ca70fe4ff75f0.us-east-1.aws.found.io/app/kibana#/discover/Steve-Slow-Train-Analysis-(2080s-and-2083s)?_g=(refreshInterval:(display:Off,pause:!f,section:0,value:0),time:(from:'2017-06-05T03:47:10-0600',mode:absolute,to:'2017-06-05T05:57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6" s="204" t="str">
        <f t="shared" si="94"/>
        <v>Y</v>
      </c>
      <c r="X216" s="204">
        <f t="shared" si="89"/>
        <v>1</v>
      </c>
      <c r="Y216" s="204">
        <f t="shared" si="88"/>
        <v>2.3586</v>
      </c>
      <c r="Z216" s="204">
        <f t="shared" si="81"/>
        <v>1.6500000000000001E-2</v>
      </c>
      <c r="AA216" s="204">
        <f t="shared" si="95"/>
        <v>2.3420999999999998</v>
      </c>
      <c r="AB216" s="57" t="e">
        <f>VLOOKUP(A216,Enforcements!$C$7:$K$13,8,0)</f>
        <v>#N/A</v>
      </c>
      <c r="AC216" s="53" t="e">
        <f>VLOOKUP(A216,Enforcements!$C$7:$E$13,3,0)</f>
        <v>#N/A</v>
      </c>
      <c r="AD216" s="54" t="str">
        <f t="shared" si="96"/>
        <v>0310-05</v>
      </c>
      <c r="AE216" s="80" t="str">
        <f t="shared" si="97"/>
        <v>aws s3 cp s3://rtdc.mdm.uploadarchive.raw/RTDC4031/ "%USERPROFILE%\AppData\Local\Temp\OnboardLogs"\RTDC4031\2017-06-05 --exclude "*" --recursive --include "*20170605*" &amp; "%USERPROFILE%\Documents\GitHub\mrs-test-scripts\Headless Mode &amp; Sideloading\WalkAndUnGZ.bat" "%USERPROFILE%\AppData\Local\Temp\OnboardLogs"\RTDC4031\2017-06-05 &amp; aws s3 cp s3://rtdc.mdm.uploadarchive.raw/RTDC4031/ "%USERPROFILE%\AppData\Local\Temp\OnboardLogs"\RTDC4031\2017-06-06 --exclude "*" --recursive --include "*20170606*" &amp; "%USERPROFILE%\Documents\GitHub\mrs-test-scripts\Headless Mode &amp; Sideloading\WalkAndUnGZ.bat" "%USERPROFILE%\AppData\Local\Temp\OnboardLogs"\RTDC4031\2017-06-06</v>
      </c>
      <c r="AF216" s="77" t="str">
        <f t="shared" si="98"/>
        <v>"C:\Program Files (x86)\AstroGrep\AstroGrep.exe" /e /r /s /spath="%USERPROFILE%\AppData\Local\Temp\OnboardLogs" /stypes="app*4031*20170605*" /stext=" 10:.+((SYSTEM_STATE.+slice.+state.+changed )|(ment ac)|(multiple cpu faults)|(system.+state.+changed )|(\[timeout)|(PRM\|1\|D)|(kpr)|(kdp)|(train st.+moving)|(\|lc)|(penalty))"</v>
      </c>
      <c r="AG216" s="1" t="str">
        <f t="shared" si="99"/>
        <v>Other</v>
      </c>
      <c r="AH216" s="81" t="str">
        <f t="shared" si="100"/>
        <v>"%USERPROFILE%\Documents\GitHub\eaglep3\Utilities\RefineRTDCRunTimes.py" --tripid 310-05 --locoid 4031 --swversion DE.1.0.9.0 --startMP 300:23586 --initTime 2017-06-05T04:47:10 --startdatetime 2017-06-05T04:50:23 --delay 3 --endMP 204:165 --enddatetime 2017-06-05T04:57:59 --enforcementcount 0 &gt;&gt;C:\Users\stu\Documents\GitHub\eaglep3-reporting\EC\2017-06-05-refined-times.txt</v>
      </c>
      <c r="AI216" s="99" t="str">
        <f t="shared" si="101"/>
        <v>echo {"issue":{"subject":"","project_id":79,"tracker_id":40,"status_id":1,"priority_id":2,"assigned_to_id":23,"start_date":"2017-06-05","description":"","custom_fields":[{"id":1,"name":"Subdivision","value":"Other"},{"id":4,"name":"Milepost","value":"0.0165"},{"id":17,"name":"Train ID","value":"310-05"},{"id":16,"name":"Locomotive ID","value":"4031"},{"id":130,"name":"Impact","value":""},{"id":150,"name":"Time of Event (Mountain Time)","value":"04:57:59"},{"id":151,"name":"Denver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5" t="str">
        <f t="shared" si="102"/>
        <v>start /low /b %USERPROFILE%\Documents\GitHub\eaglep3\Utilities\DownloadLogsFromS3.py --loco 4031 --day 2017-06-05</v>
      </c>
      <c r="AN216" s="154" t="str">
        <f t="shared" si="103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10:57:59"},{"id":29,"name":"Sharepoint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2" t="s">
        <v>825</v>
      </c>
      <c r="B217" s="7">
        <v>4016</v>
      </c>
      <c r="C217" s="21" t="s">
        <v>204</v>
      </c>
      <c r="D217" s="21" t="s">
        <v>345</v>
      </c>
      <c r="E217" s="13">
        <v>42892.070659722223</v>
      </c>
      <c r="F217" s="13">
        <v>42892.071851851855</v>
      </c>
      <c r="G217" s="7">
        <v>1</v>
      </c>
      <c r="H217" s="21" t="s">
        <v>357</v>
      </c>
      <c r="I217" s="13">
        <v>42892.079918981479</v>
      </c>
      <c r="J217" s="7">
        <v>0</v>
      </c>
      <c r="K217" s="92" t="str">
        <f t="shared" si="90"/>
        <v>4015/4016</v>
      </c>
      <c r="L217" s="21" t="str">
        <f>VLOOKUP(A217,'Trips&amp;Operators'!$C$1:$G$99999,5,FALSE)</f>
        <v>HAITHCOX MICHAEL</v>
      </c>
      <c r="M217" s="6">
        <f t="shared" si="91"/>
        <v>8.067129623668734E-3</v>
      </c>
      <c r="N217" s="7">
        <f t="shared" si="86"/>
        <v>11.616666658082977</v>
      </c>
      <c r="O217" s="7"/>
      <c r="P217" s="7"/>
      <c r="Q217" s="22"/>
      <c r="R217" s="173"/>
      <c r="S217" s="176">
        <f t="shared" si="87"/>
        <v>1</v>
      </c>
      <c r="T217" s="202" t="str">
        <f t="shared" si="92"/>
        <v>NorthBound</v>
      </c>
      <c r="U217" s="202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03" t="str">
        <f t="shared" si="93"/>
        <v>https://d0f6bd738d7f1b3e5a7ca70fe4ff75f0.us-east-1.aws.found.io/app/kibana#/discover/Steve-Slow-Train-Analysis-(2080s-and-2083s)?_g=(refreshInterval:(display:Off,pause:!f,section:0,value:0),time:(from:'2017-06-06T00:41:45-0600',mode:absolute,to:'2017-06-06T02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7" s="204" t="str">
        <f t="shared" si="94"/>
        <v>Y</v>
      </c>
      <c r="X217" s="204">
        <f t="shared" si="89"/>
        <v>1</v>
      </c>
      <c r="Y217" s="204">
        <f t="shared" si="88"/>
        <v>4.4900000000000002E-2</v>
      </c>
      <c r="Z217" s="204">
        <f t="shared" si="81"/>
        <v>2.3346</v>
      </c>
      <c r="AA217" s="204">
        <f t="shared" si="95"/>
        <v>2.2896999999999998</v>
      </c>
      <c r="AB217" s="57" t="e">
        <f>VLOOKUP(A217,Enforcements!$C$7:$K$13,8,0)</f>
        <v>#N/A</v>
      </c>
      <c r="AC217" s="53" t="e">
        <f>VLOOKUP(A217,Enforcements!$C$7:$E$13,3,0)</f>
        <v>#N/A</v>
      </c>
      <c r="AD217" s="54" t="str">
        <f t="shared" si="96"/>
        <v>0311-05</v>
      </c>
      <c r="AE217" s="80" t="str">
        <f t="shared" si="97"/>
        <v>aws s3 cp s3://rtdc.mdm.uploadarchive.raw/RTDC4016/ "%USERPROFILE%\AppData\Local\Temp\OnboardLogs"\RTDC4016\2017-06-06 --exclude "*" --recursive --include "*20170606*" &amp; "%USERPROFILE%\Documents\GitHub\mrs-test-scripts\Headless Mode &amp; Sideloading\WalkAndUnGZ.bat" "%USERPROFILE%\AppData\Local\Temp\OnboardLogs"\RTDC4016\2017-06-06 &amp; aws s3 cp s3://rtdc.mdm.uploadarchive.raw/RTDC4016/ "%USERPROFILE%\AppData\Local\Temp\OnboardLogs"\RTDC4016\2017-06-07 --exclude "*" --recursive --include "*20170607*" &amp; "%USERPROFILE%\Documents\GitHub\mrs-test-scripts\Headless Mode &amp; Sideloading\WalkAndUnGZ.bat" "%USERPROFILE%\AppData\Local\Temp\OnboardLogs"\RTDC4016\2017-06-07</v>
      </c>
      <c r="AF217" s="77" t="str">
        <f t="shared" si="98"/>
        <v>"C:\Program Files (x86)\AstroGrep\AstroGrep.exe" /e /r /s /spath="%USERPROFILE%\AppData\Local\Temp\OnboardLogs" /stypes="app*4016*20170606*" /stext=" 07:.+((SYSTEM_STATE.+slice.+state.+changed )|(ment ac)|(multiple cpu faults)|(system.+state.+changed )|(\[timeout)|(PRM\|1\|D)|(kpr)|(kdp)|(train st.+moving)|(\|lc)|(penalty))"</v>
      </c>
      <c r="AG217" s="1" t="str">
        <f t="shared" si="99"/>
        <v>Other</v>
      </c>
      <c r="AH217" s="81" t="str">
        <f t="shared" si="100"/>
        <v>"%USERPROFILE%\Documents\GitHub\eaglep3\Utilities\RefineRTDCRunTimes.py" --tripid 311-05 --locoid 4016 --swversion DE.1.0.9.0 --startMP 204:449 --initTime 2017-06-06T01:41:45 --startdatetime 2017-06-06T01:43:28 --delay 1 --endMP 300:23346 --enddatetime 2017-06-06T01:55:05 --enforcementcount 0 &gt;&gt;C:\Users\stu\Documents\GitHub\eaglep3-reporting\EC\2017-06-05-refined-times.txt</v>
      </c>
      <c r="AI217" s="99" t="str">
        <f t="shared" si="101"/>
        <v>echo {"issue":{"subject":"","project_id":79,"tracker_id":40,"status_id":1,"priority_id":2,"assigned_to_id":23,"start_date":"2017-06-06","description":"","custom_fields":[{"id":1,"name":"Subdivision","value":"Other"},{"id":4,"name":"Milepost","value":"2.3346"},{"id":17,"name":"Train ID","value":"311-05"},{"id":16,"name":"Locomotive ID","value":"4016"},{"id":130,"name":"Impact","value":""},{"id":150,"name":"Time of Event (Mountain Time)","value":"01:55:05"},{"id":151,"name":"Denver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5" t="str">
        <f t="shared" si="102"/>
        <v>start /low /b %USERPROFILE%\Documents\GitHub\eaglep3\Utilities\DownloadLogsFromS3.py --loco 4016 --day 2017-06-06</v>
      </c>
      <c r="AN217" s="154" t="str">
        <f t="shared" si="103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07:55:05"},{"id":29,"name":"Sharepoint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2" t="s">
        <v>656</v>
      </c>
      <c r="B218" s="7">
        <v>4061</v>
      </c>
      <c r="C218" s="21" t="s">
        <v>204</v>
      </c>
      <c r="D218" s="21" t="s">
        <v>901</v>
      </c>
      <c r="E218" s="13">
        <v>42891.224317129629</v>
      </c>
      <c r="F218" s="13">
        <v>42891.226909722223</v>
      </c>
      <c r="G218" s="7">
        <v>3</v>
      </c>
      <c r="H218" s="21" t="s">
        <v>910</v>
      </c>
      <c r="I218" s="13">
        <v>42891.232407407406</v>
      </c>
      <c r="J218" s="7">
        <v>0</v>
      </c>
      <c r="K218" s="92" t="str">
        <f t="shared" si="90"/>
        <v>4061/4062</v>
      </c>
      <c r="L218" s="21" t="str">
        <f>VLOOKUP(A218,'Trips&amp;Operators'!$C$1:$G$99999,5,FALSE)</f>
        <v>MACDONALD THOMAS</v>
      </c>
      <c r="M218" s="6">
        <f t="shared" si="91"/>
        <v>5.4976851824903861E-3</v>
      </c>
      <c r="N218" s="7">
        <f t="shared" si="86"/>
        <v>7.9166666627861559</v>
      </c>
      <c r="O218" s="7"/>
      <c r="P218" s="7"/>
      <c r="Q218" s="22"/>
      <c r="R218" s="173"/>
      <c r="S218" s="176">
        <f t="shared" si="87"/>
        <v>1</v>
      </c>
      <c r="T218" s="202" t="str">
        <f t="shared" si="92"/>
        <v>Southbound</v>
      </c>
      <c r="U218" s="202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03" t="str">
        <f t="shared" si="93"/>
        <v>https://d0f6bd738d7f1b3e5a7ca70fe4ff75f0.us-east-1.aws.found.io/app/kibana#/discover/Steve-Slow-Train-Analysis-(2080s-and-2083s)?_g=(refreshInterval:(display:Off,pause:!f,section:0,value:0),time:(from:'2017-06-05T04:23:01-0600',mode:absolute,to:'2017-06-05T06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18" s="204" t="str">
        <f t="shared" si="94"/>
        <v>Y</v>
      </c>
      <c r="X218" s="204">
        <f t="shared" si="89"/>
        <v>1</v>
      </c>
      <c r="Y218" s="204">
        <f t="shared" si="88"/>
        <v>2.3624000000000001</v>
      </c>
      <c r="Z218" s="204">
        <f t="shared" si="81"/>
        <v>1.83E-2</v>
      </c>
      <c r="AA218" s="204">
        <f t="shared" si="95"/>
        <v>2.3441000000000001</v>
      </c>
      <c r="AB218" s="57" t="e">
        <f>VLOOKUP(A218,Enforcements!$C$7:$K$13,8,0)</f>
        <v>#N/A</v>
      </c>
      <c r="AC218" s="53" t="e">
        <f>VLOOKUP(A218,Enforcements!$C$7:$E$13,3,0)</f>
        <v>#N/A</v>
      </c>
      <c r="AD218" s="54" t="str">
        <f t="shared" si="96"/>
        <v>0312-05</v>
      </c>
      <c r="AE218" s="80" t="str">
        <f t="shared" si="97"/>
        <v>aws s3 cp s3://rtdc.mdm.uploadarchive.raw/RTDC4061/ "%USERPROFILE%\AppData\Local\Temp\OnboardLogs"\RTDC4061\2017-06-05 --exclude "*" --recursive --include "*20170605*" &amp; "%USERPROFILE%\Documents\GitHub\mrs-test-scripts\Headless Mode &amp; Sideloading\WalkAndUnGZ.bat" "%USERPROFILE%\AppData\Local\Temp\OnboardLogs"\RTDC4061\2017-06-05 &amp; aws s3 cp s3://rtdc.mdm.uploadarchive.raw/RTDC4061/ "%USERPROFILE%\AppData\Local\Temp\OnboardLogs"\RTDC4061\2017-06-06 --exclude "*" --recursive --include "*20170606*" &amp; "%USERPROFILE%\Documents\GitHub\mrs-test-scripts\Headless Mode &amp; Sideloading\WalkAndUnGZ.bat" "%USERPROFILE%\AppData\Local\Temp\OnboardLogs"\RTDC4061\2017-06-06</v>
      </c>
      <c r="AF218" s="77" t="str">
        <f t="shared" si="98"/>
        <v>"C:\Program Files (x86)\AstroGrep\AstroGrep.exe" /e /r /s /spath="%USERPROFILE%\AppData\Local\Temp\OnboardLogs" /stypes="app*4061*20170605*" /stext=" 11:.+((SYSTEM_STATE.+slice.+state.+changed )|(ment ac)|(multiple cpu faults)|(system.+state.+changed )|(\[timeout)|(PRM\|1\|D)|(kpr)|(kdp)|(train st.+moving)|(\|lc)|(penalty))"</v>
      </c>
      <c r="AG218" s="1" t="str">
        <f t="shared" si="99"/>
        <v>Other</v>
      </c>
      <c r="AH218" s="81" t="str">
        <f t="shared" si="100"/>
        <v>"%USERPROFILE%\Documents\GitHub\eaglep3\Utilities\RefineRTDCRunTimes.py" --tripid 312-05 --locoid 4061 --swversion DE.1.0.9.0 --startMP 300:23624 --initTime 2017-06-05T05:23:01 --startdatetime 2017-06-05T05:26:45 --delay 3 --endMP 204:183 --enddatetime 2017-06-05T05:34:40 --enforcementcount 0 &gt;&gt;C:\Users\stu\Documents\GitHub\eaglep3-reporting\EC\2017-06-05-refined-times.txt</v>
      </c>
      <c r="AI218" s="99" t="str">
        <f t="shared" si="101"/>
        <v>echo {"issue":{"subject":"","project_id":79,"tracker_id":40,"status_id":1,"priority_id":2,"assigned_to_id":23,"start_date":"2017-06-05","description":"","custom_fields":[{"id":1,"name":"Subdivision","value":"Other"},{"id":4,"name":"Milepost","value":"0.0183"},{"id":17,"name":"Train ID","value":"312-05"},{"id":16,"name":"Locomotive ID","value":"4061"},{"id":130,"name":"Impact","value":""},{"id":150,"name":"Time of Event (Mountain Time)","value":"05:34:40"},{"id":151,"name":"Denver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5" t="str">
        <f t="shared" si="102"/>
        <v>start /low /b %USERPROFILE%\Documents\GitHub\eaglep3\Utilities\DownloadLogsFromS3.py --loco 4061 --day 2017-06-05</v>
      </c>
      <c r="AN218" s="154" t="str">
        <f t="shared" si="103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11:34:40"},{"id":29,"name":"Sharepoint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2" t="s">
        <v>826</v>
      </c>
      <c r="B219" s="7">
        <v>4042</v>
      </c>
      <c r="C219" s="21" t="s">
        <v>204</v>
      </c>
      <c r="D219" s="21" t="s">
        <v>358</v>
      </c>
      <c r="E219" s="13">
        <v>42892.09207175926</v>
      </c>
      <c r="F219" s="13">
        <v>42892.093460648146</v>
      </c>
      <c r="G219" s="7">
        <v>1</v>
      </c>
      <c r="H219" s="21" t="s">
        <v>911</v>
      </c>
      <c r="I219" s="13">
        <v>42892.100983796299</v>
      </c>
      <c r="J219" s="7">
        <v>0</v>
      </c>
      <c r="K219" s="92" t="str">
        <f t="shared" si="90"/>
        <v>4041/4042</v>
      </c>
      <c r="L219" s="21" t="str">
        <f>VLOOKUP(A219,'Trips&amp;Operators'!$C$1:$G$99999,5,FALSE)</f>
        <v>GUZMAN DANNY</v>
      </c>
      <c r="M219" s="6">
        <f t="shared" si="91"/>
        <v>7.5231481532682665E-3</v>
      </c>
      <c r="N219" s="7">
        <f t="shared" si="86"/>
        <v>10.833333340706304</v>
      </c>
      <c r="O219" s="7"/>
      <c r="P219" s="7"/>
      <c r="Q219" s="22"/>
      <c r="R219" s="173"/>
      <c r="S219" s="176">
        <f t="shared" si="87"/>
        <v>1</v>
      </c>
      <c r="T219" s="202" t="str">
        <f t="shared" si="92"/>
        <v>NorthBound</v>
      </c>
      <c r="U219" s="202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03" t="str">
        <f t="shared" si="93"/>
        <v>https://d0f6bd738d7f1b3e5a7ca70fe4ff75f0.us-east-1.aws.found.io/app/kibana#/discover/Steve-Slow-Train-Analysis-(2080s-and-2083s)?_g=(refreshInterval:(display:Off,pause:!f,section:0,value:0),time:(from:'2017-06-06T01:12:35-0600',mode:absolute,to:'2017-06-06T03:25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9" s="204" t="str">
        <f t="shared" si="94"/>
        <v>Y</v>
      </c>
      <c r="X219" s="204">
        <f t="shared" si="89"/>
        <v>1</v>
      </c>
      <c r="Y219" s="204">
        <f t="shared" si="88"/>
        <v>4.6399999999999997E-2</v>
      </c>
      <c r="Z219" s="204">
        <f t="shared" si="81"/>
        <v>2.3300999999999998</v>
      </c>
      <c r="AA219" s="204">
        <f t="shared" si="95"/>
        <v>2.2836999999999996</v>
      </c>
      <c r="AB219" s="57" t="e">
        <f>VLOOKUP(A219,Enforcements!$C$7:$K$13,8,0)</f>
        <v>#N/A</v>
      </c>
      <c r="AC219" s="53" t="e">
        <f>VLOOKUP(A219,Enforcements!$C$7:$E$13,3,0)</f>
        <v>#N/A</v>
      </c>
      <c r="AD219" s="54" t="str">
        <f t="shared" si="96"/>
        <v>0313-05</v>
      </c>
      <c r="AE219" s="80" t="str">
        <f t="shared" si="97"/>
        <v>aws s3 cp s3://rtdc.mdm.uploadarchive.raw/RTDC4042/ "%USERPROFILE%\AppData\Local\Temp\OnboardLogs"\RTDC4042\2017-06-06 --exclude "*" --recursive --include "*20170606*" &amp; "%USERPROFILE%\Documents\GitHub\mrs-test-scripts\Headless Mode &amp; Sideloading\WalkAndUnGZ.bat" "%USERPROFILE%\AppData\Local\Temp\OnboardLogs"\RTDC4042\2017-06-06 &amp; aws s3 cp s3://rtdc.mdm.uploadarchive.raw/RTDC4042/ "%USERPROFILE%\AppData\Local\Temp\OnboardLogs"\RTDC4042\2017-06-07 --exclude "*" --recursive --include "*20170607*" &amp; "%USERPROFILE%\Documents\GitHub\mrs-test-scripts\Headless Mode &amp; Sideloading\WalkAndUnGZ.bat" "%USERPROFILE%\AppData\Local\Temp\OnboardLogs"\RTDC4042\2017-06-07</v>
      </c>
      <c r="AF219" s="77" t="str">
        <f t="shared" si="98"/>
        <v>"C:\Program Files (x86)\AstroGrep\AstroGrep.exe" /e /r /s /spath="%USERPROFILE%\AppData\Local\Temp\OnboardLogs" /stypes="app*4042*20170606*" /stext=" 08:.+((SYSTEM_STATE.+slice.+state.+changed )|(ment ac)|(multiple cpu faults)|(system.+state.+changed )|(\[timeout)|(PRM\|1\|D)|(kpr)|(kdp)|(train st.+moving)|(\|lc)|(penalty))"</v>
      </c>
      <c r="AG219" s="1" t="str">
        <f t="shared" si="99"/>
        <v>Other</v>
      </c>
      <c r="AH219" s="81" t="str">
        <f t="shared" si="100"/>
        <v>"%USERPROFILE%\Documents\GitHub\eaglep3\Utilities\RefineRTDCRunTimes.py" --tripid 313-05 --locoid 4042 --swversion DE.1.0.9.0 --startMP 204:464 --initTime 2017-06-06T02:12:35 --startdatetime 2017-06-06T02:14:35 --delay 1 --endMP 300:23301 --enddatetime 2017-06-06T02:25:25 --enforcementcount 0 &gt;&gt;C:\Users\stu\Documents\GitHub\eaglep3-reporting\EC\2017-06-05-refined-times.txt</v>
      </c>
      <c r="AI219" s="99" t="str">
        <f t="shared" si="101"/>
        <v>echo {"issue":{"subject":"","project_id":79,"tracker_id":40,"status_id":1,"priority_id":2,"assigned_to_id":23,"start_date":"2017-06-06","description":"","custom_fields":[{"id":1,"name":"Subdivision","value":"Other"},{"id":4,"name":"Milepost","value":"2.3301"},{"id":17,"name":"Train ID","value":"313-05"},{"id":16,"name":"Locomotive ID","value":"4042"},{"id":130,"name":"Impact","value":""},{"id":150,"name":"Time of Event (Mountain Time)","value":"02:25:25"},{"id":151,"name":"Denver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5" t="str">
        <f t="shared" si="102"/>
        <v>start /low /b %USERPROFILE%\Documents\GitHub\eaglep3\Utilities\DownloadLogsFromS3.py --loco 4042 --day 2017-06-06</v>
      </c>
      <c r="AN219" s="154" t="str">
        <f t="shared" si="103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08:25:25"},{"id":29,"name":"Sharepoint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2" t="s">
        <v>647</v>
      </c>
      <c r="B220" s="7">
        <v>4028</v>
      </c>
      <c r="C220" s="21" t="s">
        <v>204</v>
      </c>
      <c r="D220" s="21" t="s">
        <v>1004</v>
      </c>
      <c r="E220" s="13">
        <v>42891.198611111111</v>
      </c>
      <c r="F220" s="13">
        <v>42891.202766203707</v>
      </c>
      <c r="G220" s="7">
        <v>5</v>
      </c>
      <c r="H220" s="21" t="s">
        <v>567</v>
      </c>
      <c r="I220" s="13">
        <v>42891.208969907406</v>
      </c>
      <c r="J220" s="7">
        <v>0</v>
      </c>
      <c r="K220" s="92" t="str">
        <f t="shared" si="90"/>
        <v>4027/4028</v>
      </c>
      <c r="L220" s="21" t="str">
        <f>VLOOKUP(A220,'Trips&amp;Operators'!$C$1:$G$99999,5,FALSE)</f>
        <v>DAVIDSON DAVID</v>
      </c>
      <c r="M220" s="6">
        <f t="shared" si="91"/>
        <v>6.2037036987021565E-3</v>
      </c>
      <c r="N220" s="7">
        <f t="shared" si="86"/>
        <v>8.9333333261311054</v>
      </c>
      <c r="O220" s="7"/>
      <c r="P220" s="7"/>
      <c r="Q220" s="22"/>
      <c r="R220" s="173"/>
      <c r="S220" s="176">
        <f t="shared" si="87"/>
        <v>0</v>
      </c>
      <c r="T220" s="202" t="str">
        <f t="shared" si="92"/>
        <v>NorthBound</v>
      </c>
      <c r="U220" s="202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203" t="str">
        <f t="shared" si="93"/>
        <v>https://d0f6bd738d7f1b3e5a7ca70fe4ff75f0.us-east-1.aws.found.io/app/kibana#/discover/Steve-Slow-Train-Analysis-(2080s-and-2083s)?_g=(refreshInterval:(display:Off,pause:!f,section:0,value:0),time:(from:'2017-06-05T03:46:00-0600',mode:absolute,to:'2017-06-05T06:00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20" s="204" t="str">
        <f t="shared" si="94"/>
        <v>Y</v>
      </c>
      <c r="X220" s="204">
        <f t="shared" si="89"/>
        <v>588</v>
      </c>
      <c r="Y220" s="204">
        <f t="shared" si="88"/>
        <v>2.9942000000000002</v>
      </c>
      <c r="Z220" s="204">
        <f t="shared" si="81"/>
        <v>5.8954000000000004</v>
      </c>
      <c r="AA220" s="204">
        <f t="shared" si="95"/>
        <v>2.9012000000000002</v>
      </c>
      <c r="AB220" s="57" t="e">
        <f>VLOOKUP(A220,Enforcements!$C$7:$K$13,8,0)</f>
        <v>#N/A</v>
      </c>
      <c r="AC220" s="53" t="e">
        <f>VLOOKUP(A220,Enforcements!$C$7:$E$13,3,0)</f>
        <v>#N/A</v>
      </c>
      <c r="AD220" s="54" t="str">
        <f t="shared" si="96"/>
        <v>0901-05</v>
      </c>
      <c r="AE220" s="80" t="str">
        <f t="shared" si="97"/>
        <v>aws s3 cp s3://rtdc.mdm.uploadarchive.raw/RTDC4028/ "%USERPROFILE%\AppData\Local\Temp\OnboardLogs"\RTDC4028\2017-06-05 --exclude "*" --recursive --include "*20170605*" &amp; "%USERPROFILE%\Documents\GitHub\mrs-test-scripts\Headless Mode &amp; Sideloading\WalkAndUnGZ.bat" "%USERPROFILE%\AppData\Local\Temp\OnboardLogs"\RTDC4028\2017-06-05 &amp; aws s3 cp s3://rtdc.mdm.uploadarchive.raw/RTDC4028/ "%USERPROFILE%\AppData\Local\Temp\OnboardLogs"\RTDC4028\2017-06-06 --exclude "*" --recursive --include "*20170606*" &amp; "%USERPROFILE%\Documents\GitHub\mrs-test-scripts\Headless Mode &amp; Sideloading\WalkAndUnGZ.bat" "%USERPROFILE%\AppData\Local\Temp\OnboardLogs"\RTDC4028\2017-06-06</v>
      </c>
      <c r="AF220" s="77" t="str">
        <f t="shared" si="98"/>
        <v>"C:\Program Files (x86)\AstroGrep\AstroGrep.exe" /e /r /s /spath="%USERPROFILE%\AppData\Local\Temp\OnboardLogs" /stypes="app*4028*20170605*" /stext=" 11:.+((SYSTEM_STATE.+slice.+state.+changed )|(ment ac)|(multiple cpu faults)|(system.+state.+changed )|(\[timeout)|(PRM\|1\|D)|(kpr)|(kdp)|(train st.+moving)|(\|lc)|(penalty))"</v>
      </c>
      <c r="AG220" s="1" t="str">
        <f t="shared" si="99"/>
        <v>Other</v>
      </c>
      <c r="AH220" s="81" t="str">
        <f t="shared" si="100"/>
        <v>"%USERPROFILE%\Documents\GitHub\eaglep3\Utilities\RefineRTDCRunTimes.py" --tripid 901-05 --locoid 4028 --swversion DE.1.0.9.0 --startMP 300:29942 --initTime 2017-06-05T04:46:00 --startdatetime 2017-06-05T04:51:59 --delay 5 --endMP 300:58954 --enddatetime 2017-06-05T05:00:55 --enforcementcount 0 &gt;&gt;C:\Users\stu\Documents\GitHub\eaglep3-reporting\EC\2017-06-05-refined-times.txt</v>
      </c>
      <c r="AI220" s="99" t="str">
        <f t="shared" si="101"/>
        <v>echo {"issue":{"subject":"","project_id":79,"tracker_id":40,"status_id":1,"priority_id":2,"assigned_to_id":23,"start_date":"2017-06-05","description":"","custom_fields":[{"id":1,"name":"Subdivision","value":"Other"},{"id":4,"name":"Milepost","value":"5.8954"},{"id":17,"name":"Train ID","value":"901-05"},{"id":16,"name":"Locomotive ID","value":"4028"},{"id":130,"name":"Impact","value":""},{"id":150,"name":"Time of Event (Mountain Time)","value":"05:00:55"},{"id":151,"name":"Denver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5" t="str">
        <f t="shared" si="102"/>
        <v>start /low /b %USERPROFILE%\Documents\GitHub\eaglep3\Utilities\DownloadLogsFromS3.py --loco 4028 --day 2017-06-05</v>
      </c>
      <c r="AN220" s="154" t="str">
        <f t="shared" si="103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11:00:55"},{"id":29,"name":"Sharepoint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x14ac:dyDescent="0.25">
      <c r="A221" s="32" t="s">
        <v>660</v>
      </c>
      <c r="B221" s="7">
        <v>4045</v>
      </c>
      <c r="C221" s="21" t="s">
        <v>204</v>
      </c>
      <c r="D221" s="21" t="s">
        <v>1005</v>
      </c>
      <c r="E221" s="13">
        <v>42891.243877314817</v>
      </c>
      <c r="F221" s="13">
        <v>42891.246631944443</v>
      </c>
      <c r="G221" s="7">
        <v>3</v>
      </c>
      <c r="H221" s="21" t="s">
        <v>989</v>
      </c>
      <c r="I221" s="13">
        <v>42891.251585648148</v>
      </c>
      <c r="J221" s="7">
        <v>0</v>
      </c>
      <c r="K221" s="92" t="str">
        <f t="shared" si="90"/>
        <v>4045/4046</v>
      </c>
      <c r="L221" s="21" t="str">
        <f>VLOOKUP(A221,'Trips&amp;Operators'!$C$1:$G$99999,5,FALSE)</f>
        <v>LOZA FIDEL</v>
      </c>
      <c r="M221" s="6">
        <f t="shared" si="91"/>
        <v>4.9537037048139609E-3</v>
      </c>
      <c r="N221" s="7">
        <f t="shared" si="86"/>
        <v>7.1333333349321038</v>
      </c>
      <c r="O221" s="7"/>
      <c r="P221" s="7"/>
      <c r="Q221" s="22"/>
      <c r="R221" s="173"/>
      <c r="S221" s="176">
        <f t="shared" si="87"/>
        <v>1</v>
      </c>
      <c r="T221" s="202" t="str">
        <f t="shared" si="92"/>
        <v>Southbound</v>
      </c>
      <c r="U221" s="202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03" t="str">
        <f t="shared" si="93"/>
        <v>https://d0f6bd738d7f1b3e5a7ca70fe4ff75f0.us-east-1.aws.found.io/app/kibana#/discover/Steve-Slow-Train-Analysis-(2080s-and-2083s)?_g=(refreshInterval:(display:Off,pause:!f,section:0,value:0),time:(from:'2017-06-05T04:51:11-0600',mode:absolute,to:'2017-06-05T07:02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1" s="204" t="str">
        <f t="shared" si="94"/>
        <v>Y</v>
      </c>
      <c r="X221" s="204">
        <f t="shared" si="89"/>
        <v>1</v>
      </c>
      <c r="Y221" s="204">
        <f t="shared" si="88"/>
        <v>2.3512</v>
      </c>
      <c r="Z221" s="204">
        <f t="shared" si="81"/>
        <v>6.8400000000000002E-2</v>
      </c>
      <c r="AA221" s="204">
        <f t="shared" si="95"/>
        <v>2.2827999999999999</v>
      </c>
      <c r="AB221" s="57" t="e">
        <f>VLOOKUP(A221,Enforcements!$C$7:$K$13,8,0)</f>
        <v>#N/A</v>
      </c>
      <c r="AC221" s="53" t="e">
        <f>VLOOKUP(A221,Enforcements!$C$7:$E$13,3,0)</f>
        <v>#N/A</v>
      </c>
      <c r="AD221" s="54" t="str">
        <f t="shared" si="96"/>
        <v>0902-05</v>
      </c>
      <c r="AE221" s="80" t="str">
        <f t="shared" si="97"/>
        <v>aws s3 cp s3://rtdc.mdm.uploadarchive.raw/RTDC4045/ "%USERPROFILE%\AppData\Local\Temp\OnboardLogs"\RTDC4045\2017-06-05 --exclude "*" --recursive --include "*20170605*" &amp; "%USERPROFILE%\Documents\GitHub\mrs-test-scripts\Headless Mode &amp; Sideloading\WalkAndUnGZ.bat" "%USERPROFILE%\AppData\Local\Temp\OnboardLogs"\RTDC4045\2017-06-05 &amp; aws s3 cp s3://rtdc.mdm.uploadarchive.raw/RTDC4045/ "%USERPROFILE%\AppData\Local\Temp\OnboardLogs"\RTDC4045\2017-06-06 --exclude "*" --recursive --include "*20170606*" &amp; "%USERPROFILE%\Documents\GitHub\mrs-test-scripts\Headless Mode &amp; Sideloading\WalkAndUnGZ.bat" "%USERPROFILE%\AppData\Local\Temp\OnboardLogs"\RTDC4045\2017-06-06</v>
      </c>
      <c r="AF221" s="77" t="str">
        <f t="shared" si="98"/>
        <v>"C:\Program Files (x86)\AstroGrep\AstroGrep.exe" /e /r /s /spath="%USERPROFILE%\AppData\Local\Temp\OnboardLogs" /stypes="app*4045*20170605*" /stext=" 12:.+((SYSTEM_STATE.+slice.+state.+changed )|(ment ac)|(multiple cpu faults)|(system.+state.+changed )|(\[timeout)|(PRM\|1\|D)|(kpr)|(kdp)|(train st.+moving)|(\|lc)|(penalty))"</v>
      </c>
      <c r="AG221" s="1" t="str">
        <f t="shared" si="99"/>
        <v>Other</v>
      </c>
      <c r="AH221" s="81" t="str">
        <f t="shared" si="100"/>
        <v>"%USERPROFILE%\Documents\GitHub\eaglep3\Utilities\RefineRTDCRunTimes.py" --tripid 902-05 --locoid 4045 --swversion DE.1.0.9.0 --startMP 300:23512 --initTime 2017-06-05T05:51:11 --startdatetime 2017-06-05T05:55:09 --delay 3 --endMP 204:684 --enddatetime 2017-06-05T06:02:17 --enforcementcount 0 &gt;&gt;C:\Users\stu\Documents\GitHub\eaglep3-reporting\EC\2017-06-05-refined-times.txt</v>
      </c>
      <c r="AI221" s="99" t="str">
        <f t="shared" si="101"/>
        <v>echo {"issue":{"subject":"","project_id":79,"tracker_id":40,"status_id":1,"priority_id":2,"assigned_to_id":23,"start_date":"2017-06-05","description":"","custom_fields":[{"id":1,"name":"Subdivision","value":"Other"},{"id":4,"name":"Milepost","value":"0.0684"},{"id":17,"name":"Train ID","value":"902-05"},{"id":16,"name":"Locomotive ID","value":"4045"},{"id":130,"name":"Impact","value":""},{"id":150,"name":"Time of Event (Mountain Time)","value":"06:02:17"},{"id":151,"name":"Denver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5" t="str">
        <f t="shared" si="102"/>
        <v>start /low /b %USERPROFILE%\Documents\GitHub\eaglep3\Utilities\DownloadLogsFromS3.py --loco 4045 --day 2017-06-05</v>
      </c>
      <c r="AN221" s="154" t="str">
        <f t="shared" si="103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12:02:17"},{"id":29,"name":"Sharepoint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s="20" customFormat="1" x14ac:dyDescent="0.25">
      <c r="A222" s="32" t="s">
        <v>690</v>
      </c>
      <c r="B222" s="7">
        <v>4028</v>
      </c>
      <c r="C222" s="21" t="s">
        <v>204</v>
      </c>
      <c r="D222" s="21" t="s">
        <v>566</v>
      </c>
      <c r="E222" s="13">
        <v>42891.353888888887</v>
      </c>
      <c r="F222" s="13">
        <v>42891.355405092596</v>
      </c>
      <c r="G222" s="7">
        <v>0</v>
      </c>
      <c r="H222" s="21" t="s">
        <v>1006</v>
      </c>
      <c r="I222" s="13">
        <v>42891.360891203702</v>
      </c>
      <c r="J222" s="7">
        <v>0</v>
      </c>
      <c r="K222" s="92" t="str">
        <f t="shared" si="90"/>
        <v>4027/4028</v>
      </c>
      <c r="L222" s="21" t="str">
        <f>VLOOKUP(A222,'Trips&amp;Operators'!$C$1:$G$99999,5,FALSE)</f>
        <v>DAVIDSON DAVID</v>
      </c>
      <c r="M222" s="6">
        <f t="shared" si="91"/>
        <v>5.4861111057107337E-3</v>
      </c>
      <c r="N222" s="7">
        <f t="shared" si="86"/>
        <v>7.8999999922234565</v>
      </c>
      <c r="O222" s="7"/>
      <c r="P222" s="7"/>
      <c r="Q222" s="22"/>
      <c r="R222" s="173"/>
      <c r="S222" s="176">
        <f t="shared" si="87"/>
        <v>1</v>
      </c>
      <c r="T222" s="202" t="str">
        <f t="shared" si="92"/>
        <v>NorthBound</v>
      </c>
      <c r="U222" s="202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03" t="str">
        <f t="shared" si="93"/>
        <v>https://d0f6bd738d7f1b3e5a7ca70fe4ff75f0.us-east-1.aws.found.io/app/kibana#/discover/Steve-Slow-Train-Analysis-(2080s-and-2083s)?_g=(refreshInterval:(display:Off,pause:!f,section:0,value:0),time:(from:'2017-06-05T07:29:36-0600',mode:absolute,to:'2017-06-05T09:39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22" s="204" t="str">
        <f t="shared" si="94"/>
        <v>Y</v>
      </c>
      <c r="X222" s="204">
        <f t="shared" si="89"/>
        <v>1</v>
      </c>
      <c r="Y222" s="204">
        <f t="shared" si="88"/>
        <v>9.9500000000000005E-2</v>
      </c>
      <c r="Z222" s="204">
        <f t="shared" si="81"/>
        <v>2.4243000000000001</v>
      </c>
      <c r="AA222" s="204">
        <f t="shared" si="95"/>
        <v>2.3248000000000002</v>
      </c>
      <c r="AB222" s="57" t="e">
        <f>VLOOKUP(A222,Enforcements!$C$7:$K$13,8,0)</f>
        <v>#N/A</v>
      </c>
      <c r="AC222" s="53" t="e">
        <f>VLOOKUP(A222,Enforcements!$C$7:$E$13,3,0)</f>
        <v>#N/A</v>
      </c>
      <c r="AD222" s="54" t="str">
        <f t="shared" si="96"/>
        <v>0903-05</v>
      </c>
      <c r="AE222" s="80" t="str">
        <f t="shared" si="97"/>
        <v>aws s3 cp s3://rtdc.mdm.uploadarchive.raw/RTDC4028/ "%USERPROFILE%\AppData\Local\Temp\OnboardLogs"\RTDC4028\2017-06-05 --exclude "*" --recursive --include "*20170605*" &amp; "%USERPROFILE%\Documents\GitHub\mrs-test-scripts\Headless Mode &amp; Sideloading\WalkAndUnGZ.bat" "%USERPROFILE%\AppData\Local\Temp\OnboardLogs"\RTDC4028\2017-06-05 &amp; aws s3 cp s3://rtdc.mdm.uploadarchive.raw/RTDC4028/ "%USERPROFILE%\AppData\Local\Temp\OnboardLogs"\RTDC4028\2017-06-06 --exclude "*" --recursive --include "*20170606*" &amp; "%USERPROFILE%\Documents\GitHub\mrs-test-scripts\Headless Mode &amp; Sideloading\WalkAndUnGZ.bat" "%USERPROFILE%\AppData\Local\Temp\OnboardLogs"\RTDC4028\2017-06-06</v>
      </c>
      <c r="AF222" s="77" t="str">
        <f t="shared" si="98"/>
        <v>"C:\Program Files (x86)\AstroGrep\AstroGrep.exe" /e /r /s /spath="%USERPROFILE%\AppData\Local\Temp\OnboardLogs" /stypes="app*4028*20170605*" /stext=" 14:.+((SYSTEM_STATE.+slice.+state.+changed )|(ment ac)|(multiple cpu faults)|(system.+state.+changed )|(\[timeout)|(PRM\|1\|D)|(kpr)|(kdp)|(train st.+moving)|(\|lc)|(penalty))"</v>
      </c>
      <c r="AG222" s="1" t="str">
        <f t="shared" si="99"/>
        <v>Other</v>
      </c>
      <c r="AH222" s="81" t="str">
        <f t="shared" si="100"/>
        <v>"%USERPROFILE%\Documents\GitHub\eaglep3\Utilities\RefineRTDCRunTimes.py" --tripid 903-05 --locoid 4028 --swversion DE.1.0.9.0 --startMP 204:995 --initTime 2017-06-05T08:29:36 --startdatetime 2017-06-05T08:31:47 --delay 0 --endMP 300:24243 --enddatetime 2017-06-05T08:39:41 --enforcementcount 0 &gt;&gt;C:\Users\stu\Documents\GitHub\eaglep3-reporting\EC\2017-06-05-refined-times.txt</v>
      </c>
      <c r="AI222" s="99" t="str">
        <f t="shared" si="101"/>
        <v>echo {"issue":{"subject":"","project_id":79,"tracker_id":40,"status_id":1,"priority_id":2,"assigned_to_id":23,"start_date":"2017-06-05","description":"","custom_fields":[{"id":1,"name":"Subdivision","value":"Other"},{"id":4,"name":"Milepost","value":"2.4243"},{"id":17,"name":"Train ID","value":"903-05"},{"id":16,"name":"Locomotive ID","value":"4028"},{"id":130,"name":"Impact","value":""},{"id":150,"name":"Time of Event (Mountain Time)","value":"08:39:41"},{"id":151,"name":"Denver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2" s="47"/>
      <c r="AL222" s="47"/>
      <c r="AM222" s="145" t="str">
        <f t="shared" si="102"/>
        <v>start /low /b %USERPROFILE%\Documents\GitHub\eaglep3\Utilities\DownloadLogsFromS3.py --loco 4028 --day 2017-06-05</v>
      </c>
      <c r="AN222" s="154" t="str">
        <f t="shared" si="103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14:39:41"},{"id":29,"name":"Sharepoint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x14ac:dyDescent="0.25">
      <c r="A223" s="32" t="s">
        <v>605</v>
      </c>
      <c r="B223" s="7">
        <v>4027</v>
      </c>
      <c r="C223" s="21" t="s">
        <v>204</v>
      </c>
      <c r="D223" s="21" t="s">
        <v>1007</v>
      </c>
      <c r="E223" s="13">
        <v>42891.638206018521</v>
      </c>
      <c r="F223" s="13">
        <v>42891.640763888892</v>
      </c>
      <c r="G223" s="7">
        <v>3</v>
      </c>
      <c r="H223" s="21" t="s">
        <v>968</v>
      </c>
      <c r="I223" s="13">
        <v>42891.647928240738</v>
      </c>
      <c r="J223" s="7">
        <v>0</v>
      </c>
      <c r="K223" s="92" t="str">
        <f t="shared" si="90"/>
        <v>4027/4028</v>
      </c>
      <c r="L223" s="21" t="str">
        <f>VLOOKUP(A223,'Trips&amp;Operators'!$C$1:$G$99999,5,FALSE)</f>
        <v>STAMBAUGH JAMES</v>
      </c>
      <c r="M223" s="6">
        <f t="shared" si="91"/>
        <v>7.1643518458586186E-3</v>
      </c>
      <c r="N223" s="7">
        <f t="shared" si="86"/>
        <v>10.316666658036411</v>
      </c>
      <c r="O223" s="7"/>
      <c r="P223" s="7"/>
      <c r="Q223" s="22"/>
      <c r="R223" s="173"/>
      <c r="S223" s="176">
        <f t="shared" si="87"/>
        <v>1</v>
      </c>
      <c r="T223" s="202" t="str">
        <f t="shared" si="92"/>
        <v>Southbound</v>
      </c>
      <c r="U223" s="202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03" t="str">
        <f t="shared" si="93"/>
        <v>https://d0f6bd738d7f1b3e5a7ca70fe4ff75f0.us-east-1.aws.found.io/app/kibana#/discover/Steve-Slow-Train-Analysis-(2080s-and-2083s)?_g=(refreshInterval:(display:Off,pause:!f,section:0,value:0),time:(from:'2017-06-05T14:19:01-0600',mode:absolute,to:'2017-06-05T16:33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3" s="204" t="str">
        <f t="shared" si="94"/>
        <v>Y</v>
      </c>
      <c r="X223" s="204">
        <f t="shared" si="89"/>
        <v>1</v>
      </c>
      <c r="Y223" s="204">
        <f t="shared" si="88"/>
        <v>2.3515999999999999</v>
      </c>
      <c r="Z223" s="204">
        <f t="shared" si="81"/>
        <v>6.7799999999999999E-2</v>
      </c>
      <c r="AA223" s="204">
        <f t="shared" si="95"/>
        <v>2.2837999999999998</v>
      </c>
      <c r="AB223" s="57" t="e">
        <f>VLOOKUP(A223,Enforcements!$C$7:$K$13,8,0)</f>
        <v>#N/A</v>
      </c>
      <c r="AC223" s="53" t="e">
        <f>VLOOKUP(A223,Enforcements!$C$7:$E$13,3,0)</f>
        <v>#N/A</v>
      </c>
      <c r="AD223" s="54" t="str">
        <f t="shared" si="96"/>
        <v>0904-05</v>
      </c>
      <c r="AE223" s="80" t="str">
        <f t="shared" si="97"/>
        <v>aws s3 cp s3://rtdc.mdm.uploadarchive.raw/RTDC4027/ "%USERPROFILE%\AppData\Local\Temp\OnboardLogs"\RTDC4027\2017-06-05 --exclude "*" --recursive --include "*20170605*" &amp; "%USERPROFILE%\Documents\GitHub\mrs-test-scripts\Headless Mode &amp; Sideloading\WalkAndUnGZ.bat" "%USERPROFILE%\AppData\Local\Temp\OnboardLogs"\RTDC4027\2017-06-05 &amp; aws s3 cp s3://rtdc.mdm.uploadarchive.raw/RTDC4027/ "%USERPROFILE%\AppData\Local\Temp\OnboardLogs"\RTDC4027\2017-06-06 --exclude "*" --recursive --include "*20170606*" &amp; "%USERPROFILE%\Documents\GitHub\mrs-test-scripts\Headless Mode &amp; Sideloading\WalkAndUnGZ.bat" "%USERPROFILE%\AppData\Local\Temp\OnboardLogs"\RTDC4027\2017-06-06</v>
      </c>
      <c r="AF223" s="77" t="str">
        <f t="shared" si="98"/>
        <v>"C:\Program Files (x86)\AstroGrep\AstroGrep.exe" /e /r /s /spath="%USERPROFILE%\AppData\Local\Temp\OnboardLogs" /stypes="app*4027*20170605*" /stext=" 21:.+((SYSTEM_STATE.+slice.+state.+changed )|(ment ac)|(multiple cpu faults)|(system.+state.+changed )|(\[timeout)|(PRM\|1\|D)|(kpr)|(kdp)|(train st.+moving)|(\|lc)|(penalty))"</v>
      </c>
      <c r="AG223" s="1" t="str">
        <f t="shared" si="99"/>
        <v>Other</v>
      </c>
      <c r="AH223" s="81" t="str">
        <f t="shared" si="100"/>
        <v>"%USERPROFILE%\Documents\GitHub\eaglep3\Utilities\RefineRTDCRunTimes.py" --tripid 904-05 --locoid 4027 --swversion DE.1.0.9.0 --startMP 300:23516 --initTime 2017-06-05T15:19:01 --startdatetime 2017-06-05T15:22:42 --delay 3 --endMP 204:678 --enddatetime 2017-06-05T15:33:01 --enforcementcount 0 &gt;&gt;C:\Users\stu\Documents\GitHub\eaglep3-reporting\EC\2017-06-05-refined-times.txt</v>
      </c>
      <c r="AI223" s="99" t="str">
        <f t="shared" si="101"/>
        <v>echo {"issue":{"subject":"","project_id":79,"tracker_id":40,"status_id":1,"priority_id":2,"assigned_to_id":23,"start_date":"2017-06-05","description":"","custom_fields":[{"id":1,"name":"Subdivision","value":"Other"},{"id":4,"name":"Milepost","value":"0.0678"},{"id":17,"name":"Train ID","value":"904-05"},{"id":16,"name":"Locomotive ID","value":"4027"},{"id":130,"name":"Impact","value":""},{"id":150,"name":"Time of Event (Mountain Time)","value":"15:33:01"},{"id":151,"name":"Denver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5" t="str">
        <f t="shared" si="102"/>
        <v>start /low /b %USERPROFILE%\Documents\GitHub\eaglep3\Utilities\DownloadLogsFromS3.py --loco 4027 --day 2017-06-05</v>
      </c>
      <c r="AN223" s="154" t="str">
        <f t="shared" si="103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21:33:01"},{"id":29,"name":"Sharepoint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x14ac:dyDescent="0.25">
      <c r="A224" s="32" t="s">
        <v>798</v>
      </c>
      <c r="B224" s="7">
        <v>4027</v>
      </c>
      <c r="C224" s="21" t="s">
        <v>204</v>
      </c>
      <c r="D224" s="21" t="s">
        <v>988</v>
      </c>
      <c r="E224" s="13">
        <v>42891.799050925925</v>
      </c>
      <c r="F224" s="13">
        <v>42891.80059027778</v>
      </c>
      <c r="G224" s="7">
        <v>1</v>
      </c>
      <c r="H224" s="21" t="s">
        <v>1008</v>
      </c>
      <c r="I224" s="13">
        <v>42891.807187500002</v>
      </c>
      <c r="J224" s="7">
        <v>0</v>
      </c>
      <c r="K224" s="92" t="str">
        <f t="shared" si="90"/>
        <v>4027/4028</v>
      </c>
      <c r="L224" s="21" t="str">
        <f>VLOOKUP(A224,'Trips&amp;Operators'!$C$1:$G$99999,5,FALSE)</f>
        <v>STAMBAUGH JAMES</v>
      </c>
      <c r="M224" s="6">
        <f t="shared" si="91"/>
        <v>6.5972222218988463E-3</v>
      </c>
      <c r="N224" s="7">
        <f t="shared" si="86"/>
        <v>9.4999999995343387</v>
      </c>
      <c r="O224" s="7"/>
      <c r="P224" s="7"/>
      <c r="Q224" s="22"/>
      <c r="R224" s="173"/>
      <c r="S224" s="176">
        <f t="shared" si="87"/>
        <v>0</v>
      </c>
      <c r="T224" s="202" t="str">
        <f t="shared" si="92"/>
        <v>Southbound</v>
      </c>
      <c r="U224" s="202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203" t="str">
        <f t="shared" si="93"/>
        <v>https://d0f6bd738d7f1b3e5a7ca70fe4ff75f0.us-east-1.aws.found.io/app/kibana#/discover/Steve-Slow-Train-Analysis-(2080s-and-2083s)?_g=(refreshInterval:(display:Off,pause:!f,section:0,value:0),time:(from:'2017-06-05T18:10:38-0600',mode:absolute,to:'2017-06-05T20:22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4" s="204" t="str">
        <f t="shared" si="94"/>
        <v>Y</v>
      </c>
      <c r="X224" s="204">
        <f t="shared" si="89"/>
        <v>2</v>
      </c>
      <c r="Y224" s="204">
        <f t="shared" si="88"/>
        <v>5.8615000000000004</v>
      </c>
      <c r="Z224" s="204">
        <f t="shared" si="81"/>
        <v>2.8769</v>
      </c>
      <c r="AA224" s="204">
        <f t="shared" si="95"/>
        <v>2.9846000000000004</v>
      </c>
      <c r="AB224" s="57" t="e">
        <f>VLOOKUP(A224,Enforcements!$C$7:$K$13,8,0)</f>
        <v>#N/A</v>
      </c>
      <c r="AC224" s="53" t="e">
        <f>VLOOKUP(A224,Enforcements!$C$7:$E$13,3,0)</f>
        <v>#N/A</v>
      </c>
      <c r="AD224" s="54" t="str">
        <f t="shared" si="96"/>
        <v>0906-05</v>
      </c>
      <c r="AE224" s="80" t="str">
        <f t="shared" si="97"/>
        <v>aws s3 cp s3://rtdc.mdm.uploadarchive.raw/RTDC4027/ "%USERPROFILE%\AppData\Local\Temp\OnboardLogs"\RTDC4027\2017-06-05 --exclude "*" --recursive --include "*20170605*" &amp; "%USERPROFILE%\Documents\GitHub\mrs-test-scripts\Headless Mode &amp; Sideloading\WalkAndUnGZ.bat" "%USERPROFILE%\AppData\Local\Temp\OnboardLogs"\RTDC4027\2017-06-05 &amp; aws s3 cp s3://rtdc.mdm.uploadarchive.raw/RTDC4027/ "%USERPROFILE%\AppData\Local\Temp\OnboardLogs"\RTDC4027\2017-06-06 --exclude "*" --recursive --include "*20170606*" &amp; "%USERPROFILE%\Documents\GitHub\mrs-test-scripts\Headless Mode &amp; Sideloading\WalkAndUnGZ.bat" "%USERPROFILE%\AppData\Local\Temp\OnboardLogs"\RTDC4027\2017-06-06</v>
      </c>
      <c r="AF224" s="77" t="str">
        <f t="shared" si="98"/>
        <v>"C:\Program Files (x86)\AstroGrep\AstroGrep.exe" /e /r /s /spath="%USERPROFILE%\AppData\Local\Temp\OnboardLogs" /stypes="app*4027*20170606*" /stext=" 01:.+((SYSTEM_STATE.+slice.+state.+changed )|(ment ac)|(multiple cpu faults)|(system.+state.+changed )|(\[timeout)|(PRM\|1\|D)|(kpr)|(kdp)|(train st.+moving)|(\|lc)|(penalty))"</v>
      </c>
      <c r="AG224" s="1" t="str">
        <f t="shared" si="99"/>
        <v>Other</v>
      </c>
      <c r="AH224" s="81" t="str">
        <f t="shared" si="100"/>
        <v>"%USERPROFILE%\Documents\GitHub\eaglep3\Utilities\RefineRTDCRunTimes.py" --tripid 906-05 --locoid 4027 --swversion DE.1.0.9.0 --startMP 300:58615 --initTime 2017-06-05T19:10:38 --startdatetime 2017-06-05T19:12:51 --delay 1 --endMP 300:28769 --enddatetime 2017-06-05T19:22:21 --enforcementcount 0 &gt;&gt;C:\Users\stu\Documents\GitHub\eaglep3-reporting\EC\2017-06-05-refined-times.txt</v>
      </c>
      <c r="AI224" s="99" t="str">
        <f t="shared" si="101"/>
        <v>echo {"issue":{"subject":"","project_id":79,"tracker_id":40,"status_id":1,"priority_id":2,"assigned_to_id":23,"start_date":"2017-06-05","description":"","custom_fields":[{"id":1,"name":"Subdivision","value":"Other"},{"id":4,"name":"Milepost","value":"2.8769"},{"id":17,"name":"Train ID","value":"906-05"},{"id":16,"name":"Locomotive ID","value":"4027"},{"id":130,"name":"Impact","value":""},{"id":150,"name":"Time of Event (Mountain Time)","value":"19:22:21"},{"id":151,"name":"Denver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5" t="str">
        <f t="shared" si="102"/>
        <v>start /low /b %USERPROFILE%\Documents\GitHub\eaglep3\Utilities\DownloadLogsFromS3.py --loco 4027 --day 2017-06-05</v>
      </c>
      <c r="AN224" s="154" t="str">
        <f t="shared" si="103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01:22:21"},{"id":29,"name":"Sharepoint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2" t="s">
        <v>814</v>
      </c>
      <c r="B225" s="7">
        <v>4045</v>
      </c>
      <c r="C225" s="21" t="s">
        <v>204</v>
      </c>
      <c r="D225" s="21" t="s">
        <v>1009</v>
      </c>
      <c r="E225" s="13">
        <v>42891.943136574075</v>
      </c>
      <c r="F225" s="13">
        <v>42891.945162037038</v>
      </c>
      <c r="G225" s="7">
        <v>1</v>
      </c>
      <c r="H225" s="21" t="s">
        <v>1010</v>
      </c>
      <c r="I225" s="13">
        <v>42891.962106481478</v>
      </c>
      <c r="J225" s="7">
        <v>0</v>
      </c>
      <c r="K225" s="92" t="str">
        <f t="shared" si="90"/>
        <v>4045/4046</v>
      </c>
      <c r="L225" s="21" t="str">
        <f>VLOOKUP(A225,'Trips&amp;Operators'!$C$1:$G$99999,5,FALSE)</f>
        <v>STAMBAUGH JAMES</v>
      </c>
      <c r="M225" s="6">
        <f t="shared" si="91"/>
        <v>1.6944444440014195E-2</v>
      </c>
      <c r="N225" s="7">
        <f t="shared" si="86"/>
        <v>24.39999999362044</v>
      </c>
      <c r="O225" s="7"/>
      <c r="P225" s="7"/>
      <c r="Q225" s="22"/>
      <c r="R225" s="173"/>
      <c r="S225" s="176">
        <f t="shared" si="87"/>
        <v>0</v>
      </c>
      <c r="T225" s="202" t="str">
        <f t="shared" si="92"/>
        <v>Southbound</v>
      </c>
      <c r="U225" s="202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03" t="str">
        <f t="shared" si="93"/>
        <v>https://d0f6bd738d7f1b3e5a7ca70fe4ff75f0.us-east-1.aws.found.io/app/kibana#/discover/Steve-Slow-Train-Analysis-(2080s-and-2083s)?_g=(refreshInterval:(display:Off,pause:!f,section:0,value:0),time:(from:'2017-06-05T21:38:07-0600',mode:absolute,to:'2017-06-06T00:05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5" s="204" t="str">
        <f t="shared" si="94"/>
        <v>Y</v>
      </c>
      <c r="X225" s="204">
        <f t="shared" si="89"/>
        <v>2</v>
      </c>
      <c r="Y225" s="204">
        <f t="shared" si="88"/>
        <v>5.8605999999999998</v>
      </c>
      <c r="Z225" s="204">
        <f t="shared" si="81"/>
        <v>2.8788999999999998</v>
      </c>
      <c r="AA225" s="204">
        <f t="shared" si="95"/>
        <v>2.9817</v>
      </c>
      <c r="AB225" s="57" t="e">
        <f>VLOOKUP(A225,Enforcements!$C$7:$K$13,8,0)</f>
        <v>#N/A</v>
      </c>
      <c r="AC225" s="53" t="e">
        <f>VLOOKUP(A225,Enforcements!$C$7:$E$13,3,0)</f>
        <v>#N/A</v>
      </c>
      <c r="AD225" s="54" t="str">
        <f t="shared" si="96"/>
        <v>0908-05</v>
      </c>
      <c r="AE225" s="80" t="str">
        <f t="shared" si="97"/>
        <v>aws s3 cp s3://rtdc.mdm.uploadarchive.raw/RTDC4045/ "%USERPROFILE%\AppData\Local\Temp\OnboardLogs"\RTDC4045\2017-06-05 --exclude "*" --recursive --include "*20170605*" &amp; "%USERPROFILE%\Documents\GitHub\mrs-test-scripts\Headless Mode &amp; Sideloading\WalkAndUnGZ.bat" "%USERPROFILE%\AppData\Local\Temp\OnboardLogs"\RTDC4045\2017-06-05 &amp; aws s3 cp s3://rtdc.mdm.uploadarchive.raw/RTDC4045/ "%USERPROFILE%\AppData\Local\Temp\OnboardLogs"\RTDC4045\2017-06-06 --exclude "*" --recursive --include "*20170606*" &amp; "%USERPROFILE%\Documents\GitHub\mrs-test-scripts\Headless Mode &amp; Sideloading\WalkAndUnGZ.bat" "%USERPROFILE%\AppData\Local\Temp\OnboardLogs"\RTDC4045\2017-06-06</v>
      </c>
      <c r="AF225" s="77" t="str">
        <f t="shared" si="98"/>
        <v>"C:\Program Files (x86)\AstroGrep\AstroGrep.exe" /e /r /s /spath="%USERPROFILE%\AppData\Local\Temp\OnboardLogs" /stypes="app*4045*20170606*" /stext=" 05:.+((SYSTEM_STATE.+slice.+state.+changed )|(ment ac)|(multiple cpu faults)|(system.+state.+changed )|(\[timeout)|(PRM\|1\|D)|(kpr)|(kdp)|(train st.+moving)|(\|lc)|(penalty))"</v>
      </c>
      <c r="AG225" s="1" t="str">
        <f t="shared" si="99"/>
        <v>Other</v>
      </c>
      <c r="AH225" s="81" t="str">
        <f t="shared" si="100"/>
        <v>"%USERPROFILE%\Documents\GitHub\eaglep3\Utilities\RefineRTDCRunTimes.py" --tripid 908-05 --locoid 4045 --swversion DE.1.0.9.0 --startMP 300:58606 --initTime 2017-06-05T22:38:07 --startdatetime 2017-06-05T22:41:02 --delay 1 --endMP 300:28789 --enddatetime 2017-06-05T23:05:26 --enforcementcount 0 &gt;&gt;C:\Users\stu\Documents\GitHub\eaglep3-reporting\EC\2017-06-05-refined-times.txt</v>
      </c>
      <c r="AI225" s="99" t="str">
        <f t="shared" si="101"/>
        <v>echo {"issue":{"subject":"","project_id":79,"tracker_id":40,"status_id":1,"priority_id":2,"assigned_to_id":23,"start_date":"2017-06-05","description":"","custom_fields":[{"id":1,"name":"Subdivision","value":"Other"},{"id":4,"name":"Milepost","value":"2.8789"},{"id":17,"name":"Train ID","value":"908-05"},{"id":16,"name":"Locomotive ID","value":"4045"},{"id":130,"name":"Impact","value":""},{"id":150,"name":"Time of Event (Mountain Time)","value":"23:05:26"},{"id":151,"name":"Denver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5" t="str">
        <f t="shared" si="102"/>
        <v>start /low /b %USERPROFILE%\Documents\GitHub\eaglep3\Utilities\DownloadLogsFromS3.py --loco 4045 --day 2017-06-05</v>
      </c>
      <c r="AN225" s="154" t="str">
        <f t="shared" si="103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05:05:26"},{"id":29,"name":"Sharepoint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2" t="s">
        <v>550</v>
      </c>
      <c r="B226" s="7">
        <v>4009</v>
      </c>
      <c r="C226" s="21" t="s">
        <v>204</v>
      </c>
      <c r="D226" s="21" t="s">
        <v>912</v>
      </c>
      <c r="E226" s="13">
        <v>42891.113935185182</v>
      </c>
      <c r="F226" s="13">
        <v>42891.116909722223</v>
      </c>
      <c r="G226" s="7">
        <v>1</v>
      </c>
      <c r="H226" s="21" t="s">
        <v>913</v>
      </c>
      <c r="I226" s="13">
        <v>42891.118611111109</v>
      </c>
      <c r="J226" s="7">
        <v>0</v>
      </c>
      <c r="K226" s="92" t="str">
        <f t="shared" si="90"/>
        <v>4009/4010</v>
      </c>
      <c r="L226" s="21" t="str">
        <f>VLOOKUP(A226,'Trips&amp;Operators'!$C$1:$G$99999,5,FALSE)</f>
        <v>BIRENBAUM THOMAS</v>
      </c>
      <c r="M226" s="6">
        <f t="shared" si="91"/>
        <v>1.7013888864312321E-3</v>
      </c>
      <c r="N226" s="7">
        <f t="shared" si="86"/>
        <v>2.4499999964609742</v>
      </c>
      <c r="O226" s="7"/>
      <c r="P226" s="7"/>
      <c r="Q226" s="22"/>
      <c r="R226" s="173"/>
      <c r="S226" s="176">
        <f t="shared" si="87"/>
        <v>0</v>
      </c>
      <c r="T226" s="202" t="e">
        <f t="shared" si="92"/>
        <v>#VALUE!</v>
      </c>
      <c r="U226" s="202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03" t="str">
        <f t="shared" si="93"/>
        <v>https://d0f6bd738d7f1b3e5a7ca70fe4ff75f0.us-east-1.aws.found.io/app/kibana#/discover/Steve-Slow-Train-Analysis-(2080s-and-2083s)?_g=(refreshInterval:(display:Off,pause:!f,section:0,value:0),time:(from:'2017-06-05T01:44:04-0600',mode:absolute,to:'2017-06-05T03:50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6" s="204" t="str">
        <f t="shared" si="94"/>
        <v>Y</v>
      </c>
      <c r="X226" s="204" t="e">
        <f t="shared" si="89"/>
        <v>#VALUE!</v>
      </c>
      <c r="Y226" s="204">
        <f t="shared" si="88"/>
        <v>0.50790000000000002</v>
      </c>
      <c r="Z226" s="204">
        <f t="shared" si="81"/>
        <v>9.4500000000000001E-2</v>
      </c>
      <c r="AA226" s="204">
        <f t="shared" si="95"/>
        <v>0.41339999999999999</v>
      </c>
      <c r="AB226" s="57" t="e">
        <f>VLOOKUP(A226,Enforcements!$C$7:$K$13,8,0)</f>
        <v>#N/A</v>
      </c>
      <c r="AC226" s="53" t="e">
        <f>VLOOKUP(A226,Enforcements!$C$7:$E$13,3,0)</f>
        <v>#N/A</v>
      </c>
      <c r="AD226" s="54" t="str">
        <f t="shared" si="96"/>
        <v>50-05</v>
      </c>
      <c r="AE226" s="80" t="str">
        <f t="shared" si="97"/>
        <v>aws s3 cp s3://rtdc.mdm.uploadarchive.raw/RTDC4009/ "%USERPROFILE%\AppData\Local\Temp\OnboardLogs"\RTDC4009\2017-06-05 --exclude "*" --recursive --include "*20170605*" &amp; "%USERPROFILE%\Documents\GitHub\mrs-test-scripts\Headless Mode &amp; Sideloading\WalkAndUnGZ.bat" "%USERPROFILE%\AppData\Local\Temp\OnboardLogs"\RTDC4009\2017-06-05 &amp; aws s3 cp s3://rtdc.mdm.uploadarchive.raw/RTDC4009/ "%USERPROFILE%\AppData\Local\Temp\OnboardLogs"\RTDC4009\2017-06-06 --exclude "*" --recursive --include "*20170606*" &amp; "%USERPROFILE%\Documents\GitHub\mrs-test-scripts\Headless Mode &amp; Sideloading\WalkAndUnGZ.bat" "%USERPROFILE%\AppData\Local\Temp\OnboardLogs"\RTDC4009\2017-06-06</v>
      </c>
      <c r="AF226" s="77" t="str">
        <f t="shared" si="98"/>
        <v>"C:\Program Files (x86)\AstroGrep\AstroGrep.exe" /e /r /s /spath="%USERPROFILE%\AppData\Local\Temp\OnboardLogs" /stypes="app*4009*20170605*" /stext=" 08:.+((SYSTEM_STATE.+slice.+state.+changed )|(ment ac)|(multiple cpu faults)|(system.+state.+changed )|(\[timeout)|(PRM\|1\|D)|(kpr)|(kdp)|(train st.+moving)|(\|lc)|(penalty))"</v>
      </c>
      <c r="AG226" s="1" t="str">
        <f t="shared" si="99"/>
        <v>Other</v>
      </c>
      <c r="AH226" s="81" t="str">
        <f t="shared" si="100"/>
        <v>"%USERPROFILE%\Documents\GitHub\eaglep3\Utilities\RefineRTDCRunTimes.py" --tripid 50-05 --locoid 4009 --swversion DE.1.0.9.0 --startMP 204:5079 --initTime 2017-06-05T02:44:04 --startdatetime 2017-06-05T02:48:21 --delay 1 --endMP 204:945 --enddatetime 2017-06-05T02:50:48 --enforcementcount 0 &gt;&gt;C:\Users\stu\Documents\GitHub\eaglep3-reporting\EC\2017-06-05-refined-times.txt</v>
      </c>
      <c r="AI226" s="99" t="str">
        <f t="shared" si="101"/>
        <v>echo {"issue":{"subject":"","project_id":79,"tracker_id":40,"status_id":1,"priority_id":2,"assigned_to_id":23,"start_date":"2017-06-05","description":"","custom_fields":[{"id":1,"name":"Subdivision","value":"Other"},{"id":4,"name":"Milepost","value":"0.0945"},{"id":17,"name":"Train ID","value":"50-05"},{"id":16,"name":"Locomotive ID","value":"4009"},{"id":130,"name":"Impact","value":""},{"id":150,"name":"Time of Event (Mountain Time)","value":"02:50:48"},{"id":151,"name":"Denver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5" t="str">
        <f t="shared" si="102"/>
        <v>start /low /b %USERPROFILE%\Documents\GitHub\eaglep3\Utilities\DownloadLogsFromS3.py --loco 4009 --day 2017-06-05</v>
      </c>
      <c r="AN226" s="154" t="str">
        <f t="shared" si="103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08:50:48"},{"id":29,"name":"Sharepoint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2" t="s">
        <v>695</v>
      </c>
      <c r="B227" s="7">
        <v>4013</v>
      </c>
      <c r="C227" s="21" t="s">
        <v>204</v>
      </c>
      <c r="D227" s="21" t="s">
        <v>914</v>
      </c>
      <c r="E227" s="13">
        <v>42891.376770833333</v>
      </c>
      <c r="F227" s="13">
        <v>42891.38484953704</v>
      </c>
      <c r="G227" s="7">
        <v>1</v>
      </c>
      <c r="H227" s="21" t="s">
        <v>577</v>
      </c>
      <c r="I227" s="13">
        <v>42891.385810185187</v>
      </c>
      <c r="J227" s="7">
        <v>0</v>
      </c>
      <c r="K227" s="92" t="str">
        <f t="shared" si="90"/>
        <v>4013/4014</v>
      </c>
      <c r="L227" s="21" t="str">
        <f>VLOOKUP(A227,'Trips&amp;Operators'!$C$1:$G$99999,5,FALSE)</f>
        <v>SPECTOR MICHAEL</v>
      </c>
      <c r="M227" s="6">
        <f t="shared" si="91"/>
        <v>9.6064814715646207E-4</v>
      </c>
      <c r="N227" s="7">
        <f t="shared" si="86"/>
        <v>1.3833333319053054</v>
      </c>
      <c r="O227" s="7"/>
      <c r="P227" s="7"/>
      <c r="Q227" s="22"/>
      <c r="R227" s="173"/>
      <c r="S227" s="176">
        <f t="shared" si="87"/>
        <v>0</v>
      </c>
      <c r="T227" s="202" t="e">
        <f t="shared" si="92"/>
        <v>#VALUE!</v>
      </c>
      <c r="U227" s="202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03" t="str">
        <f t="shared" si="93"/>
        <v>https://d0f6bd738d7f1b3e5a7ca70fe4ff75f0.us-east-1.aws.found.io/app/kibana#/discover/Steve-Slow-Train-Analysis-(2080s-and-2083s)?_g=(refreshInterval:(display:Off,pause:!f,section:0,value:0),time:(from:'2017-06-05T08:02:33-0600',mode:absolute,to:'2017-06-05T10:15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7" s="204" t="str">
        <f t="shared" si="94"/>
        <v>Y</v>
      </c>
      <c r="X227" s="204" t="e">
        <f t="shared" si="89"/>
        <v>#VALUE!</v>
      </c>
      <c r="Y227" s="204">
        <f t="shared" si="88"/>
        <v>0.32290000000000002</v>
      </c>
      <c r="Z227" s="204">
        <f t="shared" si="81"/>
        <v>0.1171</v>
      </c>
      <c r="AA227" s="204">
        <f t="shared" si="95"/>
        <v>0.20580000000000004</v>
      </c>
      <c r="AB227" s="57" t="e">
        <f>VLOOKUP(A227,Enforcements!$C$7:$K$13,8,0)</f>
        <v>#N/A</v>
      </c>
      <c r="AC227" s="53" t="e">
        <f>VLOOKUP(A227,Enforcements!$C$7:$E$13,3,0)</f>
        <v>#N/A</v>
      </c>
      <c r="AD227" s="54" t="str">
        <f t="shared" si="96"/>
        <v>52-05</v>
      </c>
      <c r="AE227" s="80" t="str">
        <f t="shared" si="97"/>
        <v>aws s3 cp s3://rtdc.mdm.uploadarchive.raw/RTDC4013/ "%USERPROFILE%\AppData\Local\Temp\OnboardLogs"\RTDC4013\2017-06-05 --exclude "*" --recursive --include "*20170605*" &amp; "%USERPROFILE%\Documents\GitHub\mrs-test-scripts\Headless Mode &amp; Sideloading\WalkAndUnGZ.bat" "%USERPROFILE%\AppData\Local\Temp\OnboardLogs"\RTDC4013\2017-06-05 &amp; aws s3 cp s3://rtdc.mdm.uploadarchive.raw/RTDC4013/ "%USERPROFILE%\AppData\Local\Temp\OnboardLogs"\RTDC4013\2017-06-06 --exclude "*" --recursive --include "*20170606*" &amp; "%USERPROFILE%\Documents\GitHub\mrs-test-scripts\Headless Mode &amp; Sideloading\WalkAndUnGZ.bat" "%USERPROFILE%\AppData\Local\Temp\OnboardLogs"\RTDC4013\2017-06-06</v>
      </c>
      <c r="AF227" s="77" t="str">
        <f t="shared" si="98"/>
        <v>"C:\Program Files (x86)\AstroGrep\AstroGrep.exe" /e /r /s /spath="%USERPROFILE%\AppData\Local\Temp\OnboardLogs" /stypes="app*4013*20170605*" /stext=" 15:.+((SYSTEM_STATE.+slice.+state.+changed )|(ment ac)|(multiple cpu faults)|(system.+state.+changed )|(\[timeout)|(PRM\|1\|D)|(kpr)|(kdp)|(train st.+moving)|(\|lc)|(penalty))"</v>
      </c>
      <c r="AG227" s="1" t="str">
        <f t="shared" si="99"/>
        <v>Other</v>
      </c>
      <c r="AH227" s="81" t="str">
        <f t="shared" si="100"/>
        <v>"%USERPROFILE%\Documents\GitHub\eaglep3\Utilities\RefineRTDCRunTimes.py" --tripid 52-05 --locoid 4013 --swversion DE.1.0.9.0 --startMP 204:3229 --initTime 2017-06-05T09:02:33 --startdatetime 2017-06-05T09:14:11 --delay 1 --endMP 204:1171 --enddatetime 2017-06-05T09:15:34 --enforcementcount 0 &gt;&gt;C:\Users\stu\Documents\GitHub\eaglep3-reporting\EC\2017-06-05-refined-times.txt</v>
      </c>
      <c r="AI227" s="99" t="str">
        <f t="shared" si="101"/>
        <v>echo {"issue":{"subject":"","project_id":79,"tracker_id":40,"status_id":1,"priority_id":2,"assigned_to_id":23,"start_date":"2017-06-05","description":"","custom_fields":[{"id":1,"name":"Subdivision","value":"Other"},{"id":4,"name":"Milepost","value":"0.1171"},{"id":17,"name":"Train ID","value":"52-05"},{"id":16,"name":"Locomotive ID","value":"4013"},{"id":130,"name":"Impact","value":""},{"id":150,"name":"Time of Event (Mountain Time)","value":"09:15:34"},{"id":151,"name":"Denver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5" t="str">
        <f t="shared" si="102"/>
        <v>start /low /b %USERPROFILE%\Documents\GitHub\eaglep3\Utilities\DownloadLogsFromS3.py --loco 4013 --day 2017-06-05</v>
      </c>
      <c r="AN227" s="154" t="str">
        <f t="shared" si="103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15:15:34"},{"id":29,"name":"Sharepoint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2" t="s">
        <v>695</v>
      </c>
      <c r="B228" s="7">
        <v>4014</v>
      </c>
      <c r="C228" s="21" t="s">
        <v>204</v>
      </c>
      <c r="D228" s="21" t="s">
        <v>915</v>
      </c>
      <c r="E228" s="13">
        <v>42891.372696759259</v>
      </c>
      <c r="F228" s="13">
        <v>42891.38484953704</v>
      </c>
      <c r="G228" s="7">
        <v>1</v>
      </c>
      <c r="H228" s="21" t="s">
        <v>916</v>
      </c>
      <c r="I228" s="13">
        <v>42891.385810185187</v>
      </c>
      <c r="J228" s="7">
        <v>0</v>
      </c>
      <c r="K228" s="92" t="str">
        <f t="shared" si="90"/>
        <v>4013/4014</v>
      </c>
      <c r="L228" s="21" t="str">
        <f>VLOOKUP(A228,'Trips&amp;Operators'!$C$1:$G$99999,5,FALSE)</f>
        <v>SPECTOR MICHAEL</v>
      </c>
      <c r="M228" s="6">
        <f t="shared" si="91"/>
        <v>9.6064814715646207E-4</v>
      </c>
      <c r="N228" s="7">
        <f t="shared" si="86"/>
        <v>1.3833333319053054</v>
      </c>
      <c r="O228" s="7"/>
      <c r="P228" s="7"/>
      <c r="Q228" s="22"/>
      <c r="R228" s="173"/>
      <c r="S228" s="176">
        <f t="shared" si="87"/>
        <v>0</v>
      </c>
      <c r="T228" s="202" t="e">
        <f t="shared" si="92"/>
        <v>#VALUE!</v>
      </c>
      <c r="U228" s="202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03" t="str">
        <f t="shared" si="93"/>
        <v>https://d0f6bd738d7f1b3e5a7ca70fe4ff75f0.us-east-1.aws.found.io/app/kibana#/discover/Steve-Slow-Train-Analysis-(2080s-and-2083s)?_g=(refreshInterval:(display:Off,pause:!f,section:0,value:0),time:(from:'2017-06-05T07:56:41-0600',mode:absolute,to:'2017-06-05T10:15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28" s="204" t="str">
        <f t="shared" si="94"/>
        <v>Y</v>
      </c>
      <c r="X228" s="204" t="e">
        <f t="shared" si="89"/>
        <v>#VALUE!</v>
      </c>
      <c r="Y228" s="204">
        <f t="shared" si="88"/>
        <v>0.14899999999999999</v>
      </c>
      <c r="Z228" s="204">
        <f t="shared" si="81"/>
        <v>0.35620000000000002</v>
      </c>
      <c r="AA228" s="204">
        <f t="shared" si="95"/>
        <v>0.20720000000000002</v>
      </c>
      <c r="AB228" s="57" t="e">
        <f>VLOOKUP(A228,Enforcements!$C$7:$K$13,8,0)</f>
        <v>#N/A</v>
      </c>
      <c r="AC228" s="53" t="e">
        <f>VLOOKUP(A228,Enforcements!$C$7:$E$13,3,0)</f>
        <v>#N/A</v>
      </c>
      <c r="AD228" s="54" t="str">
        <f t="shared" si="96"/>
        <v>52-05</v>
      </c>
      <c r="AE228" s="80" t="str">
        <f t="shared" si="97"/>
        <v>aws s3 cp s3://rtdc.mdm.uploadarchive.raw/RTDC4014/ "%USERPROFILE%\AppData\Local\Temp\OnboardLogs"\RTDC4014\2017-06-05 --exclude "*" --recursive --include "*20170605*" &amp; "%USERPROFILE%\Documents\GitHub\mrs-test-scripts\Headless Mode &amp; Sideloading\WalkAndUnGZ.bat" "%USERPROFILE%\AppData\Local\Temp\OnboardLogs"\RTDC4014\2017-06-05 &amp; aws s3 cp s3://rtdc.mdm.uploadarchive.raw/RTDC4014/ "%USERPROFILE%\AppData\Local\Temp\OnboardLogs"\RTDC4014\2017-06-06 --exclude "*" --recursive --include "*20170606*" &amp; "%USERPROFILE%\Documents\GitHub\mrs-test-scripts\Headless Mode &amp; Sideloading\WalkAndUnGZ.bat" "%USERPROFILE%\AppData\Local\Temp\OnboardLogs"\RTDC4014\2017-06-06</v>
      </c>
      <c r="AF228" s="77" t="str">
        <f t="shared" si="98"/>
        <v>"C:\Program Files (x86)\AstroGrep\AstroGrep.exe" /e /r /s /spath="%USERPROFILE%\AppData\Local\Temp\OnboardLogs" /stypes="app*4014*20170605*" /stext=" 15:.+((SYSTEM_STATE.+slice.+state.+changed )|(ment ac)|(multiple cpu faults)|(system.+state.+changed )|(\[timeout)|(PRM\|1\|D)|(kpr)|(kdp)|(train st.+moving)|(\|lc)|(penalty))"</v>
      </c>
      <c r="AG228" s="1" t="str">
        <f t="shared" si="99"/>
        <v>Other</v>
      </c>
      <c r="AH228" s="81" t="str">
        <f t="shared" si="100"/>
        <v>"%USERPROFILE%\Documents\GitHub\eaglep3\Utilities\RefineRTDCRunTimes.py" --tripid 52-05 --locoid 4014 --swversion DE.1.0.9.0 --startMP 204:1490 --initTime 2017-06-05T08:56:41 --startdatetime 2017-06-05T09:14:11 --delay 1 --endMP 204:3562 --enddatetime 2017-06-05T09:15:34 --enforcementcount 0 &gt;&gt;C:\Users\stu\Documents\GitHub\eaglep3-reporting\EC\2017-06-05-refined-times.txt</v>
      </c>
      <c r="AI228" s="99" t="str">
        <f t="shared" si="101"/>
        <v>echo {"issue":{"subject":"","project_id":79,"tracker_id":40,"status_id":1,"priority_id":2,"assigned_to_id":23,"start_date":"2017-06-05","description":"","custom_fields":[{"id":1,"name":"Subdivision","value":"Other"},{"id":4,"name":"Milepost","value":"0.3562"},{"id":17,"name":"Train ID","value":"52-05"},{"id":16,"name":"Locomotive ID","value":"4014"},{"id":130,"name":"Impact","value":""},{"id":150,"name":"Time of Event (Mountain Time)","value":"09:15:34"},{"id":151,"name":"Denver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5" t="str">
        <f t="shared" si="102"/>
        <v>start /low /b %USERPROFILE%\Documents\GitHub\eaglep3\Utilities\DownloadLogsFromS3.py --loco 4014 --day 2017-06-05</v>
      </c>
      <c r="AN228" s="154" t="str">
        <f t="shared" si="103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15:15:34"},{"id":29,"name":"Sharepoint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2" t="s">
        <v>719</v>
      </c>
      <c r="B229" s="7">
        <v>4013</v>
      </c>
      <c r="C229" s="21" t="s">
        <v>204</v>
      </c>
      <c r="D229" s="21" t="s">
        <v>917</v>
      </c>
      <c r="E229" s="13">
        <v>42891.485706018517</v>
      </c>
      <c r="F229" s="13">
        <v>42891.487951388888</v>
      </c>
      <c r="G229" s="7">
        <v>1</v>
      </c>
      <c r="H229" s="21" t="s">
        <v>363</v>
      </c>
      <c r="I229" s="13">
        <v>42891.489791666667</v>
      </c>
      <c r="J229" s="7">
        <v>0</v>
      </c>
      <c r="K229" s="92" t="str">
        <f t="shared" si="90"/>
        <v>4013/4014</v>
      </c>
      <c r="L229" s="21" t="str">
        <f>VLOOKUP(A229,'Trips&amp;Operators'!$C$1:$G$99999,5,FALSE)</f>
        <v>MOSES BRADLEY</v>
      </c>
      <c r="M229" s="6">
        <f t="shared" si="91"/>
        <v>1.8402777786832303E-3</v>
      </c>
      <c r="N229" s="7">
        <f t="shared" si="86"/>
        <v>2.6500000013038516</v>
      </c>
      <c r="O229" s="7"/>
      <c r="P229" s="7"/>
      <c r="Q229" s="22"/>
      <c r="R229" s="173"/>
      <c r="S229" s="176">
        <f t="shared" si="87"/>
        <v>0</v>
      </c>
      <c r="T229" s="202" t="e">
        <f t="shared" si="92"/>
        <v>#VALUE!</v>
      </c>
      <c r="U229" s="202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03" t="str">
        <f t="shared" si="93"/>
        <v>https://d0f6bd738d7f1b3e5a7ca70fe4ff75f0.us-east-1.aws.found.io/app/kibana#/discover/Steve-Slow-Train-Analysis-(2080s-and-2083s)?_g=(refreshInterval:(display:Off,pause:!f,section:0,value:0),time:(from:'2017-06-05T10:39:25-0600',mode:absolute,to:'2017-06-05T12:45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9" s="204" t="str">
        <f t="shared" si="94"/>
        <v>Y</v>
      </c>
      <c r="X229" s="204" t="e">
        <f t="shared" si="89"/>
        <v>#VALUE!</v>
      </c>
      <c r="Y229" s="204">
        <f t="shared" si="88"/>
        <v>0.33239999999999997</v>
      </c>
      <c r="Z229" s="204">
        <f t="shared" si="81"/>
        <v>1.41E-2</v>
      </c>
      <c r="AA229" s="204">
        <f t="shared" si="95"/>
        <v>0.31829999999999997</v>
      </c>
      <c r="AB229" s="57" t="e">
        <f>VLOOKUP(A229,Enforcements!$C$7:$K$13,8,0)</f>
        <v>#N/A</v>
      </c>
      <c r="AC229" s="53" t="e">
        <f>VLOOKUP(A229,Enforcements!$C$7:$E$13,3,0)</f>
        <v>#N/A</v>
      </c>
      <c r="AD229" s="54" t="str">
        <f t="shared" si="96"/>
        <v>53-05</v>
      </c>
      <c r="AE229" s="80" t="str">
        <f t="shared" si="97"/>
        <v>aws s3 cp s3://rtdc.mdm.uploadarchive.raw/RTDC4013/ "%USERPROFILE%\AppData\Local\Temp\OnboardLogs"\RTDC4013\2017-06-05 --exclude "*" --recursive --include "*20170605*" &amp; "%USERPROFILE%\Documents\GitHub\mrs-test-scripts\Headless Mode &amp; Sideloading\WalkAndUnGZ.bat" "%USERPROFILE%\AppData\Local\Temp\OnboardLogs"\RTDC4013\2017-06-05 &amp; aws s3 cp s3://rtdc.mdm.uploadarchive.raw/RTDC4013/ "%USERPROFILE%\AppData\Local\Temp\OnboardLogs"\RTDC4013\2017-06-06 --exclude "*" --recursive --include "*20170606*" &amp; "%USERPROFILE%\Documents\GitHub\mrs-test-scripts\Headless Mode &amp; Sideloading\WalkAndUnGZ.bat" "%USERPROFILE%\AppData\Local\Temp\OnboardLogs"\RTDC4013\2017-06-06</v>
      </c>
      <c r="AF229" s="77" t="str">
        <f t="shared" si="98"/>
        <v>"C:\Program Files (x86)\AstroGrep\AstroGrep.exe" /e /r /s /spath="%USERPROFILE%\AppData\Local\Temp\OnboardLogs" /stypes="app*4013*20170605*" /stext=" 17:.+((SYSTEM_STATE.+slice.+state.+changed )|(ment ac)|(multiple cpu faults)|(system.+state.+changed )|(\[timeout)|(PRM\|1\|D)|(kpr)|(kdp)|(train st.+moving)|(\|lc)|(penalty))"</v>
      </c>
      <c r="AG229" s="1" t="str">
        <f t="shared" si="99"/>
        <v>Other</v>
      </c>
      <c r="AH229" s="81" t="str">
        <f t="shared" si="100"/>
        <v>"%USERPROFILE%\Documents\GitHub\eaglep3\Utilities\RefineRTDCRunTimes.py" --tripid 53-05 --locoid 4013 --swversion DE.1.0.9.0 --startMP 204:3324 --initTime 2017-06-05T11:39:25 --startdatetime 2017-06-05T11:42:39 --delay 1 --endMP 204:141 --enddatetime 2017-06-05T11:45:18 --enforcementcount 0 &gt;&gt;C:\Users\stu\Documents\GitHub\eaglep3-reporting\EC\2017-06-05-refined-times.txt</v>
      </c>
      <c r="AI229" s="99" t="str">
        <f t="shared" si="101"/>
        <v>echo {"issue":{"subject":"","project_id":79,"tracker_id":40,"status_id":1,"priority_id":2,"assigned_to_id":23,"start_date":"2017-06-05","description":"","custom_fields":[{"id":1,"name":"Subdivision","value":"Other"},{"id":4,"name":"Milepost","value":"0.0141"},{"id":17,"name":"Train ID","value":"53-05"},{"id":16,"name":"Locomotive ID","value":"4013"},{"id":130,"name":"Impact","value":""},{"id":150,"name":"Time of Event (Mountain Time)","value":"11:45:18"},{"id":151,"name":"Denver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5" t="str">
        <f t="shared" si="102"/>
        <v>start /low /b %USERPROFILE%\Documents\GitHub\eaglep3\Utilities\DownloadLogsFromS3.py --loco 4013 --day 2017-06-05</v>
      </c>
      <c r="AN229" s="154" t="str">
        <f t="shared" si="103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17:45:18"},{"id":29,"name":"Sharepoint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2" t="s">
        <v>719</v>
      </c>
      <c r="B230" s="7">
        <v>4014</v>
      </c>
      <c r="C230" s="21" t="s">
        <v>204</v>
      </c>
      <c r="D230" s="21" t="s">
        <v>918</v>
      </c>
      <c r="E230" s="13">
        <v>42891.475219907406</v>
      </c>
      <c r="F230" s="13">
        <v>42891.487951388888</v>
      </c>
      <c r="G230" s="7">
        <v>1</v>
      </c>
      <c r="H230" s="21" t="s">
        <v>919</v>
      </c>
      <c r="I230" s="13">
        <v>42891.489791666667</v>
      </c>
      <c r="J230" s="7">
        <v>0</v>
      </c>
      <c r="K230" s="92" t="str">
        <f t="shared" si="90"/>
        <v>4013/4014</v>
      </c>
      <c r="L230" s="21" t="str">
        <f>VLOOKUP(A230,'Trips&amp;Operators'!$C$1:$G$99999,5,FALSE)</f>
        <v>MOSES BRADLEY</v>
      </c>
      <c r="M230" s="6">
        <f t="shared" si="91"/>
        <v>1.8402777786832303E-3</v>
      </c>
      <c r="N230" s="7">
        <f t="shared" si="86"/>
        <v>2.6500000013038516</v>
      </c>
      <c r="O230" s="7"/>
      <c r="P230" s="7"/>
      <c r="Q230" s="22"/>
      <c r="R230" s="173"/>
      <c r="S230" s="176">
        <f t="shared" si="87"/>
        <v>0</v>
      </c>
      <c r="T230" s="202" t="e">
        <f t="shared" si="92"/>
        <v>#VALUE!</v>
      </c>
      <c r="U230" s="202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03" t="str">
        <f t="shared" si="93"/>
        <v>https://d0f6bd738d7f1b3e5a7ca70fe4ff75f0.us-east-1.aws.found.io/app/kibana#/discover/Steve-Slow-Train-Analysis-(2080s-and-2083s)?_g=(refreshInterval:(display:Off,pause:!f,section:0,value:0),time:(from:'2017-06-05T10:24:19-0600',mode:absolute,to:'2017-06-05T12:45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30" s="204" t="str">
        <f t="shared" si="94"/>
        <v>Y</v>
      </c>
      <c r="X230" s="204" t="e">
        <f t="shared" si="89"/>
        <v>#VALUE!</v>
      </c>
      <c r="Y230" s="204">
        <f t="shared" si="88"/>
        <v>0.14940000000000001</v>
      </c>
      <c r="Z230" s="204">
        <f t="shared" ref="Z230:Z247" si="104">RIGHT(H230,LEN(H230)-4)/10000</f>
        <v>0.36320000000000002</v>
      </c>
      <c r="AA230" s="204">
        <f t="shared" si="95"/>
        <v>0.21380000000000002</v>
      </c>
      <c r="AB230" s="57" t="e">
        <f>VLOOKUP(A230,Enforcements!$C$7:$K$13,8,0)</f>
        <v>#N/A</v>
      </c>
      <c r="AC230" s="53" t="e">
        <f>VLOOKUP(A230,Enforcements!$C$7:$E$13,3,0)</f>
        <v>#N/A</v>
      </c>
      <c r="AD230" s="54" t="str">
        <f t="shared" si="96"/>
        <v>53-05</v>
      </c>
      <c r="AE230" s="80" t="str">
        <f t="shared" si="97"/>
        <v>aws s3 cp s3://rtdc.mdm.uploadarchive.raw/RTDC4014/ "%USERPROFILE%\AppData\Local\Temp\OnboardLogs"\RTDC4014\2017-06-05 --exclude "*" --recursive --include "*20170605*" &amp; "%USERPROFILE%\Documents\GitHub\mrs-test-scripts\Headless Mode &amp; Sideloading\WalkAndUnGZ.bat" "%USERPROFILE%\AppData\Local\Temp\OnboardLogs"\RTDC4014\2017-06-05 &amp; aws s3 cp s3://rtdc.mdm.uploadarchive.raw/RTDC4014/ "%USERPROFILE%\AppData\Local\Temp\OnboardLogs"\RTDC4014\2017-06-06 --exclude "*" --recursive --include "*20170606*" &amp; "%USERPROFILE%\Documents\GitHub\mrs-test-scripts\Headless Mode &amp; Sideloading\WalkAndUnGZ.bat" "%USERPROFILE%\AppData\Local\Temp\OnboardLogs"\RTDC4014\2017-06-06</v>
      </c>
      <c r="AF230" s="77" t="str">
        <f t="shared" si="98"/>
        <v>"C:\Program Files (x86)\AstroGrep\AstroGrep.exe" /e /r /s /spath="%USERPROFILE%\AppData\Local\Temp\OnboardLogs" /stypes="app*4014*20170605*" /stext=" 17:.+((SYSTEM_STATE.+slice.+state.+changed )|(ment ac)|(multiple cpu faults)|(system.+state.+changed )|(\[timeout)|(PRM\|1\|D)|(kpr)|(kdp)|(train st.+moving)|(\|lc)|(penalty))"</v>
      </c>
      <c r="AG230" s="1" t="str">
        <f t="shared" si="99"/>
        <v>Other</v>
      </c>
      <c r="AH230" s="81" t="str">
        <f t="shared" si="100"/>
        <v>"%USERPROFILE%\Documents\GitHub\eaglep3\Utilities\RefineRTDCRunTimes.py" --tripid 53-05 --locoid 4014 --swversion DE.1.0.9.0 --startMP 204:1494 --initTime 2017-06-05T11:24:19 --startdatetime 2017-06-05T11:42:39 --delay 1 --endMP 204:3632 --enddatetime 2017-06-05T11:45:18 --enforcementcount 0 &gt;&gt;C:\Users\stu\Documents\GitHub\eaglep3-reporting\EC\2017-06-05-refined-times.txt</v>
      </c>
      <c r="AI230" s="99" t="str">
        <f t="shared" si="101"/>
        <v>echo {"issue":{"subject":"","project_id":79,"tracker_id":40,"status_id":1,"priority_id":2,"assigned_to_id":23,"start_date":"2017-06-05","description":"","custom_fields":[{"id":1,"name":"Subdivision","value":"Other"},{"id":4,"name":"Milepost","value":"0.3632"},{"id":17,"name":"Train ID","value":"53-05"},{"id":16,"name":"Locomotive ID","value":"4014"},{"id":130,"name":"Impact","value":""},{"id":150,"name":"Time of Event (Mountain Time)","value":"11:45:18"},{"id":151,"name":"Denver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5" t="str">
        <f t="shared" si="102"/>
        <v>start /low /b %USERPROFILE%\Documents\GitHub\eaglep3\Utilities\DownloadLogsFromS3.py --loco 4014 --day 2017-06-05</v>
      </c>
      <c r="AN230" s="154" t="str">
        <f t="shared" si="103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17:45:18"},{"id":29,"name":"Sharepoint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2" t="s">
        <v>616</v>
      </c>
      <c r="B231" s="7">
        <v>4011</v>
      </c>
      <c r="C231" s="21" t="s">
        <v>204</v>
      </c>
      <c r="D231" s="21" t="s">
        <v>920</v>
      </c>
      <c r="E231" s="13">
        <v>42891.736724537041</v>
      </c>
      <c r="F231" s="13">
        <v>42891.749675925923</v>
      </c>
      <c r="G231" s="7">
        <v>18</v>
      </c>
      <c r="H231" s="21" t="s">
        <v>921</v>
      </c>
      <c r="I231" s="13">
        <v>42891.756898148145</v>
      </c>
      <c r="J231" s="7">
        <v>0</v>
      </c>
      <c r="K231" s="92" t="str">
        <f t="shared" si="90"/>
        <v>4011/4012</v>
      </c>
      <c r="L231" s="21" t="str">
        <f>VLOOKUP(A231,'Trips&amp;Operators'!$C$1:$G$99999,5,FALSE)</f>
        <v>BIRENBAUM THOMAS</v>
      </c>
      <c r="M231" s="6">
        <f t="shared" si="91"/>
        <v>7.2222222224809229E-3</v>
      </c>
      <c r="N231" s="7">
        <f t="shared" ref="N231:N247" si="105">24*60*SUM($M231:$M231)</f>
        <v>10.400000000372529</v>
      </c>
      <c r="O231" s="7"/>
      <c r="P231" s="7"/>
      <c r="Q231" s="22"/>
      <c r="R231" s="173"/>
      <c r="S231" s="176">
        <f t="shared" ref="S231:S247" si="106">SUM(U231:U231)/IF(AG231="EC",12,1)</f>
        <v>0</v>
      </c>
      <c r="T231" s="202" t="e">
        <f t="shared" si="92"/>
        <v>#VALUE!</v>
      </c>
      <c r="U231" s="202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03" t="str">
        <f t="shared" si="93"/>
        <v>https://d0f6bd738d7f1b3e5a7ca70fe4ff75f0.us-east-1.aws.found.io/app/kibana#/discover/Steve-Slow-Train-Analysis-(2080s-and-2083s)?_g=(refreshInterval:(display:Off,pause:!f,section:0,value:0),time:(from:'2017-06-05T16:40:53-0600',mode:absolute,to:'2017-06-05T19:09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31" s="204" t="str">
        <f t="shared" si="94"/>
        <v>Y</v>
      </c>
      <c r="X231" s="204" t="e">
        <f t="shared" si="89"/>
        <v>#VALUE!</v>
      </c>
      <c r="Y231" s="204">
        <f t="shared" ref="Y231:Y247" si="107">RIGHT(D231,LEN(D231)-4)/10000</f>
        <v>2.2307999999999999</v>
      </c>
      <c r="Z231" s="204">
        <f t="shared" si="104"/>
        <v>9.1399999999999995E-2</v>
      </c>
      <c r="AA231" s="204">
        <f t="shared" si="95"/>
        <v>2.1393999999999997</v>
      </c>
      <c r="AB231" s="57" t="e">
        <f>VLOOKUP(A231,Enforcements!$C$7:$K$13,8,0)</f>
        <v>#N/A</v>
      </c>
      <c r="AC231" s="53" t="e">
        <f>VLOOKUP(A231,Enforcements!$C$7:$E$13,3,0)</f>
        <v>#N/A</v>
      </c>
      <c r="AD231" s="54" t="str">
        <f t="shared" si="96"/>
        <v>54-05</v>
      </c>
      <c r="AE231" s="80" t="str">
        <f t="shared" si="97"/>
        <v>aws s3 cp s3://rtdc.mdm.uploadarchive.raw/RTDC4011/ "%USERPROFILE%\AppData\Local\Temp\OnboardLogs"\RTDC4011\2017-06-05 --exclude "*" --recursive --include "*20170605*" &amp; "%USERPROFILE%\Documents\GitHub\mrs-test-scripts\Headless Mode &amp; Sideloading\WalkAndUnGZ.bat" "%USERPROFILE%\AppData\Local\Temp\OnboardLogs"\RTDC4011\2017-06-05 &amp; aws s3 cp s3://rtdc.mdm.uploadarchive.raw/RTDC4011/ "%USERPROFILE%\AppData\Local\Temp\OnboardLogs"\RTDC4011\2017-06-06 --exclude "*" --recursive --include "*20170606*" &amp; "%USERPROFILE%\Documents\GitHub\mrs-test-scripts\Headless Mode &amp; Sideloading\WalkAndUnGZ.bat" "%USERPROFILE%\AppData\Local\Temp\OnboardLogs"\RTDC4011\2017-06-06</v>
      </c>
      <c r="AF231" s="77" t="str">
        <f t="shared" si="98"/>
        <v>"C:\Program Files (x86)\AstroGrep\AstroGrep.exe" /e /r /s /spath="%USERPROFILE%\AppData\Local\Temp\OnboardLogs" /stypes="app*4011*20170606*" /stext=" 00:.+((SYSTEM_STATE.+slice.+state.+changed )|(ment ac)|(multiple cpu faults)|(system.+state.+changed )|(\[timeout)|(PRM\|1\|D)|(kpr)|(kdp)|(train st.+moving)|(\|lc)|(penalty))"</v>
      </c>
      <c r="AG231" s="1" t="str">
        <f t="shared" si="99"/>
        <v>Other</v>
      </c>
      <c r="AH231" s="81" t="str">
        <f t="shared" si="100"/>
        <v>"%USERPROFILE%\Documents\GitHub\eaglep3\Utilities\RefineRTDCRunTimes.py" --tripid 54-05 --locoid 4011 --swversion DE.1.0.9.0 --startMP 300:22308 --initTime 2017-06-05T17:40:53 --startdatetime 2017-06-05T17:59:32 --delay 18 --endMP 204:914 --enddatetime 2017-06-05T18:09:56 --enforcementcount 0 &gt;&gt;C:\Users\stu\Documents\GitHub\eaglep3-reporting\EC\2017-06-05-refined-times.txt</v>
      </c>
      <c r="AI231" s="99" t="str">
        <f t="shared" si="101"/>
        <v>echo {"issue":{"subject":"","project_id":79,"tracker_id":40,"status_id":1,"priority_id":2,"assigned_to_id":23,"start_date":"2017-06-05","description":"","custom_fields":[{"id":1,"name":"Subdivision","value":"Other"},{"id":4,"name":"Milepost","value":"0.0914"},{"id":17,"name":"Train ID","value":"54-05"},{"id":16,"name":"Locomotive ID","value":"4011"},{"id":130,"name":"Impact","value":""},{"id":150,"name":"Time of Event (Mountain Time)","value":"18:09:56"},{"id":151,"name":"Denver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5" t="str">
        <f t="shared" si="102"/>
        <v>start /low /b %USERPROFILE%\Documents\GitHub\eaglep3\Utilities\DownloadLogsFromS3.py --loco 4011 --day 2017-06-05</v>
      </c>
      <c r="AN231" s="154" t="str">
        <f t="shared" si="103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00:09:56"},{"id":29,"name":"Sharepoint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2" t="s">
        <v>730</v>
      </c>
      <c r="B232" s="7">
        <v>4009</v>
      </c>
      <c r="C232" s="21" t="s">
        <v>204</v>
      </c>
      <c r="D232" s="21" t="s">
        <v>922</v>
      </c>
      <c r="E232" s="13">
        <v>42891.506469907406</v>
      </c>
      <c r="F232" s="13">
        <v>42891.508171296293</v>
      </c>
      <c r="G232" s="7">
        <v>0</v>
      </c>
      <c r="H232" s="21" t="s">
        <v>361</v>
      </c>
      <c r="I232" s="13">
        <v>42891.50953703704</v>
      </c>
      <c r="J232" s="7">
        <v>0</v>
      </c>
      <c r="K232" s="92" t="str">
        <f t="shared" si="90"/>
        <v>4009/4010</v>
      </c>
      <c r="L232" s="21" t="str">
        <f>VLOOKUP(A232,'Trips&amp;Operators'!$C$1:$G$99999,5,FALSE)</f>
        <v>MOSES BRADLEY</v>
      </c>
      <c r="M232" s="6">
        <f t="shared" si="91"/>
        <v>1.3657407471328042E-3</v>
      </c>
      <c r="N232" s="7">
        <f t="shared" si="105"/>
        <v>1.9666666758712381</v>
      </c>
      <c r="O232" s="7"/>
      <c r="P232" s="7"/>
      <c r="Q232" s="22"/>
      <c r="R232" s="173"/>
      <c r="S232" s="176">
        <f t="shared" si="106"/>
        <v>0</v>
      </c>
      <c r="T232" s="202" t="e">
        <f t="shared" si="92"/>
        <v>#VALUE!</v>
      </c>
      <c r="U232" s="202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03" t="str">
        <f t="shared" si="93"/>
        <v>https://d0f6bd738d7f1b3e5a7ca70fe4ff75f0.us-east-1.aws.found.io/app/kibana#/discover/Steve-Slow-Train-Analysis-(2080s-and-2083s)?_g=(refreshInterval:(display:Off,pause:!f,section:0,value:0),time:(from:'2017-06-05T11:09:19-0600',mode:absolute,to:'2017-06-05T13:13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32" s="204" t="str">
        <f t="shared" si="94"/>
        <v>Y</v>
      </c>
      <c r="X232" s="204" t="e">
        <f t="shared" si="89"/>
        <v>#VALUE!</v>
      </c>
      <c r="Y232" s="204">
        <f t="shared" si="107"/>
        <v>0.31919999999999998</v>
      </c>
      <c r="Z232" s="204">
        <f t="shared" si="104"/>
        <v>1.3899999999999999E-2</v>
      </c>
      <c r="AA232" s="204">
        <f t="shared" si="95"/>
        <v>0.30529999999999996</v>
      </c>
      <c r="AB232" s="57" t="e">
        <f>VLOOKUP(A232,Enforcements!$C$7:$K$13,8,0)</f>
        <v>#N/A</v>
      </c>
      <c r="AC232" s="53" t="e">
        <f>VLOOKUP(A232,Enforcements!$C$7:$E$13,3,0)</f>
        <v>#N/A</v>
      </c>
      <c r="AD232" s="54" t="str">
        <f t="shared" si="96"/>
        <v>55-05</v>
      </c>
      <c r="AE232" s="80" t="str">
        <f t="shared" si="97"/>
        <v>aws s3 cp s3://rtdc.mdm.uploadarchive.raw/RTDC4009/ "%USERPROFILE%\AppData\Local\Temp\OnboardLogs"\RTDC4009\2017-06-05 --exclude "*" --recursive --include "*20170605*" &amp; "%USERPROFILE%\Documents\GitHub\mrs-test-scripts\Headless Mode &amp; Sideloading\WalkAndUnGZ.bat" "%USERPROFILE%\AppData\Local\Temp\OnboardLogs"\RTDC4009\2017-06-05 &amp; aws s3 cp s3://rtdc.mdm.uploadarchive.raw/RTDC4009/ "%USERPROFILE%\AppData\Local\Temp\OnboardLogs"\RTDC4009\2017-06-06 --exclude "*" --recursive --include "*20170606*" &amp; "%USERPROFILE%\Documents\GitHub\mrs-test-scripts\Headless Mode &amp; Sideloading\WalkAndUnGZ.bat" "%USERPROFILE%\AppData\Local\Temp\OnboardLogs"\RTDC4009\2017-06-06</v>
      </c>
      <c r="AF232" s="77" t="str">
        <f t="shared" si="98"/>
        <v>"C:\Program Files (x86)\AstroGrep\AstroGrep.exe" /e /r /s /spath="%USERPROFILE%\AppData\Local\Temp\OnboardLogs" /stypes="app*4009*20170605*" /stext=" 18:.+((SYSTEM_STATE.+slice.+state.+changed )|(ment ac)|(multiple cpu faults)|(system.+state.+changed )|(\[timeout)|(PRM\|1\|D)|(kpr)|(kdp)|(train st.+moving)|(\|lc)|(penalty))"</v>
      </c>
      <c r="AG232" s="1" t="str">
        <f t="shared" si="99"/>
        <v>Other</v>
      </c>
      <c r="AH232" s="81" t="str">
        <f t="shared" si="100"/>
        <v>"%USERPROFILE%\Documents\GitHub\eaglep3\Utilities\RefineRTDCRunTimes.py" --tripid 55-05 --locoid 4009 --swversion DE.1.0.9.0 --startMP 204:3192 --initTime 2017-06-05T12:09:19 --startdatetime 2017-06-05T12:11:46 --delay 0 --endMP 204:139 --enddatetime 2017-06-05T12:13:44 --enforcementcount 0 &gt;&gt;C:\Users\stu\Documents\GitHub\eaglep3-reporting\EC\2017-06-05-refined-times.txt</v>
      </c>
      <c r="AI232" s="99" t="str">
        <f t="shared" si="101"/>
        <v>echo {"issue":{"subject":"","project_id":79,"tracker_id":40,"status_id":1,"priority_id":2,"assigned_to_id":23,"start_date":"2017-06-05","description":"","custom_fields":[{"id":1,"name":"Subdivision","value":"Other"},{"id":4,"name":"Milepost","value":"0.0139"},{"id":17,"name":"Train ID","value":"55-05"},{"id":16,"name":"Locomotive ID","value":"4009"},{"id":130,"name":"Impact","value":""},{"id":150,"name":"Time of Event (Mountain Time)","value":"12:13:44"},{"id":151,"name":"Denver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5" t="str">
        <f t="shared" si="102"/>
        <v>start /low /b %USERPROFILE%\Documents\GitHub\eaglep3\Utilities\DownloadLogsFromS3.py --loco 4009 --day 2017-06-05</v>
      </c>
      <c r="AN232" s="154" t="str">
        <f t="shared" si="103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18:13:44"},{"id":29,"name":"Sharepoint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 s="32" t="s">
        <v>730</v>
      </c>
      <c r="B233" s="7">
        <v>4010</v>
      </c>
      <c r="C233" s="21" t="s">
        <v>204</v>
      </c>
      <c r="D233" s="21" t="s">
        <v>923</v>
      </c>
      <c r="E233" s="13">
        <v>42891.501712962963</v>
      </c>
      <c r="F233" s="13">
        <v>42891.508171296293</v>
      </c>
      <c r="G233" s="7">
        <v>1</v>
      </c>
      <c r="H233" s="21" t="s">
        <v>924</v>
      </c>
      <c r="I233" s="13">
        <v>42891.50953703704</v>
      </c>
      <c r="J233" s="7">
        <v>0</v>
      </c>
      <c r="K233" s="92" t="str">
        <f t="shared" si="90"/>
        <v>4009/4010</v>
      </c>
      <c r="L233" s="21" t="str">
        <f>VLOOKUP(A233,'Trips&amp;Operators'!$C$1:$G$99999,5,FALSE)</f>
        <v>MOSES BRADLEY</v>
      </c>
      <c r="M233" s="6">
        <f t="shared" si="91"/>
        <v>1.3657407471328042E-3</v>
      </c>
      <c r="N233" s="7">
        <f t="shared" si="105"/>
        <v>1.9666666758712381</v>
      </c>
      <c r="O233" s="7"/>
      <c r="P233" s="7"/>
      <c r="Q233" s="22"/>
      <c r="R233" s="173"/>
      <c r="S233" s="176">
        <f t="shared" si="106"/>
        <v>0</v>
      </c>
      <c r="T233" s="202" t="e">
        <f t="shared" si="92"/>
        <v>#VALUE!</v>
      </c>
      <c r="U233" s="202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203" t="str">
        <f t="shared" si="93"/>
        <v>https://d0f6bd738d7f1b3e5a7ca70fe4ff75f0.us-east-1.aws.found.io/app/kibana#/discover/Steve-Slow-Train-Analysis-(2080s-and-2083s)?_g=(refreshInterval:(display:Off,pause:!f,section:0,value:0),time:(from:'2017-06-05T11:02:28-0600',mode:absolute,to:'2017-06-05T13:13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33" s="204" t="str">
        <f t="shared" si="94"/>
        <v>Y</v>
      </c>
      <c r="X233" s="204" t="e">
        <f t="shared" si="89"/>
        <v>#VALUE!</v>
      </c>
      <c r="Y233" s="204">
        <f t="shared" si="107"/>
        <v>0.1158</v>
      </c>
      <c r="Z233" s="204">
        <f t="shared" si="104"/>
        <v>0.35210000000000002</v>
      </c>
      <c r="AA233" s="204">
        <f t="shared" si="95"/>
        <v>0.23630000000000001</v>
      </c>
      <c r="AB233" s="57" t="e">
        <f>VLOOKUP(A233,Enforcements!$C$7:$K$13,8,0)</f>
        <v>#N/A</v>
      </c>
      <c r="AC233" s="53" t="e">
        <f>VLOOKUP(A233,Enforcements!$C$7:$E$13,3,0)</f>
        <v>#N/A</v>
      </c>
      <c r="AD233" s="54" t="str">
        <f t="shared" si="96"/>
        <v>55-05</v>
      </c>
      <c r="AE233" s="80" t="str">
        <f t="shared" si="97"/>
        <v>aws s3 cp s3://rtdc.mdm.uploadarchive.raw/RTDC4010/ "%USERPROFILE%\AppData\Local\Temp\OnboardLogs"\RTDC4010\2017-06-05 --exclude "*" --recursive --include "*20170605*" &amp; "%USERPROFILE%\Documents\GitHub\mrs-test-scripts\Headless Mode &amp; Sideloading\WalkAndUnGZ.bat" "%USERPROFILE%\AppData\Local\Temp\OnboardLogs"\RTDC4010\2017-06-05 &amp; aws s3 cp s3://rtdc.mdm.uploadarchive.raw/RTDC4010/ "%USERPROFILE%\AppData\Local\Temp\OnboardLogs"\RTDC4010\2017-06-06 --exclude "*" --recursive --include "*20170606*" &amp; "%USERPROFILE%\Documents\GitHub\mrs-test-scripts\Headless Mode &amp; Sideloading\WalkAndUnGZ.bat" "%USERPROFILE%\AppData\Local\Temp\OnboardLogs"\RTDC4010\2017-06-06</v>
      </c>
      <c r="AF233" s="77" t="str">
        <f t="shared" si="98"/>
        <v>"C:\Program Files (x86)\AstroGrep\AstroGrep.exe" /e /r /s /spath="%USERPROFILE%\AppData\Local\Temp\OnboardLogs" /stypes="app*4010*20170605*" /stext=" 18:.+((SYSTEM_STATE.+slice.+state.+changed )|(ment ac)|(multiple cpu faults)|(system.+state.+changed )|(\[timeout)|(PRM\|1\|D)|(kpr)|(kdp)|(train st.+moving)|(\|lc)|(penalty))"</v>
      </c>
      <c r="AG233" s="1" t="str">
        <f t="shared" si="99"/>
        <v>Other</v>
      </c>
      <c r="AH233" s="81" t="str">
        <f t="shared" si="100"/>
        <v>"%USERPROFILE%\Documents\GitHub\eaglep3\Utilities\RefineRTDCRunTimes.py" --tripid 55-05 --locoid 4010 --swversion DE.1.0.9.0 --startMP 204:1158 --initTime 2017-06-05T12:02:28 --startdatetime 2017-06-05T12:11:46 --delay 1 --endMP 204:3521 --enddatetime 2017-06-05T12:13:44 --enforcementcount 0 &gt;&gt;C:\Users\stu\Documents\GitHub\eaglep3-reporting\EC\2017-06-05-refined-times.txt</v>
      </c>
      <c r="AI233" s="99" t="str">
        <f t="shared" si="101"/>
        <v>echo {"issue":{"subject":"","project_id":79,"tracker_id":40,"status_id":1,"priority_id":2,"assigned_to_id":23,"start_date":"2017-06-05","description":"","custom_fields":[{"id":1,"name":"Subdivision","value":"Other"},{"id":4,"name":"Milepost","value":"0.3521"},{"id":17,"name":"Train ID","value":"55-05"},{"id":16,"name":"Locomotive ID","value":"4010"},{"id":130,"name":"Impact","value":""},{"id":150,"name":"Time of Event (Mountain Time)","value":"12:13:44"},{"id":151,"name":"Denver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5" t="str">
        <f t="shared" si="102"/>
        <v>start /low /b %USERPROFILE%\Documents\GitHub\eaglep3\Utilities\DownloadLogsFromS3.py --loco 4010 --day 2017-06-05</v>
      </c>
      <c r="AN233" s="154" t="str">
        <f t="shared" si="103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18:13:44"},{"id":29,"name":"Sharepoint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x14ac:dyDescent="0.25">
      <c r="A234" s="32" t="s">
        <v>714</v>
      </c>
      <c r="B234" s="7">
        <v>4039</v>
      </c>
      <c r="C234" s="21" t="s">
        <v>204</v>
      </c>
      <c r="D234" s="21" t="s">
        <v>925</v>
      </c>
      <c r="E234" s="13">
        <v>42891.449421296296</v>
      </c>
      <c r="F234" s="13">
        <v>42891.45517361111</v>
      </c>
      <c r="G234" s="7">
        <v>8</v>
      </c>
      <c r="H234" s="21" t="s">
        <v>926</v>
      </c>
      <c r="I234" s="13">
        <v>42891.460995370369</v>
      </c>
      <c r="J234" s="7">
        <v>0</v>
      </c>
      <c r="K234" s="92" t="str">
        <f t="shared" si="90"/>
        <v>4039/4040</v>
      </c>
      <c r="L234" s="21" t="str">
        <f>VLOOKUP(A234,'Trips&amp;Operators'!$C$1:$G$99999,5,FALSE)</f>
        <v>BROWN JACOB</v>
      </c>
      <c r="M234" s="6">
        <f t="shared" si="91"/>
        <v>5.8217592595610768E-3</v>
      </c>
      <c r="N234" s="7">
        <f t="shared" si="105"/>
        <v>8.3833333337679505</v>
      </c>
      <c r="O234" s="7"/>
      <c r="P234" s="7"/>
      <c r="Q234" s="22"/>
      <c r="R234" s="173"/>
      <c r="S234" s="176">
        <f t="shared" si="106"/>
        <v>0</v>
      </c>
      <c r="T234" s="202" t="e">
        <f t="shared" si="92"/>
        <v>#VALUE!</v>
      </c>
      <c r="U234" s="202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203" t="str">
        <f t="shared" si="93"/>
        <v>https://d0f6bd738d7f1b3e5a7ca70fe4ff75f0.us-east-1.aws.found.io/app/kibana#/discover/Steve-Slow-Train-Analysis-(2080s-and-2083s)?_g=(refreshInterval:(display:Off,pause:!f,section:0,value:0),time:(from:'2017-06-05T09:47:10-0600',mode:absolute,to:'2017-06-05T12:03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34" s="204" t="str">
        <f t="shared" si="94"/>
        <v>Y</v>
      </c>
      <c r="X234" s="204" t="e">
        <f t="shared" si="89"/>
        <v>#VALUE!</v>
      </c>
      <c r="Y234" s="204">
        <f t="shared" si="107"/>
        <v>2.3338999999999999</v>
      </c>
      <c r="Z234" s="204">
        <f t="shared" si="104"/>
        <v>9.0399999999999994E-2</v>
      </c>
      <c r="AA234" s="204">
        <f t="shared" si="95"/>
        <v>2.2435</v>
      </c>
      <c r="AB234" s="57" t="e">
        <f>VLOOKUP(A234,Enforcements!$C$7:$K$13,8,0)</f>
        <v>#N/A</v>
      </c>
      <c r="AC234" s="53" t="e">
        <f>VLOOKUP(A234,Enforcements!$C$7:$E$13,3,0)</f>
        <v>#N/A</v>
      </c>
      <c r="AD234" s="54" t="str">
        <f t="shared" si="96"/>
        <v>56-05</v>
      </c>
      <c r="AE234" s="80" t="str">
        <f t="shared" si="97"/>
        <v>aws s3 cp s3://rtdc.mdm.uploadarchive.raw/RTDC4039/ "%USERPROFILE%\AppData\Local\Temp\OnboardLogs"\RTDC4039\2017-06-05 --exclude "*" --recursive --include "*20170605*" &amp; "%USERPROFILE%\Documents\GitHub\mrs-test-scripts\Headless Mode &amp; Sideloading\WalkAndUnGZ.bat" "%USERPROFILE%\AppData\Local\Temp\OnboardLogs"\RTDC4039\2017-06-05 &amp; aws s3 cp s3://rtdc.mdm.uploadarchive.raw/RTDC4039/ "%USERPROFILE%\AppData\Local\Temp\OnboardLogs"\RTDC4039\2017-06-06 --exclude "*" --recursive --include "*20170606*" &amp; "%USERPROFILE%\Documents\GitHub\mrs-test-scripts\Headless Mode &amp; Sideloading\WalkAndUnGZ.bat" "%USERPROFILE%\AppData\Local\Temp\OnboardLogs"\RTDC4039\2017-06-06</v>
      </c>
      <c r="AF234" s="77" t="str">
        <f t="shared" si="98"/>
        <v>"C:\Program Files (x86)\AstroGrep\AstroGrep.exe" /e /r /s /spath="%USERPROFILE%\AppData\Local\Temp\OnboardLogs" /stypes="app*4039*20170605*" /stext=" 17:.+((SYSTEM_STATE.+slice.+state.+changed )|(ment ac)|(multiple cpu faults)|(system.+state.+changed )|(\[timeout)|(PRM\|1\|D)|(kpr)|(kdp)|(train st.+moving)|(\|lc)|(penalty))"</v>
      </c>
      <c r="AG234" s="1" t="str">
        <f t="shared" si="99"/>
        <v>Other</v>
      </c>
      <c r="AH234" s="81" t="str">
        <f t="shared" si="100"/>
        <v>"%USERPROFILE%\Documents\GitHub\eaglep3\Utilities\RefineRTDCRunTimes.py" --tripid 56-05 --locoid 4039 --swversion DE.1.0.9.0 --startMP 300:23339 --initTime 2017-06-05T10:47:10 --startdatetime 2017-06-05T10:55:27 --delay 8 --endMP 204:904 --enddatetime 2017-06-05T11:03:50 --enforcementcount 0 &gt;&gt;C:\Users\stu\Documents\GitHub\eaglep3-reporting\EC\2017-06-05-refined-times.txt</v>
      </c>
      <c r="AI234" s="99" t="str">
        <f t="shared" si="101"/>
        <v>echo {"issue":{"subject":"","project_id":79,"tracker_id":40,"status_id":1,"priority_id":2,"assigned_to_id":23,"start_date":"2017-06-05","description":"","custom_fields":[{"id":1,"name":"Subdivision","value":"Other"},{"id":4,"name":"Milepost","value":"0.0904"},{"id":17,"name":"Train ID","value":"56-05"},{"id":16,"name":"Locomotive ID","value":"4039"},{"id":130,"name":"Impact","value":""},{"id":150,"name":"Time of Event (Mountain Time)","value":"11:03:50"},{"id":151,"name":"Denver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5" t="str">
        <f t="shared" si="102"/>
        <v>start /low /b %USERPROFILE%\Documents\GitHub\eaglep3\Utilities\DownloadLogsFromS3.py --loco 4039 --day 2017-06-05</v>
      </c>
      <c r="AN234" s="154" t="str">
        <f t="shared" si="103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17:03:50"},{"id":29,"name":"Sharepoint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s="20" customFormat="1" x14ac:dyDescent="0.25">
      <c r="A235" s="32" t="s">
        <v>721</v>
      </c>
      <c r="B235" s="7">
        <v>4040</v>
      </c>
      <c r="C235" s="21" t="s">
        <v>204</v>
      </c>
      <c r="D235" s="21" t="s">
        <v>927</v>
      </c>
      <c r="E235" s="13">
        <v>42891.479722222219</v>
      </c>
      <c r="F235" s="13">
        <v>42891.482488425929</v>
      </c>
      <c r="G235" s="7">
        <v>1</v>
      </c>
      <c r="H235" s="21" t="s">
        <v>928</v>
      </c>
      <c r="I235" s="13">
        <v>42891.489976851852</v>
      </c>
      <c r="J235" s="7">
        <v>0</v>
      </c>
      <c r="K235" s="92" t="str">
        <f t="shared" si="90"/>
        <v>4039/4040</v>
      </c>
      <c r="L235" s="21" t="str">
        <f>VLOOKUP(A235,'Trips&amp;Operators'!$C$1:$G$99999,5,FALSE)</f>
        <v>STARKS ANGELINA</v>
      </c>
      <c r="M235" s="6">
        <f t="shared" si="91"/>
        <v>7.4884259229293093E-3</v>
      </c>
      <c r="N235" s="7">
        <f t="shared" si="105"/>
        <v>10.783333329018205</v>
      </c>
      <c r="O235" s="7"/>
      <c r="P235" s="7"/>
      <c r="Q235" s="22"/>
      <c r="R235" s="173"/>
      <c r="S235" s="176">
        <f t="shared" si="106"/>
        <v>0</v>
      </c>
      <c r="T235" s="202" t="e">
        <f t="shared" si="92"/>
        <v>#VALUE!</v>
      </c>
      <c r="U235" s="202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203" t="str">
        <f t="shared" si="93"/>
        <v>https://d0f6bd738d7f1b3e5a7ca70fe4ff75f0.us-east-1.aws.found.io/app/kibana#/discover/Steve-Slow-Train-Analysis-(2080s-and-2083s)?_g=(refreshInterval:(display:Off,pause:!f,section:0,value:0),time:(from:'2017-06-05T10:30:48-0600',mode:absolute,to:'2017-06-05T12:45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35" s="204" t="str">
        <f t="shared" si="94"/>
        <v>Y</v>
      </c>
      <c r="X235" s="204" t="e">
        <f t="shared" si="89"/>
        <v>#VALUE!</v>
      </c>
      <c r="Y235" s="204">
        <f t="shared" si="107"/>
        <v>0.1225</v>
      </c>
      <c r="Z235" s="204">
        <f t="shared" si="104"/>
        <v>2.4222000000000001</v>
      </c>
      <c r="AA235" s="204">
        <f t="shared" si="95"/>
        <v>2.2997000000000001</v>
      </c>
      <c r="AB235" s="57" t="e">
        <f>VLOOKUP(A235,Enforcements!$C$7:$K$13,8,0)</f>
        <v>#N/A</v>
      </c>
      <c r="AC235" s="53" t="e">
        <f>VLOOKUP(A235,Enforcements!$C$7:$E$13,3,0)</f>
        <v>#N/A</v>
      </c>
      <c r="AD235" s="54" t="str">
        <f t="shared" si="96"/>
        <v>57-05</v>
      </c>
      <c r="AE235" s="80" t="str">
        <f t="shared" si="97"/>
        <v>aws s3 cp s3://rtdc.mdm.uploadarchive.raw/RTDC4040/ "%USERPROFILE%\AppData\Local\Temp\OnboardLogs"\RTDC4040\2017-06-05 --exclude "*" --recursive --include "*20170605*" &amp; "%USERPROFILE%\Documents\GitHub\mrs-test-scripts\Headless Mode &amp; Sideloading\WalkAndUnGZ.bat" "%USERPROFILE%\AppData\Local\Temp\OnboardLogs"\RTDC4040\2017-06-05 &amp; aws s3 cp s3://rtdc.mdm.uploadarchive.raw/RTDC4040/ "%USERPROFILE%\AppData\Local\Temp\OnboardLogs"\RTDC4040\2017-06-06 --exclude "*" --recursive --include "*20170606*" &amp; "%USERPROFILE%\Documents\GitHub\mrs-test-scripts\Headless Mode &amp; Sideloading\WalkAndUnGZ.bat" "%USERPROFILE%\AppData\Local\Temp\OnboardLogs"\RTDC4040\2017-06-06</v>
      </c>
      <c r="AF235" s="77" t="str">
        <f t="shared" si="98"/>
        <v>"C:\Program Files (x86)\AstroGrep\AstroGrep.exe" /e /r /s /spath="%USERPROFILE%\AppData\Local\Temp\OnboardLogs" /stypes="app*4040*20170605*" /stext=" 17:.+((SYSTEM_STATE.+slice.+state.+changed )|(ment ac)|(multiple cpu faults)|(system.+state.+changed )|(\[timeout)|(PRM\|1\|D)|(kpr)|(kdp)|(train st.+moving)|(\|lc)|(penalty))"</v>
      </c>
      <c r="AG235" s="1" t="str">
        <f t="shared" si="99"/>
        <v>Other</v>
      </c>
      <c r="AH235" s="81" t="str">
        <f t="shared" si="100"/>
        <v>"%USERPROFILE%\Documents\GitHub\eaglep3\Utilities\RefineRTDCRunTimes.py" --tripid 57-05 --locoid 4040 --swversion DE.1.0.9.0 --startMP 204:1225 --initTime 2017-06-05T11:30:48 --startdatetime 2017-06-05T11:34:47 --delay 1 --endMP 300:24222 --enddatetime 2017-06-05T11:45:34 --enforcementcount 0 &gt;&gt;C:\Users\stu\Documents\GitHub\eaglep3-reporting\EC\2017-06-05-refined-times.txt</v>
      </c>
      <c r="AI235" s="99" t="str">
        <f t="shared" si="101"/>
        <v>echo {"issue":{"subject":"","project_id":79,"tracker_id":40,"status_id":1,"priority_id":2,"assigned_to_id":23,"start_date":"2017-06-05","description":"","custom_fields":[{"id":1,"name":"Subdivision","value":"Other"},{"id":4,"name":"Milepost","value":"2.4222"},{"id":17,"name":"Train ID","value":"57-05"},{"id":16,"name":"Locomotive ID","value":"4040"},{"id":130,"name":"Impact","value":""},{"id":150,"name":"Time of Event (Mountain Time)","value":"11:45:34"},{"id":151,"name":"Denver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5" s="47"/>
      <c r="AL235" s="47"/>
      <c r="AM235" s="145" t="str">
        <f t="shared" si="102"/>
        <v>start /low /b %USERPROFILE%\Documents\GitHub\eaglep3\Utilities\DownloadLogsFromS3.py --loco 4040 --day 2017-06-05</v>
      </c>
      <c r="AN235" s="154" t="str">
        <f t="shared" si="103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17:45:34"},{"id":29,"name":"Sharepoint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6" spans="1:40" x14ac:dyDescent="0.25">
      <c r="A236" s="32" t="s">
        <v>596</v>
      </c>
      <c r="B236" s="7">
        <v>4031</v>
      </c>
      <c r="C236" s="21" t="s">
        <v>204</v>
      </c>
      <c r="D236" s="21" t="s">
        <v>929</v>
      </c>
      <c r="E236" s="13">
        <v>42891.541527777779</v>
      </c>
      <c r="F236" s="13">
        <v>42891.543020833335</v>
      </c>
      <c r="G236" s="7">
        <v>1</v>
      </c>
      <c r="H236" s="21" t="s">
        <v>930</v>
      </c>
      <c r="I236" s="13">
        <v>42891.546400462961</v>
      </c>
      <c r="J236" s="7">
        <v>0</v>
      </c>
      <c r="K236" s="92" t="str">
        <f t="shared" si="90"/>
        <v>4031/4032</v>
      </c>
      <c r="L236" s="21" t="str">
        <f>VLOOKUP(A236,'Trips&amp;Operators'!$C$1:$G$99999,5,FALSE)</f>
        <v>BROWN JACOB</v>
      </c>
      <c r="M236" s="6">
        <f t="shared" si="91"/>
        <v>3.379629626579117E-3</v>
      </c>
      <c r="N236" s="7">
        <f t="shared" si="105"/>
        <v>4.8666666622739285</v>
      </c>
      <c r="O236" s="7"/>
      <c r="P236" s="7"/>
      <c r="Q236" s="22"/>
      <c r="R236" s="173"/>
      <c r="S236" s="176">
        <f t="shared" si="106"/>
        <v>0</v>
      </c>
      <c r="T236" s="202" t="e">
        <f t="shared" si="92"/>
        <v>#VALUE!</v>
      </c>
      <c r="U236" s="202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203" t="str">
        <f t="shared" si="93"/>
        <v>https://d0f6bd738d7f1b3e5a7ca70fe4ff75f0.us-east-1.aws.found.io/app/kibana#/discover/Steve-Slow-Train-Analysis-(2080s-and-2083s)?_g=(refreshInterval:(display:Off,pause:!f,section:0,value:0),time:(from:'2017-06-05T11:59:48-0600',mode:absolute,to:'2017-06-05T14:06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36" s="204" t="str">
        <f t="shared" si="94"/>
        <v>Y</v>
      </c>
      <c r="X236" s="204" t="e">
        <f t="shared" si="89"/>
        <v>#VALUE!</v>
      </c>
      <c r="Y236" s="204">
        <f t="shared" si="107"/>
        <v>1.7303999999999999</v>
      </c>
      <c r="Z236" s="204">
        <f t="shared" si="104"/>
        <v>0.1633</v>
      </c>
      <c r="AA236" s="204">
        <f t="shared" si="95"/>
        <v>1.5670999999999999</v>
      </c>
      <c r="AB236" s="57" t="e">
        <f>VLOOKUP(A236,Enforcements!$C$7:$K$13,8,0)</f>
        <v>#N/A</v>
      </c>
      <c r="AC236" s="53" t="e">
        <f>VLOOKUP(A236,Enforcements!$C$7:$E$13,3,0)</f>
        <v>#N/A</v>
      </c>
      <c r="AD236" s="54" t="str">
        <f t="shared" si="96"/>
        <v>59-05</v>
      </c>
      <c r="AE236" s="80" t="str">
        <f t="shared" si="97"/>
        <v>aws s3 cp s3://rtdc.mdm.uploadarchive.raw/RTDC4031/ "%USERPROFILE%\AppData\Local\Temp\OnboardLogs"\RTDC4031\2017-06-05 --exclude "*" --recursive --include "*20170605*" &amp; "%USERPROFILE%\Documents\GitHub\mrs-test-scripts\Headless Mode &amp; Sideloading\WalkAndUnGZ.bat" "%USERPROFILE%\AppData\Local\Temp\OnboardLogs"\RTDC4031\2017-06-05 &amp; aws s3 cp s3://rtdc.mdm.uploadarchive.raw/RTDC4031/ "%USERPROFILE%\AppData\Local\Temp\OnboardLogs"\RTDC4031\2017-06-06 --exclude "*" --recursive --include "*20170606*" &amp; "%USERPROFILE%\Documents\GitHub\mrs-test-scripts\Headless Mode &amp; Sideloading\WalkAndUnGZ.bat" "%USERPROFILE%\AppData\Local\Temp\OnboardLogs"\RTDC4031\2017-06-06</v>
      </c>
      <c r="AF236" s="77" t="str">
        <f t="shared" si="98"/>
        <v>"C:\Program Files (x86)\AstroGrep\AstroGrep.exe" /e /r /s /spath="%USERPROFILE%\AppData\Local\Temp\OnboardLogs" /stypes="app*4031*20170605*" /stext=" 19:.+((SYSTEM_STATE.+slice.+state.+changed )|(ment ac)|(multiple cpu faults)|(system.+state.+changed )|(\[timeout)|(PRM\|1\|D)|(kpr)|(kdp)|(train st.+moving)|(\|lc)|(penalty))"</v>
      </c>
      <c r="AG236" s="1" t="str">
        <f t="shared" si="99"/>
        <v>Other</v>
      </c>
      <c r="AH236" s="81" t="str">
        <f t="shared" si="100"/>
        <v>"%USERPROFILE%\Documents\GitHub\eaglep3\Utilities\RefineRTDCRunTimes.py" --tripid 59-05 --locoid 4031 --swversion DE.1.0.9.0 --startMP 204:17304 --initTime 2017-06-05T12:59:48 --startdatetime 2017-06-05T13:01:57 --delay 1 --endMP 204:1633 --enddatetime 2017-06-05T13:06:49 --enforcementcount 0 &gt;&gt;C:\Users\stu\Documents\GitHub\eaglep3-reporting\EC\2017-06-05-refined-times.txt</v>
      </c>
      <c r="AI236" s="99" t="str">
        <f t="shared" si="101"/>
        <v>echo {"issue":{"subject":"","project_id":79,"tracker_id":40,"status_id":1,"priority_id":2,"assigned_to_id":23,"start_date":"2017-06-05","description":"","custom_fields":[{"id":1,"name":"Subdivision","value":"Other"},{"id":4,"name":"Milepost","value":"0.1633"},{"id":17,"name":"Train ID","value":"59-05"},{"id":16,"name":"Locomotive ID","value":"4031"},{"id":130,"name":"Impact","value":""},{"id":150,"name":"Time of Event (Mountain Time)","value":"13:06:49"},{"id":151,"name":"Denver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5" t="str">
        <f t="shared" si="102"/>
        <v>start /low /b %USERPROFILE%\Documents\GitHub\eaglep3\Utilities\DownloadLogsFromS3.py --loco 4031 --day 2017-06-05</v>
      </c>
      <c r="AN236" s="154" t="str">
        <f t="shared" si="103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19:06:49"},{"id":29,"name":"Sharepoint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7" spans="1:40" x14ac:dyDescent="0.25">
      <c r="A237" s="32" t="s">
        <v>596</v>
      </c>
      <c r="B237" s="7">
        <v>4032</v>
      </c>
      <c r="C237" s="21" t="s">
        <v>204</v>
      </c>
      <c r="D237" s="21" t="s">
        <v>931</v>
      </c>
      <c r="E237" s="13">
        <v>42891.535694444443</v>
      </c>
      <c r="F237" s="13">
        <v>42891.543020833335</v>
      </c>
      <c r="G237" s="7">
        <v>1</v>
      </c>
      <c r="H237" s="21" t="s">
        <v>932</v>
      </c>
      <c r="I237" s="13">
        <v>42891.546400462961</v>
      </c>
      <c r="J237" s="7">
        <v>0</v>
      </c>
      <c r="K237" s="92" t="str">
        <f t="shared" si="90"/>
        <v>4031/4032</v>
      </c>
      <c r="L237" s="21" t="str">
        <f>VLOOKUP(A237,'Trips&amp;Operators'!$C$1:$G$99999,5,FALSE)</f>
        <v>BROWN JACOB</v>
      </c>
      <c r="M237" s="6">
        <f t="shared" si="91"/>
        <v>3.379629626579117E-3</v>
      </c>
      <c r="N237" s="7">
        <f t="shared" si="105"/>
        <v>4.8666666622739285</v>
      </c>
      <c r="O237" s="7"/>
      <c r="P237" s="7"/>
      <c r="Q237" s="22"/>
      <c r="R237" s="173"/>
      <c r="S237" s="176">
        <f t="shared" si="106"/>
        <v>0</v>
      </c>
      <c r="T237" s="202" t="e">
        <f t="shared" si="92"/>
        <v>#VALUE!</v>
      </c>
      <c r="U237" s="202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203" t="str">
        <f t="shared" si="93"/>
        <v>https://d0f6bd738d7f1b3e5a7ca70fe4ff75f0.us-east-1.aws.found.io/app/kibana#/discover/Steve-Slow-Train-Analysis-(2080s-and-2083s)?_g=(refreshInterval:(display:Off,pause:!f,section:0,value:0),time:(from:'2017-06-05T11:51:24-0600',mode:absolute,to:'2017-06-05T14:06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37" s="204" t="str">
        <f t="shared" si="94"/>
        <v>Y</v>
      </c>
      <c r="X237" s="204" t="e">
        <f t="shared" si="89"/>
        <v>#VALUE!</v>
      </c>
      <c r="Y237" s="204">
        <f t="shared" si="107"/>
        <v>0.1201</v>
      </c>
      <c r="Z237" s="204">
        <f t="shared" si="104"/>
        <v>1.7468999999999999</v>
      </c>
      <c r="AA237" s="204">
        <f t="shared" si="95"/>
        <v>1.6267999999999998</v>
      </c>
      <c r="AB237" s="57" t="e">
        <f>VLOOKUP(A237,Enforcements!$C$7:$K$13,8,0)</f>
        <v>#N/A</v>
      </c>
      <c r="AC237" s="53" t="e">
        <f>VLOOKUP(A237,Enforcements!$C$7:$E$13,3,0)</f>
        <v>#N/A</v>
      </c>
      <c r="AD237" s="54" t="str">
        <f t="shared" si="96"/>
        <v>59-05</v>
      </c>
      <c r="AE237" s="80" t="str">
        <f t="shared" si="97"/>
        <v>aws s3 cp s3://rtdc.mdm.uploadarchive.raw/RTDC4032/ "%USERPROFILE%\AppData\Local\Temp\OnboardLogs"\RTDC4032\2017-06-05 --exclude "*" --recursive --include "*20170605*" &amp; "%USERPROFILE%\Documents\GitHub\mrs-test-scripts\Headless Mode &amp; Sideloading\WalkAndUnGZ.bat" "%USERPROFILE%\AppData\Local\Temp\OnboardLogs"\RTDC4032\2017-06-05 &amp; aws s3 cp s3://rtdc.mdm.uploadarchive.raw/RTDC4032/ "%USERPROFILE%\AppData\Local\Temp\OnboardLogs"\RTDC4032\2017-06-06 --exclude "*" --recursive --include "*20170606*" &amp; "%USERPROFILE%\Documents\GitHub\mrs-test-scripts\Headless Mode &amp; Sideloading\WalkAndUnGZ.bat" "%USERPROFILE%\AppData\Local\Temp\OnboardLogs"\RTDC4032\2017-06-06</v>
      </c>
      <c r="AF237" s="77" t="str">
        <f t="shared" si="98"/>
        <v>"C:\Program Files (x86)\AstroGrep\AstroGrep.exe" /e /r /s /spath="%USERPROFILE%\AppData\Local\Temp\OnboardLogs" /stypes="app*4032*20170605*" /stext=" 19:.+((SYSTEM_STATE.+slice.+state.+changed )|(ment ac)|(multiple cpu faults)|(system.+state.+changed )|(\[timeout)|(PRM\|1\|D)|(kpr)|(kdp)|(train st.+moving)|(\|lc)|(penalty))"</v>
      </c>
      <c r="AG237" s="1" t="str">
        <f t="shared" si="99"/>
        <v>Other</v>
      </c>
      <c r="AH237" s="81" t="str">
        <f t="shared" si="100"/>
        <v>"%USERPROFILE%\Documents\GitHub\eaglep3\Utilities\RefineRTDCRunTimes.py" --tripid 59-05 --locoid 4032 --swversion DE.1.0.9.0 --startMP 204:1201 --initTime 2017-06-05T12:51:24 --startdatetime 2017-06-05T13:01:57 --delay 1 --endMP 204:17469 --enddatetime 2017-06-05T13:06:49 --enforcementcount 0 &gt;&gt;C:\Users\stu\Documents\GitHub\eaglep3-reporting\EC\2017-06-05-refined-times.txt</v>
      </c>
      <c r="AI237" s="99" t="str">
        <f t="shared" si="101"/>
        <v>echo {"issue":{"subject":"","project_id":79,"tracker_id":40,"status_id":1,"priority_id":2,"assigned_to_id":23,"start_date":"2017-06-05","description":"","custom_fields":[{"id":1,"name":"Subdivision","value":"Other"},{"id":4,"name":"Milepost","value":"1.7469"},{"id":17,"name":"Train ID","value":"59-05"},{"id":16,"name":"Locomotive ID","value":"4032"},{"id":130,"name":"Impact","value":""},{"id":150,"name":"Time of Event (Mountain Time)","value":"13:06:49"},{"id":151,"name":"Denver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5" t="str">
        <f t="shared" si="102"/>
        <v>start /low /b %USERPROFILE%\Documents\GitHub\eaglep3\Utilities\DownloadLogsFromS3.py --loco 4032 --day 2017-06-05</v>
      </c>
      <c r="AN237" s="154" t="str">
        <f t="shared" si="103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19:06:49"},{"id":29,"name":"Sharepoint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8" spans="1:40" x14ac:dyDescent="0.25">
      <c r="A238" s="32" t="s">
        <v>744</v>
      </c>
      <c r="B238" s="7">
        <v>4057</v>
      </c>
      <c r="C238" s="21" t="s">
        <v>204</v>
      </c>
      <c r="D238" s="21" t="s">
        <v>933</v>
      </c>
      <c r="E238" s="13">
        <v>42891.57744212963</v>
      </c>
      <c r="F238" s="13">
        <v>42891.584004629629</v>
      </c>
      <c r="G238" s="7">
        <v>1</v>
      </c>
      <c r="H238" s="21" t="s">
        <v>401</v>
      </c>
      <c r="I238" s="13">
        <v>42891.587407407409</v>
      </c>
      <c r="J238" s="7">
        <v>0</v>
      </c>
      <c r="K238" s="92" t="str">
        <f t="shared" si="90"/>
        <v>4057/4058</v>
      </c>
      <c r="L238" s="21" t="str">
        <f>VLOOKUP(A238,'Trips&amp;Operators'!$C$1:$G$99999,5,FALSE)</f>
        <v>MOSES BRADLEY</v>
      </c>
      <c r="M238" s="6">
        <f t="shared" si="91"/>
        <v>3.4027777801384218E-3</v>
      </c>
      <c r="N238" s="7">
        <f t="shared" si="105"/>
        <v>4.9000000033993274</v>
      </c>
      <c r="O238" s="7"/>
      <c r="P238" s="7"/>
      <c r="Q238" s="22"/>
      <c r="R238" s="173"/>
      <c r="S238" s="176">
        <f t="shared" si="106"/>
        <v>0</v>
      </c>
      <c r="T238" s="202" t="e">
        <f t="shared" si="92"/>
        <v>#VALUE!</v>
      </c>
      <c r="U238" s="202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203" t="str">
        <f t="shared" si="93"/>
        <v>https://d0f6bd738d7f1b3e5a7ca70fe4ff75f0.us-east-1.aws.found.io/app/kibana#/discover/Steve-Slow-Train-Analysis-(2080s-and-2083s)?_g=(refreshInterval:(display:Off,pause:!f,section:0,value:0),time:(from:'2017-06-05T12:51:31-0600',mode:absolute,to:'2017-06-05T15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38" s="204" t="str">
        <f t="shared" si="94"/>
        <v>Y</v>
      </c>
      <c r="X238" s="204" t="e">
        <f t="shared" si="89"/>
        <v>#VALUE!</v>
      </c>
      <c r="Y238" s="204">
        <f t="shared" si="107"/>
        <v>0.52100000000000002</v>
      </c>
      <c r="Z238" s="204">
        <f t="shared" si="104"/>
        <v>1.54E-2</v>
      </c>
      <c r="AA238" s="204">
        <f t="shared" si="95"/>
        <v>0.50560000000000005</v>
      </c>
      <c r="AB238" s="57" t="e">
        <f>VLOOKUP(A238,Enforcements!$C$7:$K$13,8,0)</f>
        <v>#N/A</v>
      </c>
      <c r="AC238" s="53" t="e">
        <f>VLOOKUP(A238,Enforcements!$C$7:$E$13,3,0)</f>
        <v>#N/A</v>
      </c>
      <c r="AD238" s="54" t="str">
        <f t="shared" si="96"/>
        <v>61-05</v>
      </c>
      <c r="AE238" s="80" t="str">
        <f t="shared" si="97"/>
        <v>aws s3 cp s3://rtdc.mdm.uploadarchive.raw/RTDC4057/ "%USERPROFILE%\AppData\Local\Temp\OnboardLogs"\RTDC4057\2017-06-05 --exclude "*" --recursive --include "*20170605*" &amp; "%USERPROFILE%\Documents\GitHub\mrs-test-scripts\Headless Mode &amp; Sideloading\WalkAndUnGZ.bat" "%USERPROFILE%\AppData\Local\Temp\OnboardLogs"\RTDC4057\2017-06-05 &amp; aws s3 cp s3://rtdc.mdm.uploadarchive.raw/RTDC4057/ "%USERPROFILE%\AppData\Local\Temp\OnboardLogs"\RTDC4057\2017-06-06 --exclude "*" --recursive --include "*20170606*" &amp; "%USERPROFILE%\Documents\GitHub\mrs-test-scripts\Headless Mode &amp; Sideloading\WalkAndUnGZ.bat" "%USERPROFILE%\AppData\Local\Temp\OnboardLogs"\RTDC4057\2017-06-06</v>
      </c>
      <c r="AF238" s="77" t="str">
        <f t="shared" si="98"/>
        <v>"C:\Program Files (x86)\AstroGrep\AstroGrep.exe" /e /r /s /spath="%USERPROFILE%\AppData\Local\Temp\OnboardLogs" /stypes="app*4057*20170605*" /stext=" 20:.+((SYSTEM_STATE.+slice.+state.+changed )|(ment ac)|(multiple cpu faults)|(system.+state.+changed )|(\[timeout)|(PRM\|1\|D)|(kpr)|(kdp)|(train st.+moving)|(\|lc)|(penalty))"</v>
      </c>
      <c r="AG238" s="1" t="str">
        <f t="shared" si="99"/>
        <v>Other</v>
      </c>
      <c r="AH238" s="81" t="str">
        <f t="shared" si="100"/>
        <v>"%USERPROFILE%\Documents\GitHub\eaglep3\Utilities\RefineRTDCRunTimes.py" --tripid 61-05 --locoid 4057 --swversion DE.1.0.9.0 --startMP 300:5210 --initTime 2017-06-05T13:51:31 --startdatetime 2017-06-05T14:00:58 --delay 1 --endMP 204:154 --enddatetime 2017-06-05T14:05:52 --enforcementcount 0 &gt;&gt;C:\Users\stu\Documents\GitHub\eaglep3-reporting\EC\2017-06-05-refined-times.txt</v>
      </c>
      <c r="AI238" s="99" t="str">
        <f t="shared" si="101"/>
        <v>echo {"issue":{"subject":"","project_id":79,"tracker_id":40,"status_id":1,"priority_id":2,"assigned_to_id":23,"start_date":"2017-06-05","description":"","custom_fields":[{"id":1,"name":"Subdivision","value":"Other"},{"id":4,"name":"Milepost","value":"0.0154"},{"id":17,"name":"Train ID","value":"61-05"},{"id":16,"name":"Locomotive ID","value":"4057"},{"id":130,"name":"Impact","value":""},{"id":150,"name":"Time of Event (Mountain Time)","value":"14:05:52"},{"id":151,"name":"Denver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5" t="str">
        <f t="shared" si="102"/>
        <v>start /low /b %USERPROFILE%\Documents\GitHub\eaglep3\Utilities\DownloadLogsFromS3.py --loco 4057 --day 2017-06-05</v>
      </c>
      <c r="AN238" s="154" t="str">
        <f t="shared" si="103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20:05:52"},{"id":29,"name":"Sharepoint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9" spans="1:40" x14ac:dyDescent="0.25">
      <c r="A239" s="32" t="s">
        <v>744</v>
      </c>
      <c r="B239" s="7">
        <v>4058</v>
      </c>
      <c r="C239" s="21" t="s">
        <v>204</v>
      </c>
      <c r="D239" s="21" t="s">
        <v>540</v>
      </c>
      <c r="E239" s="13">
        <v>42891.569421296299</v>
      </c>
      <c r="F239" s="13">
        <v>42891.584004629629</v>
      </c>
      <c r="G239" s="7">
        <v>1</v>
      </c>
      <c r="H239" s="21" t="s">
        <v>934</v>
      </c>
      <c r="I239" s="13">
        <v>42891.587407407409</v>
      </c>
      <c r="J239" s="7">
        <v>0</v>
      </c>
      <c r="K239" s="92" t="str">
        <f t="shared" si="90"/>
        <v>4057/4058</v>
      </c>
      <c r="L239" s="21" t="str">
        <f>VLOOKUP(A239,'Trips&amp;Operators'!$C$1:$G$99999,5,FALSE)</f>
        <v>MOSES BRADLEY</v>
      </c>
      <c r="M239" s="6">
        <f t="shared" si="91"/>
        <v>3.4027777801384218E-3</v>
      </c>
      <c r="N239" s="7">
        <f t="shared" si="105"/>
        <v>4.9000000033993274</v>
      </c>
      <c r="O239" s="7"/>
      <c r="P239" s="7"/>
      <c r="Q239" s="22"/>
      <c r="R239" s="173"/>
      <c r="S239" s="176">
        <f t="shared" si="106"/>
        <v>0</v>
      </c>
      <c r="T239" s="202" t="e">
        <f t="shared" si="92"/>
        <v>#VALUE!</v>
      </c>
      <c r="U239" s="202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203" t="str">
        <f t="shared" si="93"/>
        <v>https://d0f6bd738d7f1b3e5a7ca70fe4ff75f0.us-east-1.aws.found.io/app/kibana#/discover/Steve-Slow-Train-Analysis-(2080s-and-2083s)?_g=(refreshInterval:(display:Off,pause:!f,section:0,value:0),time:(from:'2017-06-05T12:39:58-0600',mode:absolute,to:'2017-06-05T15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39" s="204" t="str">
        <f t="shared" si="94"/>
        <v>Y</v>
      </c>
      <c r="X239" s="204" t="e">
        <f t="shared" si="89"/>
        <v>#VALUE!</v>
      </c>
      <c r="Y239" s="204">
        <f t="shared" si="107"/>
        <v>4.3700000000000003E-2</v>
      </c>
      <c r="Z239" s="204">
        <f t="shared" si="104"/>
        <v>0.55420000000000003</v>
      </c>
      <c r="AA239" s="204">
        <f t="shared" si="95"/>
        <v>0.51050000000000006</v>
      </c>
      <c r="AB239" s="57" t="e">
        <f>VLOOKUP(A239,Enforcements!$C$7:$K$13,8,0)</f>
        <v>#N/A</v>
      </c>
      <c r="AC239" s="53" t="e">
        <f>VLOOKUP(A239,Enforcements!$C$7:$E$13,3,0)</f>
        <v>#N/A</v>
      </c>
      <c r="AD239" s="54" t="str">
        <f t="shared" si="96"/>
        <v>61-05</v>
      </c>
      <c r="AE239" s="80" t="str">
        <f t="shared" si="97"/>
        <v>aws s3 cp s3://rtdc.mdm.uploadarchive.raw/RTDC4058/ "%USERPROFILE%\AppData\Local\Temp\OnboardLogs"\RTDC4058\2017-06-05 --exclude "*" --recursive --include "*20170605*" &amp; "%USERPROFILE%\Documents\GitHub\mrs-test-scripts\Headless Mode &amp; Sideloading\WalkAndUnGZ.bat" "%USERPROFILE%\AppData\Local\Temp\OnboardLogs"\RTDC4058\2017-06-05 &amp; aws s3 cp s3://rtdc.mdm.uploadarchive.raw/RTDC4058/ "%USERPROFILE%\AppData\Local\Temp\OnboardLogs"\RTDC4058\2017-06-06 --exclude "*" --recursive --include "*20170606*" &amp; "%USERPROFILE%\Documents\GitHub\mrs-test-scripts\Headless Mode &amp; Sideloading\WalkAndUnGZ.bat" "%USERPROFILE%\AppData\Local\Temp\OnboardLogs"\RTDC4058\2017-06-06</v>
      </c>
      <c r="AF239" s="77" t="str">
        <f t="shared" si="98"/>
        <v>"C:\Program Files (x86)\AstroGrep\AstroGrep.exe" /e /r /s /spath="%USERPROFILE%\AppData\Local\Temp\OnboardLogs" /stypes="app*4058*20170605*" /stext=" 20:.+((SYSTEM_STATE.+slice.+state.+changed )|(ment ac)|(multiple cpu faults)|(system.+state.+changed )|(\[timeout)|(PRM\|1\|D)|(kpr)|(kdp)|(train st.+moving)|(\|lc)|(penalty))"</v>
      </c>
      <c r="AG239" s="1" t="str">
        <f t="shared" si="99"/>
        <v>Other</v>
      </c>
      <c r="AH239" s="81" t="str">
        <f t="shared" si="100"/>
        <v>"%USERPROFILE%\Documents\GitHub\eaglep3\Utilities\RefineRTDCRunTimes.py" --tripid 61-05 --locoid 4058 --swversion DE.1.0.9.0 --startMP 204:437 --initTime 2017-06-05T13:39:58 --startdatetime 2017-06-05T14:00:58 --delay 1 --endMP 300:5542 --enddatetime 2017-06-05T14:05:52 --enforcementcount 0 &gt;&gt;C:\Users\stu\Documents\GitHub\eaglep3-reporting\EC\2017-06-05-refined-times.txt</v>
      </c>
      <c r="AI239" s="99" t="str">
        <f t="shared" si="101"/>
        <v>echo {"issue":{"subject":"","project_id":79,"tracker_id":40,"status_id":1,"priority_id":2,"assigned_to_id":23,"start_date":"2017-06-05","description":"","custom_fields":[{"id":1,"name":"Subdivision","value":"Other"},{"id":4,"name":"Milepost","value":"0.5542"},{"id":17,"name":"Train ID","value":"61-05"},{"id":16,"name":"Locomotive ID","value":"4058"},{"id":130,"name":"Impact","value":""},{"id":150,"name":"Time of Event (Mountain Time)","value":"14:05:52"},{"id":151,"name":"Denver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5" t="str">
        <f t="shared" si="102"/>
        <v>start /low /b %USERPROFILE%\Documents\GitHub\eaglep3\Utilities\DownloadLogsFromS3.py --loco 4058 --day 2017-06-05</v>
      </c>
      <c r="AN239" s="154" t="str">
        <f t="shared" si="103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20:05:52"},{"id":29,"name":"Sharepoint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0" spans="1:40" x14ac:dyDescent="0.25">
      <c r="A240" s="32" t="s">
        <v>772</v>
      </c>
      <c r="B240" s="7">
        <v>4020</v>
      </c>
      <c r="C240" s="21" t="s">
        <v>204</v>
      </c>
      <c r="D240" s="21" t="s">
        <v>578</v>
      </c>
      <c r="E240" s="13">
        <v>42891.711284722223</v>
      </c>
      <c r="F240" s="13">
        <v>42891.713425925926</v>
      </c>
      <c r="G240" s="7">
        <v>2</v>
      </c>
      <c r="H240" s="21" t="s">
        <v>543</v>
      </c>
      <c r="I240" s="13">
        <v>42891.720601851855</v>
      </c>
      <c r="J240" s="7">
        <v>0</v>
      </c>
      <c r="K240" s="92" t="str">
        <f t="shared" si="90"/>
        <v>4019/4020</v>
      </c>
      <c r="L240" s="21" t="str">
        <f>VLOOKUP(A240,'Trips&amp;Operators'!$C$1:$G$99999,5,FALSE)</f>
        <v>STORY SAMANTHA</v>
      </c>
      <c r="M240" s="6">
        <f t="shared" si="91"/>
        <v>7.1759259299142286E-3</v>
      </c>
      <c r="N240" s="7">
        <f t="shared" si="105"/>
        <v>10.333333339076489</v>
      </c>
      <c r="O240" s="7"/>
      <c r="P240" s="7"/>
      <c r="Q240" s="22"/>
      <c r="R240" s="173"/>
      <c r="S240" s="176">
        <f t="shared" si="106"/>
        <v>0</v>
      </c>
      <c r="T240" s="202" t="e">
        <f t="shared" si="92"/>
        <v>#VALUE!</v>
      </c>
      <c r="U240" s="202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203" t="str">
        <f t="shared" si="93"/>
        <v>https://d0f6bd738d7f1b3e5a7ca70fe4ff75f0.us-east-1.aws.found.io/app/kibana#/discover/Steve-Slow-Train-Analysis-(2080s-and-2083s)?_g=(refreshInterval:(display:Off,pause:!f,section:0,value:0),time:(from:'2017-06-05T16:04:15-0600',mode:absolute,to:'2017-06-05T18:17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40" s="204" t="str">
        <f t="shared" si="94"/>
        <v>Y</v>
      </c>
      <c r="X240" s="204" t="e">
        <f t="shared" si="89"/>
        <v>#VALUE!</v>
      </c>
      <c r="Y240" s="204">
        <f t="shared" si="107"/>
        <v>0.15029999999999999</v>
      </c>
      <c r="Z240" s="204">
        <f t="shared" si="104"/>
        <v>2.3308</v>
      </c>
      <c r="AA240" s="204">
        <f t="shared" si="95"/>
        <v>2.1804999999999999</v>
      </c>
      <c r="AB240" s="57" t="e">
        <f>VLOOKUP(A240,Enforcements!$C$7:$K$13,8,0)</f>
        <v>#N/A</v>
      </c>
      <c r="AC240" s="53" t="e">
        <f>VLOOKUP(A240,Enforcements!$C$7:$E$13,3,0)</f>
        <v>#N/A</v>
      </c>
      <c r="AD240" s="54" t="str">
        <f t="shared" si="96"/>
        <v>65-05</v>
      </c>
      <c r="AE240" s="80" t="str">
        <f t="shared" si="97"/>
        <v>aws s3 cp s3://rtdc.mdm.uploadarchive.raw/RTDC4020/ "%USERPROFILE%\AppData\Local\Temp\OnboardLogs"\RTDC4020\2017-06-05 --exclude "*" --recursive --include "*20170605*" &amp; "%USERPROFILE%\Documents\GitHub\mrs-test-scripts\Headless Mode &amp; Sideloading\WalkAndUnGZ.bat" "%USERPROFILE%\AppData\Local\Temp\OnboardLogs"\RTDC4020\2017-06-05 &amp; aws s3 cp s3://rtdc.mdm.uploadarchive.raw/RTDC4020/ "%USERPROFILE%\AppData\Local\Temp\OnboardLogs"\RTDC4020\2017-06-06 --exclude "*" --recursive --include "*20170606*" &amp; "%USERPROFILE%\Documents\GitHub\mrs-test-scripts\Headless Mode &amp; Sideloading\WalkAndUnGZ.bat" "%USERPROFILE%\AppData\Local\Temp\OnboardLogs"\RTDC4020\2017-06-06</v>
      </c>
      <c r="AF240" s="77" t="str">
        <f t="shared" si="98"/>
        <v>"C:\Program Files (x86)\AstroGrep\AstroGrep.exe" /e /r /s /spath="%USERPROFILE%\AppData\Local\Temp\OnboardLogs" /stypes="app*4020*20170605*" /stext=" 23:.+((SYSTEM_STATE.+slice.+state.+changed )|(ment ac)|(multiple cpu faults)|(system.+state.+changed )|(\[timeout)|(PRM\|1\|D)|(kpr)|(kdp)|(train st.+moving)|(\|lc)|(penalty))"</v>
      </c>
      <c r="AG240" s="1" t="str">
        <f t="shared" si="99"/>
        <v>Other</v>
      </c>
      <c r="AH240" s="81" t="str">
        <f t="shared" si="100"/>
        <v>"%USERPROFILE%\Documents\GitHub\eaglep3\Utilities\RefineRTDCRunTimes.py" --tripid 65-05 --locoid 4020 --swversion DE.1.0.9.0 --startMP 204:1503 --initTime 2017-06-05T17:04:15 --startdatetime 2017-06-05T17:07:20 --delay 2 --endMP 300:23308 --enddatetime 2017-06-05T17:17:40 --enforcementcount 0 &gt;&gt;C:\Users\stu\Documents\GitHub\eaglep3-reporting\EC\2017-06-05-refined-times.txt</v>
      </c>
      <c r="AI240" s="99" t="str">
        <f t="shared" si="101"/>
        <v>echo {"issue":{"subject":"","project_id":79,"tracker_id":40,"status_id":1,"priority_id":2,"assigned_to_id":23,"start_date":"2017-06-05","description":"","custom_fields":[{"id":1,"name":"Subdivision","value":"Other"},{"id":4,"name":"Milepost","value":"2.3308"},{"id":17,"name":"Train ID","value":"65-05"},{"id":16,"name":"Locomotive ID","value":"4020"},{"id":130,"name":"Impact","value":""},{"id":150,"name":"Time of Event (Mountain Time)","value":"17:17:40"},{"id":151,"name":"Denver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5" t="str">
        <f t="shared" si="102"/>
        <v>start /low /b %USERPROFILE%\Documents\GitHub\eaglep3\Utilities\DownloadLogsFromS3.py --loco 4020 --day 2017-06-05</v>
      </c>
      <c r="AN240" s="154" t="str">
        <f t="shared" si="103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23:17:40"},{"id":29,"name":"Sharepoint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1" spans="1:40" x14ac:dyDescent="0.25">
      <c r="A241" s="32" t="s">
        <v>631</v>
      </c>
      <c r="B241" s="7">
        <v>4014</v>
      </c>
      <c r="C241" s="21" t="s">
        <v>204</v>
      </c>
      <c r="D241" s="21" t="s">
        <v>368</v>
      </c>
      <c r="E241" s="13">
        <v>42891.128888888888</v>
      </c>
      <c r="F241" s="13">
        <v>42891.137974537036</v>
      </c>
      <c r="G241" s="7">
        <v>3</v>
      </c>
      <c r="H241" s="21" t="s">
        <v>935</v>
      </c>
      <c r="I241" s="13">
        <v>42891.138969907406</v>
      </c>
      <c r="J241" s="7">
        <v>0</v>
      </c>
      <c r="K241" s="92" t="str">
        <f t="shared" si="90"/>
        <v>4013/4014</v>
      </c>
      <c r="L241" s="21" t="str">
        <f>VLOOKUP(A241,'Trips&amp;Operators'!$C$1:$G$99999,5,FALSE)</f>
        <v>SPECTOR MICHAEL</v>
      </c>
      <c r="M241" s="6">
        <f t="shared" si="91"/>
        <v>9.9537037021946162E-4</v>
      </c>
      <c r="N241" s="7">
        <f t="shared" si="105"/>
        <v>1.4333333331160247</v>
      </c>
      <c r="O241" s="7"/>
      <c r="P241" s="7"/>
      <c r="Q241" s="22"/>
      <c r="R241" s="173"/>
      <c r="S241" s="176">
        <f t="shared" si="106"/>
        <v>0</v>
      </c>
      <c r="T241" s="202" t="e">
        <f t="shared" si="92"/>
        <v>#VALUE!</v>
      </c>
      <c r="U241" s="202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203" t="str">
        <f t="shared" si="93"/>
        <v>https://d0f6bd738d7f1b3e5a7ca70fe4ff75f0.us-east-1.aws.found.io/app/kibana#/discover/Steve-Slow-Train-Analysis-(2080s-and-2083s)?_g=(refreshInterval:(display:Off,pause:!f,section:0,value:0),time:(from:'2017-06-05T02:05:36-0600',mode:absolute,to:'2017-06-05T04:20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41" s="204" t="str">
        <f t="shared" si="94"/>
        <v>Y</v>
      </c>
      <c r="X241" s="204" t="e">
        <f t="shared" si="89"/>
        <v>#VALUE!</v>
      </c>
      <c r="Y241" s="204">
        <f t="shared" si="107"/>
        <v>4.5499999999999999E-2</v>
      </c>
      <c r="Z241" s="204">
        <f t="shared" si="104"/>
        <v>0.35499999999999998</v>
      </c>
      <c r="AA241" s="204">
        <f t="shared" si="95"/>
        <v>0.3095</v>
      </c>
      <c r="AB241" s="57" t="e">
        <f>VLOOKUP(A241,Enforcements!$C$7:$K$13,8,0)</f>
        <v>#N/A</v>
      </c>
      <c r="AC241" s="53" t="e">
        <f>VLOOKUP(A241,Enforcements!$C$7:$E$13,3,0)</f>
        <v>#N/A</v>
      </c>
      <c r="AD241" s="54" t="str">
        <f t="shared" si="96"/>
        <v>67-05</v>
      </c>
      <c r="AE241" s="80" t="str">
        <f t="shared" si="97"/>
        <v>aws s3 cp s3://rtdc.mdm.uploadarchive.raw/RTDC4014/ "%USERPROFILE%\AppData\Local\Temp\OnboardLogs"\RTDC4014\2017-06-05 --exclude "*" --recursive --include "*20170605*" &amp; "%USERPROFILE%\Documents\GitHub\mrs-test-scripts\Headless Mode &amp; Sideloading\WalkAndUnGZ.bat" "%USERPROFILE%\AppData\Local\Temp\OnboardLogs"\RTDC4014\2017-06-05 &amp; aws s3 cp s3://rtdc.mdm.uploadarchive.raw/RTDC4014/ "%USERPROFILE%\AppData\Local\Temp\OnboardLogs"\RTDC4014\2017-06-06 --exclude "*" --recursive --include "*20170606*" &amp; "%USERPROFILE%\Documents\GitHub\mrs-test-scripts\Headless Mode &amp; Sideloading\WalkAndUnGZ.bat" "%USERPROFILE%\AppData\Local\Temp\OnboardLogs"\RTDC4014\2017-06-06</v>
      </c>
      <c r="AF241" s="77" t="str">
        <f t="shared" si="98"/>
        <v>"C:\Program Files (x86)\AstroGrep\AstroGrep.exe" /e /r /s /spath="%USERPROFILE%\AppData\Local\Temp\OnboardLogs" /stypes="app*4014*20170605*" /stext=" 09:.+((SYSTEM_STATE.+slice.+state.+changed )|(ment ac)|(multiple cpu faults)|(system.+state.+changed )|(\[timeout)|(PRM\|1\|D)|(kpr)|(kdp)|(train st.+moving)|(\|lc)|(penalty))"</v>
      </c>
      <c r="AG241" s="1" t="str">
        <f t="shared" si="99"/>
        <v>Other</v>
      </c>
      <c r="AH241" s="81" t="str">
        <f t="shared" si="100"/>
        <v>"%USERPROFILE%\Documents\GitHub\eaglep3\Utilities\RefineRTDCRunTimes.py" --tripid 67-05 --locoid 4014 --swversion DE.1.0.9.0 --startMP 204:455 --initTime 2017-06-05T03:05:36 --startdatetime 2017-06-05T03:18:41 --delay 3 --endMP 204:3550 --enddatetime 2017-06-05T03:20:07 --enforcementcount 0 &gt;&gt;C:\Users\stu\Documents\GitHub\eaglep3-reporting\EC\2017-06-05-refined-times.txt</v>
      </c>
      <c r="AI241" s="99" t="str">
        <f t="shared" si="101"/>
        <v>echo {"issue":{"subject":"","project_id":79,"tracker_id":40,"status_id":1,"priority_id":2,"assigned_to_id":23,"start_date":"2017-06-05","description":"","custom_fields":[{"id":1,"name":"Subdivision","value":"Other"},{"id":4,"name":"Milepost","value":"0.355"},{"id":17,"name":"Train ID","value":"67-05"},{"id":16,"name":"Locomotive ID","value":"4014"},{"id":130,"name":"Impact","value":""},{"id":150,"name":"Time of Event (Mountain Time)","value":"03:20:07"},{"id":151,"name":"Denver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5" t="str">
        <f t="shared" si="102"/>
        <v>start /low /b %USERPROFILE%\Documents\GitHub\eaglep3\Utilities\DownloadLogsFromS3.py --loco 4014 --day 2017-06-05</v>
      </c>
      <c r="AN241" s="154" t="str">
        <f t="shared" si="103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09:20:07"},{"id":29,"name":"Sharepoint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2" spans="1:40" x14ac:dyDescent="0.25">
      <c r="A242" s="32" t="s">
        <v>635</v>
      </c>
      <c r="B242" s="7">
        <v>4013</v>
      </c>
      <c r="C242" s="21" t="s">
        <v>204</v>
      </c>
      <c r="D242" s="21" t="s">
        <v>936</v>
      </c>
      <c r="E242" s="13">
        <v>42891.139988425923</v>
      </c>
      <c r="F242" s="13">
        <v>42891.141655092593</v>
      </c>
      <c r="G242" s="7">
        <v>1</v>
      </c>
      <c r="H242" s="21" t="s">
        <v>577</v>
      </c>
      <c r="I242" s="13">
        <v>42891.142905092594</v>
      </c>
      <c r="J242" s="7">
        <v>0</v>
      </c>
      <c r="K242" s="92" t="str">
        <f t="shared" si="90"/>
        <v>4013/4014</v>
      </c>
      <c r="L242" s="21" t="str">
        <f>VLOOKUP(A242,'Trips&amp;Operators'!$C$1:$G$99999,5,FALSE)</f>
        <v>SPECTOR MICHAEL</v>
      </c>
      <c r="M242" s="6">
        <f t="shared" si="91"/>
        <v>1.2500000011641532E-3</v>
      </c>
      <c r="N242" s="7">
        <f t="shared" si="105"/>
        <v>1.8000000016763806</v>
      </c>
      <c r="O242" s="7"/>
      <c r="P242" s="7"/>
      <c r="Q242" s="22"/>
      <c r="R242" s="173"/>
      <c r="S242" s="176">
        <f t="shared" si="106"/>
        <v>0</v>
      </c>
      <c r="T242" s="202" t="e">
        <f t="shared" si="92"/>
        <v>#VALUE!</v>
      </c>
      <c r="U242" s="202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203" t="str">
        <f t="shared" si="93"/>
        <v>https://d0f6bd738d7f1b3e5a7ca70fe4ff75f0.us-east-1.aws.found.io/app/kibana#/discover/Steve-Slow-Train-Analysis-(2080s-and-2083s)?_g=(refreshInterval:(display:Off,pause:!f,section:0,value:0),time:(from:'2017-06-05T02:21:35-0600',mode:absolute,to:'2017-06-05T04:25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42" s="204" t="str">
        <f t="shared" si="94"/>
        <v>Y</v>
      </c>
      <c r="X242" s="204" t="e">
        <f t="shared" si="89"/>
        <v>#VALUE!</v>
      </c>
      <c r="Y242" s="204">
        <f t="shared" si="107"/>
        <v>0.32269999999999999</v>
      </c>
      <c r="Z242" s="204">
        <f t="shared" si="104"/>
        <v>0.1171</v>
      </c>
      <c r="AA242" s="204">
        <f t="shared" si="95"/>
        <v>0.2056</v>
      </c>
      <c r="AB242" s="57" t="e">
        <f>VLOOKUP(A242,Enforcements!$C$7:$K$13,8,0)</f>
        <v>#N/A</v>
      </c>
      <c r="AC242" s="53" t="e">
        <f>VLOOKUP(A242,Enforcements!$C$7:$E$13,3,0)</f>
        <v>#N/A</v>
      </c>
      <c r="AD242" s="54" t="str">
        <f t="shared" si="96"/>
        <v>68-05</v>
      </c>
      <c r="AE242" s="80" t="str">
        <f t="shared" si="97"/>
        <v>aws s3 cp s3://rtdc.mdm.uploadarchive.raw/RTDC4013/ "%USERPROFILE%\AppData\Local\Temp\OnboardLogs"\RTDC4013\2017-06-05 --exclude "*" --recursive --include "*20170605*" &amp; "%USERPROFILE%\Documents\GitHub\mrs-test-scripts\Headless Mode &amp; Sideloading\WalkAndUnGZ.bat" "%USERPROFILE%\AppData\Local\Temp\OnboardLogs"\RTDC4013\2017-06-05 &amp; aws s3 cp s3://rtdc.mdm.uploadarchive.raw/RTDC4013/ "%USERPROFILE%\AppData\Local\Temp\OnboardLogs"\RTDC4013\2017-06-06 --exclude "*" --recursive --include "*20170606*" &amp; "%USERPROFILE%\Documents\GitHub\mrs-test-scripts\Headless Mode &amp; Sideloading\WalkAndUnGZ.bat" "%USERPROFILE%\AppData\Local\Temp\OnboardLogs"\RTDC4013\2017-06-06</v>
      </c>
      <c r="AF242" s="77" t="str">
        <f t="shared" si="98"/>
        <v>"C:\Program Files (x86)\AstroGrep\AstroGrep.exe" /e /r /s /spath="%USERPROFILE%\AppData\Local\Temp\OnboardLogs" /stypes="app*4013*20170605*" /stext=" 09:.+((SYSTEM_STATE.+slice.+state.+changed )|(ment ac)|(multiple cpu faults)|(system.+state.+changed )|(\[timeout)|(PRM\|1\|D)|(kpr)|(kdp)|(train st.+moving)|(\|lc)|(penalty))"</v>
      </c>
      <c r="AG242" s="1" t="str">
        <f t="shared" si="99"/>
        <v>Other</v>
      </c>
      <c r="AH242" s="81" t="str">
        <f t="shared" si="100"/>
        <v>"%USERPROFILE%\Documents\GitHub\eaglep3\Utilities\RefineRTDCRunTimes.py" --tripid 68-05 --locoid 4013 --swversion DE.1.0.9.0 --startMP 204:3227 --initTime 2017-06-05T03:21:35 --startdatetime 2017-06-05T03:23:59 --delay 1 --endMP 204:1171 --enddatetime 2017-06-05T03:25:47 --enforcementcount 0 &gt;&gt;C:\Users\stu\Documents\GitHub\eaglep3-reporting\EC\2017-06-05-refined-times.txt</v>
      </c>
      <c r="AI242" s="99" t="str">
        <f t="shared" si="101"/>
        <v>echo {"issue":{"subject":"","project_id":79,"tracker_id":40,"status_id":1,"priority_id":2,"assigned_to_id":23,"start_date":"2017-06-05","description":"","custom_fields":[{"id":1,"name":"Subdivision","value":"Other"},{"id":4,"name":"Milepost","value":"0.1171"},{"id":17,"name":"Train ID","value":"68-05"},{"id":16,"name":"Locomotive ID","value":"4013"},{"id":130,"name":"Impact","value":""},{"id":150,"name":"Time of Event (Mountain Time)","value":"03:25:47"},{"id":151,"name":"Denver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5" t="str">
        <f t="shared" si="102"/>
        <v>start /low /b %USERPROFILE%\Documents\GitHub\eaglep3\Utilities\DownloadLogsFromS3.py --loco 4013 --day 2017-06-05</v>
      </c>
      <c r="AN242" s="154" t="str">
        <f t="shared" si="103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09:25:47"},{"id":29,"name":"Sharepoint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3" spans="1:40" x14ac:dyDescent="0.25">
      <c r="A243" s="32" t="s">
        <v>778</v>
      </c>
      <c r="B243" s="7">
        <v>4032</v>
      </c>
      <c r="C243" s="21" t="s">
        <v>204</v>
      </c>
      <c r="D243" s="21" t="s">
        <v>937</v>
      </c>
      <c r="E243" s="13">
        <v>42891.720289351855</v>
      </c>
      <c r="F243" s="13">
        <v>42891.737349537034</v>
      </c>
      <c r="G243" s="7">
        <v>1</v>
      </c>
      <c r="H243" s="21" t="s">
        <v>357</v>
      </c>
      <c r="I243" s="13">
        <v>42891.743437500001</v>
      </c>
      <c r="J243" s="7">
        <v>0</v>
      </c>
      <c r="K243" s="92" t="str">
        <f t="shared" si="90"/>
        <v>4031/4032</v>
      </c>
      <c r="L243" s="21" t="str">
        <f>VLOOKUP(A243,'Trips&amp;Operators'!$C$1:$G$99999,5,FALSE)</f>
        <v>MOSES BRADLEY</v>
      </c>
      <c r="M243" s="6">
        <f t="shared" si="91"/>
        <v>6.0879629672854207E-3</v>
      </c>
      <c r="N243" s="7">
        <f t="shared" si="105"/>
        <v>8.7666666728910059</v>
      </c>
      <c r="O243" s="7"/>
      <c r="P243" s="7"/>
      <c r="Q243" s="22"/>
      <c r="R243" s="173"/>
      <c r="S243" s="176">
        <f t="shared" si="106"/>
        <v>0</v>
      </c>
      <c r="T243" s="202" t="e">
        <f t="shared" si="92"/>
        <v>#VALUE!</v>
      </c>
      <c r="U243" s="202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203" t="str">
        <f t="shared" si="93"/>
        <v>https://d0f6bd738d7f1b3e5a7ca70fe4ff75f0.us-east-1.aws.found.io/app/kibana#/discover/Steve-Slow-Train-Analysis-(2080s-and-2083s)?_g=(refreshInterval:(display:Off,pause:!f,section:0,value:0),time:(from:'2017-06-05T16:17:13-0600',mode:absolute,to:'2017-06-05T18:50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43" s="204" t="str">
        <f t="shared" si="94"/>
        <v>Y</v>
      </c>
      <c r="X243" s="204" t="e">
        <f t="shared" si="89"/>
        <v>#VALUE!</v>
      </c>
      <c r="Y243" s="204">
        <f t="shared" si="107"/>
        <v>0.11650000000000001</v>
      </c>
      <c r="Z243" s="204">
        <f t="shared" si="104"/>
        <v>2.3346</v>
      </c>
      <c r="AA243" s="204">
        <f t="shared" si="95"/>
        <v>2.2181000000000002</v>
      </c>
      <c r="AB243" s="57" t="e">
        <f>VLOOKUP(A243,Enforcements!$C$7:$K$13,8,0)</f>
        <v>#N/A</v>
      </c>
      <c r="AC243" s="53" t="e">
        <f>VLOOKUP(A243,Enforcements!$C$7:$E$13,3,0)</f>
        <v>#N/A</v>
      </c>
      <c r="AD243" s="54" t="str">
        <f t="shared" si="96"/>
        <v>71-05</v>
      </c>
      <c r="AE243" s="80" t="str">
        <f t="shared" si="97"/>
        <v>aws s3 cp s3://rtdc.mdm.uploadarchive.raw/RTDC4032/ "%USERPROFILE%\AppData\Local\Temp\OnboardLogs"\RTDC4032\2017-06-05 --exclude "*" --recursive --include "*20170605*" &amp; "%USERPROFILE%\Documents\GitHub\mrs-test-scripts\Headless Mode &amp; Sideloading\WalkAndUnGZ.bat" "%USERPROFILE%\AppData\Local\Temp\OnboardLogs"\RTDC4032\2017-06-05 &amp; aws s3 cp s3://rtdc.mdm.uploadarchive.raw/RTDC4032/ "%USERPROFILE%\AppData\Local\Temp\OnboardLogs"\RTDC4032\2017-06-06 --exclude "*" --recursive --include "*20170606*" &amp; "%USERPROFILE%\Documents\GitHub\mrs-test-scripts\Headless Mode &amp; Sideloading\WalkAndUnGZ.bat" "%USERPROFILE%\AppData\Local\Temp\OnboardLogs"\RTDC4032\2017-06-06</v>
      </c>
      <c r="AF243" s="77" t="str">
        <f t="shared" si="98"/>
        <v>"C:\Program Files (x86)\AstroGrep\AstroGrep.exe" /e /r /s /spath="%USERPROFILE%\AppData\Local\Temp\OnboardLogs" /stypes="app*4032*20170605*" /stext=" 23:.+((SYSTEM_STATE.+slice.+state.+changed )|(ment ac)|(multiple cpu faults)|(system.+state.+changed )|(\[timeout)|(PRM\|1\|D)|(kpr)|(kdp)|(train st.+moving)|(\|lc)|(penalty))"</v>
      </c>
      <c r="AG243" s="1" t="str">
        <f t="shared" si="99"/>
        <v>Other</v>
      </c>
      <c r="AH243" s="81" t="str">
        <f t="shared" si="100"/>
        <v>"%USERPROFILE%\Documents\GitHub\eaglep3\Utilities\RefineRTDCRunTimes.py" --tripid 71-05 --locoid 4032 --swversion DE.1.0.9.0 --startMP 204:1165 --initTime 2017-06-05T17:17:13 --startdatetime 2017-06-05T17:41:47 --delay 1 --endMP 300:23346 --enddatetime 2017-06-05T17:50:33 --enforcementcount 0 &gt;&gt;C:\Users\stu\Documents\GitHub\eaglep3-reporting\EC\2017-06-05-refined-times.txt</v>
      </c>
      <c r="AI243" s="99" t="str">
        <f t="shared" si="101"/>
        <v>echo {"issue":{"subject":"","project_id":79,"tracker_id":40,"status_id":1,"priority_id":2,"assigned_to_id":23,"start_date":"2017-06-05","description":"","custom_fields":[{"id":1,"name":"Subdivision","value":"Other"},{"id":4,"name":"Milepost","value":"2.3346"},{"id":17,"name":"Train ID","value":"71-05"},{"id":16,"name":"Locomotive ID","value":"4032"},{"id":130,"name":"Impact","value":""},{"id":150,"name":"Time of Event (Mountain Time)","value":"17:50:33"},{"id":151,"name":"Denver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5" t="str">
        <f t="shared" si="102"/>
        <v>start /low /b %USERPROFILE%\Documents\GitHub\eaglep3\Utilities\DownloadLogsFromS3.py --loco 4032 --day 2017-06-05</v>
      </c>
      <c r="AN243" s="154" t="str">
        <f t="shared" si="103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23:50:33"},{"id":29,"name":"Sharepoint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4" spans="1:40" x14ac:dyDescent="0.25">
      <c r="A244" s="32" t="s">
        <v>795</v>
      </c>
      <c r="B244" s="7">
        <v>4011</v>
      </c>
      <c r="C244" s="21" t="s">
        <v>204</v>
      </c>
      <c r="D244" s="21" t="s">
        <v>938</v>
      </c>
      <c r="E244" s="13">
        <v>42891.797476851854</v>
      </c>
      <c r="F244" s="13">
        <v>42891.798831018517</v>
      </c>
      <c r="G244" s="7">
        <v>1</v>
      </c>
      <c r="H244" s="21" t="s">
        <v>437</v>
      </c>
      <c r="I244" s="13">
        <v>42891.799930555557</v>
      </c>
      <c r="J244" s="7">
        <v>0</v>
      </c>
      <c r="K244" s="92" t="str">
        <f t="shared" si="90"/>
        <v>4011/4012</v>
      </c>
      <c r="L244" s="21" t="str">
        <f>VLOOKUP(A244,'Trips&amp;Operators'!$C$1:$G$99999,5,FALSE)</f>
        <v>BIRENBAUM THOMAS</v>
      </c>
      <c r="M244" s="6">
        <f t="shared" si="91"/>
        <v>1.0995370394084603E-3</v>
      </c>
      <c r="N244" s="7">
        <f t="shared" si="105"/>
        <v>1.5833333367481828</v>
      </c>
      <c r="O244" s="7"/>
      <c r="P244" s="7"/>
      <c r="Q244" s="22"/>
      <c r="R244" s="173"/>
      <c r="S244" s="176">
        <f t="shared" si="106"/>
        <v>0</v>
      </c>
      <c r="T244" s="202" t="e">
        <f t="shared" si="92"/>
        <v>#VALUE!</v>
      </c>
      <c r="U244" s="202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203" t="str">
        <f t="shared" si="93"/>
        <v>https://d0f6bd738d7f1b3e5a7ca70fe4ff75f0.us-east-1.aws.found.io/app/kibana#/discover/Steve-Slow-Train-Analysis-(2080s-and-2083s)?_g=(refreshInterval:(display:Off,pause:!f,section:0,value:0),time:(from:'2017-06-05T18:08:22-0600',mode:absolute,to:'2017-06-05T20:11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44" s="204" t="str">
        <f t="shared" si="94"/>
        <v>Y</v>
      </c>
      <c r="X244" s="204" t="e">
        <f t="shared" si="89"/>
        <v>#VALUE!</v>
      </c>
      <c r="Y244" s="204">
        <f t="shared" si="107"/>
        <v>0.30659999999999998</v>
      </c>
      <c r="Z244" s="204">
        <f t="shared" si="104"/>
        <v>1.4500000000000001E-2</v>
      </c>
      <c r="AA244" s="204">
        <f t="shared" si="95"/>
        <v>0.29209999999999997</v>
      </c>
      <c r="AB244" s="57" t="e">
        <f>VLOOKUP(A244,Enforcements!$C$7:$K$13,8,0)</f>
        <v>#N/A</v>
      </c>
      <c r="AC244" s="53" t="e">
        <f>VLOOKUP(A244,Enforcements!$C$7:$E$13,3,0)</f>
        <v>#N/A</v>
      </c>
      <c r="AD244" s="54" t="str">
        <f t="shared" si="96"/>
        <v>75-05</v>
      </c>
      <c r="AE244" s="80" t="str">
        <f t="shared" si="97"/>
        <v>aws s3 cp s3://rtdc.mdm.uploadarchive.raw/RTDC4011/ "%USERPROFILE%\AppData\Local\Temp\OnboardLogs"\RTDC4011\2017-06-05 --exclude "*" --recursive --include "*20170605*" &amp; "%USERPROFILE%\Documents\GitHub\mrs-test-scripts\Headless Mode &amp; Sideloading\WalkAndUnGZ.bat" "%USERPROFILE%\AppData\Local\Temp\OnboardLogs"\RTDC4011\2017-06-05 &amp; aws s3 cp s3://rtdc.mdm.uploadarchive.raw/RTDC4011/ "%USERPROFILE%\AppData\Local\Temp\OnboardLogs"\RTDC4011\2017-06-06 --exclude "*" --recursive --include "*20170606*" &amp; "%USERPROFILE%\Documents\GitHub\mrs-test-scripts\Headless Mode &amp; Sideloading\WalkAndUnGZ.bat" "%USERPROFILE%\AppData\Local\Temp\OnboardLogs"\RTDC4011\2017-06-06</v>
      </c>
      <c r="AF244" s="77" t="str">
        <f t="shared" si="98"/>
        <v>"C:\Program Files (x86)\AstroGrep\AstroGrep.exe" /e /r /s /spath="%USERPROFILE%\AppData\Local\Temp\OnboardLogs" /stypes="app*4011*20170606*" /stext=" 01:.+((SYSTEM_STATE.+slice.+state.+changed )|(ment ac)|(multiple cpu faults)|(system.+state.+changed )|(\[timeout)|(PRM\|1\|D)|(kpr)|(kdp)|(train st.+moving)|(\|lc)|(penalty))"</v>
      </c>
      <c r="AG244" s="1" t="str">
        <f t="shared" si="99"/>
        <v>Other</v>
      </c>
      <c r="AH244" s="81" t="str">
        <f t="shared" si="100"/>
        <v>"%USERPROFILE%\Documents\GitHub\eaglep3\Utilities\RefineRTDCRunTimes.py" --tripid 75-05 --locoid 4011 --swversion DE.1.0.9.0 --startMP 204:3066 --initTime 2017-06-05T19:08:22 --startdatetime 2017-06-05T19:10:19 --delay 1 --endMP 204:145 --enddatetime 2017-06-05T19:11:54 --enforcementcount 0 &gt;&gt;C:\Users\stu\Documents\GitHub\eaglep3-reporting\EC\2017-06-05-refined-times.txt</v>
      </c>
      <c r="AI244" s="99" t="str">
        <f t="shared" si="101"/>
        <v>echo {"issue":{"subject":"","project_id":79,"tracker_id":40,"status_id":1,"priority_id":2,"assigned_to_id":23,"start_date":"2017-06-05","description":"","custom_fields":[{"id":1,"name":"Subdivision","value":"Other"},{"id":4,"name":"Milepost","value":"0.0145"},{"id":17,"name":"Train ID","value":"75-05"},{"id":16,"name":"Locomotive ID","value":"4011"},{"id":130,"name":"Impact","value":""},{"id":150,"name":"Time of Event (Mountain Time)","value":"19:11:54"},{"id":151,"name":"Denver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7"/>
      <c r="AL244" s="47"/>
      <c r="AM244" s="145" t="str">
        <f t="shared" si="102"/>
        <v>start /low /b %USERPROFILE%\Documents\GitHub\eaglep3\Utilities\DownloadLogsFromS3.py --loco 4011 --day 2017-06-05</v>
      </c>
      <c r="AN244" s="154" t="str">
        <f t="shared" si="103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01:11:54"},{"id":29,"name":"Sharepoint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5" spans="1:40" x14ac:dyDescent="0.25">
      <c r="A245" s="32" t="s">
        <v>795</v>
      </c>
      <c r="B245" s="7">
        <v>4012</v>
      </c>
      <c r="C245" s="21" t="s">
        <v>204</v>
      </c>
      <c r="D245" s="21" t="s">
        <v>939</v>
      </c>
      <c r="E245" s="13">
        <v>42891.793020833335</v>
      </c>
      <c r="F245" s="13">
        <v>42891.798831018517</v>
      </c>
      <c r="G245" s="7">
        <v>2</v>
      </c>
      <c r="H245" s="21" t="s">
        <v>940</v>
      </c>
      <c r="I245" s="13">
        <v>42891.799930555557</v>
      </c>
      <c r="J245" s="7">
        <v>0</v>
      </c>
      <c r="K245" s="92" t="str">
        <f t="shared" si="90"/>
        <v>4011/4012</v>
      </c>
      <c r="L245" s="21" t="str">
        <f>VLOOKUP(A245,'Trips&amp;Operators'!$C$1:$G$99999,5,FALSE)</f>
        <v>BIRENBAUM THOMAS</v>
      </c>
      <c r="M245" s="6">
        <f t="shared" si="91"/>
        <v>1.0995370394084603E-3</v>
      </c>
      <c r="N245" s="7">
        <f t="shared" si="105"/>
        <v>1.5833333367481828</v>
      </c>
      <c r="O245" s="7"/>
      <c r="P245" s="7"/>
      <c r="Q245" s="22"/>
      <c r="R245" s="173"/>
      <c r="S245" s="176">
        <f t="shared" si="106"/>
        <v>0</v>
      </c>
      <c r="T245" s="202" t="e">
        <f t="shared" si="92"/>
        <v>#VALUE!</v>
      </c>
      <c r="U245" s="202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203" t="str">
        <f t="shared" si="93"/>
        <v>https://d0f6bd738d7f1b3e5a7ca70fe4ff75f0.us-east-1.aws.found.io/app/kibana#/discover/Steve-Slow-Train-Analysis-(2080s-and-2083s)?_g=(refreshInterval:(display:Off,pause:!f,section:0,value:0),time:(from:'2017-06-05T18:01:57-0600',mode:absolute,to:'2017-06-05T20:11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45" s="204" t="str">
        <f t="shared" si="94"/>
        <v>Y</v>
      </c>
      <c r="X245" s="204" t="e">
        <f t="shared" si="89"/>
        <v>#VALUE!</v>
      </c>
      <c r="Y245" s="204">
        <f t="shared" si="107"/>
        <v>0.11559999999999999</v>
      </c>
      <c r="Z245" s="204">
        <f t="shared" si="104"/>
        <v>0.3397</v>
      </c>
      <c r="AA245" s="204">
        <f t="shared" si="95"/>
        <v>0.22410000000000002</v>
      </c>
      <c r="AB245" s="57" t="e">
        <f>VLOOKUP(A245,Enforcements!$C$7:$K$13,8,0)</f>
        <v>#N/A</v>
      </c>
      <c r="AC245" s="53" t="e">
        <f>VLOOKUP(A245,Enforcements!$C$7:$E$13,3,0)</f>
        <v>#N/A</v>
      </c>
      <c r="AD245" s="54" t="str">
        <f t="shared" si="96"/>
        <v>75-05</v>
      </c>
      <c r="AE245" s="80" t="str">
        <f t="shared" si="97"/>
        <v>aws s3 cp s3://rtdc.mdm.uploadarchive.raw/RTDC4012/ "%USERPROFILE%\AppData\Local\Temp\OnboardLogs"\RTDC4012\2017-06-05 --exclude "*" --recursive --include "*20170605*" &amp; "%USERPROFILE%\Documents\GitHub\mrs-test-scripts\Headless Mode &amp; Sideloading\WalkAndUnGZ.bat" "%USERPROFILE%\AppData\Local\Temp\OnboardLogs"\RTDC4012\2017-06-05 &amp; aws s3 cp s3://rtdc.mdm.uploadarchive.raw/RTDC4012/ "%USERPROFILE%\AppData\Local\Temp\OnboardLogs"\RTDC4012\2017-06-06 --exclude "*" --recursive --include "*20170606*" &amp; "%USERPROFILE%\Documents\GitHub\mrs-test-scripts\Headless Mode &amp; Sideloading\WalkAndUnGZ.bat" "%USERPROFILE%\AppData\Local\Temp\OnboardLogs"\RTDC4012\2017-06-06</v>
      </c>
      <c r="AF245" s="77" t="str">
        <f t="shared" si="98"/>
        <v>"C:\Program Files (x86)\AstroGrep\AstroGrep.exe" /e /r /s /spath="%USERPROFILE%\AppData\Local\Temp\OnboardLogs" /stypes="app*4012*20170606*" /stext=" 01:.+((SYSTEM_STATE.+slice.+state.+changed )|(ment ac)|(multiple cpu faults)|(system.+state.+changed )|(\[timeout)|(PRM\|1\|D)|(kpr)|(kdp)|(train st.+moving)|(\|lc)|(penalty))"</v>
      </c>
      <c r="AG245" s="1" t="str">
        <f t="shared" si="99"/>
        <v>Other</v>
      </c>
      <c r="AH245" s="81" t="str">
        <f t="shared" si="100"/>
        <v>"%USERPROFILE%\Documents\GitHub\eaglep3\Utilities\RefineRTDCRunTimes.py" --tripid 75-05 --locoid 4012 --swversion DE.1.0.9.0 --startMP 204:1156 --initTime 2017-06-05T19:01:57 --startdatetime 2017-06-05T19:10:19 --delay 2 --endMP 204:3397 --enddatetime 2017-06-05T19:11:54 --enforcementcount 0 &gt;&gt;C:\Users\stu\Documents\GitHub\eaglep3-reporting\EC\2017-06-05-refined-times.txt</v>
      </c>
      <c r="AI245" s="99" t="str">
        <f t="shared" si="101"/>
        <v>echo {"issue":{"subject":"","project_id":79,"tracker_id":40,"status_id":1,"priority_id":2,"assigned_to_id":23,"start_date":"2017-06-05","description":"","custom_fields":[{"id":1,"name":"Subdivision","value":"Other"},{"id":4,"name":"Milepost","value":"0.3397"},{"id":17,"name":"Train ID","value":"75-05"},{"id":16,"name":"Locomotive ID","value":"4012"},{"id":130,"name":"Impact","value":""},{"id":150,"name":"Time of Event (Mountain Time)","value":"19:11:54"},{"id":151,"name":"Denver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7"/>
      <c r="AL245" s="47"/>
      <c r="AM245" s="145" t="str">
        <f t="shared" si="102"/>
        <v>start /low /b %USERPROFILE%\Documents\GitHub\eaglep3\Utilities\DownloadLogsFromS3.py --loco 4012 --day 2017-06-05</v>
      </c>
      <c r="AN245" s="154" t="str">
        <f t="shared" si="103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01:11:54"},{"id":29,"name":"Sharepoint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6" spans="1:40" x14ac:dyDescent="0.25">
      <c r="A246" s="32" t="s">
        <v>795</v>
      </c>
      <c r="B246" s="7">
        <v>4061</v>
      </c>
      <c r="C246" s="21" t="s">
        <v>204</v>
      </c>
      <c r="D246" s="21" t="s">
        <v>941</v>
      </c>
      <c r="E246" s="13">
        <v>42891.871053240742</v>
      </c>
      <c r="F246" s="13">
        <v>42891.872430555559</v>
      </c>
      <c r="G246" s="7">
        <v>1</v>
      </c>
      <c r="H246" s="21" t="s">
        <v>364</v>
      </c>
      <c r="I246" s="13">
        <v>42891.87358796296</v>
      </c>
      <c r="J246" s="7">
        <v>0</v>
      </c>
      <c r="K246" s="92" t="str">
        <f t="shared" si="90"/>
        <v>4061/4062</v>
      </c>
      <c r="L246" s="21" t="str">
        <f>VLOOKUP(A246,'Trips&amp;Operators'!$C$1:$G$99999,5,FALSE)</f>
        <v>BIRENBAUM THOMAS</v>
      </c>
      <c r="M246" s="6">
        <f t="shared" si="91"/>
        <v>1.1574074014788494E-3</v>
      </c>
      <c r="N246" s="7">
        <f t="shared" si="105"/>
        <v>1.6666666581295431</v>
      </c>
      <c r="O246" s="7"/>
      <c r="P246" s="7"/>
      <c r="Q246" s="22"/>
      <c r="R246" s="173"/>
      <c r="S246" s="176">
        <f t="shared" si="106"/>
        <v>0</v>
      </c>
      <c r="T246" s="202" t="e">
        <f t="shared" si="92"/>
        <v>#VALUE!</v>
      </c>
      <c r="U246" s="202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203" t="str">
        <f t="shared" si="93"/>
        <v>https://d0f6bd738d7f1b3e5a7ca70fe4ff75f0.us-east-1.aws.found.io/app/kibana#/discover/Steve-Slow-Train-Analysis-(2080s-and-2083s)?_g=(refreshInterval:(display:Off,pause:!f,section:0,value:0),time:(from:'2017-06-05T19:54:19-0600',mode:absolute,to:'2017-06-05T21:57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46" s="204" t="str">
        <f t="shared" si="94"/>
        <v>Y</v>
      </c>
      <c r="X246" s="204" t="e">
        <f t="shared" si="89"/>
        <v>#VALUE!</v>
      </c>
      <c r="Y246" s="204">
        <f t="shared" si="107"/>
        <v>0.33110000000000001</v>
      </c>
      <c r="Z246" s="204">
        <f t="shared" si="104"/>
        <v>1.47E-2</v>
      </c>
      <c r="AA246" s="204">
        <f t="shared" si="95"/>
        <v>0.31640000000000001</v>
      </c>
      <c r="AB246" s="57" t="e">
        <f>VLOOKUP(A246,Enforcements!$C$7:$K$13,8,0)</f>
        <v>#N/A</v>
      </c>
      <c r="AC246" s="53" t="e">
        <f>VLOOKUP(A246,Enforcements!$C$7:$E$13,3,0)</f>
        <v>#N/A</v>
      </c>
      <c r="AD246" s="54" t="str">
        <f t="shared" si="96"/>
        <v>75-05</v>
      </c>
      <c r="AE246" s="80" t="str">
        <f t="shared" si="97"/>
        <v>aws s3 cp s3://rtdc.mdm.uploadarchive.raw/RTDC4061/ "%USERPROFILE%\AppData\Local\Temp\OnboardLogs"\RTDC4061\2017-06-05 --exclude "*" --recursive --include "*20170605*" &amp; "%USERPROFILE%\Documents\GitHub\mrs-test-scripts\Headless Mode &amp; Sideloading\WalkAndUnGZ.bat" "%USERPROFILE%\AppData\Local\Temp\OnboardLogs"\RTDC4061\2017-06-05 &amp; aws s3 cp s3://rtdc.mdm.uploadarchive.raw/RTDC4061/ "%USERPROFILE%\AppData\Local\Temp\OnboardLogs"\RTDC4061\2017-06-06 --exclude "*" --recursive --include "*20170606*" &amp; "%USERPROFILE%\Documents\GitHub\mrs-test-scripts\Headless Mode &amp; Sideloading\WalkAndUnGZ.bat" "%USERPROFILE%\AppData\Local\Temp\OnboardLogs"\RTDC4061\2017-06-06</v>
      </c>
      <c r="AF246" s="77" t="str">
        <f t="shared" si="98"/>
        <v>"C:\Program Files (x86)\AstroGrep\AstroGrep.exe" /e /r /s /spath="%USERPROFILE%\AppData\Local\Temp\OnboardLogs" /stypes="app*4061*20170606*" /stext=" 02:.+((SYSTEM_STATE.+slice.+state.+changed )|(ment ac)|(multiple cpu faults)|(system.+state.+changed )|(\[timeout)|(PRM\|1\|D)|(kpr)|(kdp)|(train st.+moving)|(\|lc)|(penalty))"</v>
      </c>
      <c r="AG246" s="1" t="str">
        <f t="shared" si="99"/>
        <v>Other</v>
      </c>
      <c r="AH246" s="81" t="str">
        <f t="shared" si="100"/>
        <v>"%USERPROFILE%\Documents\GitHub\eaglep3\Utilities\RefineRTDCRunTimes.py" --tripid 75-05 --locoid 4061 --swversion DE.1.0.9.0 --startMP 204:3311 --initTime 2017-06-05T20:54:19 --startdatetime 2017-06-05T20:56:18 --delay 1 --endMP 204:147 --enddatetime 2017-06-05T20:57:58 --enforcementcount 0 &gt;&gt;C:\Users\stu\Documents\GitHub\eaglep3-reporting\EC\2017-06-05-refined-times.txt</v>
      </c>
      <c r="AI246" s="99" t="str">
        <f t="shared" si="101"/>
        <v>echo {"issue":{"subject":"","project_id":79,"tracker_id":40,"status_id":1,"priority_id":2,"assigned_to_id":23,"start_date":"2017-06-05","description":"","custom_fields":[{"id":1,"name":"Subdivision","value":"Other"},{"id":4,"name":"Milepost","value":"0.0147"},{"id":17,"name":"Train ID","value":"75-05"},{"id":16,"name":"Locomotive ID","value":"4061"},{"id":130,"name":"Impact","value":""},{"id":150,"name":"Time of Event (Mountain Time)","value":"20:57:58"},{"id":151,"name":"Denver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20"/>
      <c r="AK246" s="47"/>
      <c r="AL246" s="47"/>
      <c r="AM246" s="145" t="str">
        <f t="shared" si="102"/>
        <v>start /low /b %USERPROFILE%\Documents\GitHub\eaglep3\Utilities\DownloadLogsFromS3.py --loco 4061 --day 2017-06-05</v>
      </c>
      <c r="AN246" s="154" t="str">
        <f t="shared" si="103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02:57:58"},{"id":29,"name":"Sharepoint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7" spans="1:40" x14ac:dyDescent="0.25">
      <c r="A247" s="32" t="s">
        <v>795</v>
      </c>
      <c r="B247" s="7">
        <v>4062</v>
      </c>
      <c r="C247" s="21" t="s">
        <v>204</v>
      </c>
      <c r="D247" s="21" t="s">
        <v>942</v>
      </c>
      <c r="E247" s="13">
        <v>42891.867939814816</v>
      </c>
      <c r="F247" s="13">
        <v>42891.872430555559</v>
      </c>
      <c r="G247" s="7">
        <v>1</v>
      </c>
      <c r="H247" s="21" t="s">
        <v>943</v>
      </c>
      <c r="I247" s="13">
        <v>42891.87358796296</v>
      </c>
      <c r="J247" s="7">
        <v>0</v>
      </c>
      <c r="K247" s="92" t="str">
        <f t="shared" si="90"/>
        <v>4061/4062</v>
      </c>
      <c r="L247" s="21" t="str">
        <f>VLOOKUP(A247,'Trips&amp;Operators'!$C$1:$G$99999,5,FALSE)</f>
        <v>BIRENBAUM THOMAS</v>
      </c>
      <c r="M247" s="6">
        <f t="shared" si="91"/>
        <v>1.1574074014788494E-3</v>
      </c>
      <c r="N247" s="7">
        <f t="shared" si="105"/>
        <v>1.6666666581295431</v>
      </c>
      <c r="O247" s="7"/>
      <c r="P247" s="7"/>
      <c r="Q247" s="22"/>
      <c r="R247" s="173"/>
      <c r="S247" s="176">
        <f t="shared" si="106"/>
        <v>0</v>
      </c>
      <c r="T247" s="202" t="e">
        <f t="shared" si="92"/>
        <v>#VALUE!</v>
      </c>
      <c r="U247" s="202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203" t="str">
        <f t="shared" si="93"/>
        <v>https://d0f6bd738d7f1b3e5a7ca70fe4ff75f0.us-east-1.aws.found.io/app/kibana#/discover/Steve-Slow-Train-Analysis-(2080s-and-2083s)?_g=(refreshInterval:(display:Off,pause:!f,section:0,value:0),time:(from:'2017-06-05T19:49:50-0600',mode:absolute,to:'2017-06-05T21:57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47" s="204" t="str">
        <f t="shared" si="94"/>
        <v>Y</v>
      </c>
      <c r="X247" s="204" t="e">
        <f t="shared" si="89"/>
        <v>#VALUE!</v>
      </c>
      <c r="Y247" s="204">
        <f t="shared" si="107"/>
        <v>0.1188</v>
      </c>
      <c r="Z247" s="204">
        <f t="shared" si="104"/>
        <v>0.36170000000000002</v>
      </c>
      <c r="AA247" s="204">
        <f t="shared" si="95"/>
        <v>0.2429</v>
      </c>
      <c r="AB247" s="57" t="e">
        <f>VLOOKUP(A247,Enforcements!$C$7:$K$13,8,0)</f>
        <v>#N/A</v>
      </c>
      <c r="AC247" s="53" t="e">
        <f>VLOOKUP(A247,Enforcements!$C$7:$E$13,3,0)</f>
        <v>#N/A</v>
      </c>
      <c r="AD247" s="54" t="str">
        <f t="shared" si="96"/>
        <v>75-05</v>
      </c>
      <c r="AE247" s="80" t="str">
        <f t="shared" si="97"/>
        <v>aws s3 cp s3://rtdc.mdm.uploadarchive.raw/RTDC4062/ "%USERPROFILE%\AppData\Local\Temp\OnboardLogs"\RTDC4062\2017-06-05 --exclude "*" --recursive --include "*20170605*" &amp; "%USERPROFILE%\Documents\GitHub\mrs-test-scripts\Headless Mode &amp; Sideloading\WalkAndUnGZ.bat" "%USERPROFILE%\AppData\Local\Temp\OnboardLogs"\RTDC4062\2017-06-05 &amp; aws s3 cp s3://rtdc.mdm.uploadarchive.raw/RTDC4062/ "%USERPROFILE%\AppData\Local\Temp\OnboardLogs"\RTDC4062\2017-06-06 --exclude "*" --recursive --include "*20170606*" &amp; "%USERPROFILE%\Documents\GitHub\mrs-test-scripts\Headless Mode &amp; Sideloading\WalkAndUnGZ.bat" "%USERPROFILE%\AppData\Local\Temp\OnboardLogs"\RTDC4062\2017-06-06</v>
      </c>
      <c r="AF247" s="77" t="str">
        <f t="shared" si="98"/>
        <v>"C:\Program Files (x86)\AstroGrep\AstroGrep.exe" /e /r /s /spath="%USERPROFILE%\AppData\Local\Temp\OnboardLogs" /stypes="app*4062*20170606*" /stext=" 02:.+((SYSTEM_STATE.+slice.+state.+changed )|(ment ac)|(multiple cpu faults)|(system.+state.+changed )|(\[timeout)|(PRM\|1\|D)|(kpr)|(kdp)|(train st.+moving)|(\|lc)|(penalty))"</v>
      </c>
      <c r="AG247" s="1" t="str">
        <f t="shared" si="99"/>
        <v>Other</v>
      </c>
      <c r="AH247" s="81" t="str">
        <f t="shared" si="100"/>
        <v>"%USERPROFILE%\Documents\GitHub\eaglep3\Utilities\RefineRTDCRunTimes.py" --tripid 75-05 --locoid 4062 --swversion DE.1.0.9.0 --startMP 204:1188 --initTime 2017-06-05T20:49:50 --startdatetime 2017-06-05T20:56:18 --delay 1 --endMP 204:3617 --enddatetime 2017-06-05T20:57:58 --enforcementcount 0 &gt;&gt;C:\Users\stu\Documents\GitHub\eaglep3-reporting\EC\2017-06-05-refined-times.txt</v>
      </c>
      <c r="AI247" s="99" t="str">
        <f t="shared" si="101"/>
        <v>echo {"issue":{"subject":"","project_id":79,"tracker_id":40,"status_id":1,"priority_id":2,"assigned_to_id":23,"start_date":"2017-06-05","description":"","custom_fields":[{"id":1,"name":"Subdivision","value":"Other"},{"id":4,"name":"Milepost","value":"0.3617"},{"id":17,"name":"Train ID","value":"75-05"},{"id":16,"name":"Locomotive ID","value":"4062"},{"id":130,"name":"Impact","value":""},{"id":150,"name":"Time of Event (Mountain Time)","value":"20:57:58"},{"id":151,"name":"Denver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20"/>
      <c r="AK247" s="47"/>
      <c r="AL247" s="47"/>
      <c r="AM247" s="145" t="str">
        <f t="shared" si="102"/>
        <v>start /low /b %USERPROFILE%\Documents\GitHub\eaglep3\Utilities\DownloadLogsFromS3.py --loco 4062 --day 2017-06-05</v>
      </c>
      <c r="AN247" s="154" t="str">
        <f t="shared" si="103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02:57:58"},{"id":29,"name":"Sharepoint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8" spans="1:40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40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40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40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40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40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40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40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40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  <c r="AM274"/>
    </row>
    <row r="275" spans="1:39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  <c r="AM275"/>
    </row>
    <row r="276" spans="1:39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H276"/>
      <c r="AI276"/>
      <c r="AM276"/>
    </row>
    <row r="277" spans="1:39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H277"/>
      <c r="AI277"/>
      <c r="AM277"/>
    </row>
    <row r="278" spans="1:39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H278"/>
      <c r="AI278"/>
      <c r="AM278"/>
    </row>
  </sheetData>
  <autoFilter ref="A12:AG275">
    <sortState ref="A13:AG276">
      <sortCondition ref="AG13:AG248"/>
      <sortCondition ref="AD13:AD248"/>
    </sortState>
  </autoFilter>
  <sortState ref="A13:AH200">
    <sortCondition ref="AG13:AG200"/>
    <sortCondition ref="AD13:AD200"/>
  </sortState>
  <mergeCells count="1">
    <mergeCell ref="A11:P11"/>
  </mergeCells>
  <conditionalFormatting sqref="W11:W12 W279:X1048576 W13:X247">
    <cfRule type="cellIs" dxfId="10" priority="401" operator="equal">
      <formula>"Y"</formula>
    </cfRule>
  </conditionalFormatting>
  <conditionalFormatting sqref="X279:X1048576 X13:X247">
    <cfRule type="cellIs" dxfId="9" priority="384" operator="greaterThan">
      <formula>1</formula>
    </cfRule>
  </conditionalFormatting>
  <conditionalFormatting sqref="X279:X1048576 X12:X247">
    <cfRule type="cellIs" dxfId="8" priority="381" operator="equal">
      <formula>0</formula>
    </cfRule>
  </conditionalFormatting>
  <conditionalFormatting sqref="A13:S247">
    <cfRule type="expression" dxfId="7" priority="375" stopIfTrue="1">
      <formula>$P13&gt;0</formula>
    </cfRule>
    <cfRule type="expression" dxfId="6" priority="376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7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A13:S247</xm:sqref>
        </x14:conditionalFormatting>
        <x14:conditionalFormatting xmlns:xm="http://schemas.microsoft.com/office/excel/2006/main">
          <x14:cfRule type="expression" priority="60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AK13:AK247</xm:sqref>
        </x14:dataValidation>
        <x14:dataValidation type="list" allowBlank="1" showInputMessage="1" showErrorMessage="1">
          <x14:formula1>
            <xm:f>'Redmine List Values'!$C$2:$C$15</xm:f>
          </x14:formula1>
          <xm:sqref>AL13:AL247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0"/>
  <sheetViews>
    <sheetView tabSelected="1" topLeftCell="A2" zoomScaleNormal="100" workbookViewId="0">
      <selection activeCell="T27" sqref="T27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6" customWidth="1"/>
    <col min="5" max="5" width="13.140625" style="116" customWidth="1"/>
    <col min="6" max="6" width="5.7109375" style="116" customWidth="1"/>
    <col min="7" max="7" width="5.85546875" style="116" customWidth="1"/>
    <col min="8" max="8" width="7.85546875" style="116" customWidth="1"/>
    <col min="9" max="9" width="9" style="116" customWidth="1"/>
    <col min="10" max="10" width="11.5703125" style="116" hidden="1" customWidth="1"/>
    <col min="11" max="11" width="9.140625" style="116" customWidth="1"/>
    <col min="12" max="12" width="4.85546875" style="116" customWidth="1"/>
    <col min="13" max="13" width="7.85546875" style="2" customWidth="1"/>
    <col min="14" max="14" width="14.28515625" style="115" customWidth="1"/>
    <col min="15" max="15" width="4.42578125" style="179" customWidth="1"/>
    <col min="16" max="16" width="30.42578125" style="116" customWidth="1"/>
    <col min="17" max="17" width="5" hidden="1" customWidth="1"/>
    <col min="18" max="18" width="5.5703125" style="78" customWidth="1"/>
    <col min="19" max="19" width="5.5703125" style="85" customWidth="1"/>
    <col min="20" max="20" width="6" style="75" customWidth="1"/>
    <col min="21" max="21" width="5.140625" customWidth="1"/>
    <col min="22" max="22" width="18.5703125" style="43" customWidth="1"/>
    <col min="23" max="23" width="5.28515625" customWidth="1"/>
    <col min="24" max="24" width="6.7109375" hidden="1" customWidth="1"/>
    <col min="25" max="25" width="5" customWidth="1"/>
    <col min="26" max="26" width="5" style="160" customWidth="1"/>
    <col min="27" max="27" width="5.28515625" customWidth="1"/>
    <col min="28" max="28" width="5.5703125" customWidth="1"/>
    <col min="29" max="29" width="5.28515625" style="118" customWidth="1"/>
    <col min="30" max="30" width="6.7109375" customWidth="1"/>
    <col min="31" max="31" width="9.140625" style="145"/>
  </cols>
  <sheetData>
    <row r="1" spans="1:32" s="20" customFormat="1" ht="15.75" hidden="1" thickBot="1" x14ac:dyDescent="0.3">
      <c r="A1" s="8"/>
      <c r="D1" s="116"/>
      <c r="E1" s="116"/>
      <c r="F1" s="116"/>
      <c r="G1" s="116"/>
      <c r="H1" s="116"/>
      <c r="I1" s="116"/>
      <c r="J1" s="116"/>
      <c r="K1" s="116"/>
      <c r="L1" s="116"/>
      <c r="M1" s="2"/>
      <c r="N1" s="115"/>
      <c r="O1" s="179"/>
      <c r="P1" s="116"/>
      <c r="R1" s="78"/>
      <c r="S1" s="85"/>
      <c r="T1" s="75"/>
      <c r="V1" s="43"/>
      <c r="Z1" s="160"/>
      <c r="AC1" s="118"/>
      <c r="AE1" s="145"/>
    </row>
    <row r="2" spans="1:32" s="20" customFormat="1" x14ac:dyDescent="0.25">
      <c r="A2" s="8"/>
      <c r="D2" s="116"/>
      <c r="E2" s="116"/>
      <c r="F2" s="116"/>
      <c r="G2" s="116"/>
      <c r="H2" s="116"/>
      <c r="I2" s="116"/>
      <c r="J2" s="116"/>
      <c r="K2" s="116"/>
      <c r="L2" s="127" t="s">
        <v>80</v>
      </c>
      <c r="M2" s="111"/>
      <c r="N2" s="128"/>
      <c r="O2" s="207">
        <f>COUNTIF($O$7:$O$280,"=Y")</f>
        <v>13</v>
      </c>
      <c r="P2" s="113"/>
      <c r="R2" s="78"/>
      <c r="S2" s="85"/>
      <c r="T2" s="75"/>
      <c r="V2" s="43"/>
      <c r="Z2" s="160"/>
      <c r="AC2" s="119"/>
      <c r="AE2" s="145"/>
    </row>
    <row r="3" spans="1:32" s="20" customFormat="1" ht="15.75" thickBot="1" x14ac:dyDescent="0.3">
      <c r="A3" s="8"/>
      <c r="D3" s="116"/>
      <c r="E3" s="116"/>
      <c r="F3" s="116"/>
      <c r="G3" s="116"/>
      <c r="H3" s="116"/>
      <c r="I3" s="116"/>
      <c r="J3" s="116"/>
      <c r="K3" s="116"/>
      <c r="L3" s="129" t="s">
        <v>81</v>
      </c>
      <c r="M3" s="112"/>
      <c r="N3" s="130"/>
      <c r="O3" s="208">
        <f>COUNTA($O$7:$O$280)-O2</f>
        <v>41</v>
      </c>
      <c r="P3" s="113"/>
      <c r="R3" s="78"/>
      <c r="S3" s="85"/>
      <c r="T3" s="75"/>
      <c r="V3" s="43"/>
      <c r="Z3" s="160"/>
      <c r="AC3" s="119"/>
      <c r="AE3" s="145"/>
    </row>
    <row r="4" spans="1:32" s="20" customFormat="1" x14ac:dyDescent="0.25">
      <c r="A4" s="8"/>
      <c r="D4" s="116"/>
      <c r="E4" s="116"/>
      <c r="F4" s="116"/>
      <c r="G4" s="116"/>
      <c r="H4" s="116"/>
      <c r="I4" s="116"/>
      <c r="J4" s="116"/>
      <c r="K4" s="116"/>
      <c r="L4" s="116"/>
      <c r="M4" s="2"/>
      <c r="N4" s="115"/>
      <c r="O4" s="179"/>
      <c r="P4" s="116"/>
      <c r="R4" s="78"/>
      <c r="S4" s="85"/>
      <c r="T4" s="75"/>
      <c r="V4" s="43"/>
      <c r="Z4" s="160"/>
      <c r="AC4" s="119"/>
      <c r="AE4" s="145"/>
    </row>
    <row r="5" spans="1:32" s="10" customFormat="1" ht="15" customHeight="1" x14ac:dyDescent="0.25">
      <c r="A5" s="211" t="str">
        <f>"Eagle P3 Braking Events - "&amp;TEXT(Variables!$A$2,"YYYY-mm-dd")</f>
        <v>Eagle P3 Braking Events - 2017-06-05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211"/>
      <c r="P5" s="131"/>
      <c r="R5" s="83"/>
      <c r="S5" s="86"/>
      <c r="T5" s="88"/>
      <c r="V5" s="44"/>
      <c r="AC5" s="120"/>
      <c r="AE5" s="147"/>
    </row>
    <row r="6" spans="1:32" s="110" customFormat="1" ht="69.75" customHeight="1" x14ac:dyDescent="0.2">
      <c r="A6" s="100" t="s">
        <v>38</v>
      </c>
      <c r="B6" s="101" t="s">
        <v>37</v>
      </c>
      <c r="C6" s="101" t="s">
        <v>36</v>
      </c>
      <c r="D6" s="117" t="s">
        <v>35</v>
      </c>
      <c r="E6" s="117" t="s">
        <v>34</v>
      </c>
      <c r="F6" s="117" t="s">
        <v>33</v>
      </c>
      <c r="G6" s="117" t="s">
        <v>32</v>
      </c>
      <c r="H6" s="117" t="s">
        <v>31</v>
      </c>
      <c r="I6" s="117" t="s">
        <v>151</v>
      </c>
      <c r="J6" s="117" t="s">
        <v>30</v>
      </c>
      <c r="K6" s="117" t="s">
        <v>29</v>
      </c>
      <c r="L6" s="117" t="s">
        <v>28</v>
      </c>
      <c r="M6" s="102" t="s">
        <v>152</v>
      </c>
      <c r="N6" s="132" t="s">
        <v>47</v>
      </c>
      <c r="O6" s="209" t="s">
        <v>27</v>
      </c>
      <c r="P6" s="117" t="s">
        <v>24</v>
      </c>
      <c r="Q6" s="103"/>
      <c r="R6" s="104" t="s">
        <v>89</v>
      </c>
      <c r="S6" s="105" t="s">
        <v>55</v>
      </c>
      <c r="T6" s="106" t="s">
        <v>88</v>
      </c>
      <c r="U6" s="101" t="s">
        <v>83</v>
      </c>
      <c r="V6" s="107" t="s">
        <v>84</v>
      </c>
      <c r="W6" s="103" t="s">
        <v>96</v>
      </c>
      <c r="X6" s="103" t="s">
        <v>97</v>
      </c>
      <c r="Y6" s="108" t="s">
        <v>145</v>
      </c>
      <c r="Z6" s="161" t="s">
        <v>146</v>
      </c>
      <c r="AA6" s="109" t="s">
        <v>119</v>
      </c>
      <c r="AB6" s="109" t="s">
        <v>147</v>
      </c>
      <c r="AC6" s="121" t="s">
        <v>171</v>
      </c>
      <c r="AD6" s="110" t="s">
        <v>188</v>
      </c>
      <c r="AE6" s="146" t="s">
        <v>197</v>
      </c>
    </row>
    <row r="7" spans="1:32" s="1" customFormat="1" x14ac:dyDescent="0.25">
      <c r="A7" s="31">
        <v>42892.006203703706</v>
      </c>
      <c r="B7" s="30" t="s">
        <v>544</v>
      </c>
      <c r="C7" s="30" t="s">
        <v>629</v>
      </c>
      <c r="D7" s="30" t="s">
        <v>98</v>
      </c>
      <c r="E7" s="30" t="s">
        <v>189</v>
      </c>
      <c r="F7" s="42">
        <v>60</v>
      </c>
      <c r="G7" s="42">
        <v>120</v>
      </c>
      <c r="H7" s="42">
        <v>33159</v>
      </c>
      <c r="I7" s="42">
        <v>33230</v>
      </c>
      <c r="J7" s="30" t="s">
        <v>190</v>
      </c>
      <c r="K7" s="42">
        <v>33137</v>
      </c>
      <c r="L7" s="134" t="s">
        <v>50</v>
      </c>
      <c r="M7" s="135">
        <f t="shared" ref="M7:M38" si="0">CONVERT((I7-K7)/10000,"mi","ft")*IF(L7="Increasing Mileposts (1)",-1,1)</f>
        <v>-49.103999999999999</v>
      </c>
      <c r="N7" s="136" t="str">
        <f>VLOOKUP(C7,'Trips&amp;Operators'!$C$1:$G$99999,5,FALSE)</f>
        <v>HAITHCOX MICHAEL</v>
      </c>
      <c r="O7" s="210" t="s">
        <v>182</v>
      </c>
      <c r="P7" s="137" t="s">
        <v>402</v>
      </c>
      <c r="Q7" s="30"/>
      <c r="R7" s="84" t="str">
        <f>VLOOKUP(C7,'Train Runs'!$A$13:$AE$9934,31,0)</f>
        <v>aws s3 cp s3://rtdc.mdm.uploadarchive.raw/RTDC4016/ "%USERPROFILE%\AppData\Local\Temp\OnboardLogs"\RTDC4016\2017-06-06 --exclude "*" --recursive --include "*20170606*" &amp; "%USERPROFILE%\Documents\GitHub\mrs-test-scripts\Headless Mode &amp; Sideloading\WalkAndUnGZ.bat" "%USERPROFILE%\AppData\Local\Temp\OnboardLogs"\RTDC4016\2017-06-06 &amp; aws s3 cp s3://rtdc.mdm.uploadarchive.raw/RTDC4016/ "%USERPROFILE%\AppData\Local\Temp\OnboardLogs"\RTDC4016\2017-06-07 --exclude "*" --recursive --include "*20170607*" &amp; "%USERPROFILE%\Documents\GitHub\mrs-test-scripts\Headless Mode &amp; Sideloading\WalkAndUnGZ.bat" "%USERPROFILE%\AppData\Local\Temp\OnboardLogs"\RTDC4016\2017-06-07</v>
      </c>
      <c r="S7" s="87" t="str">
        <f>VLOOKUP(C7,'Train Runs'!$A$13:$AE$9934,22,0)</f>
        <v>https://d0f6bd738d7f1b3e5a7ca70fe4ff75f0.us-east-1.aws.found.io/app/kibana#/discover/Steve-Slow-Train-Analysis-(2080s-and-2083s)?_g=(refreshInterval:(display:Off,pause:!f,section:0,value:0),time:(from:'2017-06-05T22:40:27-0600',mode:absolute,to:'2017-06-06T01:37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7" s="89" t="str">
        <f t="shared" ref="T7:T3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/stypes="*4016*201706060*" /stext=" 06:.+((SYSTEM_STATE.+slice.+state.+changed )|(ment ac)|(multiple cpu faults)|(system.+state.+changed )|(\[timeout)|(PRM\|1\|D)|(kpr)|(kdp)|(train st.+moving)|(\|lc)|(penalty))"</v>
      </c>
      <c r="U7" s="9" t="str">
        <f t="shared" ref="U7:U38" si="2">MID(B7,13,4)</f>
        <v>4016</v>
      </c>
      <c r="V7" s="31">
        <f t="shared" ref="V7:V38" si="3">A7-utc_offset/24</f>
        <v>42892.256203703706</v>
      </c>
      <c r="W7" s="45" t="str">
        <f t="shared" ref="W7:W38" si="4">IFERROR(IF(VALUE(LEFT(IF(LEN(C7)=6,"0"&amp;C7,C7),2))&lt;=2,"EC",IF(OR(VALUE(LEFT(IF(LEN(C7)=6,"0"&amp;C7,C7),2))=8,VALUE(LEFT(IF(LEN(C7)=6,"0"&amp;C7,C7),2))=18),"NW","Other")),"Other")</f>
        <v>EC</v>
      </c>
      <c r="X7" s="45" t="str">
        <f t="shared" ref="X7:X38" si="5">IF(AND(E7="TRACK WARRANT AUTHORITY",G7&lt;10),"OMIT","KEEP")</f>
        <v>KEEP</v>
      </c>
      <c r="Y7" s="99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arrival","project_id":79,"tracker_id":40,"status_id":1,"priority_id":2,"assigned_to_id":23,"start_date":"2017-06-06","description":"","custom_fields":[{"id":1,"name":"Subdivision","value":"EC"},{"id":4,"name":"Milepost","value":"3.3137"},{"id":17,"name":"Train ID","value":"241-05"},{"id":16,"name":"Locomotive ID","value":"4016"},{"id":130,"name":"Impact","value":""},{"id":150,"name":"Time of Event (Mountain Time)","value":"00:08:56"},{"id":151,"name":"Denver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62"/>
      <c r="AA7" s="47"/>
      <c r="AB7" s="47"/>
      <c r="AC7" s="118" t="str">
        <f t="shared" ref="AC7:AC38" si="7">"grep -hrE -A400 ""Enforcement Action"" "&amp;"/cygdrive/c/Users/stu/AppData/Local/Temp/OnboardLogs"&amp;"/RTDC"&amp;U7&amp;"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/cygdrive/c/Users/stu/AppData/Local/Temp/OnboardLogs/RTDC4016 --include="*4016*201706060*"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"%USERPROFILE%\AppData\Local\Temp\OnboardLogs"\RTDC4016\*4016*201706060* &gt;&gt; 2017-06-05-SliceDisagreementCheck.txt</v>
      </c>
      <c r="AE7" s="148" t="str">
        <f t="shared" ref="AE7" si="8">"start /low /b "&amp;dls3logs&amp;" --loco "&amp;U7&amp;" --day "&amp;TEXT(V7,"YYYY-MM-DD")</f>
        <v>start /low /b %USERPROFILE%\Documents\GitHub\eaglep3\Utilities\DownloadLogsFromS3.py --loco 4016 --day 2017-06-06</v>
      </c>
    </row>
    <row r="8" spans="1:32" s="1" customFormat="1" x14ac:dyDescent="0.25">
      <c r="A8" s="31">
        <v>42892.005706018521</v>
      </c>
      <c r="B8" s="30" t="s">
        <v>544</v>
      </c>
      <c r="C8" s="30" t="s">
        <v>629</v>
      </c>
      <c r="D8" s="30" t="s">
        <v>49</v>
      </c>
      <c r="E8" s="30" t="s">
        <v>189</v>
      </c>
      <c r="F8" s="42">
        <v>320</v>
      </c>
      <c r="G8" s="42">
        <v>374</v>
      </c>
      <c r="H8" s="42">
        <v>32072</v>
      </c>
      <c r="I8" s="42">
        <v>33054</v>
      </c>
      <c r="J8" s="30" t="s">
        <v>190</v>
      </c>
      <c r="K8" s="42">
        <v>33137</v>
      </c>
      <c r="L8" s="134" t="s">
        <v>50</v>
      </c>
      <c r="M8" s="135">
        <f t="shared" si="0"/>
        <v>43.823999999999998</v>
      </c>
      <c r="N8" s="136" t="str">
        <f>VLOOKUP(C8,'Trips&amp;Operators'!$C$1:$G$99999,5,FALSE)</f>
        <v>HAITHCOX MICHAEL</v>
      </c>
      <c r="O8" s="210" t="s">
        <v>182</v>
      </c>
      <c r="P8" s="137" t="s">
        <v>402</v>
      </c>
      <c r="Q8" s="30"/>
      <c r="R8" s="84" t="str">
        <f>VLOOKUP(C8,'Train Runs'!$A$13:$AE$9934,31,0)</f>
        <v>aws s3 cp s3://rtdc.mdm.uploadarchive.raw/RTDC4016/ "%USERPROFILE%\AppData\Local\Temp\OnboardLogs"\RTDC4016\2017-06-06 --exclude "*" --recursive --include "*20170606*" &amp; "%USERPROFILE%\Documents\GitHub\mrs-test-scripts\Headless Mode &amp; Sideloading\WalkAndUnGZ.bat" "%USERPROFILE%\AppData\Local\Temp\OnboardLogs"\RTDC4016\2017-06-06 &amp; aws s3 cp s3://rtdc.mdm.uploadarchive.raw/RTDC4016/ "%USERPROFILE%\AppData\Local\Temp\OnboardLogs"\RTDC4016\2017-06-07 --exclude "*" --recursive --include "*20170607*" &amp; "%USERPROFILE%\Documents\GitHub\mrs-test-scripts\Headless Mode &amp; Sideloading\WalkAndUnGZ.bat" "%USERPROFILE%\AppData\Local\Temp\OnboardLogs"\RTDC4016\2017-06-07</v>
      </c>
      <c r="S8" s="87" t="str">
        <f>VLOOKUP(C8,'Train Runs'!$A$13:$AE$9934,22,0)</f>
        <v>https://d0f6bd738d7f1b3e5a7ca70fe4ff75f0.us-east-1.aws.found.io/app/kibana#/discover/Steve-Slow-Train-Analysis-(2080s-and-2083s)?_g=(refreshInterval:(display:Off,pause:!f,section:0,value:0),time:(from:'2017-06-05T22:40:27-0600',mode:absolute,to:'2017-06-06T01:37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8" s="89" t="str">
        <f t="shared" si="1"/>
        <v>"C:\Program Files (x86)\AstroGrep\AstroGrep.exe" /e /r /s /spath="%USERPROFILE%\AppData\Local\Temp\OnboardLogs" /stypes="*4016*201706060*" /stext=" 06:.+((SYSTEM_STATE.+slice.+state.+changed )|(ment ac)|(multiple cpu faults)|(system.+state.+changed )|(\[timeout)|(PRM\|1\|D)|(kpr)|(kdp)|(train st.+moving)|(\|lc)|(penalty))"</v>
      </c>
      <c r="U8" s="9" t="str">
        <f t="shared" si="2"/>
        <v>4016</v>
      </c>
      <c r="V8" s="31">
        <f t="shared" si="3"/>
        <v>42892.255706018521</v>
      </c>
      <c r="W8" s="45" t="str">
        <f t="shared" si="4"/>
        <v>EC</v>
      </c>
      <c r="X8" s="45" t="str">
        <f t="shared" si="5"/>
        <v>KEEP</v>
      </c>
      <c r="Y8" s="99" t="str">
        <f t="shared" si="6"/>
        <v>echo {"issue":{"subject":"Early arrival","project_id":79,"tracker_id":40,"status_id":1,"priority_id":2,"assigned_to_id":23,"start_date":"2017-06-06","description":"","custom_fields":[{"id":1,"name":"Subdivision","value":"EC"},{"id":4,"name":"Milepost","value":"3.3137"},{"id":17,"name":"Train ID","value":"241-05"},{"id":16,"name":"Locomotive ID","value":"4016"},{"id":130,"name":"Impact","value":""},{"id":150,"name":"Time of Event (Mountain Time)","value":"00:08:13"},{"id":151,"name":"Denver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62"/>
      <c r="AA8" s="47"/>
      <c r="AB8" s="47"/>
      <c r="AC8" s="118" t="str">
        <f t="shared" si="7"/>
        <v>grep -hrE -A400 "Enforcement Action" /cygdrive/c/Users/stu/AppData/Local/Temp/OnboardLogs/RTDC4016 --include="*4016*201706060*"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"%USERPROFILE%\AppData\Local\Temp\OnboardLogs"\RTDC4016\*4016*201706060* &gt;&gt; 2017-06-05-SliceDisagreementCheck.txt</v>
      </c>
      <c r="AE8" s="148" t="str">
        <f t="shared" ref="AE8:AE60" si="9">"start /low /b "&amp;dls3logs&amp;" --loco "&amp;U8&amp;" --day "&amp;TEXT(V8,"YYYY-MM-DD")</f>
        <v>start /low /b %USERPROFILE%\Documents\GitHub\eaglep3\Utilities\DownloadLogsFromS3.py --loco 4016 --day 2017-06-06</v>
      </c>
    </row>
    <row r="9" spans="1:32" s="1" customFormat="1" x14ac:dyDescent="0.25">
      <c r="A9" s="31">
        <v>42891.289942129632</v>
      </c>
      <c r="B9" s="30" t="s">
        <v>441</v>
      </c>
      <c r="C9" s="30" t="s">
        <v>582</v>
      </c>
      <c r="D9" s="30" t="s">
        <v>98</v>
      </c>
      <c r="E9" s="30" t="s">
        <v>189</v>
      </c>
      <c r="F9" s="42">
        <v>170</v>
      </c>
      <c r="G9" s="42">
        <v>226</v>
      </c>
      <c r="H9" s="42">
        <v>33256</v>
      </c>
      <c r="I9" s="42">
        <v>32978</v>
      </c>
      <c r="J9" s="30" t="s">
        <v>190</v>
      </c>
      <c r="K9" s="42">
        <v>33257</v>
      </c>
      <c r="L9" s="134" t="s">
        <v>51</v>
      </c>
      <c r="M9" s="135">
        <f t="shared" si="0"/>
        <v>-147.31200000000001</v>
      </c>
      <c r="N9" s="136" t="str">
        <f>VLOOKUP(C9,'Trips&amp;Operators'!$C$1:$G$99999,5,FALSE)</f>
        <v>THOMPSON LESTER</v>
      </c>
      <c r="O9" s="210" t="s">
        <v>182</v>
      </c>
      <c r="P9" s="137" t="s">
        <v>402</v>
      </c>
      <c r="Q9" s="30"/>
      <c r="R9" s="84" t="str">
        <f>VLOOKUP(C9,'Train Runs'!$A$13:$AE$9934,31,0)</f>
        <v>aws s3 cp s3://rtdc.mdm.uploadarchive.raw/RTDC4019/ "%USERPROFILE%\AppData\Local\Temp\OnboardLogs"\RTDC4019\2017-06-05 --exclude "*" --recursive --include "*20170605*" &amp; "%USERPROFILE%\Documents\GitHub\mrs-test-scripts\Headless Mode &amp; Sideloading\WalkAndUnGZ.bat" "%USERPROFILE%\AppData\Local\Temp\OnboardLogs"\RTDC4019\2017-06-05 &amp; aws s3 cp s3://rtdc.mdm.uploadarchive.raw/RTDC4019/ "%USERPROFILE%\AppData\Local\Temp\OnboardLogs"\RTDC4019\2017-06-06 --exclude "*" --recursive --include "*20170606*" &amp; "%USERPROFILE%\Documents\GitHub\mrs-test-scripts\Headless Mode &amp; Sideloading\WalkAndUnGZ.bat" "%USERPROFILE%\AppData\Local\Temp\OnboardLogs"\RTDC4019\2017-06-06</v>
      </c>
      <c r="S9" s="87" t="str">
        <f>VLOOKUP(C9,'Train Runs'!$A$13:$AE$9934,22,0)</f>
        <v>https://d0f6bd738d7f1b3e5a7ca70fe4ff75f0.us-east-1.aws.found.io/app/kibana#/discover/Steve-Slow-Train-Analysis-(2080s-and-2083s)?_g=(refreshInterval:(display:Off,pause:!f,section:0,value:0),time:(from:'2017-06-05T05:24:03-0600',mode:absolute,to:'2017-06-05T08:07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9" s="89" t="str">
        <f t="shared" si="1"/>
        <v>"C:\Program Files (x86)\AstroGrep\AstroGrep.exe" /e /r /s /spath="%USERPROFILE%\AppData\Local\Temp\OnboardLogs" /stypes="*4019*201706051*" /stext=" 12:.+((SYSTEM_STATE.+slice.+state.+changed )|(ment ac)|(multiple cpu faults)|(system.+state.+changed )|(\[timeout)|(PRM\|1\|D)|(kpr)|(kdp)|(train st.+moving)|(\|lc)|(penalty))"</v>
      </c>
      <c r="U9" s="9" t="str">
        <f t="shared" si="2"/>
        <v>4019</v>
      </c>
      <c r="V9" s="31">
        <f t="shared" si="3"/>
        <v>42891.539942129632</v>
      </c>
      <c r="W9" s="45" t="str">
        <f t="shared" si="4"/>
        <v>EC</v>
      </c>
      <c r="X9" s="45" t="str">
        <f t="shared" si="5"/>
        <v>KEEP</v>
      </c>
      <c r="Y9" s="99" t="str">
        <f t="shared" si="6"/>
        <v>echo {"issue":{"subject":"Early arrival","project_id":79,"tracker_id":40,"status_id":1,"priority_id":2,"assigned_to_id":23,"start_date":"2017-06-05","description":"","custom_fields":[{"id":1,"name":"Subdivision","value":"EC"},{"id":4,"name":"Milepost","value":"3.3257"},{"id":17,"name":"Train ID","value":"116-05"},{"id":16,"name":"Locomotive ID","value":"4019"},{"id":130,"name":"Impact","value":""},{"id":150,"name":"Time of Event (Mountain Time)","value":"06:57:31"},{"id":151,"name":"Denver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62"/>
      <c r="AA9" s="47"/>
      <c r="AB9" s="47"/>
      <c r="AC9" s="118" t="str">
        <f t="shared" si="7"/>
        <v>grep -hrE -A400 "Enforcement Action" /cygdrive/c/Users/stu/AppData/Local/Temp/OnboardLogs/RTDC4019 --include="*4019*201706051*"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"%USERPROFILE%\AppData\Local\Temp\OnboardLogs"\RTDC4019\*4019*201706051* &gt;&gt; 2017-06-05-SliceDisagreementCheck.txt</v>
      </c>
      <c r="AE9" s="148" t="str">
        <f t="shared" si="9"/>
        <v>start /low /b %USERPROFILE%\Documents\GitHub\eaglep3\Utilities\DownloadLogsFromS3.py --loco 4019 --day 2017-06-05</v>
      </c>
    </row>
    <row r="10" spans="1:32" s="1" customFormat="1" x14ac:dyDescent="0.25">
      <c r="A10" s="31">
        <v>42891.73846064815</v>
      </c>
      <c r="B10" s="30" t="s">
        <v>462</v>
      </c>
      <c r="C10" s="30" t="s">
        <v>615</v>
      </c>
      <c r="D10" s="30" t="s">
        <v>49</v>
      </c>
      <c r="E10" s="30" t="s">
        <v>189</v>
      </c>
      <c r="F10" s="42">
        <v>380</v>
      </c>
      <c r="G10" s="42">
        <v>514</v>
      </c>
      <c r="H10" s="42">
        <v>56649</v>
      </c>
      <c r="I10" s="42">
        <v>58282</v>
      </c>
      <c r="J10" s="30" t="s">
        <v>190</v>
      </c>
      <c r="K10" s="42">
        <v>58118</v>
      </c>
      <c r="L10" s="134" t="s">
        <v>50</v>
      </c>
      <c r="M10" s="135">
        <f t="shared" si="0"/>
        <v>-86.592000000000013</v>
      </c>
      <c r="N10" s="136" t="str">
        <f>VLOOKUP(C10,'Trips&amp;Operators'!$C$1:$G$99999,5,FALSE)</f>
        <v>BRANDNER MELINDA</v>
      </c>
      <c r="O10" s="210" t="s">
        <v>182</v>
      </c>
      <c r="P10" s="137" t="s">
        <v>402</v>
      </c>
      <c r="Q10" s="30"/>
      <c r="R10" s="84" t="str">
        <f>VLOOKUP(C10,'Train Runs'!$A$13:$AE$9934,31,0)</f>
        <v>aws s3 cp s3://rtdc.mdm.uploadarchive.raw/RTDC4010/ "%USERPROFILE%\AppData\Local\Temp\OnboardLogs"\RTDC4010\2017-06-05 --exclude "*" --recursive --include "*20170605*" &amp; "%USERPROFILE%\Documents\GitHub\mrs-test-scripts\Headless Mode &amp; Sideloading\WalkAndUnGZ.bat" "%USERPROFILE%\AppData\Local\Temp\OnboardLogs"\RTDC4010\2017-06-05 &amp; aws s3 cp s3://rtdc.mdm.uploadarchive.raw/RTDC4010/ "%USERPROFILE%\AppData\Local\Temp\OnboardLogs"\RTDC4010\2017-06-06 --exclude "*" --recursive --include "*20170606*" &amp; "%USERPROFILE%\Documents\GitHub\mrs-test-scripts\Headless Mode &amp; Sideloading\WalkAndUnGZ.bat" "%USERPROFILE%\AppData\Local\Temp\OnboardLogs"\RTDC4010\2017-06-06</v>
      </c>
      <c r="S10" s="87" t="str">
        <f>VLOOKUP(C10,'Train Runs'!$A$13:$AE$9934,22,0)</f>
        <v>https://d0f6bd738d7f1b3e5a7ca70fe4ff75f0.us-east-1.aws.found.io/app/kibana#/discover/Steve-Slow-Train-Analysis-(2080s-and-2083s)?_g=(refreshInterval:(display:Off,pause:!f,section:0,value:0),time:(from:'2017-06-05T16:26:01-0600',mode:absolute,to:'2017-06-05T19:10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0" s="89" t="str">
        <f t="shared" si="1"/>
        <v>"C:\Program Files (x86)\AstroGrep\AstroGrep.exe" /e /r /s /spath="%USERPROFILE%\AppData\Local\Temp\OnboardLogs" /stypes="*4010*201706052*" /stext=" 23:.+((SYSTEM_STATE.+slice.+state.+changed )|(ment ac)|(multiple cpu faults)|(system.+state.+changed )|(\[timeout)|(PRM\|1\|D)|(kpr)|(kdp)|(train st.+moving)|(\|lc)|(penalty))"</v>
      </c>
      <c r="U10" s="9" t="str">
        <f t="shared" si="2"/>
        <v>4010</v>
      </c>
      <c r="V10" s="31">
        <f t="shared" si="3"/>
        <v>42891.98846064815</v>
      </c>
      <c r="W10" s="45" t="str">
        <f t="shared" si="4"/>
        <v>EC</v>
      </c>
      <c r="X10" s="45" t="str">
        <f t="shared" si="5"/>
        <v>KEEP</v>
      </c>
      <c r="Y10" s="99" t="str">
        <f t="shared" si="6"/>
        <v>echo {"issue":{"subject":"Early arrival","project_id":79,"tracker_id":40,"status_id":1,"priority_id":2,"assigned_to_id":23,"start_date":"2017-06-05","description":"","custom_fields":[{"id":1,"name":"Subdivision","value":"EC"},{"id":4,"name":"Milepost","value":"5.8118"},{"id":17,"name":"Train ID","value":"211-05"},{"id":16,"name":"Locomotive ID","value":"4010"},{"id":130,"name":"Impact","value":""},{"id":150,"name":"Time of Event (Mountain Time)","value":"17:43:23"},{"id":151,"name":"Denver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62"/>
      <c r="AA10" s="47"/>
      <c r="AB10" s="47"/>
      <c r="AC10" s="118" t="str">
        <f t="shared" si="7"/>
        <v>grep -hrE -A400 "Enforcement Action" /cygdrive/c/Users/stu/AppData/Local/Temp/OnboardLogs/RTDC4010 --include="*4010*201706052*"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"%USERPROFILE%\AppData\Local\Temp\OnboardLogs"\RTDC4010\*4010*201706052* &gt;&gt; 2017-06-05-SliceDisagreementCheck.txt</v>
      </c>
      <c r="AE10" s="148" t="str">
        <f t="shared" si="9"/>
        <v>start /low /b %USERPROFILE%\Documents\GitHub\eaglep3\Utilities\DownloadLogsFromS3.py --loco 4010 --day 2017-06-05</v>
      </c>
    </row>
    <row r="11" spans="1:32" s="1" customFormat="1" x14ac:dyDescent="0.25">
      <c r="A11" s="31">
        <v>42891.738981481481</v>
      </c>
      <c r="B11" s="30" t="s">
        <v>462</v>
      </c>
      <c r="C11" s="30" t="s">
        <v>615</v>
      </c>
      <c r="D11" s="30" t="s">
        <v>49</v>
      </c>
      <c r="E11" s="30" t="s">
        <v>189</v>
      </c>
      <c r="F11" s="42">
        <v>40</v>
      </c>
      <c r="G11" s="42">
        <v>105</v>
      </c>
      <c r="H11" s="42">
        <v>58385</v>
      </c>
      <c r="I11" s="42">
        <v>58654</v>
      </c>
      <c r="J11" s="30" t="s">
        <v>190</v>
      </c>
      <c r="K11" s="42">
        <v>58783</v>
      </c>
      <c r="L11" s="134" t="s">
        <v>50</v>
      </c>
      <c r="M11" s="135">
        <f t="shared" si="0"/>
        <v>68.111999999999995</v>
      </c>
      <c r="N11" s="136" t="str">
        <f>VLOOKUP(C11,'Trips&amp;Operators'!$C$1:$G$99999,5,FALSE)</f>
        <v>BRANDNER MELINDA</v>
      </c>
      <c r="O11" s="210" t="s">
        <v>182</v>
      </c>
      <c r="P11" s="137" t="s">
        <v>402</v>
      </c>
      <c r="Q11" s="30"/>
      <c r="R11" s="84" t="str">
        <f>VLOOKUP(C11,'Train Runs'!$A$13:$AE$9934,31,0)</f>
        <v>aws s3 cp s3://rtdc.mdm.uploadarchive.raw/RTDC4010/ "%USERPROFILE%\AppData\Local\Temp\OnboardLogs"\RTDC4010\2017-06-05 --exclude "*" --recursive --include "*20170605*" &amp; "%USERPROFILE%\Documents\GitHub\mrs-test-scripts\Headless Mode &amp; Sideloading\WalkAndUnGZ.bat" "%USERPROFILE%\AppData\Local\Temp\OnboardLogs"\RTDC4010\2017-06-05 &amp; aws s3 cp s3://rtdc.mdm.uploadarchive.raw/RTDC4010/ "%USERPROFILE%\AppData\Local\Temp\OnboardLogs"\RTDC4010\2017-06-06 --exclude "*" --recursive --include "*20170606*" &amp; "%USERPROFILE%\Documents\GitHub\mrs-test-scripts\Headless Mode &amp; Sideloading\WalkAndUnGZ.bat" "%USERPROFILE%\AppData\Local\Temp\OnboardLogs"\RTDC4010\2017-06-06</v>
      </c>
      <c r="S11" s="87" t="str">
        <f>VLOOKUP(C11,'Train Runs'!$A$13:$AE$9934,22,0)</f>
        <v>https://d0f6bd738d7f1b3e5a7ca70fe4ff75f0.us-east-1.aws.found.io/app/kibana#/discover/Steve-Slow-Train-Analysis-(2080s-and-2083s)?_g=(refreshInterval:(display:Off,pause:!f,section:0,value:0),time:(from:'2017-06-05T16:26:01-0600',mode:absolute,to:'2017-06-05T19:10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1" s="89" t="str">
        <f t="shared" si="1"/>
        <v>"C:\Program Files (x86)\AstroGrep\AstroGrep.exe" /e /r /s /spath="%USERPROFILE%\AppData\Local\Temp\OnboardLogs" /stypes="*4010*201706052*" /stext=" 23:.+((SYSTEM_STATE.+slice.+state.+changed )|(ment ac)|(multiple cpu faults)|(system.+state.+changed )|(\[timeout)|(PRM\|1\|D)|(kpr)|(kdp)|(train st.+moving)|(\|lc)|(penalty))"</v>
      </c>
      <c r="U11" s="9" t="str">
        <f t="shared" si="2"/>
        <v>4010</v>
      </c>
      <c r="V11" s="31">
        <f t="shared" si="3"/>
        <v>42891.988981481481</v>
      </c>
      <c r="W11" s="45" t="str">
        <f t="shared" si="4"/>
        <v>EC</v>
      </c>
      <c r="X11" s="45" t="str">
        <f t="shared" si="5"/>
        <v>KEEP</v>
      </c>
      <c r="Y11" s="99" t="str">
        <f t="shared" si="6"/>
        <v>echo {"issue":{"subject":"Early arrival","project_id":79,"tracker_id":40,"status_id":1,"priority_id":2,"assigned_to_id":23,"start_date":"2017-06-05","description":"","custom_fields":[{"id":1,"name":"Subdivision","value":"EC"},{"id":4,"name":"Milepost","value":"5.8783"},{"id":17,"name":"Train ID","value":"211-05"},{"id":16,"name":"Locomotive ID","value":"4010"},{"id":130,"name":"Impact","value":""},{"id":150,"name":"Time of Event (Mountain Time)","value":"17:44:08"},{"id":151,"name":"Denver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62"/>
      <c r="AA11" s="47"/>
      <c r="AB11" s="47"/>
      <c r="AC11" s="118" t="str">
        <f t="shared" si="7"/>
        <v>grep -hrE -A400 "Enforcement Action" /cygdrive/c/Users/stu/AppData/Local/Temp/OnboardLogs/RTDC4010 --include="*4010*201706052*"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"%USERPROFILE%\AppData\Local\Temp\OnboardLogs"\RTDC4010\*4010*201706052* &gt;&gt; 2017-06-05-SliceDisagreementCheck.txt</v>
      </c>
      <c r="AE11" s="148" t="str">
        <f t="shared" si="9"/>
        <v>start /low /b %USERPROFILE%\Documents\GitHub\eaglep3\Utilities\DownloadLogsFromS3.py --loco 4010 --day 2017-06-05</v>
      </c>
    </row>
    <row r="12" spans="1:32" s="1" customFormat="1" x14ac:dyDescent="0.25">
      <c r="A12" s="31">
        <v>42891.530057870368</v>
      </c>
      <c r="B12" s="30" t="s">
        <v>443</v>
      </c>
      <c r="C12" s="30" t="s">
        <v>594</v>
      </c>
      <c r="D12" s="30" t="s">
        <v>49</v>
      </c>
      <c r="E12" s="30" t="s">
        <v>189</v>
      </c>
      <c r="F12" s="42">
        <v>440</v>
      </c>
      <c r="G12" s="42">
        <v>515</v>
      </c>
      <c r="H12" s="42">
        <v>57507</v>
      </c>
      <c r="I12" s="42">
        <v>59438</v>
      </c>
      <c r="J12" s="30" t="s">
        <v>190</v>
      </c>
      <c r="K12" s="42">
        <v>58783</v>
      </c>
      <c r="L12" s="134" t="s">
        <v>50</v>
      </c>
      <c r="M12" s="135">
        <f t="shared" si="0"/>
        <v>-345.84</v>
      </c>
      <c r="N12" s="136" t="str">
        <f>VLOOKUP(C12,'Trips&amp;Operators'!$C$1:$G$99999,5,FALSE)</f>
        <v>CHANDLER KELVIN</v>
      </c>
      <c r="O12" s="210" t="s">
        <v>182</v>
      </c>
      <c r="P12" s="137" t="s">
        <v>402</v>
      </c>
      <c r="Q12" s="30"/>
      <c r="R12" s="84" t="str">
        <f>VLOOKUP(C12,'Train Runs'!$A$13:$AE$9934,31,0)</f>
        <v>aws s3 cp s3://rtdc.mdm.uploadarchive.raw/RTDC4020/ "%USERPROFILE%\AppData\Local\Temp\OnboardLogs"\RTDC4020\2017-06-05 --exclude "*" --recursive --include "*20170605*" &amp; "%USERPROFILE%\Documents\GitHub\mrs-test-scripts\Headless Mode &amp; Sideloading\WalkAndUnGZ.bat" "%USERPROFILE%\AppData\Local\Temp\OnboardLogs"\RTDC4020\2017-06-05 &amp; aws s3 cp s3://rtdc.mdm.uploadarchive.raw/RTDC4020/ "%USERPROFILE%\AppData\Local\Temp\OnboardLogs"\RTDC4020\2017-06-06 --exclude "*" --recursive --include "*20170606*" &amp; "%USERPROFILE%\Documents\GitHub\mrs-test-scripts\Headless Mode &amp; Sideloading\WalkAndUnGZ.bat" "%USERPROFILE%\AppData\Local\Temp\OnboardLogs"\RTDC4020\2017-06-06</v>
      </c>
      <c r="S12" s="87" t="str">
        <f>VLOOKUP(C12,'Train Runs'!$A$13:$AE$9934,22,0)</f>
        <v>https://d0f6bd738d7f1b3e5a7ca70fe4ff75f0.us-east-1.aws.found.io/app/kibana#/discover/Steve-Slow-Train-Analysis-(2080s-and-2083s)?_g=(refreshInterval:(display:Off,pause:!f,section:0,value:0),time:(from:'2017-06-05T11:26:41-0600',mode:absolute,to:'2017-06-05T14:10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2" s="89" t="str">
        <f t="shared" si="1"/>
        <v>"C:\Program Files (x86)\AstroGrep\AstroGrep.exe" /e /r /s /spath="%USERPROFILE%\AppData\Local\Temp\OnboardLogs" /stypes="*4020*201706051*" /stext=" 18:.+((SYSTEM_STATE.+slice.+state.+changed )|(ment ac)|(multiple cpu faults)|(system.+state.+changed )|(\[timeout)|(PRM\|1\|D)|(kpr)|(kdp)|(train st.+moving)|(\|lc)|(penalty))"</v>
      </c>
      <c r="U12" s="9" t="str">
        <f t="shared" si="2"/>
        <v>4020</v>
      </c>
      <c r="V12" s="31">
        <f t="shared" si="3"/>
        <v>42891.780057870368</v>
      </c>
      <c r="W12" s="45" t="str">
        <f t="shared" si="4"/>
        <v>EC</v>
      </c>
      <c r="X12" s="45" t="str">
        <f t="shared" si="5"/>
        <v>KEEP</v>
      </c>
      <c r="Y12" s="99" t="str">
        <f t="shared" si="6"/>
        <v>echo {"issue":{"subject":"Early arrival","project_id":79,"tracker_id":40,"status_id":1,"priority_id":2,"assigned_to_id":23,"start_date":"2017-06-05","description":"","custom_fields":[{"id":1,"name":"Subdivision","value":"EC"},{"id":4,"name":"Milepost","value":"5.8783"},{"id":17,"name":"Train ID","value":"171-05"},{"id":16,"name":"Locomotive ID","value":"4020"},{"id":130,"name":"Impact","value":""},{"id":150,"name":"Time of Event (Mountain Time)","value":"12:43:17"},{"id":151,"name":"Denver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62"/>
      <c r="AA12" s="47"/>
      <c r="AB12" s="47"/>
      <c r="AC12" s="118" t="str">
        <f t="shared" si="7"/>
        <v>grep -hrE -A400 "Enforcement Action" /cygdrive/c/Users/stu/AppData/Local/Temp/OnboardLogs/RTDC4020 --include="*4020*201706051*"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"%USERPROFILE%\AppData\Local\Temp\OnboardLogs"\RTDC4020\*4020*201706051* &gt;&gt; 2017-06-05-SliceDisagreementCheck.txt</v>
      </c>
      <c r="AE12" s="148" t="str">
        <f t="shared" si="9"/>
        <v>start /low /b %USERPROFILE%\Documents\GitHub\eaglep3\Utilities\DownloadLogsFromS3.py --loco 4020 --day 2017-06-05</v>
      </c>
    </row>
    <row r="13" spans="1:32" s="1" customFormat="1" x14ac:dyDescent="0.25">
      <c r="A13" s="31">
        <v>42891.634513888886</v>
      </c>
      <c r="B13" s="30" t="s">
        <v>362</v>
      </c>
      <c r="C13" s="30" t="s">
        <v>604</v>
      </c>
      <c r="D13" s="30" t="s">
        <v>49</v>
      </c>
      <c r="E13" s="30" t="s">
        <v>189</v>
      </c>
      <c r="F13" s="42">
        <v>0</v>
      </c>
      <c r="G13" s="42">
        <v>467</v>
      </c>
      <c r="H13" s="42">
        <v>62601</v>
      </c>
      <c r="I13" s="42">
        <v>63993</v>
      </c>
      <c r="J13" s="30" t="s">
        <v>190</v>
      </c>
      <c r="K13" s="42">
        <v>63069</v>
      </c>
      <c r="L13" s="134" t="s">
        <v>50</v>
      </c>
      <c r="M13" s="135">
        <f t="shared" si="0"/>
        <v>-487.87200000000001</v>
      </c>
      <c r="N13" s="136" t="str">
        <f>VLOOKUP(C13,'Trips&amp;Operators'!$C$1:$G$99999,5,FALSE)</f>
        <v>ROBINSON KADDIBA</v>
      </c>
      <c r="O13" s="210" t="s">
        <v>182</v>
      </c>
      <c r="P13" s="137" t="s">
        <v>402</v>
      </c>
      <c r="Q13" s="30"/>
      <c r="R13" s="84" t="str">
        <f>VLOOKUP(C13,'Train Runs'!$A$13:$AE$9934,31,0)</f>
        <v>aws s3 cp s3://rtdc.mdm.uploadarchive.raw/RTDC4042/ "%USERPROFILE%\AppData\Local\Temp\OnboardLogs"\RTDC4042\2017-06-05 --exclude "*" --recursive --include "*20170605*" &amp; "%USERPROFILE%\Documents\GitHub\mrs-test-scripts\Headless Mode &amp; Sideloading\WalkAndUnGZ.bat" "%USERPROFILE%\AppData\Local\Temp\OnboardLogs"\RTDC4042\2017-06-05 &amp; aws s3 cp s3://rtdc.mdm.uploadarchive.raw/RTDC4042/ "%USERPROFILE%\AppData\Local\Temp\OnboardLogs"\RTDC4042\2017-06-06 --exclude "*" --recursive --include "*20170606*" &amp; "%USERPROFILE%\Documents\GitHub\mrs-test-scripts\Headless Mode &amp; Sideloading\WalkAndUnGZ.bat" "%USERPROFILE%\AppData\Local\Temp\OnboardLogs"\RTDC4042\2017-06-06</v>
      </c>
      <c r="S13" s="87" t="str">
        <f>VLOOKUP(C13,'Train Runs'!$A$13:$AE$9934,22,0)</f>
        <v>https://d0f6bd738d7f1b3e5a7ca70fe4ff75f0.us-east-1.aws.found.io/app/kibana#/discover/Steve-Slow-Train-Analysis-(2080s-and-2083s)?_g=(refreshInterval:(display:Off,pause:!f,section:0,value:0),time:(from:'2017-06-05T13:55:40-0600',mode:absolute,to:'2017-06-05T16:39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3" s="89" t="str">
        <f t="shared" si="1"/>
        <v>"C:\Program Files (x86)\AstroGrep\AstroGrep.exe" /e /r /s /spath="%USERPROFILE%\AppData\Local\Temp\OnboardLogs" /stypes="*4042*201706052*" /stext=" 21:.+((SYSTEM_STATE.+slice.+state.+changed )|(ment ac)|(multiple cpu faults)|(system.+state.+changed )|(\[timeout)|(PRM\|1\|D)|(kpr)|(kdp)|(train st.+moving)|(\|lc)|(penalty))"</v>
      </c>
      <c r="U13" s="9" t="str">
        <f t="shared" si="2"/>
        <v>4042</v>
      </c>
      <c r="V13" s="31">
        <f t="shared" si="3"/>
        <v>42891.884513888886</v>
      </c>
      <c r="W13" s="45" t="str">
        <f t="shared" si="4"/>
        <v>EC</v>
      </c>
      <c r="X13" s="45" t="str">
        <f t="shared" si="5"/>
        <v>KEEP</v>
      </c>
      <c r="Y13" s="99" t="str">
        <f t="shared" si="6"/>
        <v>echo {"issue":{"subject":"Early arrival","project_id":79,"tracker_id":40,"status_id":1,"priority_id":2,"assigned_to_id":23,"start_date":"2017-06-05","description":"","custom_fields":[{"id":1,"name":"Subdivision","value":"EC"},{"id":4,"name":"Milepost","value":"6.3069"},{"id":17,"name":"Train ID","value":"191-05"},{"id":16,"name":"Locomotive ID","value":"4042"},{"id":130,"name":"Impact","value":""},{"id":150,"name":"Time of Event (Mountain Time)","value":"15:13:42"},{"id":151,"name":"Denver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62"/>
      <c r="AA13" s="47"/>
      <c r="AB13" s="47"/>
      <c r="AC13" s="118" t="str">
        <f t="shared" si="7"/>
        <v>grep -hrE -A400 "Enforcement Action" /cygdrive/c/Users/stu/AppData/Local/Temp/OnboardLogs/RTDC4042 --include="*4042*201706052*"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"%USERPROFILE%\AppData\Local\Temp\OnboardLogs"\RTDC4042\*4042*201706052* &gt;&gt; 2017-06-05-SliceDisagreementCheck.txt</v>
      </c>
      <c r="AE13" s="148" t="str">
        <f t="shared" si="9"/>
        <v>start /low /b %USERPROFILE%\Documents\GitHub\eaglep3\Utilities\DownloadLogsFromS3.py --loco 4042 --day 2017-06-05</v>
      </c>
    </row>
    <row r="14" spans="1:32" x14ac:dyDescent="0.25">
      <c r="A14" s="31">
        <v>42891.926064814812</v>
      </c>
      <c r="B14" s="30" t="s">
        <v>544</v>
      </c>
      <c r="C14" s="30" t="s">
        <v>626</v>
      </c>
      <c r="D14" s="30" t="s">
        <v>49</v>
      </c>
      <c r="E14" s="30" t="s">
        <v>189</v>
      </c>
      <c r="F14" s="42">
        <v>0</v>
      </c>
      <c r="G14" s="42">
        <v>478</v>
      </c>
      <c r="H14" s="42">
        <v>62168</v>
      </c>
      <c r="I14" s="42">
        <v>63222</v>
      </c>
      <c r="J14" s="30" t="s">
        <v>190</v>
      </c>
      <c r="K14" s="42">
        <v>63069</v>
      </c>
      <c r="L14" s="134" t="s">
        <v>50</v>
      </c>
      <c r="M14" s="135">
        <f t="shared" si="0"/>
        <v>-80.784000000000006</v>
      </c>
      <c r="N14" s="136" t="str">
        <f>VLOOKUP(C14,'Trips&amp;Operators'!$C$1:$G$99999,5,FALSE)</f>
        <v>HAITHCOX MICHAEL</v>
      </c>
      <c r="O14" s="210" t="s">
        <v>182</v>
      </c>
      <c r="P14" s="137" t="s">
        <v>402</v>
      </c>
      <c r="Q14" s="30"/>
      <c r="R14" s="84" t="str">
        <f>VLOOKUP(C14,'Train Runs'!$A$13:$AE$9934,31,0)</f>
        <v>aws s3 cp s3://rtdc.mdm.uploadarchive.raw/RTDC4016/ "%USERPROFILE%\AppData\Local\Temp\OnboardLogs"\RTDC4016\2017-06-05 --exclude "*" --recursive --include "*20170605*" &amp; "%USERPROFILE%\Documents\GitHub\mrs-test-scripts\Headless Mode &amp; Sideloading\WalkAndUnGZ.bat" "%USERPROFILE%\AppData\Local\Temp\OnboardLogs"\RTDC4016\2017-06-05 &amp; aws s3 cp s3://rtdc.mdm.uploadarchive.raw/RTDC4016/ "%USERPROFILE%\AppData\Local\Temp\OnboardLogs"\RTDC4016\2017-06-06 --exclude "*" --recursive --include "*20170606*" &amp; "%USERPROFILE%\Documents\GitHub\mrs-test-scripts\Headless Mode &amp; Sideloading\WalkAndUnGZ.bat" "%USERPROFILE%\AppData\Local\Temp\OnboardLogs"\RTDC4016\2017-06-06</v>
      </c>
      <c r="S14" s="87" t="str">
        <f>VLOOKUP(C14,'Train Runs'!$A$13:$AE$9934,22,0)</f>
        <v>https://d0f6bd738d7f1b3e5a7ca70fe4ff75f0.us-east-1.aws.found.io/app/kibana#/discover/Steve-Slow-Train-Analysis-(2080s-and-2083s)?_g=(refreshInterval:(display:Off,pause:!f,section:0,value:0),time:(from:'2017-06-05T20:41:55-0600',mode:absolute,to:'2017-06-05T23:40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4" s="89" t="str">
        <f t="shared" si="1"/>
        <v>"C:\Program Files (x86)\AstroGrep\AstroGrep.exe" /e /r /s /spath="%USERPROFILE%\AppData\Local\Temp\OnboardLogs" /stypes="*4016*201706060*" /stext=" 04:.+((SYSTEM_STATE.+slice.+state.+changed )|(ment ac)|(multiple cpu faults)|(system.+state.+changed )|(\[timeout)|(PRM\|1\|D)|(kpr)|(kdp)|(train st.+moving)|(\|lc)|(penalty))"</v>
      </c>
      <c r="U14" s="9" t="str">
        <f t="shared" si="2"/>
        <v>4016</v>
      </c>
      <c r="V14" s="31">
        <f t="shared" si="3"/>
        <v>42892.176064814812</v>
      </c>
      <c r="W14" s="45" t="str">
        <f t="shared" si="4"/>
        <v>EC</v>
      </c>
      <c r="X14" s="45" t="str">
        <f t="shared" si="5"/>
        <v>KEEP</v>
      </c>
      <c r="Y14" s="99" t="str">
        <f t="shared" si="6"/>
        <v>echo {"issue":{"subject":"Early arrival","project_id":79,"tracker_id":40,"status_id":1,"priority_id":2,"assigned_to_id":23,"start_date":"2017-06-05","description":"","custom_fields":[{"id":1,"name":"Subdivision","value":"EC"},{"id":4,"name":"Milepost","value":"6.3069"},{"id":17,"name":"Train ID","value":"233-05"},{"id":16,"name":"Locomotive ID","value":"4016"},{"id":130,"name":"Impact","value":""},{"id":150,"name":"Time of Event (Mountain Time)","value":"22:13:32"},{"id":151,"name":"Denver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62"/>
      <c r="AA14" s="47"/>
      <c r="AB14" s="47"/>
      <c r="AC14" s="118" t="str">
        <f t="shared" si="7"/>
        <v>grep -hrE -A400 "Enforcement Action" /cygdrive/c/Users/stu/AppData/Local/Temp/OnboardLogs/RTDC4016 --include="*4016*201706060*"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"%USERPROFILE%\AppData\Local\Temp\OnboardLogs"\RTDC4016\*4016*201706060* &gt;&gt; 2017-06-05-SliceDisagreementCheck.txt</v>
      </c>
      <c r="AE14" s="148" t="str">
        <f t="shared" si="9"/>
        <v>start /low /b %USERPROFILE%\Documents\GitHub\eaglep3\Utilities\DownloadLogsFromS3.py --loco 4016 --day 2017-06-06</v>
      </c>
      <c r="AF14" s="1"/>
    </row>
    <row r="15" spans="1:32" x14ac:dyDescent="0.25">
      <c r="A15" s="31">
        <v>42891.884513888886</v>
      </c>
      <c r="B15" s="30" t="s">
        <v>380</v>
      </c>
      <c r="C15" s="30" t="s">
        <v>623</v>
      </c>
      <c r="D15" s="30" t="s">
        <v>49</v>
      </c>
      <c r="E15" s="30" t="s">
        <v>189</v>
      </c>
      <c r="F15" s="42">
        <v>450</v>
      </c>
      <c r="G15" s="42">
        <v>512</v>
      </c>
      <c r="H15" s="42">
        <v>61868</v>
      </c>
      <c r="I15" s="42">
        <v>63276</v>
      </c>
      <c r="J15" s="30" t="s">
        <v>190</v>
      </c>
      <c r="K15" s="42">
        <v>63069</v>
      </c>
      <c r="L15" s="134" t="s">
        <v>50</v>
      </c>
      <c r="M15" s="135">
        <f t="shared" si="0"/>
        <v>-109.29600000000001</v>
      </c>
      <c r="N15" s="136" t="str">
        <f>VLOOKUP(C15,'Trips&amp;Operators'!$C$1:$G$99999,5,FALSE)</f>
        <v>PERKINS DARREN</v>
      </c>
      <c r="O15" s="210" t="s">
        <v>182</v>
      </c>
      <c r="P15" s="137" t="s">
        <v>402</v>
      </c>
      <c r="Q15" s="30"/>
      <c r="R15" s="84" t="str">
        <f>VLOOKUP(C15,'Train Runs'!$A$13:$AE$9934,31,0)</f>
        <v>aws s3 cp s3://rtdc.mdm.uploadarchive.raw/RTDC4014/ "%USERPROFILE%\AppData\Local\Temp\OnboardLogs"\RTDC4014\2017-06-05 --exclude "*" --recursive --include "*20170605*" &amp; "%USERPROFILE%\Documents\GitHub\mrs-test-scripts\Headless Mode &amp; Sideloading\WalkAndUnGZ.bat" "%USERPROFILE%\AppData\Local\Temp\OnboardLogs"\RTDC4014\2017-06-05 &amp; aws s3 cp s3://rtdc.mdm.uploadarchive.raw/RTDC4014/ "%USERPROFILE%\AppData\Local\Temp\OnboardLogs"\RTDC4014\2017-06-06 --exclude "*" --recursive --include "*20170606*" &amp; "%USERPROFILE%\Documents\GitHub\mrs-test-scripts\Headless Mode &amp; Sideloading\WalkAndUnGZ.bat" "%USERPROFILE%\AppData\Local\Temp\OnboardLogs"\RTDC4014\2017-06-06</v>
      </c>
      <c r="S15" s="87" t="str">
        <f>VLOOKUP(C15,'Train Runs'!$A$13:$AE$9934,22,0)</f>
        <v>https://d0f6bd738d7f1b3e5a7ca70fe4ff75f0.us-east-1.aws.found.io/app/kibana#/discover/Steve-Slow-Train-Analysis-(2080s-and-2083s)?_g=(refreshInterval:(display:Off,pause:!f,section:0,value:0),time:(from:'2017-06-05T19:51:31-0600',mode:absolute,to:'2017-06-05T22:38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15" s="89" t="str">
        <f t="shared" si="1"/>
        <v>"C:\Program Files (x86)\AstroGrep\AstroGrep.exe" /e /r /s /spath="%USERPROFILE%\AppData\Local\Temp\OnboardLogs" /stypes="*4014*201706060*" /stext=" 03:.+((SYSTEM_STATE.+slice.+state.+changed )|(ment ac)|(multiple cpu faults)|(system.+state.+changed )|(\[timeout)|(PRM\|1\|D)|(kpr)|(kdp)|(train st.+moving)|(\|lc)|(penalty))"</v>
      </c>
      <c r="U15" s="9" t="str">
        <f t="shared" si="2"/>
        <v>4014</v>
      </c>
      <c r="V15" s="31">
        <f t="shared" si="3"/>
        <v>42892.134513888886</v>
      </c>
      <c r="W15" s="45" t="str">
        <f t="shared" si="4"/>
        <v>EC</v>
      </c>
      <c r="X15" s="45" t="str">
        <f t="shared" si="5"/>
        <v>KEEP</v>
      </c>
      <c r="Y15" s="99" t="str">
        <f t="shared" si="6"/>
        <v>echo {"issue":{"subject":"Early arrival","project_id":79,"tracker_id":40,"status_id":1,"priority_id":2,"assigned_to_id":23,"start_date":"2017-06-05","description":"","custom_fields":[{"id":1,"name":"Subdivision","value":"EC"},{"id":4,"name":"Milepost","value":"6.3069"},{"id":17,"name":"Train ID","value":"229-05"},{"id":16,"name":"Locomotive ID","value":"4014"},{"id":130,"name":"Impact","value":""},{"id":150,"name":"Time of Event (Mountain Time)","value":"21:13:42"},{"id":151,"name":"Denver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62"/>
      <c r="AA15" s="47"/>
      <c r="AB15" s="47"/>
      <c r="AC15" s="118" t="str">
        <f t="shared" si="7"/>
        <v>grep -hrE -A400 "Enforcement Action" /cygdrive/c/Users/stu/AppData/Local/Temp/OnboardLogs/RTDC4014 --include="*4014*201706060*"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"%USERPROFILE%\AppData\Local\Temp\OnboardLogs"\RTDC4014\*4014*201706060* &gt;&gt; 2017-06-05-SliceDisagreementCheck.txt</v>
      </c>
      <c r="AE15" s="148" t="str">
        <f t="shared" si="9"/>
        <v>start /low /b %USERPROFILE%\Documents\GitHub\eaglep3\Utilities\DownloadLogsFromS3.py --loco 4014 --day 2017-06-06</v>
      </c>
      <c r="AF15" s="1"/>
    </row>
    <row r="16" spans="1:32" x14ac:dyDescent="0.25">
      <c r="A16" s="31">
        <v>42891.346435185187</v>
      </c>
      <c r="B16" s="30" t="s">
        <v>586</v>
      </c>
      <c r="C16" s="30" t="s">
        <v>587</v>
      </c>
      <c r="D16" s="30" t="s">
        <v>49</v>
      </c>
      <c r="E16" s="30" t="s">
        <v>189</v>
      </c>
      <c r="F16" s="42">
        <v>0</v>
      </c>
      <c r="G16" s="42">
        <v>602</v>
      </c>
      <c r="H16" s="42">
        <v>79172</v>
      </c>
      <c r="I16" s="42">
        <v>77375</v>
      </c>
      <c r="J16" s="30" t="s">
        <v>190</v>
      </c>
      <c r="K16" s="42">
        <v>78469</v>
      </c>
      <c r="L16" s="134" t="s">
        <v>51</v>
      </c>
      <c r="M16" s="135">
        <f t="shared" si="0"/>
        <v>-577.63199999999995</v>
      </c>
      <c r="N16" s="136" t="str">
        <f>VLOOKUP(C16,'Trips&amp;Operators'!$C$1:$G$99999,5,FALSE)</f>
        <v>HELVIE ADAM</v>
      </c>
      <c r="O16" s="210" t="s">
        <v>182</v>
      </c>
      <c r="P16" s="137" t="s">
        <v>402</v>
      </c>
      <c r="Q16" s="30"/>
      <c r="R16" s="84" t="str">
        <f>VLOOKUP(C16,'Train Runs'!$A$13:$AE$9934,31,0)</f>
        <v>aws s3 cp s3://rtdc.mdm.uploadarchive.raw/RTDC4031/ "%USERPROFILE%\AppData\Local\Temp\OnboardLogs"\RTDC4031\2017-06-05 --exclude "*" --recursive --include "*20170605*" &amp; "%USERPROFILE%\Documents\GitHub\mrs-test-scripts\Headless Mode &amp; Sideloading\WalkAndUnGZ.bat" "%USERPROFILE%\AppData\Local\Temp\OnboardLogs"\RTDC4031\2017-06-05 &amp; aws s3 cp s3://rtdc.mdm.uploadarchive.raw/RTDC4031/ "%USERPROFILE%\AppData\Local\Temp\OnboardLogs"\RTDC4031\2017-06-06 --exclude "*" --recursive --include "*20170606*" &amp; "%USERPROFILE%\Documents\GitHub\mrs-test-scripts\Headless Mode &amp; Sideloading\WalkAndUnGZ.bat" "%USERPROFILE%\AppData\Local\Temp\OnboardLogs"\RTDC4031\2017-06-06</v>
      </c>
      <c r="S16" s="87" t="str">
        <f>VLOOKUP(C16,'Train Runs'!$A$13:$AE$9934,22,0)</f>
        <v>https://d0f6bd738d7f1b3e5a7ca70fe4ff75f0.us-east-1.aws.found.io/app/kibana#/discover/Steve-Slow-Train-Analysis-(2080s-and-2083s)?_g=(refreshInterval:(display:Off,pause:!f,section:0,value:0),time:(from:'2017-06-05T06:52:58-0600',mode:absolute,to:'2017-06-05T09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6" s="89" t="str">
        <f t="shared" si="1"/>
        <v>"C:\Program Files (x86)\AstroGrep\AstroGrep.exe" /e /r /s /spath="%USERPROFILE%\AppData\Local\Temp\OnboardLogs" /stypes="*4031*201706051*" /stext=" 14:.+((SYSTEM_STATE.+slice.+state.+changed )|(ment ac)|(multiple cpu faults)|(system.+state.+changed )|(\[timeout)|(PRM\|1\|D)|(kpr)|(kdp)|(train st.+moving)|(\|lc)|(penalty))"</v>
      </c>
      <c r="U16" s="9" t="str">
        <f t="shared" si="2"/>
        <v>4031</v>
      </c>
      <c r="V16" s="31">
        <f t="shared" si="3"/>
        <v>42891.596435185187</v>
      </c>
      <c r="W16" s="45" t="str">
        <f t="shared" si="4"/>
        <v>EC</v>
      </c>
      <c r="X16" s="45" t="str">
        <f t="shared" si="5"/>
        <v>KEEP</v>
      </c>
      <c r="Y16" s="99" t="str">
        <f t="shared" si="6"/>
        <v>echo {"issue":{"subject":"Early arrival","project_id":79,"tracker_id":40,"status_id":1,"priority_id":2,"assigned_to_id":23,"start_date":"2017-06-05","description":"","custom_fields":[{"id":1,"name":"Subdivision","value":"EC"},{"id":4,"name":"Milepost","value":"7.8469"},{"id":17,"name":"Train ID","value":"128-05"},{"id":16,"name":"Locomotive ID","value":"4031"},{"id":130,"name":"Impact","value":""},{"id":150,"name":"Time of Event (Mountain Time)","value":"08:18:52"},{"id":151,"name":"Denver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62"/>
      <c r="AA16" s="47"/>
      <c r="AB16" s="47"/>
      <c r="AC16" s="118" t="str">
        <f t="shared" si="7"/>
        <v>grep -hrE -A400 "Enforcement Action" /cygdrive/c/Users/stu/AppData/Local/Temp/OnboardLogs/RTDC4031 --include="*4031*201706051*"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"%USERPROFILE%\AppData\Local\Temp\OnboardLogs"\RTDC4031\*4031*201706051* &gt;&gt; 2017-06-05-SliceDisagreementCheck.txt</v>
      </c>
      <c r="AE16" s="148" t="str">
        <f t="shared" si="9"/>
        <v>start /low /b %USERPROFILE%\Documents\GitHub\eaglep3\Utilities\DownloadLogsFromS3.py --loco 4031 --day 2017-06-05</v>
      </c>
      <c r="AF16" s="1"/>
    </row>
    <row r="17" spans="1:32" x14ac:dyDescent="0.25">
      <c r="A17" s="31">
        <v>42891.376631944448</v>
      </c>
      <c r="B17" s="30" t="s">
        <v>588</v>
      </c>
      <c r="C17" s="30" t="s">
        <v>589</v>
      </c>
      <c r="D17" s="30" t="s">
        <v>49</v>
      </c>
      <c r="E17" s="30" t="s">
        <v>189</v>
      </c>
      <c r="F17" s="42">
        <v>340</v>
      </c>
      <c r="G17" s="42">
        <v>399</v>
      </c>
      <c r="H17" s="42">
        <v>105303</v>
      </c>
      <c r="I17" s="42">
        <v>104000</v>
      </c>
      <c r="J17" s="30" t="s">
        <v>190</v>
      </c>
      <c r="K17" s="42">
        <v>103800</v>
      </c>
      <c r="L17" s="134" t="s">
        <v>51</v>
      </c>
      <c r="M17" s="135">
        <f t="shared" si="0"/>
        <v>105.6</v>
      </c>
      <c r="N17" s="136" t="str">
        <f>VLOOKUP(C17,'Trips&amp;Operators'!$C$1:$G$99999,5,FALSE)</f>
        <v>STARKS ANGELINA</v>
      </c>
      <c r="O17" s="210" t="s">
        <v>182</v>
      </c>
      <c r="P17" s="137" t="s">
        <v>402</v>
      </c>
      <c r="Q17" s="30"/>
      <c r="R17" s="84" t="str">
        <f>VLOOKUP(C17,'Train Runs'!$A$13:$AE$9934,31,0)</f>
        <v>aws s3 cp s3://rtdc.mdm.uploadarchive.raw/RTDC4015/ "%USERPROFILE%\AppData\Local\Temp\OnboardLogs"\RTDC4015\2017-06-05 --exclude "*" --recursive --include "*20170605*" &amp; "%USERPROFILE%\Documents\GitHub\mrs-test-scripts\Headless Mode &amp; Sideloading\WalkAndUnGZ.bat" "%USERPROFILE%\AppData\Local\Temp\OnboardLogs"\RTDC4015\2017-06-05 &amp; aws s3 cp s3://rtdc.mdm.uploadarchive.raw/RTDC4015/ "%USERPROFILE%\AppData\Local\Temp\OnboardLogs"\RTDC4015\2017-06-06 --exclude "*" --recursive --include "*20170606*" &amp; "%USERPROFILE%\Documents\GitHub\mrs-test-scripts\Headless Mode &amp; Sideloading\WalkAndUnGZ.bat" "%USERPROFILE%\AppData\Local\Temp\OnboardLogs"\RTDC4015\2017-06-06</v>
      </c>
      <c r="S17" s="87" t="str">
        <f>VLOOKUP(C17,'Train Runs'!$A$13:$AE$9934,22,0)</f>
        <v>https://d0f6bd738d7f1b3e5a7ca70fe4ff75f0.us-east-1.aws.found.io/app/kibana#/discover/Steve-Slow-Train-Analysis-(2080s-and-2083s)?_g=(refreshInterval:(display:Off,pause:!f,section:0,value:0),time:(from:'2017-06-05T07:38:45-0600',mode:absolute,to:'2017-06-05T10:24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7" s="89" t="str">
        <f t="shared" si="1"/>
        <v>"C:\Program Files (x86)\AstroGrep\AstroGrep.exe" /e /r /s /spath="%USERPROFILE%\AppData\Local\Temp\OnboardLogs" /stypes="*4015*201706051*" /stext=" 15:.+((SYSTEM_STATE.+slice.+state.+changed )|(ment ac)|(multiple cpu faults)|(system.+state.+changed )|(\[timeout)|(PRM\|1\|D)|(kpr)|(kdp)|(train st.+moving)|(\|lc)|(penalty))"</v>
      </c>
      <c r="U17" s="9" t="str">
        <f t="shared" si="2"/>
        <v>4015</v>
      </c>
      <c r="V17" s="31">
        <f t="shared" si="3"/>
        <v>42891.626631944448</v>
      </c>
      <c r="W17" s="45" t="str">
        <f t="shared" si="4"/>
        <v>EC</v>
      </c>
      <c r="X17" s="45" t="str">
        <f t="shared" si="5"/>
        <v>KEEP</v>
      </c>
      <c r="Y17" s="99" t="str">
        <f t="shared" si="6"/>
        <v>echo {"issue":{"subject":"Early arrival","project_id":79,"tracker_id":40,"status_id":1,"priority_id":2,"assigned_to_id":23,"start_date":"2017-06-05","description":"","custom_fields":[{"id":1,"name":"Subdivision","value":"EC"},{"id":4,"name":"Milepost","value":"10.38"},{"id":17,"name":"Train ID","value":"134-05"},{"id":16,"name":"Locomotive ID","value":"4015"},{"id":130,"name":"Impact","value":""},{"id":150,"name":"Time of Event (Mountain Time)","value":"09:02:21"},{"id":151,"name":"Denver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62"/>
      <c r="AA17" s="47"/>
      <c r="AB17" s="47"/>
      <c r="AC17" s="118" t="str">
        <f t="shared" si="7"/>
        <v>grep -hrE -A400 "Enforcement Action" /cygdrive/c/Users/stu/AppData/Local/Temp/OnboardLogs/RTDC4015 --include="*4015*201706051*"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"%USERPROFILE%\AppData\Local\Temp\OnboardLogs"\RTDC4015\*4015*201706051* &gt;&gt; 2017-06-05-SliceDisagreementCheck.txt</v>
      </c>
      <c r="AE17" s="148" t="str">
        <f t="shared" si="9"/>
        <v>start /low /b %USERPROFILE%\Documents\GitHub\eaglep3\Utilities\DownloadLogsFromS3.py --loco 4015 --day 2017-06-05</v>
      </c>
      <c r="AF17" s="1"/>
    </row>
    <row r="18" spans="1:32" x14ac:dyDescent="0.25">
      <c r="A18" s="31">
        <v>42891.375902777778</v>
      </c>
      <c r="B18" s="30" t="s">
        <v>588</v>
      </c>
      <c r="C18" s="30" t="s">
        <v>589</v>
      </c>
      <c r="D18" s="30" t="s">
        <v>98</v>
      </c>
      <c r="E18" s="30" t="s">
        <v>189</v>
      </c>
      <c r="F18" s="42">
        <v>410</v>
      </c>
      <c r="G18" s="42">
        <v>460</v>
      </c>
      <c r="H18" s="42">
        <v>108887</v>
      </c>
      <c r="I18" s="42">
        <v>106790</v>
      </c>
      <c r="J18" s="30" t="s">
        <v>190</v>
      </c>
      <c r="K18" s="42">
        <v>109135</v>
      </c>
      <c r="L18" s="134" t="s">
        <v>51</v>
      </c>
      <c r="M18" s="135">
        <f t="shared" si="0"/>
        <v>-1238.1600000000001</v>
      </c>
      <c r="N18" s="136" t="str">
        <f>VLOOKUP(C18,'Trips&amp;Operators'!$C$1:$G$99999,5,FALSE)</f>
        <v>STARKS ANGELINA</v>
      </c>
      <c r="O18" s="210" t="s">
        <v>182</v>
      </c>
      <c r="P18" s="137" t="s">
        <v>402</v>
      </c>
      <c r="Q18" s="30"/>
      <c r="R18" s="84" t="str">
        <f>VLOOKUP(C18,'Train Runs'!$A$13:$AE$9934,31,0)</f>
        <v>aws s3 cp s3://rtdc.mdm.uploadarchive.raw/RTDC4015/ "%USERPROFILE%\AppData\Local\Temp\OnboardLogs"\RTDC4015\2017-06-05 --exclude "*" --recursive --include "*20170605*" &amp; "%USERPROFILE%\Documents\GitHub\mrs-test-scripts\Headless Mode &amp; Sideloading\WalkAndUnGZ.bat" "%USERPROFILE%\AppData\Local\Temp\OnboardLogs"\RTDC4015\2017-06-05 &amp; aws s3 cp s3://rtdc.mdm.uploadarchive.raw/RTDC4015/ "%USERPROFILE%\AppData\Local\Temp\OnboardLogs"\RTDC4015\2017-06-06 --exclude "*" --recursive --include "*20170606*" &amp; "%USERPROFILE%\Documents\GitHub\mrs-test-scripts\Headless Mode &amp; Sideloading\WalkAndUnGZ.bat" "%USERPROFILE%\AppData\Local\Temp\OnboardLogs"\RTDC4015\2017-06-06</v>
      </c>
      <c r="S18" s="87" t="str">
        <f>VLOOKUP(C18,'Train Runs'!$A$13:$AE$9934,22,0)</f>
        <v>https://d0f6bd738d7f1b3e5a7ca70fe4ff75f0.us-east-1.aws.found.io/app/kibana#/discover/Steve-Slow-Train-Analysis-(2080s-and-2083s)?_g=(refreshInterval:(display:Off,pause:!f,section:0,value:0),time:(from:'2017-06-05T07:38:45-0600',mode:absolute,to:'2017-06-05T10:24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8" s="89" t="str">
        <f t="shared" si="1"/>
        <v>"C:\Program Files (x86)\AstroGrep\AstroGrep.exe" /e /r /s /spath="%USERPROFILE%\AppData\Local\Temp\OnboardLogs" /stypes="*4015*201706051*" /stext=" 15:.+((SYSTEM_STATE.+slice.+state.+changed )|(ment ac)|(multiple cpu faults)|(system.+state.+changed )|(\[timeout)|(PRM\|1\|D)|(kpr)|(kdp)|(train st.+moving)|(\|lc)|(penalty))"</v>
      </c>
      <c r="U18" s="9" t="str">
        <f t="shared" si="2"/>
        <v>4015</v>
      </c>
      <c r="V18" s="31">
        <f t="shared" si="3"/>
        <v>42891.625902777778</v>
      </c>
      <c r="W18" s="45" t="str">
        <f t="shared" si="4"/>
        <v>EC</v>
      </c>
      <c r="X18" s="45" t="str">
        <f t="shared" si="5"/>
        <v>KEEP</v>
      </c>
      <c r="Y18" s="99" t="str">
        <f t="shared" si="6"/>
        <v>echo {"issue":{"subject":"Early arrival","project_id":79,"tracker_id":40,"status_id":1,"priority_id":2,"assigned_to_id":23,"start_date":"2017-06-05","description":"","custom_fields":[{"id":1,"name":"Subdivision","value":"EC"},{"id":4,"name":"Milepost","value":"10.9135"},{"id":17,"name":"Train ID","value":"134-05"},{"id":16,"name":"Locomotive ID","value":"4015"},{"id":130,"name":"Impact","value":""},{"id":150,"name":"Time of Event (Mountain Time)","value":"09:01:18"},{"id":151,"name":"Denver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62"/>
      <c r="AA18" s="47"/>
      <c r="AB18" s="47"/>
      <c r="AC18" s="118" t="str">
        <f t="shared" si="7"/>
        <v>grep -hrE -A400 "Enforcement Action" /cygdrive/c/Users/stu/AppData/Local/Temp/OnboardLogs/RTDC4015 --include="*4015*201706051*"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"%USERPROFILE%\AppData\Local\Temp\OnboardLogs"\RTDC4015\*4015*201706051* &gt;&gt; 2017-06-05-SliceDisagreementCheck.txt</v>
      </c>
      <c r="AE18" s="148" t="str">
        <f t="shared" si="9"/>
        <v>start /low /b %USERPROFILE%\Documents\GitHub\eaglep3\Utilities\DownloadLogsFromS3.py --loco 4015 --day 2017-06-05</v>
      </c>
      <c r="AF18" s="1"/>
    </row>
    <row r="19" spans="1:32" x14ac:dyDescent="0.25">
      <c r="A19" s="31">
        <v>42891.379270833335</v>
      </c>
      <c r="B19" s="30" t="s">
        <v>590</v>
      </c>
      <c r="C19" s="30" t="s">
        <v>591</v>
      </c>
      <c r="D19" s="30" t="s">
        <v>98</v>
      </c>
      <c r="E19" s="30" t="s">
        <v>202</v>
      </c>
      <c r="F19" s="42">
        <v>300</v>
      </c>
      <c r="G19" s="42">
        <v>350</v>
      </c>
      <c r="H19" s="42">
        <v>20279</v>
      </c>
      <c r="I19" s="42">
        <v>19164</v>
      </c>
      <c r="J19" s="30" t="s">
        <v>203</v>
      </c>
      <c r="K19" s="42">
        <v>21848</v>
      </c>
      <c r="L19" s="134" t="s">
        <v>51</v>
      </c>
      <c r="M19" s="135">
        <f t="shared" si="0"/>
        <v>-1417.1520000000003</v>
      </c>
      <c r="N19" s="136" t="str">
        <f>VLOOKUP(C19,'Trips&amp;Operators'!$C$1:$G$99999,5,FALSE)</f>
        <v>MACDONALD THOMAS</v>
      </c>
      <c r="O19" s="210" t="s">
        <v>182</v>
      </c>
      <c r="P19" s="137"/>
      <c r="Q19" s="30"/>
      <c r="R19" s="84" t="str">
        <f>VLOOKUP(C19,'Train Runs'!$A$13:$AE$9934,31,0)</f>
        <v>aws s3 cp s3://rtdc.mdm.uploadarchive.raw/RTDC4061/ "%USERPROFILE%\AppData\Local\Temp\OnboardLogs"\RTDC4061\2017-06-05 --exclude "*" --recursive --include "*20170605*" &amp; "%USERPROFILE%\Documents\GitHub\mrs-test-scripts\Headless Mode &amp; Sideloading\WalkAndUnGZ.bat" "%USERPROFILE%\AppData\Local\Temp\OnboardLogs"\RTDC4061\2017-06-05 &amp; aws s3 cp s3://rtdc.mdm.uploadarchive.raw/RTDC4061/ "%USERPROFILE%\AppData\Local\Temp\OnboardLogs"\RTDC4061\2017-06-06 --exclude "*" --recursive --include "*20170606*" &amp; "%USERPROFILE%\Documents\GitHub\mrs-test-scripts\Headless Mode &amp; Sideloading\WalkAndUnGZ.bat" "%USERPROFILE%\AppData\Local\Temp\OnboardLogs"\RTDC4061\2017-06-06</v>
      </c>
      <c r="S19" s="87" t="str">
        <f>VLOOKUP(C19,'Train Runs'!$A$13:$AE$9934,22,0)</f>
        <v>https://d0f6bd738d7f1b3e5a7ca70fe4ff75f0.us-east-1.aws.found.io/app/kibana#/discover/Steve-Slow-Train-Analysis-(2080s-and-2083s)?_g=(refreshInterval:(display:Off,pause:!f,section:0,value:0),time:(from:'2017-06-05T07:24:04-0600',mode:absolute,to:'2017-06-05T10:12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19" s="89" t="str">
        <f t="shared" si="1"/>
        <v>"C:\Program Files (x86)\AstroGrep\AstroGrep.exe" /e /r /s /spath="%USERPROFILE%\AppData\Local\Temp\OnboardLogs" /stypes="*4061*201706051*" /stext=" 15:.+((SYSTEM_STATE.+slice.+state.+changed )|(ment ac)|(multiple cpu faults)|(system.+state.+changed )|(\[timeout)|(PRM\|1\|D)|(kpr)|(kdp)|(train st.+moving)|(\|lc)|(penalty))"</v>
      </c>
      <c r="U19" s="9" t="str">
        <f t="shared" si="2"/>
        <v>4061</v>
      </c>
      <c r="V19" s="31">
        <f t="shared" si="3"/>
        <v>42891.629270833335</v>
      </c>
      <c r="W19" s="45" t="str">
        <f t="shared" si="4"/>
        <v>EC</v>
      </c>
      <c r="X19" s="45" t="str">
        <f t="shared" si="5"/>
        <v>KEEP</v>
      </c>
      <c r="Y19" s="99" t="str">
        <f t="shared" si="6"/>
        <v>echo {"issue":{"subject":"","project_id":79,"tracker_id":40,"status_id":1,"priority_id":2,"assigned_to_id":23,"start_date":"2017-06-05","description":"","custom_fields":[{"id":1,"name":"Subdivision","value":"EC"},{"id":4,"name":"Milepost","value":"2.1848"},{"id":17,"name":"Train ID","value":"132-05"},{"id":16,"name":"Locomotive ID","value":"4061"},{"id":130,"name":"Impact","value":""},{"id":150,"name":"Time of Event (Mountain Time)","value":"09:06:09"},{"id":151,"name":"Denver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62"/>
      <c r="AA19" s="47"/>
      <c r="AB19" s="47"/>
      <c r="AC19" s="118" t="str">
        <f t="shared" si="7"/>
        <v>grep -hrE -A400 "Enforcement Action" /cygdrive/c/Users/stu/AppData/Local/Temp/OnboardLogs/RTDC4061 --include="*4061*201706051*"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"%USERPROFILE%\AppData\Local\Temp\OnboardLogs"\RTDC4061\*4061*201706051* &gt;&gt; 2017-06-05-SliceDisagreementCheck.txt</v>
      </c>
      <c r="AE19" s="148" t="str">
        <f t="shared" si="9"/>
        <v>start /low /b %USERPROFILE%\Documents\GitHub\eaglep3\Utilities\DownloadLogsFromS3.py --loco 4061 --day 2017-06-05</v>
      </c>
      <c r="AF19" s="1"/>
    </row>
    <row r="20" spans="1:32" x14ac:dyDescent="0.25">
      <c r="A20" s="31">
        <v>42891.561724537038</v>
      </c>
      <c r="B20" s="30" t="s">
        <v>467</v>
      </c>
      <c r="C20" s="30" t="s">
        <v>600</v>
      </c>
      <c r="D20" s="30" t="s">
        <v>49</v>
      </c>
      <c r="E20" s="30" t="s">
        <v>202</v>
      </c>
      <c r="F20" s="42">
        <v>400</v>
      </c>
      <c r="G20" s="42">
        <v>491</v>
      </c>
      <c r="H20" s="42">
        <v>121145</v>
      </c>
      <c r="I20" s="42">
        <v>119738</v>
      </c>
      <c r="J20" s="30" t="s">
        <v>203</v>
      </c>
      <c r="K20" s="42">
        <v>119716</v>
      </c>
      <c r="L20" s="134" t="s">
        <v>51</v>
      </c>
      <c r="M20" s="135">
        <f t="shared" si="0"/>
        <v>11.616</v>
      </c>
      <c r="N20" s="136" t="str">
        <f>VLOOKUP(C20,'Trips&amp;Operators'!$C$1:$G$99999,5,FALSE)</f>
        <v>BRANDNER MELINDA</v>
      </c>
      <c r="O20" s="210" t="s">
        <v>182</v>
      </c>
      <c r="P20" s="137"/>
      <c r="Q20" s="30"/>
      <c r="R20" s="84" t="str">
        <f>VLOOKUP(C20,'Train Runs'!$A$13:$AE$9934,31,0)</f>
        <v>aws s3 cp s3://rtdc.mdm.uploadarchive.raw/RTDC4009/ "%USERPROFILE%\AppData\Local\Temp\OnboardLogs"\RTDC4009\2017-06-05 --exclude "*" --recursive --include "*20170605*" &amp; "%USERPROFILE%\Documents\GitHub\mrs-test-scripts\Headless Mode &amp; Sideloading\WalkAndUnGZ.bat" "%USERPROFILE%\AppData\Local\Temp\OnboardLogs"\RTDC4009\2017-06-05 &amp; aws s3 cp s3://rtdc.mdm.uploadarchive.raw/RTDC4009/ "%USERPROFILE%\AppData\Local\Temp\OnboardLogs"\RTDC4009\2017-06-06 --exclude "*" --recursive --include "*20170606*" &amp; "%USERPROFILE%\Documents\GitHub\mrs-test-scripts\Headless Mode &amp; Sideloading\WalkAndUnGZ.bat" "%USERPROFILE%\AppData\Local\Temp\OnboardLogs"\RTDC4009\2017-06-06</v>
      </c>
      <c r="S20" s="87" t="str">
        <f>VLOOKUP(C20,'Train Runs'!$A$13:$AE$9934,22,0)</f>
        <v>https://d0f6bd738d7f1b3e5a7ca70fe4ff75f0.us-east-1.aws.found.io/app/kibana#/discover/Steve-Slow-Train-Analysis-(2080s-and-2083s)?_g=(refreshInterval:(display:Off,pause:!f,section:0,value:0),time:(from:'2017-06-05T12:09:23-0600',mode:absolute,to:'2017-06-05T14:53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0" s="89" t="str">
        <f t="shared" si="1"/>
        <v>"C:\Program Files (x86)\AstroGrep\AstroGrep.exe" /e /r /s /spath="%USERPROFILE%\AppData\Local\Temp\OnboardLogs" /stypes="*4009*201706051*" /stext=" 19:.+((SYSTEM_STATE.+slice.+state.+changed )|(ment ac)|(multiple cpu faults)|(system.+state.+changed )|(\[timeout)|(PRM\|1\|D)|(kpr)|(kdp)|(train st.+moving)|(\|lc)|(penalty))"</v>
      </c>
      <c r="U20" s="9" t="str">
        <f t="shared" si="2"/>
        <v>4009</v>
      </c>
      <c r="V20" s="31">
        <f t="shared" si="3"/>
        <v>42891.811724537038</v>
      </c>
      <c r="W20" s="45" t="str">
        <f t="shared" si="4"/>
        <v>EC</v>
      </c>
      <c r="X20" s="45" t="str">
        <f t="shared" si="5"/>
        <v>KEEP</v>
      </c>
      <c r="Y20" s="99" t="str">
        <f t="shared" si="6"/>
        <v>echo {"issue":{"subject":"","project_id":79,"tracker_id":40,"status_id":1,"priority_id":2,"assigned_to_id":23,"start_date":"2017-06-05","description":"","custom_fields":[{"id":1,"name":"Subdivision","value":"EC"},{"id":4,"name":"Milepost","value":"11.9716"},{"id":17,"name":"Train ID","value":"170-05"},{"id":16,"name":"Locomotive ID","value":"4009"},{"id":130,"name":"Impact","value":""},{"id":150,"name":"Time of Event (Mountain Time)","value":"13:28:53"},{"id":151,"name":"Denver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62"/>
      <c r="AA20" s="47"/>
      <c r="AB20" s="47"/>
      <c r="AC20" s="118" t="str">
        <f t="shared" si="7"/>
        <v>grep -hrE -A400 "Enforcement Action" /cygdrive/c/Users/stu/AppData/Local/Temp/OnboardLogs/RTDC4009 --include="*4009*201706051*"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"%USERPROFILE%\AppData\Local\Temp\OnboardLogs"\RTDC4009\*4009*201706051* &gt;&gt; 2017-06-05-SliceDisagreementCheck.txt</v>
      </c>
      <c r="AE20" s="148" t="str">
        <f t="shared" si="9"/>
        <v>start /low /b %USERPROFILE%\Documents\GitHub\eaglep3\Utilities\DownloadLogsFromS3.py --loco 4009 --day 2017-06-05</v>
      </c>
      <c r="AF20" s="1"/>
    </row>
    <row r="21" spans="1:32" x14ac:dyDescent="0.25">
      <c r="A21" s="31">
        <v>42891.684537037036</v>
      </c>
      <c r="B21" s="30" t="s">
        <v>609</v>
      </c>
      <c r="C21" s="30" t="s">
        <v>610</v>
      </c>
      <c r="D21" s="30" t="s">
        <v>49</v>
      </c>
      <c r="E21" s="30" t="s">
        <v>366</v>
      </c>
      <c r="F21" s="42">
        <v>0</v>
      </c>
      <c r="G21" s="42">
        <v>787</v>
      </c>
      <c r="H21" s="42">
        <v>143994</v>
      </c>
      <c r="I21" s="42">
        <v>148006</v>
      </c>
      <c r="J21" s="30" t="s">
        <v>367</v>
      </c>
      <c r="K21" s="42">
        <v>144300</v>
      </c>
      <c r="L21" s="134" t="s">
        <v>50</v>
      </c>
      <c r="M21" s="135">
        <f t="shared" si="0"/>
        <v>-1956.768</v>
      </c>
      <c r="N21" s="136" t="str">
        <f>VLOOKUP(C21,'Trips&amp;Operators'!$C$1:$G$99999,5,FALSE)</f>
        <v>CHANDLER KELVIN</v>
      </c>
      <c r="O21" s="210" t="s">
        <v>418</v>
      </c>
      <c r="P21" s="137" t="s">
        <v>419</v>
      </c>
      <c r="Q21" s="30"/>
      <c r="R21" s="84" t="str">
        <f>VLOOKUP(C21,'Train Runs'!$A$13:$AE$9934,31,0)</f>
        <v>aws s3 cp s3://rtdc.mdm.uploadarchive.raw/RTDC4058/ "%USERPROFILE%\AppData\Local\Temp\OnboardLogs"\RTDC4058\2017-06-05 --exclude "*" --recursive --include "*20170605*" &amp; "%USERPROFILE%\Documents\GitHub\mrs-test-scripts\Headless Mode &amp; Sideloading\WalkAndUnGZ.bat" "%USERPROFILE%\AppData\Local\Temp\OnboardLogs"\RTDC4058\2017-06-05 &amp; aws s3 cp s3://rtdc.mdm.uploadarchive.raw/RTDC4058/ "%USERPROFILE%\AppData\Local\Temp\OnboardLogs"\RTDC4058\2017-06-06 --exclude "*" --recursive --include "*20170606*" &amp; "%USERPROFILE%\Documents\GitHub\mrs-test-scripts\Headless Mode &amp; Sideloading\WalkAndUnGZ.bat" "%USERPROFILE%\AppData\Local\Temp\OnboardLogs"\RTDC4058\2017-06-06</v>
      </c>
      <c r="S21" s="87" t="str">
        <f>VLOOKUP(C21,'Train Runs'!$A$13:$AE$9934,22,0)</f>
        <v>https://d0f6bd738d7f1b3e5a7ca70fe4ff75f0.us-east-1.aws.found.io/app/kibana#/discover/Steve-Slow-Train-Analysis-(2080s-and-2083s)?_g=(refreshInterval:(display:Off,pause:!f,section:0,value:0),time:(from:'2017-06-05T14:56:18-0600',mode:absolute,to:'2017-06-05T17:39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21" s="89" t="str">
        <f t="shared" si="1"/>
        <v>"C:\Program Files (x86)\AstroGrep\AstroGrep.exe" /e /r /s /spath="%USERPROFILE%\AppData\Local\Temp\OnboardLogs" /stypes="*4058*201706052*" /stext=" 22:.+((SYSTEM_STATE.+slice.+state.+changed )|(ment ac)|(multiple cpu faults)|(system.+state.+changed )|(\[timeout)|(PRM\|1\|D)|(kpr)|(kdp)|(train st.+moving)|(\|lc)|(penalty))"</v>
      </c>
      <c r="U21" s="9" t="str">
        <f t="shared" si="2"/>
        <v>4058</v>
      </c>
      <c r="V21" s="31">
        <f t="shared" si="3"/>
        <v>42891.934537037036</v>
      </c>
      <c r="W21" s="45" t="str">
        <f t="shared" si="4"/>
        <v>EC</v>
      </c>
      <c r="X21" s="45" t="str">
        <f t="shared" si="5"/>
        <v>KEEP</v>
      </c>
      <c r="Y21" s="99" t="str">
        <f t="shared" si="6"/>
        <v>echo {"issue":{"subject":"Wi-MAX data drop","project_id":79,"tracker_id":40,"status_id":1,"priority_id":2,"assigned_to_id":23,"start_date":"2017-06-05","description":"","custom_fields":[{"id":1,"name":"Subdivision","value":"EC"},{"id":4,"name":"Milepost","value":"14.43"},{"id":17,"name":"Train ID","value":"199-05"},{"id":16,"name":"Locomotive ID","value":"4058"},{"id":130,"name":"Impact","value":""},{"id":150,"name":"Time of Event (Mountain Time)","value":"16:25:44"},{"id":151,"name":"Denver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62"/>
      <c r="AA21" s="47"/>
      <c r="AB21" s="47"/>
      <c r="AC21" s="118" t="str">
        <f t="shared" si="7"/>
        <v>grep -hrE -A400 "Enforcement Action" /cygdrive/c/Users/stu/AppData/Local/Temp/OnboardLogs/RTDC4058 --include="*4058*201706052*"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"%USERPROFILE%\AppData\Local\Temp\OnboardLogs"\RTDC4058\*4058*201706052* &gt;&gt; 2017-06-05-SliceDisagreementCheck.txt</v>
      </c>
      <c r="AE21" s="148" t="str">
        <f t="shared" si="9"/>
        <v>start /low /b %USERPROFILE%\Documents\GitHub\eaglep3\Utilities\DownloadLogsFromS3.py --loco 4058 --day 2017-06-05</v>
      </c>
      <c r="AF21" s="1"/>
    </row>
    <row r="22" spans="1:32" x14ac:dyDescent="0.25">
      <c r="A22" s="31">
        <v>42891.643599537034</v>
      </c>
      <c r="B22" s="30" t="s">
        <v>362</v>
      </c>
      <c r="C22" s="30" t="s">
        <v>604</v>
      </c>
      <c r="D22" s="30" t="s">
        <v>49</v>
      </c>
      <c r="E22" s="30" t="s">
        <v>366</v>
      </c>
      <c r="F22" s="42">
        <v>0</v>
      </c>
      <c r="G22" s="42">
        <v>721</v>
      </c>
      <c r="H22" s="42">
        <v>149634</v>
      </c>
      <c r="I22" s="42">
        <v>152990</v>
      </c>
      <c r="J22" s="30" t="s">
        <v>367</v>
      </c>
      <c r="K22" s="42">
        <v>149694</v>
      </c>
      <c r="L22" s="134" t="s">
        <v>50</v>
      </c>
      <c r="M22" s="135">
        <f t="shared" si="0"/>
        <v>-1740.288</v>
      </c>
      <c r="N22" s="136" t="str">
        <f>VLOOKUP(C22,'Trips&amp;Operators'!$C$1:$G$99999,5,FALSE)</f>
        <v>ROBINSON KADDIBA</v>
      </c>
      <c r="O22" s="210" t="s">
        <v>418</v>
      </c>
      <c r="P22" s="137" t="s">
        <v>419</v>
      </c>
      <c r="Q22" s="30"/>
      <c r="R22" s="84" t="str">
        <f>VLOOKUP(C22,'Train Runs'!$A$13:$AE$9934,31,0)</f>
        <v>aws s3 cp s3://rtdc.mdm.uploadarchive.raw/RTDC4042/ "%USERPROFILE%\AppData\Local\Temp\OnboardLogs"\RTDC4042\2017-06-05 --exclude "*" --recursive --include "*20170605*" &amp; "%USERPROFILE%\Documents\GitHub\mrs-test-scripts\Headless Mode &amp; Sideloading\WalkAndUnGZ.bat" "%USERPROFILE%\AppData\Local\Temp\OnboardLogs"\RTDC4042\2017-06-05 &amp; aws s3 cp s3://rtdc.mdm.uploadarchive.raw/RTDC4042/ "%USERPROFILE%\AppData\Local\Temp\OnboardLogs"\RTDC4042\2017-06-06 --exclude "*" --recursive --include "*20170606*" &amp; "%USERPROFILE%\Documents\GitHub\mrs-test-scripts\Headless Mode &amp; Sideloading\WalkAndUnGZ.bat" "%USERPROFILE%\AppData\Local\Temp\OnboardLogs"\RTDC4042\2017-06-06</v>
      </c>
      <c r="S22" s="87" t="str">
        <f>VLOOKUP(C22,'Train Runs'!$A$13:$AE$9934,22,0)</f>
        <v>https://d0f6bd738d7f1b3e5a7ca70fe4ff75f0.us-east-1.aws.found.io/app/kibana#/discover/Steve-Slow-Train-Analysis-(2080s-and-2083s)?_g=(refreshInterval:(display:Off,pause:!f,section:0,value:0),time:(from:'2017-06-05T13:55:40-0600',mode:absolute,to:'2017-06-05T16:39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2" s="89" t="str">
        <f t="shared" si="1"/>
        <v>"C:\Program Files (x86)\AstroGrep\AstroGrep.exe" /e /r /s /spath="%USERPROFILE%\AppData\Local\Temp\OnboardLogs" /stypes="*4042*201706052*" /stext=" 21:.+((SYSTEM_STATE.+slice.+state.+changed )|(ment ac)|(multiple cpu faults)|(system.+state.+changed )|(\[timeout)|(PRM\|1\|D)|(kpr)|(kdp)|(train st.+moving)|(\|lc)|(penalty))"</v>
      </c>
      <c r="U22" s="9" t="str">
        <f t="shared" si="2"/>
        <v>4042</v>
      </c>
      <c r="V22" s="31">
        <f t="shared" si="3"/>
        <v>42891.893599537034</v>
      </c>
      <c r="W22" s="45" t="str">
        <f t="shared" si="4"/>
        <v>EC</v>
      </c>
      <c r="X22" s="45" t="str">
        <f t="shared" si="5"/>
        <v>KEEP</v>
      </c>
      <c r="Y22" s="99" t="str">
        <f t="shared" si="6"/>
        <v>echo {"issue":{"subject":"Wi-MAX data drop","project_id":79,"tracker_id":40,"status_id":1,"priority_id":2,"assigned_to_id":23,"start_date":"2017-06-05","description":"","custom_fields":[{"id":1,"name":"Subdivision","value":"EC"},{"id":4,"name":"Milepost","value":"14.9694"},{"id":17,"name":"Train ID","value":"191-05"},{"id":16,"name":"Locomotive ID","value":"4042"},{"id":130,"name":"Impact","value":""},{"id":150,"name":"Time of Event (Mountain Time)","value":"15:26:47"},{"id":151,"name":"Denver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62"/>
      <c r="AA22" s="47"/>
      <c r="AB22" s="47"/>
      <c r="AC22" s="118" t="str">
        <f t="shared" si="7"/>
        <v>grep -hrE -A400 "Enforcement Action" /cygdrive/c/Users/stu/AppData/Local/Temp/OnboardLogs/RTDC4042 --include="*4042*201706052*"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"%USERPROFILE%\AppData\Local\Temp\OnboardLogs"\RTDC4042\*4042*201706052* &gt;&gt; 2017-06-05-SliceDisagreementCheck.txt</v>
      </c>
      <c r="AE22" s="148" t="str">
        <f t="shared" si="9"/>
        <v>start /low /b %USERPROFILE%\Documents\GitHub\eaglep3\Utilities\DownloadLogsFromS3.py --loco 4042 --day 2017-06-05</v>
      </c>
      <c r="AF22" s="1"/>
    </row>
    <row r="23" spans="1:32" x14ac:dyDescent="0.25">
      <c r="A23" s="31">
        <v>42891.477743055555</v>
      </c>
      <c r="B23" s="30" t="s">
        <v>580</v>
      </c>
      <c r="C23" s="30" t="s">
        <v>593</v>
      </c>
      <c r="D23" s="30" t="s">
        <v>49</v>
      </c>
      <c r="E23" s="30" t="s">
        <v>366</v>
      </c>
      <c r="F23" s="42">
        <v>0</v>
      </c>
      <c r="G23" s="42">
        <v>101</v>
      </c>
      <c r="H23" s="42">
        <v>155018</v>
      </c>
      <c r="I23" s="42">
        <v>155150</v>
      </c>
      <c r="J23" s="30" t="s">
        <v>367</v>
      </c>
      <c r="K23" s="42">
        <v>155600</v>
      </c>
      <c r="L23" s="134" t="s">
        <v>50</v>
      </c>
      <c r="M23" s="135">
        <f t="shared" si="0"/>
        <v>237.6</v>
      </c>
      <c r="N23" s="136" t="str">
        <f>VLOOKUP(C23,'Trips&amp;Operators'!$C$1:$G$99999,5,FALSE)</f>
        <v>NEWELL JAMES</v>
      </c>
      <c r="O23" s="210" t="s">
        <v>182</v>
      </c>
      <c r="P23" s="137" t="s">
        <v>1037</v>
      </c>
      <c r="Q23" s="30"/>
      <c r="R23" s="84" t="str">
        <f>VLOOKUP(C23,'Train Runs'!$A$13:$AE$9934,31,0)</f>
        <v>aws s3 cp s3://rtdc.mdm.uploadarchive.raw/RTDC4062/ "%USERPROFILE%\AppData\Local\Temp\OnboardLogs"\RTDC4062\2017-06-05 --exclude "*" --recursive --include "*20170605*" &amp; "%USERPROFILE%\Documents\GitHub\mrs-test-scripts\Headless Mode &amp; Sideloading\WalkAndUnGZ.bat" "%USERPROFILE%\AppData\Local\Temp\OnboardLogs"\RTDC4062\2017-06-05 &amp; aws s3 cp s3://rtdc.mdm.uploadarchive.raw/RTDC4062/ "%USERPROFILE%\AppData\Local\Temp\OnboardLogs"\RTDC4062\2017-06-06 --exclude "*" --recursive --include "*20170606*" &amp; "%USERPROFILE%\Documents\GitHub\mrs-test-scripts\Headless Mode &amp; Sideloading\WalkAndUnGZ.bat" "%USERPROFILE%\AppData\Local\Temp\OnboardLogs"\RTDC4062\2017-06-06</v>
      </c>
      <c r="S23" s="87" t="str">
        <f>VLOOKUP(C23,'Train Runs'!$A$13:$AE$9934,22,0)</f>
        <v>https://d0f6bd738d7f1b3e5a7ca70fe4ff75f0.us-east-1.aws.found.io/app/kibana#/discover/Steve-Slow-Train-Analysis-(2080s-and-2083s)?_g=(refreshInterval:(display:Off,pause:!f,section:0,value:0),time:(from:'2017-06-05T09:53:08-0600',mode:absolute,to:'2017-06-05T12:37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23" s="89" t="str">
        <f t="shared" si="1"/>
        <v>"C:\Program Files (x86)\AstroGrep\AstroGrep.exe" /e /r /s /spath="%USERPROFILE%\AppData\Local\Temp\OnboardLogs" /stypes="*4062*201706051*" /stext=" 17:.+((SYSTEM_STATE.+slice.+state.+changed )|(ment ac)|(multiple cpu faults)|(system.+state.+changed )|(\[timeout)|(PRM\|1\|D)|(kpr)|(kdp)|(train st.+moving)|(\|lc)|(penalty))"</v>
      </c>
      <c r="U23" s="9" t="str">
        <f t="shared" si="2"/>
        <v>4062</v>
      </c>
      <c r="V23" s="31">
        <f t="shared" si="3"/>
        <v>42891.727743055555</v>
      </c>
      <c r="W23" s="45" t="str">
        <f t="shared" si="4"/>
        <v>EC</v>
      </c>
      <c r="X23" s="45" t="str">
        <f t="shared" si="5"/>
        <v>KEEP</v>
      </c>
      <c r="Y23" s="99" t="str">
        <f t="shared" si="6"/>
        <v>echo {"issue":{"subject":"61st 2N STOP","project_id":79,"tracker_id":40,"status_id":1,"priority_id":2,"assigned_to_id":23,"start_date":"2017-06-05","description":"","custom_fields":[{"id":1,"name":"Subdivision","value":"EC"},{"id":4,"name":"Milepost","value":"15.56"},{"id":17,"name":"Train ID","value":"159-05"},{"id":16,"name":"Locomotive ID","value":"4062"},{"id":130,"name":"Impact","value":""},{"id":150,"name":"Time of Event (Mountain Time)","value":"11:27:57"},{"id":151,"name":"Denver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62"/>
      <c r="AA23" s="47"/>
      <c r="AB23" s="47"/>
      <c r="AC23" s="118" t="str">
        <f t="shared" si="7"/>
        <v>grep -hrE -A400 "Enforcement Action" /cygdrive/c/Users/stu/AppData/Local/Temp/OnboardLogs/RTDC4062 --include="*4062*201706051*"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"%USERPROFILE%\AppData\Local\Temp\OnboardLogs"\RTDC4062\*4062*201706051* &gt;&gt; 2017-06-05-SliceDisagreementCheck.txt</v>
      </c>
      <c r="AE23" s="148" t="str">
        <f t="shared" si="9"/>
        <v>start /low /b %USERPROFILE%\Documents\GitHub\eaglep3\Utilities\DownloadLogsFromS3.py --loco 4062 --day 2017-06-05</v>
      </c>
      <c r="AF23" s="1"/>
    </row>
    <row r="24" spans="1:32" x14ac:dyDescent="0.25">
      <c r="A24" s="31">
        <v>42891.25136574074</v>
      </c>
      <c r="B24" s="30" t="s">
        <v>443</v>
      </c>
      <c r="C24" s="30" t="s">
        <v>579</v>
      </c>
      <c r="D24" s="30" t="s">
        <v>49</v>
      </c>
      <c r="E24" s="30" t="s">
        <v>366</v>
      </c>
      <c r="F24" s="42">
        <v>0</v>
      </c>
      <c r="G24" s="42">
        <v>566</v>
      </c>
      <c r="H24" s="42">
        <v>190620</v>
      </c>
      <c r="I24" s="42">
        <v>193335</v>
      </c>
      <c r="J24" s="30" t="s">
        <v>367</v>
      </c>
      <c r="K24" s="42">
        <v>190738</v>
      </c>
      <c r="L24" s="134" t="s">
        <v>50</v>
      </c>
      <c r="M24" s="135">
        <f t="shared" si="0"/>
        <v>-1371.2159999999999</v>
      </c>
      <c r="N24" s="136" t="str">
        <f>VLOOKUP(C24,'Trips&amp;Operators'!$C$1:$G$99999,5,FALSE)</f>
        <v>THOMPSON LESTER</v>
      </c>
      <c r="O24" s="210" t="s">
        <v>418</v>
      </c>
      <c r="P24" s="137" t="s">
        <v>1039</v>
      </c>
      <c r="Q24" s="30"/>
      <c r="R24" s="84" t="str">
        <f>VLOOKUP(C24,'Train Runs'!$A$13:$AE$9934,31,0)</f>
        <v>aws s3 cp s3://rtdc.mdm.uploadarchive.raw/RTDC4020/ "%USERPROFILE%\AppData\Local\Temp\OnboardLogs"\RTDC4020\2017-06-05 --exclude "*" --recursive --include "*20170605*" &amp; "%USERPROFILE%\Documents\GitHub\mrs-test-scripts\Headless Mode &amp; Sideloading\WalkAndUnGZ.bat" "%USERPROFILE%\AppData\Local\Temp\OnboardLogs"\RTDC4020\2017-06-05 &amp; aws s3 cp s3://rtdc.mdm.uploadarchive.raw/RTDC4020/ "%USERPROFILE%\AppData\Local\Temp\OnboardLogs"\RTDC4020\2017-06-06 --exclude "*" --recursive --include "*20170606*" &amp; "%USERPROFILE%\Documents\GitHub\mrs-test-scripts\Headless Mode &amp; Sideloading\WalkAndUnGZ.bat" "%USERPROFILE%\AppData\Local\Temp\OnboardLogs"\RTDC4020\2017-06-06</v>
      </c>
      <c r="S24" s="87" t="str">
        <f>VLOOKUP(C24,'Train Runs'!$A$13:$AE$9934,22,0)</f>
        <v>https://d0f6bd738d7f1b3e5a7ca70fe4ff75f0.us-east-1.aws.found.io/app/kibana#/discover/Steve-Slow-Train-Analysis-(2080s-and-2083s)?_g=(refreshInterval:(display:Off,pause:!f,section:0,value:0),time:(from:'2017-06-05T04:25:25-0600',mode:absolute,to:'2017-06-05T07:01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4" s="89" t="str">
        <f t="shared" si="1"/>
        <v>"C:\Program Files (x86)\AstroGrep\AstroGrep.exe" /e /r /s /spath="%USERPROFILE%\AppData\Local\Temp\OnboardLogs" /stypes="*4020*201706051*" /stext=" 12:.+((SYSTEM_STATE.+slice.+state.+changed )|(ment ac)|(multiple cpu faults)|(system.+state.+changed )|(\[timeout)|(PRM\|1\|D)|(kpr)|(kdp)|(train st.+moving)|(\|lc)|(penalty))"</v>
      </c>
      <c r="U24" s="9" t="str">
        <f t="shared" si="2"/>
        <v>4020</v>
      </c>
      <c r="V24" s="31">
        <f t="shared" si="3"/>
        <v>42891.50136574074</v>
      </c>
      <c r="W24" s="45" t="str">
        <f t="shared" si="4"/>
        <v>EC</v>
      </c>
      <c r="X24" s="45" t="str">
        <f t="shared" si="5"/>
        <v>KEEP</v>
      </c>
      <c r="Y24" s="99" t="str">
        <f t="shared" si="6"/>
        <v>echo {"issue":{"subject":"Premature downgrade at Pena 2N","project_id":79,"tracker_id":40,"status_id":1,"priority_id":2,"assigned_to_id":23,"start_date":"2017-06-05","description":"Approx 06:01:00, 40th 2N dropped to STOP while train was still approaching. Do logs inidicate anything unusual?","custom_fields":[{"id":1,"name":"Subdivision","value":"EC"},{"id":4,"name":"Milepost","value":"19.0738"},{"id":17,"name":"Train ID","value":"115-05"},{"id":16,"name":"Locomotive ID","value":"4020"},{"id":130,"name":"Impact","value":"Enforcement"},{"id":150,"name":"Time of Event (Mountain Time)","value":"06:01:58"},{"id":151,"name":"Denver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24" s="162" t="s">
        <v>1034</v>
      </c>
      <c r="AA24" s="47" t="s">
        <v>122</v>
      </c>
      <c r="AB24" s="47" t="s">
        <v>127</v>
      </c>
      <c r="AC24" s="118" t="str">
        <f t="shared" si="7"/>
        <v>grep -hrE -A400 "Enforcement Action" /cygdrive/c/Users/stu/AppData/Local/Temp/OnboardLogs/RTDC4020 --include="*4020*201706051*"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"%USERPROFILE%\AppData\Local\Temp\OnboardLogs"\RTDC4020\*4020*201706051* &gt;&gt; 2017-06-05-SliceDisagreementCheck.txt</v>
      </c>
      <c r="AE24" s="148" t="str">
        <f t="shared" si="9"/>
        <v>start /low /b %USERPROFILE%\Documents\GitHub\eaglep3\Utilities\DownloadLogsFromS3.py --loco 4020 --day 2017-06-05</v>
      </c>
      <c r="AF24" s="1"/>
    </row>
    <row r="25" spans="1:32" x14ac:dyDescent="0.25">
      <c r="A25" s="31">
        <v>42891.939074074071</v>
      </c>
      <c r="B25" s="30" t="s">
        <v>590</v>
      </c>
      <c r="C25" s="30" t="s">
        <v>627</v>
      </c>
      <c r="D25" s="30" t="s">
        <v>49</v>
      </c>
      <c r="E25" s="30" t="s">
        <v>366</v>
      </c>
      <c r="F25" s="42">
        <v>0</v>
      </c>
      <c r="G25" s="42">
        <v>611</v>
      </c>
      <c r="H25" s="42">
        <v>204661</v>
      </c>
      <c r="I25" s="42">
        <v>201912</v>
      </c>
      <c r="J25" s="30" t="s">
        <v>367</v>
      </c>
      <c r="K25" s="42">
        <v>204340</v>
      </c>
      <c r="L25" s="134" t="s">
        <v>51</v>
      </c>
      <c r="M25" s="135">
        <f t="shared" si="0"/>
        <v>-1281.9839999999999</v>
      </c>
      <c r="N25" s="136" t="str">
        <f>VLOOKUP(C25,'Trips&amp;Operators'!$C$1:$G$99999,5,FALSE)</f>
        <v>SMITH MICHAEL</v>
      </c>
      <c r="O25" s="210" t="s">
        <v>418</v>
      </c>
      <c r="P25" s="137" t="s">
        <v>419</v>
      </c>
      <c r="Q25" s="30"/>
      <c r="R25" s="84" t="str">
        <f>VLOOKUP(C25,'Train Runs'!$A$13:$AE$9934,31,0)</f>
        <v>aws s3 cp s3://rtdc.mdm.uploadarchive.raw/RTDC4061/ "%USERPROFILE%\AppData\Local\Temp\OnboardLogs"\RTDC4061\2017-06-05 --exclude "*" --recursive --include "*20170605*" &amp; "%USERPROFILE%\Documents\GitHub\mrs-test-scripts\Headless Mode &amp; Sideloading\WalkAndUnGZ.bat" "%USERPROFILE%\AppData\Local\Temp\OnboardLogs"\RTDC4061\2017-06-05 &amp; aws s3 cp s3://rtdc.mdm.uploadarchive.raw/RTDC4061/ "%USERPROFILE%\AppData\Local\Temp\OnboardLogs"\RTDC4061\2017-06-06 --exclude "*" --recursive --include "*20170606*" &amp; "%USERPROFILE%\Documents\GitHub\mrs-test-scripts\Headless Mode &amp; Sideloading\WalkAndUnGZ.bat" "%USERPROFILE%\AppData\Local\Temp\OnboardLogs"\RTDC4061\2017-06-06</v>
      </c>
      <c r="S25" s="87" t="str">
        <f>VLOOKUP(C25,'Train Runs'!$A$13:$AE$9934,22,0)</f>
        <v>https://d0f6bd738d7f1b3e5a7ca70fe4ff75f0.us-east-1.aws.found.io/app/kibana#/discover/Steve-Slow-Train-Analysis-(2080s-and-2083s)?_g=(refreshInterval:(display:Off,pause:!f,section:0,value:0),time:(from:'2017-06-05T21:16:43-0600',mode:absolute,to:'2017-06-06T00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25" s="89" t="str">
        <f t="shared" si="1"/>
        <v>"C:\Program Files (x86)\AstroGrep\AstroGrep.exe" /e /r /s /spath="%USERPROFILE%\AppData\Local\Temp\OnboardLogs" /stypes="*4061*201706060*" /stext=" 04:.+((SYSTEM_STATE.+slice.+state.+changed )|(ment ac)|(multiple cpu faults)|(system.+state.+changed )|(\[timeout)|(PRM\|1\|D)|(kpr)|(kdp)|(train st.+moving)|(\|lc)|(penalty))"</v>
      </c>
      <c r="U25" s="9" t="str">
        <f t="shared" si="2"/>
        <v>4061</v>
      </c>
      <c r="V25" s="31">
        <f t="shared" si="3"/>
        <v>42892.189074074071</v>
      </c>
      <c r="W25" s="45" t="str">
        <f t="shared" si="4"/>
        <v>EC</v>
      </c>
      <c r="X25" s="45" t="str">
        <f t="shared" si="5"/>
        <v>KEEP</v>
      </c>
      <c r="Y25" s="99" t="str">
        <f t="shared" si="6"/>
        <v>echo {"issue":{"subject":"Wi-MAX data drop","project_id":79,"tracker_id":40,"status_id":1,"priority_id":2,"assigned_to_id":23,"start_date":"2017-06-05","description":"","custom_fields":[{"id":1,"name":"Subdivision","value":"EC"},{"id":4,"name":"Milepost","value":"20.434"},{"id":17,"name":"Train ID","value":"232-05"},{"id":16,"name":"Locomotive ID","value":"4061"},{"id":130,"name":"Impact","value":""},{"id":150,"name":"Time of Event (Mountain Time)","value":"22:32:16"},{"id":151,"name":"Denver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62"/>
      <c r="AA25" s="47"/>
      <c r="AB25" s="47"/>
      <c r="AC25" s="118" t="str">
        <f t="shared" si="7"/>
        <v>grep -hrE -A400 "Enforcement Action" /cygdrive/c/Users/stu/AppData/Local/Temp/OnboardLogs/RTDC4061 --include="*4061*201706060*"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"%USERPROFILE%\AppData\Local\Temp\OnboardLogs"\RTDC4061\*4061*201706060* &gt;&gt; 2017-06-05-SliceDisagreementCheck.txt</v>
      </c>
      <c r="AE25" s="148" t="str">
        <f t="shared" si="9"/>
        <v>start /low /b %USERPROFILE%\Documents\GitHub\eaglep3\Utilities\DownloadLogsFromS3.py --loco 4061 --day 2017-06-06</v>
      </c>
      <c r="AF25" s="1"/>
    </row>
    <row r="26" spans="1:32" x14ac:dyDescent="0.25">
      <c r="A26" s="31">
        <v>42891.699814814812</v>
      </c>
      <c r="B26" s="30" t="s">
        <v>580</v>
      </c>
      <c r="C26" s="30" t="s">
        <v>611</v>
      </c>
      <c r="D26" s="30" t="s">
        <v>49</v>
      </c>
      <c r="E26" s="30" t="s">
        <v>366</v>
      </c>
      <c r="F26" s="42">
        <v>0</v>
      </c>
      <c r="G26" s="42">
        <v>303</v>
      </c>
      <c r="H26" s="42">
        <v>210059</v>
      </c>
      <c r="I26" s="42">
        <v>211004</v>
      </c>
      <c r="J26" s="30" t="s">
        <v>367</v>
      </c>
      <c r="K26" s="42">
        <v>210929</v>
      </c>
      <c r="L26" s="134" t="s">
        <v>50</v>
      </c>
      <c r="M26" s="135">
        <f t="shared" si="0"/>
        <v>-39.6</v>
      </c>
      <c r="N26" s="136" t="str">
        <f>VLOOKUP(C26,'Trips&amp;Operators'!$C$1:$G$99999,5,FALSE)</f>
        <v>MCREYNOLDS KYLE</v>
      </c>
      <c r="O26" s="210" t="s">
        <v>418</v>
      </c>
      <c r="P26" s="137" t="s">
        <v>419</v>
      </c>
      <c r="Q26" s="30"/>
      <c r="R26" s="84" t="str">
        <f>VLOOKUP(C26,'Train Runs'!$A$13:$AE$9934,31,0)</f>
        <v>aws s3 cp s3://rtdc.mdm.uploadarchive.raw/RTDC4062/ "%USERPROFILE%\AppData\Local\Temp\OnboardLogs"\RTDC4062\2017-06-05 --exclude "*" --recursive --include "*20170605*" &amp; "%USERPROFILE%\Documents\GitHub\mrs-test-scripts\Headless Mode &amp; Sideloading\WalkAndUnGZ.bat" "%USERPROFILE%\AppData\Local\Temp\OnboardLogs"\RTDC4062\2017-06-05 &amp; aws s3 cp s3://rtdc.mdm.uploadarchive.raw/RTDC4062/ "%USERPROFILE%\AppData\Local\Temp\OnboardLogs"\RTDC4062\2017-06-06 --exclude "*" --recursive --include "*20170606*" &amp; "%USERPROFILE%\Documents\GitHub\mrs-test-scripts\Headless Mode &amp; Sideloading\WalkAndUnGZ.bat" "%USERPROFILE%\AppData\Local\Temp\OnboardLogs"\RTDC4062\2017-06-06</v>
      </c>
      <c r="S26" s="87" t="str">
        <f>VLOOKUP(C26,'Train Runs'!$A$13:$AE$9934,22,0)</f>
        <v>https://d0f6bd738d7f1b3e5a7ca70fe4ff75f0.us-east-1.aws.found.io/app/kibana#/discover/Steve-Slow-Train-Analysis-(2080s-and-2083s)?_g=(refreshInterval:(display:Off,pause:!f,section:0,value:0),time:(from:'2017-06-05T15:09:30-0600',mode:absolute,to:'2017-06-05T17:49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26" s="89" t="str">
        <f t="shared" si="1"/>
        <v>"C:\Program Files (x86)\AstroGrep\AstroGrep.exe" /e /r /s /spath="%USERPROFILE%\AppData\Local\Temp\OnboardLogs" /stypes="*4062*201706052*" /stext=" 22:.+((SYSTEM_STATE.+slice.+state.+changed )|(ment ac)|(multiple cpu faults)|(system.+state.+changed )|(\[timeout)|(PRM\|1\|D)|(kpr)|(kdp)|(train st.+moving)|(\|lc)|(penalty))"</v>
      </c>
      <c r="U26" s="9" t="str">
        <f t="shared" si="2"/>
        <v>4062</v>
      </c>
      <c r="V26" s="31">
        <f t="shared" si="3"/>
        <v>42891.949814814812</v>
      </c>
      <c r="W26" s="45" t="str">
        <f t="shared" si="4"/>
        <v>EC</v>
      </c>
      <c r="X26" s="45" t="str">
        <f t="shared" si="5"/>
        <v>KEEP</v>
      </c>
      <c r="Y26" s="99" t="str">
        <f t="shared" si="6"/>
        <v>echo {"issue":{"subject":"Wi-MAX data drop","project_id":79,"tracker_id":40,"status_id":1,"priority_id":2,"assigned_to_id":23,"start_date":"2017-06-05","description":"","custom_fields":[{"id":1,"name":"Subdivision","value":"EC"},{"id":4,"name":"Milepost","value":"21.0929"},{"id":17,"name":"Train ID","value":"201-05"},{"id":16,"name":"Locomotive ID","value":"4062"},{"id":130,"name":"Impact","value":""},{"id":150,"name":"Time of Event (Mountain Time)","value":"16:47:44"},{"id":151,"name":"Denver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62"/>
      <c r="AA26" s="47"/>
      <c r="AB26" s="47"/>
      <c r="AC26" s="118" t="str">
        <f t="shared" si="7"/>
        <v>grep -hrE -A400 "Enforcement Action" /cygdrive/c/Users/stu/AppData/Local/Temp/OnboardLogs/RTDC4062 --include="*4062*201706052*"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"%USERPROFILE%\AppData\Local\Temp\OnboardLogs"\RTDC4062\*4062*201706052* &gt;&gt; 2017-06-05-SliceDisagreementCheck.txt</v>
      </c>
      <c r="AE26" s="148" t="str">
        <f t="shared" si="9"/>
        <v>start /low /b %USERPROFILE%\Documents\GitHub\eaglep3\Utilities\DownloadLogsFromS3.py --loco 4062 --day 2017-06-05</v>
      </c>
      <c r="AF26" s="1"/>
    </row>
    <row r="27" spans="1:32" x14ac:dyDescent="0.25">
      <c r="A27" s="31">
        <v>42891.262175925927</v>
      </c>
      <c r="B27" s="30" t="s">
        <v>580</v>
      </c>
      <c r="C27" s="30" t="s">
        <v>581</v>
      </c>
      <c r="D27" s="30" t="s">
        <v>49</v>
      </c>
      <c r="E27" s="30" t="s">
        <v>366</v>
      </c>
      <c r="F27" s="42">
        <v>0</v>
      </c>
      <c r="G27" s="42">
        <v>450</v>
      </c>
      <c r="H27" s="42">
        <v>213258</v>
      </c>
      <c r="I27" s="42">
        <v>214866</v>
      </c>
      <c r="J27" s="30" t="s">
        <v>367</v>
      </c>
      <c r="K27" s="42">
        <v>217106</v>
      </c>
      <c r="L27" s="134" t="s">
        <v>50</v>
      </c>
      <c r="M27" s="135">
        <f t="shared" si="0"/>
        <v>1182.72</v>
      </c>
      <c r="N27" s="136" t="str">
        <f>VLOOKUP(C27,'Trips&amp;Operators'!$C$1:$G$99999,5,FALSE)</f>
        <v>MACDONALD THOMAS</v>
      </c>
      <c r="O27" s="210" t="s">
        <v>418</v>
      </c>
      <c r="P27" s="137" t="s">
        <v>419</v>
      </c>
      <c r="Q27" s="30"/>
      <c r="R27" s="84" t="str">
        <f>VLOOKUP(C27,'Train Runs'!$A$13:$AE$9934,31,0)</f>
        <v>aws s3 cp s3://rtdc.mdm.uploadarchive.raw/RTDC4062/ "%USERPROFILE%\AppData\Local\Temp\OnboardLogs"\RTDC4062\2017-06-05 --exclude "*" --recursive --include "*20170605*" &amp; "%USERPROFILE%\Documents\GitHub\mrs-test-scripts\Headless Mode &amp; Sideloading\WalkAndUnGZ.bat" "%USERPROFILE%\AppData\Local\Temp\OnboardLogs"\RTDC4062\2017-06-05 &amp; aws s3 cp s3://rtdc.mdm.uploadarchive.raw/RTDC4062/ "%USERPROFILE%\AppData\Local\Temp\OnboardLogs"\RTDC4062\2017-06-06 --exclude "*" --recursive --include "*20170606*" &amp; "%USERPROFILE%\Documents\GitHub\mrs-test-scripts\Headless Mode &amp; Sideloading\WalkAndUnGZ.bat" "%USERPROFILE%\AppData\Local\Temp\OnboardLogs"\RTDC4062\2017-06-06</v>
      </c>
      <c r="S27" s="87" t="str">
        <f>VLOOKUP(C27,'Train Runs'!$A$13:$AE$9934,22,0)</f>
        <v>https://d0f6bd738d7f1b3e5a7ca70fe4ff75f0.us-east-1.aws.found.io/app/kibana#/discover/Steve-Slow-Train-Analysis-(2080s-and-2083s)?_g=(refreshInterval:(display:Off,pause:!f,section:0,value:0),time:(from:'2017-06-05T04:38:12-0600',mode:absolute,to:'2017-06-05T07:22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27" s="89" t="str">
        <f t="shared" si="1"/>
        <v>"C:\Program Files (x86)\AstroGrep\AstroGrep.exe" /e /r /s /spath="%USERPROFILE%\AppData\Local\Temp\OnboardLogs" /stypes="*4062*201706051*" /stext=" 12:.+((SYSTEM_STATE.+slice.+state.+changed )|(ment ac)|(multiple cpu faults)|(system.+state.+changed )|(\[timeout)|(PRM\|1\|D)|(kpr)|(kdp)|(train st.+moving)|(\|lc)|(penalty))"</v>
      </c>
      <c r="U27" s="9" t="str">
        <f t="shared" si="2"/>
        <v>4062</v>
      </c>
      <c r="V27" s="31">
        <f t="shared" si="3"/>
        <v>42891.512175925927</v>
      </c>
      <c r="W27" s="45" t="str">
        <f t="shared" si="4"/>
        <v>EC</v>
      </c>
      <c r="X27" s="45" t="str">
        <f t="shared" si="5"/>
        <v>KEEP</v>
      </c>
      <c r="Y27" s="99" t="str">
        <f t="shared" si="6"/>
        <v>echo {"issue":{"subject":"Wi-MAX data drop","project_id":79,"tracker_id":40,"status_id":1,"priority_id":2,"assigned_to_id":23,"start_date":"2017-06-05","description":"","custom_fields":[{"id":1,"name":"Subdivision","value":"EC"},{"id":4,"name":"Milepost","value":"21.7106"},{"id":17,"name":"Train ID","value":"117-05"},{"id":16,"name":"Locomotive ID","value":"4062"},{"id":130,"name":"Impact","value":""},{"id":150,"name":"Time of Event (Mountain Time)","value":"06:17:32"},{"id":151,"name":"Denver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62"/>
      <c r="AA27" s="47"/>
      <c r="AB27" s="47"/>
      <c r="AC27" s="118" t="str">
        <f t="shared" si="7"/>
        <v>grep -hrE -A400 "Enforcement Action" /cygdrive/c/Users/stu/AppData/Local/Temp/OnboardLogs/RTDC4062 --include="*4062*201706051*"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"%USERPROFILE%\AppData\Local\Temp\OnboardLogs"\RTDC4062\*4062*201706051* &gt;&gt; 2017-06-05-SliceDisagreementCheck.txt</v>
      </c>
      <c r="AE27" s="148" t="str">
        <f t="shared" si="9"/>
        <v>start /low /b %USERPROFILE%\Documents\GitHub\eaglep3\Utilities\DownloadLogsFromS3.py --loco 4062 --day 2017-06-05</v>
      </c>
      <c r="AF27" s="1"/>
    </row>
    <row r="28" spans="1:32" x14ac:dyDescent="0.25">
      <c r="A28" s="31">
        <v>42891.244872685187</v>
      </c>
      <c r="B28" s="30" t="s">
        <v>443</v>
      </c>
      <c r="C28" s="30" t="s">
        <v>579</v>
      </c>
      <c r="D28" s="30" t="s">
        <v>49</v>
      </c>
      <c r="E28" s="30" t="s">
        <v>424</v>
      </c>
      <c r="F28" s="42">
        <v>0</v>
      </c>
      <c r="G28" s="42">
        <v>598</v>
      </c>
      <c r="H28" s="42">
        <v>123059</v>
      </c>
      <c r="I28" s="42">
        <v>125745</v>
      </c>
      <c r="J28" s="30" t="s">
        <v>420</v>
      </c>
      <c r="K28" s="42">
        <v>126678</v>
      </c>
      <c r="L28" s="134" t="s">
        <v>50</v>
      </c>
      <c r="M28" s="135">
        <f t="shared" si="0"/>
        <v>492.62400000000002</v>
      </c>
      <c r="N28" s="136" t="str">
        <f>VLOOKUP(C28,'Trips&amp;Operators'!$C$1:$G$99999,5,FALSE)</f>
        <v>THOMPSON LESTER</v>
      </c>
      <c r="O28" s="210" t="s">
        <v>418</v>
      </c>
      <c r="P28" s="137" t="s">
        <v>419</v>
      </c>
      <c r="Q28" s="30"/>
      <c r="R28" s="84" t="str">
        <f>VLOOKUP(C28,'Train Runs'!$A$13:$AE$9934,31,0)</f>
        <v>aws s3 cp s3://rtdc.mdm.uploadarchive.raw/RTDC4020/ "%USERPROFILE%\AppData\Local\Temp\OnboardLogs"\RTDC4020\2017-06-05 --exclude "*" --recursive --include "*20170605*" &amp; "%USERPROFILE%\Documents\GitHub\mrs-test-scripts\Headless Mode &amp; Sideloading\WalkAndUnGZ.bat" "%USERPROFILE%\AppData\Local\Temp\OnboardLogs"\RTDC4020\2017-06-05 &amp; aws s3 cp s3://rtdc.mdm.uploadarchive.raw/RTDC4020/ "%USERPROFILE%\AppData\Local\Temp\OnboardLogs"\RTDC4020\2017-06-06 --exclude "*" --recursive --include "*20170606*" &amp; "%USERPROFILE%\Documents\GitHub\mrs-test-scripts\Headless Mode &amp; Sideloading\WalkAndUnGZ.bat" "%USERPROFILE%\AppData\Local\Temp\OnboardLogs"\RTDC4020\2017-06-06</v>
      </c>
      <c r="S28" s="87" t="str">
        <f>VLOOKUP(C28,'Train Runs'!$A$13:$AE$9934,22,0)</f>
        <v>https://d0f6bd738d7f1b3e5a7ca70fe4ff75f0.us-east-1.aws.found.io/app/kibana#/discover/Steve-Slow-Train-Analysis-(2080s-and-2083s)?_g=(refreshInterval:(display:Off,pause:!f,section:0,value:0),time:(from:'2017-06-05T04:25:25-0600',mode:absolute,to:'2017-06-05T07:01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8" s="89" t="str">
        <f t="shared" si="1"/>
        <v>"C:\Program Files (x86)\AstroGrep\AstroGrep.exe" /e /r /s /spath="%USERPROFILE%\AppData\Local\Temp\OnboardLogs" /stypes="*4020*201706051*" /stext=" 11:.+((SYSTEM_STATE.+slice.+state.+changed )|(ment ac)|(multiple cpu faults)|(system.+state.+changed )|(\[timeout)|(PRM\|1\|D)|(kpr)|(kdp)|(train st.+moving)|(\|lc)|(penalty))"</v>
      </c>
      <c r="U28" s="9" t="str">
        <f t="shared" si="2"/>
        <v>4020</v>
      </c>
      <c r="V28" s="31">
        <f t="shared" si="3"/>
        <v>42891.494872685187</v>
      </c>
      <c r="W28" s="45" t="str">
        <f t="shared" si="4"/>
        <v>EC</v>
      </c>
      <c r="X28" s="45" t="str">
        <f t="shared" si="5"/>
        <v>KEEP</v>
      </c>
      <c r="Y28" s="99" t="str">
        <f t="shared" si="6"/>
        <v>echo {"issue":{"subject":"Wi-MAX data drop","project_id":79,"tracker_id":40,"status_id":1,"priority_id":2,"assigned_to_id":23,"start_date":"2017-06-05","description":"","custom_fields":[{"id":1,"name":"Subdivision","value":"EC"},{"id":4,"name":"Milepost","value":"12.6678"},{"id":17,"name":"Train ID","value":"115-05"},{"id":16,"name":"Locomotive ID","value":"4020"},{"id":130,"name":"Impact","value":""},{"id":150,"name":"Time of Event (Mountain Time)","value":"05:52:37"},{"id":151,"name":"Denver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62"/>
      <c r="AA28" s="47"/>
      <c r="AB28" s="47"/>
      <c r="AC28" s="118" t="str">
        <f t="shared" si="7"/>
        <v>grep -hrE -A400 "Enforcement Action" /cygdrive/c/Users/stu/AppData/Local/Temp/OnboardLogs/RTDC4020 --include="*4020*201706051*"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"%USERPROFILE%\AppData\Local\Temp\OnboardLogs"\RTDC4020\*4020*201706051* &gt;&gt; 2017-06-05-SliceDisagreementCheck.txt</v>
      </c>
      <c r="AE28" s="148" t="str">
        <f t="shared" si="9"/>
        <v>start /low /b %USERPROFILE%\Documents\GitHub\eaglep3\Utilities\DownloadLogsFromS3.py --loco 4020 --day 2017-06-05</v>
      </c>
      <c r="AF28" s="1"/>
    </row>
    <row r="29" spans="1:32" x14ac:dyDescent="0.25">
      <c r="A29" s="31">
        <v>42891.335914351854</v>
      </c>
      <c r="B29" s="30" t="s">
        <v>580</v>
      </c>
      <c r="C29" s="30" t="s">
        <v>584</v>
      </c>
      <c r="D29" s="30" t="s">
        <v>98</v>
      </c>
      <c r="E29" s="30" t="s">
        <v>424</v>
      </c>
      <c r="F29" s="42">
        <v>0</v>
      </c>
      <c r="G29" s="42">
        <v>280</v>
      </c>
      <c r="H29" s="42">
        <v>228714</v>
      </c>
      <c r="I29" s="42">
        <v>229377</v>
      </c>
      <c r="J29" s="30" t="s">
        <v>420</v>
      </c>
      <c r="K29" s="42">
        <v>228572</v>
      </c>
      <c r="L29" s="134" t="s">
        <v>50</v>
      </c>
      <c r="M29" s="135">
        <f t="shared" si="0"/>
        <v>-425.04</v>
      </c>
      <c r="N29" s="136" t="str">
        <f>VLOOKUP(C29,'Trips&amp;Operators'!$C$1:$G$99999,5,FALSE)</f>
        <v>MACDONALD THOMAS</v>
      </c>
      <c r="O29" s="210" t="s">
        <v>418</v>
      </c>
      <c r="P29" s="137" t="s">
        <v>419</v>
      </c>
      <c r="Q29" s="30"/>
      <c r="R29" s="84" t="str">
        <f>VLOOKUP(C29,'Train Runs'!$A$13:$AE$9934,31,0)</f>
        <v>aws s3 cp s3://rtdc.mdm.uploadarchive.raw/RTDC4062/ "%USERPROFILE%\AppData\Local\Temp\OnboardLogs"\RTDC4062\2017-06-05 --exclude "*" --recursive --include "*20170605*" &amp; "%USERPROFILE%\Documents\GitHub\mrs-test-scripts\Headless Mode &amp; Sideloading\WalkAndUnGZ.bat" "%USERPROFILE%\AppData\Local\Temp\OnboardLogs"\RTDC4062\2017-06-05 &amp; aws s3 cp s3://rtdc.mdm.uploadarchive.raw/RTDC4062/ "%USERPROFILE%\AppData\Local\Temp\OnboardLogs"\RTDC4062\2017-06-06 --exclude "*" --recursive --include "*20170606*" &amp; "%USERPROFILE%\Documents\GitHub\mrs-test-scripts\Headless Mode &amp; Sideloading\WalkAndUnGZ.bat" "%USERPROFILE%\AppData\Local\Temp\OnboardLogs"\RTDC4062\2017-06-06</v>
      </c>
      <c r="S29" s="87" t="str">
        <f>VLOOKUP(C29,'Train Runs'!$A$13:$AE$9934,22,0)</f>
        <v>https://d0f6bd738d7f1b3e5a7ca70fe4ff75f0.us-east-1.aws.found.io/app/kibana#/discover/Steve-Slow-Train-Analysis-(2080s-and-2083s)?_g=(refreshInterval:(display:Off,pause:!f,section:0,value:0),time:(from:'2017-06-05T06:24:27-0600',mode:absolute,to:'2017-06-05T09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29" s="89" t="str">
        <f t="shared" si="1"/>
        <v>"C:\Program Files (x86)\AstroGrep\AstroGrep.exe" /e /r /s /spath="%USERPROFILE%\AppData\Local\Temp\OnboardLogs" /stypes="*4062*201706051*" /stext=" 14:.+((SYSTEM_STATE.+slice.+state.+changed )|(ment ac)|(multiple cpu faults)|(system.+state.+changed )|(\[timeout)|(PRM\|1\|D)|(kpr)|(kdp)|(train st.+moving)|(\|lc)|(penalty))"</v>
      </c>
      <c r="U29" s="9" t="str">
        <f t="shared" si="2"/>
        <v>4062</v>
      </c>
      <c r="V29" s="31">
        <f t="shared" si="3"/>
        <v>42891.585914351854</v>
      </c>
      <c r="W29" s="45" t="str">
        <f t="shared" si="4"/>
        <v>EC</v>
      </c>
      <c r="X29" s="45" t="str">
        <f t="shared" si="5"/>
        <v>KEEP</v>
      </c>
      <c r="Y29" s="99" t="str">
        <f t="shared" si="6"/>
        <v>echo {"issue":{"subject":"Wi-MAX data drop","project_id":79,"tracker_id":40,"status_id":1,"priority_id":2,"assigned_to_id":23,"start_date":"2017-06-05","description":"","custom_fields":[{"id":1,"name":"Subdivision","value":"EC"},{"id":4,"name":"Milepost","value":"22.8572"},{"id":17,"name":"Train ID","value":"131-05"},{"id":16,"name":"Locomotive ID","value":"4062"},{"id":130,"name":"Impact","value":""},{"id":150,"name":"Time of Event (Mountain Time)","value":"08:03:43"},{"id":151,"name":"Denver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62"/>
      <c r="AA29" s="47"/>
      <c r="AB29" s="47"/>
      <c r="AC29" s="118" t="str">
        <f t="shared" si="7"/>
        <v>grep -hrE -A400 "Enforcement Action" /cygdrive/c/Users/stu/AppData/Local/Temp/OnboardLogs/RTDC4062 --include="*4062*201706051*"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"%USERPROFILE%\AppData\Local\Temp\OnboardLogs"\RTDC4062\*4062*201706051* &gt;&gt; 2017-06-05-SliceDisagreementCheck.txt</v>
      </c>
      <c r="AE29" s="148" t="str">
        <f t="shared" si="9"/>
        <v>start /low /b %USERPROFILE%\Documents\GitHub\eaglep3\Utilities\DownloadLogsFromS3.py --loco 4062 --day 2017-06-05</v>
      </c>
      <c r="AF29" s="1"/>
    </row>
    <row r="30" spans="1:32" x14ac:dyDescent="0.25">
      <c r="A30" s="31">
        <v>42891.443032407406</v>
      </c>
      <c r="B30" s="30" t="s">
        <v>441</v>
      </c>
      <c r="C30" s="30" t="s">
        <v>592</v>
      </c>
      <c r="D30" s="30" t="s">
        <v>49</v>
      </c>
      <c r="E30" s="30" t="s">
        <v>183</v>
      </c>
      <c r="F30" s="42">
        <v>0</v>
      </c>
      <c r="G30" s="42">
        <v>70</v>
      </c>
      <c r="H30" s="42">
        <v>240</v>
      </c>
      <c r="I30" s="42">
        <v>169</v>
      </c>
      <c r="J30" s="30" t="s">
        <v>184</v>
      </c>
      <c r="K30" s="42">
        <v>1</v>
      </c>
      <c r="L30" s="134" t="s">
        <v>51</v>
      </c>
      <c r="M30" s="135">
        <f t="shared" si="0"/>
        <v>88.703999999999994</v>
      </c>
      <c r="N30" s="136" t="str">
        <f>VLOOKUP(C30,'Trips&amp;Operators'!$C$1:$G$99999,5,FALSE)</f>
        <v>THOMPSON LESTER</v>
      </c>
      <c r="O30" s="210" t="s">
        <v>182</v>
      </c>
      <c r="P30" s="137"/>
      <c r="Q30" s="30"/>
      <c r="R30" s="84" t="str">
        <f>VLOOKUP(C30,'Train Runs'!$A$13:$AE$9934,31,0)</f>
        <v>aws s3 cp s3://rtdc.mdm.uploadarchive.raw/RTDC4019/ "%USERPROFILE%\AppData\Local\Temp\OnboardLogs"\RTDC4019\2017-06-05 --exclude "*" --recursive --include "*20170605*" &amp; "%USERPROFILE%\Documents\GitHub\mrs-test-scripts\Headless Mode &amp; Sideloading\WalkAndUnGZ.bat" "%USERPROFILE%\AppData\Local\Temp\OnboardLogs"\RTDC4019\2017-06-05 &amp; aws s3 cp s3://rtdc.mdm.uploadarchive.raw/RTDC4019/ "%USERPROFILE%\AppData\Local\Temp\OnboardLogs"\RTDC4019\2017-06-06 --exclude "*" --recursive --include "*20170606*" &amp; "%USERPROFILE%\Documents\GitHub\mrs-test-scripts\Headless Mode &amp; Sideloading\WalkAndUnGZ.bat" "%USERPROFILE%\AppData\Local\Temp\OnboardLogs"\RTDC4019\2017-06-06</v>
      </c>
      <c r="S30" s="87" t="str">
        <f>VLOOKUP(C30,'Train Runs'!$A$13:$AE$9934,22,0)</f>
        <v>https://d0f6bd738d7f1b3e5a7ca70fe4ff75f0.us-east-1.aws.found.io/app/kibana#/discover/Steve-Slow-Train-Analysis-(2080s-and-2083s)?_g=(refreshInterval:(display:Off,pause:!f,section:0,value:0),time:(from:'2017-06-05T08:53:40-0600',mode:absolute,to:'2017-06-05T11:37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0" s="89" t="str">
        <f t="shared" si="1"/>
        <v>"C:\Program Files (x86)\AstroGrep\AstroGrep.exe" /e /r /s /spath="%USERPROFILE%\AppData\Local\Temp\OnboardLogs" /stypes="*4019*201706051*" /stext=" 16:.+((SYSTEM_STATE.+slice.+state.+changed )|(ment ac)|(multiple cpu faults)|(system.+state.+changed )|(\[timeout)|(PRM\|1\|D)|(kpr)|(kdp)|(train st.+moving)|(\|lc)|(penalty))"</v>
      </c>
      <c r="U30" s="9" t="str">
        <f t="shared" si="2"/>
        <v>4019</v>
      </c>
      <c r="V30" s="31">
        <f t="shared" si="3"/>
        <v>42891.693032407406</v>
      </c>
      <c r="W30" s="45" t="str">
        <f t="shared" si="4"/>
        <v>EC</v>
      </c>
      <c r="X30" s="45" t="str">
        <f t="shared" si="5"/>
        <v>KEEP</v>
      </c>
      <c r="Y30" s="99" t="str">
        <f t="shared" si="6"/>
        <v>echo {"issue":{"subject":"","project_id":79,"tracker_id":40,"status_id":1,"priority_id":2,"assigned_to_id":23,"start_date":"2017-06-05","description":"","custom_fields":[{"id":1,"name":"Subdivision","value":"EC"},{"id":4,"name":"Milepost","value":"0.0001"},{"id":17,"name":"Train ID","value":"144-05"},{"id":16,"name":"Locomotive ID","value":"4019"},{"id":130,"name":"Impact","value":""},{"id":150,"name":"Time of Event (Mountain Time)","value":"10:37:58"},{"id":151,"name":"Denver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62"/>
      <c r="AA30" s="47"/>
      <c r="AB30" s="47"/>
      <c r="AC30" s="118" t="str">
        <f t="shared" si="7"/>
        <v>grep -hrE -A400 "Enforcement Action" /cygdrive/c/Users/stu/AppData/Local/Temp/OnboardLogs/RTDC4019 --include="*4019*201706051*"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"%USERPROFILE%\AppData\Local\Temp\OnboardLogs"\RTDC4019\*4019*201706051* &gt;&gt; 2017-06-05-SliceDisagreementCheck.txt</v>
      </c>
      <c r="AE30" s="148" t="str">
        <f t="shared" si="9"/>
        <v>start /low /b %USERPROFILE%\Documents\GitHub\eaglep3\Utilities\DownloadLogsFromS3.py --loco 4019 --day 2017-06-05</v>
      </c>
      <c r="AF30" s="1"/>
    </row>
    <row r="31" spans="1:32" x14ac:dyDescent="0.25">
      <c r="A31" s="31">
        <v>42891.724768518521</v>
      </c>
      <c r="B31" s="30" t="s">
        <v>467</v>
      </c>
      <c r="C31" s="30" t="s">
        <v>614</v>
      </c>
      <c r="D31" s="30" t="s">
        <v>49</v>
      </c>
      <c r="E31" s="30" t="s">
        <v>183</v>
      </c>
      <c r="F31" s="42">
        <v>0</v>
      </c>
      <c r="G31" s="42">
        <v>48</v>
      </c>
      <c r="H31" s="42">
        <v>152</v>
      </c>
      <c r="I31" s="42">
        <v>101</v>
      </c>
      <c r="J31" s="30" t="s">
        <v>184</v>
      </c>
      <c r="K31" s="42">
        <v>1</v>
      </c>
      <c r="L31" s="134" t="s">
        <v>51</v>
      </c>
      <c r="M31" s="135">
        <f t="shared" si="0"/>
        <v>52.8</v>
      </c>
      <c r="N31" s="136" t="str">
        <f>VLOOKUP(C31,'Trips&amp;Operators'!$C$1:$G$99999,5,FALSE)</f>
        <v>BRANDNER MELINDA</v>
      </c>
      <c r="O31" s="210" t="s">
        <v>182</v>
      </c>
      <c r="P31" s="137"/>
      <c r="Q31" s="30"/>
      <c r="R31" s="84" t="str">
        <f>VLOOKUP(C31,'Train Runs'!$A$13:$AE$9934,31,0)</f>
        <v>aws s3 cp s3://rtdc.mdm.uploadarchive.raw/RTDC4009/ "%USERPROFILE%\AppData\Local\Temp\OnboardLogs"\RTDC4009\2017-06-05 --exclude "*" --recursive --include "*20170605*" &amp; "%USERPROFILE%\Documents\GitHub\mrs-test-scripts\Headless Mode &amp; Sideloading\WalkAndUnGZ.bat" "%USERPROFILE%\AppData\Local\Temp\OnboardLogs"\RTDC4009\2017-06-05 &amp; aws s3 cp s3://rtdc.mdm.uploadarchive.raw/RTDC4009/ "%USERPROFILE%\AppData\Local\Temp\OnboardLogs"\RTDC4009\2017-06-06 --exclude "*" --recursive --include "*20170606*" &amp; "%USERPROFILE%\Documents\GitHub\mrs-test-scripts\Headless Mode &amp; Sideloading\WalkAndUnGZ.bat" "%USERPROFILE%\AppData\Local\Temp\OnboardLogs"\RTDC4009\2017-06-06</v>
      </c>
      <c r="S31" s="87" t="str">
        <f>VLOOKUP(C31,'Train Runs'!$A$13:$AE$9934,22,0)</f>
        <v>https://d0f6bd738d7f1b3e5a7ca70fe4ff75f0.us-east-1.aws.found.io/app/kibana#/discover/Steve-Slow-Train-Analysis-(2080s-and-2083s)?_g=(refreshInterval:(display:Off,pause:!f,section:0,value:0),time:(from:'2017-06-05T15:32:28-0600',mode:absolute,to:'2017-06-05T18:23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31" s="89" t="str">
        <f t="shared" si="1"/>
        <v>"C:\Program Files (x86)\AstroGrep\AstroGrep.exe" /e /r /s /spath="%USERPROFILE%\AppData\Local\Temp\OnboardLogs" /stypes="*4009*201706052*" /stext=" 23:.+((SYSTEM_STATE.+slice.+state.+changed )|(ment ac)|(multiple cpu faults)|(system.+state.+changed )|(\[timeout)|(PRM\|1\|D)|(kpr)|(kdp)|(train st.+moving)|(\|lc)|(penalty))"</v>
      </c>
      <c r="U31" s="9" t="str">
        <f t="shared" si="2"/>
        <v>4009</v>
      </c>
      <c r="V31" s="31">
        <f t="shared" si="3"/>
        <v>42891.974768518521</v>
      </c>
      <c r="W31" s="45" t="str">
        <f t="shared" si="4"/>
        <v>EC</v>
      </c>
      <c r="X31" s="45" t="str">
        <f t="shared" si="5"/>
        <v>KEEP</v>
      </c>
      <c r="Y31" s="99" t="str">
        <f t="shared" si="6"/>
        <v>echo {"issue":{"subject":"","project_id":79,"tracker_id":40,"status_id":1,"priority_id":2,"assigned_to_id":23,"start_date":"2017-06-05","description":"","custom_fields":[{"id":1,"name":"Subdivision","value":"EC"},{"id":4,"name":"Milepost","value":"0.0001"},{"id":17,"name":"Train ID","value":"198-05"},{"id":16,"name":"Locomotive ID","value":"4009"},{"id":130,"name":"Impact","value":""},{"id":150,"name":"Time of Event (Mountain Time)","value":"17:23:40"},{"id":151,"name":"Denver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62"/>
      <c r="AA31" s="47"/>
      <c r="AB31" s="47"/>
      <c r="AC31" s="118" t="str">
        <f t="shared" si="7"/>
        <v>grep -hrE -A400 "Enforcement Action" /cygdrive/c/Users/stu/AppData/Local/Temp/OnboardLogs/RTDC4009 --include="*4009*201706052*"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"%USERPROFILE%\AppData\Local\Temp\OnboardLogs"\RTDC4009\*4009*201706052* &gt;&gt; 2017-06-05-SliceDisagreementCheck.txt</v>
      </c>
      <c r="AE31" s="148" t="str">
        <f t="shared" si="9"/>
        <v>start /low /b %USERPROFILE%\Documents\GitHub\eaglep3\Utilities\DownloadLogsFromS3.py --loco 4009 --day 2017-06-05</v>
      </c>
      <c r="AF31" s="1"/>
    </row>
    <row r="32" spans="1:32" x14ac:dyDescent="0.25">
      <c r="A32" s="31">
        <v>42891.776689814818</v>
      </c>
      <c r="B32" s="30" t="s">
        <v>488</v>
      </c>
      <c r="C32" s="30" t="s">
        <v>617</v>
      </c>
      <c r="D32" s="30" t="s">
        <v>49</v>
      </c>
      <c r="E32" s="30" t="s">
        <v>183</v>
      </c>
      <c r="F32" s="42">
        <v>0</v>
      </c>
      <c r="G32" s="42">
        <v>63</v>
      </c>
      <c r="H32" s="42">
        <v>156</v>
      </c>
      <c r="I32" s="42">
        <v>98</v>
      </c>
      <c r="J32" s="30" t="s">
        <v>184</v>
      </c>
      <c r="K32" s="42">
        <v>1</v>
      </c>
      <c r="L32" s="134" t="s">
        <v>51</v>
      </c>
      <c r="M32" s="135">
        <f t="shared" si="0"/>
        <v>51.216000000000001</v>
      </c>
      <c r="N32" s="136" t="str">
        <f>VLOOKUP(C32,'Trips&amp;Operators'!$C$1:$G$99999,5,FALSE)</f>
        <v>LEVERE CRAIG</v>
      </c>
      <c r="O32" s="210" t="s">
        <v>182</v>
      </c>
      <c r="P32" s="137"/>
      <c r="Q32" s="30"/>
      <c r="R32" s="84" t="str">
        <f>VLOOKUP(C32,'Train Runs'!$A$13:$AE$9934,31,0)</f>
        <v>aws s3 cp s3://rtdc.mdm.uploadarchive.raw/RTDC4007/ "%USERPROFILE%\AppData\Local\Temp\OnboardLogs"\RTDC4007\2017-06-05 --exclude "*" --recursive --include "*20170605*" &amp; "%USERPROFILE%\Documents\GitHub\mrs-test-scripts\Headless Mode &amp; Sideloading\WalkAndUnGZ.bat" "%USERPROFILE%\AppData\Local\Temp\OnboardLogs"\RTDC4007\2017-06-05 &amp; aws s3 cp s3://rtdc.mdm.uploadarchive.raw/RTDC4007/ "%USERPROFILE%\AppData\Local\Temp\OnboardLogs"\RTDC4007\2017-06-06 --exclude "*" --recursive --include "*20170606*" &amp; "%USERPROFILE%\Documents\GitHub\mrs-test-scripts\Headless Mode &amp; Sideloading\WalkAndUnGZ.bat" "%USERPROFILE%\AppData\Local\Temp\OnboardLogs"\RTDC4007\2017-06-06</v>
      </c>
      <c r="S32" s="87" t="str">
        <f>VLOOKUP(C32,'Train Runs'!$A$13:$AE$9934,22,0)</f>
        <v>https://d0f6bd738d7f1b3e5a7ca70fe4ff75f0.us-east-1.aws.found.io/app/kibana#/discover/Steve-Slow-Train-Analysis-(2080s-and-2083s)?_g=(refreshInterval:(display:Off,pause:!f,section:0,value:0),time:(from:'2017-06-05T16:50:10-0600',mode:absolute,to:'2017-06-05T19:38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2" s="89" t="str">
        <f t="shared" si="1"/>
        <v>"C:\Program Files (x86)\AstroGrep\AstroGrep.exe" /e /r /s /spath="%USERPROFILE%\AppData\Local\Temp\OnboardLogs" /stypes="*4007*201706060*" /stext=" 00:.+((SYSTEM_STATE.+slice.+state.+changed )|(ment ac)|(multiple cpu faults)|(system.+state.+changed )|(\[timeout)|(PRM\|1\|D)|(kpr)|(kdp)|(train st.+moving)|(\|lc)|(penalty))"</v>
      </c>
      <c r="U32" s="9" t="str">
        <f t="shared" si="2"/>
        <v>4007</v>
      </c>
      <c r="V32" s="31">
        <f t="shared" si="3"/>
        <v>42892.026689814818</v>
      </c>
      <c r="W32" s="45" t="str">
        <f t="shared" si="4"/>
        <v>EC</v>
      </c>
      <c r="X32" s="45" t="str">
        <f t="shared" si="5"/>
        <v>KEEP</v>
      </c>
      <c r="Y32" s="99" t="str">
        <f t="shared" si="6"/>
        <v>echo {"issue":{"subject":"","project_id":79,"tracker_id":40,"status_id":1,"priority_id":2,"assigned_to_id":23,"start_date":"2017-06-05","description":"","custom_fields":[{"id":1,"name":"Subdivision","value":"EC"},{"id":4,"name":"Milepost","value":"0.0001"},{"id":17,"name":"Train ID","value":"208-05"},{"id":16,"name":"Locomotive ID","value":"4007"},{"id":130,"name":"Impact","value":""},{"id":150,"name":"Time of Event (Mountain Time)","value":"18:38:26"},{"id":151,"name":"Denver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62"/>
      <c r="AA32" s="47"/>
      <c r="AB32" s="47"/>
      <c r="AC32" s="118" t="str">
        <f t="shared" si="7"/>
        <v>grep -hrE -A400 "Enforcement Action" /cygdrive/c/Users/stu/AppData/Local/Temp/OnboardLogs/RTDC4007 --include="*4007*201706060*"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"%USERPROFILE%\AppData\Local\Temp\OnboardLogs"\RTDC4007\*4007*201706060* &gt;&gt; 2017-06-05-SliceDisagreementCheck.txt</v>
      </c>
      <c r="AE32" s="148" t="str">
        <f t="shared" si="9"/>
        <v>start /low /b %USERPROFILE%\Documents\GitHub\eaglep3\Utilities\DownloadLogsFromS3.py --loco 4007 --day 2017-06-06</v>
      </c>
      <c r="AF32" s="1"/>
    </row>
    <row r="33" spans="1:32" x14ac:dyDescent="0.25">
      <c r="A33" s="31">
        <v>42891.921238425923</v>
      </c>
      <c r="B33" s="30" t="s">
        <v>425</v>
      </c>
      <c r="C33" s="30" t="s">
        <v>625</v>
      </c>
      <c r="D33" s="30" t="s">
        <v>49</v>
      </c>
      <c r="E33" s="30" t="s">
        <v>183</v>
      </c>
      <c r="F33" s="42">
        <v>0</v>
      </c>
      <c r="G33" s="42">
        <v>52</v>
      </c>
      <c r="H33" s="42">
        <v>194</v>
      </c>
      <c r="I33" s="42">
        <v>149</v>
      </c>
      <c r="J33" s="30" t="s">
        <v>184</v>
      </c>
      <c r="K33" s="42">
        <v>1</v>
      </c>
      <c r="L33" s="134" t="s">
        <v>51</v>
      </c>
      <c r="M33" s="135">
        <f t="shared" si="0"/>
        <v>78.144000000000005</v>
      </c>
      <c r="N33" s="136" t="str">
        <f>VLOOKUP(C33,'Trips&amp;Operators'!$C$1:$G$99999,5,FALSE)</f>
        <v>GUZMAN DANNY</v>
      </c>
      <c r="O33" s="210" t="s">
        <v>182</v>
      </c>
      <c r="P33" s="137"/>
      <c r="Q33" s="30"/>
      <c r="R33" s="84" t="str">
        <f>VLOOKUP(C33,'Train Runs'!$A$13:$AE$9934,31,0)</f>
        <v>aws s3 cp s3://rtdc.mdm.uploadarchive.raw/RTDC4041/ "%USERPROFILE%\AppData\Local\Temp\OnboardLogs"\RTDC4041\2017-06-05 --exclude "*" --recursive --include "*20170605*" &amp; "%USERPROFILE%\Documents\GitHub\mrs-test-scripts\Headless Mode &amp; Sideloading\WalkAndUnGZ.bat" "%USERPROFILE%\AppData\Local\Temp\OnboardLogs"\RTDC4041\2017-06-05 &amp; aws s3 cp s3://rtdc.mdm.uploadarchive.raw/RTDC4041/ "%USERPROFILE%\AppData\Local\Temp\OnboardLogs"\RTDC4041\2017-06-06 --exclude "*" --recursive --include "*20170606*" &amp; "%USERPROFILE%\Documents\GitHub\mrs-test-scripts\Headless Mode &amp; Sideloading\WalkAndUnGZ.bat" "%USERPROFILE%\AppData\Local\Temp\OnboardLogs"\RTDC4041\2017-06-06</v>
      </c>
      <c r="S33" s="87" t="str">
        <f>VLOOKUP(C33,'Train Runs'!$A$13:$AE$9934,22,0)</f>
        <v>https://d0f6bd738d7f1b3e5a7ca70fe4ff75f0.us-east-1.aws.found.io/app/kibana#/discover/Steve-Slow-Train-Analysis-(2080s-and-2083s)?_g=(refreshInterval:(display:Off,pause:!f,section:0,value:0),time:(from:'2017-06-05T20:15:29-0600',mode:absolute,to:'2017-06-05T23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33" s="89" t="str">
        <f t="shared" si="1"/>
        <v>"C:\Program Files (x86)\AstroGrep\AstroGrep.exe" /e /r /s /spath="%USERPROFILE%\AppData\Local\Temp\OnboardLogs" /stypes="*4041*201706060*" /stext=" 04:.+((SYSTEM_STATE.+slice.+state.+changed )|(ment ac)|(multiple cpu faults)|(system.+state.+changed )|(\[timeout)|(PRM\|1\|D)|(kpr)|(kdp)|(train st.+moving)|(\|lc)|(penalty))"</v>
      </c>
      <c r="U33" s="9" t="str">
        <f t="shared" si="2"/>
        <v>4041</v>
      </c>
      <c r="V33" s="31">
        <f t="shared" si="3"/>
        <v>42892.171238425923</v>
      </c>
      <c r="W33" s="45" t="str">
        <f t="shared" si="4"/>
        <v>EC</v>
      </c>
      <c r="X33" s="45" t="str">
        <f t="shared" si="5"/>
        <v>KEEP</v>
      </c>
      <c r="Y33" s="99" t="str">
        <f t="shared" si="6"/>
        <v>echo {"issue":{"subject":"","project_id":79,"tracker_id":40,"status_id":1,"priority_id":2,"assigned_to_id":23,"start_date":"2017-06-05","description":"","custom_fields":[{"id":1,"name":"Subdivision","value":"EC"},{"id":4,"name":"Milepost","value":"0.0001"},{"id":17,"name":"Train ID","value":"228-05"},{"id":16,"name":"Locomotive ID","value":"4041"},{"id":130,"name":"Impact","value":""},{"id":150,"name":"Time of Event (Mountain Time)","value":"22:06:35"},{"id":151,"name":"Denver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62"/>
      <c r="AA33" s="47"/>
      <c r="AB33" s="47"/>
      <c r="AC33" s="118" t="str">
        <f t="shared" si="7"/>
        <v>grep -hrE -A400 "Enforcement Action" /cygdrive/c/Users/stu/AppData/Local/Temp/OnboardLogs/RTDC4041 --include="*4041*201706060*"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"%USERPROFILE%\AppData\Local\Temp\OnboardLogs"\RTDC4041\*4041*201706060* &gt;&gt; 2017-06-05-SliceDisagreementCheck.txt</v>
      </c>
      <c r="AE33" s="148" t="str">
        <f t="shared" si="9"/>
        <v>start /low /b %USERPROFILE%\Documents\GitHub\eaglep3\Utilities\DownloadLogsFromS3.py --loco 4041 --day 2017-06-06</v>
      </c>
      <c r="AF33" s="1"/>
    </row>
    <row r="34" spans="1:32" x14ac:dyDescent="0.25">
      <c r="A34" s="31">
        <v>42891.805787037039</v>
      </c>
      <c r="B34" s="30" t="s">
        <v>620</v>
      </c>
      <c r="C34" s="30" t="s">
        <v>621</v>
      </c>
      <c r="D34" s="30" t="s">
        <v>49</v>
      </c>
      <c r="E34" s="30" t="s">
        <v>183</v>
      </c>
      <c r="F34" s="42">
        <v>0</v>
      </c>
      <c r="G34" s="42">
        <v>85</v>
      </c>
      <c r="H34" s="42">
        <v>1138</v>
      </c>
      <c r="I34" s="42">
        <v>1041</v>
      </c>
      <c r="J34" s="30" t="s">
        <v>184</v>
      </c>
      <c r="K34" s="42">
        <v>826</v>
      </c>
      <c r="L34" s="134" t="s">
        <v>51</v>
      </c>
      <c r="M34" s="135">
        <f t="shared" si="0"/>
        <v>113.52</v>
      </c>
      <c r="N34" s="136" t="str">
        <f>VLOOKUP(C34,'Trips&amp;Operators'!$C$1:$G$99999,5,FALSE)</f>
        <v>SMITH MICHAEL</v>
      </c>
      <c r="O34" s="210" t="s">
        <v>182</v>
      </c>
      <c r="P34" s="137"/>
      <c r="Q34" s="30"/>
      <c r="R34" s="84" t="str">
        <f>VLOOKUP(C34,'Train Runs'!$A$13:$AE$9934,31,0)</f>
        <v>aws s3 cp s3://rtdc.mdm.uploadarchive.raw/RTDC4057/ "%USERPROFILE%\AppData\Local\Temp\OnboardLogs"\RTDC4057\2017-06-05 --exclude "*" --recursive --include "*20170605*" &amp; "%USERPROFILE%\Documents\GitHub\mrs-test-scripts\Headless Mode &amp; Sideloading\WalkAndUnGZ.bat" "%USERPROFILE%\AppData\Local\Temp\OnboardLogs"\RTDC4057\2017-06-05 &amp; aws s3 cp s3://rtdc.mdm.uploadarchive.raw/RTDC4057/ "%USERPROFILE%\AppData\Local\Temp\OnboardLogs"\RTDC4057\2017-06-06 --exclude "*" --recursive --include "*20170606*" &amp; "%USERPROFILE%\Documents\GitHub\mrs-test-scripts\Headless Mode &amp; Sideloading\WalkAndUnGZ.bat" "%USERPROFILE%\AppData\Local\Temp\OnboardLogs"\RTDC4057\2017-06-06</v>
      </c>
      <c r="S34" s="87" t="str">
        <f>VLOOKUP(C34,'Train Runs'!$A$13:$AE$9934,22,0)</f>
        <v>https://d0f6bd738d7f1b3e5a7ca70fe4ff75f0.us-east-1.aws.found.io/app/kibana#/discover/Steve-Slow-Train-Analysis-(2080s-and-2083s)?_g=(refreshInterval:(display:Off,pause:!f,section:0,value:0),time:(from:'2017-06-05T17:30:14-0600',mode:absolute,to:'2017-06-05T20:20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34" s="89" t="str">
        <f t="shared" si="1"/>
        <v>"C:\Program Files (x86)\AstroGrep\AstroGrep.exe" /e /r /s /spath="%USERPROFILE%\AppData\Local\Temp\OnboardLogs" /stypes="*4057*201706060*" /stext=" 01:.+((SYSTEM_STATE.+slice.+state.+changed )|(ment ac)|(multiple cpu faults)|(system.+state.+changed )|(\[timeout)|(PRM\|1\|D)|(kpr)|(kdp)|(train st.+moving)|(\|lc)|(penalty))"</v>
      </c>
      <c r="U34" s="9" t="str">
        <f t="shared" si="2"/>
        <v>4057</v>
      </c>
      <c r="V34" s="31">
        <f t="shared" si="3"/>
        <v>42892.055787037039</v>
      </c>
      <c r="W34" s="45" t="str">
        <f t="shared" si="4"/>
        <v>EC</v>
      </c>
      <c r="X34" s="45" t="str">
        <f t="shared" si="5"/>
        <v>KEEP</v>
      </c>
      <c r="Y34" s="99" t="str">
        <f t="shared" si="6"/>
        <v>echo {"issue":{"subject":"","project_id":79,"tracker_id":40,"status_id":1,"priority_id":2,"assigned_to_id":23,"start_date":"2017-06-05","description":"","custom_fields":[{"id":1,"name":"Subdivision","value":"EC"},{"id":4,"name":"Milepost","value":"0.0826"},{"id":17,"name":"Train ID","value":"214-05"},{"id":16,"name":"Locomotive ID","value":"4057"},{"id":130,"name":"Impact","value":""},{"id":150,"name":"Time of Event (Mountain Time)","value":"19:20:20"},{"id":151,"name":"Denver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62"/>
      <c r="AA34" s="47"/>
      <c r="AB34" s="47"/>
      <c r="AC34" s="118" t="str">
        <f t="shared" si="7"/>
        <v>grep -hrE -A400 "Enforcement Action" /cygdrive/c/Users/stu/AppData/Local/Temp/OnboardLogs/RTDC4057 --include="*4057*201706060*"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"%USERPROFILE%\AppData\Local\Temp\OnboardLogs"\RTDC4057\*4057*201706060* &gt;&gt; 2017-06-05-SliceDisagreementCheck.txt</v>
      </c>
      <c r="AE34" s="148" t="str">
        <f t="shared" si="9"/>
        <v>start /low /b %USERPROFILE%\Documents\GitHub\eaglep3\Utilities\DownloadLogsFromS3.py --loco 4057 --day 2017-06-06</v>
      </c>
      <c r="AF34" s="1"/>
    </row>
    <row r="35" spans="1:32" x14ac:dyDescent="0.25">
      <c r="A35" s="31">
        <v>42891.806261574071</v>
      </c>
      <c r="B35" s="30" t="s">
        <v>620</v>
      </c>
      <c r="C35" s="30" t="s">
        <v>621</v>
      </c>
      <c r="D35" s="30" t="s">
        <v>49</v>
      </c>
      <c r="E35" s="30" t="s">
        <v>183</v>
      </c>
      <c r="F35" s="42">
        <v>0</v>
      </c>
      <c r="G35" s="42">
        <v>34</v>
      </c>
      <c r="H35" s="42">
        <v>932</v>
      </c>
      <c r="I35" s="42">
        <v>904</v>
      </c>
      <c r="J35" s="30" t="s">
        <v>184</v>
      </c>
      <c r="K35" s="42">
        <v>826</v>
      </c>
      <c r="L35" s="134" t="s">
        <v>51</v>
      </c>
      <c r="M35" s="135">
        <f t="shared" si="0"/>
        <v>41.183999999999997</v>
      </c>
      <c r="N35" s="136" t="str">
        <f>VLOOKUP(C35,'Trips&amp;Operators'!$C$1:$G$99999,5,FALSE)</f>
        <v>SMITH MICHAEL</v>
      </c>
      <c r="O35" s="210" t="s">
        <v>182</v>
      </c>
      <c r="P35" s="137"/>
      <c r="Q35" s="30"/>
      <c r="R35" s="84" t="str">
        <f>VLOOKUP(C35,'Train Runs'!$A$13:$AE$9934,31,0)</f>
        <v>aws s3 cp s3://rtdc.mdm.uploadarchive.raw/RTDC4057/ "%USERPROFILE%\AppData\Local\Temp\OnboardLogs"\RTDC4057\2017-06-05 --exclude "*" --recursive --include "*20170605*" &amp; "%USERPROFILE%\Documents\GitHub\mrs-test-scripts\Headless Mode &amp; Sideloading\WalkAndUnGZ.bat" "%USERPROFILE%\AppData\Local\Temp\OnboardLogs"\RTDC4057\2017-06-05 &amp; aws s3 cp s3://rtdc.mdm.uploadarchive.raw/RTDC4057/ "%USERPROFILE%\AppData\Local\Temp\OnboardLogs"\RTDC4057\2017-06-06 --exclude "*" --recursive --include "*20170606*" &amp; "%USERPROFILE%\Documents\GitHub\mrs-test-scripts\Headless Mode &amp; Sideloading\WalkAndUnGZ.bat" "%USERPROFILE%\AppData\Local\Temp\OnboardLogs"\RTDC4057\2017-06-06</v>
      </c>
      <c r="S35" s="87" t="str">
        <f>VLOOKUP(C35,'Train Runs'!$A$13:$AE$9934,22,0)</f>
        <v>https://d0f6bd738d7f1b3e5a7ca70fe4ff75f0.us-east-1.aws.found.io/app/kibana#/discover/Steve-Slow-Train-Analysis-(2080s-and-2083s)?_g=(refreshInterval:(display:Off,pause:!f,section:0,value:0),time:(from:'2017-06-05T17:30:14-0600',mode:absolute,to:'2017-06-05T20:20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35" s="89" t="str">
        <f t="shared" si="1"/>
        <v>"C:\Program Files (x86)\AstroGrep\AstroGrep.exe" /e /r /s /spath="%USERPROFILE%\AppData\Local\Temp\OnboardLogs" /stypes="*4057*201706060*" /stext=" 01:.+((SYSTEM_STATE.+slice.+state.+changed )|(ment ac)|(multiple cpu faults)|(system.+state.+changed )|(\[timeout)|(PRM\|1\|D)|(kpr)|(kdp)|(train st.+moving)|(\|lc)|(penalty))"</v>
      </c>
      <c r="U35" s="9" t="str">
        <f t="shared" si="2"/>
        <v>4057</v>
      </c>
      <c r="V35" s="31">
        <f t="shared" si="3"/>
        <v>42892.056261574071</v>
      </c>
      <c r="W35" s="45" t="str">
        <f t="shared" si="4"/>
        <v>EC</v>
      </c>
      <c r="X35" s="45" t="str">
        <f t="shared" si="5"/>
        <v>KEEP</v>
      </c>
      <c r="Y35" s="99" t="str">
        <f t="shared" si="6"/>
        <v>echo {"issue":{"subject":"","project_id":79,"tracker_id":40,"status_id":1,"priority_id":2,"assigned_to_id":23,"start_date":"2017-06-05","description":"","custom_fields":[{"id":1,"name":"Subdivision","value":"EC"},{"id":4,"name":"Milepost","value":"0.0826"},{"id":17,"name":"Train ID","value":"214-05"},{"id":16,"name":"Locomotive ID","value":"4057"},{"id":130,"name":"Impact","value":""},{"id":150,"name":"Time of Event (Mountain Time)","value":"19:21:01"},{"id":151,"name":"Denver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62"/>
      <c r="AA35" s="47"/>
      <c r="AB35" s="47"/>
      <c r="AC35" s="118" t="str">
        <f t="shared" si="7"/>
        <v>grep -hrE -A400 "Enforcement Action" /cygdrive/c/Users/stu/AppData/Local/Temp/OnboardLogs/RTDC4057 --include="*4057*201706060*"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"%USERPROFILE%\AppData\Local\Temp\OnboardLogs"\RTDC4057\*4057*201706060* &gt;&gt; 2017-06-05-SliceDisagreementCheck.txt</v>
      </c>
      <c r="AE35" s="148" t="str">
        <f t="shared" si="9"/>
        <v>start /low /b %USERPROFILE%\Documents\GitHub\eaglep3\Utilities\DownloadLogsFromS3.py --loco 4057 --day 2017-06-06</v>
      </c>
      <c r="AF35" s="1"/>
    </row>
    <row r="36" spans="1:32" x14ac:dyDescent="0.25">
      <c r="A36" s="31">
        <v>42891.54451388889</v>
      </c>
      <c r="B36" s="30" t="s">
        <v>462</v>
      </c>
      <c r="C36" s="30" t="s">
        <v>597</v>
      </c>
      <c r="D36" s="30" t="s">
        <v>49</v>
      </c>
      <c r="E36" s="30" t="s">
        <v>183</v>
      </c>
      <c r="F36" s="42">
        <v>0</v>
      </c>
      <c r="G36" s="42">
        <v>78</v>
      </c>
      <c r="H36" s="42">
        <v>233223</v>
      </c>
      <c r="I36" s="42">
        <v>233295</v>
      </c>
      <c r="J36" s="30" t="s">
        <v>184</v>
      </c>
      <c r="K36" s="42">
        <v>233491</v>
      </c>
      <c r="L36" s="134" t="s">
        <v>50</v>
      </c>
      <c r="M36" s="135">
        <f t="shared" si="0"/>
        <v>103.488</v>
      </c>
      <c r="N36" s="136" t="str">
        <f>VLOOKUP(C36,'Trips&amp;Operators'!$C$1:$G$99999,5,FALSE)</f>
        <v>BRANDNER MELINDA</v>
      </c>
      <c r="O36" s="210" t="s">
        <v>182</v>
      </c>
      <c r="P36" s="137"/>
      <c r="Q36" s="30"/>
      <c r="R36" s="84" t="str">
        <f>VLOOKUP(C36,'Train Runs'!$A$13:$AE$9934,31,0)</f>
        <v>aws s3 cp s3://rtdc.mdm.uploadarchive.raw/RTDC4010/ "%USERPROFILE%\AppData\Local\Temp\OnboardLogs"\RTDC4010\2017-06-05 --exclude "*" --recursive --include "*20170605*" &amp; "%USERPROFILE%\Documents\GitHub\mrs-test-scripts\Headless Mode &amp; Sideloading\WalkAndUnGZ.bat" "%USERPROFILE%\AppData\Local\Temp\OnboardLogs"\RTDC4010\2017-06-05 &amp; aws s3 cp s3://rtdc.mdm.uploadarchive.raw/RTDC4010/ "%USERPROFILE%\AppData\Local\Temp\OnboardLogs"\RTDC4010\2017-06-06 --exclude "*" --recursive --include "*20170606*" &amp; "%USERPROFILE%\Documents\GitHub\mrs-test-scripts\Headless Mode &amp; Sideloading\WalkAndUnGZ.bat" "%USERPROFILE%\AppData\Local\Temp\OnboardLogs"\RTDC4010\2017-06-06</v>
      </c>
      <c r="S36" s="87" t="str">
        <f>VLOOKUP(C36,'Train Runs'!$A$13:$AE$9934,22,0)</f>
        <v>https://d0f6bd738d7f1b3e5a7ca70fe4ff75f0.us-east-1.aws.found.io/app/kibana#/discover/Steve-Slow-Train-Analysis-(2080s-and-2083s)?_g=(refreshInterval:(display:Off,pause:!f,section:0,value:0),time:(from:'2017-06-05T11:17:22-0600',mode:absolute,to:'2017-06-05T14:04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36" s="89" t="str">
        <f t="shared" si="1"/>
        <v>"C:\Program Files (x86)\AstroGrep\AstroGrep.exe" /e /r /s /spath="%USERPROFILE%\AppData\Local\Temp\OnboardLogs" /stypes="*4010*201706051*" /stext=" 19:.+((SYSTEM_STATE.+slice.+state.+changed )|(ment ac)|(multiple cpu faults)|(system.+state.+changed )|(\[timeout)|(PRM\|1\|D)|(kpr)|(kdp)|(train st.+moving)|(\|lc)|(penalty))"</v>
      </c>
      <c r="U36" s="9" t="str">
        <f t="shared" si="2"/>
        <v>4010</v>
      </c>
      <c r="V36" s="31">
        <f t="shared" si="3"/>
        <v>42891.79451388889</v>
      </c>
      <c r="W36" s="45" t="str">
        <f t="shared" si="4"/>
        <v>EC</v>
      </c>
      <c r="X36" s="45" t="str">
        <f t="shared" si="5"/>
        <v>KEEP</v>
      </c>
      <c r="Y36" s="99" t="str">
        <f t="shared" si="6"/>
        <v>echo {"issue":{"subject":"","project_id":79,"tracker_id":40,"status_id":1,"priority_id":2,"assigned_to_id":23,"start_date":"2017-06-05","description":"","custom_fields":[{"id":1,"name":"Subdivision","value":"EC"},{"id":4,"name":"Milepost","value":"23.3491"},{"id":17,"name":"Train ID","value":"169-05"},{"id":16,"name":"Locomotive ID","value":"4010"},{"id":130,"name":"Impact","value":""},{"id":150,"name":"Time of Event (Mountain Time)","value":"13:04:06"},{"id":151,"name":"Denver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62"/>
      <c r="AA36" s="47"/>
      <c r="AB36" s="47"/>
      <c r="AC36" s="118" t="str">
        <f t="shared" si="7"/>
        <v>grep -hrE -A400 "Enforcement Action" /cygdrive/c/Users/stu/AppData/Local/Temp/OnboardLogs/RTDC4010 --include="*4010*201706051*"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"%USERPROFILE%\AppData\Local\Temp\OnboardLogs"\RTDC4010\*4010*201706051* &gt;&gt; 2017-06-05-SliceDisagreementCheck.txt</v>
      </c>
      <c r="AE36" s="148" t="str">
        <f t="shared" si="9"/>
        <v>start /low /b %USERPROFILE%\Documents\GitHub\eaglep3\Utilities\DownloadLogsFromS3.py --loco 4010 --day 2017-06-05</v>
      </c>
      <c r="AF36" s="1"/>
    </row>
    <row r="37" spans="1:32" x14ac:dyDescent="0.25">
      <c r="A37" s="31">
        <v>42891.682615740741</v>
      </c>
      <c r="B37" s="30" t="s">
        <v>462</v>
      </c>
      <c r="C37" s="30" t="s">
        <v>607</v>
      </c>
      <c r="D37" s="30" t="s">
        <v>49</v>
      </c>
      <c r="E37" s="30" t="s">
        <v>183</v>
      </c>
      <c r="F37" s="42">
        <v>0</v>
      </c>
      <c r="G37" s="42">
        <v>58</v>
      </c>
      <c r="H37" s="42">
        <v>233261</v>
      </c>
      <c r="I37" s="42">
        <v>233302</v>
      </c>
      <c r="J37" s="30" t="s">
        <v>184</v>
      </c>
      <c r="K37" s="42">
        <v>233491</v>
      </c>
      <c r="L37" s="134" t="s">
        <v>50</v>
      </c>
      <c r="M37" s="135">
        <f t="shared" si="0"/>
        <v>99.792000000000002</v>
      </c>
      <c r="N37" s="136" t="str">
        <f>VLOOKUP(C37,'Trips&amp;Operators'!$C$1:$G$99999,5,FALSE)</f>
        <v>BRANDNER MELINDA</v>
      </c>
      <c r="O37" s="210" t="s">
        <v>182</v>
      </c>
      <c r="P37" s="137"/>
      <c r="Q37" s="30"/>
      <c r="R37" s="84" t="str">
        <f>VLOOKUP(C37,'Train Runs'!$A$13:$AE$9934,31,0)</f>
        <v>aws s3 cp s3://rtdc.mdm.uploadarchive.raw/RTDC4010/ "%USERPROFILE%\AppData\Local\Temp\OnboardLogs"\RTDC4010\2017-06-05 --exclude "*" --recursive --include "*20170605*" &amp; "%USERPROFILE%\Documents\GitHub\mrs-test-scripts\Headless Mode &amp; Sideloading\WalkAndUnGZ.bat" "%USERPROFILE%\AppData\Local\Temp\OnboardLogs"\RTDC4010\2017-06-05 &amp; aws s3 cp s3://rtdc.mdm.uploadarchive.raw/RTDC4010/ "%USERPROFILE%\AppData\Local\Temp\OnboardLogs"\RTDC4010\2017-06-06 --exclude "*" --recursive --include "*20170606*" &amp; "%USERPROFILE%\Documents\GitHub\mrs-test-scripts\Headless Mode &amp; Sideloading\WalkAndUnGZ.bat" "%USERPROFILE%\AppData\Local\Temp\OnboardLogs"\RTDC4010\2017-06-06</v>
      </c>
      <c r="S37" s="87" t="str">
        <f>VLOOKUP(C37,'Train Runs'!$A$13:$AE$9934,22,0)</f>
        <v>https://d0f6bd738d7f1b3e5a7ca70fe4ff75f0.us-east-1.aws.found.io/app/kibana#/discover/Steve-Slow-Train-Analysis-(2080s-and-2083s)?_g=(refreshInterval:(display:Off,pause:!f,section:0,value:0),time:(from:'2017-06-05T14:41:27-0600',mode:absolute,to:'2017-06-05T17:22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37" s="89" t="str">
        <f t="shared" si="1"/>
        <v>"C:\Program Files (x86)\AstroGrep\AstroGrep.exe" /e /r /s /spath="%USERPROFILE%\AppData\Local\Temp\OnboardLogs" /stypes="*4010*201706052*" /stext=" 22:.+((SYSTEM_STATE.+slice.+state.+changed )|(ment ac)|(multiple cpu faults)|(system.+state.+changed )|(\[timeout)|(PRM\|1\|D)|(kpr)|(kdp)|(train st.+moving)|(\|lc)|(penalty))"</v>
      </c>
      <c r="U37" s="9" t="str">
        <f t="shared" si="2"/>
        <v>4010</v>
      </c>
      <c r="V37" s="31">
        <f t="shared" si="3"/>
        <v>42891.932615740741</v>
      </c>
      <c r="W37" s="45" t="str">
        <f t="shared" si="4"/>
        <v>EC</v>
      </c>
      <c r="X37" s="45" t="str">
        <f t="shared" si="5"/>
        <v>KEEP</v>
      </c>
      <c r="Y37" s="99" t="str">
        <f t="shared" si="6"/>
        <v>echo {"issue":{"subject":"","project_id":79,"tracker_id":40,"status_id":1,"priority_id":2,"assigned_to_id":23,"start_date":"2017-06-05","description":"","custom_fields":[{"id":1,"name":"Subdivision","value":"EC"},{"id":4,"name":"Milepost","value":"23.3491"},{"id":17,"name":"Train ID","value":"197-05"},{"id":16,"name":"Locomotive ID","value":"4010"},{"id":130,"name":"Impact","value":""},{"id":150,"name":"Time of Event (Mountain Time)","value":"16:22:58"},{"id":151,"name":"Denver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62"/>
      <c r="AA37" s="47"/>
      <c r="AB37" s="47"/>
      <c r="AC37" s="118" t="str">
        <f t="shared" si="7"/>
        <v>grep -hrE -A400 "Enforcement Action" /cygdrive/c/Users/stu/AppData/Local/Temp/OnboardLogs/RTDC4010 --include="*4010*201706052*"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"%USERPROFILE%\AppData\Local\Temp\OnboardLogs"\RTDC4010\*4010*201706052* &gt;&gt; 2017-06-05-SliceDisagreementCheck.txt</v>
      </c>
      <c r="AE37" s="148" t="str">
        <f t="shared" si="9"/>
        <v>start /low /b %USERPROFILE%\Documents\GitHub\eaglep3\Utilities\DownloadLogsFromS3.py --loco 4010 --day 2017-06-05</v>
      </c>
      <c r="AF37" s="1"/>
    </row>
    <row r="38" spans="1:32" x14ac:dyDescent="0.25">
      <c r="A38" s="31">
        <v>42892.004374999997</v>
      </c>
      <c r="B38" s="30" t="s">
        <v>580</v>
      </c>
      <c r="C38" s="30" t="s">
        <v>628</v>
      </c>
      <c r="D38" s="30" t="s">
        <v>49</v>
      </c>
      <c r="E38" s="30" t="s">
        <v>183</v>
      </c>
      <c r="F38" s="42">
        <v>0</v>
      </c>
      <c r="G38" s="42">
        <v>6</v>
      </c>
      <c r="H38" s="42">
        <v>233479</v>
      </c>
      <c r="I38" s="42">
        <v>233481</v>
      </c>
      <c r="J38" s="30" t="s">
        <v>184</v>
      </c>
      <c r="K38" s="42">
        <v>233491</v>
      </c>
      <c r="L38" s="134" t="s">
        <v>50</v>
      </c>
      <c r="M38" s="135">
        <f t="shared" si="0"/>
        <v>5.28</v>
      </c>
      <c r="N38" s="136" t="str">
        <f>VLOOKUP(C38,'Trips&amp;Operators'!$C$1:$G$99999,5,FALSE)</f>
        <v>SMITH MICHAEL</v>
      </c>
      <c r="O38" s="210" t="s">
        <v>182</v>
      </c>
      <c r="P38" s="137"/>
      <c r="Q38" s="30"/>
      <c r="R38" s="84" t="str">
        <f>VLOOKUP(C38,'Train Runs'!$A$13:$AE$9934,31,0)</f>
        <v>aws s3 cp s3://rtdc.mdm.uploadarchive.raw/RTDC4062/ "%USERPROFILE%\AppData\Local\Temp\OnboardLogs"\RTDC4062\2017-06-05 --exclude "*" --recursive --include "*20170605*" &amp; "%USERPROFILE%\Documents\GitHub\mrs-test-scripts\Headless Mode &amp; Sideloading\WalkAndUnGZ.bat" "%USERPROFILE%\AppData\Local\Temp\OnboardLogs"\RTDC4062\2017-06-05 &amp; aws s3 cp s3://rtdc.mdm.uploadarchive.raw/RTDC4062/ "%USERPROFILE%\AppData\Local\Temp\OnboardLogs"\RTDC4062\2017-06-06 --exclude "*" --recursive --include "*20170606*" &amp; "%USERPROFILE%\Documents\GitHub\mrs-test-scripts\Headless Mode &amp; Sideloading\WalkAndUnGZ.bat" "%USERPROFILE%\AppData\Local\Temp\OnboardLogs"\RTDC4062\2017-06-06</v>
      </c>
      <c r="S38" s="87" t="str">
        <f>VLOOKUP(C38,'Train Runs'!$A$13:$AE$9934,22,0)</f>
        <v>https://d0f6bd738d7f1b3e5a7ca70fe4ff75f0.us-east-1.aws.found.io/app/kibana#/discover/Steve-Slow-Train-Analysis-(2080s-and-2083s)?_g=(refreshInterval:(display:Off,pause:!f,section:0,value:0),time:(from:'2017-06-05T22:17:01-0600',mode:absolute,to:'2017-06-06T01:06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38" s="89" t="str">
        <f t="shared" si="1"/>
        <v>"C:\Program Files (x86)\AstroGrep\AstroGrep.exe" /e /r /s /spath="%USERPROFILE%\AppData\Local\Temp\OnboardLogs" /stypes="*4062*201706060*" /stext=" 06:.+((SYSTEM_STATE.+slice.+state.+changed )|(ment ac)|(multiple cpu faults)|(system.+state.+changed )|(\[timeout)|(PRM\|1\|D)|(kpr)|(kdp)|(train st.+moving)|(\|lc)|(penalty))"</v>
      </c>
      <c r="U38" s="9" t="str">
        <f t="shared" si="2"/>
        <v>4062</v>
      </c>
      <c r="V38" s="31">
        <f t="shared" si="3"/>
        <v>42892.254374999997</v>
      </c>
      <c r="W38" s="45" t="str">
        <f t="shared" si="4"/>
        <v>EC</v>
      </c>
      <c r="X38" s="45" t="str">
        <f t="shared" si="5"/>
        <v>OMIT</v>
      </c>
      <c r="Y38" s="99" t="str">
        <f t="shared" si="6"/>
        <v>echo {"issue":{"subject":"","project_id":79,"tracker_id":40,"status_id":1,"priority_id":2,"assigned_to_id":23,"start_date":"2017-06-06","description":"","custom_fields":[{"id":1,"name":"Subdivision","value":"EC"},{"id":4,"name":"Milepost","value":"23.3491"},{"id":17,"name":"Train ID","value":"239-05"},{"id":16,"name":"Locomotive ID","value":"4062"},{"id":130,"name":"Impact","value":""},{"id":150,"name":"Time of Event (Mountain Time)","value":"00:06:18"},{"id":151,"name":"Denver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62"/>
      <c r="AA38" s="47"/>
      <c r="AB38" s="47"/>
      <c r="AC38" s="118" t="str">
        <f t="shared" si="7"/>
        <v>grep -hrE -A400 "Enforcement Action" /cygdrive/c/Users/stu/AppData/Local/Temp/OnboardLogs/RTDC4062 --include="*4062*201706060*"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"%USERPROFILE%\AppData\Local\Temp\OnboardLogs"\RTDC4062\*4062*201706060* &gt;&gt; 2017-06-05-SliceDisagreementCheck.txt</v>
      </c>
      <c r="AE38" s="148" t="str">
        <f t="shared" si="9"/>
        <v>start /low /b %USERPROFILE%\Documents\GitHub\eaglep3\Utilities\DownloadLogsFromS3.py --loco 4062 --day 2017-06-06</v>
      </c>
      <c r="AF38" s="1"/>
    </row>
    <row r="39" spans="1:32" x14ac:dyDescent="0.25">
      <c r="A39" s="31">
        <v>42891.576770833337</v>
      </c>
      <c r="B39" s="30" t="s">
        <v>601</v>
      </c>
      <c r="C39" s="30" t="s">
        <v>602</v>
      </c>
      <c r="D39" s="30" t="s">
        <v>49</v>
      </c>
      <c r="E39" s="30" t="s">
        <v>189</v>
      </c>
      <c r="F39" s="42">
        <v>210</v>
      </c>
      <c r="G39" s="42">
        <v>276</v>
      </c>
      <c r="H39" s="42">
        <v>12099</v>
      </c>
      <c r="I39" s="42">
        <v>11257</v>
      </c>
      <c r="J39" s="30" t="s">
        <v>190</v>
      </c>
      <c r="K39" s="42">
        <v>10988</v>
      </c>
      <c r="L39" s="134" t="s">
        <v>51</v>
      </c>
      <c r="M39" s="135">
        <f t="shared" ref="M39:M60" si="10">CONVERT((I39-K39)/10000,"mi","ft")*IF(L39="Increasing Mileposts (1)",-1,1)</f>
        <v>142.03200000000001</v>
      </c>
      <c r="N39" s="136" t="str">
        <f>VLOOKUP(C39,'Trips&amp;Operators'!$C$1:$G$99999,5,FALSE)</f>
        <v>LEVIN SCOTT</v>
      </c>
      <c r="O39" s="210" t="s">
        <v>182</v>
      </c>
      <c r="P39" s="137" t="s">
        <v>402</v>
      </c>
      <c r="Q39" s="30"/>
      <c r="R39" s="84" t="str">
        <f>VLOOKUP(C39,'Train Runs'!$A$13:$AE$9934,31,0)</f>
        <v>aws s3 cp s3://rtdc.mdm.uploadarchive.raw/RTDC4045/ "%USERPROFILE%\AppData\Local\Temp\OnboardLogs"\RTDC4045\2017-06-05 --exclude "*" --recursive --include "*20170605*" &amp; "%USERPROFILE%\Documents\GitHub\mrs-test-scripts\Headless Mode &amp; Sideloading\WalkAndUnGZ.bat" "%USERPROFILE%\AppData\Local\Temp\OnboardLogs"\RTDC4045\2017-06-05 &amp; aws s3 cp s3://rtdc.mdm.uploadarchive.raw/RTDC4045/ "%USERPROFILE%\AppData\Local\Temp\OnboardLogs"\RTDC4045\2017-06-06 --exclude "*" --recursive --include "*20170606*" &amp; "%USERPROFILE%\Documents\GitHub\mrs-test-scripts\Headless Mode &amp; Sideloading\WalkAndUnGZ.bat" "%USERPROFILE%\AppData\Local\Temp\OnboardLogs"\RTDC4045\2017-06-06</v>
      </c>
      <c r="S39" s="87" t="str">
        <f>VLOOKUP(C39,'Train Runs'!$A$13:$AE$9934,22,0)</f>
        <v>https://d0f6bd738d7f1b3e5a7ca70fe4ff75f0.us-east-1.aws.found.io/app/kibana#/discover/Steve-Slow-Train-Analysis-(2080s-and-2083s)?_g=(refreshInterval:(display:Off,pause:!f,section:0,value:0),time:(from:'2017-06-05T12:37:35-0600',mode:absolute,to:'2017-06-05T14:55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39" s="89" t="str">
        <f t="shared" ref="T39:T60" si="11"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/stypes="*4045*201706051*" /stext=" 19:.+((SYSTEM_STATE.+slice.+state.+changed )|(ment ac)|(multiple cpu faults)|(system.+state.+changed )|(\[timeout)|(PRM\|1\|D)|(kpr)|(kdp)|(train st.+moving)|(\|lc)|(penalty))"</v>
      </c>
      <c r="U39" s="9" t="str">
        <f t="shared" ref="U39:U60" si="12">MID(B39,13,4)</f>
        <v>4045</v>
      </c>
      <c r="V39" s="31">
        <f t="shared" ref="V39:V60" si="13">A39-utc_offset/24</f>
        <v>42891.826770833337</v>
      </c>
      <c r="W39" s="45" t="str">
        <f t="shared" ref="W39:W60" si="14">IFERROR(IF(VALUE(LEFT(IF(LEN(C39)=6,"0"&amp;C39,C39),2))&lt;=2,"EC",IF(OR(VALUE(LEFT(IF(LEN(C39)=6,"0"&amp;C39,C39),2))=8,VALUE(LEFT(IF(LEN(C39)=6,"0"&amp;C39,C39),2))=18),"NW","Other")),"Other")</f>
        <v>NW</v>
      </c>
      <c r="X39" s="45" t="str">
        <f t="shared" ref="X39:X60" si="15">IF(AND(E39="TRACK WARRANT AUTHORITY",G39&lt;10),"OMIT","KEEP")</f>
        <v>KEEP</v>
      </c>
      <c r="Y39" s="99" t="str">
        <f t="shared" ref="Y39:Y60" si="16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arrival","project_id":79,"tracker_id":40,"status_id":1,"priority_id":2,"assigned_to_id":23,"start_date":"2017-06-05","description":"","custom_fields":[{"id":1,"name":"Subdivision","value":"NW"},{"id":4,"name":"Milepost","value":"1.0988"},{"id":17,"name":"Train ID","value":"822-05"},{"id":16,"name":"Locomotive ID","value":"4045"},{"id":130,"name":"Impact","value":""},{"id":150,"name":"Time of Event (Mountain Time)","value":"13:50:33"},{"id":151,"name":"Denver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62"/>
      <c r="AA39" s="47"/>
      <c r="AB39" s="47"/>
      <c r="AC39" s="118" t="str">
        <f t="shared" ref="AC39:AC60" si="17">"grep -hrE -A400 ""Enforcement Action"" "&amp;"/cygdrive/c/Users/stu/AppData/Local/Temp/OnboardLogs"&amp;"/RTDC"&amp;U39&amp;"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/cygdrive/c/Users/stu/AppData/Local/Temp/OnboardLogs/RTDC4045 --include="*4045*201706051*"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"%USERPROFILE%\AppData\Local\Temp\OnboardLogs"\RTDC4045\*4045*201706051* &gt;&gt; 2017-06-05-SliceDisagreementCheck.txt</v>
      </c>
      <c r="AE39" s="148" t="str">
        <f t="shared" si="9"/>
        <v>start /low /b %USERPROFILE%\Documents\GitHub\eaglep3\Utilities\DownloadLogsFromS3.py --loco 4045 --day 2017-06-05</v>
      </c>
      <c r="AF39" s="1"/>
    </row>
    <row r="40" spans="1:32" x14ac:dyDescent="0.25">
      <c r="A40" s="31">
        <v>42891.560115740744</v>
      </c>
      <c r="B40" s="30" t="s">
        <v>598</v>
      </c>
      <c r="C40" s="30" t="s">
        <v>599</v>
      </c>
      <c r="D40" s="30" t="s">
        <v>98</v>
      </c>
      <c r="E40" s="30" t="s">
        <v>202</v>
      </c>
      <c r="F40" s="42">
        <v>300</v>
      </c>
      <c r="G40" s="42">
        <v>350</v>
      </c>
      <c r="H40" s="42">
        <v>21579</v>
      </c>
      <c r="I40" s="42">
        <v>22309</v>
      </c>
      <c r="J40" s="30" t="s">
        <v>203</v>
      </c>
      <c r="K40" s="42">
        <v>21299</v>
      </c>
      <c r="L40" s="134" t="s">
        <v>50</v>
      </c>
      <c r="M40" s="135">
        <f t="shared" si="10"/>
        <v>-533.28</v>
      </c>
      <c r="N40" s="136" t="str">
        <f>VLOOKUP(C40,'Trips&amp;Operators'!$C$1:$G$99999,5,FALSE)</f>
        <v>LEVIN SCOTT</v>
      </c>
      <c r="O40" s="210" t="s">
        <v>182</v>
      </c>
      <c r="P40" s="137"/>
      <c r="Q40" s="30"/>
      <c r="R40" s="84" t="str">
        <f>VLOOKUP(C40,'Train Runs'!$A$13:$AE$9934,31,0)</f>
        <v>aws s3 cp s3://rtdc.mdm.uploadarchive.raw/RTDC4046/ "%USERPROFILE%\AppData\Local\Temp\OnboardLogs"\RTDC4046\2017-06-05 --exclude "*" --recursive --include "*20170605*" &amp; "%USERPROFILE%\Documents\GitHub\mrs-test-scripts\Headless Mode &amp; Sideloading\WalkAndUnGZ.bat" "%USERPROFILE%\AppData\Local\Temp\OnboardLogs"\RTDC4046\2017-06-05 &amp; aws s3 cp s3://rtdc.mdm.uploadarchive.raw/RTDC4046/ "%USERPROFILE%\AppData\Local\Temp\OnboardLogs"\RTDC4046\2017-06-06 --exclude "*" --recursive --include "*20170606*" &amp; "%USERPROFILE%\Documents\GitHub\mrs-test-scripts\Headless Mode &amp; Sideloading\WalkAndUnGZ.bat" "%USERPROFILE%\AppData\Local\Temp\OnboardLogs"\RTDC4046\2017-06-06</v>
      </c>
      <c r="S40" s="87" t="str">
        <f>VLOOKUP(C40,'Train Runs'!$A$13:$AE$9934,22,0)</f>
        <v>https://d0f6bd738d7f1b3e5a7ca70fe4ff75f0.us-east-1.aws.found.io/app/kibana#/discover/Steve-Slow-Train-Analysis-(2080s-and-2083s)?_g=(refreshInterval:(display:Off,pause:!f,section:0,value:0),time:(from:'2017-06-05T12:18:02-0600',mode:absolute,to:'2017-06-05T14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40" s="89" t="str">
        <f t="shared" si="11"/>
        <v>"C:\Program Files (x86)\AstroGrep\AstroGrep.exe" /e /r /s /spath="%USERPROFILE%\AppData\Local\Temp\OnboardLogs" /stypes="*4046*201706051*" /stext=" 19:.+((SYSTEM_STATE.+slice.+state.+changed )|(ment ac)|(multiple cpu faults)|(system.+state.+changed )|(\[timeout)|(PRM\|1\|D)|(kpr)|(kdp)|(train st.+moving)|(\|lc)|(penalty))"</v>
      </c>
      <c r="U40" s="9" t="str">
        <f t="shared" si="12"/>
        <v>4046</v>
      </c>
      <c r="V40" s="31">
        <f t="shared" si="13"/>
        <v>42891.810115740744</v>
      </c>
      <c r="W40" s="45" t="str">
        <f t="shared" si="14"/>
        <v>NW</v>
      </c>
      <c r="X40" s="45" t="str">
        <f t="shared" si="15"/>
        <v>KEEP</v>
      </c>
      <c r="Y40" s="99" t="str">
        <f t="shared" si="16"/>
        <v>echo {"issue":{"subject":"","project_id":79,"tracker_id":40,"status_id":1,"priority_id":2,"assigned_to_id":23,"start_date":"2017-06-05","description":"","custom_fields":[{"id":1,"name":"Subdivision","value":"NW"},{"id":4,"name":"Milepost","value":"2.1299"},{"id":17,"name":"Train ID","value":"821-05"},{"id":16,"name":"Locomotive ID","value":"4046"},{"id":130,"name":"Impact","value":""},{"id":150,"name":"Time of Event (Mountain Time)","value":"13:26:34"},{"id":151,"name":"Denver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62"/>
      <c r="AA40" s="47"/>
      <c r="AB40" s="47"/>
      <c r="AC40" s="118" t="str">
        <f t="shared" si="17"/>
        <v>grep -hrE -A400 "Enforcement Action" /cygdrive/c/Users/stu/AppData/Local/Temp/OnboardLogs/RTDC4046 --include="*4046*201706051*"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"%USERPROFILE%\AppData\Local\Temp\OnboardLogs"\RTDC4046\*4046*201706051* &gt;&gt; 2017-06-05-SliceDisagreementCheck.txt</v>
      </c>
      <c r="AE40" s="148" t="str">
        <f t="shared" si="9"/>
        <v>start /low /b %USERPROFILE%\Documents\GitHub\eaglep3\Utilities\DownloadLogsFromS3.py --loco 4046 --day 2017-06-05</v>
      </c>
      <c r="AF40" s="1"/>
    </row>
    <row r="41" spans="1:32" x14ac:dyDescent="0.25">
      <c r="A41" s="31">
        <v>42891.706458333334</v>
      </c>
      <c r="B41" s="30" t="s">
        <v>341</v>
      </c>
      <c r="C41" s="30" t="s">
        <v>612</v>
      </c>
      <c r="D41" s="30" t="s">
        <v>49</v>
      </c>
      <c r="E41" s="30" t="s">
        <v>202</v>
      </c>
      <c r="F41" s="42">
        <v>300</v>
      </c>
      <c r="G41" s="42">
        <v>354</v>
      </c>
      <c r="H41" s="42">
        <v>21043</v>
      </c>
      <c r="I41" s="42">
        <v>21937</v>
      </c>
      <c r="J41" s="30" t="s">
        <v>203</v>
      </c>
      <c r="K41" s="42">
        <v>21299</v>
      </c>
      <c r="L41" s="134" t="s">
        <v>50</v>
      </c>
      <c r="M41" s="135">
        <f t="shared" si="10"/>
        <v>-336.86399999999998</v>
      </c>
      <c r="N41" s="136" t="str">
        <f>VLOOKUP(C41,'Trips&amp;Operators'!$C$1:$G$99999,5,FALSE)</f>
        <v>STAMBAUGH JAMES</v>
      </c>
      <c r="O41" s="210" t="s">
        <v>182</v>
      </c>
      <c r="P41" s="137"/>
      <c r="Q41" s="30"/>
      <c r="R41" s="84" t="str">
        <f>VLOOKUP(C41,'Train Runs'!$A$13:$AE$9934,31,0)</f>
        <v>aws s3 cp s3://rtdc.mdm.uploadarchive.raw/RTDC4028/ "%USERPROFILE%\AppData\Local\Temp\OnboardLogs"\RTDC4028\2017-06-05 --exclude "*" --recursive --include "*20170605*" &amp; "%USERPROFILE%\Documents\GitHub\mrs-test-scripts\Headless Mode &amp; Sideloading\WalkAndUnGZ.bat" "%USERPROFILE%\AppData\Local\Temp\OnboardLogs"\RTDC4028\2017-06-05 &amp; aws s3 cp s3://rtdc.mdm.uploadarchive.raw/RTDC4028/ "%USERPROFILE%\AppData\Local\Temp\OnboardLogs"\RTDC4028\2017-06-06 --exclude "*" --recursive --include "*20170606*" &amp; "%USERPROFILE%\Documents\GitHub\mrs-test-scripts\Headless Mode &amp; Sideloading\WalkAndUnGZ.bat" "%USERPROFILE%\AppData\Local\Temp\OnboardLogs"\RTDC4028\2017-06-06</v>
      </c>
      <c r="S41" s="87" t="str">
        <f>VLOOKUP(C41,'Train Runs'!$A$13:$AE$9934,22,0)</f>
        <v>https://d0f6bd738d7f1b3e5a7ca70fe4ff75f0.us-east-1.aws.found.io/app/kibana#/discover/Steve-Slow-Train-Analysis-(2080s-and-2083s)?_g=(refreshInterval:(display:Off,pause:!f,section:0,value:0),time:(from:'2017-06-05T15:27:56-0600',mode:absolute,to:'2017-06-05T18:07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41" s="89" t="str">
        <f t="shared" si="11"/>
        <v>"C:\Program Files (x86)\AstroGrep\AstroGrep.exe" /e /r /s /spath="%USERPROFILE%\AppData\Local\Temp\OnboardLogs" /stypes="*4028*201706052*" /stext=" 22:.+((SYSTEM_STATE.+slice.+state.+changed )|(ment ac)|(multiple cpu faults)|(system.+state.+changed )|(\[timeout)|(PRM\|1\|D)|(kpr)|(kdp)|(train st.+moving)|(\|lc)|(penalty))"</v>
      </c>
      <c r="U41" s="9" t="str">
        <f t="shared" si="12"/>
        <v>4028</v>
      </c>
      <c r="V41" s="31">
        <f t="shared" si="13"/>
        <v>42891.956458333334</v>
      </c>
      <c r="W41" s="45" t="str">
        <f t="shared" si="14"/>
        <v>NW</v>
      </c>
      <c r="X41" s="45" t="str">
        <f t="shared" si="15"/>
        <v>KEEP</v>
      </c>
      <c r="Y41" s="99" t="str">
        <f t="shared" si="16"/>
        <v>echo {"issue":{"subject":"","project_id":79,"tracker_id":40,"status_id":1,"priority_id":2,"assigned_to_id":23,"start_date":"2017-06-05","description":"","custom_fields":[{"id":1,"name":"Subdivision","value":"NW"},{"id":4,"name":"Milepost","value":"2.1299"},{"id":17,"name":"Train ID","value":"831-05"},{"id":16,"name":"Locomotive ID","value":"4028"},{"id":130,"name":"Impact","value":""},{"id":150,"name":"Time of Event (Mountain Time)","value":"16:57:18"},{"id":151,"name":"Denver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62"/>
      <c r="AA41" s="47"/>
      <c r="AB41" s="47"/>
      <c r="AC41" s="118" t="str">
        <f t="shared" si="17"/>
        <v>grep -hrE -A400 "Enforcement Action" /cygdrive/c/Users/stu/AppData/Local/Temp/OnboardLogs/RTDC4028 --include="*4028*201706052*"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"%USERPROFILE%\AppData\Local\Temp\OnboardLogs"\RTDC4028\*4028*201706052* &gt;&gt; 2017-06-05-SliceDisagreementCheck.txt</v>
      </c>
      <c r="AE41" s="148" t="str">
        <f t="shared" si="9"/>
        <v>start /low /b %USERPROFILE%\Documents\GitHub\eaglep3\Utilities\DownloadLogsFromS3.py --loco 4028 --day 2017-06-05</v>
      </c>
      <c r="AF41" s="1"/>
    </row>
    <row r="42" spans="1:32" x14ac:dyDescent="0.25">
      <c r="A42" s="31">
        <v>42891.721689814818</v>
      </c>
      <c r="B42" s="30" t="s">
        <v>342</v>
      </c>
      <c r="C42" s="30" t="s">
        <v>613</v>
      </c>
      <c r="D42" s="30" t="s">
        <v>49</v>
      </c>
      <c r="E42" s="30" t="s">
        <v>202</v>
      </c>
      <c r="F42" s="42">
        <v>300</v>
      </c>
      <c r="G42" s="42">
        <v>362</v>
      </c>
      <c r="H42" s="42">
        <v>24186</v>
      </c>
      <c r="I42" s="42">
        <v>23262</v>
      </c>
      <c r="J42" s="30" t="s">
        <v>203</v>
      </c>
      <c r="K42" s="42">
        <v>23561</v>
      </c>
      <c r="L42" s="134" t="s">
        <v>51</v>
      </c>
      <c r="M42" s="135">
        <f t="shared" si="10"/>
        <v>-157.87200000000001</v>
      </c>
      <c r="N42" s="136" t="str">
        <f>VLOOKUP(C42,'Trips&amp;Operators'!$C$1:$G$99999,5,FALSE)</f>
        <v>STAMBAUGH JAMES</v>
      </c>
      <c r="O42" s="210" t="s">
        <v>182</v>
      </c>
      <c r="P42" s="137"/>
      <c r="Q42" s="30"/>
      <c r="R42" s="84" t="str">
        <f>VLOOKUP(C42,'Train Runs'!$A$13:$AE$9934,31,0)</f>
        <v>aws s3 cp s3://rtdc.mdm.uploadarchive.raw/RTDC4027/ "%USERPROFILE%\AppData\Local\Temp\OnboardLogs"\RTDC4027\2017-06-05 --exclude "*" --recursive --include "*20170605*" &amp; "%USERPROFILE%\Documents\GitHub\mrs-test-scripts\Headless Mode &amp; Sideloading\WalkAndUnGZ.bat" "%USERPROFILE%\AppData\Local\Temp\OnboardLogs"\RTDC4027\2017-06-05 &amp; aws s3 cp s3://rtdc.mdm.uploadarchive.raw/RTDC4027/ "%USERPROFILE%\AppData\Local\Temp\OnboardLogs"\RTDC4027\2017-06-06 --exclude "*" --recursive --include "*20170606*" &amp; "%USERPROFILE%\Documents\GitHub\mrs-test-scripts\Headless Mode &amp; Sideloading\WalkAndUnGZ.bat" "%USERPROFILE%\AppData\Local\Temp\OnboardLogs"\RTDC4027\2017-06-06</v>
      </c>
      <c r="S42" s="87" t="str">
        <f>VLOOKUP(C42,'Train Runs'!$A$13:$AE$9934,22,0)</f>
        <v>https://d0f6bd738d7f1b3e5a7ca70fe4ff75f0.us-east-1.aws.found.io/app/kibana#/discover/Steve-Slow-Train-Analysis-(2080s-and-2083s)?_g=(refreshInterval:(display:Off,pause:!f,section:0,value:0),time:(from:'2017-06-05T16:09:22-0600',mode:absolute,to:'2017-06-05T18:27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42" s="89" t="str">
        <f t="shared" si="11"/>
        <v>"C:\Program Files (x86)\AstroGrep\AstroGrep.exe" /e /r /s /spath="%USERPROFILE%\AppData\Local\Temp\OnboardLogs" /stypes="*4027*201706052*" /stext=" 23:.+((SYSTEM_STATE.+slice.+state.+changed )|(ment ac)|(multiple cpu faults)|(system.+state.+changed )|(\[timeout)|(PRM\|1\|D)|(kpr)|(kdp)|(train st.+moving)|(\|lc)|(penalty))"</v>
      </c>
      <c r="U42" s="9" t="str">
        <f t="shared" si="12"/>
        <v>4027</v>
      </c>
      <c r="V42" s="31">
        <f t="shared" si="13"/>
        <v>42891.971689814818</v>
      </c>
      <c r="W42" s="45" t="str">
        <f t="shared" si="14"/>
        <v>NW</v>
      </c>
      <c r="X42" s="45" t="str">
        <f t="shared" si="15"/>
        <v>KEEP</v>
      </c>
      <c r="Y42" s="99" t="str">
        <f t="shared" si="16"/>
        <v>echo {"issue":{"subject":"","project_id":79,"tracker_id":40,"status_id":1,"priority_id":2,"assigned_to_id":23,"start_date":"2017-06-05","description":"","custom_fields":[{"id":1,"name":"Subdivision","value":"NW"},{"id":4,"name":"Milepost","value":"2.3561"},{"id":17,"name":"Train ID","value":"832-05"},{"id":16,"name":"Locomotive ID","value":"4027"},{"id":130,"name":"Impact","value":""},{"id":150,"name":"Time of Event (Mountain Time)","value":"17:19:14"},{"id":151,"name":"Denver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62"/>
      <c r="AA42" s="47"/>
      <c r="AB42" s="47"/>
      <c r="AC42" s="118" t="str">
        <f t="shared" si="17"/>
        <v>grep -hrE -A400 "Enforcement Action" /cygdrive/c/Users/stu/AppData/Local/Temp/OnboardLogs/RTDC4027 --include="*4027*201706052*"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"%USERPROFILE%\AppData\Local\Temp\OnboardLogs"\RTDC4027\*4027*201706052* &gt;&gt; 2017-06-05-SliceDisagreementCheck.txt</v>
      </c>
      <c r="AE42" s="148" t="str">
        <f t="shared" si="9"/>
        <v>start /low /b %USERPROFILE%\Documents\GitHub\eaglep3\Utilities\DownloadLogsFromS3.py --loco 4027 --day 2017-06-05</v>
      </c>
      <c r="AF42" s="1"/>
    </row>
    <row r="43" spans="1:32" x14ac:dyDescent="0.25">
      <c r="A43" s="31">
        <v>42891.305381944447</v>
      </c>
      <c r="B43" s="30" t="s">
        <v>342</v>
      </c>
      <c r="C43" s="30" t="s">
        <v>583</v>
      </c>
      <c r="D43" s="30" t="s">
        <v>49</v>
      </c>
      <c r="E43" s="30" t="s">
        <v>366</v>
      </c>
      <c r="F43" s="42">
        <v>0</v>
      </c>
      <c r="G43" s="42">
        <v>335</v>
      </c>
      <c r="H43" s="42">
        <v>19788</v>
      </c>
      <c r="I43" s="42">
        <v>19139</v>
      </c>
      <c r="J43" s="30" t="s">
        <v>367</v>
      </c>
      <c r="K43" s="42">
        <v>19000</v>
      </c>
      <c r="L43" s="134" t="s">
        <v>51</v>
      </c>
      <c r="M43" s="135">
        <f t="shared" si="10"/>
        <v>73.391999999999996</v>
      </c>
      <c r="N43" s="136" t="str">
        <f>VLOOKUP(C43,'Trips&amp;Operators'!$C$1:$G$99999,5,FALSE)</f>
        <v>DAVIDSON DAVID</v>
      </c>
      <c r="O43" s="210" t="s">
        <v>418</v>
      </c>
      <c r="P43" s="137" t="s">
        <v>419</v>
      </c>
      <c r="Q43" s="30"/>
      <c r="R43" s="84" t="str">
        <f>VLOOKUP(C43,'Train Runs'!$A$13:$AE$9934,31,0)</f>
        <v>aws s3 cp s3://rtdc.mdm.uploadarchive.raw/RTDC4027/ "%USERPROFILE%\AppData\Local\Temp\OnboardLogs"\RTDC4027\2017-06-05 --exclude "*" --recursive --include "*20170605*" &amp; "%USERPROFILE%\Documents\GitHub\mrs-test-scripts\Headless Mode &amp; Sideloading\WalkAndUnGZ.bat" "%USERPROFILE%\AppData\Local\Temp\OnboardLogs"\RTDC4027\2017-06-05 &amp; aws s3 cp s3://rtdc.mdm.uploadarchive.raw/RTDC4027/ "%USERPROFILE%\AppData\Local\Temp\OnboardLogs"\RTDC4027\2017-06-06 --exclude "*" --recursive --include "*20170606*" &amp; "%USERPROFILE%\Documents\GitHub\mrs-test-scripts\Headless Mode &amp; Sideloading\WalkAndUnGZ.bat" "%USERPROFILE%\AppData\Local\Temp\OnboardLogs"\RTDC4027\2017-06-06</v>
      </c>
      <c r="S43" s="87" t="str">
        <f>VLOOKUP(C43,'Train Runs'!$A$13:$AE$9934,22,0)</f>
        <v>https://d0f6bd738d7f1b3e5a7ca70fe4ff75f0.us-east-1.aws.found.io/app/kibana#/discover/Steve-Slow-Train-Analysis-(2080s-and-2083s)?_g=(refreshInterval:(display:Off,pause:!f,section:0,value:0),time:(from:'2017-06-05T06:06:22-0600',mode:absolute,to:'2017-06-05T08:27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43" s="89" t="str">
        <f t="shared" si="11"/>
        <v>"C:\Program Files (x86)\AstroGrep\AstroGrep.exe" /e /r /s /spath="%USERPROFILE%\AppData\Local\Temp\OnboardLogs" /stypes="*4027*201706051*" /stext=" 13:.+((SYSTEM_STATE.+slice.+state.+changed )|(ment ac)|(multiple cpu faults)|(system.+state.+changed )|(\[timeout)|(PRM\|1\|D)|(kpr)|(kdp)|(train st.+moving)|(\|lc)|(penalty))"</v>
      </c>
      <c r="U43" s="9" t="str">
        <f t="shared" si="12"/>
        <v>4027</v>
      </c>
      <c r="V43" s="31">
        <f t="shared" si="13"/>
        <v>42891.555381944447</v>
      </c>
      <c r="W43" s="45" t="str">
        <f t="shared" si="14"/>
        <v>NW</v>
      </c>
      <c r="X43" s="45" t="str">
        <f t="shared" si="15"/>
        <v>KEEP</v>
      </c>
      <c r="Y43" s="99" t="str">
        <f t="shared" si="16"/>
        <v>echo {"issue":{"subject":"Wi-MAX data drop","project_id":79,"tracker_id":40,"status_id":1,"priority_id":2,"assigned_to_id":23,"start_date":"2017-06-05","description":"","custom_fields":[{"id":1,"name":"Subdivision","value":"NW"},{"id":4,"name":"Milepost","value":"1.9"},{"id":17,"name":"Train ID","value":"806-05"},{"id":16,"name":"Locomotive ID","value":"4027"},{"id":130,"name":"Impact","value":""},{"id":150,"name":"Time of Event (Mountain Time)","value":"07:19:45"},{"id":151,"name":"Denver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62"/>
      <c r="AA43" s="47"/>
      <c r="AB43" s="47"/>
      <c r="AC43" s="118" t="str">
        <f t="shared" si="17"/>
        <v>grep -hrE -A400 "Enforcement Action" /cygdrive/c/Users/stu/AppData/Local/Temp/OnboardLogs/RTDC4027 --include="*4027*201706051*"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"%USERPROFILE%\AppData\Local\Temp\OnboardLogs"\RTDC4027\*4027*201706051* &gt;&gt; 2017-06-05-SliceDisagreementCheck.txt</v>
      </c>
      <c r="AE43" s="148" t="str">
        <f t="shared" si="9"/>
        <v>start /low /b %USERPROFILE%\Documents\GitHub\eaglep3\Utilities\DownloadLogsFromS3.py --loco 4027 --day 2017-06-05</v>
      </c>
      <c r="AF43" s="1"/>
    </row>
    <row r="44" spans="1:32" x14ac:dyDescent="0.25">
      <c r="A44" s="31">
        <v>42891.790995370371</v>
      </c>
      <c r="B44" s="30" t="s">
        <v>341</v>
      </c>
      <c r="C44" s="30" t="s">
        <v>619</v>
      </c>
      <c r="D44" s="30" t="s">
        <v>49</v>
      </c>
      <c r="E44" s="30" t="s">
        <v>366</v>
      </c>
      <c r="F44" s="42">
        <v>0</v>
      </c>
      <c r="G44" s="42">
        <v>261</v>
      </c>
      <c r="H44" s="42">
        <v>34320</v>
      </c>
      <c r="I44" s="42">
        <v>34911</v>
      </c>
      <c r="J44" s="30" t="s">
        <v>367</v>
      </c>
      <c r="K44" s="42">
        <v>34583</v>
      </c>
      <c r="L44" s="134" t="s">
        <v>50</v>
      </c>
      <c r="M44" s="135">
        <f t="shared" si="10"/>
        <v>-173.18400000000003</v>
      </c>
      <c r="N44" s="136" t="str">
        <f>VLOOKUP(C44,'Trips&amp;Operators'!$C$1:$G$99999,5,FALSE)</f>
        <v>STAMBAUGH JAMES</v>
      </c>
      <c r="O44" s="210" t="s">
        <v>418</v>
      </c>
      <c r="P44" s="137" t="s">
        <v>419</v>
      </c>
      <c r="Q44" s="30"/>
      <c r="R44" s="84" t="str">
        <f>VLOOKUP(C44,'Train Runs'!$A$13:$AE$9934,31,0)</f>
        <v>aws s3 cp s3://rtdc.mdm.uploadarchive.raw/RTDC4028/ "%USERPROFILE%\AppData\Local\Temp\OnboardLogs"\RTDC4028\2017-06-05 --exclude "*" --recursive --include "*20170605*" &amp; "%USERPROFILE%\Documents\GitHub\mrs-test-scripts\Headless Mode &amp; Sideloading\WalkAndUnGZ.bat" "%USERPROFILE%\AppData\Local\Temp\OnboardLogs"\RTDC4028\2017-06-05 &amp; aws s3 cp s3://rtdc.mdm.uploadarchive.raw/RTDC4028/ "%USERPROFILE%\AppData\Local\Temp\OnboardLogs"\RTDC4028\2017-06-06 --exclude "*" --recursive --include "*20170606*" &amp; "%USERPROFILE%\Documents\GitHub\mrs-test-scripts\Headless Mode &amp; Sideloading\WalkAndUnGZ.bat" "%USERPROFILE%\AppData\Local\Temp\OnboardLogs"\RTDC4028\2017-06-06</v>
      </c>
      <c r="S44" s="87" t="str">
        <f>VLOOKUP(C44,'Train Runs'!$A$13:$AE$9934,22,0)</f>
        <v>https://d0f6bd738d7f1b3e5a7ca70fe4ff75f0.us-east-1.aws.found.io/app/kibana#/discover/Steve-Slow-Train-Analysis-(2080s-and-2083s)?_g=(refreshInterval:(display:Off,pause:!f,section:0,value:0),time:(from:'2017-06-05T17:40:17-0600',mode:absolute,to:'2017-06-05T19:59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44" s="89" t="str">
        <f t="shared" si="11"/>
        <v>"C:\Program Files (x86)\AstroGrep\AstroGrep.exe" /e /r /s /spath="%USERPROFILE%\AppData\Local\Temp\OnboardLogs" /stypes="*4028*201706060*" /stext=" 00:.+((SYSTEM_STATE.+slice.+state.+changed )|(ment ac)|(multiple cpu faults)|(system.+state.+changed )|(\[timeout)|(PRM\|1\|D)|(kpr)|(kdp)|(train st.+moving)|(\|lc)|(penalty))"</v>
      </c>
      <c r="U44" s="9" t="str">
        <f t="shared" si="12"/>
        <v>4028</v>
      </c>
      <c r="V44" s="31">
        <f t="shared" si="13"/>
        <v>42892.040995370371</v>
      </c>
      <c r="W44" s="45" t="str">
        <f t="shared" si="14"/>
        <v>NW</v>
      </c>
      <c r="X44" s="45" t="str">
        <f t="shared" si="15"/>
        <v>KEEP</v>
      </c>
      <c r="Y44" s="99" t="str">
        <f t="shared" si="16"/>
        <v>echo {"issue":{"subject":"Wi-MAX data drop","project_id":79,"tracker_id":40,"status_id":1,"priority_id":2,"assigned_to_id":23,"start_date":"2017-06-05","description":"","custom_fields":[{"id":1,"name":"Subdivision","value":"NW"},{"id":4,"name":"Milepost","value":"3.4583"},{"id":17,"name":"Train ID","value":"839-05"},{"id":16,"name":"Locomotive ID","value":"4028"},{"id":130,"name":"Impact","value":""},{"id":150,"name":"Time of Event (Mountain Time)","value":"18:59:02"},{"id":151,"name":"Denver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62"/>
      <c r="AA44" s="47"/>
      <c r="AB44" s="47"/>
      <c r="AC44" s="118" t="str">
        <f t="shared" si="17"/>
        <v>grep -hrE -A400 "Enforcement Action" /cygdrive/c/Users/stu/AppData/Local/Temp/OnboardLogs/RTDC4028 --include="*4028*201706060*"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"%USERPROFILE%\AppData\Local\Temp\OnboardLogs"\RTDC4028\*4028*201706060* &gt;&gt; 2017-06-05-SliceDisagreementCheck.txt</v>
      </c>
      <c r="AE44" s="148" t="str">
        <f t="shared" si="9"/>
        <v>start /low /b %USERPROFILE%\Documents\GitHub\eaglep3\Utilities\DownloadLogsFromS3.py --loco 4028 --day 2017-06-06</v>
      </c>
      <c r="AF44" s="1"/>
    </row>
    <row r="45" spans="1:32" x14ac:dyDescent="0.25">
      <c r="A45" s="31">
        <v>42891.791018518517</v>
      </c>
      <c r="B45" s="30" t="s">
        <v>341</v>
      </c>
      <c r="C45" s="30" t="s">
        <v>619</v>
      </c>
      <c r="D45" s="30" t="s">
        <v>98</v>
      </c>
      <c r="E45" s="30" t="s">
        <v>366</v>
      </c>
      <c r="F45" s="42">
        <v>0</v>
      </c>
      <c r="G45" s="42">
        <v>2</v>
      </c>
      <c r="H45" s="42">
        <v>34909</v>
      </c>
      <c r="I45" s="42">
        <v>34909</v>
      </c>
      <c r="J45" s="30" t="s">
        <v>367</v>
      </c>
      <c r="K45" s="42">
        <v>34583</v>
      </c>
      <c r="L45" s="134" t="s">
        <v>50</v>
      </c>
      <c r="M45" s="135">
        <f t="shared" si="10"/>
        <v>-172.12799999999999</v>
      </c>
      <c r="N45" s="136" t="str">
        <f>VLOOKUP(C45,'Trips&amp;Operators'!$C$1:$G$99999,5,FALSE)</f>
        <v>STAMBAUGH JAMES</v>
      </c>
      <c r="O45" s="210" t="s">
        <v>418</v>
      </c>
      <c r="P45" s="137" t="s">
        <v>419</v>
      </c>
      <c r="Q45" s="30"/>
      <c r="R45" s="84" t="str">
        <f>VLOOKUP(C45,'Train Runs'!$A$13:$AE$9934,31,0)</f>
        <v>aws s3 cp s3://rtdc.mdm.uploadarchive.raw/RTDC4028/ "%USERPROFILE%\AppData\Local\Temp\OnboardLogs"\RTDC4028\2017-06-05 --exclude "*" --recursive --include "*20170605*" &amp; "%USERPROFILE%\Documents\GitHub\mrs-test-scripts\Headless Mode &amp; Sideloading\WalkAndUnGZ.bat" "%USERPROFILE%\AppData\Local\Temp\OnboardLogs"\RTDC4028\2017-06-05 &amp; aws s3 cp s3://rtdc.mdm.uploadarchive.raw/RTDC4028/ "%USERPROFILE%\AppData\Local\Temp\OnboardLogs"\RTDC4028\2017-06-06 --exclude "*" --recursive --include "*20170606*" &amp; "%USERPROFILE%\Documents\GitHub\mrs-test-scripts\Headless Mode &amp; Sideloading\WalkAndUnGZ.bat" "%USERPROFILE%\AppData\Local\Temp\OnboardLogs"\RTDC4028\2017-06-06</v>
      </c>
      <c r="S45" s="87" t="str">
        <f>VLOOKUP(C45,'Train Runs'!$A$13:$AE$9934,22,0)</f>
        <v>https://d0f6bd738d7f1b3e5a7ca70fe4ff75f0.us-east-1.aws.found.io/app/kibana#/discover/Steve-Slow-Train-Analysis-(2080s-and-2083s)?_g=(refreshInterval:(display:Off,pause:!f,section:0,value:0),time:(from:'2017-06-05T17:40:17-0600',mode:absolute,to:'2017-06-05T19:59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45" s="89" t="str">
        <f t="shared" si="11"/>
        <v>"C:\Program Files (x86)\AstroGrep\AstroGrep.exe" /e /r /s /spath="%USERPROFILE%\AppData\Local\Temp\OnboardLogs" /stypes="*4028*201706060*" /stext=" 00:.+((SYSTEM_STATE.+slice.+state.+changed )|(ment ac)|(multiple cpu faults)|(system.+state.+changed )|(\[timeout)|(PRM\|1\|D)|(kpr)|(kdp)|(train st.+moving)|(\|lc)|(penalty))"</v>
      </c>
      <c r="U45" s="9" t="str">
        <f t="shared" si="12"/>
        <v>4028</v>
      </c>
      <c r="V45" s="31">
        <f t="shared" si="13"/>
        <v>42892.041018518517</v>
      </c>
      <c r="W45" s="45" t="str">
        <f t="shared" si="14"/>
        <v>NW</v>
      </c>
      <c r="X45" s="45" t="str">
        <f t="shared" si="15"/>
        <v>KEEP</v>
      </c>
      <c r="Y45" s="99" t="str">
        <f t="shared" si="16"/>
        <v>echo {"issue":{"subject":"Wi-MAX data drop","project_id":79,"tracker_id":40,"status_id":1,"priority_id":2,"assigned_to_id":23,"start_date":"2017-06-05","description":"","custom_fields":[{"id":1,"name":"Subdivision","value":"NW"},{"id":4,"name":"Milepost","value":"3.4583"},{"id":17,"name":"Train ID","value":"839-05"},{"id":16,"name":"Locomotive ID","value":"4028"},{"id":130,"name":"Impact","value":""},{"id":150,"name":"Time of Event (Mountain Time)","value":"18:59:04"},{"id":151,"name":"Denver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62"/>
      <c r="AA45" s="47"/>
      <c r="AB45" s="47"/>
      <c r="AC45" s="118" t="str">
        <f t="shared" si="17"/>
        <v>grep -hrE -A400 "Enforcement Action" /cygdrive/c/Users/stu/AppData/Local/Temp/OnboardLogs/RTDC4028 --include="*4028*201706060*"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"%USERPROFILE%\AppData\Local\Temp\OnboardLogs"\RTDC4028\*4028*201706060* &gt;&gt; 2017-06-05-SliceDisagreementCheck.txt</v>
      </c>
      <c r="AE45" s="148" t="str">
        <f t="shared" si="9"/>
        <v>start /low /b %USERPROFILE%\Documents\GitHub\eaglep3\Utilities\DownloadLogsFromS3.py --loco 4028 --day 2017-06-06</v>
      </c>
      <c r="AF45" s="1"/>
    </row>
    <row r="46" spans="1:32" x14ac:dyDescent="0.25">
      <c r="A46" s="31">
        <v>42891.791516203702</v>
      </c>
      <c r="B46" s="30" t="s">
        <v>341</v>
      </c>
      <c r="C46" s="30" t="s">
        <v>619</v>
      </c>
      <c r="D46" s="30" t="s">
        <v>49</v>
      </c>
      <c r="E46" s="30" t="s">
        <v>366</v>
      </c>
      <c r="F46" s="42">
        <v>0</v>
      </c>
      <c r="G46" s="42">
        <v>121</v>
      </c>
      <c r="H46" s="42">
        <v>35025</v>
      </c>
      <c r="I46" s="42">
        <v>35223</v>
      </c>
      <c r="J46" s="30" t="s">
        <v>367</v>
      </c>
      <c r="K46" s="42">
        <v>37575</v>
      </c>
      <c r="L46" s="134" t="s">
        <v>50</v>
      </c>
      <c r="M46" s="135">
        <f t="shared" si="10"/>
        <v>1241.856</v>
      </c>
      <c r="N46" s="136" t="str">
        <f>VLOOKUP(C46,'Trips&amp;Operators'!$C$1:$G$99999,5,FALSE)</f>
        <v>STAMBAUGH JAMES</v>
      </c>
      <c r="O46" s="210" t="s">
        <v>418</v>
      </c>
      <c r="P46" s="137" t="s">
        <v>419</v>
      </c>
      <c r="Q46" s="30"/>
      <c r="R46" s="84" t="str">
        <f>VLOOKUP(C46,'Train Runs'!$A$13:$AE$9934,31,0)</f>
        <v>aws s3 cp s3://rtdc.mdm.uploadarchive.raw/RTDC4028/ "%USERPROFILE%\AppData\Local\Temp\OnboardLogs"\RTDC4028\2017-06-05 --exclude "*" --recursive --include "*20170605*" &amp; "%USERPROFILE%\Documents\GitHub\mrs-test-scripts\Headless Mode &amp; Sideloading\WalkAndUnGZ.bat" "%USERPROFILE%\AppData\Local\Temp\OnboardLogs"\RTDC4028\2017-06-05 &amp; aws s3 cp s3://rtdc.mdm.uploadarchive.raw/RTDC4028/ "%USERPROFILE%\AppData\Local\Temp\OnboardLogs"\RTDC4028\2017-06-06 --exclude "*" --recursive --include "*20170606*" &amp; "%USERPROFILE%\Documents\GitHub\mrs-test-scripts\Headless Mode &amp; Sideloading\WalkAndUnGZ.bat" "%USERPROFILE%\AppData\Local\Temp\OnboardLogs"\RTDC4028\2017-06-06</v>
      </c>
      <c r="S46" s="87" t="str">
        <f>VLOOKUP(C46,'Train Runs'!$A$13:$AE$9934,22,0)</f>
        <v>https://d0f6bd738d7f1b3e5a7ca70fe4ff75f0.us-east-1.aws.found.io/app/kibana#/discover/Steve-Slow-Train-Analysis-(2080s-and-2083s)?_g=(refreshInterval:(display:Off,pause:!f,section:0,value:0),time:(from:'2017-06-05T17:40:17-0600',mode:absolute,to:'2017-06-05T19:59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46" s="89" t="str">
        <f t="shared" si="11"/>
        <v>"C:\Program Files (x86)\AstroGrep\AstroGrep.exe" /e /r /s /spath="%USERPROFILE%\AppData\Local\Temp\OnboardLogs" /stypes="*4028*201706060*" /stext=" 00:.+((SYSTEM_STATE.+slice.+state.+changed )|(ment ac)|(multiple cpu faults)|(system.+state.+changed )|(\[timeout)|(PRM\|1\|D)|(kpr)|(kdp)|(train st.+moving)|(\|lc)|(penalty))"</v>
      </c>
      <c r="U46" s="9" t="str">
        <f t="shared" si="12"/>
        <v>4028</v>
      </c>
      <c r="V46" s="31">
        <f t="shared" si="13"/>
        <v>42892.041516203702</v>
      </c>
      <c r="W46" s="45" t="str">
        <f t="shared" si="14"/>
        <v>NW</v>
      </c>
      <c r="X46" s="45" t="str">
        <f t="shared" si="15"/>
        <v>KEEP</v>
      </c>
      <c r="Y46" s="99" t="str">
        <f t="shared" si="16"/>
        <v>echo {"issue":{"subject":"Wi-MAX data drop","project_id":79,"tracker_id":40,"status_id":1,"priority_id":2,"assigned_to_id":23,"start_date":"2017-06-05","description":"","custom_fields":[{"id":1,"name":"Subdivision","value":"NW"},{"id":4,"name":"Milepost","value":"3.7575"},{"id":17,"name":"Train ID","value":"839-05"},{"id":16,"name":"Locomotive ID","value":"4028"},{"id":130,"name":"Impact","value":""},{"id":150,"name":"Time of Event (Mountain Time)","value":"18:59:47"},{"id":151,"name":"Denver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62"/>
      <c r="AA46" s="47"/>
      <c r="AB46" s="47"/>
      <c r="AC46" s="118" t="str">
        <f t="shared" si="17"/>
        <v>grep -hrE -A400 "Enforcement Action" /cygdrive/c/Users/stu/AppData/Local/Temp/OnboardLogs/RTDC4028 --include="*4028*201706060*"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"%USERPROFILE%\AppData\Local\Temp\OnboardLogs"\RTDC4028\*4028*201706060* &gt;&gt; 2017-06-05-SliceDisagreementCheck.txt</v>
      </c>
      <c r="AE46" s="148" t="str">
        <f t="shared" si="9"/>
        <v>start /low /b %USERPROFILE%\Documents\GitHub\eaglep3\Utilities\DownloadLogsFromS3.py --loco 4028 --day 2017-06-06</v>
      </c>
      <c r="AF46" s="1"/>
    </row>
    <row r="47" spans="1:32" x14ac:dyDescent="0.25">
      <c r="A47" s="31">
        <v>42891.346296296295</v>
      </c>
      <c r="B47" s="30" t="s">
        <v>342</v>
      </c>
      <c r="C47" s="30" t="s">
        <v>585</v>
      </c>
      <c r="D47" s="30" t="s">
        <v>98</v>
      </c>
      <c r="E47" s="30" t="s">
        <v>424</v>
      </c>
      <c r="F47" s="42">
        <v>0</v>
      </c>
      <c r="G47" s="42">
        <v>446</v>
      </c>
      <c r="H47" s="42">
        <v>26957</v>
      </c>
      <c r="I47" s="42">
        <v>25660</v>
      </c>
      <c r="J47" s="30" t="s">
        <v>420</v>
      </c>
      <c r="K47" s="42">
        <v>27253</v>
      </c>
      <c r="L47" s="134" t="s">
        <v>51</v>
      </c>
      <c r="M47" s="135">
        <f t="shared" si="10"/>
        <v>-841.10400000000004</v>
      </c>
      <c r="N47" s="136" t="str">
        <f>VLOOKUP(C47,'Trips&amp;Operators'!$C$1:$G$99999,5,FALSE)</f>
        <v>DAVIDSON DAVID</v>
      </c>
      <c r="O47" s="210" t="s">
        <v>418</v>
      </c>
      <c r="P47" s="137" t="s">
        <v>419</v>
      </c>
      <c r="Q47" s="30"/>
      <c r="R47" s="84" t="str">
        <f>VLOOKUP(C47,'Train Runs'!$A$13:$AE$9934,31,0)</f>
        <v>aws s3 cp s3://rtdc.mdm.uploadarchive.raw/RTDC4027/ "%USERPROFILE%\AppData\Local\Temp\OnboardLogs"\RTDC4027\2017-06-05 --exclude "*" --recursive --include "*20170605*" &amp; "%USERPROFILE%\Documents\GitHub\mrs-test-scripts\Headless Mode &amp; Sideloading\WalkAndUnGZ.bat" "%USERPROFILE%\AppData\Local\Temp\OnboardLogs"\RTDC4027\2017-06-05 &amp; aws s3 cp s3://rtdc.mdm.uploadarchive.raw/RTDC4027/ "%USERPROFILE%\AppData\Local\Temp\OnboardLogs"\RTDC4027\2017-06-06 --exclude "*" --recursive --include "*20170606*" &amp; "%USERPROFILE%\Documents\GitHub\mrs-test-scripts\Headless Mode &amp; Sideloading\WalkAndUnGZ.bat" "%USERPROFILE%\AppData\Local\Temp\OnboardLogs"\RTDC4027\2017-06-06</v>
      </c>
      <c r="S47" s="87" t="str">
        <f>VLOOKUP(C47,'Train Runs'!$A$13:$AE$9934,22,0)</f>
        <v>https://d0f6bd738d7f1b3e5a7ca70fe4ff75f0.us-east-1.aws.found.io/app/kibana#/discover/Steve-Slow-Train-Analysis-(2080s-and-2083s)?_g=(refreshInterval:(display:Off,pause:!f,section:0,value:0),time:(from:'2017-06-05T07:07:11-0600',mode:absolute,to:'2017-06-05T09:26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47" s="89" t="str">
        <f t="shared" si="11"/>
        <v>"C:\Program Files (x86)\AstroGrep\AstroGrep.exe" /e /r /s /spath="%USERPROFILE%\AppData\Local\Temp\OnboardLogs" /stypes="*4027*201706051*" /stext=" 14:.+((SYSTEM_STATE.+slice.+state.+changed )|(ment ac)|(multiple cpu faults)|(system.+state.+changed )|(\[timeout)|(PRM\|1\|D)|(kpr)|(kdp)|(train st.+moving)|(\|lc)|(penalty))"</v>
      </c>
      <c r="U47" s="9" t="str">
        <f t="shared" si="12"/>
        <v>4027</v>
      </c>
      <c r="V47" s="31">
        <f t="shared" si="13"/>
        <v>42891.596296296295</v>
      </c>
      <c r="W47" s="45" t="str">
        <f t="shared" si="14"/>
        <v>NW</v>
      </c>
      <c r="X47" s="45" t="str">
        <f t="shared" si="15"/>
        <v>KEEP</v>
      </c>
      <c r="Y47" s="99" t="str">
        <f t="shared" si="16"/>
        <v>echo {"issue":{"subject":"Wi-MAX data drop","project_id":79,"tracker_id":40,"status_id":1,"priority_id":2,"assigned_to_id":23,"start_date":"2017-06-05","description":"","custom_fields":[{"id":1,"name":"Subdivision","value":"NW"},{"id":4,"name":"Milepost","value":"2.7253"},{"id":17,"name":"Train ID","value":"810-05"},{"id":16,"name":"Locomotive ID","value":"4027"},{"id":130,"name":"Impact","value":""},{"id":150,"name":"Time of Event (Mountain Time)","value":"08:18:40"},{"id":151,"name":"Denver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62"/>
      <c r="AA47" s="47"/>
      <c r="AB47" s="47"/>
      <c r="AC47" s="118" t="str">
        <f t="shared" si="17"/>
        <v>grep -hrE -A400 "Enforcement Action" /cygdrive/c/Users/stu/AppData/Local/Temp/OnboardLogs/RTDC4027 --include="*4027*201706051*"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"%USERPROFILE%\AppData\Local\Temp\OnboardLogs"\RTDC4027\*4027*201706051* &gt;&gt; 2017-06-05-SliceDisagreementCheck.txt</v>
      </c>
      <c r="AE47" s="148" t="str">
        <f t="shared" si="9"/>
        <v>start /low /b %USERPROFILE%\Documents\GitHub\eaglep3\Utilities\DownloadLogsFromS3.py --loco 4027 --day 2017-06-05</v>
      </c>
      <c r="AF47" s="1"/>
    </row>
    <row r="48" spans="1:32" x14ac:dyDescent="0.25">
      <c r="A48" s="31">
        <v>42891.580057870371</v>
      </c>
      <c r="B48" s="30" t="s">
        <v>601</v>
      </c>
      <c r="C48" s="30" t="s">
        <v>602</v>
      </c>
      <c r="D48" s="30" t="s">
        <v>49</v>
      </c>
      <c r="E48" s="30" t="s">
        <v>183</v>
      </c>
      <c r="F48" s="42">
        <v>0</v>
      </c>
      <c r="G48" s="42">
        <v>30</v>
      </c>
      <c r="H48" s="42">
        <v>643</v>
      </c>
      <c r="I48" s="42">
        <v>615</v>
      </c>
      <c r="J48" s="30" t="s">
        <v>184</v>
      </c>
      <c r="K48" s="42">
        <v>575</v>
      </c>
      <c r="L48" s="134" t="s">
        <v>51</v>
      </c>
      <c r="M48" s="135">
        <f t="shared" si="10"/>
        <v>21.12</v>
      </c>
      <c r="N48" s="136" t="str">
        <f>VLOOKUP(C48,'Trips&amp;Operators'!$C$1:$G$99999,5,FALSE)</f>
        <v>LEVIN SCOTT</v>
      </c>
      <c r="O48" s="210" t="s">
        <v>182</v>
      </c>
      <c r="P48" s="137"/>
      <c r="Q48" s="30"/>
      <c r="R48" s="84" t="str">
        <f>VLOOKUP(C48,'Train Runs'!$A$13:$AE$9934,31,0)</f>
        <v>aws s3 cp s3://rtdc.mdm.uploadarchive.raw/RTDC4045/ "%USERPROFILE%\AppData\Local\Temp\OnboardLogs"\RTDC4045\2017-06-05 --exclude "*" --recursive --include "*20170605*" &amp; "%USERPROFILE%\Documents\GitHub\mrs-test-scripts\Headless Mode &amp; Sideloading\WalkAndUnGZ.bat" "%USERPROFILE%\AppData\Local\Temp\OnboardLogs"\RTDC4045\2017-06-05 &amp; aws s3 cp s3://rtdc.mdm.uploadarchive.raw/RTDC4045/ "%USERPROFILE%\AppData\Local\Temp\OnboardLogs"\RTDC4045\2017-06-06 --exclude "*" --recursive --include "*20170606*" &amp; "%USERPROFILE%\Documents\GitHub\mrs-test-scripts\Headless Mode &amp; Sideloading\WalkAndUnGZ.bat" "%USERPROFILE%\AppData\Local\Temp\OnboardLogs"\RTDC4045\2017-06-06</v>
      </c>
      <c r="S48" s="87" t="str">
        <f>VLOOKUP(C48,'Train Runs'!$A$13:$AE$9934,22,0)</f>
        <v>https://d0f6bd738d7f1b3e5a7ca70fe4ff75f0.us-east-1.aws.found.io/app/kibana#/discover/Steve-Slow-Train-Analysis-(2080s-and-2083s)?_g=(refreshInterval:(display:Off,pause:!f,section:0,value:0),time:(from:'2017-06-05T12:37:35-0600',mode:absolute,to:'2017-06-05T14:55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48" s="89" t="str">
        <f t="shared" si="11"/>
        <v>"C:\Program Files (x86)\AstroGrep\AstroGrep.exe" /e /r /s /spath="%USERPROFILE%\AppData\Local\Temp\OnboardLogs" /stypes="*4045*201706051*" /stext=" 19:.+((SYSTEM_STATE.+slice.+state.+changed )|(ment ac)|(multiple cpu faults)|(system.+state.+changed )|(\[timeout)|(PRM\|1\|D)|(kpr)|(kdp)|(train st.+moving)|(\|lc)|(penalty))"</v>
      </c>
      <c r="U48" s="9" t="str">
        <f t="shared" si="12"/>
        <v>4045</v>
      </c>
      <c r="V48" s="31">
        <f t="shared" si="13"/>
        <v>42891.830057870371</v>
      </c>
      <c r="W48" s="45" t="str">
        <f t="shared" si="14"/>
        <v>NW</v>
      </c>
      <c r="X48" s="45" t="str">
        <f t="shared" si="15"/>
        <v>KEEP</v>
      </c>
      <c r="Y48" s="99" t="str">
        <f t="shared" si="16"/>
        <v>echo {"issue":{"subject":"","project_id":79,"tracker_id":40,"status_id":1,"priority_id":2,"assigned_to_id":23,"start_date":"2017-06-05","description":"","custom_fields":[{"id":1,"name":"Subdivision","value":"NW"},{"id":4,"name":"Milepost","value":"0.0575"},{"id":17,"name":"Train ID","value":"822-05"},{"id":16,"name":"Locomotive ID","value":"4045"},{"id":130,"name":"Impact","value":""},{"id":150,"name":"Time of Event (Mountain Time)","value":"13:55:17"},{"id":151,"name":"Denver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62"/>
      <c r="AA48" s="47"/>
      <c r="AB48" s="47"/>
      <c r="AC48" s="118" t="str">
        <f t="shared" si="17"/>
        <v>grep -hrE -A400 "Enforcement Action" /cygdrive/c/Users/stu/AppData/Local/Temp/OnboardLogs/RTDC4045 --include="*4045*201706051*"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"%USERPROFILE%\AppData\Local\Temp\OnboardLogs"\RTDC4045\*4045*201706051* &gt;&gt; 2017-06-05-SliceDisagreementCheck.txt</v>
      </c>
      <c r="AE48" s="148" t="str">
        <f t="shared" si="9"/>
        <v>start /low /b %USERPROFILE%\Documents\GitHub\eaglep3\Utilities\DownloadLogsFromS3.py --loco 4045 --day 2017-06-05</v>
      </c>
      <c r="AF48" s="1"/>
    </row>
    <row r="49" spans="1:32" x14ac:dyDescent="0.25">
      <c r="A49" s="31">
        <v>42891.621238425927</v>
      </c>
      <c r="B49" s="30" t="s">
        <v>601</v>
      </c>
      <c r="C49" s="30" t="s">
        <v>603</v>
      </c>
      <c r="D49" s="30" t="s">
        <v>49</v>
      </c>
      <c r="E49" s="30" t="s">
        <v>183</v>
      </c>
      <c r="F49" s="42">
        <v>0</v>
      </c>
      <c r="G49" s="42">
        <v>38</v>
      </c>
      <c r="H49" s="42">
        <v>670</v>
      </c>
      <c r="I49" s="42">
        <v>640</v>
      </c>
      <c r="J49" s="30" t="s">
        <v>184</v>
      </c>
      <c r="K49" s="42">
        <v>575</v>
      </c>
      <c r="L49" s="134" t="s">
        <v>51</v>
      </c>
      <c r="M49" s="135">
        <f t="shared" si="10"/>
        <v>34.32</v>
      </c>
      <c r="N49" s="136" t="str">
        <f>VLOOKUP(C49,'Trips&amp;Operators'!$C$1:$G$99999,5,FALSE)</f>
        <v>LEVIN SCOTT</v>
      </c>
      <c r="O49" s="210" t="s">
        <v>182</v>
      </c>
      <c r="P49" s="137"/>
      <c r="Q49" s="30"/>
      <c r="R49" s="84" t="str">
        <f>VLOOKUP(C49,'Train Runs'!$A$13:$AE$9934,31,0)</f>
        <v>aws s3 cp s3://rtdc.mdm.uploadarchive.raw/RTDC4045/ "%USERPROFILE%\AppData\Local\Temp\OnboardLogs"\RTDC4045\2017-06-05 --exclude "*" --recursive --include "*20170605*" &amp; "%USERPROFILE%\Documents\GitHub\mrs-test-scripts\Headless Mode &amp; Sideloading\WalkAndUnGZ.bat" "%USERPROFILE%\AppData\Local\Temp\OnboardLogs"\RTDC4045\2017-06-05 &amp; aws s3 cp s3://rtdc.mdm.uploadarchive.raw/RTDC4045/ "%USERPROFILE%\AppData\Local\Temp\OnboardLogs"\RTDC4045\2017-06-06 --exclude "*" --recursive --include "*20170606*" &amp; "%USERPROFILE%\Documents\GitHub\mrs-test-scripts\Headless Mode &amp; Sideloading\WalkAndUnGZ.bat" "%USERPROFILE%\AppData\Local\Temp\OnboardLogs"\RTDC4045\2017-06-06</v>
      </c>
      <c r="S49" s="87" t="str">
        <f>VLOOKUP(C49,'Train Runs'!$A$13:$AE$9934,22,0)</f>
        <v>https://d0f6bd738d7f1b3e5a7ca70fe4ff75f0.us-east-1.aws.found.io/app/kibana#/discover/Steve-Slow-Train-Analysis-(2080s-and-2083s)?_g=(refreshInterval:(display:Off,pause:!f,section:0,value:0),time:(from:'2017-06-05T13:39:11-0600',mode:absolute,to:'2017-06-05T15:54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49" s="89" t="str">
        <f t="shared" si="11"/>
        <v>"C:\Program Files (x86)\AstroGrep\AstroGrep.exe" /e /r /s /spath="%USERPROFILE%\AppData\Local\Temp\OnboardLogs" /stypes="*4045*201706052*" /stext=" 20:.+((SYSTEM_STATE.+slice.+state.+changed )|(ment ac)|(multiple cpu faults)|(system.+state.+changed )|(\[timeout)|(PRM\|1\|D)|(kpr)|(kdp)|(train st.+moving)|(\|lc)|(penalty))"</v>
      </c>
      <c r="U49" s="9" t="str">
        <f t="shared" si="12"/>
        <v>4045</v>
      </c>
      <c r="V49" s="31">
        <f t="shared" si="13"/>
        <v>42891.871238425927</v>
      </c>
      <c r="W49" s="45" t="str">
        <f t="shared" si="14"/>
        <v>NW</v>
      </c>
      <c r="X49" s="45" t="str">
        <f t="shared" si="15"/>
        <v>KEEP</v>
      </c>
      <c r="Y49" s="99" t="str">
        <f t="shared" si="16"/>
        <v>echo {"issue":{"subject":"","project_id":79,"tracker_id":40,"status_id":1,"priority_id":2,"assigned_to_id":23,"start_date":"2017-06-05","description":"","custom_fields":[{"id":1,"name":"Subdivision","value":"NW"},{"id":4,"name":"Milepost","value":"0.0575"},{"id":17,"name":"Train ID","value":"824-05"},{"id":16,"name":"Locomotive ID","value":"4045"},{"id":130,"name":"Impact","value":""},{"id":150,"name":"Time of Event (Mountain Time)","value":"14:54:35"},{"id":151,"name":"Denver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62"/>
      <c r="AA49" s="47"/>
      <c r="AB49" s="47"/>
      <c r="AC49" s="118" t="str">
        <f t="shared" si="17"/>
        <v>grep -hrE -A400 "Enforcement Action" /cygdrive/c/Users/stu/AppData/Local/Temp/OnboardLogs/RTDC4045 --include="*4045*201706052*"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"%USERPROFILE%\AppData\Local\Temp\OnboardLogs"\RTDC4045\*4045*201706052* &gt;&gt; 2017-06-05-SliceDisagreementCheck.txt</v>
      </c>
      <c r="AE49" s="148" t="str">
        <f t="shared" si="9"/>
        <v>start /low /b %USERPROFILE%\Documents\GitHub\eaglep3\Utilities\DownloadLogsFromS3.py --loco 4045 --day 2017-06-05</v>
      </c>
      <c r="AF49" s="1"/>
    </row>
    <row r="50" spans="1:32" x14ac:dyDescent="0.25">
      <c r="A50" s="31">
        <v>42891.663425925923</v>
      </c>
      <c r="B50" s="30" t="s">
        <v>601</v>
      </c>
      <c r="C50" s="30" t="s">
        <v>606</v>
      </c>
      <c r="D50" s="30" t="s">
        <v>49</v>
      </c>
      <c r="E50" s="30" t="s">
        <v>183</v>
      </c>
      <c r="F50" s="42">
        <v>0</v>
      </c>
      <c r="G50" s="42">
        <v>31</v>
      </c>
      <c r="H50" s="42">
        <v>659</v>
      </c>
      <c r="I50" s="42">
        <v>635</v>
      </c>
      <c r="J50" s="30" t="s">
        <v>184</v>
      </c>
      <c r="K50" s="42">
        <v>575</v>
      </c>
      <c r="L50" s="134" t="s">
        <v>51</v>
      </c>
      <c r="M50" s="135">
        <f t="shared" si="10"/>
        <v>31.68</v>
      </c>
      <c r="N50" s="136" t="str">
        <f>VLOOKUP(C50,'Trips&amp;Operators'!$C$1:$G$99999,5,FALSE)</f>
        <v>LEVIN SCOTT</v>
      </c>
      <c r="O50" s="210" t="s">
        <v>182</v>
      </c>
      <c r="P50" s="137"/>
      <c r="Q50" s="30"/>
      <c r="R50" s="84" t="str">
        <f>VLOOKUP(C50,'Train Runs'!$A$13:$AE$9934,31,0)</f>
        <v>aws s3 cp s3://rtdc.mdm.uploadarchive.raw/RTDC4045/ "%USERPROFILE%\AppData\Local\Temp\OnboardLogs"\RTDC4045\2017-06-05 --exclude "*" --recursive --include "*20170605*" &amp; "%USERPROFILE%\Documents\GitHub\mrs-test-scripts\Headless Mode &amp; Sideloading\WalkAndUnGZ.bat" "%USERPROFILE%\AppData\Local\Temp\OnboardLogs"\RTDC4045\2017-06-05 &amp; aws s3 cp s3://rtdc.mdm.uploadarchive.raw/RTDC4045/ "%USERPROFILE%\AppData\Local\Temp\OnboardLogs"\RTDC4045\2017-06-06 --exclude "*" --recursive --include "*20170606*" &amp; "%USERPROFILE%\Documents\GitHub\mrs-test-scripts\Headless Mode &amp; Sideloading\WalkAndUnGZ.bat" "%USERPROFILE%\AppData\Local\Temp\OnboardLogs"\RTDC4045\2017-06-06</v>
      </c>
      <c r="S50" s="87" t="str">
        <f>VLOOKUP(C50,'Train Runs'!$A$13:$AE$9934,22,0)</f>
        <v>https://d0f6bd738d7f1b3e5a7ca70fe4ff75f0.us-east-1.aws.found.io/app/kibana#/discover/Steve-Slow-Train-Analysis-(2080s-and-2083s)?_g=(refreshInterval:(display:Off,pause:!f,section:0,value:0),time:(from:'2017-06-05T14:36:37-0600',mode:absolute,to:'2017-06-05T16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50" s="89" t="str">
        <f t="shared" si="11"/>
        <v>"C:\Program Files (x86)\AstroGrep\AstroGrep.exe" /e /r /s /spath="%USERPROFILE%\AppData\Local\Temp\OnboardLogs" /stypes="*4045*201706052*" /stext=" 21:.+((SYSTEM_STATE.+slice.+state.+changed )|(ment ac)|(multiple cpu faults)|(system.+state.+changed )|(\[timeout)|(PRM\|1\|D)|(kpr)|(kdp)|(train st.+moving)|(\|lc)|(penalty))"</v>
      </c>
      <c r="U50" s="9" t="str">
        <f t="shared" si="12"/>
        <v>4045</v>
      </c>
      <c r="V50" s="31">
        <f t="shared" si="13"/>
        <v>42891.913425925923</v>
      </c>
      <c r="W50" s="45" t="str">
        <f t="shared" si="14"/>
        <v>NW</v>
      </c>
      <c r="X50" s="45" t="str">
        <f t="shared" si="15"/>
        <v>KEEP</v>
      </c>
      <c r="Y50" s="99" t="str">
        <f t="shared" si="16"/>
        <v>echo {"issue":{"subject":"","project_id":79,"tracker_id":40,"status_id":1,"priority_id":2,"assigned_to_id":23,"start_date":"2017-06-05","description":"","custom_fields":[{"id":1,"name":"Subdivision","value":"NW"},{"id":4,"name":"Milepost","value":"0.0575"},{"id":17,"name":"Train ID","value":"826-05"},{"id":16,"name":"Locomotive ID","value":"4045"},{"id":130,"name":"Impact","value":""},{"id":150,"name":"Time of Event (Mountain Time)","value":"15:55:20"},{"id":151,"name":"Denver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162"/>
      <c r="AA50" s="47"/>
      <c r="AB50" s="47"/>
      <c r="AC50" s="118" t="str">
        <f t="shared" si="17"/>
        <v>grep -hrE -A400 "Enforcement Action" /cygdrive/c/Users/stu/AppData/Local/Temp/OnboardLogs/RTDC4045 --include="*4045*201706052*"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"%USERPROFILE%\AppData\Local\Temp\OnboardLogs"\RTDC4045\*4045*201706052* &gt;&gt; 2017-06-05-SliceDisagreementCheck.txt</v>
      </c>
      <c r="AE50" s="148" t="str">
        <f t="shared" si="9"/>
        <v>start /low /b %USERPROFILE%\Documents\GitHub\eaglep3\Utilities\DownloadLogsFromS3.py --loco 4045 --day 2017-06-05</v>
      </c>
      <c r="AF50" s="1"/>
    </row>
    <row r="51" spans="1:32" x14ac:dyDescent="0.25">
      <c r="A51" s="31">
        <v>42891.684525462966</v>
      </c>
      <c r="B51" s="30" t="s">
        <v>342</v>
      </c>
      <c r="C51" s="30" t="s">
        <v>608</v>
      </c>
      <c r="D51" s="30" t="s">
        <v>49</v>
      </c>
      <c r="E51" s="30" t="s">
        <v>183</v>
      </c>
      <c r="F51" s="42">
        <v>0</v>
      </c>
      <c r="G51" s="42">
        <v>55</v>
      </c>
      <c r="H51" s="42">
        <v>738</v>
      </c>
      <c r="I51" s="42">
        <v>685</v>
      </c>
      <c r="J51" s="30" t="s">
        <v>184</v>
      </c>
      <c r="K51" s="42">
        <v>575</v>
      </c>
      <c r="L51" s="134" t="s">
        <v>51</v>
      </c>
      <c r="M51" s="135">
        <f t="shared" si="10"/>
        <v>58.08</v>
      </c>
      <c r="N51" s="136" t="str">
        <f>VLOOKUP(C51,'Trips&amp;Operators'!$C$1:$G$99999,5,FALSE)</f>
        <v>STAMBAUGH JAMES</v>
      </c>
      <c r="O51" s="210" t="s">
        <v>182</v>
      </c>
      <c r="P51" s="137"/>
      <c r="Q51" s="30"/>
      <c r="R51" s="84" t="str">
        <f>VLOOKUP(C51,'Train Runs'!$A$13:$AE$9934,31,0)</f>
        <v>aws s3 cp s3://rtdc.mdm.uploadarchive.raw/RTDC4027/ "%USERPROFILE%\AppData\Local\Temp\OnboardLogs"\RTDC4027\2017-06-05 --exclude "*" --recursive --include "*20170605*" &amp; "%USERPROFILE%\Documents\GitHub\mrs-test-scripts\Headless Mode &amp; Sideloading\WalkAndUnGZ.bat" "%USERPROFILE%\AppData\Local\Temp\OnboardLogs"\RTDC4027\2017-06-05 &amp; aws s3 cp s3://rtdc.mdm.uploadarchive.raw/RTDC4027/ "%USERPROFILE%\AppData\Local\Temp\OnboardLogs"\RTDC4027\2017-06-06 --exclude "*" --recursive --include "*20170606*" &amp; "%USERPROFILE%\Documents\GitHub\mrs-test-scripts\Headless Mode &amp; Sideloading\WalkAndUnGZ.bat" "%USERPROFILE%\AppData\Local\Temp\OnboardLogs"\RTDC4027\2017-06-06</v>
      </c>
      <c r="S51" s="87" t="str">
        <f>VLOOKUP(C51,'Train Runs'!$A$13:$AE$9934,22,0)</f>
        <v>https://d0f6bd738d7f1b3e5a7ca70fe4ff75f0.us-east-1.aws.found.io/app/kibana#/discover/Steve-Slow-Train-Analysis-(2080s-and-2083s)?_g=(refreshInterval:(display:Off,pause:!f,section:0,value:0),time:(from:'2017-06-05T15:06:45-0600',mode:absolute,to:'2017-06-05T17:25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51" s="89" t="str">
        <f t="shared" si="11"/>
        <v>"C:\Program Files (x86)\AstroGrep\AstroGrep.exe" /e /r /s /spath="%USERPROFILE%\AppData\Local\Temp\OnboardLogs" /stypes="*4027*201706052*" /stext=" 22:.+((SYSTEM_STATE.+slice.+state.+changed )|(ment ac)|(multiple cpu faults)|(system.+state.+changed )|(\[timeout)|(PRM\|1\|D)|(kpr)|(kdp)|(train st.+moving)|(\|lc)|(penalty))"</v>
      </c>
      <c r="U51" s="9" t="str">
        <f t="shared" si="12"/>
        <v>4027</v>
      </c>
      <c r="V51" s="31">
        <f t="shared" si="13"/>
        <v>42891.934525462966</v>
      </c>
      <c r="W51" s="45" t="str">
        <f t="shared" si="14"/>
        <v>NW</v>
      </c>
      <c r="X51" s="45" t="str">
        <f t="shared" si="15"/>
        <v>KEEP</v>
      </c>
      <c r="Y51" s="99" t="str">
        <f t="shared" si="16"/>
        <v>echo {"issue":{"subject":"","project_id":79,"tracker_id":40,"status_id":1,"priority_id":2,"assigned_to_id":23,"start_date":"2017-06-05","description":"","custom_fields":[{"id":1,"name":"Subdivision","value":"NW"},{"id":4,"name":"Milepost","value":"0.0575"},{"id":17,"name":"Train ID","value":"828-05"},{"id":16,"name":"Locomotive ID","value":"4027"},{"id":130,"name":"Impact","value":""},{"id":150,"name":"Time of Event (Mountain Time)","value":"16:25:43"},{"id":151,"name":"Denver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162"/>
      <c r="AA51" s="47"/>
      <c r="AB51" s="47"/>
      <c r="AC51" s="118" t="str">
        <f t="shared" si="17"/>
        <v>grep -hrE -A400 "Enforcement Action" /cygdrive/c/Users/stu/AppData/Local/Temp/OnboardLogs/RTDC4027 --include="*4027*201706052*" | grep -E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"%USERPROFILE%\AppData\Local\Temp\OnboardLogs"\RTDC4027\*4027*201706052* &gt;&gt; 2017-06-05-SliceDisagreementCheck.txt</v>
      </c>
      <c r="AE51" s="148" t="str">
        <f t="shared" si="9"/>
        <v>start /low /b %USERPROFILE%\Documents\GitHub\eaglep3\Utilities\DownloadLogsFromS3.py --loco 4027 --day 2017-06-05</v>
      </c>
      <c r="AF51" s="1"/>
    </row>
    <row r="52" spans="1:32" x14ac:dyDescent="0.25">
      <c r="A52" s="31">
        <v>42891.790706018517</v>
      </c>
      <c r="B52" s="30" t="s">
        <v>601</v>
      </c>
      <c r="C52" s="30" t="s">
        <v>618</v>
      </c>
      <c r="D52" s="30" t="s">
        <v>49</v>
      </c>
      <c r="E52" s="30" t="s">
        <v>183</v>
      </c>
      <c r="F52" s="42">
        <v>0</v>
      </c>
      <c r="G52" s="42">
        <v>28</v>
      </c>
      <c r="H52" s="42">
        <v>629</v>
      </c>
      <c r="I52" s="42">
        <v>605</v>
      </c>
      <c r="J52" s="30" t="s">
        <v>184</v>
      </c>
      <c r="K52" s="42">
        <v>575</v>
      </c>
      <c r="L52" s="134" t="s">
        <v>51</v>
      </c>
      <c r="M52" s="135">
        <f t="shared" si="10"/>
        <v>15.84</v>
      </c>
      <c r="N52" s="136" t="str">
        <f>VLOOKUP(C52,'Trips&amp;Operators'!$C$1:$G$99999,5,FALSE)</f>
        <v>LEVIN SCOTT</v>
      </c>
      <c r="O52" s="210" t="s">
        <v>182</v>
      </c>
      <c r="P52" s="137"/>
      <c r="Q52" s="30"/>
      <c r="R52" s="84" t="str">
        <f>VLOOKUP(C52,'Train Runs'!$A$13:$AE$9934,31,0)</f>
        <v>aws s3 cp s3://rtdc.mdm.uploadarchive.raw/RTDC4045/ "%USERPROFILE%\AppData\Local\Temp\OnboardLogs"\RTDC4045\2017-06-05 --exclude "*" --recursive --include "*20170605*" &amp; "%USERPROFILE%\Documents\GitHub\mrs-test-scripts\Headless Mode &amp; Sideloading\WalkAndUnGZ.bat" "%USERPROFILE%\AppData\Local\Temp\OnboardLogs"\RTDC4045\2017-06-05 &amp; aws s3 cp s3://rtdc.mdm.uploadarchive.raw/RTDC4045/ "%USERPROFILE%\AppData\Local\Temp\OnboardLogs"\RTDC4045\2017-06-06 --exclude "*" --recursive --include "*20170606*" &amp; "%USERPROFILE%\Documents\GitHub\mrs-test-scripts\Headless Mode &amp; Sideloading\WalkAndUnGZ.bat" "%USERPROFILE%\AppData\Local\Temp\OnboardLogs"\RTDC4045\2017-06-06</v>
      </c>
      <c r="S52" s="87" t="str">
        <f>VLOOKUP(C52,'Train Runs'!$A$13:$AE$9934,22,0)</f>
        <v>https://d0f6bd738d7f1b3e5a7ca70fe4ff75f0.us-east-1.aws.found.io/app/kibana#/discover/Steve-Slow-Train-Analysis-(2080s-and-2083s)?_g=(refreshInterval:(display:Off,pause:!f,section:0,value:0),time:(from:'2017-06-05T17:35:52-0600',mode:absolute,to:'2017-06-05T19:58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52" s="89" t="str">
        <f t="shared" si="11"/>
        <v>"C:\Program Files (x86)\AstroGrep\AstroGrep.exe" /e /r /s /spath="%USERPROFILE%\AppData\Local\Temp\OnboardLogs" /stypes="*4045*201706060*" /stext=" 00:.+((SYSTEM_STATE.+slice.+state.+changed )|(ment ac)|(multiple cpu faults)|(system.+state.+changed )|(\[timeout)|(PRM\|1\|D)|(kpr)|(kdp)|(train st.+moving)|(\|lc)|(penalty))"</v>
      </c>
      <c r="U52" s="9" t="str">
        <f t="shared" si="12"/>
        <v>4045</v>
      </c>
      <c r="V52" s="31">
        <f t="shared" si="13"/>
        <v>42892.040706018517</v>
      </c>
      <c r="W52" s="45" t="str">
        <f t="shared" si="14"/>
        <v>NW</v>
      </c>
      <c r="X52" s="45" t="str">
        <f t="shared" si="15"/>
        <v>KEEP</v>
      </c>
      <c r="Y52" s="99" t="str">
        <f t="shared" si="16"/>
        <v>echo {"issue":{"subject":"","project_id":79,"tracker_id":40,"status_id":1,"priority_id":2,"assigned_to_id":23,"start_date":"2017-06-05","description":"","custom_fields":[{"id":1,"name":"Subdivision","value":"NW"},{"id":4,"name":"Milepost","value":"0.0575"},{"id":17,"name":"Train ID","value":"838-05"},{"id":16,"name":"Locomotive ID","value":"4045"},{"id":130,"name":"Impact","value":""},{"id":150,"name":"Time of Event (Mountain Time)","value":"18:58:37"},{"id":151,"name":"Denver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162"/>
      <c r="AA52" s="47"/>
      <c r="AB52" s="47"/>
      <c r="AC52" s="118" t="str">
        <f t="shared" si="17"/>
        <v>grep -hrE -A400 "Enforcement Action" /cygdrive/c/Users/stu/AppData/Local/Temp/OnboardLogs/RTDC4045 --include="*4045*201706060*" | grep -E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"%USERPROFILE%\AppData\Local\Temp\OnboardLogs"\RTDC4045\*4045*201706060* &gt;&gt; 2017-06-05-SliceDisagreementCheck.txt</v>
      </c>
      <c r="AE52" s="148" t="str">
        <f t="shared" si="9"/>
        <v>start /low /b %USERPROFILE%\Documents\GitHub\eaglep3\Utilities\DownloadLogsFromS3.py --loco 4045 --day 2017-06-06</v>
      </c>
      <c r="AF52" s="1"/>
    </row>
    <row r="53" spans="1:32" x14ac:dyDescent="0.25">
      <c r="A53" s="31">
        <v>42891.829571759263</v>
      </c>
      <c r="B53" s="30" t="s">
        <v>601</v>
      </c>
      <c r="C53" s="30" t="s">
        <v>622</v>
      </c>
      <c r="D53" s="30" t="s">
        <v>49</v>
      </c>
      <c r="E53" s="30" t="s">
        <v>183</v>
      </c>
      <c r="F53" s="42">
        <v>0</v>
      </c>
      <c r="G53" s="42">
        <v>55</v>
      </c>
      <c r="H53" s="42">
        <v>764</v>
      </c>
      <c r="I53" s="42">
        <v>719</v>
      </c>
      <c r="J53" s="30" t="s">
        <v>184</v>
      </c>
      <c r="K53" s="42">
        <v>575</v>
      </c>
      <c r="L53" s="134" t="s">
        <v>51</v>
      </c>
      <c r="M53" s="135">
        <f t="shared" si="10"/>
        <v>76.031999999999996</v>
      </c>
      <c r="N53" s="136" t="str">
        <f>VLOOKUP(C53,'Trips&amp;Operators'!$C$1:$G$99999,5,FALSE)</f>
        <v>LEVIN SCOTT</v>
      </c>
      <c r="O53" s="210" t="s">
        <v>182</v>
      </c>
      <c r="P53" s="137"/>
      <c r="Q53" s="30"/>
      <c r="R53" s="84" t="str">
        <f>VLOOKUP(C53,'Train Runs'!$A$13:$AE$9934,31,0)</f>
        <v>aws s3 cp s3://rtdc.mdm.uploadarchive.raw/RTDC4045/ "%USERPROFILE%\AppData\Local\Temp\OnboardLogs"\RTDC4045\2017-06-05 --exclude "*" --recursive --include "*20170605*" &amp; "%USERPROFILE%\Documents\GitHub\mrs-test-scripts\Headless Mode &amp; Sideloading\WalkAndUnGZ.bat" "%USERPROFILE%\AppData\Local\Temp\OnboardLogs"\RTDC4045\2017-06-05 &amp; aws s3 cp s3://rtdc.mdm.uploadarchive.raw/RTDC4045/ "%USERPROFILE%\AppData\Local\Temp\OnboardLogs"\RTDC4045\2017-06-06 --exclude "*" --recursive --include "*20170606*" &amp; "%USERPROFILE%\Documents\GitHub\mrs-test-scripts\Headless Mode &amp; Sideloading\WalkAndUnGZ.bat" "%USERPROFILE%\AppData\Local\Temp\OnboardLogs"\RTDC4045\2017-06-06</v>
      </c>
      <c r="S53" s="87" t="str">
        <f>VLOOKUP(C53,'Train Runs'!$A$13:$AE$9934,22,0)</f>
        <v>https://d0f6bd738d7f1b3e5a7ca70fe4ff75f0.us-east-1.aws.found.io/app/kibana#/discover/Steve-Slow-Train-Analysis-(2080s-and-2083s)?_g=(refreshInterval:(display:Off,pause:!f,section:0,value:0),time:(from:'2017-06-05T18:37:54-0600',mode:absolute,to:'2017-06-05T20:54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53" s="89" t="str">
        <f t="shared" si="11"/>
        <v>"C:\Program Files (x86)\AstroGrep\AstroGrep.exe" /e /r /s /spath="%USERPROFILE%\AppData\Local\Temp\OnboardLogs" /stypes="*4045*201706060*" /stext=" 01:.+((SYSTEM_STATE.+slice.+state.+changed )|(ment ac)|(multiple cpu faults)|(system.+state.+changed )|(\[timeout)|(PRM\|1\|D)|(kpr)|(kdp)|(train st.+moving)|(\|lc)|(penalty))"</v>
      </c>
      <c r="U53" s="9" t="str">
        <f t="shared" si="12"/>
        <v>4045</v>
      </c>
      <c r="V53" s="31">
        <f t="shared" si="13"/>
        <v>42892.079571759263</v>
      </c>
      <c r="W53" s="45" t="str">
        <f t="shared" si="14"/>
        <v>NW</v>
      </c>
      <c r="X53" s="45" t="str">
        <f t="shared" si="15"/>
        <v>KEEP</v>
      </c>
      <c r="Y53" s="99" t="str">
        <f t="shared" si="16"/>
        <v>echo {"issue":{"subject":"","project_id":79,"tracker_id":40,"status_id":1,"priority_id":2,"assigned_to_id":23,"start_date":"2017-06-05","description":"","custom_fields":[{"id":1,"name":"Subdivision","value":"NW"},{"id":4,"name":"Milepost","value":"0.0575"},{"id":17,"name":"Train ID","value":"840-05"},{"id":16,"name":"Locomotive ID","value":"4045"},{"id":130,"name":"Impact","value":""},{"id":150,"name":"Time of Event (Mountain Time)","value":"19:54:35"},{"id":151,"name":"Denver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162"/>
      <c r="AA53" s="47"/>
      <c r="AB53" s="47"/>
      <c r="AC53" s="118" t="str">
        <f t="shared" si="17"/>
        <v>grep -hrE -A400 "Enforcement Action" /cygdrive/c/Users/stu/AppData/Local/Temp/OnboardLogs/RTDC4045 --include="*4045*201706060*" | grep -E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"%USERPROFILE%\AppData\Local\Temp\OnboardLogs"\RTDC4045\*4045*201706060* &gt;&gt; 2017-06-05-SliceDisagreementCheck.txt</v>
      </c>
      <c r="AE53" s="148" t="str">
        <f t="shared" si="9"/>
        <v>start /low /b %USERPROFILE%\Documents\GitHub\eaglep3\Utilities\DownloadLogsFromS3.py --loco 4045 --day 2017-06-06</v>
      </c>
      <c r="AF53" s="1"/>
    </row>
    <row r="54" spans="1:32" x14ac:dyDescent="0.25">
      <c r="A54" s="31">
        <v>42891.913865740738</v>
      </c>
      <c r="B54" s="30" t="s">
        <v>601</v>
      </c>
      <c r="C54" s="30" t="s">
        <v>624</v>
      </c>
      <c r="D54" s="30" t="s">
        <v>49</v>
      </c>
      <c r="E54" s="30" t="s">
        <v>183</v>
      </c>
      <c r="F54" s="42">
        <v>0</v>
      </c>
      <c r="G54" s="42">
        <v>77</v>
      </c>
      <c r="H54" s="42">
        <v>831</v>
      </c>
      <c r="I54" s="42">
        <v>747</v>
      </c>
      <c r="J54" s="30" t="s">
        <v>184</v>
      </c>
      <c r="K54" s="42">
        <v>575</v>
      </c>
      <c r="L54" s="134" t="s">
        <v>51</v>
      </c>
      <c r="M54" s="135">
        <f t="shared" si="10"/>
        <v>90.816000000000003</v>
      </c>
      <c r="N54" s="136" t="str">
        <f>VLOOKUP(C54,'Trips&amp;Operators'!$C$1:$G$99999,5,FALSE)</f>
        <v>STAMBAUGH JAMES</v>
      </c>
      <c r="O54" s="210" t="s">
        <v>182</v>
      </c>
      <c r="P54" s="137"/>
      <c r="Q54" s="30"/>
      <c r="R54" s="84" t="str">
        <f>VLOOKUP(C54,'Train Runs'!$A$13:$AE$9934,31,0)</f>
        <v>aws s3 cp s3://rtdc.mdm.uploadarchive.raw/RTDC4045/ "%USERPROFILE%\AppData\Local\Temp\OnboardLogs"\RTDC4045\2017-06-05 --exclude "*" --recursive --include "*20170605*" &amp; "%USERPROFILE%\Documents\GitHub\mrs-test-scripts\Headless Mode &amp; Sideloading\WalkAndUnGZ.bat" "%USERPROFILE%\AppData\Local\Temp\OnboardLogs"\RTDC4045\2017-06-05 &amp; aws s3 cp s3://rtdc.mdm.uploadarchive.raw/RTDC4045/ "%USERPROFILE%\AppData\Local\Temp\OnboardLogs"\RTDC4045\2017-06-06 --exclude "*" --recursive --include "*20170606*" &amp; "%USERPROFILE%\Documents\GitHub\mrs-test-scripts\Headless Mode &amp; Sideloading\WalkAndUnGZ.bat" "%USERPROFILE%\AppData\Local\Temp\OnboardLogs"\RTDC4045\2017-06-06</v>
      </c>
      <c r="S54" s="87" t="str">
        <f>VLOOKUP(C54,'Train Runs'!$A$13:$AE$9934,22,0)</f>
        <v>https://d0f6bd738d7f1b3e5a7ca70fe4ff75f0.us-east-1.aws.found.io/app/kibana#/discover/Steve-Slow-Train-Analysis-(2080s-and-2083s)?_g=(refreshInterval:(display:Off,pause:!f,section:0,value:0),time:(from:'2017-06-05T20:37:45-0600',mode:absolute,to:'2017-06-05T22:55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54" s="89" t="str">
        <f t="shared" si="11"/>
        <v>"C:\Program Files (x86)\AstroGrep\AstroGrep.exe" /e /r /s /spath="%USERPROFILE%\AppData\Local\Temp\OnboardLogs" /stypes="*4045*201706060*" /stext=" 03:.+((SYSTEM_STATE.+slice.+state.+changed )|(ment ac)|(multiple cpu faults)|(system.+state.+changed )|(\[timeout)|(PRM\|1\|D)|(kpr)|(kdp)|(train st.+moving)|(\|lc)|(penalty))"</v>
      </c>
      <c r="U54" s="9" t="str">
        <f t="shared" si="12"/>
        <v>4045</v>
      </c>
      <c r="V54" s="31">
        <f t="shared" si="13"/>
        <v>42892.163865740738</v>
      </c>
      <c r="W54" s="45" t="str">
        <f t="shared" si="14"/>
        <v>NW</v>
      </c>
      <c r="X54" s="45" t="str">
        <f t="shared" si="15"/>
        <v>KEEP</v>
      </c>
      <c r="Y54" s="99" t="str">
        <f t="shared" si="16"/>
        <v>echo {"issue":{"subject":"","project_id":79,"tracker_id":40,"status_id":1,"priority_id":2,"assigned_to_id":23,"start_date":"2017-06-05","description":"","custom_fields":[{"id":1,"name":"Subdivision","value":"NW"},{"id":4,"name":"Milepost","value":"0.0575"},{"id":17,"name":"Train ID","value":"844-05"},{"id":16,"name":"Locomotive ID","value":"4045"},{"id":130,"name":"Impact","value":""},{"id":150,"name":"Time of Event (Mountain Time)","value":"21:55:58"},{"id":151,"name":"Denver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162"/>
      <c r="AA54" s="47"/>
      <c r="AB54" s="47"/>
      <c r="AC54" s="118" t="str">
        <f t="shared" si="17"/>
        <v>grep -hrE -A400 "Enforcement Action" /cygdrive/c/Users/stu/AppData/Local/Temp/OnboardLogs/RTDC4045 --include="*4045*201706060*" | grep -E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"%USERPROFILE%\AppData\Local\Temp\OnboardLogs"\RTDC4045\*4045*201706060* &gt;&gt; 2017-06-05-SliceDisagreementCheck.txt</v>
      </c>
      <c r="AE54" s="148" t="str">
        <f t="shared" si="9"/>
        <v>start /low /b %USERPROFILE%\Documents\GitHub\eaglep3\Utilities\DownloadLogsFromS3.py --loco 4045 --day 2017-06-06</v>
      </c>
      <c r="AF54" s="1"/>
    </row>
    <row r="55" spans="1:32" x14ac:dyDescent="0.25">
      <c r="A55" s="31">
        <v>42891.538159722222</v>
      </c>
      <c r="B55" s="30" t="s">
        <v>595</v>
      </c>
      <c r="C55" s="30" t="s">
        <v>596</v>
      </c>
      <c r="D55" s="30" t="s">
        <v>98</v>
      </c>
      <c r="E55" s="30" t="s">
        <v>202</v>
      </c>
      <c r="F55" s="42">
        <v>150</v>
      </c>
      <c r="G55" s="42">
        <v>208</v>
      </c>
      <c r="H55" s="42">
        <v>3223</v>
      </c>
      <c r="I55" s="42">
        <v>3616</v>
      </c>
      <c r="J55" s="30" t="s">
        <v>203</v>
      </c>
      <c r="K55" s="42">
        <v>2096</v>
      </c>
      <c r="L55" s="134" t="s">
        <v>50</v>
      </c>
      <c r="M55" s="135">
        <f t="shared" si="10"/>
        <v>-802.56</v>
      </c>
      <c r="N55" s="136" t="str">
        <f>VLOOKUP(C55,'Trips&amp;Operators'!$C$1:$G$99999,5,FALSE)</f>
        <v>BROWN JACOB</v>
      </c>
      <c r="O55" s="210" t="s">
        <v>182</v>
      </c>
      <c r="P55" s="137"/>
      <c r="Q55" s="30"/>
      <c r="R55" s="84" t="str">
        <f>VLOOKUP(C55,'Train Runs'!$A$13:$AE$9934,31,0)</f>
        <v>aws s3 cp s3://rtdc.mdm.uploadarchive.raw/RTDC4031/ "%USERPROFILE%\AppData\Local\Temp\OnboardLogs"\RTDC4031\2017-06-05 --exclude "*" --recursive --include "*20170605*" &amp; "%USERPROFILE%\Documents\GitHub\mrs-test-scripts\Headless Mode &amp; Sideloading\WalkAndUnGZ.bat" "%USERPROFILE%\AppData\Local\Temp\OnboardLogs"\RTDC4031\2017-06-05 &amp; aws s3 cp s3://rtdc.mdm.uploadarchive.raw/RTDC4031/ "%USERPROFILE%\AppData\Local\Temp\OnboardLogs"\RTDC4031\2017-06-06 --exclude "*" --recursive --include "*20170606*" &amp; "%USERPROFILE%\Documents\GitHub\mrs-test-scripts\Headless Mode &amp; Sideloading\WalkAndUnGZ.bat" "%USERPROFILE%\AppData\Local\Temp\OnboardLogs"\RTDC4031\2017-06-06</v>
      </c>
      <c r="S55" s="87" t="str">
        <f>VLOOKUP(C55,'Train Runs'!$A$13:$AE$9934,22,0)</f>
        <v>https://d0f6bd738d7f1b3e5a7ca70fe4ff75f0.us-east-1.aws.found.io/app/kibana#/discover/Steve-Slow-Train-Analysis-(2080s-and-2083s)?_g=(refreshInterval:(display:Off,pause:!f,section:0,value:0),time:(from:'2017-06-05T11:59:48-0600',mode:absolute,to:'2017-06-05T14:06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55" s="89" t="str">
        <f t="shared" si="11"/>
        <v>"C:\Program Files (x86)\AstroGrep\AstroGrep.exe" /e /r /s /spath="%USERPROFILE%\AppData\Local\Temp\OnboardLogs" /stypes="*4032*201706051*" /stext=" 18:.+((SYSTEM_STATE.+slice.+state.+changed )|(ment ac)|(multiple cpu faults)|(system.+state.+changed )|(\[timeout)|(PRM\|1\|D)|(kpr)|(kdp)|(train st.+moving)|(\|lc)|(penalty))"</v>
      </c>
      <c r="U55" s="9" t="str">
        <f t="shared" si="12"/>
        <v>4032</v>
      </c>
      <c r="V55" s="31">
        <f t="shared" si="13"/>
        <v>42891.788159722222</v>
      </c>
      <c r="W55" s="45" t="str">
        <f t="shared" si="14"/>
        <v>Other</v>
      </c>
      <c r="X55" s="45" t="str">
        <f t="shared" si="15"/>
        <v>KEEP</v>
      </c>
      <c r="Y55" s="99" t="str">
        <f t="shared" si="16"/>
        <v>echo {"issue":{"subject":"","project_id":79,"tracker_id":40,"status_id":1,"priority_id":2,"assigned_to_id":23,"start_date":"2017-06-05","description":"","custom_fields":[{"id":1,"name":"Subdivision","value":"Other"},{"id":4,"name":"Milepost","value":"0.2096"},{"id":17,"name":"Train ID","value":"59-05"},{"id":16,"name":"Locomotive ID","value":"4032"},{"id":130,"name":"Impact","value":""},{"id":150,"name":"Time of Event (Mountain Time)","value":"12:54:57"},{"id":151,"name":"Denver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162"/>
      <c r="AA55" s="47"/>
      <c r="AB55" s="47"/>
      <c r="AC55" s="118" t="str">
        <f t="shared" si="17"/>
        <v>grep -hrE -A400 "Enforcement Action" /cygdrive/c/Users/stu/AppData/Local/Temp/OnboardLogs/RTDC4032 --include="*4032*201706051*" | grep -E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"%USERPROFILE%\AppData\Local\Temp\OnboardLogs"\RTDC4032\*4032*201706051* &gt;&gt; 2017-06-05-SliceDisagreementCheck.txt</v>
      </c>
      <c r="AE55" s="148" t="str">
        <f t="shared" si="9"/>
        <v>start /low /b %USERPROFILE%\Documents\GitHub\eaglep3\Utilities\DownloadLogsFromS3.py --loco 4032 --day 2017-06-05</v>
      </c>
      <c r="AF55" s="1"/>
    </row>
    <row r="56" spans="1:32" x14ac:dyDescent="0.25">
      <c r="A56" s="31">
        <v>42891.641458333332</v>
      </c>
      <c r="B56" s="30" t="s">
        <v>342</v>
      </c>
      <c r="C56" s="30" t="s">
        <v>605</v>
      </c>
      <c r="D56" s="30" t="s">
        <v>98</v>
      </c>
      <c r="E56" s="30" t="s">
        <v>366</v>
      </c>
      <c r="F56" s="42">
        <v>200</v>
      </c>
      <c r="G56" s="42">
        <v>254</v>
      </c>
      <c r="H56" s="42">
        <v>21288</v>
      </c>
      <c r="I56" s="42">
        <v>20845</v>
      </c>
      <c r="J56" s="30" t="s">
        <v>367</v>
      </c>
      <c r="K56" s="42">
        <v>24235</v>
      </c>
      <c r="L56" s="134" t="s">
        <v>51</v>
      </c>
      <c r="M56" s="135">
        <f t="shared" si="10"/>
        <v>-1789.92</v>
      </c>
      <c r="N56" s="136" t="str">
        <f>VLOOKUP(C56,'Trips&amp;Operators'!$C$1:$G$99999,5,FALSE)</f>
        <v>STAMBAUGH JAMES</v>
      </c>
      <c r="O56" s="210" t="s">
        <v>182</v>
      </c>
      <c r="P56" s="137"/>
      <c r="Q56" s="30"/>
      <c r="R56" s="84" t="str">
        <f>VLOOKUP(C56,'Train Runs'!$A$13:$AE$9934,31,0)</f>
        <v>aws s3 cp s3://rtdc.mdm.uploadarchive.raw/RTDC4027/ "%USERPROFILE%\AppData\Local\Temp\OnboardLogs"\RTDC4027\2017-06-05 --exclude "*" --recursive --include "*20170605*" &amp; "%USERPROFILE%\Documents\GitHub\mrs-test-scripts\Headless Mode &amp; Sideloading\WalkAndUnGZ.bat" "%USERPROFILE%\AppData\Local\Temp\OnboardLogs"\RTDC4027\2017-06-05 &amp; aws s3 cp s3://rtdc.mdm.uploadarchive.raw/RTDC4027/ "%USERPROFILE%\AppData\Local\Temp\OnboardLogs"\RTDC4027\2017-06-06 --exclude "*" --recursive --include "*20170606*" &amp; "%USERPROFILE%\Documents\GitHub\mrs-test-scripts\Headless Mode &amp; Sideloading\WalkAndUnGZ.bat" "%USERPROFILE%\AppData\Local\Temp\OnboardLogs"\RTDC4027\2017-06-06</v>
      </c>
      <c r="S56" s="87" t="str">
        <f>VLOOKUP(C56,'Train Runs'!$A$13:$AE$9934,22,0)</f>
        <v>https://d0f6bd738d7f1b3e5a7ca70fe4ff75f0.us-east-1.aws.found.io/app/kibana#/discover/Steve-Slow-Train-Analysis-(2080s-and-2083s)?_g=(refreshInterval:(display:Off,pause:!f,section:0,value:0),time:(from:'2017-06-05T14:19:01-0600',mode:absolute,to:'2017-06-05T16:33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56" s="89" t="str">
        <f t="shared" si="11"/>
        <v>"C:\Program Files (x86)\AstroGrep\AstroGrep.exe" /e /r /s /spath="%USERPROFILE%\AppData\Local\Temp\OnboardLogs" /stypes="*4027*201706052*" /stext=" 21:.+((SYSTEM_STATE.+slice.+state.+changed )|(ment ac)|(multiple cpu faults)|(system.+state.+changed )|(\[timeout)|(PRM\|1\|D)|(kpr)|(kdp)|(train st.+moving)|(\|lc)|(penalty))"</v>
      </c>
      <c r="U56" s="9" t="str">
        <f t="shared" si="12"/>
        <v>4027</v>
      </c>
      <c r="V56" s="31">
        <f t="shared" si="13"/>
        <v>42891.891458333332</v>
      </c>
      <c r="W56" s="45" t="str">
        <f t="shared" si="14"/>
        <v>Other</v>
      </c>
      <c r="X56" s="45" t="str">
        <f t="shared" si="15"/>
        <v>KEEP</v>
      </c>
      <c r="Y56" s="99" t="str">
        <f t="shared" si="16"/>
        <v>echo {"issue":{"subject":"","project_id":79,"tracker_id":40,"status_id":1,"priority_id":2,"assigned_to_id":23,"start_date":"2017-06-05","description":"","custom_fields":[{"id":1,"name":"Subdivision","value":"Other"},{"id":4,"name":"Milepost","value":"2.4235"},{"id":17,"name":"Train ID","value":"904-05"},{"id":16,"name":"Locomotive ID","value":"4027"},{"id":130,"name":"Impact","value":""},{"id":150,"name":"Time of Event (Mountain Time)","value":"15:23:42"},{"id":151,"name":"Denver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162"/>
      <c r="AA56" s="47"/>
      <c r="AB56" s="47"/>
      <c r="AC56" s="118" t="str">
        <f t="shared" si="17"/>
        <v>grep -hrE -A400 "Enforcement Action" /cygdrive/c/Users/stu/AppData/Local/Temp/OnboardLogs/RTDC4027 --include="*4027*201706052*" | grep -E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"%USERPROFILE%\AppData\Local\Temp\OnboardLogs"\RTDC4027\*4027*201706052* &gt;&gt; 2017-06-05-SliceDisagreementCheck.txt</v>
      </c>
      <c r="AE56" s="148" t="str">
        <f t="shared" si="9"/>
        <v>start /low /b %USERPROFILE%\Documents\GitHub\eaglep3\Utilities\DownloadLogsFromS3.py --loco 4027 --day 2017-06-05</v>
      </c>
      <c r="AF56" s="1"/>
    </row>
    <row r="57" spans="1:32" x14ac:dyDescent="0.25">
      <c r="A57" s="31">
        <v>42891.646944444445</v>
      </c>
      <c r="B57" s="30" t="s">
        <v>342</v>
      </c>
      <c r="C57" s="30" t="s">
        <v>605</v>
      </c>
      <c r="D57" s="30" t="s">
        <v>49</v>
      </c>
      <c r="E57" s="30" t="s">
        <v>183</v>
      </c>
      <c r="F57" s="42">
        <v>0</v>
      </c>
      <c r="G57" s="42">
        <v>144</v>
      </c>
      <c r="H57" s="42">
        <v>1240</v>
      </c>
      <c r="I57" s="42">
        <v>1086</v>
      </c>
      <c r="J57" s="30" t="s">
        <v>184</v>
      </c>
      <c r="K57" s="42">
        <v>575</v>
      </c>
      <c r="L57" s="134" t="s">
        <v>51</v>
      </c>
      <c r="M57" s="135">
        <f t="shared" si="10"/>
        <v>269.80799999999999</v>
      </c>
      <c r="N57" s="136" t="str">
        <f>VLOOKUP(C57,'Trips&amp;Operators'!$C$1:$G$99999,5,FALSE)</f>
        <v>STAMBAUGH JAMES</v>
      </c>
      <c r="O57" s="210" t="s">
        <v>182</v>
      </c>
      <c r="P57" s="137"/>
      <c r="Q57" s="30"/>
      <c r="R57" s="84" t="str">
        <f>VLOOKUP(C57,'Train Runs'!$A$13:$AE$9934,31,0)</f>
        <v>aws s3 cp s3://rtdc.mdm.uploadarchive.raw/RTDC4027/ "%USERPROFILE%\AppData\Local\Temp\OnboardLogs"\RTDC4027\2017-06-05 --exclude "*" --recursive --include "*20170605*" &amp; "%USERPROFILE%\Documents\GitHub\mrs-test-scripts\Headless Mode &amp; Sideloading\WalkAndUnGZ.bat" "%USERPROFILE%\AppData\Local\Temp\OnboardLogs"\RTDC4027\2017-06-05 &amp; aws s3 cp s3://rtdc.mdm.uploadarchive.raw/RTDC4027/ "%USERPROFILE%\AppData\Local\Temp\OnboardLogs"\RTDC4027\2017-06-06 --exclude "*" --recursive --include "*20170606*" &amp; "%USERPROFILE%\Documents\GitHub\mrs-test-scripts\Headless Mode &amp; Sideloading\WalkAndUnGZ.bat" "%USERPROFILE%\AppData\Local\Temp\OnboardLogs"\RTDC4027\2017-06-06</v>
      </c>
      <c r="S57" s="87" t="str">
        <f>VLOOKUP(C57,'Train Runs'!$A$13:$AE$9934,22,0)</f>
        <v>https://d0f6bd738d7f1b3e5a7ca70fe4ff75f0.us-east-1.aws.found.io/app/kibana#/discover/Steve-Slow-Train-Analysis-(2080s-and-2083s)?_g=(refreshInterval:(display:Off,pause:!f,section:0,value:0),time:(from:'2017-06-05T14:19:01-0600',mode:absolute,to:'2017-06-05T16:33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57" s="89" t="str">
        <f t="shared" si="11"/>
        <v>"C:\Program Files (x86)\AstroGrep\AstroGrep.exe" /e /r /s /spath="%USERPROFILE%\AppData\Local\Temp\OnboardLogs" /stypes="*4027*201706052*" /stext=" 21:.+((SYSTEM_STATE.+slice.+state.+changed )|(ment ac)|(multiple cpu faults)|(system.+state.+changed )|(\[timeout)|(PRM\|1\|D)|(kpr)|(kdp)|(train st.+moving)|(\|lc)|(penalty))"</v>
      </c>
      <c r="U57" s="9" t="str">
        <f t="shared" si="12"/>
        <v>4027</v>
      </c>
      <c r="V57" s="31">
        <f t="shared" si="13"/>
        <v>42891.896944444445</v>
      </c>
      <c r="W57" s="45" t="str">
        <f t="shared" si="14"/>
        <v>Other</v>
      </c>
      <c r="X57" s="45" t="str">
        <f t="shared" si="15"/>
        <v>KEEP</v>
      </c>
      <c r="Y57" s="99" t="str">
        <f t="shared" si="16"/>
        <v>echo {"issue":{"subject":"","project_id":79,"tracker_id":40,"status_id":1,"priority_id":2,"assigned_to_id":23,"start_date":"2017-06-05","description":"","custom_fields":[{"id":1,"name":"Subdivision","value":"Other"},{"id":4,"name":"Milepost","value":"0.0575"},{"id":17,"name":"Train ID","value":"904-05"},{"id":16,"name":"Locomotive ID","value":"4027"},{"id":130,"name":"Impact","value":""},{"id":150,"name":"Time of Event (Mountain Time)","value":"15:31:36"},{"id":151,"name":"Denver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162"/>
      <c r="AA57" s="47"/>
      <c r="AB57" s="47"/>
      <c r="AC57" s="118" t="str">
        <f t="shared" si="17"/>
        <v>grep -hrE -A400 "Enforcement Action" /cygdrive/c/Users/stu/AppData/Local/Temp/OnboardLogs/RTDC4027 --include="*4027*201706052*" | grep -E "((Enforcement Ac)|(PRM))" -</v>
      </c>
      <c r="AD57" s="1" t="str">
        <f>"grep -hSE ""Enforcement Action"" "&amp;search_path&amp;"\RTDC"&amp;U57&amp;"\*"&amp;U57&amp;"*"&amp;TEXT(A57-utc_offset/24,"YYYYMMDD")&amp;LEFT(TEXT(A57-utc_offset/24,"HH"),1)&amp;"* &gt;&gt; "&amp;TEXT(Variables!$A$2,"YYYY-MM-DD")&amp;"-SliceDisagreementCheck.txt"</f>
        <v>grep -hSE "Enforcement Action" "%USERPROFILE%\AppData\Local\Temp\OnboardLogs"\RTDC4027\*4027*201706052* &gt;&gt; 2017-06-05-SliceDisagreementCheck.txt</v>
      </c>
      <c r="AE57" s="148" t="str">
        <f t="shared" si="9"/>
        <v>start /low /b %USERPROFILE%\Documents\GitHub\eaglep3\Utilities\DownloadLogsFromS3.py --loco 4027 --day 2017-06-05</v>
      </c>
      <c r="AF57" s="1"/>
    </row>
    <row r="58" spans="1:32" x14ac:dyDescent="0.25">
      <c r="A58" s="31">
        <v>42891.647916666669</v>
      </c>
      <c r="B58" s="30" t="s">
        <v>342</v>
      </c>
      <c r="C58" s="30" t="s">
        <v>605</v>
      </c>
      <c r="D58" s="30" t="s">
        <v>49</v>
      </c>
      <c r="E58" s="30" t="s">
        <v>183</v>
      </c>
      <c r="F58" s="42">
        <v>0</v>
      </c>
      <c r="G58" s="42">
        <v>23</v>
      </c>
      <c r="H58" s="42">
        <v>659</v>
      </c>
      <c r="I58" s="42">
        <v>652</v>
      </c>
      <c r="J58" s="30" t="s">
        <v>184</v>
      </c>
      <c r="K58" s="42">
        <v>575</v>
      </c>
      <c r="L58" s="134" t="s">
        <v>51</v>
      </c>
      <c r="M58" s="135">
        <f t="shared" si="10"/>
        <v>40.655999999999999</v>
      </c>
      <c r="N58" s="136" t="str">
        <f>VLOOKUP(C58,'Trips&amp;Operators'!$C$1:$G$99999,5,FALSE)</f>
        <v>STAMBAUGH JAMES</v>
      </c>
      <c r="O58" s="210" t="s">
        <v>182</v>
      </c>
      <c r="P58" s="137"/>
      <c r="Q58" s="30"/>
      <c r="R58" s="84" t="str">
        <f>VLOOKUP(C58,'Train Runs'!$A$13:$AE$9934,31,0)</f>
        <v>aws s3 cp s3://rtdc.mdm.uploadarchive.raw/RTDC4027/ "%USERPROFILE%\AppData\Local\Temp\OnboardLogs"\RTDC4027\2017-06-05 --exclude "*" --recursive --include "*20170605*" &amp; "%USERPROFILE%\Documents\GitHub\mrs-test-scripts\Headless Mode &amp; Sideloading\WalkAndUnGZ.bat" "%USERPROFILE%\AppData\Local\Temp\OnboardLogs"\RTDC4027\2017-06-05 &amp; aws s3 cp s3://rtdc.mdm.uploadarchive.raw/RTDC4027/ "%USERPROFILE%\AppData\Local\Temp\OnboardLogs"\RTDC4027\2017-06-06 --exclude "*" --recursive --include "*20170606*" &amp; "%USERPROFILE%\Documents\GitHub\mrs-test-scripts\Headless Mode &amp; Sideloading\WalkAndUnGZ.bat" "%USERPROFILE%\AppData\Local\Temp\OnboardLogs"\RTDC4027\2017-06-06</v>
      </c>
      <c r="S58" s="87" t="str">
        <f>VLOOKUP(C58,'Train Runs'!$A$13:$AE$9934,22,0)</f>
        <v>https://d0f6bd738d7f1b3e5a7ca70fe4ff75f0.us-east-1.aws.found.io/app/kibana#/discover/Steve-Slow-Train-Analysis-(2080s-and-2083s)?_g=(refreshInterval:(display:Off,pause:!f,section:0,value:0),time:(from:'2017-06-05T14:19:01-0600',mode:absolute,to:'2017-06-05T16:33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58" s="89" t="str">
        <f t="shared" si="11"/>
        <v>"C:\Program Files (x86)\AstroGrep\AstroGrep.exe" /e /r /s /spath="%USERPROFILE%\AppData\Local\Temp\OnboardLogs" /stypes="*4027*201706052*" /stext=" 21:.+((SYSTEM_STATE.+slice.+state.+changed )|(ment ac)|(multiple cpu faults)|(system.+state.+changed )|(\[timeout)|(PRM\|1\|D)|(kpr)|(kdp)|(train st.+moving)|(\|lc)|(penalty))"</v>
      </c>
      <c r="U58" s="9" t="str">
        <f t="shared" si="12"/>
        <v>4027</v>
      </c>
      <c r="V58" s="31">
        <f t="shared" si="13"/>
        <v>42891.897916666669</v>
      </c>
      <c r="W58" s="45" t="str">
        <f t="shared" si="14"/>
        <v>Other</v>
      </c>
      <c r="X58" s="45" t="str">
        <f t="shared" si="15"/>
        <v>KEEP</v>
      </c>
      <c r="Y58" s="99" t="str">
        <f t="shared" si="16"/>
        <v>echo {"issue":{"subject":"","project_id":79,"tracker_id":40,"status_id":1,"priority_id":2,"assigned_to_id":23,"start_date":"2017-06-05","description":"","custom_fields":[{"id":1,"name":"Subdivision","value":"Other"},{"id":4,"name":"Milepost","value":"0.0575"},{"id":17,"name":"Train ID","value":"904-05"},{"id":16,"name":"Locomotive ID","value":"4027"},{"id":130,"name":"Impact","value":""},{"id":150,"name":"Time of Event (Mountain Time)","value":"15:33:00"},{"id":151,"name":"Denver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162"/>
      <c r="AA58" s="47"/>
      <c r="AB58" s="47"/>
      <c r="AC58" s="118" t="str">
        <f t="shared" si="17"/>
        <v>grep -hrE -A400 "Enforcement Action" /cygdrive/c/Users/stu/AppData/Local/Temp/OnboardLogs/RTDC4027 --include="*4027*201706052*" | grep -E "((Enforcement Ac)|(PRM))" -</v>
      </c>
      <c r="AD58" s="1" t="str">
        <f>"grep -hSE ""Enforcement Action"" "&amp;search_path&amp;"\RTDC"&amp;U58&amp;"\*"&amp;U58&amp;"*"&amp;TEXT(A58-utc_offset/24,"YYYYMMDD")&amp;LEFT(TEXT(A58-utc_offset/24,"HH"),1)&amp;"* &gt;&gt; "&amp;TEXT(Variables!$A$2,"YYYY-MM-DD")&amp;"-SliceDisagreementCheck.txt"</f>
        <v>grep -hSE "Enforcement Action" "%USERPROFILE%\AppData\Local\Temp\OnboardLogs"\RTDC4027\*4027*201706052* &gt;&gt; 2017-06-05-SliceDisagreementCheck.txt</v>
      </c>
      <c r="AE58" s="148" t="str">
        <f t="shared" si="9"/>
        <v>start /low /b %USERPROFILE%\Documents\GitHub\eaglep3\Utilities\DownloadLogsFromS3.py --loco 4027 --day 2017-06-05</v>
      </c>
      <c r="AF58" s="1"/>
    </row>
    <row r="59" spans="1:32" x14ac:dyDescent="0.25">
      <c r="A59" s="31">
        <v>42891.756898148145</v>
      </c>
      <c r="B59" s="30" t="s">
        <v>503</v>
      </c>
      <c r="C59" s="30" t="s">
        <v>616</v>
      </c>
      <c r="D59" s="30" t="s">
        <v>49</v>
      </c>
      <c r="E59" s="30" t="s">
        <v>183</v>
      </c>
      <c r="F59" s="42">
        <v>0</v>
      </c>
      <c r="G59" s="42">
        <v>41</v>
      </c>
      <c r="H59" s="42">
        <v>990</v>
      </c>
      <c r="I59" s="42">
        <v>950</v>
      </c>
      <c r="J59" s="30" t="s">
        <v>184</v>
      </c>
      <c r="K59" s="42">
        <v>839</v>
      </c>
      <c r="L59" s="134" t="s">
        <v>51</v>
      </c>
      <c r="M59" s="135">
        <f t="shared" si="10"/>
        <v>58.607999999999997</v>
      </c>
      <c r="N59" s="136" t="str">
        <f>VLOOKUP(C59,'Trips&amp;Operators'!$C$1:$G$99999,5,FALSE)</f>
        <v>BIRENBAUM THOMAS</v>
      </c>
      <c r="O59" s="210" t="s">
        <v>182</v>
      </c>
      <c r="P59" s="137"/>
      <c r="Q59" s="30"/>
      <c r="R59" s="84" t="str">
        <f>VLOOKUP(C59,'Train Runs'!$A$13:$AE$9934,31,0)</f>
        <v>aws s3 cp s3://rtdc.mdm.uploadarchive.raw/RTDC4011/ "%USERPROFILE%\AppData\Local\Temp\OnboardLogs"\RTDC4011\2017-06-05 --exclude "*" --recursive --include "*20170605*" &amp; "%USERPROFILE%\Documents\GitHub\mrs-test-scripts\Headless Mode &amp; Sideloading\WalkAndUnGZ.bat" "%USERPROFILE%\AppData\Local\Temp\OnboardLogs"\RTDC4011\2017-06-05 &amp; aws s3 cp s3://rtdc.mdm.uploadarchive.raw/RTDC4011/ "%USERPROFILE%\AppData\Local\Temp\OnboardLogs"\RTDC4011\2017-06-06 --exclude "*" --recursive --include "*20170606*" &amp; "%USERPROFILE%\Documents\GitHub\mrs-test-scripts\Headless Mode &amp; Sideloading\WalkAndUnGZ.bat" "%USERPROFILE%\AppData\Local\Temp\OnboardLogs"\RTDC4011\2017-06-06</v>
      </c>
      <c r="S59" s="87" t="str">
        <f>VLOOKUP(C59,'Train Runs'!$A$13:$AE$9934,22,0)</f>
        <v>https://d0f6bd738d7f1b3e5a7ca70fe4ff75f0.us-east-1.aws.found.io/app/kibana#/discover/Steve-Slow-Train-Analysis-(2080s-and-2083s)?_g=(refreshInterval:(display:Off,pause:!f,section:0,value:0),time:(from:'2017-06-05T16:40:53-0600',mode:absolute,to:'2017-06-05T19:09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59" s="89" t="str">
        <f t="shared" si="11"/>
        <v>"C:\Program Files (x86)\AstroGrep\AstroGrep.exe" /e /r /s /spath="%USERPROFILE%\AppData\Local\Temp\OnboardLogs" /stypes="*4011*201706060*" /stext=" 00:.+((SYSTEM_STATE.+slice.+state.+changed )|(ment ac)|(multiple cpu faults)|(system.+state.+changed )|(\[timeout)|(PRM\|1\|D)|(kpr)|(kdp)|(train st.+moving)|(\|lc)|(penalty))"</v>
      </c>
      <c r="U59" s="9" t="str">
        <f t="shared" si="12"/>
        <v>4011</v>
      </c>
      <c r="V59" s="31">
        <f t="shared" si="13"/>
        <v>42892.006898148145</v>
      </c>
      <c r="W59" s="45" t="str">
        <f t="shared" si="14"/>
        <v>Other</v>
      </c>
      <c r="X59" s="45" t="str">
        <f t="shared" si="15"/>
        <v>KEEP</v>
      </c>
      <c r="Y59" s="99" t="str">
        <f t="shared" si="16"/>
        <v>echo {"issue":{"subject":"","project_id":79,"tracker_id":40,"status_id":1,"priority_id":2,"assigned_to_id":23,"start_date":"2017-06-05","description":"","custom_fields":[{"id":1,"name":"Subdivision","value":"Other"},{"id":4,"name":"Milepost","value":"0.0839"},{"id":17,"name":"Train ID","value":"54-05"},{"id":16,"name":"Locomotive ID","value":"4011"},{"id":130,"name":"Impact","value":""},{"id":150,"name":"Time of Event (Mountain Time)","value":"18:09:56"},{"id":151,"name":"Denver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162"/>
      <c r="AA59" s="47"/>
      <c r="AB59" s="47"/>
      <c r="AC59" s="118" t="str">
        <f t="shared" si="17"/>
        <v>grep -hrE -A400 "Enforcement Action" /cygdrive/c/Users/stu/AppData/Local/Temp/OnboardLogs/RTDC4011 --include="*4011*201706060*" | grep -E "((Enforcement Ac)|(PRM))" -</v>
      </c>
      <c r="AD59" s="1" t="str">
        <f>"grep -hSE ""Enforcement Action"" "&amp;search_path&amp;"\RTDC"&amp;U59&amp;"\*"&amp;U59&amp;"*"&amp;TEXT(A59-utc_offset/24,"YYYYMMDD")&amp;LEFT(TEXT(A59-utc_offset/24,"HH"),1)&amp;"* &gt;&gt; "&amp;TEXT(Variables!$A$2,"YYYY-MM-DD")&amp;"-SliceDisagreementCheck.txt"</f>
        <v>grep -hSE "Enforcement Action" "%USERPROFILE%\AppData\Local\Temp\OnboardLogs"\RTDC4011\*4011*201706060* &gt;&gt; 2017-06-05-SliceDisagreementCheck.txt</v>
      </c>
      <c r="AE59" s="148" t="str">
        <f t="shared" si="9"/>
        <v>start /low /b %USERPROFILE%\Documents\GitHub\eaglep3\Utilities\DownloadLogsFromS3.py --loco 4011 --day 2017-06-06</v>
      </c>
      <c r="AF59" s="1"/>
    </row>
    <row r="60" spans="1:32" x14ac:dyDescent="0.25">
      <c r="A60" s="31">
        <v>42891.757476851853</v>
      </c>
      <c r="B60" s="30" t="s">
        <v>503</v>
      </c>
      <c r="C60" s="30" t="s">
        <v>616</v>
      </c>
      <c r="D60" s="30" t="s">
        <v>49</v>
      </c>
      <c r="E60" s="30" t="s">
        <v>183</v>
      </c>
      <c r="F60" s="42">
        <v>0</v>
      </c>
      <c r="G60" s="42">
        <v>16</v>
      </c>
      <c r="H60" s="42">
        <v>894</v>
      </c>
      <c r="I60" s="42">
        <v>881</v>
      </c>
      <c r="J60" s="30" t="s">
        <v>184</v>
      </c>
      <c r="K60" s="42">
        <v>839</v>
      </c>
      <c r="L60" s="134" t="s">
        <v>51</v>
      </c>
      <c r="M60" s="135">
        <f t="shared" si="10"/>
        <v>22.175999999999998</v>
      </c>
      <c r="N60" s="136" t="str">
        <f>VLOOKUP(C60,'Trips&amp;Operators'!$C$1:$G$99999,5,FALSE)</f>
        <v>BIRENBAUM THOMAS</v>
      </c>
      <c r="O60" s="210" t="s">
        <v>182</v>
      </c>
      <c r="P60" s="137"/>
      <c r="Q60" s="30"/>
      <c r="R60" s="84" t="str">
        <f>VLOOKUP(C60,'Train Runs'!$A$13:$AE$9934,31,0)</f>
        <v>aws s3 cp s3://rtdc.mdm.uploadarchive.raw/RTDC4011/ "%USERPROFILE%\AppData\Local\Temp\OnboardLogs"\RTDC4011\2017-06-05 --exclude "*" --recursive --include "*20170605*" &amp; "%USERPROFILE%\Documents\GitHub\mrs-test-scripts\Headless Mode &amp; Sideloading\WalkAndUnGZ.bat" "%USERPROFILE%\AppData\Local\Temp\OnboardLogs"\RTDC4011\2017-06-05 &amp; aws s3 cp s3://rtdc.mdm.uploadarchive.raw/RTDC4011/ "%USERPROFILE%\AppData\Local\Temp\OnboardLogs"\RTDC4011\2017-06-06 --exclude "*" --recursive --include "*20170606*" &amp; "%USERPROFILE%\Documents\GitHub\mrs-test-scripts\Headless Mode &amp; Sideloading\WalkAndUnGZ.bat" "%USERPROFILE%\AppData\Local\Temp\OnboardLogs"\RTDC4011\2017-06-06</v>
      </c>
      <c r="S60" s="87" t="str">
        <f>VLOOKUP(C60,'Train Runs'!$A$13:$AE$9934,22,0)</f>
        <v>https://d0f6bd738d7f1b3e5a7ca70fe4ff75f0.us-east-1.aws.found.io/app/kibana#/discover/Steve-Slow-Train-Analysis-(2080s-and-2083s)?_g=(refreshInterval:(display:Off,pause:!f,section:0,value:0),time:(from:'2017-06-05T16:40:53-0600',mode:absolute,to:'2017-06-05T19:09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60" s="89" t="str">
        <f t="shared" si="11"/>
        <v>"C:\Program Files (x86)\AstroGrep\AstroGrep.exe" /e /r /s /spath="%USERPROFILE%\AppData\Local\Temp\OnboardLogs" /stypes="*4011*201706060*" /stext=" 00:.+((SYSTEM_STATE.+slice.+state.+changed )|(ment ac)|(multiple cpu faults)|(system.+state.+changed )|(\[timeout)|(PRM\|1\|D)|(kpr)|(kdp)|(train st.+moving)|(\|lc)|(penalty))"</v>
      </c>
      <c r="U60" s="9" t="str">
        <f t="shared" si="12"/>
        <v>4011</v>
      </c>
      <c r="V60" s="31">
        <f t="shared" si="13"/>
        <v>42892.007476851853</v>
      </c>
      <c r="W60" s="45" t="str">
        <f t="shared" si="14"/>
        <v>Other</v>
      </c>
      <c r="X60" s="45" t="str">
        <f t="shared" si="15"/>
        <v>KEEP</v>
      </c>
      <c r="Y60" s="99" t="str">
        <f t="shared" si="16"/>
        <v>echo {"issue":{"subject":"","project_id":79,"tracker_id":40,"status_id":1,"priority_id":2,"assigned_to_id":23,"start_date":"2017-06-05","description":"","custom_fields":[{"id":1,"name":"Subdivision","value":"Other"},{"id":4,"name":"Milepost","value":"0.0839"},{"id":17,"name":"Train ID","value":"54-05"},{"id":16,"name":"Locomotive ID","value":"4011"},{"id":130,"name":"Impact","value":""},{"id":150,"name":"Time of Event (Mountain Time)","value":"18:10:46"},{"id":151,"name":"Denver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162"/>
      <c r="AA60" s="47"/>
      <c r="AB60" s="47"/>
      <c r="AC60" s="118" t="str">
        <f t="shared" si="17"/>
        <v>grep -hrE -A400 "Enforcement Action" /cygdrive/c/Users/stu/AppData/Local/Temp/OnboardLogs/RTDC4011 --include="*4011*201706060*" | grep -E "((Enforcement Ac)|(PRM))" -</v>
      </c>
      <c r="AD60" s="1" t="str">
        <f>"grep -hSE ""Enforcement Action"" "&amp;search_path&amp;"\RTDC"&amp;U60&amp;"\*"&amp;U60&amp;"*"&amp;TEXT(A60-utc_offset/24,"YYYYMMDD")&amp;LEFT(TEXT(A60-utc_offset/24,"HH"),1)&amp;"* &gt;&gt; "&amp;TEXT(Variables!$A$2,"YYYY-MM-DD")&amp;"-SliceDisagreementCheck.txt"</f>
        <v>grep -hSE "Enforcement Action" "%USERPROFILE%\AppData\Local\Temp\OnboardLogs"\RTDC4011\*4011*201706060* &gt;&gt; 2017-06-05-SliceDisagreementCheck.txt</v>
      </c>
      <c r="AE60" s="148" t="str">
        <f t="shared" si="9"/>
        <v>start /low /b %USERPROFILE%\Documents\GitHub\eaglep3\Utilities\DownloadLogsFromS3.py --loco 4011 --day 2017-06-06</v>
      </c>
      <c r="AF60" s="1"/>
    </row>
  </sheetData>
  <autoFilter ref="A6:AC52">
    <sortState ref="A7:AC60">
      <sortCondition ref="W7:W60"/>
      <sortCondition ref="E7:E60"/>
      <sortCondition ref="K7:K60"/>
      <sortCondition ref="F7:F60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7:O1048576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60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AA7:AA60</xm:sqref>
        </x14:dataValidation>
        <x14:dataValidation type="list" allowBlank="1" showInputMessage="1" showErrorMessage="1">
          <x14:formula1>
            <xm:f>'Redmine List Values'!$C$2:$C$15</xm:f>
          </x14:formula1>
          <xm:sqref>AB7:AB60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17"/>
  <sheetViews>
    <sheetView workbookViewId="0">
      <selection activeCell="A3" sqref="A3:A8"/>
    </sheetView>
  </sheetViews>
  <sheetFormatPr defaultRowHeight="15" x14ac:dyDescent="0.25"/>
  <cols>
    <col min="1" max="1" width="9.140625" style="179"/>
    <col min="2" max="2" width="9.140625" style="2" customWidth="1"/>
    <col min="3" max="3" width="8" style="91" bestFit="1" customWidth="1"/>
    <col min="4" max="4" width="9.85546875" style="142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9"/>
      <c r="B1" s="212" t="str">
        <f>"Trips that did not appear in PTC Data "&amp;TEXT(Variables!$A$2,"YYYY-mm-dd")</f>
        <v>Trips that did not appear in PTC Data 2017-06-05</v>
      </c>
      <c r="C1" s="212"/>
      <c r="D1" s="212"/>
      <c r="E1" s="212"/>
      <c r="F1" s="212"/>
    </row>
    <row r="2" spans="1:10" s="23" customFormat="1" ht="45" x14ac:dyDescent="0.25">
      <c r="A2" s="206" t="s">
        <v>150</v>
      </c>
      <c r="B2" s="93" t="s">
        <v>58</v>
      </c>
      <c r="C2" s="90" t="s">
        <v>59</v>
      </c>
      <c r="D2" s="155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202"/>
      <c r="B3" s="42" t="str">
        <f>A3&amp;"-"&amp;IF(DAY(Variables!$A$2)&lt;10,0,"")&amp;DAY(Variables!$A$2)</f>
        <v>-05</v>
      </c>
      <c r="C3" s="138"/>
      <c r="D3" s="156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40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3" s="30" t="e">
        <f>VLOOKUP(B3,'Train Runs'!$A$13:$A$99931,1,FALSE)</f>
        <v>#N/A</v>
      </c>
    </row>
    <row r="4" spans="1:10" x14ac:dyDescent="0.25">
      <c r="A4" s="202"/>
      <c r="B4" s="42" t="str">
        <f>A4&amp;"-"&amp;IF(DAY(Variables!$A$2)&lt;10,0,"")&amp;DAY(Variables!$A$2)</f>
        <v>-05</v>
      </c>
      <c r="C4" s="138"/>
      <c r="D4" s="156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4" s="30" t="e">
        <f>VLOOKUP(B4,'Train Runs'!$A$13:$A$99931,1,FALSE)</f>
        <v>#N/A</v>
      </c>
    </row>
    <row r="5" spans="1:10" x14ac:dyDescent="0.25">
      <c r="A5" s="202"/>
      <c r="B5" s="42" t="str">
        <f>A5&amp;"-"&amp;IF(DAY(Variables!$A$2)&lt;10,0,"")&amp;DAY(Variables!$A$2)</f>
        <v>-05</v>
      </c>
      <c r="C5" s="138"/>
      <c r="D5" s="156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5" s="30" t="e">
        <f>VLOOKUP(B5,'Train Runs'!$A$13:$A$99931,1,FALSE)</f>
        <v>#N/A</v>
      </c>
    </row>
    <row r="6" spans="1:10" x14ac:dyDescent="0.25">
      <c r="A6" s="202"/>
      <c r="B6" s="42" t="str">
        <f>A6&amp;"-"&amp;IF(DAY(Variables!$A$2)&lt;10,0,"")&amp;DAY(Variables!$A$2)</f>
        <v>-05</v>
      </c>
      <c r="C6" s="138"/>
      <c r="D6" s="156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6" s="30" t="e">
        <f>VLOOKUP(B6,'Train Runs'!$A$13:$A$99931,1,FALSE)</f>
        <v>#N/A</v>
      </c>
    </row>
    <row r="7" spans="1:10" x14ac:dyDescent="0.25">
      <c r="A7" s="202"/>
      <c r="B7" s="42" t="str">
        <f>A7&amp;"-"&amp;IF(DAY(Variables!$A$2)&lt;10,0,"")&amp;DAY(Variables!$A$2)</f>
        <v>-05</v>
      </c>
      <c r="C7" s="138"/>
      <c r="D7" s="156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7" s="30" t="e">
        <f>VLOOKUP(B7,'Train Runs'!$A$13:$A$99931,1,FALSE)</f>
        <v>#N/A</v>
      </c>
    </row>
    <row r="8" spans="1:10" x14ac:dyDescent="0.25">
      <c r="A8" s="202"/>
      <c r="B8" s="42" t="str">
        <f>A8&amp;"-"&amp;IF(DAY(Variables!$A$2)&lt;10,0,"")&amp;DAY(Variables!$A$2)</f>
        <v>-05</v>
      </c>
      <c r="C8" s="138"/>
      <c r="D8" s="156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8" s="30" t="e">
        <f>VLOOKUP(B8,'Train Runs'!$A$13:$A$99931,1,FALSE)</f>
        <v>#N/A</v>
      </c>
    </row>
    <row r="9" spans="1:10" x14ac:dyDescent="0.25">
      <c r="A9" s="202"/>
      <c r="B9" s="42" t="str">
        <f>A9&amp;"-"&amp;IF(DAY(Variables!$A$2)&lt;10,0,"")&amp;DAY(Variables!$A$2)</f>
        <v>-05</v>
      </c>
      <c r="C9" s="138"/>
      <c r="D9" s="156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9" s="30" t="e">
        <f>VLOOKUP(B9,'Train Runs'!$A$13:$A$99931,1,FALSE)</f>
        <v>#N/A</v>
      </c>
    </row>
    <row r="10" spans="1:10" x14ac:dyDescent="0.25">
      <c r="A10" s="202"/>
      <c r="B10" s="42" t="str">
        <f>A10&amp;"-"&amp;IF(DAY(Variables!$A$2)&lt;10,0,"")&amp;DAY(Variables!$A$2)</f>
        <v>-05</v>
      </c>
      <c r="C10" s="138"/>
      <c r="D10" s="156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0" s="30" t="e">
        <f>VLOOKUP(B10,'Train Runs'!$A$13:$A$99931,1,FALSE)</f>
        <v>#N/A</v>
      </c>
    </row>
    <row r="11" spans="1:10" x14ac:dyDescent="0.25">
      <c r="A11" s="202"/>
      <c r="B11" s="42" t="str">
        <f>A11&amp;"-"&amp;IF(DAY(Variables!$A$2)&lt;10,0,"")&amp;DAY(Variables!$A$2)</f>
        <v>-05</v>
      </c>
      <c r="C11" s="138"/>
      <c r="D11" s="156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1" s="30" t="e">
        <f>VLOOKUP(B11,'Train Runs'!$A$13:$A$99931,1,FALSE)</f>
        <v>#N/A</v>
      </c>
    </row>
    <row r="12" spans="1:10" x14ac:dyDescent="0.25">
      <c r="A12" s="202"/>
      <c r="B12" s="42" t="str">
        <f>A12&amp;"-"&amp;IF(DAY(Variables!$A$2)&lt;10,0,"")&amp;DAY(Variables!$A$2)</f>
        <v>-05</v>
      </c>
      <c r="C12" s="138"/>
      <c r="D12" s="156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2" s="30" t="e">
        <f>VLOOKUP(B12,'Train Runs'!$A$13:$A$99931,1,FALSE)</f>
        <v>#N/A</v>
      </c>
    </row>
    <row r="13" spans="1:10" x14ac:dyDescent="0.25">
      <c r="A13" s="202"/>
      <c r="B13" s="42" t="str">
        <f>A13&amp;"-"&amp;IF(DAY(Variables!$A$2)&lt;10,0,"")&amp;DAY(Variables!$A$2)</f>
        <v>-05</v>
      </c>
      <c r="C13" s="138"/>
      <c r="D13" s="156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3" s="30" t="e">
        <f>VLOOKUP(B13,'Train Runs'!$A$13:$A$99931,1,FALSE)</f>
        <v>#N/A</v>
      </c>
    </row>
    <row r="14" spans="1:10" x14ac:dyDescent="0.25">
      <c r="A14" s="202"/>
      <c r="B14" s="42" t="str">
        <f>A14&amp;"-"&amp;IF(DAY(Variables!$A$2)&lt;10,0,"")&amp;DAY(Variables!$A$2)</f>
        <v>-05</v>
      </c>
      <c r="C14" s="138"/>
      <c r="D14" s="156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4" s="30" t="e">
        <f>VLOOKUP(B14,'Train Runs'!$A$13:$A$99931,1,FALSE)</f>
        <v>#N/A</v>
      </c>
    </row>
    <row r="15" spans="1:10" x14ac:dyDescent="0.25">
      <c r="A15" s="202"/>
      <c r="B15" s="42" t="str">
        <f>A15&amp;"-"&amp;IF(DAY(Variables!$A$2)&lt;10,0,"")&amp;DAY(Variables!$A$2)</f>
        <v>-05</v>
      </c>
      <c r="C15" s="138"/>
      <c r="D15" s="156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5" s="30" t="e">
        <f>VLOOKUP(B15,'Train Runs'!$A$13:$A$99931,1,FALSE)</f>
        <v>#N/A</v>
      </c>
    </row>
    <row r="16" spans="1:10" x14ac:dyDescent="0.25">
      <c r="A16" s="202"/>
      <c r="B16" s="42" t="str">
        <f>A16&amp;"-"&amp;IF(DAY(Variables!$A$2)&lt;10,0,"")&amp;DAY(Variables!$A$2)</f>
        <v>-05</v>
      </c>
      <c r="C16" s="138"/>
      <c r="D16" s="156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6" s="30" t="e">
        <f>VLOOKUP(B16,'Train Runs'!$A$13:$A$99931,1,FALSE)</f>
        <v>#N/A</v>
      </c>
    </row>
    <row r="17" spans="1:10" x14ac:dyDescent="0.25">
      <c r="A17" s="202"/>
      <c r="B17" s="42" t="str">
        <f>A17&amp;"-"&amp;IF(DAY(Variables!$A$2)&lt;10,0,"")&amp;DAY(Variables!$A$2)</f>
        <v>-05</v>
      </c>
      <c r="C17" s="138"/>
      <c r="D17" s="156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7" s="30" t="e">
        <f>VLOOKUP(B17,'Train Runs'!$A$13:$A$99931,1,FALSE)</f>
        <v>#N/A</v>
      </c>
    </row>
    <row r="18" spans="1:10" x14ac:dyDescent="0.25">
      <c r="A18" s="202"/>
      <c r="B18" s="42" t="str">
        <f>A18&amp;"-"&amp;IF(DAY(Variables!$A$2)&lt;10,0,"")&amp;DAY(Variables!$A$2)</f>
        <v>-05</v>
      </c>
      <c r="C18" s="138"/>
      <c r="D18" s="156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8" s="30" t="e">
        <f>VLOOKUP(B18,'Train Runs'!$A$13:$A$99931,1,FALSE)</f>
        <v>#N/A</v>
      </c>
    </row>
    <row r="19" spans="1:10" x14ac:dyDescent="0.25">
      <c r="A19" s="202"/>
      <c r="B19" s="42" t="str">
        <f>A19&amp;"-"&amp;IF(DAY(Variables!$A$2)&lt;10,0,"")&amp;DAY(Variables!$A$2)</f>
        <v>-05</v>
      </c>
      <c r="C19" s="138"/>
      <c r="D19" s="156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9" s="30" t="e">
        <f>VLOOKUP(B19,'Train Runs'!$A$13:$A$99931,1,FALSE)</f>
        <v>#N/A</v>
      </c>
    </row>
    <row r="20" spans="1:10" x14ac:dyDescent="0.25">
      <c r="A20" s="202"/>
      <c r="B20" s="42" t="str">
        <f>A20&amp;"-"&amp;IF(DAY(Variables!$A$2)&lt;10,0,"")&amp;DAY(Variables!$A$2)</f>
        <v>-05</v>
      </c>
      <c r="C20" s="138"/>
      <c r="D20" s="156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20" s="30" t="e">
        <f>VLOOKUP(B20,'Train Runs'!$A$13:$A$99931,1,FALSE)</f>
        <v>#N/A</v>
      </c>
    </row>
    <row r="21" spans="1:10" x14ac:dyDescent="0.25">
      <c r="A21" s="202"/>
      <c r="B21" s="42" t="str">
        <f>A21&amp;"-"&amp;IF(DAY(Variables!$A$2)&lt;10,0,"")&amp;DAY(Variables!$A$2)</f>
        <v>-05</v>
      </c>
      <c r="C21" s="138"/>
      <c r="D21" s="156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21" s="30" t="e">
        <f>VLOOKUP(B21,'Train Runs'!$A$13:$A$99931,1,FALSE)</f>
        <v>#N/A</v>
      </c>
    </row>
    <row r="22" spans="1:10" x14ac:dyDescent="0.25">
      <c r="A22" s="202"/>
      <c r="B22" s="42" t="str">
        <f>A22&amp;"-"&amp;IF(DAY(Variables!$A$2)&lt;10,0,"")&amp;DAY(Variables!$A$2)</f>
        <v>-05</v>
      </c>
      <c r="C22" s="138"/>
      <c r="D22" s="156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22" s="30" t="e">
        <f>VLOOKUP(B22,'Train Runs'!$A$13:$A$99931,1,FALSE)</f>
        <v>#N/A</v>
      </c>
    </row>
    <row r="23" spans="1:10" x14ac:dyDescent="0.25">
      <c r="A23" s="202"/>
      <c r="B23" s="42" t="str">
        <f>A23&amp;"-"&amp;IF(DAY(Variables!$A$2)&lt;10,0,"")&amp;DAY(Variables!$A$2)</f>
        <v>-05</v>
      </c>
      <c r="C23" s="138"/>
      <c r="D23" s="156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23" s="30" t="e">
        <f>VLOOKUP(B23,'Train Runs'!$A$13:$A$99931,1,FALSE)</f>
        <v>#N/A</v>
      </c>
    </row>
    <row r="24" spans="1:10" x14ac:dyDescent="0.25">
      <c r="A24" s="202"/>
      <c r="B24" s="42" t="str">
        <f>A24&amp;"-"&amp;IF(DAY(Variables!$A$2)&lt;10,0,"")&amp;DAY(Variables!$A$2)</f>
        <v>-05</v>
      </c>
      <c r="C24" s="138"/>
      <c r="D24" s="156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24" s="30" t="e">
        <f>VLOOKUP(B24,'Train Runs'!$A$13:$A$99931,1,FALSE)</f>
        <v>#N/A</v>
      </c>
    </row>
    <row r="25" spans="1:10" x14ac:dyDescent="0.25">
      <c r="A25" s="202"/>
      <c r="B25" s="42" t="str">
        <f>A25&amp;"-"&amp;IF(DAY(Variables!$A$2)&lt;10,0,"")&amp;DAY(Variables!$A$2)</f>
        <v>-05</v>
      </c>
      <c r="C25" s="138"/>
      <c r="D25" s="156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25" s="30" t="e">
        <f>VLOOKUP(B25,'Train Runs'!$A$13:$A$99931,1,FALSE)</f>
        <v>#N/A</v>
      </c>
    </row>
    <row r="26" spans="1:10" x14ac:dyDescent="0.25">
      <c r="A26" s="202"/>
      <c r="B26" s="42" t="str">
        <f>A26&amp;"-"&amp;IF(DAY(Variables!$A$2)&lt;10,0,"")&amp;DAY(Variables!$A$2)</f>
        <v>-05</v>
      </c>
      <c r="C26" s="138"/>
      <c r="D26" s="156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26" s="30" t="e">
        <f>VLOOKUP(B26,'Train Runs'!$A$13:$A$99931,1,FALSE)</f>
        <v>#N/A</v>
      </c>
    </row>
    <row r="27" spans="1:10" x14ac:dyDescent="0.25">
      <c r="A27" s="202"/>
      <c r="B27" s="42" t="str">
        <f>A27&amp;"-"&amp;IF(DAY(Variables!$A$2)&lt;10,0,"")&amp;DAY(Variables!$A$2)</f>
        <v>-05</v>
      </c>
      <c r="C27" s="138"/>
      <c r="D27" s="156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27" s="30" t="e">
        <f>VLOOKUP(B27,'Train Runs'!$A$13:$A$99931,1,FALSE)</f>
        <v>#N/A</v>
      </c>
    </row>
    <row r="28" spans="1:10" x14ac:dyDescent="0.25">
      <c r="A28" s="202"/>
      <c r="B28" s="42" t="str">
        <f>A28&amp;"-"&amp;IF(DAY(Variables!$A$2)&lt;10,0,"")&amp;DAY(Variables!$A$2)</f>
        <v>-05</v>
      </c>
      <c r="C28" s="138"/>
      <c r="D28" s="156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28" s="30" t="e">
        <f>VLOOKUP(B28,'Train Runs'!$A$13:$A$99931,1,FALSE)</f>
        <v>#N/A</v>
      </c>
    </row>
    <row r="29" spans="1:10" x14ac:dyDescent="0.25">
      <c r="A29" s="202"/>
      <c r="B29" s="42" t="str">
        <f>A29&amp;"-"&amp;IF(DAY(Variables!$A$2)&lt;10,0,"")&amp;DAY(Variables!$A$2)</f>
        <v>-05</v>
      </c>
      <c r="C29" s="138"/>
      <c r="D29" s="156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29" s="30" t="e">
        <f>VLOOKUP(B29,'Train Runs'!$A$13:$A$99931,1,FALSE)</f>
        <v>#N/A</v>
      </c>
    </row>
    <row r="30" spans="1:10" x14ac:dyDescent="0.25">
      <c r="A30" s="202"/>
      <c r="B30" s="42" t="str">
        <f>A30&amp;"-"&amp;IF(DAY(Variables!$A$2)&lt;10,0,"")&amp;DAY(Variables!$A$2)</f>
        <v>-05</v>
      </c>
      <c r="C30" s="138"/>
      <c r="D30" s="156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30" s="30" t="e">
        <f>VLOOKUP(B30,'Train Runs'!$A$13:$A$99931,1,FALSE)</f>
        <v>#N/A</v>
      </c>
    </row>
    <row r="31" spans="1:10" x14ac:dyDescent="0.25">
      <c r="A31" s="202"/>
      <c r="B31" s="42" t="str">
        <f>A31&amp;"-"&amp;IF(DAY(Variables!$A$2)&lt;10,0,"")&amp;DAY(Variables!$A$2)</f>
        <v>-05</v>
      </c>
      <c r="C31" s="138"/>
      <c r="D31" s="156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31" s="30" t="e">
        <f>VLOOKUP(B31,'Train Runs'!$A$13:$A$99931,1,FALSE)</f>
        <v>#N/A</v>
      </c>
    </row>
    <row r="32" spans="1:10" x14ac:dyDescent="0.25">
      <c r="A32" s="202"/>
      <c r="B32" s="42" t="str">
        <f>A32&amp;"-"&amp;IF(DAY(Variables!$A$2)&lt;10,0,"")&amp;DAY(Variables!$A$2)</f>
        <v>-05</v>
      </c>
      <c r="C32" s="138"/>
      <c r="D32" s="156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32" s="30" t="e">
        <f>VLOOKUP(B32,'Train Runs'!$A$13:$A$99931,1,FALSE)</f>
        <v>#N/A</v>
      </c>
    </row>
    <row r="33" spans="1:10" x14ac:dyDescent="0.25">
      <c r="A33" s="202"/>
      <c r="B33" s="42" t="str">
        <f>A33&amp;"-"&amp;IF(DAY(Variables!$A$2)&lt;10,0,"")&amp;DAY(Variables!$A$2)</f>
        <v>-05</v>
      </c>
      <c r="C33" s="138"/>
      <c r="D33" s="156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33" s="30" t="e">
        <f>VLOOKUP(B33,'Train Runs'!$A$13:$A$99931,1,FALSE)</f>
        <v>#N/A</v>
      </c>
    </row>
    <row r="34" spans="1:10" x14ac:dyDescent="0.25">
      <c r="A34" s="202"/>
      <c r="B34" s="42" t="str">
        <f>A34&amp;"-"&amp;IF(DAY(Variables!$A$2)&lt;10,0,"")&amp;DAY(Variables!$A$2)</f>
        <v>-05</v>
      </c>
      <c r="C34" s="138"/>
      <c r="D34" s="156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34" s="30" t="e">
        <f>VLOOKUP(B34,'Train Runs'!$A$13:$A$99931,1,FALSE)</f>
        <v>#N/A</v>
      </c>
    </row>
    <row r="35" spans="1:10" x14ac:dyDescent="0.25">
      <c r="A35" s="202"/>
      <c r="B35" s="42" t="str">
        <f>A35&amp;"-"&amp;IF(DAY(Variables!$A$2)&lt;10,0,"")&amp;DAY(Variables!$A$2)</f>
        <v>-05</v>
      </c>
      <c r="C35" s="138"/>
      <c r="D35" s="156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35" s="30" t="e">
        <f>VLOOKUP(B35,'Train Runs'!$A$13:$A$99931,1,FALSE)</f>
        <v>#N/A</v>
      </c>
    </row>
    <row r="36" spans="1:10" x14ac:dyDescent="0.25">
      <c r="A36" s="202"/>
      <c r="B36" s="42" t="str">
        <f>A36&amp;"-"&amp;IF(DAY(Variables!$A$2)&lt;10,0,"")&amp;DAY(Variables!$A$2)</f>
        <v>-05</v>
      </c>
      <c r="C36" s="138"/>
      <c r="D36" s="156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36" s="30" t="e">
        <f>VLOOKUP(B36,'Train Runs'!$A$13:$A$99931,1,FALSE)</f>
        <v>#N/A</v>
      </c>
    </row>
    <row r="37" spans="1:10" x14ac:dyDescent="0.25">
      <c r="A37" s="202"/>
      <c r="B37" s="42" t="str">
        <f>A37&amp;"-"&amp;IF(DAY(Variables!$A$2)&lt;10,0,"")&amp;DAY(Variables!$A$2)</f>
        <v>-05</v>
      </c>
      <c r="C37" s="138"/>
      <c r="D37" s="156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37" s="30" t="e">
        <f>VLOOKUP(B37,'Train Runs'!$A$13:$A$99931,1,FALSE)</f>
        <v>#N/A</v>
      </c>
    </row>
    <row r="38" spans="1:10" x14ac:dyDescent="0.25">
      <c r="A38" s="202"/>
      <c r="B38" s="42" t="str">
        <f>A38&amp;"-"&amp;IF(DAY(Variables!$A$2)&lt;10,0,"")&amp;DAY(Variables!$A$2)</f>
        <v>-05</v>
      </c>
      <c r="C38" s="138"/>
      <c r="D38" s="156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38" s="30" t="e">
        <f>VLOOKUP(B38,'Train Runs'!$A$13:$A$99931,1,FALSE)</f>
        <v>#N/A</v>
      </c>
    </row>
    <row r="39" spans="1:10" x14ac:dyDescent="0.25">
      <c r="A39" s="202"/>
      <c r="B39" s="42" t="str">
        <f>A39&amp;"-"&amp;IF(DAY(Variables!$A$2)&lt;10,0,"")&amp;DAY(Variables!$A$2)</f>
        <v>-05</v>
      </c>
      <c r="C39" s="138"/>
      <c r="D39" s="156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39" s="30" t="e">
        <f>VLOOKUP(B39,'Train Runs'!$A$13:$A$99931,1,FALSE)</f>
        <v>#N/A</v>
      </c>
    </row>
    <row r="40" spans="1:10" x14ac:dyDescent="0.25">
      <c r="A40" s="202"/>
      <c r="B40" s="42" t="str">
        <f>A40&amp;"-"&amp;IF(DAY(Variables!$A$2)&lt;10,0,"")&amp;DAY(Variables!$A$2)</f>
        <v>-05</v>
      </c>
      <c r="C40" s="138"/>
      <c r="D40" s="156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40" s="30" t="e">
        <f>VLOOKUP(B40,'Train Runs'!$A$13:$A$99931,1,FALSE)</f>
        <v>#N/A</v>
      </c>
    </row>
    <row r="41" spans="1:10" x14ac:dyDescent="0.25">
      <c r="A41" s="202"/>
      <c r="B41" s="42" t="str">
        <f>A41&amp;"-"&amp;IF(DAY(Variables!$A$2)&lt;10,0,"")&amp;DAY(Variables!$A$2)</f>
        <v>-05</v>
      </c>
      <c r="C41" s="138"/>
      <c r="D41" s="156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ref="I41:I61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41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41" s="30" t="e">
        <f>VLOOKUP(B41,'Train Runs'!$A$13:$A$99931,1,FALSE)</f>
        <v>#N/A</v>
      </c>
    </row>
    <row r="42" spans="1:10" x14ac:dyDescent="0.25">
      <c r="A42" s="202"/>
      <c r="B42" s="42" t="str">
        <f>A42&amp;"-"&amp;IF(DAY(Variables!$A$2)&lt;10,0,"")&amp;DAY(Variables!$A$2)</f>
        <v>-05</v>
      </c>
      <c r="C42" s="138"/>
      <c r="D42" s="156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42" s="30" t="e">
        <f>VLOOKUP(B42,'Train Runs'!$A$13:$A$99931,1,FALSE)</f>
        <v>#N/A</v>
      </c>
    </row>
    <row r="43" spans="1:10" x14ac:dyDescent="0.25">
      <c r="A43" s="202"/>
      <c r="B43" s="42" t="str">
        <f>A43&amp;"-"&amp;IF(DAY(Variables!$A$2)&lt;10,0,"")&amp;DAY(Variables!$A$2)</f>
        <v>-05</v>
      </c>
      <c r="C43" s="138"/>
      <c r="D43" s="156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43" s="30" t="e">
        <f>VLOOKUP(B43,'Train Runs'!$A$13:$A$99931,1,FALSE)</f>
        <v>#N/A</v>
      </c>
    </row>
    <row r="44" spans="1:10" x14ac:dyDescent="0.25">
      <c r="A44" s="202"/>
      <c r="B44" s="42" t="str">
        <f>A44&amp;"-"&amp;IF(DAY(Variables!$A$2)&lt;10,0,"")&amp;DAY(Variables!$A$2)</f>
        <v>-05</v>
      </c>
      <c r="C44" s="138"/>
      <c r="D44" s="156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44" s="30" t="e">
        <f>VLOOKUP(B44,'Train Runs'!$A$13:$A$99931,1,FALSE)</f>
        <v>#N/A</v>
      </c>
    </row>
    <row r="45" spans="1:10" x14ac:dyDescent="0.25">
      <c r="A45" s="202"/>
      <c r="B45" s="42" t="str">
        <f>A45&amp;"-"&amp;IF(DAY(Variables!$A$2)&lt;10,0,"")&amp;DAY(Variables!$A$2)</f>
        <v>-05</v>
      </c>
      <c r="C45" s="138"/>
      <c r="D45" s="156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45" s="30" t="e">
        <f>VLOOKUP(B45,'Train Runs'!$A$13:$A$99931,1,FALSE)</f>
        <v>#N/A</v>
      </c>
    </row>
    <row r="46" spans="1:10" x14ac:dyDescent="0.25">
      <c r="A46" s="202"/>
      <c r="B46" s="42" t="str">
        <f>A46&amp;"-"&amp;IF(DAY(Variables!$A$2)&lt;10,0,"")&amp;DAY(Variables!$A$2)</f>
        <v>-05</v>
      </c>
      <c r="C46" s="138"/>
      <c r="D46" s="156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46" s="30" t="e">
        <f>VLOOKUP(B46,'Train Runs'!$A$13:$A$99931,1,FALSE)</f>
        <v>#N/A</v>
      </c>
    </row>
    <row r="47" spans="1:10" x14ac:dyDescent="0.25">
      <c r="A47" s="202"/>
      <c r="B47" s="42" t="str">
        <f>A47&amp;"-"&amp;IF(DAY(Variables!$A$2)&lt;10,0,"")&amp;DAY(Variables!$A$2)</f>
        <v>-05</v>
      </c>
      <c r="C47" s="138"/>
      <c r="D47" s="156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47" s="30" t="e">
        <f>VLOOKUP(B47,'Train Runs'!$A$13:$A$99931,1,FALSE)</f>
        <v>#N/A</v>
      </c>
    </row>
    <row r="48" spans="1:10" x14ac:dyDescent="0.25">
      <c r="A48" s="202"/>
      <c r="B48" s="42" t="str">
        <f>A48&amp;"-"&amp;IF(DAY(Variables!$A$2)&lt;10,0,"")&amp;DAY(Variables!$A$2)</f>
        <v>-05</v>
      </c>
      <c r="C48" s="138"/>
      <c r="D48" s="156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48" s="30" t="e">
        <f>VLOOKUP(B48,'Train Runs'!$A$13:$A$99931,1,FALSE)</f>
        <v>#N/A</v>
      </c>
    </row>
    <row r="49" spans="1:10" x14ac:dyDescent="0.25">
      <c r="A49" s="202"/>
      <c r="B49" s="42" t="str">
        <f>A49&amp;"-"&amp;IF(DAY(Variables!$A$2)&lt;10,0,"")&amp;DAY(Variables!$A$2)</f>
        <v>-05</v>
      </c>
      <c r="C49" s="138"/>
      <c r="D49" s="156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49" s="30" t="e">
        <f>VLOOKUP(B49,'Train Runs'!$A$13:$A$99931,1,FALSE)</f>
        <v>#N/A</v>
      </c>
    </row>
    <row r="50" spans="1:10" x14ac:dyDescent="0.25">
      <c r="A50" s="202"/>
      <c r="B50" s="42" t="str">
        <f>A50&amp;"-"&amp;IF(DAY(Variables!$A$2)&lt;10,0,"")&amp;DAY(Variables!$A$2)</f>
        <v>-05</v>
      </c>
      <c r="C50" s="138"/>
      <c r="D50" s="156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50" s="30" t="e">
        <f>VLOOKUP(B50,'Train Runs'!$A$13:$A$99931,1,FALSE)</f>
        <v>#N/A</v>
      </c>
    </row>
    <row r="51" spans="1:10" x14ac:dyDescent="0.25">
      <c r="A51" s="202"/>
      <c r="B51" s="42" t="str">
        <f>A51&amp;"-"&amp;IF(DAY(Variables!$A$2)&lt;10,0,"")&amp;DAY(Variables!$A$2)</f>
        <v>-05</v>
      </c>
      <c r="C51" s="138"/>
      <c r="D51" s="156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51" s="30" t="e">
        <f>VLOOKUP(B51,'Train Runs'!$A$13:$A$99931,1,FALSE)</f>
        <v>#N/A</v>
      </c>
    </row>
    <row r="52" spans="1:10" x14ac:dyDescent="0.25">
      <c r="A52" s="202"/>
      <c r="B52" s="42" t="str">
        <f>A52&amp;"-"&amp;IF(DAY(Variables!$A$2)&lt;10,0,"")&amp;DAY(Variables!$A$2)</f>
        <v>-05</v>
      </c>
      <c r="C52" s="138"/>
      <c r="D52" s="156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52" s="30" t="e">
        <f>VLOOKUP(B52,'Train Runs'!$A$13:$A$99931,1,FALSE)</f>
        <v>#N/A</v>
      </c>
    </row>
    <row r="53" spans="1:10" x14ac:dyDescent="0.25">
      <c r="A53" s="202"/>
      <c r="B53" s="42" t="str">
        <f>A53&amp;"-"&amp;IF(DAY(Variables!$A$2)&lt;10,0,"")&amp;DAY(Variables!$A$2)</f>
        <v>-05</v>
      </c>
      <c r="C53" s="138"/>
      <c r="D53" s="156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53" s="30" t="e">
        <f>VLOOKUP(B53,'Train Runs'!$A$13:$A$99931,1,FALSE)</f>
        <v>#N/A</v>
      </c>
    </row>
    <row r="54" spans="1:10" x14ac:dyDescent="0.25">
      <c r="A54" s="202"/>
      <c r="B54" s="42" t="str">
        <f>A54&amp;"-"&amp;IF(DAY(Variables!$A$2)&lt;10,0,"")&amp;DAY(Variables!$A$2)</f>
        <v>-05</v>
      </c>
      <c r="C54" s="138"/>
      <c r="D54" s="156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54" s="30" t="e">
        <f>VLOOKUP(B54,'Train Runs'!$A$13:$A$99931,1,FALSE)</f>
        <v>#N/A</v>
      </c>
    </row>
    <row r="55" spans="1:10" x14ac:dyDescent="0.25">
      <c r="A55" s="202"/>
      <c r="B55" s="42" t="str">
        <f>A55&amp;"-"&amp;IF(DAY(Variables!$A$2)&lt;10,0,"")&amp;DAY(Variables!$A$2)</f>
        <v>-05</v>
      </c>
      <c r="C55" s="138"/>
      <c r="D55" s="156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55" s="30" t="e">
        <f>VLOOKUP(B55,'Train Runs'!$A$13:$A$99931,1,FALSE)</f>
        <v>#N/A</v>
      </c>
    </row>
    <row r="56" spans="1:10" x14ac:dyDescent="0.25">
      <c r="A56" s="202"/>
      <c r="B56" s="42" t="str">
        <f>A56&amp;"-"&amp;IF(DAY(Variables!$A$2)&lt;10,0,"")&amp;DAY(Variables!$A$2)</f>
        <v>-05</v>
      </c>
      <c r="C56" s="138"/>
      <c r="D56" s="156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56" s="30" t="e">
        <f>VLOOKUP(B56,'Train Runs'!$A$13:$A$99931,1,FALSE)</f>
        <v>#N/A</v>
      </c>
    </row>
    <row r="57" spans="1:10" x14ac:dyDescent="0.25">
      <c r="A57" s="202"/>
      <c r="B57" s="42" t="str">
        <f>A57&amp;"-"&amp;IF(DAY(Variables!$A$2)&lt;10,0,"")&amp;DAY(Variables!$A$2)</f>
        <v>-05</v>
      </c>
      <c r="C57" s="138"/>
      <c r="D57" s="156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57" s="30" t="e">
        <f>VLOOKUP(B57,'Train Runs'!$A$13:$A$99931,1,FALSE)</f>
        <v>#N/A</v>
      </c>
    </row>
    <row r="58" spans="1:10" x14ac:dyDescent="0.25">
      <c r="A58" s="202"/>
      <c r="B58" s="42" t="str">
        <f>A58&amp;"-"&amp;IF(DAY(Variables!$A$2)&lt;10,0,"")&amp;DAY(Variables!$A$2)</f>
        <v>-05</v>
      </c>
      <c r="C58" s="138"/>
      <c r="D58" s="156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58" s="30" t="e">
        <f>VLOOKUP(B58,'Train Runs'!$A$13:$A$99931,1,FALSE)</f>
        <v>#N/A</v>
      </c>
    </row>
    <row r="59" spans="1:10" x14ac:dyDescent="0.25">
      <c r="A59" s="202"/>
      <c r="B59" s="42" t="str">
        <f>A59&amp;"-"&amp;IF(DAY(Variables!$A$2)&lt;10,0,"")&amp;DAY(Variables!$A$2)</f>
        <v>-05</v>
      </c>
      <c r="C59" s="138"/>
      <c r="D59" s="156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59" s="30" t="e">
        <f>VLOOKUP(B59,'Train Runs'!$A$13:$A$99931,1,FALSE)</f>
        <v>#N/A</v>
      </c>
    </row>
    <row r="60" spans="1:10" x14ac:dyDescent="0.25">
      <c r="A60" s="202"/>
      <c r="B60" s="42" t="str">
        <f>A60&amp;"-"&amp;IF(DAY(Variables!$A$2)&lt;10,0,"")&amp;DAY(Variables!$A$2)</f>
        <v>-05</v>
      </c>
      <c r="C60" s="138"/>
      <c r="D60" s="156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60" s="30" t="e">
        <f>VLOOKUP(B60,'Train Runs'!$A$13:$A$99931,1,FALSE)</f>
        <v>#N/A</v>
      </c>
    </row>
    <row r="61" spans="1:10" x14ac:dyDescent="0.25">
      <c r="A61" s="202"/>
      <c r="B61" s="42" t="str">
        <f>A61&amp;"-"&amp;IF(DAY(Variables!$A$2)&lt;10,0,"")&amp;DAY(Variables!$A$2)</f>
        <v>-05</v>
      </c>
      <c r="C61" s="138"/>
      <c r="D61" s="156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61" s="30" t="e">
        <f>VLOOKUP(B61,'Train Runs'!$A$13:$A$99931,1,FALSE)</f>
        <v>#N/A</v>
      </c>
    </row>
    <row r="62" spans="1:10" x14ac:dyDescent="0.25">
      <c r="A62" s="202"/>
      <c r="B62" s="42"/>
      <c r="C62" s="138"/>
      <c r="D62" s="156"/>
      <c r="E62" s="30"/>
      <c r="F62" s="21"/>
      <c r="G62" s="21"/>
      <c r="H62" s="29"/>
      <c r="I62" s="45"/>
      <c r="J62" s="30"/>
    </row>
    <row r="63" spans="1:10" x14ac:dyDescent="0.25">
      <c r="A63" s="202"/>
      <c r="B63" s="42"/>
      <c r="C63" s="138"/>
      <c r="D63" s="156"/>
      <c r="E63" s="30"/>
      <c r="F63" s="21"/>
      <c r="G63" s="21"/>
      <c r="H63" s="29"/>
      <c r="I63" s="45"/>
      <c r="J63" s="30"/>
    </row>
    <row r="64" spans="1:10" x14ac:dyDescent="0.25">
      <c r="A64" s="202"/>
      <c r="B64" s="42"/>
      <c r="C64" s="138"/>
      <c r="D64" s="156"/>
      <c r="E64" s="30"/>
      <c r="F64" s="21"/>
      <c r="G64" s="21"/>
      <c r="H64" s="29"/>
      <c r="I64" s="45"/>
      <c r="J64" s="30"/>
    </row>
    <row r="65" spans="1:10" x14ac:dyDescent="0.25">
      <c r="A65" s="202"/>
      <c r="B65" s="42"/>
      <c r="C65" s="138"/>
      <c r="D65" s="156"/>
      <c r="E65" s="30"/>
      <c r="F65" s="21"/>
      <c r="G65" s="21"/>
      <c r="H65" s="29"/>
      <c r="I65" s="45"/>
      <c r="J65" s="30"/>
    </row>
    <row r="66" spans="1:10" x14ac:dyDescent="0.25">
      <c r="A66" s="202"/>
      <c r="B66" s="42"/>
      <c r="C66" s="138"/>
      <c r="D66" s="156"/>
      <c r="E66" s="30"/>
      <c r="F66" s="21"/>
      <c r="G66" s="21"/>
      <c r="H66" s="29"/>
      <c r="I66" s="45"/>
      <c r="J66" s="30"/>
    </row>
    <row r="67" spans="1:10" x14ac:dyDescent="0.25">
      <c r="A67" s="202"/>
      <c r="B67" s="42"/>
      <c r="C67" s="138"/>
      <c r="D67" s="156"/>
      <c r="E67" s="30"/>
      <c r="F67" s="21"/>
      <c r="G67" s="21"/>
      <c r="H67" s="29"/>
      <c r="I67" s="45"/>
      <c r="J67" s="30"/>
    </row>
    <row r="68" spans="1:10" x14ac:dyDescent="0.25">
      <c r="A68" s="202"/>
      <c r="B68" s="42"/>
      <c r="C68" s="138"/>
      <c r="D68" s="156"/>
      <c r="E68" s="30"/>
      <c r="F68" s="21"/>
      <c r="G68" s="21"/>
      <c r="H68" s="29"/>
      <c r="I68" s="45"/>
      <c r="J68" s="30"/>
    </row>
    <row r="69" spans="1:10" x14ac:dyDescent="0.25">
      <c r="A69" s="202"/>
      <c r="B69" s="42"/>
      <c r="C69" s="138"/>
      <c r="D69" s="156"/>
      <c r="E69" s="30"/>
      <c r="F69" s="21"/>
      <c r="G69" s="21"/>
      <c r="H69" s="29"/>
      <c r="I69" s="45"/>
      <c r="J69" s="30"/>
    </row>
    <row r="70" spans="1:10" x14ac:dyDescent="0.25">
      <c r="A70" s="202"/>
      <c r="B70" s="42"/>
      <c r="C70" s="138"/>
      <c r="D70" s="156"/>
      <c r="E70" s="30"/>
      <c r="F70" s="21"/>
      <c r="G70" s="21"/>
      <c r="H70" s="29"/>
      <c r="I70" s="45"/>
      <c r="J70" s="30"/>
    </row>
    <row r="71" spans="1:10" x14ac:dyDescent="0.25">
      <c r="A71" s="202"/>
      <c r="B71" s="42"/>
      <c r="C71" s="138"/>
      <c r="D71" s="156"/>
      <c r="E71" s="30"/>
      <c r="F71" s="21"/>
      <c r="G71" s="21"/>
      <c r="H71" s="29"/>
      <c r="I71" s="45"/>
      <c r="J71" s="30"/>
    </row>
    <row r="72" spans="1:10" x14ac:dyDescent="0.25">
      <c r="A72" s="202"/>
      <c r="B72" s="42"/>
      <c r="C72" s="138"/>
      <c r="D72" s="156"/>
      <c r="E72" s="30"/>
      <c r="F72" s="21"/>
      <c r="G72" s="21"/>
      <c r="H72" s="29"/>
      <c r="I72" s="45"/>
      <c r="J72" s="30"/>
    </row>
    <row r="73" spans="1:10" x14ac:dyDescent="0.25">
      <c r="A73" s="202"/>
      <c r="B73" s="42"/>
      <c r="C73" s="138"/>
      <c r="D73" s="156"/>
      <c r="E73" s="30"/>
      <c r="F73" s="21"/>
      <c r="G73" s="21"/>
      <c r="H73" s="29"/>
      <c r="I73" s="45"/>
      <c r="J73" s="30"/>
    </row>
    <row r="74" spans="1:10" x14ac:dyDescent="0.25">
      <c r="A74" s="202"/>
      <c r="B74" s="42"/>
      <c r="C74" s="138"/>
      <c r="D74" s="156"/>
      <c r="E74" s="30"/>
      <c r="F74" s="21"/>
      <c r="G74" s="21"/>
      <c r="H74" s="29"/>
      <c r="I74" s="45"/>
      <c r="J74" s="30"/>
    </row>
    <row r="75" spans="1:10" x14ac:dyDescent="0.25">
      <c r="A75" s="202"/>
      <c r="B75" s="42"/>
      <c r="C75" s="138"/>
      <c r="D75" s="156"/>
      <c r="E75" s="30"/>
      <c r="F75" s="21"/>
      <c r="G75" s="21"/>
      <c r="H75" s="29"/>
      <c r="I75" s="45"/>
      <c r="J75" s="30"/>
    </row>
    <row r="76" spans="1:10" x14ac:dyDescent="0.25">
      <c r="A76" s="202"/>
      <c r="B76" s="42"/>
      <c r="C76" s="138"/>
      <c r="D76" s="156"/>
      <c r="E76" s="30"/>
      <c r="F76" s="21"/>
      <c r="G76" s="21"/>
      <c r="H76" s="29"/>
      <c r="I76" s="45"/>
      <c r="J76" s="30"/>
    </row>
    <row r="77" spans="1:10" x14ac:dyDescent="0.25">
      <c r="A77" s="202"/>
      <c r="B77" s="42"/>
      <c r="C77" s="138"/>
      <c r="D77" s="156"/>
      <c r="E77" s="30"/>
      <c r="F77" s="21"/>
      <c r="G77" s="21"/>
      <c r="H77" s="29"/>
      <c r="I77" s="45"/>
      <c r="J77" s="30"/>
    </row>
    <row r="78" spans="1:10" x14ac:dyDescent="0.25">
      <c r="A78" s="202"/>
      <c r="B78" s="42"/>
      <c r="C78" s="138"/>
      <c r="D78" s="156"/>
      <c r="E78" s="30"/>
      <c r="F78" s="21"/>
      <c r="G78" s="21"/>
      <c r="H78" s="29"/>
      <c r="I78" s="45"/>
      <c r="J78" s="30"/>
    </row>
    <row r="79" spans="1:10" x14ac:dyDescent="0.25">
      <c r="A79" s="202"/>
      <c r="B79" s="42"/>
      <c r="C79" s="138"/>
      <c r="D79" s="156"/>
      <c r="E79" s="30"/>
      <c r="F79" s="21"/>
      <c r="G79" s="21"/>
      <c r="H79" s="29"/>
      <c r="I79" s="45"/>
      <c r="J79" s="30"/>
    </row>
    <row r="80" spans="1:10" x14ac:dyDescent="0.25">
      <c r="A80" s="202"/>
      <c r="B80" s="42"/>
      <c r="C80" s="138"/>
      <c r="D80" s="156"/>
      <c r="E80" s="30"/>
      <c r="F80" s="21"/>
      <c r="G80" s="21"/>
      <c r="H80" s="29"/>
      <c r="I80" s="45"/>
      <c r="J80" s="30"/>
    </row>
    <row r="81" spans="1:10" x14ac:dyDescent="0.25">
      <c r="A81" s="202"/>
      <c r="B81" s="42"/>
      <c r="C81" s="138"/>
      <c r="D81" s="156"/>
      <c r="E81" s="30"/>
      <c r="F81" s="21"/>
      <c r="G81" s="21"/>
      <c r="H81" s="29"/>
      <c r="I81" s="45"/>
      <c r="J81" s="30"/>
    </row>
    <row r="82" spans="1:10" x14ac:dyDescent="0.25">
      <c r="A82" s="202"/>
      <c r="B82" s="42"/>
      <c r="C82" s="138"/>
      <c r="D82" s="156"/>
      <c r="E82" s="30"/>
      <c r="F82" s="21"/>
      <c r="G82" s="21"/>
      <c r="H82" s="29"/>
      <c r="I82" s="45"/>
      <c r="J82" s="30"/>
    </row>
    <row r="83" spans="1:10" x14ac:dyDescent="0.25">
      <c r="A83" s="202"/>
      <c r="B83" s="42"/>
      <c r="C83" s="138"/>
      <c r="D83" s="156"/>
      <c r="E83" s="30"/>
      <c r="F83" s="21"/>
      <c r="G83" s="21"/>
      <c r="H83" s="29"/>
      <c r="I83" s="45"/>
      <c r="J83" s="30"/>
    </row>
    <row r="84" spans="1:10" x14ac:dyDescent="0.25">
      <c r="A84" s="202"/>
      <c r="B84" s="42"/>
      <c r="C84" s="138"/>
      <c r="D84" s="156"/>
      <c r="E84" s="30"/>
      <c r="F84" s="21"/>
      <c r="G84" s="21"/>
      <c r="H84" s="29"/>
      <c r="I84" s="45"/>
      <c r="J84" s="30"/>
    </row>
    <row r="85" spans="1:10" x14ac:dyDescent="0.25">
      <c r="A85" s="202"/>
      <c r="B85" s="42"/>
      <c r="C85" s="138"/>
      <c r="D85" s="156"/>
      <c r="E85" s="30"/>
      <c r="F85" s="21"/>
      <c r="G85" s="21"/>
      <c r="H85" s="29"/>
      <c r="I85" s="45"/>
      <c r="J85" s="30"/>
    </row>
    <row r="86" spans="1:10" x14ac:dyDescent="0.25">
      <c r="A86" s="202"/>
      <c r="B86" s="42"/>
      <c r="C86" s="138"/>
      <c r="D86" s="156"/>
      <c r="E86" s="30"/>
      <c r="F86" s="21"/>
      <c r="G86" s="21"/>
      <c r="H86" s="29"/>
      <c r="I86" s="45"/>
      <c r="J86" s="30"/>
    </row>
    <row r="87" spans="1:10" x14ac:dyDescent="0.25">
      <c r="A87" s="202"/>
      <c r="B87" s="42"/>
      <c r="C87" s="138"/>
      <c r="D87" s="156"/>
      <c r="E87" s="30"/>
      <c r="F87" s="21"/>
      <c r="G87" s="21"/>
      <c r="H87" s="29"/>
      <c r="I87" s="45"/>
      <c r="J87" s="30"/>
    </row>
    <row r="88" spans="1:10" x14ac:dyDescent="0.25">
      <c r="A88" s="202"/>
      <c r="B88" s="42"/>
      <c r="C88" s="138"/>
      <c r="D88" s="156"/>
      <c r="E88" s="30"/>
      <c r="F88" s="21"/>
      <c r="G88" s="21"/>
      <c r="H88" s="29"/>
      <c r="I88" s="45"/>
      <c r="J88" s="30"/>
    </row>
    <row r="89" spans="1:10" x14ac:dyDescent="0.25">
      <c r="A89" s="202"/>
      <c r="B89" s="42"/>
      <c r="C89" s="138"/>
      <c r="D89" s="156"/>
      <c r="E89" s="30"/>
      <c r="F89" s="21"/>
      <c r="G89" s="21"/>
      <c r="H89" s="29"/>
      <c r="I89" s="45"/>
      <c r="J89" s="30"/>
    </row>
    <row r="90" spans="1:10" x14ac:dyDescent="0.25">
      <c r="A90" s="202"/>
      <c r="B90" s="42"/>
      <c r="C90" s="138"/>
      <c r="D90" s="156"/>
      <c r="E90" s="30"/>
      <c r="F90" s="21"/>
      <c r="G90" s="21"/>
      <c r="H90" s="29"/>
      <c r="I90" s="45"/>
      <c r="J90" s="30"/>
    </row>
    <row r="91" spans="1:10" x14ac:dyDescent="0.25">
      <c r="A91" s="202"/>
      <c r="B91" s="42"/>
      <c r="C91" s="138"/>
      <c r="D91" s="156"/>
      <c r="E91" s="30"/>
      <c r="F91" s="21"/>
      <c r="G91" s="21"/>
      <c r="H91" s="29"/>
      <c r="I91" s="45"/>
      <c r="J91" s="30"/>
    </row>
    <row r="92" spans="1:10" x14ac:dyDescent="0.25">
      <c r="A92" s="202"/>
      <c r="B92" s="42"/>
      <c r="C92" s="138"/>
      <c r="D92" s="156"/>
      <c r="E92" s="30"/>
      <c r="F92" s="21"/>
      <c r="G92" s="21"/>
      <c r="H92" s="29"/>
      <c r="I92" s="45"/>
      <c r="J92" s="30"/>
    </row>
    <row r="93" spans="1:10" x14ac:dyDescent="0.25">
      <c r="A93" s="202"/>
      <c r="B93" s="42"/>
      <c r="C93" s="138"/>
      <c r="D93" s="156"/>
      <c r="E93" s="30"/>
      <c r="F93" s="21"/>
      <c r="G93" s="21"/>
      <c r="H93" s="29"/>
      <c r="I93" s="45"/>
      <c r="J93" s="30"/>
    </row>
    <row r="94" spans="1:10" x14ac:dyDescent="0.25">
      <c r="A94" s="202"/>
      <c r="B94" s="42"/>
      <c r="C94" s="138"/>
      <c r="D94" s="156"/>
      <c r="E94" s="30"/>
      <c r="F94" s="21"/>
      <c r="G94" s="21"/>
      <c r="H94" s="29"/>
      <c r="I94" s="45"/>
      <c r="J94" s="30"/>
    </row>
    <row r="95" spans="1:10" x14ac:dyDescent="0.25">
      <c r="A95" s="202"/>
      <c r="B95" s="42"/>
      <c r="C95" s="138"/>
      <c r="D95" s="156"/>
      <c r="E95" s="30"/>
      <c r="F95" s="21"/>
      <c r="G95" s="21"/>
      <c r="H95" s="29"/>
      <c r="I95" s="45"/>
      <c r="J95" s="30"/>
    </row>
    <row r="96" spans="1:10" x14ac:dyDescent="0.25">
      <c r="A96" s="202"/>
      <c r="B96" s="42"/>
      <c r="C96" s="138"/>
      <c r="D96" s="156"/>
      <c r="E96" s="30"/>
      <c r="F96" s="21"/>
      <c r="G96" s="21"/>
      <c r="H96" s="29"/>
      <c r="I96" s="45"/>
      <c r="J96" s="30"/>
    </row>
    <row r="97" spans="1:10" x14ac:dyDescent="0.25">
      <c r="A97" s="202"/>
      <c r="B97" s="42"/>
      <c r="C97" s="138"/>
      <c r="D97" s="156"/>
      <c r="E97" s="30"/>
      <c r="F97" s="21"/>
      <c r="G97" s="21"/>
      <c r="H97" s="29"/>
      <c r="I97" s="45"/>
      <c r="J97" s="30"/>
    </row>
    <row r="98" spans="1:10" x14ac:dyDescent="0.25">
      <c r="A98" s="202"/>
      <c r="B98" s="42"/>
      <c r="C98" s="138"/>
      <c r="D98" s="156"/>
      <c r="E98" s="30"/>
      <c r="F98" s="21"/>
      <c r="G98" s="21"/>
      <c r="H98" s="29"/>
      <c r="I98" s="45"/>
      <c r="J98" s="30"/>
    </row>
    <row r="99" spans="1:10" x14ac:dyDescent="0.25">
      <c r="A99" s="202"/>
      <c r="B99" s="42"/>
      <c r="C99" s="138"/>
      <c r="D99" s="156"/>
      <c r="E99" s="30"/>
      <c r="F99" s="21"/>
      <c r="G99" s="21"/>
      <c r="H99" s="29"/>
      <c r="I99" s="45"/>
      <c r="J99" s="30"/>
    </row>
    <row r="100" spans="1:10" x14ac:dyDescent="0.25">
      <c r="A100" s="202"/>
      <c r="B100" s="42"/>
      <c r="C100" s="138"/>
      <c r="D100" s="156"/>
      <c r="E100" s="30"/>
      <c r="F100" s="21"/>
      <c r="G100" s="21"/>
      <c r="H100" s="29"/>
      <c r="I100" s="45"/>
      <c r="J100" s="30"/>
    </row>
    <row r="101" spans="1:10" x14ac:dyDescent="0.25">
      <c r="A101" s="202"/>
      <c r="B101" s="42"/>
      <c r="C101" s="138"/>
      <c r="D101" s="156"/>
      <c r="E101" s="30"/>
      <c r="F101" s="21"/>
      <c r="G101" s="21"/>
      <c r="H101" s="29"/>
      <c r="I101" s="45"/>
      <c r="J101" s="30"/>
    </row>
    <row r="102" spans="1:10" x14ac:dyDescent="0.25">
      <c r="A102" s="202"/>
      <c r="B102" s="42"/>
      <c r="C102" s="138"/>
      <c r="D102" s="156"/>
      <c r="E102" s="30"/>
      <c r="F102" s="21"/>
      <c r="G102" s="21"/>
      <c r="H102" s="29"/>
      <c r="I102" s="45"/>
      <c r="J102" s="30"/>
    </row>
    <row r="103" spans="1:10" x14ac:dyDescent="0.25">
      <c r="A103" s="202"/>
      <c r="B103" s="42"/>
      <c r="C103" s="138"/>
      <c r="D103" s="156"/>
      <c r="E103" s="30"/>
      <c r="F103" s="21"/>
      <c r="G103" s="21"/>
      <c r="H103" s="29"/>
      <c r="I103" s="45"/>
      <c r="J103" s="30"/>
    </row>
    <row r="104" spans="1:10" x14ac:dyDescent="0.25">
      <c r="A104" s="202"/>
      <c r="B104" s="42"/>
      <c r="C104" s="138"/>
      <c r="D104" s="156"/>
      <c r="E104" s="30"/>
      <c r="F104" s="21"/>
      <c r="G104" s="21"/>
      <c r="H104" s="29"/>
      <c r="I104" s="45"/>
      <c r="J104" s="30"/>
    </row>
    <row r="105" spans="1:10" x14ac:dyDescent="0.25">
      <c r="A105" s="202"/>
      <c r="B105" s="42"/>
      <c r="C105" s="138"/>
      <c r="D105" s="156"/>
      <c r="E105" s="30"/>
      <c r="F105" s="21"/>
      <c r="G105" s="21"/>
      <c r="H105" s="29"/>
      <c r="I105" s="45"/>
      <c r="J105" s="30"/>
    </row>
    <row r="106" spans="1:10" x14ac:dyDescent="0.25">
      <c r="A106" s="202"/>
      <c r="B106" s="42"/>
      <c r="C106" s="138"/>
      <c r="D106" s="156"/>
      <c r="E106" s="30"/>
      <c r="F106" s="21"/>
      <c r="G106" s="21"/>
      <c r="H106" s="29"/>
      <c r="I106" s="45"/>
      <c r="J106" s="30"/>
    </row>
    <row r="107" spans="1:10" x14ac:dyDescent="0.25">
      <c r="A107" s="202"/>
      <c r="B107" s="42"/>
      <c r="C107" s="138"/>
      <c r="D107" s="156"/>
      <c r="E107" s="30"/>
      <c r="F107" s="21"/>
      <c r="G107" s="21"/>
      <c r="H107" s="29"/>
      <c r="I107" s="45"/>
      <c r="J107" s="30"/>
    </row>
    <row r="108" spans="1:10" x14ac:dyDescent="0.25">
      <c r="A108" s="202"/>
      <c r="B108" s="42"/>
      <c r="C108" s="138"/>
      <c r="D108" s="156"/>
      <c r="E108" s="30"/>
      <c r="F108" s="21"/>
      <c r="G108" s="21"/>
      <c r="H108" s="29"/>
      <c r="I108" s="45"/>
      <c r="J108" s="30"/>
    </row>
    <row r="109" spans="1:10" x14ac:dyDescent="0.25">
      <c r="A109" s="202"/>
      <c r="B109" s="42"/>
      <c r="C109" s="138"/>
      <c r="D109" s="156"/>
      <c r="E109" s="30"/>
      <c r="F109" s="21"/>
      <c r="G109" s="21"/>
      <c r="H109" s="29"/>
      <c r="I109" s="45"/>
      <c r="J109" s="30"/>
    </row>
    <row r="110" spans="1:10" x14ac:dyDescent="0.25">
      <c r="A110" s="202"/>
      <c r="B110" s="42"/>
      <c r="C110" s="138"/>
      <c r="D110" s="156"/>
      <c r="E110" s="30"/>
      <c r="F110" s="21"/>
      <c r="G110" s="21"/>
      <c r="H110" s="29"/>
      <c r="I110" s="45"/>
      <c r="J110" s="30"/>
    </row>
    <row r="111" spans="1:10" x14ac:dyDescent="0.25">
      <c r="A111" s="202"/>
      <c r="B111" s="42"/>
      <c r="C111" s="138"/>
      <c r="D111" s="156"/>
      <c r="E111" s="30"/>
      <c r="F111" s="21"/>
      <c r="G111" s="21"/>
      <c r="H111" s="29"/>
      <c r="I111" s="45"/>
      <c r="J111" s="30"/>
    </row>
    <row r="112" spans="1:10" x14ac:dyDescent="0.25">
      <c r="A112" s="202"/>
      <c r="B112" s="42"/>
      <c r="C112" s="138"/>
      <c r="D112" s="156"/>
      <c r="E112" s="30"/>
      <c r="F112" s="21"/>
      <c r="G112" s="21"/>
      <c r="H112" s="29"/>
      <c r="I112" s="45"/>
      <c r="J112" s="30"/>
    </row>
    <row r="113" spans="1:10" x14ac:dyDescent="0.25">
      <c r="A113" s="202"/>
      <c r="B113" s="42"/>
      <c r="C113" s="138"/>
      <c r="D113" s="156"/>
      <c r="E113" s="30"/>
      <c r="F113" s="21"/>
      <c r="G113" s="21"/>
      <c r="H113" s="29"/>
      <c r="I113" s="45"/>
      <c r="J113" s="30"/>
    </row>
    <row r="114" spans="1:10" x14ac:dyDescent="0.25">
      <c r="A114" s="202"/>
      <c r="B114" s="42"/>
      <c r="C114" s="138"/>
      <c r="D114" s="156"/>
      <c r="E114" s="30"/>
      <c r="F114" s="21"/>
      <c r="G114" s="21"/>
      <c r="H114" s="29"/>
      <c r="I114" s="45"/>
      <c r="J114" s="30"/>
    </row>
    <row r="115" spans="1:10" x14ac:dyDescent="0.25">
      <c r="A115" s="202"/>
      <c r="B115" s="42"/>
      <c r="C115" s="138"/>
      <c r="D115" s="156"/>
      <c r="E115" s="30"/>
      <c r="F115" s="21"/>
      <c r="G115" s="21"/>
      <c r="H115" s="29"/>
      <c r="I115" s="45"/>
      <c r="J115" s="30"/>
    </row>
    <row r="116" spans="1:10" x14ac:dyDescent="0.25">
      <c r="A116" s="202"/>
      <c r="B116" s="42"/>
      <c r="C116" s="138"/>
      <c r="D116" s="156"/>
      <c r="E116" s="30"/>
      <c r="F116" s="21"/>
      <c r="G116" s="21"/>
      <c r="H116" s="29"/>
      <c r="I116" s="45"/>
      <c r="J116" s="30"/>
    </row>
    <row r="117" spans="1:10" x14ac:dyDescent="0.25">
      <c r="A117" s="202"/>
      <c r="B117" s="42"/>
      <c r="C117" s="138"/>
      <c r="D117" s="156"/>
      <c r="E117" s="30"/>
      <c r="F117" s="21"/>
      <c r="G117" s="21"/>
      <c r="H117" s="29"/>
      <c r="I117" s="45"/>
      <c r="J117" s="30"/>
    </row>
  </sheetData>
  <autoFilter ref="A2:J69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5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1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172</v>
      </c>
      <c r="B1" s="20" t="s">
        <v>173</v>
      </c>
      <c r="C1" s="20" t="s">
        <v>0</v>
      </c>
      <c r="D1" s="141" t="s">
        <v>174</v>
      </c>
      <c r="E1" s="20" t="s">
        <v>175</v>
      </c>
      <c r="F1" s="20" t="s">
        <v>193</v>
      </c>
      <c r="G1" s="8" t="s">
        <v>192</v>
      </c>
    </row>
    <row r="2" spans="1:7" x14ac:dyDescent="0.25">
      <c r="A2" s="8">
        <v>42891.035937499997</v>
      </c>
      <c r="B2" s="20" t="s">
        <v>435</v>
      </c>
      <c r="C2" s="20" t="s">
        <v>546</v>
      </c>
      <c r="D2" s="141">
        <v>3030000</v>
      </c>
      <c r="E2" s="20" t="s">
        <v>387</v>
      </c>
      <c r="F2" s="20" t="s">
        <v>372</v>
      </c>
      <c r="G2" s="8" t="str">
        <f>E2&amp;" "&amp;F2</f>
        <v>BIRENBAUM THOMAS</v>
      </c>
    </row>
    <row r="3" spans="1:7" x14ac:dyDescent="0.25">
      <c r="A3" s="8">
        <v>42891.047881944447</v>
      </c>
      <c r="B3" s="20" t="s">
        <v>412</v>
      </c>
      <c r="C3" s="20" t="s">
        <v>547</v>
      </c>
      <c r="D3" s="141">
        <v>2230000</v>
      </c>
      <c r="E3" s="20" t="s">
        <v>344</v>
      </c>
      <c r="F3" s="20" t="s">
        <v>194</v>
      </c>
      <c r="G3" s="8" t="str">
        <f t="shared" ref="G3:G66" si="0">E3&amp;" "&amp;F3</f>
        <v>SMITH MICHAEL</v>
      </c>
    </row>
    <row r="4" spans="1:7" x14ac:dyDescent="0.25">
      <c r="A4" s="8">
        <v>42891.04928240741</v>
      </c>
      <c r="B4" s="20" t="s">
        <v>412</v>
      </c>
      <c r="C4" s="20" t="s">
        <v>547</v>
      </c>
      <c r="D4" s="141">
        <v>2230000</v>
      </c>
      <c r="E4" s="20" t="s">
        <v>344</v>
      </c>
      <c r="F4" s="20" t="s">
        <v>194</v>
      </c>
      <c r="G4" s="8" t="str">
        <f t="shared" si="0"/>
        <v>SMITH MICHAEL</v>
      </c>
    </row>
    <row r="5" spans="1:7" x14ac:dyDescent="0.25">
      <c r="A5" s="8">
        <v>42891.054108796299</v>
      </c>
      <c r="B5" s="20" t="s">
        <v>502</v>
      </c>
      <c r="C5" s="20" t="s">
        <v>548</v>
      </c>
      <c r="D5" s="141">
        <v>2090000</v>
      </c>
      <c r="E5" s="20" t="s">
        <v>545</v>
      </c>
      <c r="F5" s="20" t="s">
        <v>194</v>
      </c>
      <c r="G5" s="8" t="str">
        <f t="shared" si="0"/>
        <v>HAITHCOX MICHAEL</v>
      </c>
    </row>
    <row r="6" spans="1:7" x14ac:dyDescent="0.25">
      <c r="A6" s="8">
        <v>42891.068379629629</v>
      </c>
      <c r="B6" s="20" t="s">
        <v>423</v>
      </c>
      <c r="C6" s="20" t="s">
        <v>549</v>
      </c>
      <c r="D6" s="141">
        <v>2620000</v>
      </c>
      <c r="E6" s="20" t="s">
        <v>518</v>
      </c>
      <c r="F6" s="20" t="s">
        <v>519</v>
      </c>
      <c r="G6" s="8" t="str">
        <f t="shared" si="0"/>
        <v>PERKINS DARREN</v>
      </c>
    </row>
    <row r="7" spans="1:7" x14ac:dyDescent="0.25">
      <c r="A7" s="8">
        <v>42891.114432870374</v>
      </c>
      <c r="B7" s="20" t="s">
        <v>467</v>
      </c>
      <c r="C7" s="20" t="s">
        <v>550</v>
      </c>
      <c r="D7" s="141">
        <v>3030000</v>
      </c>
      <c r="E7" s="20" t="s">
        <v>387</v>
      </c>
      <c r="F7" s="20" t="s">
        <v>372</v>
      </c>
      <c r="G7" s="8" t="str">
        <f t="shared" si="0"/>
        <v>BIRENBAUM THOMAS</v>
      </c>
    </row>
    <row r="8" spans="1:7" x14ac:dyDescent="0.25">
      <c r="A8" s="8">
        <v>42891.115868055553</v>
      </c>
      <c r="B8" s="20" t="s">
        <v>374</v>
      </c>
      <c r="C8" s="20" t="s">
        <v>630</v>
      </c>
      <c r="D8" s="141">
        <v>2010000</v>
      </c>
      <c r="E8" s="20" t="s">
        <v>520</v>
      </c>
      <c r="F8" s="20" t="s">
        <v>521</v>
      </c>
      <c r="G8" s="8" t="str">
        <f t="shared" si="0"/>
        <v>MAELZER KURT</v>
      </c>
    </row>
    <row r="9" spans="1:7" ht="15.75" thickBot="1" x14ac:dyDescent="0.3">
      <c r="A9" s="24">
        <v>42891.130648148152</v>
      </c>
      <c r="B9" s="20" t="s">
        <v>380</v>
      </c>
      <c r="C9" s="20" t="s">
        <v>631</v>
      </c>
      <c r="D9" s="141">
        <v>1090000</v>
      </c>
      <c r="E9" s="20" t="s">
        <v>632</v>
      </c>
      <c r="F9" s="20" t="s">
        <v>194</v>
      </c>
      <c r="G9" s="8" t="str">
        <f t="shared" si="0"/>
        <v>SPECTOR MICHAEL</v>
      </c>
    </row>
    <row r="10" spans="1:7" x14ac:dyDescent="0.25">
      <c r="A10" s="8">
        <v>42891.131365740737</v>
      </c>
      <c r="B10" s="20" t="s">
        <v>609</v>
      </c>
      <c r="C10" s="20" t="s">
        <v>633</v>
      </c>
      <c r="D10" s="141">
        <v>2010000</v>
      </c>
      <c r="E10" s="20" t="s">
        <v>520</v>
      </c>
      <c r="F10" s="20" t="s">
        <v>521</v>
      </c>
      <c r="G10" s="8" t="str">
        <f t="shared" si="0"/>
        <v>MAELZER KURT</v>
      </c>
    </row>
    <row r="11" spans="1:7" x14ac:dyDescent="0.25">
      <c r="A11" s="8">
        <v>42891.135520833333</v>
      </c>
      <c r="B11" s="20" t="s">
        <v>441</v>
      </c>
      <c r="C11" s="20" t="s">
        <v>634</v>
      </c>
      <c r="D11" s="141">
        <v>3120000</v>
      </c>
      <c r="E11" s="20" t="s">
        <v>489</v>
      </c>
      <c r="F11" s="20" t="s">
        <v>490</v>
      </c>
      <c r="G11" s="8" t="str">
        <f t="shared" si="0"/>
        <v>THOMPSON LESTER</v>
      </c>
    </row>
    <row r="12" spans="1:7" x14ac:dyDescent="0.25">
      <c r="A12" s="8">
        <v>42891.140740740739</v>
      </c>
      <c r="B12" s="20" t="s">
        <v>374</v>
      </c>
      <c r="C12" s="20" t="s">
        <v>635</v>
      </c>
      <c r="D12" s="141">
        <v>1090000</v>
      </c>
      <c r="E12" s="20" t="s">
        <v>632</v>
      </c>
      <c r="F12" s="20" t="s">
        <v>194</v>
      </c>
      <c r="G12" s="8" t="str">
        <f t="shared" si="0"/>
        <v>SPECTOR MICHAEL</v>
      </c>
    </row>
    <row r="13" spans="1:7" x14ac:dyDescent="0.25">
      <c r="A13" s="8">
        <v>42891.146932870368</v>
      </c>
      <c r="B13" s="20" t="s">
        <v>443</v>
      </c>
      <c r="C13" s="20" t="s">
        <v>636</v>
      </c>
      <c r="D13" s="141">
        <v>3120000</v>
      </c>
      <c r="E13" s="20" t="s">
        <v>489</v>
      </c>
      <c r="F13" s="20" t="s">
        <v>490</v>
      </c>
      <c r="G13" s="8" t="str">
        <f t="shared" si="0"/>
        <v>THOMPSON LESTER</v>
      </c>
    </row>
    <row r="14" spans="1:7" x14ac:dyDescent="0.25">
      <c r="A14" s="8">
        <v>42891.161458333336</v>
      </c>
      <c r="B14" s="20" t="s">
        <v>588</v>
      </c>
      <c r="C14" s="20" t="s">
        <v>637</v>
      </c>
      <c r="D14" s="141">
        <v>1110000</v>
      </c>
      <c r="E14" s="20" t="s">
        <v>638</v>
      </c>
      <c r="F14" s="20" t="s">
        <v>639</v>
      </c>
      <c r="G14" s="8" t="str">
        <f t="shared" si="0"/>
        <v>STARKS ANGELINA</v>
      </c>
    </row>
    <row r="15" spans="1:7" x14ac:dyDescent="0.25">
      <c r="A15" s="8">
        <v>42891.169953703706</v>
      </c>
      <c r="B15" s="20" t="s">
        <v>620</v>
      </c>
      <c r="C15" s="20" t="s">
        <v>640</v>
      </c>
      <c r="D15" s="141">
        <v>2010000</v>
      </c>
      <c r="E15" s="20" t="s">
        <v>520</v>
      </c>
      <c r="F15" s="20" t="s">
        <v>521</v>
      </c>
      <c r="G15" s="8" t="str">
        <f t="shared" si="0"/>
        <v>MAELZER KURT</v>
      </c>
    </row>
    <row r="16" spans="1:7" x14ac:dyDescent="0.25">
      <c r="A16" s="8">
        <v>42891.172881944447</v>
      </c>
      <c r="B16" s="20" t="s">
        <v>425</v>
      </c>
      <c r="C16" s="20" t="s">
        <v>641</v>
      </c>
      <c r="D16" s="141">
        <v>2530000</v>
      </c>
      <c r="E16" s="20" t="s">
        <v>505</v>
      </c>
      <c r="F16" s="20" t="s">
        <v>506</v>
      </c>
      <c r="G16" s="8" t="str">
        <f t="shared" si="0"/>
        <v>LALONDE GREGORY</v>
      </c>
    </row>
    <row r="17" spans="1:7" x14ac:dyDescent="0.25">
      <c r="A17" s="8">
        <v>42891.176087962966</v>
      </c>
      <c r="B17" s="20" t="s">
        <v>544</v>
      </c>
      <c r="C17" s="20" t="s">
        <v>642</v>
      </c>
      <c r="D17" s="141">
        <v>1110000</v>
      </c>
      <c r="E17" s="20" t="s">
        <v>638</v>
      </c>
      <c r="F17" s="20" t="s">
        <v>639</v>
      </c>
      <c r="G17" s="8" t="str">
        <f t="shared" si="0"/>
        <v>STARKS ANGELINA</v>
      </c>
    </row>
    <row r="18" spans="1:7" x14ac:dyDescent="0.25">
      <c r="A18" s="8">
        <v>42891.180555555555</v>
      </c>
      <c r="B18" s="20" t="s">
        <v>488</v>
      </c>
      <c r="C18" s="20" t="s">
        <v>643</v>
      </c>
      <c r="D18" s="141">
        <v>3040000</v>
      </c>
      <c r="E18" s="20" t="s">
        <v>388</v>
      </c>
      <c r="F18" s="20" t="s">
        <v>389</v>
      </c>
      <c r="G18" s="8" t="str">
        <f t="shared" si="0"/>
        <v>WILLIAMS DONTE</v>
      </c>
    </row>
    <row r="19" spans="1:7" x14ac:dyDescent="0.25">
      <c r="A19" s="8">
        <v>42891.186180555553</v>
      </c>
      <c r="B19" s="20" t="s">
        <v>362</v>
      </c>
      <c r="C19" s="20" t="s">
        <v>644</v>
      </c>
      <c r="D19" s="141">
        <v>2530000</v>
      </c>
      <c r="E19" s="20" t="s">
        <v>505</v>
      </c>
      <c r="F19" s="20" t="s">
        <v>506</v>
      </c>
      <c r="G19" s="8" t="str">
        <f t="shared" si="0"/>
        <v>LALONDE GREGORY</v>
      </c>
    </row>
    <row r="20" spans="1:7" x14ac:dyDescent="0.25">
      <c r="A20" s="8">
        <v>42891.193344907406</v>
      </c>
      <c r="B20" s="20" t="s">
        <v>441</v>
      </c>
      <c r="C20" s="20" t="s">
        <v>645</v>
      </c>
      <c r="D20" s="141">
        <v>3120000</v>
      </c>
      <c r="E20" s="20" t="s">
        <v>489</v>
      </c>
      <c r="F20" s="20" t="s">
        <v>490</v>
      </c>
      <c r="G20" s="8" t="str">
        <f t="shared" si="0"/>
        <v>THOMPSON LESTER</v>
      </c>
    </row>
    <row r="21" spans="1:7" x14ac:dyDescent="0.25">
      <c r="A21" s="8">
        <v>42891.194074074076</v>
      </c>
      <c r="B21" s="20" t="s">
        <v>407</v>
      </c>
      <c r="C21" s="20" t="s">
        <v>646</v>
      </c>
      <c r="D21" s="141">
        <v>3040000</v>
      </c>
      <c r="E21" s="20" t="s">
        <v>388</v>
      </c>
      <c r="F21" s="20" t="s">
        <v>389</v>
      </c>
      <c r="G21" s="8" t="str">
        <f t="shared" si="0"/>
        <v>WILLIAMS DONTE</v>
      </c>
    </row>
    <row r="22" spans="1:7" x14ac:dyDescent="0.25">
      <c r="A22" s="26">
        <v>42891.199224537035</v>
      </c>
      <c r="B22" s="20" t="s">
        <v>341</v>
      </c>
      <c r="C22" s="20" t="s">
        <v>647</v>
      </c>
      <c r="D22" s="141">
        <v>2600000</v>
      </c>
      <c r="E22" s="20" t="s">
        <v>507</v>
      </c>
      <c r="F22" s="20" t="s">
        <v>508</v>
      </c>
      <c r="G22" s="8" t="str">
        <f t="shared" si="0"/>
        <v>DAVIDSON DAVID</v>
      </c>
    </row>
    <row r="23" spans="1:7" x14ac:dyDescent="0.25">
      <c r="A23" s="8">
        <v>42891.199942129628</v>
      </c>
      <c r="B23" s="20" t="s">
        <v>586</v>
      </c>
      <c r="C23" s="20" t="s">
        <v>648</v>
      </c>
      <c r="D23" s="141">
        <v>1540000</v>
      </c>
      <c r="E23" s="20" t="s">
        <v>649</v>
      </c>
      <c r="F23" s="20" t="s">
        <v>650</v>
      </c>
      <c r="G23" s="8" t="str">
        <f t="shared" si="0"/>
        <v>HELVIE ADAM</v>
      </c>
    </row>
    <row r="24" spans="1:7" x14ac:dyDescent="0.25">
      <c r="A24" s="8">
        <v>42891.204675925925</v>
      </c>
      <c r="B24" s="20" t="s">
        <v>588</v>
      </c>
      <c r="C24" s="20" t="s">
        <v>651</v>
      </c>
      <c r="D24" s="141">
        <v>1110000</v>
      </c>
      <c r="E24" s="20" t="s">
        <v>638</v>
      </c>
      <c r="F24" s="20" t="s">
        <v>639</v>
      </c>
      <c r="G24" s="8" t="str">
        <f t="shared" si="0"/>
        <v>STARKS ANGELINA</v>
      </c>
    </row>
    <row r="25" spans="1:7" x14ac:dyDescent="0.25">
      <c r="A25" s="8">
        <v>42891.204745370371</v>
      </c>
      <c r="B25" s="20" t="s">
        <v>609</v>
      </c>
      <c r="C25" s="20" t="s">
        <v>652</v>
      </c>
      <c r="D25" s="141">
        <v>2010000</v>
      </c>
      <c r="E25" s="20" t="s">
        <v>520</v>
      </c>
      <c r="F25" s="20" t="s">
        <v>521</v>
      </c>
      <c r="G25" s="8" t="str">
        <f t="shared" si="0"/>
        <v>MAELZER KURT</v>
      </c>
    </row>
    <row r="26" spans="1:7" x14ac:dyDescent="0.25">
      <c r="A26" s="8">
        <v>42891.210787037038</v>
      </c>
      <c r="B26" s="20" t="s">
        <v>342</v>
      </c>
      <c r="C26" s="20" t="s">
        <v>653</v>
      </c>
      <c r="D26" s="141">
        <v>2600000</v>
      </c>
      <c r="E26" s="20" t="s">
        <v>507</v>
      </c>
      <c r="F26" s="20" t="s">
        <v>508</v>
      </c>
      <c r="G26" s="8" t="str">
        <f t="shared" si="0"/>
        <v>DAVIDSON DAVID</v>
      </c>
    </row>
    <row r="27" spans="1:7" x14ac:dyDescent="0.25">
      <c r="A27" s="8">
        <v>42891.214259259257</v>
      </c>
      <c r="B27" s="20" t="s">
        <v>595</v>
      </c>
      <c r="C27" s="20" t="s">
        <v>654</v>
      </c>
      <c r="D27" s="141">
        <v>1540000</v>
      </c>
      <c r="E27" s="20" t="s">
        <v>649</v>
      </c>
      <c r="F27" s="20" t="s">
        <v>650</v>
      </c>
      <c r="G27" s="8" t="str">
        <f t="shared" si="0"/>
        <v>HELVIE ADAM</v>
      </c>
    </row>
    <row r="28" spans="1:7" x14ac:dyDescent="0.25">
      <c r="A28" s="8">
        <v>42891.214421296296</v>
      </c>
      <c r="B28" s="20" t="s">
        <v>425</v>
      </c>
      <c r="C28" s="20" t="s">
        <v>655</v>
      </c>
      <c r="D28" s="141">
        <v>2530000</v>
      </c>
      <c r="E28" s="20" t="s">
        <v>505</v>
      </c>
      <c r="F28" s="20" t="s">
        <v>506</v>
      </c>
      <c r="G28" s="8" t="str">
        <f t="shared" si="0"/>
        <v>LALONDE GREGORY</v>
      </c>
    </row>
    <row r="29" spans="1:7" x14ac:dyDescent="0.25">
      <c r="A29" s="8">
        <v>42891.225034722222</v>
      </c>
      <c r="B29" s="20" t="s">
        <v>590</v>
      </c>
      <c r="C29" s="20" t="s">
        <v>656</v>
      </c>
      <c r="D29" s="141">
        <v>2560000</v>
      </c>
      <c r="E29" s="20" t="s">
        <v>509</v>
      </c>
      <c r="F29" s="20" t="s">
        <v>372</v>
      </c>
      <c r="G29" s="8" t="str">
        <f t="shared" si="0"/>
        <v>MACDONALD THOMAS</v>
      </c>
    </row>
    <row r="30" spans="1:7" x14ac:dyDescent="0.25">
      <c r="A30" s="8">
        <v>42891.226064814815</v>
      </c>
      <c r="B30" s="20" t="s">
        <v>488</v>
      </c>
      <c r="C30" s="20" t="s">
        <v>657</v>
      </c>
      <c r="D30" s="141">
        <v>3040000</v>
      </c>
      <c r="E30" s="20" t="s">
        <v>388</v>
      </c>
      <c r="F30" s="20" t="s">
        <v>389</v>
      </c>
      <c r="G30" s="8" t="str">
        <f t="shared" si="0"/>
        <v>WILLIAMS DONTE</v>
      </c>
    </row>
    <row r="31" spans="1:7" x14ac:dyDescent="0.25">
      <c r="A31" s="8">
        <v>42891.226377314815</v>
      </c>
      <c r="B31" s="20" t="s">
        <v>443</v>
      </c>
      <c r="C31" s="20" t="s">
        <v>579</v>
      </c>
      <c r="D31" s="141">
        <v>3120000</v>
      </c>
      <c r="E31" s="20" t="s">
        <v>489</v>
      </c>
      <c r="F31" s="20" t="s">
        <v>490</v>
      </c>
      <c r="G31" s="8" t="str">
        <f t="shared" si="0"/>
        <v>THOMPSON LESTER</v>
      </c>
    </row>
    <row r="32" spans="1:7" x14ac:dyDescent="0.25">
      <c r="A32" s="8">
        <v>42891.228946759256</v>
      </c>
      <c r="B32" s="20" t="s">
        <v>341</v>
      </c>
      <c r="C32" s="20" t="s">
        <v>658</v>
      </c>
      <c r="D32" s="141">
        <v>2600000</v>
      </c>
      <c r="E32" s="20" t="s">
        <v>507</v>
      </c>
      <c r="F32" s="20" t="s">
        <v>508</v>
      </c>
      <c r="G32" s="8" t="str">
        <f t="shared" si="0"/>
        <v>DAVIDSON DAVID</v>
      </c>
    </row>
    <row r="33" spans="1:7" x14ac:dyDescent="0.25">
      <c r="A33" s="8">
        <v>42891.23542824074</v>
      </c>
      <c r="B33" s="20" t="s">
        <v>580</v>
      </c>
      <c r="C33" s="20" t="s">
        <v>581</v>
      </c>
      <c r="D33" s="141">
        <v>2560000</v>
      </c>
      <c r="E33" s="20" t="s">
        <v>509</v>
      </c>
      <c r="F33" s="20" t="s">
        <v>372</v>
      </c>
      <c r="G33" s="8" t="str">
        <f t="shared" si="0"/>
        <v>MACDONALD THOMAS</v>
      </c>
    </row>
    <row r="34" spans="1:7" x14ac:dyDescent="0.25">
      <c r="A34" s="8">
        <v>42891.244097222225</v>
      </c>
      <c r="B34" s="20" t="s">
        <v>620</v>
      </c>
      <c r="C34" s="20" t="s">
        <v>659</v>
      </c>
      <c r="D34" s="141">
        <v>2010000</v>
      </c>
      <c r="E34" s="20" t="s">
        <v>520</v>
      </c>
      <c r="F34" s="20" t="s">
        <v>521</v>
      </c>
      <c r="G34" s="8" t="str">
        <f t="shared" si="0"/>
        <v>MAELZER KURT</v>
      </c>
    </row>
    <row r="35" spans="1:7" x14ac:dyDescent="0.25">
      <c r="A35" s="8">
        <v>42891.244571759256</v>
      </c>
      <c r="B35" s="20" t="s">
        <v>601</v>
      </c>
      <c r="C35" s="20" t="s">
        <v>660</v>
      </c>
      <c r="D35" s="141">
        <v>890000</v>
      </c>
      <c r="E35" s="20" t="s">
        <v>661</v>
      </c>
      <c r="F35" s="20" t="s">
        <v>662</v>
      </c>
      <c r="G35" s="8" t="str">
        <f t="shared" si="0"/>
        <v>LOZA FIDEL</v>
      </c>
    </row>
    <row r="36" spans="1:7" x14ac:dyDescent="0.25">
      <c r="A36" s="8">
        <v>42891.247916666667</v>
      </c>
      <c r="B36" s="20" t="s">
        <v>544</v>
      </c>
      <c r="C36" s="20" t="s">
        <v>663</v>
      </c>
      <c r="D36" s="141">
        <v>1110000</v>
      </c>
      <c r="E36" s="20" t="s">
        <v>638</v>
      </c>
      <c r="F36" s="20" t="s">
        <v>639</v>
      </c>
      <c r="G36" s="8" t="str">
        <f t="shared" si="0"/>
        <v>STARKS ANGELINA</v>
      </c>
    </row>
    <row r="37" spans="1:7" x14ac:dyDescent="0.25">
      <c r="A37" s="8">
        <v>42891.255289351851</v>
      </c>
      <c r="B37" s="20" t="s">
        <v>342</v>
      </c>
      <c r="C37" s="20" t="s">
        <v>664</v>
      </c>
      <c r="D37" s="141">
        <v>2600000</v>
      </c>
      <c r="E37" s="20" t="s">
        <v>507</v>
      </c>
      <c r="F37" s="20" t="s">
        <v>508</v>
      </c>
      <c r="G37" s="8" t="str">
        <f t="shared" si="0"/>
        <v>DAVIDSON DAVID</v>
      </c>
    </row>
    <row r="38" spans="1:7" x14ac:dyDescent="0.25">
      <c r="A38" s="8">
        <v>42891.255856481483</v>
      </c>
      <c r="B38" s="20" t="s">
        <v>362</v>
      </c>
      <c r="C38" s="20" t="s">
        <v>665</v>
      </c>
      <c r="D38" s="141">
        <v>2530000</v>
      </c>
      <c r="E38" s="20" t="s">
        <v>505</v>
      </c>
      <c r="F38" s="20" t="s">
        <v>506</v>
      </c>
      <c r="G38" s="8" t="str">
        <f t="shared" si="0"/>
        <v>LALONDE GREGORY</v>
      </c>
    </row>
    <row r="39" spans="1:7" x14ac:dyDescent="0.25">
      <c r="A39" s="8">
        <v>42891.255925925929</v>
      </c>
      <c r="B39" s="20" t="s">
        <v>586</v>
      </c>
      <c r="C39" s="20" t="s">
        <v>666</v>
      </c>
      <c r="D39" s="141">
        <v>1540000</v>
      </c>
      <c r="E39" s="20" t="s">
        <v>649</v>
      </c>
      <c r="F39" s="20" t="s">
        <v>650</v>
      </c>
      <c r="G39" s="8" t="str">
        <f t="shared" si="0"/>
        <v>HELVIE ADAM</v>
      </c>
    </row>
    <row r="40" spans="1:7" x14ac:dyDescent="0.25">
      <c r="A40" s="8">
        <v>42891.262141203704</v>
      </c>
      <c r="B40" s="25" t="s">
        <v>598</v>
      </c>
      <c r="C40" s="20" t="s">
        <v>667</v>
      </c>
      <c r="D40" s="141">
        <v>890000</v>
      </c>
      <c r="E40" s="20" t="s">
        <v>661</v>
      </c>
      <c r="F40" s="20" t="s">
        <v>662</v>
      </c>
      <c r="G40" s="8" t="str">
        <f t="shared" si="0"/>
        <v>LOZA FIDEL</v>
      </c>
    </row>
    <row r="41" spans="1:7" x14ac:dyDescent="0.25">
      <c r="A41" s="8">
        <v>42891.267071759263</v>
      </c>
      <c r="B41" s="20" t="s">
        <v>441</v>
      </c>
      <c r="C41" s="20" t="s">
        <v>582</v>
      </c>
      <c r="D41" s="141">
        <v>3120000</v>
      </c>
      <c r="E41" s="20" t="s">
        <v>489</v>
      </c>
      <c r="F41" s="20" t="s">
        <v>490</v>
      </c>
      <c r="G41" s="8" t="str">
        <f t="shared" si="0"/>
        <v>THOMPSON LESTER</v>
      </c>
    </row>
    <row r="42" spans="1:7" x14ac:dyDescent="0.25">
      <c r="A42" s="8">
        <v>42891.26835648148</v>
      </c>
      <c r="B42" s="20" t="s">
        <v>407</v>
      </c>
      <c r="C42" s="20" t="s">
        <v>668</v>
      </c>
      <c r="D42" s="141">
        <v>3040000</v>
      </c>
      <c r="E42" s="20" t="s">
        <v>388</v>
      </c>
      <c r="F42" s="20" t="s">
        <v>389</v>
      </c>
      <c r="G42" s="8" t="str">
        <f t="shared" si="0"/>
        <v>WILLIAMS DONTE</v>
      </c>
    </row>
    <row r="43" spans="1:7" x14ac:dyDescent="0.25">
      <c r="A43" s="8">
        <v>42891.271655092591</v>
      </c>
      <c r="B43" s="20" t="s">
        <v>341</v>
      </c>
      <c r="C43" s="20" t="s">
        <v>669</v>
      </c>
      <c r="D43" s="141">
        <v>2600000</v>
      </c>
      <c r="E43" s="20" t="s">
        <v>507</v>
      </c>
      <c r="F43" s="20" t="s">
        <v>508</v>
      </c>
      <c r="G43" s="8" t="str">
        <f t="shared" si="0"/>
        <v>DAVIDSON DAVID</v>
      </c>
    </row>
    <row r="44" spans="1:7" x14ac:dyDescent="0.25">
      <c r="A44" s="8">
        <v>42891.275775462964</v>
      </c>
      <c r="B44" s="20" t="s">
        <v>601</v>
      </c>
      <c r="C44" s="20" t="s">
        <v>670</v>
      </c>
      <c r="D44" s="141">
        <v>890000</v>
      </c>
      <c r="E44" s="20" t="s">
        <v>661</v>
      </c>
      <c r="F44" s="20" t="s">
        <v>662</v>
      </c>
      <c r="G44" s="8" t="str">
        <f t="shared" si="0"/>
        <v>LOZA FIDEL</v>
      </c>
    </row>
    <row r="45" spans="1:7" x14ac:dyDescent="0.25">
      <c r="A45" s="8">
        <v>42891.27685185185</v>
      </c>
      <c r="B45" s="20" t="s">
        <v>588</v>
      </c>
      <c r="C45" s="20" t="s">
        <v>671</v>
      </c>
      <c r="D45" s="141">
        <v>1110000</v>
      </c>
      <c r="E45" s="20" t="s">
        <v>638</v>
      </c>
      <c r="F45" s="20" t="s">
        <v>639</v>
      </c>
      <c r="G45" s="8" t="str">
        <f t="shared" si="0"/>
        <v>STARKS ANGELINA</v>
      </c>
    </row>
    <row r="46" spans="1:7" x14ac:dyDescent="0.25">
      <c r="A46" s="8">
        <v>42891.276990740742</v>
      </c>
      <c r="B46" s="20" t="s">
        <v>590</v>
      </c>
      <c r="C46" s="20" t="s">
        <v>672</v>
      </c>
      <c r="D46" s="141">
        <v>2560000</v>
      </c>
      <c r="E46" s="20" t="s">
        <v>509</v>
      </c>
      <c r="F46" s="20" t="s">
        <v>372</v>
      </c>
      <c r="G46" s="8" t="str">
        <f t="shared" si="0"/>
        <v>MACDONALD THOMAS</v>
      </c>
    </row>
    <row r="47" spans="1:7" x14ac:dyDescent="0.25">
      <c r="A47" s="8">
        <v>42891.278263888889</v>
      </c>
      <c r="B47" s="20" t="s">
        <v>609</v>
      </c>
      <c r="C47" s="20" t="s">
        <v>673</v>
      </c>
      <c r="D47" s="141">
        <v>1200000</v>
      </c>
      <c r="E47" s="20" t="s">
        <v>674</v>
      </c>
      <c r="F47" s="20" t="s">
        <v>675</v>
      </c>
      <c r="G47" s="8" t="str">
        <f t="shared" si="0"/>
        <v>CUSHING HARRY</v>
      </c>
    </row>
    <row r="48" spans="1:7" x14ac:dyDescent="0.25">
      <c r="A48" s="8">
        <v>42891.287141203706</v>
      </c>
      <c r="B48" s="20" t="s">
        <v>425</v>
      </c>
      <c r="C48" s="20" t="s">
        <v>676</v>
      </c>
      <c r="D48" s="141">
        <v>2530000</v>
      </c>
      <c r="E48" s="20" t="s">
        <v>505</v>
      </c>
      <c r="F48" s="20" t="s">
        <v>506</v>
      </c>
      <c r="G48" s="8" t="str">
        <f t="shared" si="0"/>
        <v>LALONDE GREGORY</v>
      </c>
    </row>
    <row r="49" spans="1:7" x14ac:dyDescent="0.25">
      <c r="A49" s="8">
        <v>42891.290601851855</v>
      </c>
      <c r="B49" s="20" t="s">
        <v>595</v>
      </c>
      <c r="C49" s="20" t="s">
        <v>677</v>
      </c>
      <c r="D49" s="141">
        <v>1540000</v>
      </c>
      <c r="E49" s="20" t="s">
        <v>649</v>
      </c>
      <c r="F49" s="20" t="s">
        <v>650</v>
      </c>
      <c r="G49" s="8" t="str">
        <f t="shared" si="0"/>
        <v>HELVIE ADAM</v>
      </c>
    </row>
    <row r="50" spans="1:7" x14ac:dyDescent="0.25">
      <c r="A50" s="8">
        <v>42891.296481481484</v>
      </c>
      <c r="B50" s="20" t="s">
        <v>342</v>
      </c>
      <c r="C50" s="20" t="s">
        <v>583</v>
      </c>
      <c r="D50" s="141">
        <v>2600000</v>
      </c>
      <c r="E50" s="20" t="s">
        <v>507</v>
      </c>
      <c r="F50" s="20" t="s">
        <v>508</v>
      </c>
      <c r="G50" s="8" t="str">
        <f t="shared" si="0"/>
        <v>DAVIDSON DAVID</v>
      </c>
    </row>
    <row r="51" spans="1:7" x14ac:dyDescent="0.25">
      <c r="A51" s="8">
        <v>42891.298784722225</v>
      </c>
      <c r="B51" s="20" t="s">
        <v>443</v>
      </c>
      <c r="C51" s="20" t="s">
        <v>678</v>
      </c>
      <c r="D51" s="141">
        <v>3120000</v>
      </c>
      <c r="E51" s="20" t="s">
        <v>489</v>
      </c>
      <c r="F51" s="20" t="s">
        <v>490</v>
      </c>
      <c r="G51" s="8" t="str">
        <f t="shared" si="0"/>
        <v>THOMPSON LESTER</v>
      </c>
    </row>
    <row r="52" spans="1:7" x14ac:dyDescent="0.25">
      <c r="A52" s="8">
        <v>42891.299814814818</v>
      </c>
      <c r="B52" s="20" t="s">
        <v>488</v>
      </c>
      <c r="C52" s="20" t="s">
        <v>679</v>
      </c>
      <c r="D52" s="141">
        <v>3040000</v>
      </c>
      <c r="E52" s="20" t="s">
        <v>388</v>
      </c>
      <c r="F52" s="20" t="s">
        <v>389</v>
      </c>
      <c r="G52" s="8" t="str">
        <f t="shared" si="0"/>
        <v>WILLIAMS DONTE</v>
      </c>
    </row>
    <row r="53" spans="1:7" x14ac:dyDescent="0.25">
      <c r="A53" s="8">
        <v>42891.303773148145</v>
      </c>
      <c r="B53" s="20" t="s">
        <v>598</v>
      </c>
      <c r="C53" s="20" t="s">
        <v>680</v>
      </c>
      <c r="D53" s="141">
        <v>890000</v>
      </c>
      <c r="E53" s="20" t="s">
        <v>661</v>
      </c>
      <c r="F53" s="20" t="s">
        <v>662</v>
      </c>
      <c r="G53" s="8" t="str">
        <f t="shared" si="0"/>
        <v>LOZA FIDEL</v>
      </c>
    </row>
    <row r="54" spans="1:7" x14ac:dyDescent="0.25">
      <c r="A54" s="8">
        <v>42891.309641203705</v>
      </c>
      <c r="B54" s="20" t="s">
        <v>580</v>
      </c>
      <c r="C54" s="20" t="s">
        <v>584</v>
      </c>
      <c r="D54" s="141">
        <v>2560000</v>
      </c>
      <c r="E54" s="20" t="s">
        <v>509</v>
      </c>
      <c r="F54" s="20" t="s">
        <v>372</v>
      </c>
      <c r="G54" s="8" t="str">
        <f t="shared" si="0"/>
        <v>MACDONALD THOMAS</v>
      </c>
    </row>
    <row r="55" spans="1:7" x14ac:dyDescent="0.25">
      <c r="A55" s="8">
        <v>42891.31322916667</v>
      </c>
      <c r="B55" s="20" t="s">
        <v>341</v>
      </c>
      <c r="C55" s="20" t="s">
        <v>681</v>
      </c>
      <c r="D55" s="141">
        <v>2600000</v>
      </c>
      <c r="E55" s="20" t="s">
        <v>507</v>
      </c>
      <c r="F55" s="20" t="s">
        <v>508</v>
      </c>
      <c r="G55" s="8" t="str">
        <f t="shared" si="0"/>
        <v>DAVIDSON DAVID</v>
      </c>
    </row>
    <row r="56" spans="1:7" x14ac:dyDescent="0.25">
      <c r="A56" s="8">
        <v>42891.317314814813</v>
      </c>
      <c r="B56" s="20" t="s">
        <v>620</v>
      </c>
      <c r="C56" s="20" t="s">
        <v>682</v>
      </c>
      <c r="D56" s="141">
        <v>1200000</v>
      </c>
      <c r="E56" s="20" t="s">
        <v>674</v>
      </c>
      <c r="F56" s="20" t="s">
        <v>675</v>
      </c>
      <c r="G56" s="8" t="str">
        <f t="shared" si="0"/>
        <v>CUSHING HARRY</v>
      </c>
    </row>
    <row r="57" spans="1:7" x14ac:dyDescent="0.25">
      <c r="A57" s="8">
        <v>42891.318287037036</v>
      </c>
      <c r="B57" s="20" t="s">
        <v>601</v>
      </c>
      <c r="C57" s="20" t="s">
        <v>683</v>
      </c>
      <c r="D57" s="141">
        <v>890000</v>
      </c>
      <c r="E57" s="20" t="s">
        <v>661</v>
      </c>
      <c r="F57" s="20" t="s">
        <v>662</v>
      </c>
      <c r="G57" s="8" t="str">
        <f t="shared" si="0"/>
        <v>LOZA FIDEL</v>
      </c>
    </row>
    <row r="58" spans="1:7" x14ac:dyDescent="0.25">
      <c r="A58" s="8">
        <v>42891.321689814817</v>
      </c>
      <c r="B58" s="20" t="s">
        <v>544</v>
      </c>
      <c r="C58" s="20" t="s">
        <v>684</v>
      </c>
      <c r="D58" s="141">
        <v>1110000</v>
      </c>
      <c r="E58" s="20" t="s">
        <v>638</v>
      </c>
      <c r="F58" s="20" t="s">
        <v>639</v>
      </c>
      <c r="G58" s="8" t="str">
        <f t="shared" si="0"/>
        <v>STARKS ANGELINA</v>
      </c>
    </row>
    <row r="59" spans="1:7" x14ac:dyDescent="0.25">
      <c r="A59" s="8">
        <v>42891.328796296293</v>
      </c>
      <c r="B59" s="20" t="s">
        <v>362</v>
      </c>
      <c r="C59" s="20" t="s">
        <v>685</v>
      </c>
      <c r="D59" s="141">
        <v>2530000</v>
      </c>
      <c r="E59" s="20" t="s">
        <v>505</v>
      </c>
      <c r="F59" s="20" t="s">
        <v>506</v>
      </c>
      <c r="G59" s="8" t="str">
        <f t="shared" si="0"/>
        <v>LALONDE GREGORY</v>
      </c>
    </row>
    <row r="60" spans="1:7" x14ac:dyDescent="0.25">
      <c r="A60" s="8">
        <v>42891.328842592593</v>
      </c>
      <c r="B60" s="20" t="s">
        <v>586</v>
      </c>
      <c r="C60" s="20" t="s">
        <v>587</v>
      </c>
      <c r="D60" s="141">
        <v>1540000</v>
      </c>
      <c r="E60" s="20" t="s">
        <v>649</v>
      </c>
      <c r="F60" s="20" t="s">
        <v>650</v>
      </c>
      <c r="G60" s="8" t="str">
        <f t="shared" si="0"/>
        <v>HELVIE ADAM</v>
      </c>
    </row>
    <row r="61" spans="1:7" x14ac:dyDescent="0.25">
      <c r="A61" s="8">
        <v>42891.332881944443</v>
      </c>
      <c r="B61" s="20" t="s">
        <v>598</v>
      </c>
      <c r="C61" s="20" t="s">
        <v>686</v>
      </c>
      <c r="D61" s="141">
        <v>890000</v>
      </c>
      <c r="E61" s="20" t="s">
        <v>661</v>
      </c>
      <c r="F61" s="20" t="s">
        <v>662</v>
      </c>
      <c r="G61" s="8" t="str">
        <f t="shared" si="0"/>
        <v>LOZA FIDEL</v>
      </c>
    </row>
    <row r="62" spans="1:7" x14ac:dyDescent="0.25">
      <c r="A62" s="8">
        <v>42891.338206018518</v>
      </c>
      <c r="B62" s="20" t="s">
        <v>441</v>
      </c>
      <c r="C62" s="20" t="s">
        <v>687</v>
      </c>
      <c r="D62" s="141">
        <v>3120000</v>
      </c>
      <c r="E62" s="20" t="s">
        <v>489</v>
      </c>
      <c r="F62" s="20" t="s">
        <v>490</v>
      </c>
      <c r="G62" s="8" t="str">
        <f t="shared" si="0"/>
        <v>THOMPSON LESTER</v>
      </c>
    </row>
    <row r="63" spans="1:7" x14ac:dyDescent="0.25">
      <c r="A63" s="8">
        <v>42891.338726851849</v>
      </c>
      <c r="B63" s="20" t="s">
        <v>342</v>
      </c>
      <c r="C63" s="20" t="s">
        <v>585</v>
      </c>
      <c r="D63" s="141">
        <v>2600000</v>
      </c>
      <c r="E63" s="20" t="s">
        <v>507</v>
      </c>
      <c r="F63" s="20" t="s">
        <v>508</v>
      </c>
      <c r="G63" s="8" t="str">
        <f t="shared" si="0"/>
        <v>DAVIDSON DAVID</v>
      </c>
    </row>
    <row r="64" spans="1:7" x14ac:dyDescent="0.25">
      <c r="A64" s="26">
        <v>42891.34337962963</v>
      </c>
      <c r="B64" s="20" t="s">
        <v>407</v>
      </c>
      <c r="C64" s="20" t="s">
        <v>688</v>
      </c>
      <c r="D64" s="141">
        <v>3040000</v>
      </c>
      <c r="E64" s="20" t="s">
        <v>388</v>
      </c>
      <c r="F64" s="20" t="s">
        <v>389</v>
      </c>
      <c r="G64" s="8" t="str">
        <f t="shared" si="0"/>
        <v>WILLIAMS DONTE</v>
      </c>
    </row>
    <row r="65" spans="1:7" x14ac:dyDescent="0.25">
      <c r="A65" s="8">
        <v>42891.350706018522</v>
      </c>
      <c r="B65" s="20" t="s">
        <v>590</v>
      </c>
      <c r="C65" s="20" t="s">
        <v>591</v>
      </c>
      <c r="D65" s="141">
        <v>2560000</v>
      </c>
      <c r="E65" s="20" t="s">
        <v>509</v>
      </c>
      <c r="F65" s="20" t="s">
        <v>372</v>
      </c>
      <c r="G65" s="8" t="str">
        <f t="shared" si="0"/>
        <v>MACDONALD THOMAS</v>
      </c>
    </row>
    <row r="66" spans="1:7" x14ac:dyDescent="0.25">
      <c r="A66" s="8">
        <v>42891.351759259262</v>
      </c>
      <c r="B66" s="20" t="s">
        <v>609</v>
      </c>
      <c r="C66" s="20" t="s">
        <v>689</v>
      </c>
      <c r="D66" s="141">
        <v>2010000</v>
      </c>
      <c r="E66" s="20" t="s">
        <v>520</v>
      </c>
      <c r="F66" s="20" t="s">
        <v>521</v>
      </c>
      <c r="G66" s="8" t="str">
        <f t="shared" si="0"/>
        <v>MAELZER KURT</v>
      </c>
    </row>
    <row r="67" spans="1:7" x14ac:dyDescent="0.25">
      <c r="A67" s="8">
        <v>42891.354201388887</v>
      </c>
      <c r="B67" s="20" t="s">
        <v>341</v>
      </c>
      <c r="C67" s="20" t="s">
        <v>690</v>
      </c>
      <c r="D67" s="141">
        <v>2600000</v>
      </c>
      <c r="E67" s="20" t="s">
        <v>507</v>
      </c>
      <c r="F67" s="20" t="s">
        <v>508</v>
      </c>
      <c r="G67" s="8" t="str">
        <f t="shared" ref="G67:G130" si="1">E67&amp;" "&amp;F67</f>
        <v>DAVIDSON DAVID</v>
      </c>
    </row>
    <row r="68" spans="1:7" x14ac:dyDescent="0.25">
      <c r="A68" s="8">
        <v>42891.359814814816</v>
      </c>
      <c r="B68" s="20" t="s">
        <v>601</v>
      </c>
      <c r="C68" s="20" t="s">
        <v>691</v>
      </c>
      <c r="D68" s="141">
        <v>890000</v>
      </c>
      <c r="E68" s="20" t="s">
        <v>661</v>
      </c>
      <c r="F68" s="20" t="s">
        <v>662</v>
      </c>
      <c r="G68" s="8" t="str">
        <f t="shared" si="1"/>
        <v>LOZA FIDEL</v>
      </c>
    </row>
    <row r="69" spans="1:7" x14ac:dyDescent="0.25">
      <c r="A69" s="8">
        <v>42891.360023148147</v>
      </c>
      <c r="B69" s="20" t="s">
        <v>425</v>
      </c>
      <c r="C69" s="20" t="s">
        <v>692</v>
      </c>
      <c r="D69" s="141">
        <v>2530000</v>
      </c>
      <c r="E69" s="20" t="s">
        <v>505</v>
      </c>
      <c r="F69" s="20" t="s">
        <v>506</v>
      </c>
      <c r="G69" s="8" t="str">
        <f t="shared" si="1"/>
        <v>LALONDE GREGORY</v>
      </c>
    </row>
    <row r="70" spans="1:7" x14ac:dyDescent="0.25">
      <c r="A70" s="8">
        <v>42891.360590277778</v>
      </c>
      <c r="B70" s="20" t="s">
        <v>588</v>
      </c>
      <c r="C70" s="20" t="s">
        <v>589</v>
      </c>
      <c r="D70" s="141">
        <v>1110000</v>
      </c>
      <c r="E70" s="20" t="s">
        <v>638</v>
      </c>
      <c r="F70" s="20" t="s">
        <v>639</v>
      </c>
      <c r="G70" s="8" t="str">
        <f t="shared" si="1"/>
        <v>STARKS ANGELINA</v>
      </c>
    </row>
    <row r="71" spans="1:7" x14ac:dyDescent="0.25">
      <c r="A71" s="8">
        <v>42891.362835648149</v>
      </c>
      <c r="B71" s="20" t="s">
        <v>595</v>
      </c>
      <c r="C71" s="20" t="s">
        <v>693</v>
      </c>
      <c r="D71" s="141">
        <v>1540000</v>
      </c>
      <c r="E71" s="20" t="s">
        <v>649</v>
      </c>
      <c r="F71" s="20" t="s">
        <v>650</v>
      </c>
      <c r="G71" s="8" t="str">
        <f t="shared" si="1"/>
        <v>HELVIE ADAM</v>
      </c>
    </row>
    <row r="72" spans="1:7" x14ac:dyDescent="0.25">
      <c r="A72" s="8">
        <v>42891.366053240738</v>
      </c>
      <c r="B72" s="20" t="s">
        <v>590</v>
      </c>
      <c r="C72" s="20" t="s">
        <v>591</v>
      </c>
      <c r="D72" s="141">
        <v>2560000</v>
      </c>
      <c r="E72" s="20" t="s">
        <v>509</v>
      </c>
      <c r="F72" s="20" t="s">
        <v>372</v>
      </c>
      <c r="G72" s="8" t="str">
        <f t="shared" si="1"/>
        <v>MACDONALD THOMAS</v>
      </c>
    </row>
    <row r="73" spans="1:7" x14ac:dyDescent="0.25">
      <c r="A73" s="8">
        <v>42891.371921296297</v>
      </c>
      <c r="B73" s="20" t="s">
        <v>443</v>
      </c>
      <c r="C73" s="20" t="s">
        <v>694</v>
      </c>
      <c r="D73" s="141">
        <v>3120000</v>
      </c>
      <c r="E73" s="20" t="s">
        <v>489</v>
      </c>
      <c r="F73" s="20" t="s">
        <v>490</v>
      </c>
      <c r="G73" s="8" t="str">
        <f t="shared" si="1"/>
        <v>THOMPSON LESTER</v>
      </c>
    </row>
    <row r="74" spans="1:7" x14ac:dyDescent="0.25">
      <c r="A74" s="8">
        <v>42891.373171296298</v>
      </c>
      <c r="B74" s="20" t="s">
        <v>380</v>
      </c>
      <c r="C74" s="20" t="s">
        <v>695</v>
      </c>
      <c r="D74" s="141">
        <v>1090000</v>
      </c>
      <c r="E74" s="20" t="s">
        <v>632</v>
      </c>
      <c r="F74" s="20" t="s">
        <v>194</v>
      </c>
      <c r="G74" s="8" t="str">
        <f t="shared" si="1"/>
        <v>SPECTOR MICHAEL</v>
      </c>
    </row>
    <row r="75" spans="1:7" x14ac:dyDescent="0.25">
      <c r="A75" s="8">
        <v>42891.373981481483</v>
      </c>
      <c r="B75" s="20" t="s">
        <v>488</v>
      </c>
      <c r="C75" s="20" t="s">
        <v>696</v>
      </c>
      <c r="D75" s="141">
        <v>3040000</v>
      </c>
      <c r="E75" s="20" t="s">
        <v>388</v>
      </c>
      <c r="F75" s="20" t="s">
        <v>389</v>
      </c>
      <c r="G75" s="8" t="str">
        <f t="shared" si="1"/>
        <v>WILLIAMS DONTE</v>
      </c>
    </row>
    <row r="76" spans="1:7" x14ac:dyDescent="0.25">
      <c r="A76" s="8">
        <v>42891.376099537039</v>
      </c>
      <c r="B76" s="20" t="s">
        <v>374</v>
      </c>
      <c r="C76" s="20" t="s">
        <v>695</v>
      </c>
      <c r="D76" s="141">
        <v>1090000</v>
      </c>
      <c r="E76" s="20" t="s">
        <v>632</v>
      </c>
      <c r="F76" s="20" t="s">
        <v>194</v>
      </c>
      <c r="G76" s="8" t="str">
        <f t="shared" si="1"/>
        <v>SPECTOR MICHAEL</v>
      </c>
    </row>
    <row r="77" spans="1:7" x14ac:dyDescent="0.25">
      <c r="A77" s="8">
        <v>42891.37709490741</v>
      </c>
      <c r="B77" s="20" t="s">
        <v>374</v>
      </c>
      <c r="C77" s="20" t="s">
        <v>695</v>
      </c>
      <c r="D77" s="141">
        <v>1090000</v>
      </c>
      <c r="E77" s="20" t="s">
        <v>632</v>
      </c>
      <c r="F77" s="20" t="s">
        <v>194</v>
      </c>
      <c r="G77" s="8" t="str">
        <f t="shared" si="1"/>
        <v>SPECTOR MICHAEL</v>
      </c>
    </row>
    <row r="78" spans="1:7" x14ac:dyDescent="0.25">
      <c r="A78" s="8">
        <v>42891.38517361111</v>
      </c>
      <c r="B78" s="20" t="s">
        <v>598</v>
      </c>
      <c r="C78" s="20" t="s">
        <v>697</v>
      </c>
      <c r="D78" s="141">
        <v>890000</v>
      </c>
      <c r="E78" s="20" t="s">
        <v>661</v>
      </c>
      <c r="F78" s="20" t="s">
        <v>662</v>
      </c>
      <c r="G78" s="8" t="str">
        <f t="shared" si="1"/>
        <v>LOZA FIDEL</v>
      </c>
    </row>
    <row r="79" spans="1:7" x14ac:dyDescent="0.25">
      <c r="A79" s="8">
        <v>42891.386377314811</v>
      </c>
      <c r="B79" s="20" t="s">
        <v>580</v>
      </c>
      <c r="C79" s="20" t="s">
        <v>698</v>
      </c>
      <c r="D79" s="141">
        <v>2560000</v>
      </c>
      <c r="E79" s="20" t="s">
        <v>509</v>
      </c>
      <c r="F79" s="20" t="s">
        <v>372</v>
      </c>
      <c r="G79" s="8" t="str">
        <f t="shared" si="1"/>
        <v>MACDONALD THOMAS</v>
      </c>
    </row>
    <row r="80" spans="1:7" x14ac:dyDescent="0.25">
      <c r="A80" s="8">
        <v>42891.387037037035</v>
      </c>
      <c r="B80" s="20" t="s">
        <v>620</v>
      </c>
      <c r="C80" s="20" t="s">
        <v>699</v>
      </c>
      <c r="D80" s="141">
        <v>2010000</v>
      </c>
      <c r="E80" s="20" t="s">
        <v>520</v>
      </c>
      <c r="F80" s="20" t="s">
        <v>521</v>
      </c>
      <c r="G80" s="8" t="str">
        <f t="shared" si="1"/>
        <v>MAELZER KURT</v>
      </c>
    </row>
    <row r="81" spans="1:7" x14ac:dyDescent="0.25">
      <c r="A81" s="8">
        <v>42891.387175925927</v>
      </c>
      <c r="B81" s="20" t="s">
        <v>580</v>
      </c>
      <c r="C81" s="20" t="s">
        <v>698</v>
      </c>
      <c r="D81" s="141">
        <v>2560000</v>
      </c>
      <c r="E81" s="20" t="s">
        <v>509</v>
      </c>
      <c r="F81" s="20" t="s">
        <v>372</v>
      </c>
      <c r="G81" s="8" t="str">
        <f t="shared" si="1"/>
        <v>MACDONALD THOMAS</v>
      </c>
    </row>
    <row r="82" spans="1:7" x14ac:dyDescent="0.25">
      <c r="A82" s="8">
        <v>42891.387708333335</v>
      </c>
      <c r="B82" s="20" t="s">
        <v>580</v>
      </c>
      <c r="C82" s="20" t="s">
        <v>698</v>
      </c>
      <c r="D82" s="141">
        <v>2560000</v>
      </c>
      <c r="E82" s="20" t="s">
        <v>509</v>
      </c>
      <c r="F82" s="20" t="s">
        <v>372</v>
      </c>
      <c r="G82" s="8" t="str">
        <f t="shared" si="1"/>
        <v>MACDONALD THOMAS</v>
      </c>
    </row>
    <row r="83" spans="1:7" x14ac:dyDescent="0.25">
      <c r="A83" s="8">
        <v>42891.391828703701</v>
      </c>
      <c r="B83" s="20" t="s">
        <v>580</v>
      </c>
      <c r="C83" s="20" t="s">
        <v>698</v>
      </c>
      <c r="D83" s="141">
        <v>2560000</v>
      </c>
      <c r="E83" s="20" t="s">
        <v>509</v>
      </c>
      <c r="F83" s="20" t="s">
        <v>372</v>
      </c>
      <c r="G83" s="8" t="str">
        <f t="shared" si="1"/>
        <v>MACDONALD THOMAS</v>
      </c>
    </row>
    <row r="84" spans="1:7" x14ac:dyDescent="0.25">
      <c r="A84" s="8">
        <v>42891.392696759256</v>
      </c>
      <c r="B84" s="20" t="s">
        <v>580</v>
      </c>
      <c r="C84" s="20" t="s">
        <v>698</v>
      </c>
      <c r="D84" s="141">
        <v>2560000</v>
      </c>
      <c r="E84" s="20" t="s">
        <v>509</v>
      </c>
      <c r="F84" s="20" t="s">
        <v>372</v>
      </c>
      <c r="G84" s="8" t="str">
        <f t="shared" si="1"/>
        <v>MACDONALD THOMAS</v>
      </c>
    </row>
    <row r="85" spans="1:7" x14ac:dyDescent="0.25">
      <c r="A85" s="8">
        <v>42891.395335648151</v>
      </c>
      <c r="B85" s="20" t="s">
        <v>544</v>
      </c>
      <c r="C85" s="20" t="s">
        <v>700</v>
      </c>
      <c r="D85" s="141">
        <v>1110000</v>
      </c>
      <c r="E85" s="20" t="s">
        <v>638</v>
      </c>
      <c r="F85" s="20" t="s">
        <v>639</v>
      </c>
      <c r="G85" s="8" t="str">
        <f t="shared" si="1"/>
        <v>STARKS ANGELINA</v>
      </c>
    </row>
    <row r="86" spans="1:7" x14ac:dyDescent="0.25">
      <c r="A86" s="8">
        <v>42891.401064814818</v>
      </c>
      <c r="B86" s="20" t="s">
        <v>362</v>
      </c>
      <c r="C86" s="20" t="s">
        <v>701</v>
      </c>
      <c r="D86" s="141">
        <v>2530000</v>
      </c>
      <c r="E86" s="20" t="s">
        <v>505</v>
      </c>
      <c r="F86" s="20" t="s">
        <v>506</v>
      </c>
      <c r="G86" s="8" t="str">
        <f t="shared" si="1"/>
        <v>LALONDE GREGORY</v>
      </c>
    </row>
    <row r="87" spans="1:7" x14ac:dyDescent="0.25">
      <c r="A87" s="8">
        <v>42891.401585648149</v>
      </c>
      <c r="B87" s="20" t="s">
        <v>601</v>
      </c>
      <c r="C87" s="20" t="s">
        <v>702</v>
      </c>
      <c r="D87" s="141">
        <v>890000</v>
      </c>
      <c r="E87" s="20" t="s">
        <v>661</v>
      </c>
      <c r="F87" s="20" t="s">
        <v>662</v>
      </c>
      <c r="G87" s="8" t="str">
        <f t="shared" si="1"/>
        <v>LOZA FIDEL</v>
      </c>
    </row>
    <row r="88" spans="1:7" x14ac:dyDescent="0.25">
      <c r="A88" s="8">
        <v>42891.401944444442</v>
      </c>
      <c r="B88" s="20" t="s">
        <v>586</v>
      </c>
      <c r="C88" s="20" t="s">
        <v>703</v>
      </c>
      <c r="D88" s="141">
        <v>1540000</v>
      </c>
      <c r="E88" s="20" t="s">
        <v>649</v>
      </c>
      <c r="F88" s="20" t="s">
        <v>650</v>
      </c>
      <c r="G88" s="8" t="str">
        <f t="shared" si="1"/>
        <v>HELVIE ADAM</v>
      </c>
    </row>
    <row r="89" spans="1:7" x14ac:dyDescent="0.25">
      <c r="A89" s="8">
        <v>42891.412615740737</v>
      </c>
      <c r="B89" s="20" t="s">
        <v>441</v>
      </c>
      <c r="C89" s="20" t="s">
        <v>592</v>
      </c>
      <c r="D89" s="141">
        <v>3120000</v>
      </c>
      <c r="E89" s="20" t="s">
        <v>489</v>
      </c>
      <c r="F89" s="20" t="s">
        <v>490</v>
      </c>
      <c r="G89" s="8" t="str">
        <f t="shared" si="1"/>
        <v>THOMPSON LESTER</v>
      </c>
    </row>
    <row r="90" spans="1:7" x14ac:dyDescent="0.25">
      <c r="A90" s="8">
        <v>42891.412708333337</v>
      </c>
      <c r="B90" s="20" t="s">
        <v>407</v>
      </c>
      <c r="C90" s="20" t="s">
        <v>704</v>
      </c>
      <c r="D90" s="141">
        <v>3040000</v>
      </c>
      <c r="E90" s="20" t="s">
        <v>388</v>
      </c>
      <c r="F90" s="20" t="s">
        <v>389</v>
      </c>
      <c r="G90" s="8" t="str">
        <f t="shared" si="1"/>
        <v>WILLIAMS DONTE</v>
      </c>
    </row>
    <row r="91" spans="1:7" x14ac:dyDescent="0.25">
      <c r="A91" s="8">
        <v>42891.416608796295</v>
      </c>
      <c r="B91" s="20" t="s">
        <v>590</v>
      </c>
      <c r="C91" s="20" t="s">
        <v>705</v>
      </c>
      <c r="D91" s="141">
        <v>2560000</v>
      </c>
      <c r="E91" s="20" t="s">
        <v>509</v>
      </c>
      <c r="F91" s="20" t="s">
        <v>372</v>
      </c>
      <c r="G91" s="8" t="str">
        <f t="shared" si="1"/>
        <v>MACDONALD THOMAS</v>
      </c>
    </row>
    <row r="92" spans="1:7" x14ac:dyDescent="0.25">
      <c r="A92" s="8">
        <v>42891.425034722219</v>
      </c>
      <c r="B92" s="20" t="s">
        <v>609</v>
      </c>
      <c r="C92" s="20" t="s">
        <v>706</v>
      </c>
      <c r="D92" s="141">
        <v>2600000</v>
      </c>
      <c r="E92" s="20" t="s">
        <v>507</v>
      </c>
      <c r="F92" s="20" t="s">
        <v>508</v>
      </c>
      <c r="G92" s="8" t="str">
        <f t="shared" si="1"/>
        <v>DAVIDSON DAVID</v>
      </c>
    </row>
    <row r="93" spans="1:7" x14ac:dyDescent="0.25">
      <c r="A93" s="8">
        <v>42891.426134259258</v>
      </c>
      <c r="B93" s="20" t="s">
        <v>598</v>
      </c>
      <c r="C93" s="20" t="s">
        <v>707</v>
      </c>
      <c r="D93" s="141">
        <v>890000</v>
      </c>
      <c r="E93" s="20" t="s">
        <v>661</v>
      </c>
      <c r="F93" s="20" t="s">
        <v>662</v>
      </c>
      <c r="G93" s="8" t="str">
        <f t="shared" si="1"/>
        <v>LOZA FIDEL</v>
      </c>
    </row>
    <row r="94" spans="1:7" x14ac:dyDescent="0.25">
      <c r="A94" s="8">
        <v>42891.433240740742</v>
      </c>
      <c r="B94" s="20" t="s">
        <v>425</v>
      </c>
      <c r="C94" s="20" t="s">
        <v>708</v>
      </c>
      <c r="D94" s="141">
        <v>2530000</v>
      </c>
      <c r="E94" s="20" t="s">
        <v>505</v>
      </c>
      <c r="F94" s="20" t="s">
        <v>506</v>
      </c>
      <c r="G94" s="8" t="str">
        <f t="shared" si="1"/>
        <v>LALONDE GREGORY</v>
      </c>
    </row>
    <row r="95" spans="1:7" x14ac:dyDescent="0.25">
      <c r="A95" s="8">
        <v>42891.434282407405</v>
      </c>
      <c r="B95" s="20" t="s">
        <v>588</v>
      </c>
      <c r="C95" s="20" t="s">
        <v>709</v>
      </c>
      <c r="D95" s="141">
        <v>1110000</v>
      </c>
      <c r="E95" s="20" t="s">
        <v>638</v>
      </c>
      <c r="F95" s="20" t="s">
        <v>639</v>
      </c>
      <c r="G95" s="8" t="str">
        <f t="shared" si="1"/>
        <v>STARKS ANGELINA</v>
      </c>
    </row>
    <row r="96" spans="1:7" x14ac:dyDescent="0.25">
      <c r="A96" s="8">
        <v>42891.435798611114</v>
      </c>
      <c r="B96" s="20" t="s">
        <v>595</v>
      </c>
      <c r="C96" s="20" t="s">
        <v>710</v>
      </c>
      <c r="D96" s="141">
        <v>1540000</v>
      </c>
      <c r="E96" s="20" t="s">
        <v>649</v>
      </c>
      <c r="F96" s="20" t="s">
        <v>650</v>
      </c>
      <c r="G96" s="8" t="str">
        <f t="shared" si="1"/>
        <v>HELVIE ADAM</v>
      </c>
    </row>
    <row r="97" spans="1:7" x14ac:dyDescent="0.25">
      <c r="A97" s="8">
        <v>42891.442557870374</v>
      </c>
      <c r="B97" s="20" t="s">
        <v>601</v>
      </c>
      <c r="C97" s="20" t="s">
        <v>711</v>
      </c>
      <c r="D97" s="141">
        <v>890000</v>
      </c>
      <c r="E97" s="20" t="s">
        <v>661</v>
      </c>
      <c r="F97" s="20" t="s">
        <v>662</v>
      </c>
      <c r="G97" s="8" t="str">
        <f t="shared" si="1"/>
        <v>LOZA FIDEL</v>
      </c>
    </row>
    <row r="98" spans="1:7" x14ac:dyDescent="0.25">
      <c r="A98" s="8">
        <v>42891.444212962961</v>
      </c>
      <c r="B98" s="20" t="s">
        <v>488</v>
      </c>
      <c r="C98" s="20" t="s">
        <v>712</v>
      </c>
      <c r="D98" s="141">
        <v>3040000</v>
      </c>
      <c r="E98" s="20" t="s">
        <v>388</v>
      </c>
      <c r="F98" s="20" t="s">
        <v>389</v>
      </c>
      <c r="G98" s="8" t="str">
        <f t="shared" si="1"/>
        <v>WILLIAMS DONTE</v>
      </c>
    </row>
    <row r="99" spans="1:7" x14ac:dyDescent="0.25">
      <c r="A99" s="8">
        <v>42891.447708333333</v>
      </c>
      <c r="B99" s="20" t="s">
        <v>443</v>
      </c>
      <c r="C99" s="20" t="s">
        <v>713</v>
      </c>
      <c r="D99" s="141">
        <v>1800000</v>
      </c>
      <c r="E99" s="20" t="s">
        <v>383</v>
      </c>
      <c r="F99" s="20" t="s">
        <v>384</v>
      </c>
      <c r="G99" s="8" t="str">
        <f t="shared" si="1"/>
        <v>CHANDLER KELVIN</v>
      </c>
    </row>
    <row r="100" spans="1:7" x14ac:dyDescent="0.25">
      <c r="A100" s="8">
        <v>42891.449942129628</v>
      </c>
      <c r="B100" s="20" t="s">
        <v>375</v>
      </c>
      <c r="C100" s="20" t="s">
        <v>714</v>
      </c>
      <c r="D100" s="141">
        <v>2270000</v>
      </c>
      <c r="E100" s="20" t="s">
        <v>510</v>
      </c>
      <c r="F100" s="20" t="s">
        <v>511</v>
      </c>
      <c r="G100" s="8" t="str">
        <f t="shared" si="1"/>
        <v>BROWN JACOB</v>
      </c>
    </row>
    <row r="101" spans="1:7" x14ac:dyDescent="0.25">
      <c r="A101" s="8">
        <v>42891.454259259262</v>
      </c>
      <c r="B101" s="20" t="s">
        <v>580</v>
      </c>
      <c r="C101" s="20" t="s">
        <v>593</v>
      </c>
      <c r="D101" s="141">
        <v>1810000</v>
      </c>
      <c r="E101" s="20" t="s">
        <v>373</v>
      </c>
      <c r="F101" s="20" t="s">
        <v>191</v>
      </c>
      <c r="G101" s="8" t="str">
        <f t="shared" si="1"/>
        <v>NEWELL JAMES</v>
      </c>
    </row>
    <row r="102" spans="1:7" x14ac:dyDescent="0.25">
      <c r="A102" s="8">
        <v>42891.455405092594</v>
      </c>
      <c r="B102" s="20" t="s">
        <v>488</v>
      </c>
      <c r="C102" s="20" t="s">
        <v>712</v>
      </c>
      <c r="D102" s="141">
        <v>3040000</v>
      </c>
      <c r="E102" s="20" t="s">
        <v>388</v>
      </c>
      <c r="F102" s="20" t="s">
        <v>389</v>
      </c>
      <c r="G102" s="8" t="str">
        <f t="shared" si="1"/>
        <v>WILLIAMS DONTE</v>
      </c>
    </row>
    <row r="103" spans="1:7" x14ac:dyDescent="0.25">
      <c r="A103" s="8">
        <v>42891.458738425928</v>
      </c>
      <c r="B103" s="20" t="s">
        <v>620</v>
      </c>
      <c r="C103" s="20" t="s">
        <v>715</v>
      </c>
      <c r="D103" s="141">
        <v>2600000</v>
      </c>
      <c r="E103" s="20" t="s">
        <v>507</v>
      </c>
      <c r="F103" s="20" t="s">
        <v>508</v>
      </c>
      <c r="G103" s="8" t="str">
        <f t="shared" si="1"/>
        <v>DAVIDSON DAVID</v>
      </c>
    </row>
    <row r="104" spans="1:7" x14ac:dyDescent="0.25">
      <c r="A104" s="8">
        <v>42891.467916666668</v>
      </c>
      <c r="B104" s="20" t="s">
        <v>544</v>
      </c>
      <c r="C104" s="20" t="s">
        <v>716</v>
      </c>
      <c r="D104" s="141">
        <v>920000</v>
      </c>
      <c r="E104" s="20" t="s">
        <v>427</v>
      </c>
      <c r="F104" s="20" t="s">
        <v>194</v>
      </c>
      <c r="G104" s="8" t="str">
        <f t="shared" si="1"/>
        <v>DAVIS MICHAEL</v>
      </c>
    </row>
    <row r="105" spans="1:7" x14ac:dyDescent="0.25">
      <c r="A105" s="8">
        <v>42891.468402777777</v>
      </c>
      <c r="B105" s="20" t="s">
        <v>598</v>
      </c>
      <c r="C105" s="20" t="s">
        <v>717</v>
      </c>
      <c r="D105" s="141">
        <v>890000</v>
      </c>
      <c r="E105" s="20" t="s">
        <v>661</v>
      </c>
      <c r="F105" s="20" t="s">
        <v>662</v>
      </c>
      <c r="G105" s="8" t="str">
        <f t="shared" si="1"/>
        <v>LOZA FIDEL</v>
      </c>
    </row>
    <row r="106" spans="1:7" x14ac:dyDescent="0.25">
      <c r="A106" s="8">
        <v>42891.474664351852</v>
      </c>
      <c r="B106" s="20" t="s">
        <v>586</v>
      </c>
      <c r="C106" s="20" t="s">
        <v>718</v>
      </c>
      <c r="D106" s="141">
        <v>1540000</v>
      </c>
      <c r="E106" s="20" t="s">
        <v>649</v>
      </c>
      <c r="F106" s="20" t="s">
        <v>650</v>
      </c>
      <c r="G106" s="8" t="str">
        <f t="shared" si="1"/>
        <v>HELVIE ADAM</v>
      </c>
    </row>
    <row r="107" spans="1:7" x14ac:dyDescent="0.25">
      <c r="A107" s="8">
        <v>42891.475706018522</v>
      </c>
      <c r="B107" s="20" t="s">
        <v>380</v>
      </c>
      <c r="C107" s="20" t="s">
        <v>719</v>
      </c>
      <c r="D107" s="141">
        <v>2040000</v>
      </c>
      <c r="E107" s="20" t="s">
        <v>482</v>
      </c>
      <c r="F107" s="20" t="s">
        <v>483</v>
      </c>
      <c r="G107" s="8" t="str">
        <f t="shared" si="1"/>
        <v>MOSES BRADLEY</v>
      </c>
    </row>
    <row r="108" spans="1:7" x14ac:dyDescent="0.25">
      <c r="A108" s="8">
        <v>42891.47587962963</v>
      </c>
      <c r="B108" s="20" t="s">
        <v>362</v>
      </c>
      <c r="C108" s="20" t="s">
        <v>720</v>
      </c>
      <c r="D108" s="141">
        <v>2140000</v>
      </c>
      <c r="E108" s="20" t="s">
        <v>421</v>
      </c>
      <c r="F108" s="20" t="s">
        <v>422</v>
      </c>
      <c r="G108" s="8" t="str">
        <f t="shared" si="1"/>
        <v>ROBINSON KADDIBA</v>
      </c>
    </row>
    <row r="109" spans="1:7" x14ac:dyDescent="0.25">
      <c r="A109" s="8">
        <v>42891.477222222224</v>
      </c>
      <c r="B109" s="20" t="s">
        <v>378</v>
      </c>
      <c r="C109" s="20" t="s">
        <v>709</v>
      </c>
      <c r="D109" s="141">
        <v>1110000</v>
      </c>
      <c r="E109" s="20" t="s">
        <v>638</v>
      </c>
      <c r="F109" s="20" t="s">
        <v>639</v>
      </c>
      <c r="G109" s="8" t="str">
        <f t="shared" si="1"/>
        <v>STARKS ANGELINA</v>
      </c>
    </row>
    <row r="110" spans="1:7" x14ac:dyDescent="0.25">
      <c r="A110" s="8">
        <v>42891.477835648147</v>
      </c>
      <c r="B110" s="20" t="s">
        <v>378</v>
      </c>
      <c r="C110" s="20" t="s">
        <v>709</v>
      </c>
      <c r="D110" s="141">
        <v>1110000</v>
      </c>
      <c r="E110" s="20" t="s">
        <v>638</v>
      </c>
      <c r="F110" s="20" t="s">
        <v>639</v>
      </c>
      <c r="G110" s="8" t="str">
        <f t="shared" si="1"/>
        <v>STARKS ANGELINA</v>
      </c>
    </row>
    <row r="111" spans="1:7" x14ac:dyDescent="0.25">
      <c r="A111" s="8">
        <v>42891.480023148149</v>
      </c>
      <c r="B111" s="20" t="s">
        <v>378</v>
      </c>
      <c r="C111" s="20" t="s">
        <v>721</v>
      </c>
      <c r="D111" s="141">
        <v>1110000</v>
      </c>
      <c r="E111" s="20" t="s">
        <v>638</v>
      </c>
      <c r="F111" s="20" t="s">
        <v>639</v>
      </c>
      <c r="G111" s="8" t="str">
        <f t="shared" si="1"/>
        <v>STARKS ANGELINA</v>
      </c>
    </row>
    <row r="112" spans="1:7" x14ac:dyDescent="0.25">
      <c r="A112" s="8">
        <v>42891.484178240738</v>
      </c>
      <c r="B112" s="20" t="s">
        <v>601</v>
      </c>
      <c r="C112" s="20" t="s">
        <v>722</v>
      </c>
      <c r="D112" s="141">
        <v>890000</v>
      </c>
      <c r="E112" s="20" t="s">
        <v>661</v>
      </c>
      <c r="F112" s="20" t="s">
        <v>662</v>
      </c>
      <c r="G112" s="8" t="str">
        <f t="shared" si="1"/>
        <v>LOZA FIDEL</v>
      </c>
    </row>
    <row r="113" spans="1:7" x14ac:dyDescent="0.25">
      <c r="A113" s="8">
        <v>42891.485891203702</v>
      </c>
      <c r="B113" s="20" t="s">
        <v>441</v>
      </c>
      <c r="C113" s="20" t="s">
        <v>723</v>
      </c>
      <c r="D113" s="141">
        <v>1800000</v>
      </c>
      <c r="E113" s="20" t="s">
        <v>383</v>
      </c>
      <c r="F113" s="20" t="s">
        <v>384</v>
      </c>
      <c r="G113" s="8" t="str">
        <f t="shared" si="1"/>
        <v>CHANDLER KELVIN</v>
      </c>
    </row>
    <row r="114" spans="1:7" x14ac:dyDescent="0.25">
      <c r="A114" s="8">
        <v>42891.486168981479</v>
      </c>
      <c r="B114" s="20" t="s">
        <v>374</v>
      </c>
      <c r="C114" s="20" t="s">
        <v>719</v>
      </c>
      <c r="D114" s="141">
        <v>2040000</v>
      </c>
      <c r="E114" s="20" t="s">
        <v>482</v>
      </c>
      <c r="F114" s="20" t="s">
        <v>483</v>
      </c>
      <c r="G114" s="8" t="str">
        <f t="shared" si="1"/>
        <v>MOSES BRADLEY</v>
      </c>
    </row>
    <row r="115" spans="1:7" x14ac:dyDescent="0.25">
      <c r="A115" s="8">
        <v>42891.488275462965</v>
      </c>
      <c r="B115" s="20" t="s">
        <v>590</v>
      </c>
      <c r="C115" s="20" t="s">
        <v>724</v>
      </c>
      <c r="D115" s="141">
        <v>1810000</v>
      </c>
      <c r="E115" s="20" t="s">
        <v>373</v>
      </c>
      <c r="F115" s="20" t="s">
        <v>191</v>
      </c>
      <c r="G115" s="8" t="str">
        <f t="shared" si="1"/>
        <v>NEWELL JAMES</v>
      </c>
    </row>
    <row r="116" spans="1:7" x14ac:dyDescent="0.25">
      <c r="A116" s="8">
        <v>42891.488402777781</v>
      </c>
      <c r="B116" s="20" t="s">
        <v>407</v>
      </c>
      <c r="C116" s="20" t="s">
        <v>725</v>
      </c>
      <c r="D116" s="141">
        <v>1180000</v>
      </c>
      <c r="E116" s="20" t="s">
        <v>726</v>
      </c>
      <c r="F116" s="20" t="s">
        <v>727</v>
      </c>
      <c r="G116" s="8" t="str">
        <f t="shared" si="1"/>
        <v>LEVERE CRAIG</v>
      </c>
    </row>
    <row r="117" spans="1:7" x14ac:dyDescent="0.25">
      <c r="A117" s="8">
        <v>42891.496030092596</v>
      </c>
      <c r="B117" s="20" t="s">
        <v>380</v>
      </c>
      <c r="C117" s="20" t="s">
        <v>728</v>
      </c>
      <c r="D117" s="141">
        <v>1770000</v>
      </c>
      <c r="E117" s="20" t="s">
        <v>512</v>
      </c>
      <c r="F117" s="20" t="s">
        <v>513</v>
      </c>
      <c r="G117" s="8" t="str">
        <f t="shared" si="1"/>
        <v>BRUDER RICHARD</v>
      </c>
    </row>
    <row r="118" spans="1:7" x14ac:dyDescent="0.25">
      <c r="A118" s="8">
        <v>42891.498217592591</v>
      </c>
      <c r="B118" s="20" t="s">
        <v>598</v>
      </c>
      <c r="C118" s="20" t="s">
        <v>729</v>
      </c>
      <c r="D118" s="141">
        <v>890000</v>
      </c>
      <c r="E118" s="20" t="s">
        <v>661</v>
      </c>
      <c r="F118" s="20" t="s">
        <v>662</v>
      </c>
      <c r="G118" s="8" t="str">
        <f t="shared" si="1"/>
        <v>LOZA FIDEL</v>
      </c>
    </row>
    <row r="119" spans="1:7" x14ac:dyDescent="0.25">
      <c r="A119" s="8">
        <v>42891.502199074072</v>
      </c>
      <c r="B119" s="20" t="s">
        <v>462</v>
      </c>
      <c r="C119" s="20" t="s">
        <v>730</v>
      </c>
      <c r="D119" s="141">
        <v>2040000</v>
      </c>
      <c r="E119" s="20" t="s">
        <v>482</v>
      </c>
      <c r="F119" s="20" t="s">
        <v>483</v>
      </c>
      <c r="G119" s="8" t="str">
        <f t="shared" si="1"/>
        <v>MOSES BRADLEY</v>
      </c>
    </row>
    <row r="120" spans="1:7" x14ac:dyDescent="0.25">
      <c r="A120" s="8">
        <v>42891.505486111113</v>
      </c>
      <c r="B120" s="20" t="s">
        <v>467</v>
      </c>
      <c r="C120" s="20" t="s">
        <v>730</v>
      </c>
      <c r="D120" s="141">
        <v>2040000</v>
      </c>
      <c r="E120" s="20" t="s">
        <v>482</v>
      </c>
      <c r="F120" s="20" t="s">
        <v>483</v>
      </c>
      <c r="G120" s="8" t="str">
        <f t="shared" si="1"/>
        <v>MOSES BRADLEY</v>
      </c>
    </row>
    <row r="121" spans="1:7" x14ac:dyDescent="0.25">
      <c r="A121" s="8">
        <v>42891.506620370368</v>
      </c>
      <c r="B121" s="20" t="s">
        <v>588</v>
      </c>
      <c r="C121" s="20" t="s">
        <v>731</v>
      </c>
      <c r="D121" s="141">
        <v>920000</v>
      </c>
      <c r="E121" s="20" t="s">
        <v>427</v>
      </c>
      <c r="F121" s="20" t="s">
        <v>194</v>
      </c>
      <c r="G121" s="8" t="str">
        <f t="shared" si="1"/>
        <v>DAVIS MICHAEL</v>
      </c>
    </row>
    <row r="122" spans="1:7" x14ac:dyDescent="0.25">
      <c r="A122" s="8">
        <v>42891.506724537037</v>
      </c>
      <c r="B122" s="25" t="s">
        <v>467</v>
      </c>
      <c r="C122" s="20" t="s">
        <v>730</v>
      </c>
      <c r="D122" s="141">
        <v>2040000</v>
      </c>
      <c r="E122" s="20" t="s">
        <v>482</v>
      </c>
      <c r="F122" s="20" t="s">
        <v>483</v>
      </c>
      <c r="G122" s="8" t="str">
        <f t="shared" si="1"/>
        <v>MOSES BRADLEY</v>
      </c>
    </row>
    <row r="123" spans="1:7" x14ac:dyDescent="0.25">
      <c r="A123" s="8">
        <v>42891.513101851851</v>
      </c>
      <c r="B123" s="20" t="s">
        <v>462</v>
      </c>
      <c r="C123" s="20" t="s">
        <v>597</v>
      </c>
      <c r="D123" s="141">
        <v>2360000</v>
      </c>
      <c r="E123" s="20" t="s">
        <v>514</v>
      </c>
      <c r="F123" s="20" t="s">
        <v>515</v>
      </c>
      <c r="G123" s="8" t="str">
        <f t="shared" si="1"/>
        <v>BRANDNER MELINDA</v>
      </c>
    </row>
    <row r="124" spans="1:7" x14ac:dyDescent="0.25">
      <c r="A124" s="8">
        <v>42891.516550925924</v>
      </c>
      <c r="B124" s="20" t="s">
        <v>425</v>
      </c>
      <c r="C124" s="20" t="s">
        <v>732</v>
      </c>
      <c r="D124" s="141">
        <v>2140000</v>
      </c>
      <c r="E124" s="20" t="s">
        <v>421</v>
      </c>
      <c r="F124" s="20" t="s">
        <v>422</v>
      </c>
      <c r="G124" s="8" t="str">
        <f t="shared" si="1"/>
        <v>ROBINSON KADDIBA</v>
      </c>
    </row>
    <row r="125" spans="1:7" x14ac:dyDescent="0.25">
      <c r="A125" s="8">
        <v>42891.519016203703</v>
      </c>
      <c r="B125" s="20" t="s">
        <v>443</v>
      </c>
      <c r="C125" s="20" t="s">
        <v>594</v>
      </c>
      <c r="D125" s="141">
        <v>1800000</v>
      </c>
      <c r="E125" s="20" t="s">
        <v>383</v>
      </c>
      <c r="F125" s="20" t="s">
        <v>384</v>
      </c>
      <c r="G125" s="8" t="str">
        <f t="shared" si="1"/>
        <v>CHANDLER KELVIN</v>
      </c>
    </row>
    <row r="126" spans="1:7" x14ac:dyDescent="0.25">
      <c r="A126" s="8">
        <v>42891.522951388892</v>
      </c>
      <c r="B126" s="20" t="s">
        <v>488</v>
      </c>
      <c r="C126" s="20" t="s">
        <v>733</v>
      </c>
      <c r="D126" s="141">
        <v>1180000</v>
      </c>
      <c r="E126" s="20" t="s">
        <v>726</v>
      </c>
      <c r="F126" s="20" t="s">
        <v>727</v>
      </c>
      <c r="G126" s="8" t="str">
        <f t="shared" si="1"/>
        <v>LEVERE CRAIG</v>
      </c>
    </row>
    <row r="127" spans="1:7" x14ac:dyDescent="0.25">
      <c r="A127" s="8">
        <v>42891.525069444448</v>
      </c>
      <c r="B127" s="20" t="s">
        <v>601</v>
      </c>
      <c r="C127" s="20" t="s">
        <v>734</v>
      </c>
      <c r="D127" s="141">
        <v>890000</v>
      </c>
      <c r="E127" s="20" t="s">
        <v>661</v>
      </c>
      <c r="F127" s="20" t="s">
        <v>662</v>
      </c>
      <c r="G127" s="8" t="str">
        <f t="shared" si="1"/>
        <v>LOZA FIDEL</v>
      </c>
    </row>
    <row r="128" spans="1:7" x14ac:dyDescent="0.25">
      <c r="A128" s="8">
        <v>42891.529918981483</v>
      </c>
      <c r="B128" s="20" t="s">
        <v>580</v>
      </c>
      <c r="C128" s="20" t="s">
        <v>735</v>
      </c>
      <c r="D128" s="141">
        <v>2540000</v>
      </c>
      <c r="E128" s="20" t="s">
        <v>516</v>
      </c>
      <c r="F128" s="20" t="s">
        <v>517</v>
      </c>
      <c r="G128" s="8" t="str">
        <f t="shared" si="1"/>
        <v>MCREYNOLDS KYLE</v>
      </c>
    </row>
    <row r="129" spans="1:7" x14ac:dyDescent="0.25">
      <c r="A129" s="8">
        <v>42891.535069444442</v>
      </c>
      <c r="B129" s="20" t="s">
        <v>374</v>
      </c>
      <c r="C129" s="20" t="s">
        <v>736</v>
      </c>
      <c r="D129" s="141">
        <v>1770000</v>
      </c>
      <c r="E129" s="20" t="s">
        <v>512</v>
      </c>
      <c r="F129" s="20" t="s">
        <v>513</v>
      </c>
      <c r="G129" s="8" t="str">
        <f t="shared" si="1"/>
        <v>BRUDER RICHARD</v>
      </c>
    </row>
    <row r="130" spans="1:7" x14ac:dyDescent="0.25">
      <c r="A130" s="8">
        <v>42891.536192129628</v>
      </c>
      <c r="B130" s="20" t="s">
        <v>595</v>
      </c>
      <c r="C130" s="20" t="s">
        <v>596</v>
      </c>
      <c r="D130" s="141">
        <v>2270000</v>
      </c>
      <c r="E130" s="20" t="s">
        <v>510</v>
      </c>
      <c r="F130" s="20" t="s">
        <v>511</v>
      </c>
      <c r="G130" s="8" t="str">
        <f t="shared" si="1"/>
        <v>BROWN JACOB</v>
      </c>
    </row>
    <row r="131" spans="1:7" x14ac:dyDescent="0.25">
      <c r="A131" s="8">
        <v>42891.539212962962</v>
      </c>
      <c r="B131" s="20" t="s">
        <v>544</v>
      </c>
      <c r="C131" s="20" t="s">
        <v>737</v>
      </c>
      <c r="D131" s="141">
        <v>920000</v>
      </c>
      <c r="E131" s="20" t="s">
        <v>427</v>
      </c>
      <c r="F131" s="20" t="s">
        <v>194</v>
      </c>
      <c r="G131" s="8" t="str">
        <f t="shared" ref="G131:G194" si="2">E131&amp;" "&amp;F131</f>
        <v>DAVIS MICHAEL</v>
      </c>
    </row>
    <row r="132" spans="1:7" x14ac:dyDescent="0.25">
      <c r="A132" s="8">
        <v>42891.542326388888</v>
      </c>
      <c r="B132" s="20" t="s">
        <v>586</v>
      </c>
      <c r="C132" s="20" t="s">
        <v>596</v>
      </c>
      <c r="D132" s="141">
        <v>2270000</v>
      </c>
      <c r="E132" s="20" t="s">
        <v>510</v>
      </c>
      <c r="F132" s="20" t="s">
        <v>511</v>
      </c>
      <c r="G132" s="8" t="str">
        <f t="shared" si="2"/>
        <v>BROWN JACOB</v>
      </c>
    </row>
    <row r="133" spans="1:7" x14ac:dyDescent="0.25">
      <c r="A133" s="8">
        <v>42891.548738425925</v>
      </c>
      <c r="B133" s="20" t="s">
        <v>467</v>
      </c>
      <c r="C133" s="20" t="s">
        <v>600</v>
      </c>
      <c r="D133" s="141">
        <v>2360000</v>
      </c>
      <c r="E133" s="20" t="s">
        <v>514</v>
      </c>
      <c r="F133" s="20" t="s">
        <v>515</v>
      </c>
      <c r="G133" s="8" t="str">
        <f t="shared" si="2"/>
        <v>BRANDNER MELINDA</v>
      </c>
    </row>
    <row r="134" spans="1:7" x14ac:dyDescent="0.25">
      <c r="A134" s="8">
        <v>42891.551122685189</v>
      </c>
      <c r="B134" s="20" t="s">
        <v>362</v>
      </c>
      <c r="C134" s="20" t="s">
        <v>738</v>
      </c>
      <c r="D134" s="141">
        <v>2140000</v>
      </c>
      <c r="E134" s="20" t="s">
        <v>421</v>
      </c>
      <c r="F134" s="20" t="s">
        <v>422</v>
      </c>
      <c r="G134" s="8" t="str">
        <f t="shared" si="2"/>
        <v>ROBINSON KADDIBA</v>
      </c>
    </row>
    <row r="135" spans="1:7" x14ac:dyDescent="0.25">
      <c r="A135" s="8">
        <v>42891.554826388892</v>
      </c>
      <c r="B135" s="20" t="s">
        <v>598</v>
      </c>
      <c r="C135" s="20" t="s">
        <v>599</v>
      </c>
      <c r="D135" s="141">
        <v>1300000</v>
      </c>
      <c r="E135" s="20" t="s">
        <v>739</v>
      </c>
      <c r="F135" s="20" t="s">
        <v>740</v>
      </c>
      <c r="G135" s="8" t="str">
        <f t="shared" si="2"/>
        <v>LEVIN SCOTT</v>
      </c>
    </row>
    <row r="136" spans="1:7" x14ac:dyDescent="0.25">
      <c r="A136" s="8">
        <v>42891.559016203704</v>
      </c>
      <c r="B136" s="20" t="s">
        <v>441</v>
      </c>
      <c r="C136" s="20" t="s">
        <v>741</v>
      </c>
      <c r="D136" s="141">
        <v>1800000</v>
      </c>
      <c r="E136" s="20" t="s">
        <v>383</v>
      </c>
      <c r="F136" s="20" t="s">
        <v>384</v>
      </c>
      <c r="G136" s="8" t="str">
        <f t="shared" si="2"/>
        <v>CHANDLER KELVIN</v>
      </c>
    </row>
    <row r="137" spans="1:7" x14ac:dyDescent="0.25">
      <c r="A137" s="8">
        <v>42891.559525462966</v>
      </c>
      <c r="B137" s="20" t="s">
        <v>407</v>
      </c>
      <c r="C137" s="20" t="s">
        <v>742</v>
      </c>
      <c r="D137" s="141">
        <v>1180000</v>
      </c>
      <c r="E137" s="20" t="s">
        <v>726</v>
      </c>
      <c r="F137" s="20" t="s">
        <v>727</v>
      </c>
      <c r="G137" s="8" t="str">
        <f t="shared" si="2"/>
        <v>LEVERE CRAIG</v>
      </c>
    </row>
    <row r="138" spans="1:7" x14ac:dyDescent="0.25">
      <c r="A138" s="8">
        <v>42891.562986111108</v>
      </c>
      <c r="B138" s="20" t="s">
        <v>590</v>
      </c>
      <c r="C138" s="20" t="s">
        <v>743</v>
      </c>
      <c r="D138" s="141">
        <v>2540000</v>
      </c>
      <c r="E138" s="20" t="s">
        <v>516</v>
      </c>
      <c r="F138" s="20" t="s">
        <v>517</v>
      </c>
      <c r="G138" s="8" t="str">
        <f t="shared" si="2"/>
        <v>MCREYNOLDS KYLE</v>
      </c>
    </row>
    <row r="139" spans="1:7" x14ac:dyDescent="0.25">
      <c r="A139" s="8">
        <v>42891.568368055552</v>
      </c>
      <c r="B139" s="20" t="s">
        <v>601</v>
      </c>
      <c r="C139" s="20" t="s">
        <v>602</v>
      </c>
      <c r="D139" s="141">
        <v>1300000</v>
      </c>
      <c r="E139" s="20" t="s">
        <v>739</v>
      </c>
      <c r="F139" s="20" t="s">
        <v>740</v>
      </c>
      <c r="G139" s="8" t="str">
        <f t="shared" si="2"/>
        <v>LEVIN SCOTT</v>
      </c>
    </row>
    <row r="140" spans="1:7" x14ac:dyDescent="0.25">
      <c r="A140" s="8">
        <v>42891.569907407407</v>
      </c>
      <c r="B140" s="20" t="s">
        <v>609</v>
      </c>
      <c r="C140" s="20" t="s">
        <v>744</v>
      </c>
      <c r="D140" s="141">
        <v>2040000</v>
      </c>
      <c r="E140" s="20" t="s">
        <v>482</v>
      </c>
      <c r="F140" s="20" t="s">
        <v>483</v>
      </c>
      <c r="G140" s="8" t="str">
        <f t="shared" si="2"/>
        <v>MOSES BRADLEY</v>
      </c>
    </row>
    <row r="141" spans="1:7" x14ac:dyDescent="0.25">
      <c r="A141" s="8">
        <v>42891.570474537039</v>
      </c>
      <c r="B141" s="20" t="s">
        <v>380</v>
      </c>
      <c r="C141" s="20" t="s">
        <v>745</v>
      </c>
      <c r="D141" s="141">
        <v>2270000</v>
      </c>
      <c r="E141" s="20" t="s">
        <v>510</v>
      </c>
      <c r="F141" s="20" t="s">
        <v>511</v>
      </c>
      <c r="G141" s="8" t="str">
        <f t="shared" si="2"/>
        <v>BROWN JACOB</v>
      </c>
    </row>
    <row r="142" spans="1:7" x14ac:dyDescent="0.25">
      <c r="A142" s="8">
        <v>42891.576724537037</v>
      </c>
      <c r="B142" s="20" t="s">
        <v>620</v>
      </c>
      <c r="C142" s="20" t="s">
        <v>744</v>
      </c>
      <c r="D142" s="141">
        <v>2040000</v>
      </c>
      <c r="E142" s="20" t="s">
        <v>482</v>
      </c>
      <c r="F142" s="20" t="s">
        <v>483</v>
      </c>
      <c r="G142" s="8" t="str">
        <f t="shared" si="2"/>
        <v>MOSES BRADLEY</v>
      </c>
    </row>
    <row r="143" spans="1:7" x14ac:dyDescent="0.25">
      <c r="A143" s="8">
        <v>42891.577962962961</v>
      </c>
      <c r="B143" s="20" t="s">
        <v>620</v>
      </c>
      <c r="C143" s="20" t="s">
        <v>744</v>
      </c>
      <c r="D143" s="141">
        <v>2040000</v>
      </c>
      <c r="E143" s="20" t="s">
        <v>482</v>
      </c>
      <c r="F143" s="20" t="s">
        <v>483</v>
      </c>
      <c r="G143" s="8" t="str">
        <f t="shared" si="2"/>
        <v>MOSES BRADLEY</v>
      </c>
    </row>
    <row r="144" spans="1:7" x14ac:dyDescent="0.25">
      <c r="A144" s="8">
        <v>42891.579409722224</v>
      </c>
      <c r="B144" s="20" t="s">
        <v>588</v>
      </c>
      <c r="C144" s="20" t="s">
        <v>746</v>
      </c>
      <c r="D144" s="141">
        <v>920000</v>
      </c>
      <c r="E144" s="20" t="s">
        <v>427</v>
      </c>
      <c r="F144" s="20" t="s">
        <v>194</v>
      </c>
      <c r="G144" s="8" t="str">
        <f t="shared" si="2"/>
        <v>DAVIS MICHAEL</v>
      </c>
    </row>
    <row r="145" spans="1:7" x14ac:dyDescent="0.25">
      <c r="A145" s="8">
        <v>42891.581493055557</v>
      </c>
      <c r="B145" s="20" t="s">
        <v>462</v>
      </c>
      <c r="C145" s="20" t="s">
        <v>747</v>
      </c>
      <c r="D145" s="141">
        <v>2360000</v>
      </c>
      <c r="E145" s="20" t="s">
        <v>514</v>
      </c>
      <c r="F145" s="20" t="s">
        <v>515</v>
      </c>
      <c r="G145" s="8" t="str">
        <f t="shared" si="2"/>
        <v>BRANDNER MELINDA</v>
      </c>
    </row>
    <row r="146" spans="1:7" x14ac:dyDescent="0.25">
      <c r="A146" s="8">
        <v>42891.58452546296</v>
      </c>
      <c r="B146" s="20" t="s">
        <v>425</v>
      </c>
      <c r="C146" s="20" t="s">
        <v>748</v>
      </c>
      <c r="D146" s="141">
        <v>2140000</v>
      </c>
      <c r="E146" s="20" t="s">
        <v>421</v>
      </c>
      <c r="F146" s="20" t="s">
        <v>422</v>
      </c>
      <c r="G146" s="8" t="str">
        <f t="shared" si="2"/>
        <v>ROBINSON KADDIBA</v>
      </c>
    </row>
    <row r="147" spans="1:7" x14ac:dyDescent="0.25">
      <c r="A147" s="8">
        <v>42891.585335648146</v>
      </c>
      <c r="B147" s="20" t="s">
        <v>462</v>
      </c>
      <c r="C147" s="20" t="s">
        <v>747</v>
      </c>
      <c r="D147" s="141">
        <v>2360000</v>
      </c>
      <c r="E147" s="20" t="s">
        <v>514</v>
      </c>
      <c r="F147" s="20" t="s">
        <v>515</v>
      </c>
      <c r="G147" s="8" t="str">
        <f t="shared" si="2"/>
        <v>BRANDNER MELINDA</v>
      </c>
    </row>
    <row r="148" spans="1:7" x14ac:dyDescent="0.25">
      <c r="A148" s="8">
        <v>42891.590925925928</v>
      </c>
      <c r="B148" s="20" t="s">
        <v>609</v>
      </c>
      <c r="C148" s="20" t="s">
        <v>749</v>
      </c>
      <c r="D148" s="141">
        <v>2040000</v>
      </c>
      <c r="E148" s="20" t="s">
        <v>482</v>
      </c>
      <c r="F148" s="20" t="s">
        <v>483</v>
      </c>
      <c r="G148" s="8" t="str">
        <f t="shared" si="2"/>
        <v>MOSES BRADLEY</v>
      </c>
    </row>
    <row r="149" spans="1:7" x14ac:dyDescent="0.25">
      <c r="A149" s="8">
        <v>42891.596087962964</v>
      </c>
      <c r="B149" s="20" t="s">
        <v>598</v>
      </c>
      <c r="C149" s="20" t="s">
        <v>750</v>
      </c>
      <c r="D149" s="141">
        <v>1300000</v>
      </c>
      <c r="E149" s="20" t="s">
        <v>739</v>
      </c>
      <c r="F149" s="20" t="s">
        <v>740</v>
      </c>
      <c r="G149" s="8" t="str">
        <f t="shared" si="2"/>
        <v>LEVIN SCOTT</v>
      </c>
    </row>
    <row r="150" spans="1:7" x14ac:dyDescent="0.25">
      <c r="A150" s="8">
        <v>42891.597824074073</v>
      </c>
      <c r="B150" s="20" t="s">
        <v>488</v>
      </c>
      <c r="C150" s="20" t="s">
        <v>751</v>
      </c>
      <c r="D150" s="141">
        <v>1180000</v>
      </c>
      <c r="E150" s="20" t="s">
        <v>726</v>
      </c>
      <c r="F150" s="20" t="s">
        <v>727</v>
      </c>
      <c r="G150" s="8" t="str">
        <f t="shared" si="2"/>
        <v>LEVERE CRAIG</v>
      </c>
    </row>
    <row r="151" spans="1:7" x14ac:dyDescent="0.25">
      <c r="A151" s="8">
        <v>42891.59983796296</v>
      </c>
      <c r="B151" s="20" t="s">
        <v>580</v>
      </c>
      <c r="C151" s="20" t="s">
        <v>752</v>
      </c>
      <c r="D151" s="141">
        <v>2540000</v>
      </c>
      <c r="E151" s="20" t="s">
        <v>516</v>
      </c>
      <c r="F151" s="20" t="s">
        <v>517</v>
      </c>
      <c r="G151" s="8" t="str">
        <f t="shared" si="2"/>
        <v>MCREYNOLDS KYLE</v>
      </c>
    </row>
    <row r="152" spans="1:7" x14ac:dyDescent="0.25">
      <c r="A152" s="8">
        <v>42891.606400462966</v>
      </c>
      <c r="B152" s="20" t="s">
        <v>374</v>
      </c>
      <c r="C152" s="20" t="s">
        <v>753</v>
      </c>
      <c r="D152" s="141">
        <v>2270000</v>
      </c>
      <c r="E152" s="20" t="s">
        <v>510</v>
      </c>
      <c r="F152" s="20" t="s">
        <v>511</v>
      </c>
      <c r="G152" s="8" t="str">
        <f t="shared" si="2"/>
        <v>BROWN JACOB</v>
      </c>
    </row>
    <row r="153" spans="1:7" x14ac:dyDescent="0.25">
      <c r="A153" s="8">
        <v>42891.610891203702</v>
      </c>
      <c r="B153" s="20" t="s">
        <v>601</v>
      </c>
      <c r="C153" s="20" t="s">
        <v>603</v>
      </c>
      <c r="D153" s="141">
        <v>1300000</v>
      </c>
      <c r="E153" s="20" t="s">
        <v>739</v>
      </c>
      <c r="F153" s="20" t="s">
        <v>740</v>
      </c>
      <c r="G153" s="8" t="str">
        <f t="shared" si="2"/>
        <v>LEVIN SCOTT</v>
      </c>
    </row>
    <row r="154" spans="1:7" x14ac:dyDescent="0.25">
      <c r="A154" s="8">
        <v>42891.61378472222</v>
      </c>
      <c r="B154" s="20" t="s">
        <v>544</v>
      </c>
      <c r="C154" s="20" t="s">
        <v>754</v>
      </c>
      <c r="D154" s="141">
        <v>920000</v>
      </c>
      <c r="E154" s="20" t="s">
        <v>427</v>
      </c>
      <c r="F154" s="20" t="s">
        <v>194</v>
      </c>
      <c r="G154" s="8" t="str">
        <f t="shared" si="2"/>
        <v>DAVIS MICHAEL</v>
      </c>
    </row>
    <row r="155" spans="1:7" x14ac:dyDescent="0.25">
      <c r="A155" s="8">
        <v>42891.616666666669</v>
      </c>
      <c r="B155" s="20" t="s">
        <v>467</v>
      </c>
      <c r="C155" s="20" t="s">
        <v>755</v>
      </c>
      <c r="D155" s="141">
        <v>2360000</v>
      </c>
      <c r="E155" s="20" t="s">
        <v>514</v>
      </c>
      <c r="F155" s="20" t="s">
        <v>515</v>
      </c>
      <c r="G155" s="8" t="str">
        <f t="shared" si="2"/>
        <v>BRANDNER MELINDA</v>
      </c>
    </row>
    <row r="156" spans="1:7" x14ac:dyDescent="0.25">
      <c r="A156" s="8">
        <v>42891.619444444441</v>
      </c>
      <c r="B156" s="20" t="s">
        <v>467</v>
      </c>
      <c r="C156" s="20" t="s">
        <v>755</v>
      </c>
      <c r="D156" s="141">
        <v>2360000</v>
      </c>
      <c r="E156" s="20" t="s">
        <v>514</v>
      </c>
      <c r="F156" s="20" t="s">
        <v>515</v>
      </c>
      <c r="G156" s="8" t="str">
        <f t="shared" si="2"/>
        <v>BRANDNER MELINDA</v>
      </c>
    </row>
    <row r="157" spans="1:7" x14ac:dyDescent="0.25">
      <c r="A157" s="8">
        <v>42891.622337962966</v>
      </c>
      <c r="B157" s="20" t="s">
        <v>362</v>
      </c>
      <c r="C157" s="20" t="s">
        <v>604</v>
      </c>
      <c r="D157" s="141">
        <v>2140000</v>
      </c>
      <c r="E157" s="20" t="s">
        <v>421</v>
      </c>
      <c r="F157" s="20" t="s">
        <v>422</v>
      </c>
      <c r="G157" s="8" t="str">
        <f t="shared" si="2"/>
        <v>ROBINSON KADDIBA</v>
      </c>
    </row>
    <row r="158" spans="1:7" x14ac:dyDescent="0.25">
      <c r="A158" s="8">
        <v>42891.631249999999</v>
      </c>
      <c r="B158" s="20" t="s">
        <v>620</v>
      </c>
      <c r="C158" s="20" t="s">
        <v>756</v>
      </c>
      <c r="D158" s="141">
        <v>2040000</v>
      </c>
      <c r="E158" s="20" t="s">
        <v>482</v>
      </c>
      <c r="F158" s="20" t="s">
        <v>483</v>
      </c>
      <c r="G158" s="8" t="str">
        <f t="shared" si="2"/>
        <v>MOSES BRADLEY</v>
      </c>
    </row>
    <row r="159" spans="1:7" x14ac:dyDescent="0.25">
      <c r="A159" s="8">
        <v>42891.634432870371</v>
      </c>
      <c r="B159" s="20" t="s">
        <v>407</v>
      </c>
      <c r="C159" s="20" t="s">
        <v>757</v>
      </c>
      <c r="D159" s="141">
        <v>1180000</v>
      </c>
      <c r="E159" s="20" t="s">
        <v>726</v>
      </c>
      <c r="F159" s="20" t="s">
        <v>727</v>
      </c>
      <c r="G159" s="8" t="str">
        <f t="shared" si="2"/>
        <v>LEVERE CRAIG</v>
      </c>
    </row>
    <row r="160" spans="1:7" x14ac:dyDescent="0.25">
      <c r="A160" s="8">
        <v>42891.636354166665</v>
      </c>
      <c r="B160" s="20" t="s">
        <v>598</v>
      </c>
      <c r="C160" s="20" t="s">
        <v>758</v>
      </c>
      <c r="D160" s="141">
        <v>1300000</v>
      </c>
      <c r="E160" s="20" t="s">
        <v>739</v>
      </c>
      <c r="F160" s="20" t="s">
        <v>740</v>
      </c>
      <c r="G160" s="8" t="str">
        <f t="shared" si="2"/>
        <v>LEVIN SCOTT</v>
      </c>
    </row>
    <row r="161" spans="1:7" x14ac:dyDescent="0.25">
      <c r="A161" s="8">
        <v>42891.638854166667</v>
      </c>
      <c r="B161" s="20" t="s">
        <v>590</v>
      </c>
      <c r="C161" s="20" t="s">
        <v>759</v>
      </c>
      <c r="D161" s="141">
        <v>2540000</v>
      </c>
      <c r="E161" s="20" t="s">
        <v>516</v>
      </c>
      <c r="F161" s="20" t="s">
        <v>517</v>
      </c>
      <c r="G161" s="8" t="str">
        <f t="shared" si="2"/>
        <v>MCREYNOLDS KYLE</v>
      </c>
    </row>
    <row r="162" spans="1:7" x14ac:dyDescent="0.25">
      <c r="A162" s="8">
        <v>42891.638854166667</v>
      </c>
      <c r="B162" s="20" t="s">
        <v>342</v>
      </c>
      <c r="C162" s="20" t="s">
        <v>605</v>
      </c>
      <c r="D162" s="141">
        <v>2000000</v>
      </c>
      <c r="E162" s="20" t="s">
        <v>426</v>
      </c>
      <c r="F162" s="20" t="s">
        <v>191</v>
      </c>
      <c r="G162" s="8" t="str">
        <f t="shared" si="2"/>
        <v>STAMBAUGH JAMES</v>
      </c>
    </row>
    <row r="163" spans="1:7" x14ac:dyDescent="0.25">
      <c r="A163" s="8">
        <v>42891.642129629632</v>
      </c>
      <c r="B163" s="20" t="s">
        <v>380</v>
      </c>
      <c r="C163" s="20" t="s">
        <v>760</v>
      </c>
      <c r="D163" s="141">
        <v>1770000</v>
      </c>
      <c r="E163" s="20" t="s">
        <v>512</v>
      </c>
      <c r="F163" s="20" t="s">
        <v>513</v>
      </c>
      <c r="G163" s="8" t="str">
        <f t="shared" si="2"/>
        <v>BRUDER RICHARD</v>
      </c>
    </row>
    <row r="164" spans="1:7" x14ac:dyDescent="0.25">
      <c r="A164" s="8">
        <v>42891.650069444448</v>
      </c>
      <c r="B164" s="20" t="s">
        <v>341</v>
      </c>
      <c r="C164" s="20" t="s">
        <v>761</v>
      </c>
      <c r="D164" s="141">
        <v>2000000</v>
      </c>
      <c r="E164" s="20" t="s">
        <v>426</v>
      </c>
      <c r="F164" s="20" t="s">
        <v>191</v>
      </c>
      <c r="G164" s="8" t="str">
        <f t="shared" si="2"/>
        <v>STAMBAUGH JAMES</v>
      </c>
    </row>
    <row r="165" spans="1:7" x14ac:dyDescent="0.25">
      <c r="A165" s="8">
        <v>42891.650879629633</v>
      </c>
      <c r="B165" s="20" t="s">
        <v>601</v>
      </c>
      <c r="C165" s="20" t="s">
        <v>606</v>
      </c>
      <c r="D165" s="141">
        <v>1300000</v>
      </c>
      <c r="E165" s="20" t="s">
        <v>739</v>
      </c>
      <c r="F165" s="20" t="s">
        <v>740</v>
      </c>
      <c r="G165" s="8" t="str">
        <f t="shared" si="2"/>
        <v>LEVIN SCOTT</v>
      </c>
    </row>
    <row r="166" spans="1:7" x14ac:dyDescent="0.25">
      <c r="A166" s="8">
        <v>42891.651956018519</v>
      </c>
      <c r="B166" s="20" t="s">
        <v>588</v>
      </c>
      <c r="C166" s="20" t="s">
        <v>762</v>
      </c>
      <c r="D166" s="141">
        <v>920000</v>
      </c>
      <c r="E166" s="20" t="s">
        <v>427</v>
      </c>
      <c r="F166" s="20" t="s">
        <v>194</v>
      </c>
      <c r="G166" s="8" t="str">
        <f t="shared" si="2"/>
        <v>DAVIS MICHAEL</v>
      </c>
    </row>
    <row r="167" spans="1:7" x14ac:dyDescent="0.25">
      <c r="A167" s="8">
        <v>42891.654803240737</v>
      </c>
      <c r="B167" s="20" t="s">
        <v>462</v>
      </c>
      <c r="C167" s="20" t="s">
        <v>607</v>
      </c>
      <c r="D167" s="141">
        <v>2360000</v>
      </c>
      <c r="E167" s="20" t="s">
        <v>514</v>
      </c>
      <c r="F167" s="20" t="s">
        <v>515</v>
      </c>
      <c r="G167" s="8" t="str">
        <f t="shared" si="2"/>
        <v>BRANDNER MELINDA</v>
      </c>
    </row>
    <row r="168" spans="1:7" x14ac:dyDescent="0.25">
      <c r="A168" s="8">
        <v>42891.660590277781</v>
      </c>
      <c r="B168" s="20" t="s">
        <v>425</v>
      </c>
      <c r="C168" s="20" t="s">
        <v>763</v>
      </c>
      <c r="D168" s="141">
        <v>2140000</v>
      </c>
      <c r="E168" s="20" t="s">
        <v>421</v>
      </c>
      <c r="F168" s="20" t="s">
        <v>422</v>
      </c>
      <c r="G168" s="8" t="str">
        <f t="shared" si="2"/>
        <v>ROBINSON KADDIBA</v>
      </c>
    </row>
    <row r="169" spans="1:7" x14ac:dyDescent="0.25">
      <c r="A169" s="8">
        <v>42891.664687500001</v>
      </c>
      <c r="B169" s="20" t="s">
        <v>609</v>
      </c>
      <c r="C169" s="20" t="s">
        <v>610</v>
      </c>
      <c r="D169" s="141">
        <v>1800000</v>
      </c>
      <c r="E169" s="20" t="s">
        <v>383</v>
      </c>
      <c r="F169" s="20" t="s">
        <v>384</v>
      </c>
      <c r="G169" s="8" t="str">
        <f t="shared" si="2"/>
        <v>CHANDLER KELVIN</v>
      </c>
    </row>
    <row r="170" spans="1:7" x14ac:dyDescent="0.25">
      <c r="A170" s="8">
        <v>42891.668506944443</v>
      </c>
      <c r="B170" s="20" t="s">
        <v>488</v>
      </c>
      <c r="C170" s="20" t="s">
        <v>764</v>
      </c>
      <c r="D170" s="141">
        <v>1180000</v>
      </c>
      <c r="E170" s="20" t="s">
        <v>726</v>
      </c>
      <c r="F170" s="20" t="s">
        <v>727</v>
      </c>
      <c r="G170" s="8" t="str">
        <f t="shared" si="2"/>
        <v>LEVERE CRAIG</v>
      </c>
    </row>
    <row r="171" spans="1:7" x14ac:dyDescent="0.25">
      <c r="A171" s="8">
        <v>42891.671701388892</v>
      </c>
      <c r="B171" s="20" t="s">
        <v>342</v>
      </c>
      <c r="C171" s="20" t="s">
        <v>608</v>
      </c>
      <c r="D171" s="141">
        <v>2000000</v>
      </c>
      <c r="E171" s="20" t="s">
        <v>426</v>
      </c>
      <c r="F171" s="20" t="s">
        <v>191</v>
      </c>
      <c r="G171" s="8" t="str">
        <f t="shared" si="2"/>
        <v>STAMBAUGH JAMES</v>
      </c>
    </row>
    <row r="172" spans="1:7" x14ac:dyDescent="0.25">
      <c r="A172" s="8">
        <v>42891.673611111109</v>
      </c>
      <c r="B172" s="20" t="s">
        <v>580</v>
      </c>
      <c r="C172" s="20" t="s">
        <v>611</v>
      </c>
      <c r="D172" s="141">
        <v>2540000</v>
      </c>
      <c r="E172" s="20" t="s">
        <v>516</v>
      </c>
      <c r="F172" s="20" t="s">
        <v>517</v>
      </c>
      <c r="G172" s="8" t="str">
        <f t="shared" si="2"/>
        <v>MCREYNOLDS KYLE</v>
      </c>
    </row>
    <row r="173" spans="1:7" x14ac:dyDescent="0.25">
      <c r="A173" s="8">
        <v>42891.679525462961</v>
      </c>
      <c r="B173" s="20" t="s">
        <v>598</v>
      </c>
      <c r="C173" s="20" t="s">
        <v>765</v>
      </c>
      <c r="D173" s="141">
        <v>1300000</v>
      </c>
      <c r="E173" s="20" t="s">
        <v>739</v>
      </c>
      <c r="F173" s="20" t="s">
        <v>740</v>
      </c>
      <c r="G173" s="8" t="str">
        <f t="shared" si="2"/>
        <v>LEVIN SCOTT</v>
      </c>
    </row>
    <row r="174" spans="1:7" x14ac:dyDescent="0.25">
      <c r="A174" s="8">
        <v>42891.680335648147</v>
      </c>
      <c r="B174" s="20" t="s">
        <v>374</v>
      </c>
      <c r="C174" s="20" t="s">
        <v>766</v>
      </c>
      <c r="D174" s="141">
        <v>1770000</v>
      </c>
      <c r="E174" s="20" t="s">
        <v>512</v>
      </c>
      <c r="F174" s="20" t="s">
        <v>513</v>
      </c>
      <c r="G174" s="8" t="str">
        <f t="shared" si="2"/>
        <v>BRUDER RICHARD</v>
      </c>
    </row>
    <row r="175" spans="1:7" x14ac:dyDescent="0.25">
      <c r="A175" s="8">
        <v>42891.685324074075</v>
      </c>
      <c r="B175" s="20" t="s">
        <v>544</v>
      </c>
      <c r="C175" s="20" t="s">
        <v>767</v>
      </c>
      <c r="D175" s="141">
        <v>920000</v>
      </c>
      <c r="E175" s="20" t="s">
        <v>427</v>
      </c>
      <c r="F175" s="20" t="s">
        <v>194</v>
      </c>
      <c r="G175" s="8" t="str">
        <f t="shared" si="2"/>
        <v>DAVIS MICHAEL</v>
      </c>
    </row>
    <row r="176" spans="1:7" x14ac:dyDescent="0.25">
      <c r="A176" s="8">
        <v>42891.68650462963</v>
      </c>
      <c r="B176" s="20" t="s">
        <v>341</v>
      </c>
      <c r="C176" s="20" t="s">
        <v>612</v>
      </c>
      <c r="D176" s="141">
        <v>2000000</v>
      </c>
      <c r="E176" s="20" t="s">
        <v>426</v>
      </c>
      <c r="F176" s="20" t="s">
        <v>191</v>
      </c>
      <c r="G176" s="8" t="str">
        <f t="shared" si="2"/>
        <v>STAMBAUGH JAMES</v>
      </c>
    </row>
    <row r="177" spans="1:7" x14ac:dyDescent="0.25">
      <c r="A177" s="8">
        <v>42891.689930555556</v>
      </c>
      <c r="B177" s="20" t="s">
        <v>467</v>
      </c>
      <c r="C177" s="20" t="s">
        <v>614</v>
      </c>
      <c r="D177" s="141">
        <v>2360000</v>
      </c>
      <c r="E177" s="20" t="s">
        <v>514</v>
      </c>
      <c r="F177" s="20" t="s">
        <v>515</v>
      </c>
      <c r="G177" s="8" t="str">
        <f t="shared" si="2"/>
        <v>BRANDNER MELINDA</v>
      </c>
    </row>
    <row r="178" spans="1:7" x14ac:dyDescent="0.25">
      <c r="A178" s="8">
        <v>42891.692094907405</v>
      </c>
      <c r="B178" s="20" t="s">
        <v>601</v>
      </c>
      <c r="C178" s="20" t="s">
        <v>768</v>
      </c>
      <c r="D178" s="141">
        <v>1300000</v>
      </c>
      <c r="E178" s="20" t="s">
        <v>739</v>
      </c>
      <c r="F178" s="20" t="s">
        <v>740</v>
      </c>
      <c r="G178" s="8" t="str">
        <f t="shared" si="2"/>
        <v>LEVIN SCOTT</v>
      </c>
    </row>
    <row r="179" spans="1:7" x14ac:dyDescent="0.25">
      <c r="A179" s="8">
        <v>42891.69568287037</v>
      </c>
      <c r="B179" s="20" t="s">
        <v>362</v>
      </c>
      <c r="C179" s="20" t="s">
        <v>769</v>
      </c>
      <c r="D179" s="141">
        <v>2140000</v>
      </c>
      <c r="E179" s="20" t="s">
        <v>421</v>
      </c>
      <c r="F179" s="20" t="s">
        <v>422</v>
      </c>
      <c r="G179" s="8" t="str">
        <f t="shared" si="2"/>
        <v>ROBINSON KADDIBA</v>
      </c>
    </row>
    <row r="180" spans="1:7" x14ac:dyDescent="0.25">
      <c r="A180" s="8">
        <v>42891.704872685186</v>
      </c>
      <c r="B180" s="20" t="s">
        <v>407</v>
      </c>
      <c r="C180" s="20" t="s">
        <v>770</v>
      </c>
      <c r="D180" s="141">
        <v>1180000</v>
      </c>
      <c r="E180" s="20" t="s">
        <v>726</v>
      </c>
      <c r="F180" s="20" t="s">
        <v>727</v>
      </c>
      <c r="G180" s="8" t="str">
        <f t="shared" si="2"/>
        <v>LEVERE CRAIG</v>
      </c>
    </row>
    <row r="181" spans="1:7" x14ac:dyDescent="0.25">
      <c r="A181" s="8">
        <v>42891.705717592595</v>
      </c>
      <c r="B181" s="20" t="s">
        <v>620</v>
      </c>
      <c r="C181" s="20" t="s">
        <v>771</v>
      </c>
      <c r="D181" s="141">
        <v>1800000</v>
      </c>
      <c r="E181" s="20" t="s">
        <v>383</v>
      </c>
      <c r="F181" s="20" t="s">
        <v>384</v>
      </c>
      <c r="G181" s="8" t="str">
        <f t="shared" si="2"/>
        <v>CHANDLER KELVIN</v>
      </c>
    </row>
    <row r="182" spans="1:7" x14ac:dyDescent="0.25">
      <c r="A182" s="8">
        <v>42891.712094907409</v>
      </c>
      <c r="B182" s="20" t="s">
        <v>443</v>
      </c>
      <c r="C182" s="20" t="s">
        <v>772</v>
      </c>
      <c r="D182" s="141">
        <v>1740000</v>
      </c>
      <c r="E182" s="20" t="s">
        <v>773</v>
      </c>
      <c r="F182" s="20" t="s">
        <v>774</v>
      </c>
      <c r="G182" s="8" t="str">
        <f t="shared" si="2"/>
        <v>STORY SAMANTHA</v>
      </c>
    </row>
    <row r="183" spans="1:7" x14ac:dyDescent="0.25">
      <c r="A183" s="8">
        <v>42891.712430555555</v>
      </c>
      <c r="B183" s="20" t="s">
        <v>590</v>
      </c>
      <c r="C183" s="20" t="s">
        <v>775</v>
      </c>
      <c r="D183" s="141">
        <v>2540000</v>
      </c>
      <c r="E183" s="20" t="s">
        <v>516</v>
      </c>
      <c r="F183" s="20" t="s">
        <v>517</v>
      </c>
      <c r="G183" s="8" t="str">
        <f t="shared" si="2"/>
        <v>MCREYNOLDS KYLE</v>
      </c>
    </row>
    <row r="184" spans="1:7" x14ac:dyDescent="0.25">
      <c r="A184" s="8">
        <v>42891.715231481481</v>
      </c>
      <c r="B184" s="20" t="s">
        <v>342</v>
      </c>
      <c r="C184" s="20" t="s">
        <v>613</v>
      </c>
      <c r="D184" s="141">
        <v>2000000</v>
      </c>
      <c r="E184" s="20" t="s">
        <v>426</v>
      </c>
      <c r="F184" s="20" t="s">
        <v>191</v>
      </c>
      <c r="G184" s="8" t="str">
        <f t="shared" si="2"/>
        <v>STAMBAUGH JAMES</v>
      </c>
    </row>
    <row r="185" spans="1:7" x14ac:dyDescent="0.25">
      <c r="A185" s="8">
        <v>42891.715532407405</v>
      </c>
      <c r="B185" s="20" t="s">
        <v>380</v>
      </c>
      <c r="C185" s="20" t="s">
        <v>776</v>
      </c>
      <c r="D185" s="141">
        <v>1770000</v>
      </c>
      <c r="E185" s="20" t="s">
        <v>512</v>
      </c>
      <c r="F185" s="20" t="s">
        <v>513</v>
      </c>
      <c r="G185" s="8" t="str">
        <f t="shared" si="2"/>
        <v>BRUDER RICHARD</v>
      </c>
    </row>
    <row r="186" spans="1:7" x14ac:dyDescent="0.25">
      <c r="A186" s="8">
        <v>42891.720613425925</v>
      </c>
      <c r="B186" s="20" t="s">
        <v>598</v>
      </c>
      <c r="C186" s="20" t="s">
        <v>777</v>
      </c>
      <c r="D186" s="141">
        <v>1300000</v>
      </c>
      <c r="E186" s="20" t="s">
        <v>739</v>
      </c>
      <c r="F186" s="20" t="s">
        <v>740</v>
      </c>
      <c r="G186" s="8" t="str">
        <f t="shared" si="2"/>
        <v>LEVIN SCOTT</v>
      </c>
    </row>
    <row r="187" spans="1:7" x14ac:dyDescent="0.25">
      <c r="A187" s="8">
        <v>42891.720810185187</v>
      </c>
      <c r="B187" s="20" t="s">
        <v>595</v>
      </c>
      <c r="C187" s="20" t="s">
        <v>778</v>
      </c>
      <c r="D187" s="141">
        <v>2040000</v>
      </c>
      <c r="E187" s="20" t="s">
        <v>482</v>
      </c>
      <c r="F187" s="20" t="s">
        <v>483</v>
      </c>
      <c r="G187" s="8" t="str">
        <f t="shared" si="2"/>
        <v>MOSES BRADLEY</v>
      </c>
    </row>
    <row r="188" spans="1:7" x14ac:dyDescent="0.25">
      <c r="A188" s="8">
        <v>42891.725115740737</v>
      </c>
      <c r="B188" s="20" t="s">
        <v>588</v>
      </c>
      <c r="C188" s="20" t="s">
        <v>779</v>
      </c>
      <c r="D188" s="141">
        <v>920000</v>
      </c>
      <c r="E188" s="20" t="s">
        <v>427</v>
      </c>
      <c r="F188" s="20" t="s">
        <v>194</v>
      </c>
      <c r="G188" s="8" t="str">
        <f t="shared" si="2"/>
        <v>DAVIS MICHAEL</v>
      </c>
    </row>
    <row r="189" spans="1:7" x14ac:dyDescent="0.25">
      <c r="A189" s="8">
        <v>42891.726886574077</v>
      </c>
      <c r="B189" s="20" t="s">
        <v>462</v>
      </c>
      <c r="C189" s="20" t="s">
        <v>615</v>
      </c>
      <c r="D189" s="141">
        <v>2360000</v>
      </c>
      <c r="E189" s="20" t="s">
        <v>514</v>
      </c>
      <c r="F189" s="20" t="s">
        <v>515</v>
      </c>
      <c r="G189" s="8" t="str">
        <f t="shared" si="2"/>
        <v>BRANDNER MELINDA</v>
      </c>
    </row>
    <row r="190" spans="1:7" x14ac:dyDescent="0.25">
      <c r="A190" s="8">
        <v>42891.734282407408</v>
      </c>
      <c r="B190" s="20" t="s">
        <v>601</v>
      </c>
      <c r="C190" s="20" t="s">
        <v>780</v>
      </c>
      <c r="D190" s="141">
        <v>1300000</v>
      </c>
      <c r="E190" s="20" t="s">
        <v>739</v>
      </c>
      <c r="F190" s="20" t="s">
        <v>740</v>
      </c>
      <c r="G190" s="8" t="str">
        <f t="shared" si="2"/>
        <v>LEVIN SCOTT</v>
      </c>
    </row>
    <row r="191" spans="1:7" x14ac:dyDescent="0.25">
      <c r="A191" s="8">
        <v>42891.736678240741</v>
      </c>
      <c r="B191" s="20" t="s">
        <v>425</v>
      </c>
      <c r="C191" s="20" t="s">
        <v>781</v>
      </c>
      <c r="D191" s="141">
        <v>2140000</v>
      </c>
      <c r="E191" s="20" t="s">
        <v>421</v>
      </c>
      <c r="F191" s="20" t="s">
        <v>422</v>
      </c>
      <c r="G191" s="8" t="str">
        <f t="shared" si="2"/>
        <v>ROBINSON KADDIBA</v>
      </c>
    </row>
    <row r="192" spans="1:7" x14ac:dyDescent="0.25">
      <c r="A192" s="8">
        <v>42891.737546296295</v>
      </c>
      <c r="B192" s="20" t="s">
        <v>503</v>
      </c>
      <c r="C192" s="20" t="s">
        <v>616</v>
      </c>
      <c r="D192" s="141">
        <v>3030000</v>
      </c>
      <c r="E192" s="20" t="s">
        <v>387</v>
      </c>
      <c r="F192" s="20" t="s">
        <v>372</v>
      </c>
      <c r="G192" s="8" t="str">
        <f t="shared" si="2"/>
        <v>BIRENBAUM THOMAS</v>
      </c>
    </row>
    <row r="193" spans="1:7" x14ac:dyDescent="0.25">
      <c r="A193" s="8">
        <v>42891.739074074074</v>
      </c>
      <c r="B193" s="20" t="s">
        <v>609</v>
      </c>
      <c r="C193" s="20" t="s">
        <v>782</v>
      </c>
      <c r="D193" s="141">
        <v>2230000</v>
      </c>
      <c r="E193" s="20" t="s">
        <v>344</v>
      </c>
      <c r="F193" s="20" t="s">
        <v>194</v>
      </c>
      <c r="G193" s="8" t="str">
        <f t="shared" si="2"/>
        <v>SMITH MICHAEL</v>
      </c>
    </row>
    <row r="194" spans="1:7" x14ac:dyDescent="0.25">
      <c r="A194" s="8">
        <v>42891.741435185184</v>
      </c>
      <c r="B194" s="20" t="s">
        <v>341</v>
      </c>
      <c r="C194" s="20" t="s">
        <v>783</v>
      </c>
      <c r="D194" s="141">
        <v>2000000</v>
      </c>
      <c r="E194" s="20" t="s">
        <v>426</v>
      </c>
      <c r="F194" s="20" t="s">
        <v>191</v>
      </c>
      <c r="G194" s="8" t="str">
        <f t="shared" si="2"/>
        <v>STAMBAUGH JAMES</v>
      </c>
    </row>
    <row r="195" spans="1:7" x14ac:dyDescent="0.25">
      <c r="A195" s="8">
        <v>42891.743506944447</v>
      </c>
      <c r="B195" s="20" t="s">
        <v>488</v>
      </c>
      <c r="C195" s="20" t="s">
        <v>617</v>
      </c>
      <c r="D195" s="141">
        <v>1180000</v>
      </c>
      <c r="E195" s="20" t="s">
        <v>726</v>
      </c>
      <c r="F195" s="20" t="s">
        <v>727</v>
      </c>
      <c r="G195" s="8" t="str">
        <f t="shared" ref="G195:G258" si="3">E195&amp;" "&amp;F195</f>
        <v>LEVERE CRAIG</v>
      </c>
    </row>
    <row r="196" spans="1:7" x14ac:dyDescent="0.25">
      <c r="A196" s="8">
        <v>42891.745520833334</v>
      </c>
      <c r="B196" s="20" t="s">
        <v>580</v>
      </c>
      <c r="C196" s="20" t="s">
        <v>784</v>
      </c>
      <c r="D196" s="141">
        <v>2540000</v>
      </c>
      <c r="E196" s="20" t="s">
        <v>516</v>
      </c>
      <c r="F196" s="20" t="s">
        <v>517</v>
      </c>
      <c r="G196" s="8" t="str">
        <f t="shared" si="3"/>
        <v>MCREYNOLDS KYLE</v>
      </c>
    </row>
    <row r="197" spans="1:7" x14ac:dyDescent="0.25">
      <c r="A197" s="8">
        <v>42891.75240740741</v>
      </c>
      <c r="B197" s="20" t="s">
        <v>374</v>
      </c>
      <c r="C197" s="20" t="s">
        <v>785</v>
      </c>
      <c r="D197" s="141">
        <v>1770000</v>
      </c>
      <c r="E197" s="20" t="s">
        <v>512</v>
      </c>
      <c r="F197" s="20" t="s">
        <v>513</v>
      </c>
      <c r="G197" s="8" t="str">
        <f t="shared" si="3"/>
        <v>BRUDER RICHARD</v>
      </c>
    </row>
    <row r="198" spans="1:7" x14ac:dyDescent="0.25">
      <c r="A198" s="8">
        <v>42891.756597222222</v>
      </c>
      <c r="B198" s="20" t="s">
        <v>342</v>
      </c>
      <c r="C198" s="20" t="s">
        <v>786</v>
      </c>
      <c r="D198" s="141">
        <v>2000000</v>
      </c>
      <c r="E198" s="20" t="s">
        <v>426</v>
      </c>
      <c r="F198" s="20" t="s">
        <v>191</v>
      </c>
      <c r="G198" s="8" t="str">
        <f t="shared" si="3"/>
        <v>STAMBAUGH JAMES</v>
      </c>
    </row>
    <row r="199" spans="1:7" x14ac:dyDescent="0.25">
      <c r="A199" s="8">
        <v>42891.757430555554</v>
      </c>
      <c r="B199" s="20" t="s">
        <v>544</v>
      </c>
      <c r="C199" s="20" t="s">
        <v>787</v>
      </c>
      <c r="D199" s="141">
        <v>2090000</v>
      </c>
      <c r="E199" s="20" t="s">
        <v>545</v>
      </c>
      <c r="F199" s="20" t="s">
        <v>194</v>
      </c>
      <c r="G199" s="8" t="str">
        <f t="shared" si="3"/>
        <v>HAITHCOX MICHAEL</v>
      </c>
    </row>
    <row r="200" spans="1:7" x14ac:dyDescent="0.25">
      <c r="A200" s="8">
        <v>42891.763321759259</v>
      </c>
      <c r="B200" s="20" t="s">
        <v>598</v>
      </c>
      <c r="C200" s="20" t="s">
        <v>788</v>
      </c>
      <c r="D200" s="141">
        <v>1300000</v>
      </c>
      <c r="E200" s="20" t="s">
        <v>739</v>
      </c>
      <c r="F200" s="20" t="s">
        <v>740</v>
      </c>
      <c r="G200" s="8" t="str">
        <f t="shared" si="3"/>
        <v>LEVIN SCOTT</v>
      </c>
    </row>
    <row r="201" spans="1:7" x14ac:dyDescent="0.25">
      <c r="A201" s="8">
        <v>42891.765138888892</v>
      </c>
      <c r="B201" s="20" t="s">
        <v>467</v>
      </c>
      <c r="C201" s="20" t="s">
        <v>789</v>
      </c>
      <c r="D201" s="141">
        <v>2360000</v>
      </c>
      <c r="E201" s="20" t="s">
        <v>514</v>
      </c>
      <c r="F201" s="20" t="s">
        <v>515</v>
      </c>
      <c r="G201" s="8" t="str">
        <f t="shared" si="3"/>
        <v>BRANDNER MELINDA</v>
      </c>
    </row>
    <row r="202" spans="1:7" x14ac:dyDescent="0.25">
      <c r="A202" s="26">
        <v>42891.768217592595</v>
      </c>
      <c r="B202" s="20" t="s">
        <v>362</v>
      </c>
      <c r="C202" s="20" t="s">
        <v>790</v>
      </c>
      <c r="D202" s="141">
        <v>2970000</v>
      </c>
      <c r="E202" s="20" t="s">
        <v>385</v>
      </c>
      <c r="F202" s="20" t="s">
        <v>386</v>
      </c>
      <c r="G202" s="8" t="str">
        <f t="shared" si="3"/>
        <v>GUZMAN DANNY</v>
      </c>
    </row>
    <row r="203" spans="1:7" x14ac:dyDescent="0.25">
      <c r="A203" s="8">
        <v>42891.771574074075</v>
      </c>
      <c r="B203" s="20" t="s">
        <v>620</v>
      </c>
      <c r="C203" s="20" t="s">
        <v>621</v>
      </c>
      <c r="D203" s="141">
        <v>2230000</v>
      </c>
      <c r="E203" s="20" t="s">
        <v>344</v>
      </c>
      <c r="F203" s="20" t="s">
        <v>194</v>
      </c>
      <c r="G203" s="8" t="str">
        <f t="shared" si="3"/>
        <v>SMITH MICHAEL</v>
      </c>
    </row>
    <row r="204" spans="1:7" x14ac:dyDescent="0.25">
      <c r="A204" s="8">
        <v>42891.775277777779</v>
      </c>
      <c r="B204" s="20" t="s">
        <v>601</v>
      </c>
      <c r="C204" s="20" t="s">
        <v>618</v>
      </c>
      <c r="D204" s="141">
        <v>1300000</v>
      </c>
      <c r="E204" s="20" t="s">
        <v>739</v>
      </c>
      <c r="F204" s="20" t="s">
        <v>740</v>
      </c>
      <c r="G204" s="8" t="str">
        <f t="shared" si="3"/>
        <v>LEVIN SCOTT</v>
      </c>
    </row>
    <row r="205" spans="1:7" x14ac:dyDescent="0.25">
      <c r="A205" s="8">
        <v>42891.779050925928</v>
      </c>
      <c r="B205" s="20" t="s">
        <v>341</v>
      </c>
      <c r="C205" s="20" t="s">
        <v>619</v>
      </c>
      <c r="D205" s="141">
        <v>2000000</v>
      </c>
      <c r="E205" s="20" t="s">
        <v>426</v>
      </c>
      <c r="F205" s="20" t="s">
        <v>191</v>
      </c>
      <c r="G205" s="8" t="str">
        <f t="shared" si="3"/>
        <v>STAMBAUGH JAMES</v>
      </c>
    </row>
    <row r="206" spans="1:7" x14ac:dyDescent="0.25">
      <c r="A206" s="8">
        <v>42891.77925925926</v>
      </c>
      <c r="B206" s="20" t="s">
        <v>407</v>
      </c>
      <c r="C206" s="20" t="s">
        <v>757</v>
      </c>
      <c r="D206" s="141">
        <v>1180000</v>
      </c>
      <c r="E206" s="20" t="s">
        <v>726</v>
      </c>
      <c r="F206" s="20" t="s">
        <v>727</v>
      </c>
      <c r="G206" s="8" t="str">
        <f t="shared" si="3"/>
        <v>LEVERE CRAIG</v>
      </c>
    </row>
    <row r="207" spans="1:7" x14ac:dyDescent="0.25">
      <c r="A207" s="8">
        <v>42891.78056712963</v>
      </c>
      <c r="B207" s="20" t="s">
        <v>407</v>
      </c>
      <c r="C207" s="20" t="s">
        <v>791</v>
      </c>
      <c r="D207" s="141">
        <v>1180000</v>
      </c>
      <c r="E207" s="20" t="s">
        <v>726</v>
      </c>
      <c r="F207" s="20" t="s">
        <v>727</v>
      </c>
      <c r="G207" s="8" t="str">
        <f t="shared" si="3"/>
        <v>LEVERE CRAIG</v>
      </c>
    </row>
    <row r="208" spans="1:7" x14ac:dyDescent="0.25">
      <c r="A208" s="8">
        <v>42891.782256944447</v>
      </c>
      <c r="B208" s="20" t="s">
        <v>407</v>
      </c>
      <c r="C208" s="20" t="s">
        <v>791</v>
      </c>
      <c r="D208" s="141">
        <v>1180000</v>
      </c>
      <c r="E208" s="20" t="s">
        <v>726</v>
      </c>
      <c r="F208" s="20" t="s">
        <v>727</v>
      </c>
      <c r="G208" s="8" t="str">
        <f t="shared" si="3"/>
        <v>LEVERE CRAIG</v>
      </c>
    </row>
    <row r="209" spans="1:7" x14ac:dyDescent="0.25">
      <c r="A209" s="8">
        <v>42891.784837962965</v>
      </c>
      <c r="B209" s="20" t="s">
        <v>590</v>
      </c>
      <c r="C209" s="20" t="s">
        <v>792</v>
      </c>
      <c r="D209" s="141">
        <v>2540000</v>
      </c>
      <c r="E209" s="20" t="s">
        <v>516</v>
      </c>
      <c r="F209" s="20" t="s">
        <v>517</v>
      </c>
      <c r="G209" s="8" t="str">
        <f t="shared" si="3"/>
        <v>MCREYNOLDS KYLE</v>
      </c>
    </row>
    <row r="210" spans="1:7" x14ac:dyDescent="0.25">
      <c r="A210" s="8">
        <v>42891.786793981482</v>
      </c>
      <c r="B210" s="20" t="s">
        <v>380</v>
      </c>
      <c r="C210" s="20" t="s">
        <v>793</v>
      </c>
      <c r="D210" s="141">
        <v>2620000</v>
      </c>
      <c r="E210" s="20" t="s">
        <v>518</v>
      </c>
      <c r="F210" s="20" t="s">
        <v>519</v>
      </c>
      <c r="G210" s="8" t="str">
        <f t="shared" si="3"/>
        <v>PERKINS DARREN</v>
      </c>
    </row>
    <row r="211" spans="1:7" x14ac:dyDescent="0.25">
      <c r="A211" s="8">
        <v>42891.793993055559</v>
      </c>
      <c r="B211" s="20" t="s">
        <v>588</v>
      </c>
      <c r="C211" s="20" t="s">
        <v>794</v>
      </c>
      <c r="D211" s="141">
        <v>2090000</v>
      </c>
      <c r="E211" s="20" t="s">
        <v>545</v>
      </c>
      <c r="F211" s="20" t="s">
        <v>194</v>
      </c>
      <c r="G211" s="8" t="str">
        <f t="shared" si="3"/>
        <v>HAITHCOX MICHAEL</v>
      </c>
    </row>
    <row r="212" spans="1:7" x14ac:dyDescent="0.25">
      <c r="A212" s="8">
        <v>42891.794108796297</v>
      </c>
      <c r="B212" s="20" t="s">
        <v>504</v>
      </c>
      <c r="C212" s="20" t="s">
        <v>795</v>
      </c>
      <c r="D212" s="141">
        <v>3030000</v>
      </c>
      <c r="E212" s="20" t="s">
        <v>387</v>
      </c>
      <c r="F212" s="20" t="s">
        <v>372</v>
      </c>
      <c r="G212" s="8" t="str">
        <f t="shared" si="3"/>
        <v>BIRENBAUM THOMAS</v>
      </c>
    </row>
    <row r="213" spans="1:7" x14ac:dyDescent="0.25">
      <c r="A213" s="8">
        <v>42891.797789351855</v>
      </c>
      <c r="B213" s="20" t="s">
        <v>503</v>
      </c>
      <c r="C213" s="20" t="s">
        <v>795</v>
      </c>
      <c r="D213" s="141">
        <v>3030000</v>
      </c>
      <c r="E213" s="20" t="s">
        <v>387</v>
      </c>
      <c r="F213" s="20" t="s">
        <v>372</v>
      </c>
      <c r="G213" s="8" t="str">
        <f t="shared" si="3"/>
        <v>BIRENBAUM THOMAS</v>
      </c>
    </row>
    <row r="214" spans="1:7" x14ac:dyDescent="0.25">
      <c r="A214" s="8">
        <v>42891.799259259256</v>
      </c>
      <c r="B214" s="20" t="s">
        <v>462</v>
      </c>
      <c r="C214" s="20" t="s">
        <v>796</v>
      </c>
      <c r="D214" s="141">
        <v>2360000</v>
      </c>
      <c r="E214" s="20" t="s">
        <v>514</v>
      </c>
      <c r="F214" s="20" t="s">
        <v>515</v>
      </c>
      <c r="G214" s="8" t="str">
        <f t="shared" si="3"/>
        <v>BRANDNER MELINDA</v>
      </c>
    </row>
    <row r="215" spans="1:7" x14ac:dyDescent="0.25">
      <c r="A215" s="8">
        <v>42891.799409722225</v>
      </c>
      <c r="B215" s="20" t="s">
        <v>425</v>
      </c>
      <c r="C215" s="20" t="s">
        <v>797</v>
      </c>
      <c r="D215" s="141">
        <v>2970000</v>
      </c>
      <c r="E215" s="20" t="s">
        <v>385</v>
      </c>
      <c r="F215" s="20" t="s">
        <v>386</v>
      </c>
      <c r="G215" s="8" t="str">
        <f t="shared" si="3"/>
        <v>GUZMAN DANNY</v>
      </c>
    </row>
    <row r="216" spans="1:7" x14ac:dyDescent="0.25">
      <c r="A216" s="8">
        <v>42891.799641203703</v>
      </c>
      <c r="B216" s="20" t="s">
        <v>342</v>
      </c>
      <c r="C216" s="20" t="s">
        <v>798</v>
      </c>
      <c r="D216" s="141">
        <v>2000000</v>
      </c>
      <c r="E216" s="20" t="s">
        <v>426</v>
      </c>
      <c r="F216" s="20" t="s">
        <v>191</v>
      </c>
      <c r="G216" s="8" t="str">
        <f t="shared" si="3"/>
        <v>STAMBAUGH JAMES</v>
      </c>
    </row>
    <row r="217" spans="1:7" x14ac:dyDescent="0.25">
      <c r="A217" s="8">
        <v>42891.80400462963</v>
      </c>
      <c r="B217" s="20" t="s">
        <v>598</v>
      </c>
      <c r="C217" s="20" t="s">
        <v>799</v>
      </c>
      <c r="D217" s="141">
        <v>1300000</v>
      </c>
      <c r="E217" s="20" t="s">
        <v>739</v>
      </c>
      <c r="F217" s="20" t="s">
        <v>740</v>
      </c>
      <c r="G217" s="8" t="str">
        <f t="shared" si="3"/>
        <v>LEVIN SCOTT</v>
      </c>
    </row>
    <row r="218" spans="1:7" x14ac:dyDescent="0.25">
      <c r="A218" s="8">
        <v>42891.806759259256</v>
      </c>
      <c r="B218" s="20" t="s">
        <v>504</v>
      </c>
      <c r="C218" s="20" t="s">
        <v>800</v>
      </c>
      <c r="D218" s="141">
        <v>2230000</v>
      </c>
      <c r="E218" s="20" t="s">
        <v>344</v>
      </c>
      <c r="F218" s="20" t="s">
        <v>194</v>
      </c>
      <c r="G218" s="8" t="str">
        <f t="shared" si="3"/>
        <v>SMITH MICHAEL</v>
      </c>
    </row>
    <row r="219" spans="1:7" x14ac:dyDescent="0.25">
      <c r="A219" s="8">
        <v>42891.818472222221</v>
      </c>
      <c r="B219" s="20" t="s">
        <v>601</v>
      </c>
      <c r="C219" s="20" t="s">
        <v>622</v>
      </c>
      <c r="D219" s="141">
        <v>1300000</v>
      </c>
      <c r="E219" s="20" t="s">
        <v>739</v>
      </c>
      <c r="F219" s="20" t="s">
        <v>740</v>
      </c>
      <c r="G219" s="8" t="str">
        <f t="shared" si="3"/>
        <v>LEVIN SCOTT</v>
      </c>
    </row>
    <row r="220" spans="1:7" x14ac:dyDescent="0.25">
      <c r="A220" s="8">
        <v>42891.821967592594</v>
      </c>
      <c r="B220" s="20" t="s">
        <v>609</v>
      </c>
      <c r="C220" s="20" t="s">
        <v>801</v>
      </c>
      <c r="D220" s="141">
        <v>2540000</v>
      </c>
      <c r="E220" s="20" t="s">
        <v>516</v>
      </c>
      <c r="F220" s="20" t="s">
        <v>517</v>
      </c>
      <c r="G220" s="8" t="str">
        <f t="shared" si="3"/>
        <v>MCREYNOLDS KYLE</v>
      </c>
    </row>
    <row r="221" spans="1:7" x14ac:dyDescent="0.25">
      <c r="A221" s="8">
        <v>42891.822534722225</v>
      </c>
      <c r="B221" s="20" t="s">
        <v>609</v>
      </c>
      <c r="C221" s="20" t="s">
        <v>801</v>
      </c>
      <c r="D221" s="141">
        <v>2540000</v>
      </c>
      <c r="E221" s="20" t="s">
        <v>516</v>
      </c>
      <c r="F221" s="20" t="s">
        <v>517</v>
      </c>
      <c r="G221" s="8" t="str">
        <f t="shared" si="3"/>
        <v>MCREYNOLDS KYLE</v>
      </c>
    </row>
    <row r="222" spans="1:7" x14ac:dyDescent="0.25">
      <c r="A222" s="8">
        <v>42891.824270833335</v>
      </c>
      <c r="B222" s="20" t="s">
        <v>609</v>
      </c>
      <c r="C222" s="20" t="s">
        <v>801</v>
      </c>
      <c r="D222" s="141">
        <v>2540000</v>
      </c>
      <c r="E222" s="20" t="s">
        <v>516</v>
      </c>
      <c r="F222" s="20" t="s">
        <v>517</v>
      </c>
      <c r="G222" s="8" t="str">
        <f t="shared" si="3"/>
        <v>MCREYNOLDS KYLE</v>
      </c>
    </row>
    <row r="223" spans="1:7" x14ac:dyDescent="0.25">
      <c r="A223" s="8">
        <v>42891.82539351852</v>
      </c>
      <c r="B223" s="20" t="s">
        <v>374</v>
      </c>
      <c r="C223" s="20" t="s">
        <v>802</v>
      </c>
      <c r="D223" s="141">
        <v>2620000</v>
      </c>
      <c r="E223" s="20" t="s">
        <v>518</v>
      </c>
      <c r="F223" s="20" t="s">
        <v>519</v>
      </c>
      <c r="G223" s="8" t="str">
        <f t="shared" si="3"/>
        <v>PERKINS DARREN</v>
      </c>
    </row>
    <row r="224" spans="1:7" x14ac:dyDescent="0.25">
      <c r="A224" s="8">
        <v>42891.829259259262</v>
      </c>
      <c r="B224" t="s">
        <v>544</v>
      </c>
      <c r="C224" t="s">
        <v>803</v>
      </c>
      <c r="D224" s="141">
        <v>2090000</v>
      </c>
      <c r="E224" t="s">
        <v>545</v>
      </c>
      <c r="F224" s="20" t="s">
        <v>194</v>
      </c>
      <c r="G224" s="8" t="str">
        <f t="shared" si="3"/>
        <v>HAITHCOX MICHAEL</v>
      </c>
    </row>
    <row r="225" spans="1:7" x14ac:dyDescent="0.25">
      <c r="A225" s="8">
        <v>42891.839918981481</v>
      </c>
      <c r="B225" t="s">
        <v>362</v>
      </c>
      <c r="C225" t="s">
        <v>804</v>
      </c>
      <c r="D225" s="141">
        <v>2970000</v>
      </c>
      <c r="E225" t="s">
        <v>385</v>
      </c>
      <c r="F225" s="20" t="s">
        <v>386</v>
      </c>
      <c r="G225" s="8" t="str">
        <f t="shared" si="3"/>
        <v>GUZMAN DANNY</v>
      </c>
    </row>
    <row r="226" spans="1:7" x14ac:dyDescent="0.25">
      <c r="A226" s="8">
        <v>42891.843877314815</v>
      </c>
      <c r="B226" t="s">
        <v>598</v>
      </c>
      <c r="C226" t="s">
        <v>805</v>
      </c>
      <c r="D226" s="141">
        <v>1300000</v>
      </c>
      <c r="E226" t="s">
        <v>739</v>
      </c>
      <c r="F226" s="20" t="s">
        <v>740</v>
      </c>
      <c r="G226" s="8" t="str">
        <f t="shared" si="3"/>
        <v>LEVIN SCOTT</v>
      </c>
    </row>
    <row r="227" spans="1:7" x14ac:dyDescent="0.25">
      <c r="A227" s="8">
        <v>42891.845451388886</v>
      </c>
      <c r="B227" t="s">
        <v>503</v>
      </c>
      <c r="C227" t="s">
        <v>806</v>
      </c>
      <c r="D227" s="141">
        <v>2230000</v>
      </c>
      <c r="E227" t="s">
        <v>344</v>
      </c>
      <c r="F227" s="20" t="s">
        <v>194</v>
      </c>
      <c r="G227" s="8" t="str">
        <f t="shared" si="3"/>
        <v>SMITH MICHAEL</v>
      </c>
    </row>
    <row r="228" spans="1:7" x14ac:dyDescent="0.25">
      <c r="A228" s="8">
        <v>42891.858576388891</v>
      </c>
      <c r="B228" t="s">
        <v>601</v>
      </c>
      <c r="C228" t="s">
        <v>807</v>
      </c>
      <c r="D228" s="141">
        <v>1300000</v>
      </c>
      <c r="E228" t="s">
        <v>739</v>
      </c>
      <c r="F228" s="20" t="s">
        <v>740</v>
      </c>
      <c r="G228" s="8" t="str">
        <f t="shared" si="3"/>
        <v>LEVIN SCOTT</v>
      </c>
    </row>
    <row r="229" spans="1:7" x14ac:dyDescent="0.25">
      <c r="A229" s="8">
        <v>42891.866238425922</v>
      </c>
      <c r="B229" t="s">
        <v>588</v>
      </c>
      <c r="C229" t="s">
        <v>808</v>
      </c>
      <c r="D229" s="141">
        <v>2090000</v>
      </c>
      <c r="E229" t="s">
        <v>545</v>
      </c>
      <c r="F229" s="20" t="s">
        <v>194</v>
      </c>
      <c r="G229" s="8" t="str">
        <f t="shared" si="3"/>
        <v>HAITHCOX MICHAEL</v>
      </c>
    </row>
    <row r="230" spans="1:7" x14ac:dyDescent="0.25">
      <c r="A230" s="8">
        <v>42891.868356481478</v>
      </c>
      <c r="B230" t="s">
        <v>580</v>
      </c>
      <c r="C230" t="s">
        <v>795</v>
      </c>
      <c r="D230" s="141">
        <v>3030000</v>
      </c>
      <c r="E230" t="s">
        <v>387</v>
      </c>
      <c r="F230" s="20" t="s">
        <v>372</v>
      </c>
      <c r="G230" s="8" t="str">
        <f t="shared" si="3"/>
        <v>BIRENBAUM THOMAS</v>
      </c>
    </row>
    <row r="231" spans="1:7" x14ac:dyDescent="0.25">
      <c r="A231" s="8">
        <v>42891.869421296295</v>
      </c>
      <c r="B231" t="s">
        <v>380</v>
      </c>
      <c r="C231" t="s">
        <v>623</v>
      </c>
      <c r="D231" s="141">
        <v>2620000</v>
      </c>
      <c r="E231" t="s">
        <v>518</v>
      </c>
      <c r="F231" s="20" t="s">
        <v>519</v>
      </c>
      <c r="G231" s="8" t="str">
        <f t="shared" si="3"/>
        <v>PERKINS DARREN</v>
      </c>
    </row>
    <row r="232" spans="1:7" x14ac:dyDescent="0.25">
      <c r="A232" s="8">
        <v>42891.871493055558</v>
      </c>
      <c r="B232" t="s">
        <v>590</v>
      </c>
      <c r="C232" t="s">
        <v>795</v>
      </c>
      <c r="D232" s="141">
        <v>3030000</v>
      </c>
      <c r="E232" t="s">
        <v>387</v>
      </c>
      <c r="F232" s="20" t="s">
        <v>372</v>
      </c>
      <c r="G232" s="8" t="str">
        <f t="shared" si="3"/>
        <v>BIRENBAUM THOMAS</v>
      </c>
    </row>
    <row r="233" spans="1:7" x14ac:dyDescent="0.25">
      <c r="A233" s="8">
        <v>42891.875763888886</v>
      </c>
      <c r="B233" t="s">
        <v>598</v>
      </c>
      <c r="C233" t="s">
        <v>809</v>
      </c>
      <c r="D233" s="141">
        <v>2000000</v>
      </c>
      <c r="E233" t="s">
        <v>426</v>
      </c>
      <c r="F233" s="20" t="s">
        <v>191</v>
      </c>
      <c r="G233" s="8" t="str">
        <f t="shared" si="3"/>
        <v>STAMBAUGH JAMES</v>
      </c>
    </row>
    <row r="234" spans="1:7" x14ac:dyDescent="0.25">
      <c r="A234" s="8">
        <v>42891.886041666665</v>
      </c>
      <c r="B234" t="s">
        <v>580</v>
      </c>
      <c r="C234" t="s">
        <v>810</v>
      </c>
      <c r="D234" s="141">
        <v>2230000</v>
      </c>
      <c r="E234" t="s">
        <v>344</v>
      </c>
      <c r="F234" s="20" t="s">
        <v>194</v>
      </c>
      <c r="G234" s="8" t="str">
        <f t="shared" si="3"/>
        <v>SMITH MICHAEL</v>
      </c>
    </row>
    <row r="235" spans="1:7" x14ac:dyDescent="0.25">
      <c r="A235" s="8">
        <v>42891.886273148149</v>
      </c>
      <c r="B235" t="s">
        <v>425</v>
      </c>
      <c r="C235" t="s">
        <v>625</v>
      </c>
      <c r="D235" s="141">
        <v>2970000</v>
      </c>
      <c r="E235" t="s">
        <v>385</v>
      </c>
      <c r="F235" s="20" t="s">
        <v>386</v>
      </c>
      <c r="G235" s="8" t="str">
        <f t="shared" si="3"/>
        <v>GUZMAN DANNY</v>
      </c>
    </row>
    <row r="236" spans="1:7" x14ac:dyDescent="0.25">
      <c r="A236" s="8">
        <v>42891.902442129627</v>
      </c>
      <c r="B236" t="s">
        <v>601</v>
      </c>
      <c r="C236" t="s">
        <v>624</v>
      </c>
      <c r="D236" s="141">
        <v>2000000</v>
      </c>
      <c r="E236" t="s">
        <v>426</v>
      </c>
      <c r="F236" s="20" t="s">
        <v>191</v>
      </c>
      <c r="G236" s="8" t="str">
        <f t="shared" si="3"/>
        <v>STAMBAUGH JAMES</v>
      </c>
    </row>
    <row r="237" spans="1:7" x14ac:dyDescent="0.25">
      <c r="A237" s="8">
        <v>42891.904537037037</v>
      </c>
      <c r="B237" t="s">
        <v>544</v>
      </c>
      <c r="C237" t="s">
        <v>626</v>
      </c>
      <c r="D237" s="141">
        <v>2090000</v>
      </c>
      <c r="E237" t="s">
        <v>545</v>
      </c>
      <c r="F237" s="20" t="s">
        <v>194</v>
      </c>
      <c r="G237" s="8" t="str">
        <f t="shared" si="3"/>
        <v>HAITHCOX MICHAEL</v>
      </c>
    </row>
    <row r="238" spans="1:7" x14ac:dyDescent="0.25">
      <c r="A238" s="8">
        <v>42891.908321759256</v>
      </c>
      <c r="B238" t="s">
        <v>374</v>
      </c>
      <c r="C238" t="s">
        <v>811</v>
      </c>
      <c r="D238" s="141">
        <v>2620000</v>
      </c>
      <c r="E238" t="s">
        <v>518</v>
      </c>
      <c r="F238" s="20" t="s">
        <v>519</v>
      </c>
      <c r="G238" s="8" t="str">
        <f t="shared" si="3"/>
        <v>PERKINS DARREN</v>
      </c>
    </row>
    <row r="239" spans="1:7" x14ac:dyDescent="0.25">
      <c r="A239" s="8">
        <v>42891.916631944441</v>
      </c>
      <c r="B239" t="s">
        <v>598</v>
      </c>
      <c r="C239" t="s">
        <v>812</v>
      </c>
      <c r="D239" s="141">
        <v>2000000</v>
      </c>
      <c r="E239" t="s">
        <v>426</v>
      </c>
      <c r="F239" s="20" t="s">
        <v>191</v>
      </c>
      <c r="G239" s="8" t="str">
        <f t="shared" si="3"/>
        <v>STAMBAUGH JAMES</v>
      </c>
    </row>
    <row r="240" spans="1:7" x14ac:dyDescent="0.25">
      <c r="A240" s="8">
        <v>42891.925798611112</v>
      </c>
      <c r="B240" t="s">
        <v>362</v>
      </c>
      <c r="C240" t="s">
        <v>813</v>
      </c>
      <c r="D240" s="141">
        <v>2970000</v>
      </c>
      <c r="E240" t="s">
        <v>385</v>
      </c>
      <c r="F240" s="20" t="s">
        <v>386</v>
      </c>
      <c r="G240" s="8" t="str">
        <f t="shared" si="3"/>
        <v>GUZMAN DANNY</v>
      </c>
    </row>
    <row r="241" spans="1:7" x14ac:dyDescent="0.25">
      <c r="A241" s="8">
        <v>42891.928854166668</v>
      </c>
      <c r="B241" t="s">
        <v>590</v>
      </c>
      <c r="C241" t="s">
        <v>627</v>
      </c>
      <c r="D241" s="141">
        <v>2230000</v>
      </c>
      <c r="E241" t="s">
        <v>344</v>
      </c>
      <c r="F241" s="20" t="s">
        <v>194</v>
      </c>
      <c r="G241" s="8" t="str">
        <f t="shared" si="3"/>
        <v>SMITH MICHAEL</v>
      </c>
    </row>
    <row r="242" spans="1:7" x14ac:dyDescent="0.25">
      <c r="A242" s="8">
        <v>42891.943472222221</v>
      </c>
      <c r="B242" t="s">
        <v>601</v>
      </c>
      <c r="C242" t="s">
        <v>814</v>
      </c>
      <c r="D242" s="141">
        <v>2000000</v>
      </c>
      <c r="E242" t="s">
        <v>426</v>
      </c>
      <c r="F242" s="20" t="s">
        <v>191</v>
      </c>
      <c r="G242" s="8" t="str">
        <f t="shared" si="3"/>
        <v>STAMBAUGH JAMES</v>
      </c>
    </row>
    <row r="243" spans="1:7" x14ac:dyDescent="0.25">
      <c r="A243" s="8">
        <v>42891.947326388887</v>
      </c>
      <c r="B243" t="s">
        <v>588</v>
      </c>
      <c r="C243" t="s">
        <v>815</v>
      </c>
      <c r="D243" s="141">
        <v>2090000</v>
      </c>
      <c r="E243" t="s">
        <v>545</v>
      </c>
      <c r="F243" s="20" t="s">
        <v>194</v>
      </c>
      <c r="G243" s="8" t="str">
        <f t="shared" si="3"/>
        <v>HAITHCOX MICHAEL</v>
      </c>
    </row>
    <row r="244" spans="1:7" x14ac:dyDescent="0.25">
      <c r="A244" s="8">
        <v>42891.952164351853</v>
      </c>
      <c r="B244" t="s">
        <v>380</v>
      </c>
      <c r="C244" t="s">
        <v>816</v>
      </c>
      <c r="D244" s="141">
        <v>2620000</v>
      </c>
      <c r="E244" t="s">
        <v>518</v>
      </c>
      <c r="F244" s="20" t="s">
        <v>519</v>
      </c>
      <c r="G244" s="8" t="str">
        <f t="shared" si="3"/>
        <v>PERKINS DARREN</v>
      </c>
    </row>
    <row r="245" spans="1:7" x14ac:dyDescent="0.25">
      <c r="A245" s="8">
        <v>42891.969502314816</v>
      </c>
      <c r="B245" t="s">
        <v>425</v>
      </c>
      <c r="C245" t="s">
        <v>817</v>
      </c>
      <c r="D245" s="141">
        <v>2970000</v>
      </c>
      <c r="E245" t="s">
        <v>385</v>
      </c>
      <c r="F245" s="20" t="s">
        <v>386</v>
      </c>
      <c r="G245" s="8" t="str">
        <f t="shared" si="3"/>
        <v>GUZMAN DANNY</v>
      </c>
    </row>
    <row r="246" spans="1:7" x14ac:dyDescent="0.25">
      <c r="A246" s="8">
        <v>42891.970509259256</v>
      </c>
      <c r="B246" t="s">
        <v>580</v>
      </c>
      <c r="C246" t="s">
        <v>628</v>
      </c>
      <c r="D246" s="141">
        <v>2230000</v>
      </c>
      <c r="E246" t="s">
        <v>344</v>
      </c>
      <c r="F246" s="20" t="s">
        <v>194</v>
      </c>
      <c r="G246" s="8" t="str">
        <f t="shared" si="3"/>
        <v>SMITH MICHAEL</v>
      </c>
    </row>
    <row r="247" spans="1:7" x14ac:dyDescent="0.25">
      <c r="A247" s="8">
        <v>42891.986921296295</v>
      </c>
      <c r="B247" t="s">
        <v>544</v>
      </c>
      <c r="C247" t="s">
        <v>629</v>
      </c>
      <c r="D247" s="141">
        <v>2090000</v>
      </c>
      <c r="E247" t="s">
        <v>545</v>
      </c>
      <c r="F247" s="20" t="s">
        <v>194</v>
      </c>
      <c r="G247" s="8" t="str">
        <f t="shared" si="3"/>
        <v>HAITHCOX MICHAEL</v>
      </c>
    </row>
    <row r="248" spans="1:7" x14ac:dyDescent="0.25">
      <c r="A248" s="8">
        <v>42891.994363425925</v>
      </c>
      <c r="B248" t="s">
        <v>374</v>
      </c>
      <c r="C248" t="s">
        <v>818</v>
      </c>
      <c r="D248" s="141">
        <v>2620000</v>
      </c>
      <c r="E248" t="s">
        <v>518</v>
      </c>
      <c r="F248" s="20" t="s">
        <v>519</v>
      </c>
      <c r="G248" s="8" t="str">
        <f t="shared" si="3"/>
        <v>PERKINS DARREN</v>
      </c>
    </row>
    <row r="249" spans="1:7" x14ac:dyDescent="0.25">
      <c r="A249" s="8">
        <v>42892.007430555554</v>
      </c>
      <c r="B249" t="s">
        <v>590</v>
      </c>
      <c r="C249" t="s">
        <v>819</v>
      </c>
      <c r="D249" s="141">
        <v>2230000</v>
      </c>
      <c r="E249" t="s">
        <v>344</v>
      </c>
      <c r="F249" s="20" t="s">
        <v>194</v>
      </c>
      <c r="G249" s="8" t="str">
        <f t="shared" si="3"/>
        <v>SMITH MICHAEL</v>
      </c>
    </row>
    <row r="250" spans="1:7" x14ac:dyDescent="0.25">
      <c r="A250" s="8">
        <v>42892.007465277777</v>
      </c>
      <c r="B250" t="s">
        <v>362</v>
      </c>
      <c r="C250" t="s">
        <v>820</v>
      </c>
      <c r="D250" s="141">
        <v>2970000</v>
      </c>
      <c r="E250" t="s">
        <v>385</v>
      </c>
      <c r="F250" s="20" t="s">
        <v>386</v>
      </c>
      <c r="G250" s="8" t="str">
        <f t="shared" si="3"/>
        <v>GUZMAN DANNY</v>
      </c>
    </row>
    <row r="251" spans="1:7" x14ac:dyDescent="0.25">
      <c r="A251" s="8">
        <v>42892.027766203704</v>
      </c>
      <c r="B251" t="s">
        <v>380</v>
      </c>
      <c r="C251" t="s">
        <v>821</v>
      </c>
      <c r="D251" s="141">
        <v>2620000</v>
      </c>
      <c r="E251" t="s">
        <v>518</v>
      </c>
      <c r="F251" s="20" t="s">
        <v>519</v>
      </c>
      <c r="G251" s="8" t="str">
        <f t="shared" si="3"/>
        <v>PERKINS DARREN</v>
      </c>
    </row>
    <row r="252" spans="1:7" x14ac:dyDescent="0.25">
      <c r="A252" s="8">
        <v>42892.028101851851</v>
      </c>
      <c r="B252" t="s">
        <v>588</v>
      </c>
      <c r="C252" t="s">
        <v>822</v>
      </c>
      <c r="D252" s="141">
        <v>2090000</v>
      </c>
      <c r="E252" t="s">
        <v>545</v>
      </c>
      <c r="F252" s="20" t="s">
        <v>194</v>
      </c>
      <c r="G252" s="8" t="str">
        <f t="shared" si="3"/>
        <v>HAITHCOX MICHAEL</v>
      </c>
    </row>
    <row r="253" spans="1:7" x14ac:dyDescent="0.25">
      <c r="A253" s="8">
        <v>42892.048645833333</v>
      </c>
      <c r="B253" t="s">
        <v>580</v>
      </c>
      <c r="C253" t="s">
        <v>823</v>
      </c>
      <c r="D253" s="141">
        <v>2230000</v>
      </c>
      <c r="E253" t="s">
        <v>344</v>
      </c>
      <c r="F253" s="20" t="s">
        <v>194</v>
      </c>
      <c r="G253" s="8" t="str">
        <f t="shared" si="3"/>
        <v>SMITH MICHAEL</v>
      </c>
    </row>
    <row r="254" spans="1:7" x14ac:dyDescent="0.25">
      <c r="A254" s="8">
        <v>42892.048958333333</v>
      </c>
      <c r="B254" t="s">
        <v>425</v>
      </c>
      <c r="C254" t="s">
        <v>824</v>
      </c>
      <c r="D254" s="141">
        <v>2970000</v>
      </c>
      <c r="E254" t="s">
        <v>385</v>
      </c>
      <c r="F254" s="20" t="s">
        <v>386</v>
      </c>
      <c r="G254" s="8" t="str">
        <f t="shared" si="3"/>
        <v>GUZMAN DANNY</v>
      </c>
    </row>
    <row r="255" spans="1:7" x14ac:dyDescent="0.25">
      <c r="A255" s="8">
        <v>42892.069745370369</v>
      </c>
      <c r="B255" t="s">
        <v>544</v>
      </c>
      <c r="C255" t="s">
        <v>825</v>
      </c>
      <c r="D255" s="141">
        <v>2090000</v>
      </c>
      <c r="E255" t="s">
        <v>545</v>
      </c>
      <c r="F255" s="20" t="s">
        <v>194</v>
      </c>
      <c r="G255" s="8" t="str">
        <f t="shared" si="3"/>
        <v>HAITHCOX MICHAEL</v>
      </c>
    </row>
    <row r="256" spans="1:7" x14ac:dyDescent="0.25">
      <c r="A256" s="8">
        <v>42892.071006944447</v>
      </c>
      <c r="B256" t="s">
        <v>544</v>
      </c>
      <c r="C256" t="s">
        <v>825</v>
      </c>
      <c r="D256" s="141">
        <v>2090000</v>
      </c>
      <c r="E256" t="s">
        <v>545</v>
      </c>
      <c r="F256" s="20" t="s">
        <v>194</v>
      </c>
      <c r="G256" s="8" t="str">
        <f t="shared" si="3"/>
        <v>HAITHCOX MICHAEL</v>
      </c>
    </row>
    <row r="257" spans="1:7" x14ac:dyDescent="0.25">
      <c r="A257" s="8">
        <v>42892.090775462966</v>
      </c>
      <c r="B257" t="s">
        <v>362</v>
      </c>
      <c r="C257" t="s">
        <v>826</v>
      </c>
      <c r="D257" s="141">
        <v>2970000</v>
      </c>
      <c r="E257" t="s">
        <v>385</v>
      </c>
      <c r="F257" s="20" t="s">
        <v>386</v>
      </c>
      <c r="G257" s="8" t="str">
        <f t="shared" si="3"/>
        <v>GUZMAN DANNY</v>
      </c>
    </row>
    <row r="258" spans="1:7" x14ac:dyDescent="0.25">
      <c r="A258" s="8">
        <v>42892.09138888889</v>
      </c>
      <c r="B258" t="s">
        <v>362</v>
      </c>
      <c r="C258" t="s">
        <v>826</v>
      </c>
      <c r="D258" s="141">
        <v>2970000</v>
      </c>
      <c r="E258" t="s">
        <v>385</v>
      </c>
      <c r="F258" s="20" t="s">
        <v>386</v>
      </c>
      <c r="G258" s="8" t="str">
        <f t="shared" si="3"/>
        <v>GUZMAN DANNY</v>
      </c>
    </row>
    <row r="259" spans="1:7" x14ac:dyDescent="0.25">
      <c r="A259" s="8">
        <v>42892.092372685183</v>
      </c>
      <c r="B259" t="s">
        <v>362</v>
      </c>
      <c r="C259" t="s">
        <v>826</v>
      </c>
      <c r="D259" s="141">
        <v>2970000</v>
      </c>
      <c r="E259" t="s">
        <v>385</v>
      </c>
      <c r="F259" s="20" t="s">
        <v>386</v>
      </c>
      <c r="G259" s="8" t="str">
        <f t="shared" ref="G259:G322" si="4">E259&amp;" "&amp;F259</f>
        <v>GUZMAN DANNY</v>
      </c>
    </row>
    <row r="260" spans="1:7" x14ac:dyDescent="0.25">
      <c r="A260" s="8">
        <v>42888.081956018519</v>
      </c>
      <c r="B260" t="s">
        <v>370</v>
      </c>
      <c r="C260" t="s">
        <v>491</v>
      </c>
      <c r="D260" s="141">
        <v>2630000</v>
      </c>
      <c r="E260" t="s">
        <v>477</v>
      </c>
      <c r="F260" s="20" t="s">
        <v>478</v>
      </c>
      <c r="G260" s="8" t="str">
        <f t="shared" si="4"/>
        <v>SAFIEF AEIMEN</v>
      </c>
    </row>
    <row r="261" spans="1:7" x14ac:dyDescent="0.25">
      <c r="A261" s="8">
        <v>42888.082962962966</v>
      </c>
      <c r="B261" t="s">
        <v>475</v>
      </c>
      <c r="C261" t="s">
        <v>492</v>
      </c>
      <c r="D261" s="141">
        <v>910000</v>
      </c>
      <c r="E261" t="s">
        <v>493</v>
      </c>
      <c r="F261" s="20" t="s">
        <v>494</v>
      </c>
      <c r="G261" s="8" t="str">
        <f t="shared" si="4"/>
        <v>SUR JEREMY</v>
      </c>
    </row>
    <row r="262" spans="1:7" x14ac:dyDescent="0.25">
      <c r="A262" s="8">
        <v>42888.086365740739</v>
      </c>
      <c r="B262" t="s">
        <v>475</v>
      </c>
      <c r="C262" t="s">
        <v>492</v>
      </c>
      <c r="D262" s="141">
        <v>910000</v>
      </c>
      <c r="E262" t="s">
        <v>493</v>
      </c>
      <c r="F262" s="20" t="s">
        <v>494</v>
      </c>
      <c r="G262" s="8" t="str">
        <f t="shared" si="4"/>
        <v>SUR JEREMY</v>
      </c>
    </row>
    <row r="263" spans="1:7" x14ac:dyDescent="0.25">
      <c r="A263" s="8">
        <v>42888.089062500003</v>
      </c>
      <c r="B263" t="s">
        <v>407</v>
      </c>
      <c r="C263" t="s">
        <v>495</v>
      </c>
      <c r="D263" s="141">
        <v>3000000</v>
      </c>
      <c r="E263" t="s">
        <v>445</v>
      </c>
      <c r="F263" s="20" t="s">
        <v>446</v>
      </c>
      <c r="G263" s="8" t="str">
        <f t="shared" si="4"/>
        <v>FORTUNATO FRANK</v>
      </c>
    </row>
    <row r="264" spans="1:7" x14ac:dyDescent="0.25">
      <c r="A264" s="8">
        <v>42888.097442129627</v>
      </c>
      <c r="B264" t="s">
        <v>476</v>
      </c>
      <c r="C264" t="s">
        <v>492</v>
      </c>
      <c r="D264" s="141">
        <v>910000</v>
      </c>
      <c r="E264" t="s">
        <v>493</v>
      </c>
      <c r="F264" s="20" t="s">
        <v>494</v>
      </c>
      <c r="G264" s="8" t="str">
        <f t="shared" si="4"/>
        <v>SUR JEREMY</v>
      </c>
    </row>
    <row r="265" spans="1:7" x14ac:dyDescent="0.25">
      <c r="A265" s="8">
        <v>42878.991388888891</v>
      </c>
      <c r="B265" t="s">
        <v>425</v>
      </c>
      <c r="C265" t="s">
        <v>449</v>
      </c>
      <c r="D265" s="141">
        <v>2140000</v>
      </c>
      <c r="E265" t="s">
        <v>421</v>
      </c>
      <c r="F265" s="20" t="s">
        <v>422</v>
      </c>
      <c r="G265" s="8" t="str">
        <f t="shared" si="4"/>
        <v>ROBINSON KADDIBA</v>
      </c>
    </row>
    <row r="266" spans="1:7" x14ac:dyDescent="0.25">
      <c r="A266" s="8">
        <v>42878.991539351853</v>
      </c>
      <c r="B266" t="s">
        <v>378</v>
      </c>
      <c r="C266" t="s">
        <v>448</v>
      </c>
      <c r="D266" s="141">
        <v>2000000</v>
      </c>
      <c r="E266" t="s">
        <v>426</v>
      </c>
      <c r="F266" s="20" t="s">
        <v>191</v>
      </c>
      <c r="G266" s="8" t="str">
        <f t="shared" si="4"/>
        <v>STAMBAUGH JAMES</v>
      </c>
    </row>
    <row r="267" spans="1:7" x14ac:dyDescent="0.25">
      <c r="A267" s="8">
        <v>42878.992789351854</v>
      </c>
      <c r="B267" t="s">
        <v>443</v>
      </c>
      <c r="C267" t="s">
        <v>450</v>
      </c>
      <c r="D267" s="141">
        <v>3000000</v>
      </c>
      <c r="E267" t="s">
        <v>445</v>
      </c>
      <c r="F267" s="20" t="s">
        <v>446</v>
      </c>
      <c r="G267" s="8" t="str">
        <f t="shared" si="4"/>
        <v>FORTUNATO FRANK</v>
      </c>
    </row>
    <row r="268" spans="1:7" x14ac:dyDescent="0.25">
      <c r="A268" s="8">
        <v>42879.005439814813</v>
      </c>
      <c r="B268" t="s">
        <v>405</v>
      </c>
      <c r="C268" t="s">
        <v>442</v>
      </c>
      <c r="D268" s="141">
        <v>2680000</v>
      </c>
      <c r="E268" t="s">
        <v>428</v>
      </c>
      <c r="F268" s="20" t="s">
        <v>429</v>
      </c>
      <c r="G268" s="8" t="str">
        <f t="shared" si="4"/>
        <v>DUNCAN SHEILA</v>
      </c>
    </row>
    <row r="269" spans="1:7" x14ac:dyDescent="0.25">
      <c r="A269" s="8">
        <v>42879.011724537035</v>
      </c>
      <c r="B269" t="s">
        <v>342</v>
      </c>
      <c r="C269" t="s">
        <v>451</v>
      </c>
      <c r="D269" s="141">
        <v>2230000</v>
      </c>
      <c r="E269" t="s">
        <v>344</v>
      </c>
      <c r="F269" s="20" t="s">
        <v>194</v>
      </c>
      <c r="G269" s="8" t="str">
        <f t="shared" si="4"/>
        <v>SMITH MICHAEL</v>
      </c>
    </row>
    <row r="270" spans="1:7" x14ac:dyDescent="0.25">
      <c r="A270" s="8">
        <v>42879.018900462965</v>
      </c>
      <c r="B270" t="s">
        <v>444</v>
      </c>
      <c r="C270" t="s">
        <v>452</v>
      </c>
      <c r="D270" s="141">
        <v>2610000</v>
      </c>
      <c r="E270" t="s">
        <v>430</v>
      </c>
      <c r="F270" s="20" t="s">
        <v>431</v>
      </c>
      <c r="G270" s="8" t="str">
        <f t="shared" si="4"/>
        <v>MAGEE KENYA</v>
      </c>
    </row>
    <row r="271" spans="1:7" x14ac:dyDescent="0.25">
      <c r="A271" s="8">
        <v>42879.026886574073</v>
      </c>
      <c r="B271" t="s">
        <v>362</v>
      </c>
      <c r="C271" t="s">
        <v>453</v>
      </c>
      <c r="D271" s="141">
        <v>2140000</v>
      </c>
      <c r="E271" t="s">
        <v>421</v>
      </c>
      <c r="F271" s="20" t="s">
        <v>422</v>
      </c>
      <c r="G271" s="8" t="str">
        <f t="shared" si="4"/>
        <v>ROBINSON KADDIBA</v>
      </c>
    </row>
    <row r="272" spans="1:7" x14ac:dyDescent="0.25">
      <c r="A272" s="8">
        <v>42879.027916666666</v>
      </c>
      <c r="B272" t="s">
        <v>441</v>
      </c>
      <c r="C272" t="s">
        <v>454</v>
      </c>
      <c r="D272" s="141">
        <v>3000000</v>
      </c>
      <c r="E272" t="s">
        <v>445</v>
      </c>
      <c r="F272" s="20" t="s">
        <v>446</v>
      </c>
      <c r="G272" s="8" t="str">
        <f t="shared" si="4"/>
        <v>FORTUNATO FRANK</v>
      </c>
    </row>
    <row r="273" spans="1:7" x14ac:dyDescent="0.25">
      <c r="A273" s="8">
        <v>42879.035393518519</v>
      </c>
      <c r="B273" t="s">
        <v>406</v>
      </c>
      <c r="C273" t="s">
        <v>447</v>
      </c>
      <c r="D273" s="141">
        <v>2680000</v>
      </c>
      <c r="E273" t="s">
        <v>428</v>
      </c>
      <c r="F273" s="20" t="s">
        <v>429</v>
      </c>
      <c r="G273" s="8" t="str">
        <f t="shared" si="4"/>
        <v>DUNCAN SHEILA</v>
      </c>
    </row>
    <row r="274" spans="1:7" x14ac:dyDescent="0.25">
      <c r="A274" s="8">
        <v>42879.048842592594</v>
      </c>
      <c r="B274" t="s">
        <v>341</v>
      </c>
      <c r="C274" t="s">
        <v>455</v>
      </c>
      <c r="D274" s="141">
        <v>2230000</v>
      </c>
      <c r="E274" t="s">
        <v>344</v>
      </c>
      <c r="F274" s="20" t="s">
        <v>194</v>
      </c>
      <c r="G274" s="8" t="str">
        <f t="shared" si="4"/>
        <v>SMITH MICHAEL</v>
      </c>
    </row>
    <row r="275" spans="1:7" x14ac:dyDescent="0.25">
      <c r="A275" s="8">
        <v>42879.059351851851</v>
      </c>
      <c r="B275" t="s">
        <v>440</v>
      </c>
      <c r="C275" t="s">
        <v>456</v>
      </c>
      <c r="D275" s="141">
        <v>2610000</v>
      </c>
      <c r="E275" t="s">
        <v>430</v>
      </c>
      <c r="F275" s="20" t="s">
        <v>431</v>
      </c>
      <c r="G275" s="8" t="str">
        <f t="shared" si="4"/>
        <v>MAGEE KENYA</v>
      </c>
    </row>
    <row r="276" spans="1:7" x14ac:dyDescent="0.25">
      <c r="A276" s="8">
        <v>42879.068622685183</v>
      </c>
      <c r="B276" t="s">
        <v>443</v>
      </c>
      <c r="C276" t="s">
        <v>457</v>
      </c>
      <c r="D276" s="141">
        <v>3000000</v>
      </c>
      <c r="E276" t="s">
        <v>445</v>
      </c>
      <c r="F276" s="20" t="s">
        <v>446</v>
      </c>
      <c r="G276" s="8" t="str">
        <f t="shared" si="4"/>
        <v>FORTUNATO FRANK</v>
      </c>
    </row>
    <row r="277" spans="1:7" x14ac:dyDescent="0.25">
      <c r="A277" s="8">
        <v>42879.089687500003</v>
      </c>
      <c r="B277" t="s">
        <v>444</v>
      </c>
      <c r="C277" t="s">
        <v>458</v>
      </c>
      <c r="D277" s="141">
        <v>2610000</v>
      </c>
      <c r="E277" t="s">
        <v>430</v>
      </c>
      <c r="F277" s="20" t="s">
        <v>431</v>
      </c>
      <c r="G277" s="8" t="str">
        <f t="shared" si="4"/>
        <v>MAGEE KENYA</v>
      </c>
    </row>
    <row r="278" spans="1:7" x14ac:dyDescent="0.25">
      <c r="A278" s="8">
        <v>42872.041689814818</v>
      </c>
      <c r="B278" t="s">
        <v>409</v>
      </c>
      <c r="C278" t="s">
        <v>410</v>
      </c>
      <c r="D278" s="141">
        <v>2970000</v>
      </c>
      <c r="E278" t="s">
        <v>385</v>
      </c>
      <c r="F278" s="20" t="s">
        <v>386</v>
      </c>
      <c r="G278" s="8" t="str">
        <f t="shared" si="4"/>
        <v>GUZMAN DANNY</v>
      </c>
    </row>
    <row r="279" spans="1:7" x14ac:dyDescent="0.25">
      <c r="A279" s="8">
        <v>42872.04792824074</v>
      </c>
      <c r="B279" t="s">
        <v>408</v>
      </c>
      <c r="C279" t="s">
        <v>414</v>
      </c>
      <c r="D279" s="141">
        <v>1810000</v>
      </c>
      <c r="E279" t="s">
        <v>373</v>
      </c>
      <c r="F279" s="20" t="s">
        <v>191</v>
      </c>
      <c r="G279" s="8" t="str">
        <f t="shared" si="4"/>
        <v>NEWELL JAMES</v>
      </c>
    </row>
    <row r="280" spans="1:7" x14ac:dyDescent="0.25">
      <c r="A280" s="8">
        <v>42872.049421296295</v>
      </c>
      <c r="B280" t="s">
        <v>342</v>
      </c>
      <c r="C280" t="s">
        <v>415</v>
      </c>
      <c r="D280" s="141">
        <v>3090000</v>
      </c>
      <c r="E280" t="s">
        <v>381</v>
      </c>
      <c r="F280" s="20" t="s">
        <v>382</v>
      </c>
      <c r="G280" s="8" t="str">
        <f t="shared" si="4"/>
        <v>LAMAR NEKESHA</v>
      </c>
    </row>
    <row r="281" spans="1:7" x14ac:dyDescent="0.25">
      <c r="A281" s="8">
        <v>42872.051990740743</v>
      </c>
      <c r="B281" t="s">
        <v>406</v>
      </c>
      <c r="C281" t="s">
        <v>411</v>
      </c>
      <c r="D281" s="141">
        <v>3010000</v>
      </c>
      <c r="E281" t="s">
        <v>399</v>
      </c>
      <c r="F281" s="20" t="s">
        <v>400</v>
      </c>
      <c r="G281" s="8" t="str">
        <f t="shared" si="4"/>
        <v>SULLIVAN BRANDON</v>
      </c>
    </row>
    <row r="282" spans="1:7" x14ac:dyDescent="0.25">
      <c r="A282" s="8">
        <v>42872.055347222224</v>
      </c>
      <c r="B282" t="s">
        <v>412</v>
      </c>
      <c r="C282" t="s">
        <v>413</v>
      </c>
      <c r="D282" s="141">
        <v>2970000</v>
      </c>
      <c r="E282" t="s">
        <v>385</v>
      </c>
      <c r="F282" s="20" t="s">
        <v>386</v>
      </c>
      <c r="G282" s="8" t="str">
        <f t="shared" si="4"/>
        <v>GUZMAN DANNY</v>
      </c>
    </row>
    <row r="283" spans="1:7" x14ac:dyDescent="0.25">
      <c r="A283" s="8">
        <v>42872.065578703703</v>
      </c>
      <c r="B283" t="s">
        <v>405</v>
      </c>
      <c r="C283" t="s">
        <v>411</v>
      </c>
      <c r="D283" s="141">
        <v>3010000</v>
      </c>
      <c r="E283" t="s">
        <v>399</v>
      </c>
      <c r="F283" s="20" t="s">
        <v>400</v>
      </c>
      <c r="G283" s="8" t="str">
        <f t="shared" si="4"/>
        <v>SULLIVAN BRANDON</v>
      </c>
    </row>
    <row r="284" spans="1:7" x14ac:dyDescent="0.25">
      <c r="A284" s="8">
        <v>42872.066493055558</v>
      </c>
      <c r="B284" t="s">
        <v>407</v>
      </c>
      <c r="C284" t="s">
        <v>416</v>
      </c>
      <c r="D284" s="141">
        <v>3030000</v>
      </c>
      <c r="E284" t="s">
        <v>387</v>
      </c>
      <c r="F284" s="20" t="s">
        <v>372</v>
      </c>
      <c r="G284" s="8" t="str">
        <f t="shared" si="4"/>
        <v>BIRENBAUM THOMAS</v>
      </c>
    </row>
    <row r="285" spans="1:7" x14ac:dyDescent="0.25">
      <c r="A285" s="8">
        <v>42872.067164351851</v>
      </c>
      <c r="B285" t="s">
        <v>405</v>
      </c>
      <c r="C285" t="s">
        <v>411</v>
      </c>
      <c r="D285" s="141">
        <v>3010000</v>
      </c>
      <c r="E285" t="s">
        <v>399</v>
      </c>
      <c r="F285" s="20" t="s">
        <v>400</v>
      </c>
      <c r="G285" s="8" t="str">
        <f t="shared" si="4"/>
        <v>SULLIVAN BRANDON</v>
      </c>
    </row>
    <row r="286" spans="1:7" x14ac:dyDescent="0.25">
      <c r="A286" s="8">
        <v>42872.068761574075</v>
      </c>
      <c r="B286" t="s">
        <v>409</v>
      </c>
      <c r="C286" t="s">
        <v>410</v>
      </c>
      <c r="D286" s="141">
        <v>2970000</v>
      </c>
      <c r="E286" t="s">
        <v>385</v>
      </c>
      <c r="F286" s="20" t="s">
        <v>386</v>
      </c>
      <c r="G286" s="8" t="str">
        <f t="shared" si="4"/>
        <v>GUZMAN DANNY</v>
      </c>
    </row>
    <row r="287" spans="1:7" x14ac:dyDescent="0.25">
      <c r="A287" s="8">
        <v>42872.08258101852</v>
      </c>
      <c r="B287" t="s">
        <v>412</v>
      </c>
      <c r="C287" t="s">
        <v>413</v>
      </c>
      <c r="D287" s="141">
        <v>2970000</v>
      </c>
      <c r="E287" t="s">
        <v>385</v>
      </c>
      <c r="F287" s="20" t="s">
        <v>386</v>
      </c>
      <c r="G287" s="8" t="str">
        <f t="shared" si="4"/>
        <v>GUZMAN DANNY</v>
      </c>
    </row>
    <row r="288" spans="1:7" x14ac:dyDescent="0.25">
      <c r="A288" s="8">
        <v>42872.08861111111</v>
      </c>
      <c r="B288" t="s">
        <v>341</v>
      </c>
      <c r="C288" t="s">
        <v>417</v>
      </c>
      <c r="D288" s="141">
        <v>3090000</v>
      </c>
      <c r="E288" t="s">
        <v>381</v>
      </c>
      <c r="F288" s="20" t="s">
        <v>382</v>
      </c>
      <c r="G288" s="8" t="str">
        <f t="shared" si="4"/>
        <v>LAMAR NEKESHA</v>
      </c>
    </row>
    <row r="289" spans="1:7" x14ac:dyDescent="0.25">
      <c r="A289" s="8">
        <v>42872.095833333333</v>
      </c>
      <c r="B289" t="s">
        <v>409</v>
      </c>
      <c r="C289" t="s">
        <v>410</v>
      </c>
      <c r="D289" s="141">
        <v>2970000</v>
      </c>
      <c r="E289" t="s">
        <v>385</v>
      </c>
      <c r="F289" s="20" t="s">
        <v>386</v>
      </c>
      <c r="G289" s="8" t="str">
        <f t="shared" si="4"/>
        <v>GUZMAN DANNY</v>
      </c>
    </row>
    <row r="290" spans="1:7" x14ac:dyDescent="0.25">
      <c r="A290" s="8">
        <v>42872.099791666667</v>
      </c>
      <c r="B290" t="s">
        <v>406</v>
      </c>
      <c r="C290" t="s">
        <v>411</v>
      </c>
      <c r="D290" s="141">
        <v>3010000</v>
      </c>
      <c r="E290" t="s">
        <v>399</v>
      </c>
      <c r="F290" s="20" t="s">
        <v>400</v>
      </c>
      <c r="G290" s="8" t="str">
        <f t="shared" si="4"/>
        <v>SULLIVAN BRANDON</v>
      </c>
    </row>
    <row r="291" spans="1:7" x14ac:dyDescent="0.25">
      <c r="A291" s="8">
        <v>42872.100324074076</v>
      </c>
      <c r="B291" t="s">
        <v>406</v>
      </c>
      <c r="C291" t="s">
        <v>411</v>
      </c>
      <c r="D291" s="141">
        <v>3010000</v>
      </c>
      <c r="E291" t="s">
        <v>399</v>
      </c>
      <c r="F291" s="20" t="s">
        <v>400</v>
      </c>
      <c r="G291" s="8" t="str">
        <f t="shared" si="4"/>
        <v>SULLIVAN BRANDON</v>
      </c>
    </row>
    <row r="292" spans="1:7" x14ac:dyDescent="0.25">
      <c r="A292" s="8">
        <v>42872.100856481484</v>
      </c>
      <c r="B292" t="s">
        <v>406</v>
      </c>
      <c r="C292" t="s">
        <v>411</v>
      </c>
      <c r="D292" s="141">
        <v>3010000</v>
      </c>
      <c r="E292" t="s">
        <v>399</v>
      </c>
      <c r="F292" s="20" t="s">
        <v>400</v>
      </c>
      <c r="G292" s="8" t="str">
        <f t="shared" si="4"/>
        <v>SULLIVAN BRANDON</v>
      </c>
    </row>
    <row r="293" spans="1:7" x14ac:dyDescent="0.25">
      <c r="A293" s="8">
        <v>42872.1018287037</v>
      </c>
      <c r="B293" t="s">
        <v>406</v>
      </c>
      <c r="C293" t="s">
        <v>411</v>
      </c>
      <c r="D293" s="141">
        <v>3010000</v>
      </c>
      <c r="E293" t="s">
        <v>399</v>
      </c>
      <c r="F293" s="20" t="s">
        <v>400</v>
      </c>
      <c r="G293" s="8" t="str">
        <f t="shared" si="4"/>
        <v>SULLIVAN BRANDON</v>
      </c>
    </row>
    <row r="294" spans="1:7" x14ac:dyDescent="0.25">
      <c r="A294" s="8">
        <v>42872.110578703701</v>
      </c>
      <c r="B294" t="s">
        <v>412</v>
      </c>
      <c r="C294" t="s">
        <v>413</v>
      </c>
      <c r="D294" s="141">
        <v>2970000</v>
      </c>
      <c r="E294" t="s">
        <v>385</v>
      </c>
      <c r="F294" s="20" t="s">
        <v>386</v>
      </c>
      <c r="G294" s="8" t="str">
        <f t="shared" si="4"/>
        <v>GUZMAN DANNY</v>
      </c>
    </row>
    <row r="295" spans="1:7" x14ac:dyDescent="0.25">
      <c r="A295" s="8">
        <v>42864.030914351853</v>
      </c>
      <c r="B295" t="s">
        <v>341</v>
      </c>
      <c r="C295" t="s">
        <v>392</v>
      </c>
      <c r="D295" s="141">
        <v>1800000</v>
      </c>
      <c r="E295" t="s">
        <v>383</v>
      </c>
      <c r="F295" s="20" t="s">
        <v>384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371</v>
      </c>
      <c r="C296" t="s">
        <v>393</v>
      </c>
      <c r="D296" s="141">
        <v>3030000</v>
      </c>
      <c r="E296" t="s">
        <v>387</v>
      </c>
      <c r="F296" s="20" t="s">
        <v>372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380</v>
      </c>
      <c r="C297" t="s">
        <v>376</v>
      </c>
      <c r="D297" s="141">
        <v>2970000</v>
      </c>
      <c r="E297" t="s">
        <v>385</v>
      </c>
      <c r="F297" s="20" t="s">
        <v>386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362</v>
      </c>
      <c r="C298" t="s">
        <v>394</v>
      </c>
      <c r="D298" s="141">
        <v>2230000</v>
      </c>
      <c r="E298" t="s">
        <v>344</v>
      </c>
      <c r="F298" s="20" t="s">
        <v>194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374</v>
      </c>
      <c r="C299" t="s">
        <v>376</v>
      </c>
      <c r="D299" s="141">
        <v>2970000</v>
      </c>
      <c r="E299" t="s">
        <v>385</v>
      </c>
      <c r="F299" s="20" t="s">
        <v>386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375</v>
      </c>
      <c r="C300" t="s">
        <v>379</v>
      </c>
      <c r="D300" s="141">
        <v>3130000</v>
      </c>
      <c r="E300" t="s">
        <v>390</v>
      </c>
      <c r="F300" s="20" t="s">
        <v>391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374</v>
      </c>
      <c r="C301" t="s">
        <v>376</v>
      </c>
      <c r="D301" s="141">
        <v>2970000</v>
      </c>
      <c r="E301" t="s">
        <v>385</v>
      </c>
      <c r="F301" s="20" t="s">
        <v>386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369</v>
      </c>
      <c r="C302" t="s">
        <v>377</v>
      </c>
      <c r="D302" s="141">
        <v>3040000</v>
      </c>
      <c r="E302" t="s">
        <v>388</v>
      </c>
      <c r="F302" s="20" t="s">
        <v>389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369</v>
      </c>
      <c r="C303" t="s">
        <v>377</v>
      </c>
      <c r="D303" s="141">
        <v>3040000</v>
      </c>
      <c r="E303" t="s">
        <v>388</v>
      </c>
      <c r="F303" s="20" t="s">
        <v>389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343</v>
      </c>
      <c r="C304" t="s">
        <v>395</v>
      </c>
      <c r="D304" s="141">
        <v>3030000</v>
      </c>
      <c r="E304" t="s">
        <v>387</v>
      </c>
      <c r="F304" s="20" t="s">
        <v>372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380</v>
      </c>
      <c r="C305" t="s">
        <v>376</v>
      </c>
      <c r="D305" s="141">
        <v>2970000</v>
      </c>
      <c r="E305" t="s">
        <v>385</v>
      </c>
      <c r="F305" s="20" t="s">
        <v>386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374</v>
      </c>
      <c r="C306" t="s">
        <v>376</v>
      </c>
      <c r="D306" s="141">
        <v>2970000</v>
      </c>
      <c r="E306" t="s">
        <v>385</v>
      </c>
      <c r="F306" s="20" t="s">
        <v>386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370</v>
      </c>
      <c r="C307" t="s">
        <v>377</v>
      </c>
      <c r="D307" s="141">
        <v>3040000</v>
      </c>
      <c r="E307" t="s">
        <v>388</v>
      </c>
      <c r="F307" s="20" t="s">
        <v>389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378</v>
      </c>
      <c r="C308" t="s">
        <v>396</v>
      </c>
      <c r="D308" s="141">
        <v>3130000</v>
      </c>
      <c r="E308" t="s">
        <v>390</v>
      </c>
      <c r="F308" s="20" t="s">
        <v>391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369</v>
      </c>
      <c r="C309" t="s">
        <v>377</v>
      </c>
      <c r="D309" s="141">
        <v>3040000</v>
      </c>
      <c r="E309" t="s">
        <v>388</v>
      </c>
      <c r="F309" s="20" t="s">
        <v>389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380</v>
      </c>
      <c r="C310" t="s">
        <v>376</v>
      </c>
      <c r="D310" s="141">
        <v>2970000</v>
      </c>
      <c r="E310" t="s">
        <v>385</v>
      </c>
      <c r="F310" s="20" t="s">
        <v>386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374</v>
      </c>
      <c r="C311" t="s">
        <v>376</v>
      </c>
      <c r="D311" s="141">
        <v>2970000</v>
      </c>
      <c r="E311" t="s">
        <v>385</v>
      </c>
      <c r="F311" s="20" t="s">
        <v>386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44" customWidth="1"/>
    <col min="2" max="2" width="8.42578125" style="144" bestFit="1" customWidth="1"/>
    <col min="3" max="3" width="12.5703125" style="144" bestFit="1" customWidth="1"/>
    <col min="4" max="4" width="18.5703125" style="133" bestFit="1" customWidth="1"/>
    <col min="5" max="5" width="9.85546875" style="144" bestFit="1" customWidth="1"/>
    <col min="6" max="6" width="9" style="144" bestFit="1" customWidth="1"/>
    <col min="7" max="7" width="8.85546875" style="144" bestFit="1" customWidth="1"/>
    <col min="8" max="8" width="14" style="144" bestFit="1" customWidth="1"/>
    <col min="9" max="9" width="21.140625" style="144" bestFit="1" customWidth="1"/>
    <col min="10" max="10" width="8.7109375" style="144" bestFit="1" customWidth="1"/>
    <col min="11" max="11" width="11.28515625" style="144" bestFit="1" customWidth="1"/>
    <col min="12" max="12" width="11" style="144" bestFit="1" customWidth="1"/>
    <col min="13" max="13" width="11.28515625" style="144" bestFit="1" customWidth="1"/>
    <col min="14" max="14" width="13.7109375" style="144" bestFit="1" customWidth="1"/>
    <col min="15" max="15" width="14.85546875" style="144" bestFit="1" customWidth="1"/>
    <col min="16" max="16" width="16.7109375" style="144" bestFit="1" customWidth="1"/>
    <col min="17" max="17" width="9.42578125" style="113" bestFit="1" customWidth="1"/>
    <col min="18" max="16384" width="9.140625" style="113"/>
  </cols>
  <sheetData>
    <row r="1" spans="1:18" s="114" customFormat="1" x14ac:dyDescent="0.25">
      <c r="A1" s="178" t="s">
        <v>160</v>
      </c>
      <c r="B1" s="178" t="s">
        <v>163</v>
      </c>
      <c r="C1" s="178" t="s">
        <v>156</v>
      </c>
      <c r="D1" s="139" t="s">
        <v>168</v>
      </c>
      <c r="E1" s="178" t="s">
        <v>157</v>
      </c>
      <c r="F1" s="178" t="s">
        <v>155</v>
      </c>
      <c r="G1" s="178" t="s">
        <v>153</v>
      </c>
      <c r="H1" s="178" t="s">
        <v>166</v>
      </c>
      <c r="I1" s="178" t="s">
        <v>167</v>
      </c>
      <c r="J1" s="178" t="s">
        <v>827</v>
      </c>
      <c r="K1" s="178" t="s">
        <v>161</v>
      </c>
      <c r="L1" s="178" t="s">
        <v>159</v>
      </c>
      <c r="M1" s="178" t="s">
        <v>154</v>
      </c>
      <c r="N1" s="178" t="s">
        <v>164</v>
      </c>
      <c r="O1" s="178" t="s">
        <v>158</v>
      </c>
      <c r="P1" s="178" t="s">
        <v>165</v>
      </c>
      <c r="Q1" s="178" t="s">
        <v>162</v>
      </c>
      <c r="R1"/>
    </row>
    <row r="2" spans="1:18" x14ac:dyDescent="0.25">
      <c r="A2" s="179">
        <v>63.99</v>
      </c>
      <c r="B2" s="179">
        <v>0.24</v>
      </c>
      <c r="C2" s="179">
        <v>45.68</v>
      </c>
      <c r="D2" s="8">
        <v>42891</v>
      </c>
      <c r="E2" s="179">
        <v>0.51</v>
      </c>
      <c r="F2" s="179" t="s">
        <v>468</v>
      </c>
      <c r="G2" s="179">
        <v>311.14999999999998</v>
      </c>
      <c r="H2" s="179">
        <v>0</v>
      </c>
      <c r="I2" s="179">
        <v>0</v>
      </c>
      <c r="J2" s="179"/>
      <c r="K2" s="179">
        <v>1012.51</v>
      </c>
      <c r="L2" s="179" t="s">
        <v>469</v>
      </c>
      <c r="M2" s="179">
        <v>63.99</v>
      </c>
      <c r="N2" s="179">
        <v>1496642400</v>
      </c>
      <c r="O2" s="179">
        <v>4.09</v>
      </c>
      <c r="P2" s="179">
        <v>175</v>
      </c>
      <c r="Q2" s="179">
        <v>2.75</v>
      </c>
      <c r="R2"/>
    </row>
    <row r="3" spans="1:18" x14ac:dyDescent="0.25">
      <c r="A3" s="179">
        <v>61.49</v>
      </c>
      <c r="B3" s="179">
        <v>0.24</v>
      </c>
      <c r="C3" s="179">
        <v>45.72</v>
      </c>
      <c r="D3" s="8">
        <v>42891.041666666664</v>
      </c>
      <c r="E3" s="179">
        <v>0.56000000000000005</v>
      </c>
      <c r="F3" s="179" t="s">
        <v>468</v>
      </c>
      <c r="G3" s="179">
        <v>311.54000000000002</v>
      </c>
      <c r="H3" s="179">
        <v>0</v>
      </c>
      <c r="I3" s="179">
        <v>0</v>
      </c>
      <c r="J3" s="179"/>
      <c r="K3" s="179">
        <v>1012.46</v>
      </c>
      <c r="L3" s="179" t="s">
        <v>469</v>
      </c>
      <c r="M3" s="179">
        <v>61.49</v>
      </c>
      <c r="N3" s="179">
        <v>1496646000</v>
      </c>
      <c r="O3" s="179">
        <v>4.13</v>
      </c>
      <c r="P3" s="179">
        <v>183</v>
      </c>
      <c r="Q3" s="179">
        <v>2.71</v>
      </c>
      <c r="R3"/>
    </row>
    <row r="4" spans="1:18" x14ac:dyDescent="0.25">
      <c r="A4" s="179">
        <v>60.55</v>
      </c>
      <c r="B4" s="179">
        <v>0.24</v>
      </c>
      <c r="C4" s="179">
        <v>46.3</v>
      </c>
      <c r="D4" s="8">
        <v>42891.083333333336</v>
      </c>
      <c r="E4" s="179">
        <v>0.59</v>
      </c>
      <c r="F4" s="179" t="s">
        <v>468</v>
      </c>
      <c r="G4" s="179">
        <v>311.92</v>
      </c>
      <c r="H4" s="179">
        <v>0</v>
      </c>
      <c r="I4" s="179">
        <v>0</v>
      </c>
      <c r="J4" s="179"/>
      <c r="K4" s="179">
        <v>1012.43</v>
      </c>
      <c r="L4" s="179" t="s">
        <v>469</v>
      </c>
      <c r="M4" s="179">
        <v>60.55</v>
      </c>
      <c r="N4" s="179">
        <v>1496649600</v>
      </c>
      <c r="O4" s="179">
        <v>4.3099999999999996</v>
      </c>
      <c r="P4" s="179">
        <v>190</v>
      </c>
      <c r="Q4" s="179">
        <v>2.75</v>
      </c>
      <c r="R4"/>
    </row>
    <row r="5" spans="1:18" x14ac:dyDescent="0.25">
      <c r="A5" s="179">
        <v>58.97</v>
      </c>
      <c r="B5" s="179">
        <v>0.19</v>
      </c>
      <c r="C5" s="179">
        <v>45.77</v>
      </c>
      <c r="D5" s="8">
        <v>42891.125</v>
      </c>
      <c r="E5" s="179">
        <v>0.62</v>
      </c>
      <c r="F5" s="179" t="s">
        <v>468</v>
      </c>
      <c r="G5" s="179">
        <v>312.31</v>
      </c>
      <c r="H5" s="179">
        <v>0</v>
      </c>
      <c r="I5" s="179">
        <v>0</v>
      </c>
      <c r="J5" s="179"/>
      <c r="K5" s="179">
        <v>1012.39</v>
      </c>
      <c r="L5" s="179" t="s">
        <v>469</v>
      </c>
      <c r="M5" s="179">
        <v>58.97</v>
      </c>
      <c r="N5" s="179">
        <v>1496653200</v>
      </c>
      <c r="O5" s="179">
        <v>4.04</v>
      </c>
      <c r="P5" s="179">
        <v>200</v>
      </c>
      <c r="Q5" s="179">
        <v>3.46</v>
      </c>
      <c r="R5"/>
    </row>
    <row r="6" spans="1:18" x14ac:dyDescent="0.25">
      <c r="A6" s="179">
        <v>58.02</v>
      </c>
      <c r="B6" s="179">
        <v>0.26</v>
      </c>
      <c r="C6" s="179">
        <v>45.47</v>
      </c>
      <c r="D6" s="8">
        <v>42891.166666666664</v>
      </c>
      <c r="E6" s="179">
        <v>0.63</v>
      </c>
      <c r="F6" s="179" t="s">
        <v>828</v>
      </c>
      <c r="G6" s="179">
        <v>312.77</v>
      </c>
      <c r="H6" s="179">
        <v>0</v>
      </c>
      <c r="I6" s="179">
        <v>0</v>
      </c>
      <c r="J6" s="179"/>
      <c r="K6" s="179">
        <v>1012.6</v>
      </c>
      <c r="L6" s="179" t="s">
        <v>552</v>
      </c>
      <c r="M6" s="179">
        <v>58.02</v>
      </c>
      <c r="N6" s="179">
        <v>1496656800</v>
      </c>
      <c r="O6" s="179">
        <v>4.54</v>
      </c>
      <c r="P6" s="179">
        <v>231</v>
      </c>
      <c r="Q6" s="179">
        <v>4.12</v>
      </c>
      <c r="R6"/>
    </row>
    <row r="7" spans="1:18" x14ac:dyDescent="0.25">
      <c r="A7" s="179">
        <v>56.21</v>
      </c>
      <c r="B7" s="179">
        <v>0.32</v>
      </c>
      <c r="C7" s="179">
        <v>45.27</v>
      </c>
      <c r="D7" s="8">
        <v>42891.208333333336</v>
      </c>
      <c r="E7" s="179">
        <v>0.67</v>
      </c>
      <c r="F7" s="179" t="s">
        <v>828</v>
      </c>
      <c r="G7" s="179">
        <v>313.23</v>
      </c>
      <c r="H7" s="179">
        <v>0</v>
      </c>
      <c r="I7" s="179">
        <v>0</v>
      </c>
      <c r="J7" s="179"/>
      <c r="K7" s="179">
        <v>1012.87</v>
      </c>
      <c r="L7" s="179" t="s">
        <v>552</v>
      </c>
      <c r="M7" s="179">
        <v>56.21</v>
      </c>
      <c r="N7" s="179">
        <v>1496660400</v>
      </c>
      <c r="O7" s="179">
        <v>5.25</v>
      </c>
      <c r="P7" s="179">
        <v>195</v>
      </c>
      <c r="Q7" s="179">
        <v>1.95</v>
      </c>
      <c r="R7"/>
    </row>
    <row r="8" spans="1:18" x14ac:dyDescent="0.25">
      <c r="A8" s="179">
        <v>56.15</v>
      </c>
      <c r="B8" s="179">
        <v>0.35</v>
      </c>
      <c r="C8" s="179">
        <v>45.41</v>
      </c>
      <c r="D8" s="8">
        <v>42891.25</v>
      </c>
      <c r="E8" s="179">
        <v>0.67</v>
      </c>
      <c r="F8" s="179" t="s">
        <v>551</v>
      </c>
      <c r="G8" s="179">
        <v>313.45999999999998</v>
      </c>
      <c r="H8" s="179">
        <v>0</v>
      </c>
      <c r="I8" s="179">
        <v>0</v>
      </c>
      <c r="J8" s="179"/>
      <c r="K8" s="179">
        <v>1012.85</v>
      </c>
      <c r="L8" s="179" t="s">
        <v>552</v>
      </c>
      <c r="M8" s="179">
        <v>56.15</v>
      </c>
      <c r="N8" s="179">
        <v>1496664000</v>
      </c>
      <c r="O8" s="179">
        <v>3.94</v>
      </c>
      <c r="P8" s="179">
        <v>224</v>
      </c>
      <c r="Q8" s="179">
        <v>3.32</v>
      </c>
      <c r="R8"/>
    </row>
    <row r="9" spans="1:18" x14ac:dyDescent="0.25">
      <c r="A9" s="179">
        <v>59.99</v>
      </c>
      <c r="B9" s="179">
        <v>0.34</v>
      </c>
      <c r="C9" s="179">
        <v>46.9</v>
      </c>
      <c r="D9" s="8">
        <v>42891.291666666664</v>
      </c>
      <c r="E9" s="179">
        <v>0.62</v>
      </c>
      <c r="F9" s="179" t="s">
        <v>551</v>
      </c>
      <c r="G9" s="179">
        <v>313.39</v>
      </c>
      <c r="H9" s="179">
        <v>0</v>
      </c>
      <c r="I9" s="179">
        <v>0</v>
      </c>
      <c r="J9" s="179"/>
      <c r="K9" s="179">
        <v>1012.17</v>
      </c>
      <c r="L9" s="179" t="s">
        <v>552</v>
      </c>
      <c r="M9" s="179">
        <v>59.99</v>
      </c>
      <c r="N9" s="179">
        <v>1496667600</v>
      </c>
      <c r="O9" s="179">
        <v>3.3</v>
      </c>
      <c r="P9" s="179">
        <v>202</v>
      </c>
      <c r="Q9" s="179">
        <v>2.14</v>
      </c>
      <c r="R9"/>
    </row>
    <row r="10" spans="1:18" x14ac:dyDescent="0.25">
      <c r="A10" s="179">
        <v>66.569999999999993</v>
      </c>
      <c r="B10" s="179">
        <v>0.33</v>
      </c>
      <c r="C10" s="179">
        <v>48.33</v>
      </c>
      <c r="D10" s="8">
        <v>42891.333333333336</v>
      </c>
      <c r="E10" s="179">
        <v>0.52</v>
      </c>
      <c r="F10" s="179" t="s">
        <v>551</v>
      </c>
      <c r="G10" s="179">
        <v>313.08999999999997</v>
      </c>
      <c r="H10" s="179">
        <v>0</v>
      </c>
      <c r="I10" s="179">
        <v>0</v>
      </c>
      <c r="J10" s="179"/>
      <c r="K10" s="179">
        <v>1011.22</v>
      </c>
      <c r="L10" s="179" t="s">
        <v>552</v>
      </c>
      <c r="M10" s="179">
        <v>66.569999999999993</v>
      </c>
      <c r="N10" s="179">
        <v>1496671200</v>
      </c>
      <c r="O10" s="179">
        <v>3.01</v>
      </c>
      <c r="P10" s="179">
        <v>161</v>
      </c>
      <c r="Q10" s="179">
        <v>1.1399999999999999</v>
      </c>
      <c r="R10"/>
    </row>
    <row r="11" spans="1:18" x14ac:dyDescent="0.25">
      <c r="A11" s="179">
        <v>72.06</v>
      </c>
      <c r="B11" s="179">
        <v>0.34</v>
      </c>
      <c r="C11" s="179">
        <v>49.03</v>
      </c>
      <c r="D11" s="8">
        <v>42891.375</v>
      </c>
      <c r="E11" s="179">
        <v>0.44</v>
      </c>
      <c r="F11" s="179" t="s">
        <v>551</v>
      </c>
      <c r="G11" s="179">
        <v>312.60000000000002</v>
      </c>
      <c r="H11" s="179">
        <v>0</v>
      </c>
      <c r="I11" s="179">
        <v>0</v>
      </c>
      <c r="J11" s="179"/>
      <c r="K11" s="179">
        <v>1010.57</v>
      </c>
      <c r="L11" s="179" t="s">
        <v>552</v>
      </c>
      <c r="M11" s="179">
        <v>72.06</v>
      </c>
      <c r="N11" s="179">
        <v>1496674800</v>
      </c>
      <c r="O11" s="179">
        <v>2.89</v>
      </c>
      <c r="P11" s="179">
        <v>41</v>
      </c>
      <c r="Q11" s="179">
        <v>0.44</v>
      </c>
      <c r="R11"/>
    </row>
    <row r="12" spans="1:18" x14ac:dyDescent="0.25">
      <c r="A12" s="179">
        <v>76.19</v>
      </c>
      <c r="B12" s="179">
        <v>0.37</v>
      </c>
      <c r="C12" s="179">
        <v>50.01</v>
      </c>
      <c r="D12" s="8">
        <v>42891.416666666664</v>
      </c>
      <c r="E12" s="179">
        <v>0.4</v>
      </c>
      <c r="F12" s="179" t="s">
        <v>551</v>
      </c>
      <c r="G12" s="179">
        <v>311.77999999999997</v>
      </c>
      <c r="H12" s="179">
        <v>0</v>
      </c>
      <c r="I12" s="179">
        <v>0</v>
      </c>
      <c r="J12" s="179"/>
      <c r="K12" s="179">
        <v>1010.19</v>
      </c>
      <c r="L12" s="179" t="s">
        <v>552</v>
      </c>
      <c r="M12" s="179">
        <v>76.19</v>
      </c>
      <c r="N12" s="179">
        <v>1496678400</v>
      </c>
      <c r="O12" s="179">
        <v>10</v>
      </c>
      <c r="P12" s="179">
        <v>49</v>
      </c>
      <c r="Q12" s="179">
        <v>0.86</v>
      </c>
      <c r="R12"/>
    </row>
    <row r="13" spans="1:18" x14ac:dyDescent="0.25">
      <c r="A13" s="179">
        <v>79.83</v>
      </c>
      <c r="B13" s="179">
        <v>0.4</v>
      </c>
      <c r="C13" s="179">
        <v>51.23</v>
      </c>
      <c r="D13" s="8">
        <v>42891.458333333336</v>
      </c>
      <c r="E13" s="179">
        <v>0.37</v>
      </c>
      <c r="F13" s="179" t="s">
        <v>551</v>
      </c>
      <c r="G13" s="179">
        <v>310.77</v>
      </c>
      <c r="H13" s="179">
        <v>0</v>
      </c>
      <c r="I13" s="179">
        <v>0</v>
      </c>
      <c r="J13" s="179"/>
      <c r="K13" s="179">
        <v>1009.95</v>
      </c>
      <c r="L13" s="179" t="s">
        <v>552</v>
      </c>
      <c r="M13" s="179">
        <v>79.83</v>
      </c>
      <c r="N13" s="179">
        <v>1496682000</v>
      </c>
      <c r="O13" s="179">
        <v>2.95</v>
      </c>
      <c r="P13" s="179">
        <v>43</v>
      </c>
      <c r="Q13" s="179">
        <v>1.88</v>
      </c>
      <c r="R13"/>
    </row>
    <row r="14" spans="1:18" x14ac:dyDescent="0.25">
      <c r="A14" s="179">
        <v>79.95</v>
      </c>
      <c r="B14" s="179">
        <v>0.42</v>
      </c>
      <c r="C14" s="179">
        <v>51.31</v>
      </c>
      <c r="D14" s="8">
        <v>42891.5</v>
      </c>
      <c r="E14" s="179">
        <v>0.36</v>
      </c>
      <c r="F14" s="179" t="s">
        <v>551</v>
      </c>
      <c r="G14" s="179">
        <v>309.99</v>
      </c>
      <c r="H14" s="179">
        <v>0</v>
      </c>
      <c r="I14" s="179">
        <v>0</v>
      </c>
      <c r="J14" s="179"/>
      <c r="K14" s="179">
        <v>1009.86</v>
      </c>
      <c r="L14" s="179" t="s">
        <v>552</v>
      </c>
      <c r="M14" s="179">
        <v>80.47</v>
      </c>
      <c r="N14" s="179">
        <v>1496685600</v>
      </c>
      <c r="O14" s="179">
        <v>3.03</v>
      </c>
      <c r="P14" s="179">
        <v>45</v>
      </c>
      <c r="Q14" s="179">
        <v>1.5</v>
      </c>
      <c r="R14"/>
    </row>
    <row r="15" spans="1:18" x14ac:dyDescent="0.25">
      <c r="A15" s="179">
        <v>79.569999999999993</v>
      </c>
      <c r="B15" s="179">
        <v>0.52</v>
      </c>
      <c r="C15" s="179">
        <v>51.21</v>
      </c>
      <c r="D15" s="8">
        <v>42891.541666666664</v>
      </c>
      <c r="E15" s="179">
        <v>0.37</v>
      </c>
      <c r="F15" s="179" t="s">
        <v>551</v>
      </c>
      <c r="G15" s="179">
        <v>309.60000000000002</v>
      </c>
      <c r="H15" s="179">
        <v>2E-3</v>
      </c>
      <c r="I15" s="179">
        <v>0.05</v>
      </c>
      <c r="J15" s="179" t="s">
        <v>829</v>
      </c>
      <c r="K15" s="179">
        <v>1009.97</v>
      </c>
      <c r="L15" s="179" t="s">
        <v>552</v>
      </c>
      <c r="M15" s="179">
        <v>79.569999999999993</v>
      </c>
      <c r="N15" s="179">
        <v>1496689200</v>
      </c>
      <c r="O15" s="179">
        <v>3.08</v>
      </c>
      <c r="P15" s="179">
        <v>305</v>
      </c>
      <c r="Q15" s="179">
        <v>1.95</v>
      </c>
      <c r="R15"/>
    </row>
    <row r="16" spans="1:18" x14ac:dyDescent="0.25">
      <c r="A16" s="179">
        <v>75.27</v>
      </c>
      <c r="B16" s="179">
        <v>0.64</v>
      </c>
      <c r="C16" s="179">
        <v>48.43</v>
      </c>
      <c r="D16" s="8">
        <v>42891.583333333336</v>
      </c>
      <c r="E16" s="179">
        <v>0.39</v>
      </c>
      <c r="F16" s="179" t="s">
        <v>551</v>
      </c>
      <c r="G16" s="179">
        <v>309.45</v>
      </c>
      <c r="H16" s="179">
        <v>3.8999999999999998E-3</v>
      </c>
      <c r="I16" s="179">
        <v>0.14000000000000001</v>
      </c>
      <c r="J16" s="179" t="s">
        <v>829</v>
      </c>
      <c r="K16" s="179">
        <v>1010.36</v>
      </c>
      <c r="L16" s="179" t="s">
        <v>830</v>
      </c>
      <c r="M16" s="179">
        <v>75.27</v>
      </c>
      <c r="N16" s="179">
        <v>1496692800</v>
      </c>
      <c r="O16" s="179">
        <v>3.05</v>
      </c>
      <c r="P16" s="179">
        <v>301</v>
      </c>
      <c r="Q16" s="179">
        <v>5.74</v>
      </c>
      <c r="R16"/>
    </row>
    <row r="17" spans="1:18" x14ac:dyDescent="0.25">
      <c r="A17" s="179">
        <v>79.349999999999994</v>
      </c>
      <c r="B17" s="179">
        <v>0.73</v>
      </c>
      <c r="C17" s="179">
        <v>46.66</v>
      </c>
      <c r="D17" s="8">
        <v>42891.625</v>
      </c>
      <c r="E17" s="179">
        <v>0.31</v>
      </c>
      <c r="F17" s="179" t="s">
        <v>551</v>
      </c>
      <c r="G17" s="179">
        <v>309.55</v>
      </c>
      <c r="H17" s="179">
        <v>4.7999999999999996E-3</v>
      </c>
      <c r="I17" s="179">
        <v>0.2</v>
      </c>
      <c r="J17" s="179" t="s">
        <v>829</v>
      </c>
      <c r="K17" s="179">
        <v>1010.68</v>
      </c>
      <c r="L17" s="179" t="s">
        <v>830</v>
      </c>
      <c r="M17" s="179">
        <v>80.16</v>
      </c>
      <c r="N17" s="179">
        <v>1496696400</v>
      </c>
      <c r="O17" s="179">
        <v>2.99</v>
      </c>
      <c r="P17" s="179">
        <v>283</v>
      </c>
      <c r="Q17" s="179">
        <v>3.77</v>
      </c>
      <c r="R17"/>
    </row>
    <row r="18" spans="1:18" x14ac:dyDescent="0.25">
      <c r="A18" s="179">
        <v>76.5</v>
      </c>
      <c r="B18" s="179">
        <v>0.76</v>
      </c>
      <c r="C18" s="179">
        <v>48.22</v>
      </c>
      <c r="D18" s="8">
        <v>42891.666666666664</v>
      </c>
      <c r="E18" s="179">
        <v>0.37</v>
      </c>
      <c r="F18" s="179" t="s">
        <v>551</v>
      </c>
      <c r="G18" s="179">
        <v>310.12</v>
      </c>
      <c r="H18" s="179">
        <v>3.7000000000000002E-3</v>
      </c>
      <c r="I18" s="179">
        <v>0.13</v>
      </c>
      <c r="J18" s="179" t="s">
        <v>829</v>
      </c>
      <c r="K18" s="179">
        <v>1011.32</v>
      </c>
      <c r="L18" s="179" t="s">
        <v>830</v>
      </c>
      <c r="M18" s="179">
        <v>76.5</v>
      </c>
      <c r="N18" s="179">
        <v>1496700000</v>
      </c>
      <c r="O18" s="179">
        <v>2.94</v>
      </c>
      <c r="P18" s="179">
        <v>279</v>
      </c>
      <c r="Q18" s="179">
        <v>6.32</v>
      </c>
      <c r="R18"/>
    </row>
    <row r="19" spans="1:18" x14ac:dyDescent="0.25">
      <c r="A19" s="179">
        <v>72.239999999999995</v>
      </c>
      <c r="B19" s="179">
        <v>0.75</v>
      </c>
      <c r="C19" s="179">
        <v>47.62</v>
      </c>
      <c r="D19" s="8">
        <v>42891.708333333336</v>
      </c>
      <c r="E19" s="179">
        <v>0.42</v>
      </c>
      <c r="F19" s="179" t="s">
        <v>551</v>
      </c>
      <c r="G19" s="179">
        <v>310.95</v>
      </c>
      <c r="H19" s="179">
        <v>2.0999999999999999E-3</v>
      </c>
      <c r="I19" s="179">
        <v>0.05</v>
      </c>
      <c r="J19" s="179" t="s">
        <v>829</v>
      </c>
      <c r="K19" s="179">
        <v>1012.12</v>
      </c>
      <c r="L19" s="179" t="s">
        <v>830</v>
      </c>
      <c r="M19" s="179">
        <v>72.239999999999995</v>
      </c>
      <c r="N19" s="179">
        <v>1496703600</v>
      </c>
      <c r="O19" s="179">
        <v>3.38</v>
      </c>
      <c r="P19" s="179">
        <v>250</v>
      </c>
      <c r="Q19" s="179">
        <v>4.33</v>
      </c>
      <c r="R19"/>
    </row>
    <row r="20" spans="1:18" x14ac:dyDescent="0.25">
      <c r="A20" s="179">
        <v>73.41</v>
      </c>
      <c r="B20" s="179">
        <v>0.67</v>
      </c>
      <c r="C20" s="179">
        <v>47.29</v>
      </c>
      <c r="D20" s="8">
        <v>42891.75</v>
      </c>
      <c r="E20" s="179">
        <v>0.4</v>
      </c>
      <c r="F20" s="179" t="s">
        <v>551</v>
      </c>
      <c r="G20" s="179">
        <v>311.32</v>
      </c>
      <c r="H20" s="179">
        <v>0</v>
      </c>
      <c r="I20" s="179">
        <v>0</v>
      </c>
      <c r="J20" s="179"/>
      <c r="K20" s="179">
        <v>1012.71</v>
      </c>
      <c r="L20" s="179" t="s">
        <v>830</v>
      </c>
      <c r="M20" s="179">
        <v>73.41</v>
      </c>
      <c r="N20" s="179">
        <v>1496707200</v>
      </c>
      <c r="O20" s="179">
        <v>3.55</v>
      </c>
      <c r="P20" s="179">
        <v>233</v>
      </c>
      <c r="Q20" s="179">
        <v>3.79</v>
      </c>
      <c r="R20"/>
    </row>
    <row r="21" spans="1:18" x14ac:dyDescent="0.25">
      <c r="A21" s="179">
        <v>72.83</v>
      </c>
      <c r="B21" s="179">
        <v>0.61</v>
      </c>
      <c r="C21" s="179">
        <v>46.73</v>
      </c>
      <c r="D21" s="8">
        <v>42891.791666666664</v>
      </c>
      <c r="E21" s="179">
        <v>0.39</v>
      </c>
      <c r="F21" s="179" t="s">
        <v>551</v>
      </c>
      <c r="G21" s="179">
        <v>310.74</v>
      </c>
      <c r="H21" s="179">
        <v>0</v>
      </c>
      <c r="I21" s="179">
        <v>0</v>
      </c>
      <c r="J21" s="179"/>
      <c r="K21" s="179">
        <v>1012.79</v>
      </c>
      <c r="L21" s="179" t="s">
        <v>830</v>
      </c>
      <c r="M21" s="179">
        <v>72.83</v>
      </c>
      <c r="N21" s="179">
        <v>1496710800</v>
      </c>
      <c r="O21" s="179">
        <v>3.74</v>
      </c>
      <c r="P21" s="179">
        <v>206</v>
      </c>
      <c r="Q21" s="179">
        <v>1.83</v>
      </c>
      <c r="R21"/>
    </row>
    <row r="22" spans="1:18" x14ac:dyDescent="0.25">
      <c r="A22" s="179">
        <v>70.39</v>
      </c>
      <c r="B22" s="179">
        <v>0.5</v>
      </c>
      <c r="C22" s="179">
        <v>47.6</v>
      </c>
      <c r="D22" s="8">
        <v>42891.833333333336</v>
      </c>
      <c r="E22" s="179">
        <v>0.44</v>
      </c>
      <c r="F22" s="179" t="s">
        <v>551</v>
      </c>
      <c r="G22" s="179">
        <v>309.70999999999998</v>
      </c>
      <c r="H22" s="179">
        <v>0</v>
      </c>
      <c r="I22" s="179">
        <v>0</v>
      </c>
      <c r="J22" s="179"/>
      <c r="K22" s="179">
        <v>1012.57</v>
      </c>
      <c r="L22" s="179" t="s">
        <v>552</v>
      </c>
      <c r="M22" s="179">
        <v>70.39</v>
      </c>
      <c r="N22" s="179">
        <v>1496714400</v>
      </c>
      <c r="O22" s="179">
        <v>4.24</v>
      </c>
      <c r="P22" s="179">
        <v>165</v>
      </c>
      <c r="Q22" s="179">
        <v>2.64</v>
      </c>
      <c r="R22"/>
    </row>
    <row r="23" spans="1:18" x14ac:dyDescent="0.25">
      <c r="A23" s="179">
        <v>67.08</v>
      </c>
      <c r="B23" s="179">
        <v>0.39</v>
      </c>
      <c r="C23" s="179">
        <v>47.75</v>
      </c>
      <c r="D23" s="8">
        <v>42891.875</v>
      </c>
      <c r="E23" s="179">
        <v>0.5</v>
      </c>
      <c r="F23" s="179" t="s">
        <v>828</v>
      </c>
      <c r="G23" s="179">
        <v>308.97000000000003</v>
      </c>
      <c r="H23" s="179">
        <v>0</v>
      </c>
      <c r="I23" s="179">
        <v>0</v>
      </c>
      <c r="J23" s="179"/>
      <c r="K23" s="179">
        <v>1012.71</v>
      </c>
      <c r="L23" s="179" t="s">
        <v>552</v>
      </c>
      <c r="M23" s="179">
        <v>67.08</v>
      </c>
      <c r="N23" s="179">
        <v>1496718000</v>
      </c>
      <c r="O23" s="179">
        <v>5.12</v>
      </c>
      <c r="P23" s="179">
        <v>149</v>
      </c>
      <c r="Q23" s="179">
        <v>2.41</v>
      </c>
      <c r="R23"/>
    </row>
    <row r="24" spans="1:18" x14ac:dyDescent="0.25">
      <c r="A24" s="179">
        <v>65.459999999999994</v>
      </c>
      <c r="B24" s="179">
        <v>0.37</v>
      </c>
      <c r="C24" s="179">
        <v>48.87</v>
      </c>
      <c r="D24" s="8">
        <v>42891.916666666664</v>
      </c>
      <c r="E24" s="179">
        <v>0.55000000000000004</v>
      </c>
      <c r="F24" s="179" t="s">
        <v>828</v>
      </c>
      <c r="G24" s="179">
        <v>308.76</v>
      </c>
      <c r="H24" s="179">
        <v>0</v>
      </c>
      <c r="I24" s="179">
        <v>0</v>
      </c>
      <c r="J24" s="179"/>
      <c r="K24" s="179">
        <v>1013.71</v>
      </c>
      <c r="L24" s="179" t="s">
        <v>552</v>
      </c>
      <c r="M24" s="179">
        <v>65.459999999999994</v>
      </c>
      <c r="N24" s="179">
        <v>1496721600</v>
      </c>
      <c r="O24" s="179">
        <v>4.3499999999999996</v>
      </c>
      <c r="P24" s="179">
        <v>221</v>
      </c>
      <c r="Q24" s="179">
        <v>2.29</v>
      </c>
      <c r="R24"/>
    </row>
    <row r="25" spans="1:18" x14ac:dyDescent="0.25">
      <c r="A25" s="179">
        <v>62.35</v>
      </c>
      <c r="B25" s="179">
        <v>0.35</v>
      </c>
      <c r="C25" s="179">
        <v>48.1</v>
      </c>
      <c r="D25" s="8">
        <v>42891.958333333336</v>
      </c>
      <c r="E25" s="179">
        <v>0.6</v>
      </c>
      <c r="F25" s="179" t="s">
        <v>828</v>
      </c>
      <c r="G25" s="179">
        <v>308.83999999999997</v>
      </c>
      <c r="H25" s="179">
        <v>0</v>
      </c>
      <c r="I25" s="179">
        <v>0</v>
      </c>
      <c r="J25" s="179"/>
      <c r="K25" s="179">
        <v>1015.05</v>
      </c>
      <c r="L25" s="179" t="s">
        <v>552</v>
      </c>
      <c r="M25" s="179">
        <v>62.35</v>
      </c>
      <c r="N25" s="179">
        <v>1496725200</v>
      </c>
      <c r="O25" s="179">
        <v>3.15</v>
      </c>
      <c r="P25" s="179">
        <v>157</v>
      </c>
      <c r="Q25" s="179">
        <v>1.89</v>
      </c>
      <c r="R25"/>
    </row>
    <row r="26" spans="1:18" x14ac:dyDescent="0.25">
      <c r="A26" s="179">
        <v>60.32</v>
      </c>
      <c r="B26" s="179">
        <v>0.16</v>
      </c>
      <c r="C26" s="179">
        <v>47.69</v>
      </c>
      <c r="D26" s="8">
        <v>42892</v>
      </c>
      <c r="E26" s="179">
        <v>0.63</v>
      </c>
      <c r="F26" s="179" t="s">
        <v>468</v>
      </c>
      <c r="G26" s="179">
        <v>309.27</v>
      </c>
      <c r="H26" s="179">
        <v>0</v>
      </c>
      <c r="I26" s="179">
        <v>0</v>
      </c>
      <c r="J26" s="179"/>
      <c r="K26" s="179">
        <v>1015.94</v>
      </c>
      <c r="L26" s="179" t="s">
        <v>469</v>
      </c>
      <c r="M26" s="179">
        <v>60.32</v>
      </c>
      <c r="N26" s="179">
        <v>1496728800</v>
      </c>
      <c r="O26" s="179">
        <v>2.72</v>
      </c>
      <c r="P26" s="179">
        <v>152</v>
      </c>
      <c r="Q26" s="179">
        <v>2.0699999999999998</v>
      </c>
      <c r="R26"/>
    </row>
    <row r="27" spans="1:18" x14ac:dyDescent="0.25">
      <c r="A27" s="179">
        <v>59.29</v>
      </c>
      <c r="B27" s="179">
        <v>0.16</v>
      </c>
      <c r="C27" s="179">
        <v>48.44</v>
      </c>
      <c r="D27" s="8">
        <v>42892.041666666664</v>
      </c>
      <c r="E27" s="179">
        <v>0.67</v>
      </c>
      <c r="F27" s="179" t="s">
        <v>468</v>
      </c>
      <c r="G27" s="179">
        <v>310.43</v>
      </c>
      <c r="H27" s="179">
        <v>0</v>
      </c>
      <c r="I27" s="179">
        <v>0</v>
      </c>
      <c r="J27" s="179"/>
      <c r="K27" s="179">
        <v>1015.64</v>
      </c>
      <c r="L27" s="179" t="s">
        <v>469</v>
      </c>
      <c r="M27" s="179">
        <v>59.29</v>
      </c>
      <c r="N27" s="179">
        <v>1496732400</v>
      </c>
      <c r="O27" s="179">
        <v>2.65</v>
      </c>
      <c r="P27" s="179">
        <v>173</v>
      </c>
      <c r="Q27" s="179">
        <v>1.54</v>
      </c>
      <c r="R27"/>
    </row>
    <row r="28" spans="1:18" x14ac:dyDescent="0.25">
      <c r="A28" s="179">
        <v>57.76</v>
      </c>
      <c r="B28" s="179">
        <v>0.24</v>
      </c>
      <c r="C28" s="179">
        <v>48.1</v>
      </c>
      <c r="D28" s="8">
        <v>42892.083333333336</v>
      </c>
      <c r="E28" s="179">
        <v>0.7</v>
      </c>
      <c r="F28" s="179" t="s">
        <v>468</v>
      </c>
      <c r="G28" s="179">
        <v>311.58999999999997</v>
      </c>
      <c r="H28" s="179">
        <v>0</v>
      </c>
      <c r="I28" s="179">
        <v>0</v>
      </c>
      <c r="J28" s="179"/>
      <c r="K28" s="179">
        <v>1015.51</v>
      </c>
      <c r="L28" s="179" t="s">
        <v>469</v>
      </c>
      <c r="M28" s="179">
        <v>57.76</v>
      </c>
      <c r="N28" s="179">
        <v>1496736000</v>
      </c>
      <c r="O28" s="179">
        <v>2.41</v>
      </c>
      <c r="P28" s="179">
        <v>276</v>
      </c>
      <c r="Q28" s="179">
        <v>1.96</v>
      </c>
      <c r="R28"/>
    </row>
    <row r="29" spans="1:18" x14ac:dyDescent="0.25">
      <c r="A29" s="179">
        <v>57.27</v>
      </c>
      <c r="B29" s="179">
        <v>0.3</v>
      </c>
      <c r="C29" s="179">
        <v>46.75</v>
      </c>
      <c r="D29" s="8">
        <v>42892.125</v>
      </c>
      <c r="E29" s="179">
        <v>0.68</v>
      </c>
      <c r="F29" s="179" t="s">
        <v>828</v>
      </c>
      <c r="G29" s="179">
        <v>312.76</v>
      </c>
      <c r="H29" s="179">
        <v>0</v>
      </c>
      <c r="I29" s="179">
        <v>0</v>
      </c>
      <c r="J29" s="179"/>
      <c r="K29" s="179">
        <v>1015.36</v>
      </c>
      <c r="L29" s="179" t="s">
        <v>552</v>
      </c>
      <c r="M29" s="179">
        <v>57.27</v>
      </c>
      <c r="N29" s="179">
        <v>1496739600</v>
      </c>
      <c r="O29" s="179">
        <v>2.09</v>
      </c>
      <c r="P29" s="179">
        <v>315</v>
      </c>
      <c r="Q29" s="179">
        <v>1.83</v>
      </c>
      <c r="R29"/>
    </row>
    <row r="30" spans="1:18" x14ac:dyDescent="0.25">
      <c r="A30" s="143"/>
      <c r="B30" s="143"/>
      <c r="C30" s="143"/>
      <c r="D30" s="8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</row>
    <row r="31" spans="1:18" x14ac:dyDescent="0.25">
      <c r="A31" s="144" t="s">
        <v>185</v>
      </c>
    </row>
    <row r="33" spans="1:1" x14ac:dyDescent="0.25">
      <c r="A33" s="144" t="s">
        <v>177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40"/>
  <sheetViews>
    <sheetView workbookViewId="0">
      <selection activeCell="I17" sqref="I17"/>
    </sheetView>
  </sheetViews>
  <sheetFormatPr defaultRowHeight="15" x14ac:dyDescent="0.25"/>
  <cols>
    <col min="1" max="1" width="32.140625" customWidth="1"/>
    <col min="3" max="3" width="24" customWidth="1"/>
    <col min="4" max="4" width="19.140625" style="59" customWidth="1"/>
    <col min="10" max="10" width="24.28515625" style="143" bestFit="1" customWidth="1"/>
    <col min="11" max="11" width="15.28515625" style="143" hidden="1" customWidth="1"/>
    <col min="12" max="12" width="13.5703125" style="143" hidden="1" customWidth="1"/>
    <col min="13" max="13" width="9" style="157" bestFit="1" customWidth="1"/>
    <col min="14" max="17" width="9.140625" style="143"/>
    <col min="20" max="24" width="9.140625" style="157"/>
  </cols>
  <sheetData>
    <row r="1" spans="1:24" ht="45.75" x14ac:dyDescent="0.3">
      <c r="A1" s="11" t="s">
        <v>25</v>
      </c>
      <c r="C1" s="122" t="s">
        <v>99</v>
      </c>
      <c r="D1" s="123" t="s">
        <v>100</v>
      </c>
      <c r="J1" s="149" t="s">
        <v>101</v>
      </c>
      <c r="K1" s="149" t="s">
        <v>66</v>
      </c>
      <c r="L1" s="149" t="s">
        <v>67</v>
      </c>
      <c r="O1" s="150" t="s">
        <v>102</v>
      </c>
      <c r="T1" s="159" t="s">
        <v>336</v>
      </c>
      <c r="U1" s="159"/>
      <c r="V1" s="159"/>
      <c r="W1" s="159"/>
      <c r="X1" s="159"/>
    </row>
    <row r="2" spans="1:24" ht="15.75" thickBot="1" x14ac:dyDescent="0.3">
      <c r="A2" s="12">
        <v>42891</v>
      </c>
      <c r="B2" s="4"/>
      <c r="C2" s="124">
        <v>50</v>
      </c>
      <c r="D2" s="125">
        <v>25</v>
      </c>
      <c r="F2" t="s">
        <v>113</v>
      </c>
      <c r="J2" s="149"/>
      <c r="K2" s="149" t="s">
        <v>66</v>
      </c>
      <c r="L2" s="149" t="s">
        <v>67</v>
      </c>
      <c r="T2" s="158" t="s">
        <v>337</v>
      </c>
      <c r="U2" s="158">
        <v>167</v>
      </c>
      <c r="V2" s="158">
        <v>168</v>
      </c>
      <c r="W2" s="158">
        <v>199</v>
      </c>
      <c r="X2" s="158">
        <v>200</v>
      </c>
    </row>
    <row r="3" spans="1:24" x14ac:dyDescent="0.25">
      <c r="C3" s="59"/>
      <c r="F3" t="s">
        <v>52</v>
      </c>
      <c r="J3" s="151" t="s">
        <v>68</v>
      </c>
      <c r="K3" s="152">
        <v>2.7052</v>
      </c>
      <c r="L3" s="152">
        <v>2.7349999999999999</v>
      </c>
      <c r="M3" s="157">
        <f t="shared" ref="M3:M14" si="0">AVERAGE(K3:L3)</f>
        <v>2.7201</v>
      </c>
      <c r="O3" s="143" t="s">
        <v>103</v>
      </c>
      <c r="P3" s="143">
        <f>AVERAGE(1.0714,1.1016)</f>
        <v>1.0865</v>
      </c>
      <c r="T3" s="158" t="s">
        <v>338</v>
      </c>
      <c r="U3" s="158">
        <v>174</v>
      </c>
      <c r="V3" s="158">
        <v>176</v>
      </c>
      <c r="W3" s="158">
        <v>207</v>
      </c>
      <c r="X3" s="158">
        <v>210</v>
      </c>
    </row>
    <row r="4" spans="1:24" ht="45" x14ac:dyDescent="0.25">
      <c r="C4" s="122" t="s">
        <v>99</v>
      </c>
      <c r="D4" s="123" t="s">
        <v>100</v>
      </c>
      <c r="F4" t="s">
        <v>53</v>
      </c>
      <c r="J4" s="151" t="s">
        <v>69</v>
      </c>
      <c r="K4" s="152">
        <v>3.0830000000000002</v>
      </c>
      <c r="L4" s="152">
        <v>3.097</v>
      </c>
      <c r="M4" s="157">
        <f t="shared" si="0"/>
        <v>3.09</v>
      </c>
      <c r="T4" s="158" t="s">
        <v>339</v>
      </c>
      <c r="U4" s="158">
        <v>173</v>
      </c>
      <c r="V4" s="158">
        <v>175</v>
      </c>
      <c r="W4" s="158">
        <v>208</v>
      </c>
      <c r="X4" s="158">
        <v>209</v>
      </c>
    </row>
    <row r="5" spans="1:24" x14ac:dyDescent="0.25">
      <c r="C5" s="59">
        <v>30</v>
      </c>
      <c r="D5" s="59">
        <v>9</v>
      </c>
      <c r="J5" s="151" t="s">
        <v>70</v>
      </c>
      <c r="K5" s="152">
        <v>3.3136000000000001</v>
      </c>
      <c r="L5" s="152">
        <v>3.3256999999999999</v>
      </c>
      <c r="M5" s="157">
        <f t="shared" si="0"/>
        <v>3.3196500000000002</v>
      </c>
      <c r="T5" s="158" t="s">
        <v>340</v>
      </c>
      <c r="U5" s="158">
        <v>187</v>
      </c>
      <c r="V5" s="158">
        <v>188</v>
      </c>
      <c r="W5" s="158">
        <v>223</v>
      </c>
      <c r="X5" s="158">
        <v>224</v>
      </c>
    </row>
    <row r="6" spans="1:24" x14ac:dyDescent="0.25">
      <c r="C6" s="59"/>
      <c r="F6" t="s">
        <v>114</v>
      </c>
      <c r="J6" s="151" t="s">
        <v>71</v>
      </c>
      <c r="K6" s="152">
        <v>4.2778999999999998</v>
      </c>
      <c r="L6" s="152">
        <v>4.2961</v>
      </c>
      <c r="M6" s="157">
        <f t="shared" si="0"/>
        <v>4.2869999999999999</v>
      </c>
      <c r="T6" s="158"/>
      <c r="U6" s="158"/>
      <c r="V6" s="158"/>
      <c r="W6" s="158"/>
      <c r="X6" s="158"/>
    </row>
    <row r="7" spans="1:24" x14ac:dyDescent="0.25">
      <c r="C7" s="59"/>
      <c r="F7" t="s">
        <v>460</v>
      </c>
      <c r="J7" s="151" t="s">
        <v>72</v>
      </c>
      <c r="K7" s="152">
        <v>4.7865000000000002</v>
      </c>
      <c r="L7" s="152">
        <v>4.8048000000000002</v>
      </c>
      <c r="M7" s="157">
        <f t="shared" si="0"/>
        <v>4.7956500000000002</v>
      </c>
      <c r="T7" s="158"/>
      <c r="U7" s="158"/>
      <c r="V7" s="158"/>
      <c r="W7" s="158"/>
      <c r="X7" s="158"/>
    </row>
    <row r="8" spans="1:24" x14ac:dyDescent="0.25">
      <c r="C8" s="59"/>
      <c r="F8" t="s">
        <v>461</v>
      </c>
      <c r="J8" s="151" t="s">
        <v>73</v>
      </c>
      <c r="K8" s="152">
        <v>5.3155000000000001</v>
      </c>
      <c r="L8" s="152">
        <v>5.3277000000000001</v>
      </c>
      <c r="M8" s="157">
        <f t="shared" si="0"/>
        <v>5.3216000000000001</v>
      </c>
      <c r="T8" s="158"/>
      <c r="U8" s="158"/>
      <c r="V8" s="158"/>
      <c r="W8" s="158"/>
      <c r="X8" s="158"/>
    </row>
    <row r="9" spans="1:24" x14ac:dyDescent="0.25">
      <c r="C9" s="59"/>
      <c r="J9" s="151" t="s">
        <v>74</v>
      </c>
      <c r="K9" s="152">
        <v>5.8117000000000001</v>
      </c>
      <c r="L9" s="152">
        <v>5.8300999999999998</v>
      </c>
      <c r="M9" s="157">
        <f t="shared" si="0"/>
        <v>5.8209</v>
      </c>
      <c r="T9" s="158"/>
      <c r="U9" s="158"/>
      <c r="V9" s="158"/>
      <c r="W9" s="158"/>
      <c r="X9" s="158"/>
    </row>
    <row r="10" spans="1:24" x14ac:dyDescent="0.25">
      <c r="C10" s="59"/>
      <c r="J10" s="151" t="s">
        <v>75</v>
      </c>
      <c r="K10" s="152">
        <v>5.8783000000000003</v>
      </c>
      <c r="L10" s="152">
        <v>5.8903999999999996</v>
      </c>
      <c r="M10" s="157">
        <f t="shared" si="0"/>
        <v>5.8843499999999995</v>
      </c>
      <c r="T10" s="158"/>
      <c r="U10" s="158"/>
      <c r="V10" s="158"/>
      <c r="W10" s="158"/>
      <c r="X10" s="158"/>
    </row>
    <row r="11" spans="1:24" x14ac:dyDescent="0.25">
      <c r="C11" s="59"/>
      <c r="J11" s="151" t="s">
        <v>76</v>
      </c>
      <c r="K11" s="152">
        <v>6.3068</v>
      </c>
      <c r="L11" s="152">
        <v>6.3308999999999997</v>
      </c>
      <c r="M11" s="157">
        <f t="shared" si="0"/>
        <v>6.3188499999999994</v>
      </c>
      <c r="T11" s="158"/>
      <c r="U11" s="158"/>
      <c r="V11" s="158"/>
      <c r="W11" s="158"/>
      <c r="X11" s="158"/>
    </row>
    <row r="12" spans="1:24" x14ac:dyDescent="0.25">
      <c r="C12" s="59"/>
      <c r="J12" s="151" t="s">
        <v>77</v>
      </c>
      <c r="K12" s="152">
        <v>7.8349000000000002</v>
      </c>
      <c r="L12" s="152">
        <v>7.8468999999999998</v>
      </c>
      <c r="M12" s="157">
        <f t="shared" si="0"/>
        <v>7.8408999999999995</v>
      </c>
      <c r="T12" s="158"/>
      <c r="U12" s="158"/>
      <c r="V12" s="158"/>
      <c r="W12" s="158"/>
      <c r="X12" s="158"/>
    </row>
    <row r="13" spans="1:24" x14ac:dyDescent="0.25">
      <c r="C13" s="59"/>
      <c r="J13" s="151" t="s">
        <v>78</v>
      </c>
      <c r="K13" s="152">
        <v>10.373799999999999</v>
      </c>
      <c r="L13" s="152">
        <v>10.38</v>
      </c>
      <c r="M13" s="157">
        <f t="shared" si="0"/>
        <v>10.376899999999999</v>
      </c>
      <c r="T13" s="158"/>
      <c r="U13" s="158"/>
      <c r="V13" s="158"/>
      <c r="W13" s="158"/>
      <c r="X13" s="158"/>
    </row>
    <row r="14" spans="1:24" x14ac:dyDescent="0.25">
      <c r="C14" s="59"/>
      <c r="J14" s="151" t="s">
        <v>79</v>
      </c>
      <c r="K14" s="152">
        <v>10.8954</v>
      </c>
      <c r="L14" s="152">
        <v>10.913500000000001</v>
      </c>
      <c r="M14" s="157">
        <f t="shared" si="0"/>
        <v>10.904450000000001</v>
      </c>
      <c r="T14" s="158"/>
      <c r="U14" s="158"/>
      <c r="V14" s="158"/>
      <c r="W14" s="158"/>
      <c r="X14" s="158"/>
    </row>
    <row r="15" spans="1:24" x14ac:dyDescent="0.25">
      <c r="C15" s="59"/>
      <c r="J15" s="151"/>
      <c r="K15" s="152"/>
      <c r="L15" s="152"/>
      <c r="T15" s="158"/>
      <c r="U15" s="158"/>
      <c r="V15" s="158"/>
      <c r="W15" s="158"/>
      <c r="X15" s="158"/>
    </row>
    <row r="16" spans="1:24" x14ac:dyDescent="0.25">
      <c r="C16" s="59"/>
      <c r="J16" s="151"/>
      <c r="K16" s="152"/>
      <c r="L16" s="152"/>
      <c r="T16" s="158"/>
      <c r="U16" s="158"/>
      <c r="V16" s="158"/>
      <c r="W16" s="158"/>
      <c r="X16" s="158"/>
    </row>
    <row r="17" spans="3:24" x14ac:dyDescent="0.25">
      <c r="C17" s="140" t="s">
        <v>186</v>
      </c>
      <c r="J17" s="151"/>
      <c r="K17" s="152"/>
      <c r="L17" s="152"/>
      <c r="T17" s="158"/>
      <c r="U17" s="158"/>
      <c r="V17" s="158"/>
      <c r="W17" s="158"/>
      <c r="X17" s="158"/>
    </row>
    <row r="18" spans="3:24" x14ac:dyDescent="0.25">
      <c r="C18" t="s">
        <v>1011</v>
      </c>
      <c r="J18" s="151" t="s">
        <v>85</v>
      </c>
      <c r="K18" s="152"/>
      <c r="L18" s="152"/>
      <c r="M18" s="157" t="str">
        <f>"""C:\Program Files (x86)\AstroGrep\AstroGrep.exe"""</f>
        <v>"C:\Program Files (x86)\AstroGrep\AstroGrep.exe"</v>
      </c>
      <c r="T18" s="158"/>
      <c r="U18" s="158"/>
      <c r="V18" s="158"/>
      <c r="W18" s="158"/>
      <c r="X18" s="158"/>
    </row>
    <row r="19" spans="3:24" x14ac:dyDescent="0.25">
      <c r="C19" t="s">
        <v>1012</v>
      </c>
      <c r="J19" s="151" t="s">
        <v>86</v>
      </c>
      <c r="K19" s="152"/>
      <c r="L19" s="152"/>
      <c r="M19" s="157" t="s">
        <v>112</v>
      </c>
      <c r="T19" s="158"/>
      <c r="U19" s="158"/>
      <c r="V19" s="158"/>
      <c r="W19" s="158"/>
      <c r="X19" s="158"/>
    </row>
    <row r="20" spans="3:24" x14ac:dyDescent="0.25">
      <c r="C20" t="s">
        <v>1013</v>
      </c>
      <c r="J20" s="143" t="s">
        <v>87</v>
      </c>
      <c r="M20" s="157" t="s">
        <v>365</v>
      </c>
      <c r="N20" s="157" t="s">
        <v>335</v>
      </c>
      <c r="T20" s="158"/>
      <c r="U20" s="158"/>
      <c r="V20" s="158"/>
      <c r="W20" s="158"/>
      <c r="X20" s="158"/>
    </row>
    <row r="21" spans="3:24" x14ac:dyDescent="0.25">
      <c r="C21" t="s">
        <v>1014</v>
      </c>
      <c r="J21" s="143" t="s">
        <v>90</v>
      </c>
      <c r="K21" s="143" t="s">
        <v>91</v>
      </c>
      <c r="M21" s="157" t="s">
        <v>176</v>
      </c>
      <c r="T21" s="158"/>
      <c r="U21" s="158"/>
      <c r="V21" s="158"/>
      <c r="W21" s="158"/>
      <c r="X21" s="158"/>
    </row>
    <row r="22" spans="3:24" x14ac:dyDescent="0.25">
      <c r="C22" t="s">
        <v>1015</v>
      </c>
      <c r="J22" s="143" t="s">
        <v>92</v>
      </c>
      <c r="K22" s="143" t="s">
        <v>93</v>
      </c>
      <c r="M22" s="157" t="s">
        <v>111</v>
      </c>
      <c r="T22" s="158"/>
      <c r="U22" s="158"/>
      <c r="V22" s="158"/>
      <c r="W22" s="158"/>
      <c r="X22" s="158"/>
    </row>
    <row r="23" spans="3:24" x14ac:dyDescent="0.25">
      <c r="C23" t="s">
        <v>1016</v>
      </c>
      <c r="J23" s="153" t="s">
        <v>95</v>
      </c>
      <c r="M23" s="157" t="str">
        <f>"-06"</f>
        <v>-06</v>
      </c>
      <c r="T23" s="158"/>
      <c r="U23" s="158"/>
      <c r="V23" s="158"/>
      <c r="W23" s="158"/>
      <c r="X23" s="158"/>
    </row>
    <row r="24" spans="3:24" x14ac:dyDescent="0.25">
      <c r="C24" t="s">
        <v>1017</v>
      </c>
      <c r="J24" s="143" t="s">
        <v>108</v>
      </c>
      <c r="M24" s="157" t="s">
        <v>110</v>
      </c>
      <c r="T24" s="158"/>
      <c r="U24" s="158"/>
      <c r="V24" s="158"/>
      <c r="W24" s="158"/>
      <c r="X24" s="158"/>
    </row>
    <row r="25" spans="3:24" x14ac:dyDescent="0.25">
      <c r="C25" t="s">
        <v>1018</v>
      </c>
      <c r="J25" s="143" t="s">
        <v>148</v>
      </c>
      <c r="M25" s="157" t="b">
        <v>1</v>
      </c>
    </row>
    <row r="26" spans="3:24" x14ac:dyDescent="0.25">
      <c r="C26" t="s">
        <v>1019</v>
      </c>
      <c r="J26" s="143" t="s">
        <v>149</v>
      </c>
      <c r="M26" s="157" t="str">
        <f>"C:\Users\stu\Documents\GitHub\eaglep3-reporting\EC\"&amp;TEXT(A2,"yyyy-mm-dd")&amp;"-refined-times.txt"</f>
        <v>C:\Users\stu\Documents\GitHub\eaglep3-reporting\EC\2017-06-05-refined-times.txt</v>
      </c>
    </row>
    <row r="27" spans="3:24" x14ac:dyDescent="0.25">
      <c r="C27" t="s">
        <v>1020</v>
      </c>
      <c r="J27" s="143" t="s">
        <v>178</v>
      </c>
      <c r="M27" s="157" t="str">
        <f>"C:\Users\stu\Documents\GitHub\eaglep3-reporting\EC\"&amp;TEXT(A2,"YYYY-MM-DD")&amp;"-Enforcements.txt"</f>
        <v>C:\Users\stu\Documents\GitHub\eaglep3-reporting\EC\2017-06-05-Enforcements.txt</v>
      </c>
    </row>
    <row r="28" spans="3:24" x14ac:dyDescent="0.25">
      <c r="C28" t="s">
        <v>1021</v>
      </c>
      <c r="J28" s="143" t="s">
        <v>179</v>
      </c>
      <c r="M28" s="157" t="str">
        <f>"C:\Users\stu\Documents\GitHub\eaglep3-reporting\EC\"&amp;TEXT(A2,"YYYY-MM-DD")&amp;"-Runs-refined.txt"</f>
        <v>C:\Users\stu\Documents\GitHub\eaglep3-reporting\EC\2017-06-05-Runs-refined.txt</v>
      </c>
    </row>
    <row r="29" spans="3:24" x14ac:dyDescent="0.25">
      <c r="C29" t="s">
        <v>1022</v>
      </c>
      <c r="J29" s="143" t="s">
        <v>180</v>
      </c>
      <c r="M29" s="157" t="str">
        <f>"C:\Users\stu\Documents\GitHub\eaglep3-reporting\EC\"&amp;TEXT(A2,"YYYY-MM-DD")&amp;"-Trips.txt"</f>
        <v>C:\Users\stu\Documents\GitHub\eaglep3-reporting\EC\2017-06-05-Trips.txt</v>
      </c>
    </row>
    <row r="30" spans="3:24" x14ac:dyDescent="0.25">
      <c r="C30" t="s">
        <v>1023</v>
      </c>
      <c r="J30" s="143" t="s">
        <v>181</v>
      </c>
      <c r="M30" s="157" t="str">
        <f>"C:\Users\stu\Documents\GitHub\eaglep3-reporting\EC\"&amp;TEXT(A2,"YYYY-MM-DD")&amp;"-Weather.txt"</f>
        <v>C:\Users\stu\Documents\GitHub\eaglep3-reporting\EC\2017-06-05-Weather.txt</v>
      </c>
    </row>
    <row r="31" spans="3:24" x14ac:dyDescent="0.25">
      <c r="C31" t="s">
        <v>1024</v>
      </c>
      <c r="J31" s="143" t="s">
        <v>198</v>
      </c>
      <c r="M31" s="157" t="s">
        <v>199</v>
      </c>
    </row>
    <row r="32" spans="3:24" x14ac:dyDescent="0.25">
      <c r="C32" t="s">
        <v>1025</v>
      </c>
    </row>
    <row r="33" spans="3:3" x14ac:dyDescent="0.25">
      <c r="C33" t="s">
        <v>1026</v>
      </c>
    </row>
    <row r="34" spans="3:3" x14ac:dyDescent="0.25">
      <c r="C34" t="s">
        <v>1027</v>
      </c>
    </row>
    <row r="35" spans="3:3" x14ac:dyDescent="0.25">
      <c r="C35" t="s">
        <v>1028</v>
      </c>
    </row>
    <row r="36" spans="3:3" x14ac:dyDescent="0.25">
      <c r="C36" t="s">
        <v>1029</v>
      </c>
    </row>
    <row r="37" spans="3:3" x14ac:dyDescent="0.25">
      <c r="C37" t="s">
        <v>1030</v>
      </c>
    </row>
    <row r="38" spans="3:3" x14ac:dyDescent="0.25">
      <c r="C38" t="s">
        <v>1031</v>
      </c>
    </row>
    <row r="39" spans="3:3" x14ac:dyDescent="0.25">
      <c r="C39" t="s">
        <v>1032</v>
      </c>
    </row>
    <row r="40" spans="3:3" x14ac:dyDescent="0.25">
      <c r="C40" t="s">
        <v>1033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6" bestFit="1" customWidth="1"/>
    <col min="2" max="7" width="9.140625" style="96"/>
    <col min="8" max="8" width="17.7109375" style="96" bestFit="1" customWidth="1"/>
    <col min="9" max="10" width="9.140625" style="165"/>
    <col min="11" max="16384" width="9.140625" style="96"/>
  </cols>
  <sheetData>
    <row r="1" spans="1:11" x14ac:dyDescent="0.25">
      <c r="A1" s="95" t="s">
        <v>119</v>
      </c>
      <c r="B1" s="95" t="s">
        <v>120</v>
      </c>
      <c r="C1" s="96" t="s">
        <v>121</v>
      </c>
      <c r="H1" t="s">
        <v>115</v>
      </c>
      <c r="I1" s="163" t="s">
        <v>117</v>
      </c>
      <c r="J1" s="157" t="s">
        <v>347</v>
      </c>
    </row>
    <row r="2" spans="1:11" x14ac:dyDescent="0.25">
      <c r="A2" s="96" t="s">
        <v>122</v>
      </c>
      <c r="B2" s="96" t="s">
        <v>123</v>
      </c>
      <c r="C2" s="96" t="s">
        <v>124</v>
      </c>
      <c r="H2" t="s">
        <v>116</v>
      </c>
      <c r="I2" s="157" t="s">
        <v>118</v>
      </c>
      <c r="J2" s="157" t="s">
        <v>348</v>
      </c>
    </row>
    <row r="3" spans="1:11" x14ac:dyDescent="0.25">
      <c r="A3" s="96" t="s">
        <v>125</v>
      </c>
      <c r="B3" s="96" t="s">
        <v>126</v>
      </c>
      <c r="C3" s="96" t="s">
        <v>127</v>
      </c>
      <c r="H3" t="s">
        <v>141</v>
      </c>
      <c r="I3" s="157">
        <v>1</v>
      </c>
      <c r="J3" s="157">
        <v>1</v>
      </c>
      <c r="K3" s="58"/>
    </row>
    <row r="4" spans="1:11" x14ac:dyDescent="0.25">
      <c r="A4" s="96" t="s">
        <v>128</v>
      </c>
      <c r="C4" s="96" t="s">
        <v>129</v>
      </c>
      <c r="H4" t="s">
        <v>142</v>
      </c>
      <c r="I4" s="157">
        <v>2</v>
      </c>
      <c r="J4" s="157">
        <v>1</v>
      </c>
      <c r="K4" s="58"/>
    </row>
    <row r="5" spans="1:11" x14ac:dyDescent="0.25">
      <c r="A5" s="96" t="s">
        <v>130</v>
      </c>
      <c r="C5" s="96" t="s">
        <v>131</v>
      </c>
      <c r="H5" t="s">
        <v>143</v>
      </c>
      <c r="I5" s="157">
        <v>23</v>
      </c>
      <c r="J5" s="157">
        <v>10</v>
      </c>
      <c r="K5" s="58"/>
    </row>
    <row r="6" spans="1:11" x14ac:dyDescent="0.25">
      <c r="A6" s="96" t="s">
        <v>132</v>
      </c>
      <c r="C6" s="96" t="s">
        <v>133</v>
      </c>
      <c r="H6" s="97" t="s">
        <v>144</v>
      </c>
      <c r="I6" s="164" t="s">
        <v>123</v>
      </c>
    </row>
    <row r="7" spans="1:11" x14ac:dyDescent="0.25">
      <c r="A7" s="96" t="s">
        <v>134</v>
      </c>
      <c r="C7" s="96" t="s">
        <v>135</v>
      </c>
    </row>
    <row r="8" spans="1:11" x14ac:dyDescent="0.25">
      <c r="C8" s="96" t="s">
        <v>136</v>
      </c>
    </row>
    <row r="9" spans="1:11" x14ac:dyDescent="0.25">
      <c r="C9" s="97" t="s">
        <v>169</v>
      </c>
    </row>
    <row r="10" spans="1:11" x14ac:dyDescent="0.25">
      <c r="C10" s="96" t="s">
        <v>137</v>
      </c>
    </row>
    <row r="11" spans="1:11" x14ac:dyDescent="0.25">
      <c r="C11" s="96" t="s">
        <v>138</v>
      </c>
    </row>
    <row r="12" spans="1:11" x14ac:dyDescent="0.25">
      <c r="C12" s="96" t="s">
        <v>139</v>
      </c>
    </row>
    <row r="13" spans="1:11" x14ac:dyDescent="0.25">
      <c r="C13" s="96" t="s">
        <v>140</v>
      </c>
    </row>
    <row r="14" spans="1:11" x14ac:dyDescent="0.25">
      <c r="C14" s="97" t="s">
        <v>170</v>
      </c>
    </row>
    <row r="15" spans="1:11" x14ac:dyDescent="0.25">
      <c r="C15" s="97" t="s">
        <v>187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206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211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221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231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241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251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261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271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281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291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301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311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321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331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2017-06-07T15:59:43Z</dcterms:modified>
</cp:coreProperties>
</file>