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Enforcements!$A$6:$AC$28</definedName>
    <definedName name="_xlnm._FilterDatabase" localSheetId="2" hidden="1">'Missing Trips'!$A$2:$J$26</definedName>
    <definedName name="_xlnm._FilterDatabase" localSheetId="0" hidden="1">'Train Runs'!$A$12:$AG$468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7" i="1" l="1"/>
  <c r="K206" i="1"/>
  <c r="L206" i="1"/>
  <c r="M206" i="1"/>
  <c r="N206" i="1"/>
  <c r="V206" i="1"/>
  <c r="AA206" i="1"/>
  <c r="AB206" i="1"/>
  <c r="AC206" i="1"/>
  <c r="AD206" i="1"/>
  <c r="T206" i="1" s="1"/>
  <c r="AE206" i="1"/>
  <c r="R25" i="3" s="1"/>
  <c r="AF206" i="1"/>
  <c r="AH206" i="1"/>
  <c r="AM206" i="1"/>
  <c r="AN206" i="1"/>
  <c r="AO206" i="1"/>
  <c r="X203" i="1"/>
  <c r="X204" i="1"/>
  <c r="K202" i="1"/>
  <c r="L202" i="1"/>
  <c r="M202" i="1"/>
  <c r="N202" i="1"/>
  <c r="V202" i="1"/>
  <c r="AA202" i="1"/>
  <c r="AB202" i="1"/>
  <c r="AC202" i="1"/>
  <c r="AD202" i="1"/>
  <c r="T202" i="1" s="1"/>
  <c r="AE202" i="1"/>
  <c r="AF202" i="1"/>
  <c r="AH202" i="1"/>
  <c r="AM202" i="1"/>
  <c r="AN202" i="1"/>
  <c r="AO202" i="1"/>
  <c r="X197" i="1"/>
  <c r="X198" i="1"/>
  <c r="K196" i="1"/>
  <c r="L196" i="1"/>
  <c r="M196" i="1"/>
  <c r="N196" i="1"/>
  <c r="V196" i="1"/>
  <c r="AA196" i="1"/>
  <c r="AB196" i="1"/>
  <c r="AC196" i="1"/>
  <c r="AD196" i="1"/>
  <c r="T196" i="1" s="1"/>
  <c r="AE196" i="1"/>
  <c r="AF196" i="1"/>
  <c r="AH196" i="1"/>
  <c r="AM196" i="1"/>
  <c r="AN196" i="1"/>
  <c r="AO196" i="1"/>
  <c r="X189" i="1"/>
  <c r="X190" i="1"/>
  <c r="K188" i="1"/>
  <c r="L188" i="1"/>
  <c r="M188" i="1"/>
  <c r="N188" i="1"/>
  <c r="V188" i="1"/>
  <c r="AA188" i="1"/>
  <c r="AB188" i="1"/>
  <c r="AC188" i="1"/>
  <c r="AD188" i="1"/>
  <c r="T188" i="1" s="1"/>
  <c r="AE188" i="1"/>
  <c r="AF188" i="1"/>
  <c r="AH188" i="1"/>
  <c r="AM188" i="1"/>
  <c r="AN188" i="1"/>
  <c r="AO188" i="1"/>
  <c r="X185" i="1"/>
  <c r="X179" i="1"/>
  <c r="K178" i="1"/>
  <c r="L178" i="1"/>
  <c r="M178" i="1"/>
  <c r="N178" i="1" s="1"/>
  <c r="V178" i="1"/>
  <c r="AA178" i="1"/>
  <c r="AB178" i="1"/>
  <c r="AC178" i="1"/>
  <c r="AD178" i="1"/>
  <c r="T178" i="1" s="1"/>
  <c r="AE178" i="1"/>
  <c r="AF178" i="1"/>
  <c r="AH178" i="1"/>
  <c r="AM178" i="1"/>
  <c r="AN178" i="1"/>
  <c r="AO178" i="1"/>
  <c r="V161" i="1"/>
  <c r="K158" i="1"/>
  <c r="M158" i="1"/>
  <c r="P158" i="1" s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K156" i="1"/>
  <c r="L156" i="1"/>
  <c r="M156" i="1"/>
  <c r="N156" i="1" s="1"/>
  <c r="V156" i="1"/>
  <c r="S17" i="3" s="1"/>
  <c r="AA156" i="1"/>
  <c r="AB156" i="1"/>
  <c r="AC156" i="1"/>
  <c r="AD156" i="1"/>
  <c r="T156" i="1" s="1"/>
  <c r="AE156" i="1"/>
  <c r="R17" i="3" s="1"/>
  <c r="AF156" i="1"/>
  <c r="AH156" i="1"/>
  <c r="AM156" i="1"/>
  <c r="AN156" i="1"/>
  <c r="AO156" i="1"/>
  <c r="K149" i="1"/>
  <c r="L149" i="1"/>
  <c r="M149" i="1"/>
  <c r="N149" i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K144" i="1"/>
  <c r="L144" i="1"/>
  <c r="M144" i="1"/>
  <c r="N144" i="1" s="1"/>
  <c r="V144" i="1"/>
  <c r="AA144" i="1"/>
  <c r="AB144" i="1"/>
  <c r="AC144" i="1"/>
  <c r="AD144" i="1"/>
  <c r="T144" i="1" s="1"/>
  <c r="AE144" i="1"/>
  <c r="AF144" i="1"/>
  <c r="AH144" i="1"/>
  <c r="AM144" i="1"/>
  <c r="AN144" i="1"/>
  <c r="AO144" i="1"/>
  <c r="K140" i="1"/>
  <c r="L140" i="1"/>
  <c r="M140" i="1"/>
  <c r="N140" i="1" s="1"/>
  <c r="V140" i="1"/>
  <c r="AA140" i="1"/>
  <c r="AB140" i="1"/>
  <c r="AC140" i="1"/>
  <c r="AD140" i="1"/>
  <c r="T140" i="1" s="1"/>
  <c r="AE140" i="1"/>
  <c r="AF140" i="1"/>
  <c r="AH140" i="1"/>
  <c r="AM140" i="1"/>
  <c r="AN140" i="1"/>
  <c r="AO140" i="1"/>
  <c r="K134" i="1"/>
  <c r="L134" i="1"/>
  <c r="M134" i="1"/>
  <c r="N134" i="1" s="1"/>
  <c r="V134" i="1"/>
  <c r="AA134" i="1"/>
  <c r="AB134" i="1"/>
  <c r="AC134" i="1"/>
  <c r="AD134" i="1"/>
  <c r="T134" i="1" s="1"/>
  <c r="AE134" i="1"/>
  <c r="AF134" i="1"/>
  <c r="AH134" i="1"/>
  <c r="AM134" i="1"/>
  <c r="AN134" i="1"/>
  <c r="AO134" i="1"/>
  <c r="K133" i="1"/>
  <c r="L133" i="1"/>
  <c r="M133" i="1"/>
  <c r="N133" i="1" s="1"/>
  <c r="V133" i="1"/>
  <c r="AA133" i="1"/>
  <c r="AB133" i="1"/>
  <c r="AC133" i="1"/>
  <c r="AD133" i="1"/>
  <c r="T133" i="1" s="1"/>
  <c r="AE133" i="1"/>
  <c r="AF133" i="1"/>
  <c r="AH133" i="1"/>
  <c r="AM133" i="1"/>
  <c r="AN133" i="1"/>
  <c r="AO133" i="1"/>
  <c r="K124" i="1"/>
  <c r="L124" i="1"/>
  <c r="M124" i="1"/>
  <c r="N124" i="1" s="1"/>
  <c r="V124" i="1"/>
  <c r="AA124" i="1"/>
  <c r="AB124" i="1"/>
  <c r="AC124" i="1"/>
  <c r="AD124" i="1"/>
  <c r="T124" i="1" s="1"/>
  <c r="AE124" i="1"/>
  <c r="AF124" i="1"/>
  <c r="AH124" i="1"/>
  <c r="AM124" i="1"/>
  <c r="AN124" i="1"/>
  <c r="AO124" i="1"/>
  <c r="K118" i="1"/>
  <c r="L118" i="1"/>
  <c r="M118" i="1"/>
  <c r="N118" i="1"/>
  <c r="V118" i="1"/>
  <c r="AA118" i="1"/>
  <c r="AB118" i="1"/>
  <c r="AC118" i="1"/>
  <c r="AD118" i="1"/>
  <c r="T118" i="1" s="1"/>
  <c r="AE118" i="1"/>
  <c r="AF118" i="1"/>
  <c r="AH118" i="1"/>
  <c r="AM118" i="1"/>
  <c r="AN118" i="1"/>
  <c r="AO118" i="1"/>
  <c r="K105" i="1"/>
  <c r="L105" i="1"/>
  <c r="M105" i="1"/>
  <c r="N105" i="1" s="1"/>
  <c r="V105" i="1"/>
  <c r="AA105" i="1"/>
  <c r="AB105" i="1"/>
  <c r="AC105" i="1"/>
  <c r="AD105" i="1"/>
  <c r="T105" i="1" s="1"/>
  <c r="AE105" i="1"/>
  <c r="AF105" i="1"/>
  <c r="AH105" i="1"/>
  <c r="AM105" i="1"/>
  <c r="AN105" i="1"/>
  <c r="AO105" i="1"/>
  <c r="K88" i="1"/>
  <c r="L88" i="1"/>
  <c r="M88" i="1"/>
  <c r="N88" i="1" s="1"/>
  <c r="V88" i="1"/>
  <c r="S16" i="3" s="1"/>
  <c r="AA88" i="1"/>
  <c r="AB88" i="1"/>
  <c r="AC88" i="1"/>
  <c r="AD88" i="1"/>
  <c r="T88" i="1" s="1"/>
  <c r="AE88" i="1"/>
  <c r="R16" i="3" s="1"/>
  <c r="AF88" i="1"/>
  <c r="AH88" i="1"/>
  <c r="AM88" i="1"/>
  <c r="AN88" i="1"/>
  <c r="AO8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S7" i="3" s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S13" i="3" s="1"/>
  <c r="Y43" i="1"/>
  <c r="Z43" i="1"/>
  <c r="AB43" i="1"/>
  <c r="AC43" i="1"/>
  <c r="AD43" i="1"/>
  <c r="AE43" i="1"/>
  <c r="R13" i="3" s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S11" i="3" s="1"/>
  <c r="Y58" i="1"/>
  <c r="Z58" i="1"/>
  <c r="AB58" i="1"/>
  <c r="AC58" i="1"/>
  <c r="AD58" i="1"/>
  <c r="AE58" i="1"/>
  <c r="R11" i="3" s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S14" i="3" s="1"/>
  <c r="Y61" i="1"/>
  <c r="Z61" i="1"/>
  <c r="AB61" i="1"/>
  <c r="AC61" i="1"/>
  <c r="AD61" i="1"/>
  <c r="AE61" i="1"/>
  <c r="R14" i="3" s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S19" i="3" s="1"/>
  <c r="Y80" i="1"/>
  <c r="Z80" i="1"/>
  <c r="AB80" i="1"/>
  <c r="AC80" i="1"/>
  <c r="AD80" i="1"/>
  <c r="T80" i="1" s="1"/>
  <c r="AE80" i="1"/>
  <c r="R19" i="3" s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P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/>
  <c r="V93" i="1"/>
  <c r="S10" i="3" s="1"/>
  <c r="Y93" i="1"/>
  <c r="AA93" i="1" s="1"/>
  <c r="Z93" i="1"/>
  <c r="AB93" i="1"/>
  <c r="AC93" i="1"/>
  <c r="AD93" i="1"/>
  <c r="T93" i="1" s="1"/>
  <c r="AE93" i="1"/>
  <c r="R10" i="3" s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S18" i="3" s="1"/>
  <c r="Y95" i="1"/>
  <c r="Z95" i="1"/>
  <c r="AB95" i="1"/>
  <c r="AC95" i="1"/>
  <c r="AD95" i="1"/>
  <c r="AE95" i="1"/>
  <c r="R18" i="3" s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AA100" i="1" s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S15" i="3" s="1"/>
  <c r="Y104" i="1"/>
  <c r="Z104" i="1"/>
  <c r="AB104" i="1"/>
  <c r="AC104" i="1"/>
  <c r="AD104" i="1"/>
  <c r="AE104" i="1"/>
  <c r="R15" i="3" s="1"/>
  <c r="AF104" i="1"/>
  <c r="AH104" i="1"/>
  <c r="AM104" i="1"/>
  <c r="AN104" i="1"/>
  <c r="AO104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P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50" i="1"/>
  <c r="L150" i="1"/>
  <c r="M150" i="1"/>
  <c r="N150" i="1" s="1"/>
  <c r="V150" i="1"/>
  <c r="S12" i="3" s="1"/>
  <c r="Y150" i="1"/>
  <c r="Z150" i="1"/>
  <c r="AB150" i="1"/>
  <c r="AC150" i="1"/>
  <c r="AD150" i="1"/>
  <c r="X150" i="1" s="1"/>
  <c r="AE150" i="1"/>
  <c r="R12" i="3" s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S8" i="3" s="1"/>
  <c r="Y154" i="1"/>
  <c r="Z154" i="1"/>
  <c r="AB154" i="1"/>
  <c r="AC154" i="1"/>
  <c r="AD154" i="1"/>
  <c r="AE154" i="1"/>
  <c r="R9" i="3" s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AO15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9" i="1"/>
  <c r="AM179" i="1"/>
  <c r="AN179" i="1"/>
  <c r="AO179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0" i="1"/>
  <c r="AM180" i="1"/>
  <c r="AN180" i="1"/>
  <c r="AO180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81" i="1"/>
  <c r="AM181" i="1"/>
  <c r="AN181" i="1"/>
  <c r="AO181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2" i="1"/>
  <c r="AM182" i="1"/>
  <c r="AN182" i="1"/>
  <c r="AO182" i="1"/>
  <c r="K161" i="1"/>
  <c r="L161" i="1"/>
  <c r="M161" i="1"/>
  <c r="N161" i="1" s="1"/>
  <c r="Y161" i="1"/>
  <c r="Z161" i="1"/>
  <c r="AB161" i="1"/>
  <c r="AC161" i="1"/>
  <c r="AD161" i="1"/>
  <c r="AE161" i="1"/>
  <c r="AF161" i="1"/>
  <c r="AH183" i="1"/>
  <c r="AM183" i="1"/>
  <c r="AN183" i="1"/>
  <c r="AO18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4" i="1"/>
  <c r="AM184" i="1"/>
  <c r="AN184" i="1"/>
  <c r="AO184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5" i="1"/>
  <c r="AM185" i="1"/>
  <c r="AN185" i="1"/>
  <c r="AO185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6" i="1"/>
  <c r="AM186" i="1"/>
  <c r="AN186" i="1"/>
  <c r="AO186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7" i="1"/>
  <c r="AM187" i="1"/>
  <c r="AN187" i="1"/>
  <c r="AO187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89" i="1"/>
  <c r="AM189" i="1"/>
  <c r="AN189" i="1"/>
  <c r="AO189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0" i="1"/>
  <c r="AM190" i="1"/>
  <c r="AN190" i="1"/>
  <c r="AO19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1" i="1"/>
  <c r="AM191" i="1"/>
  <c r="AN191" i="1"/>
  <c r="AO19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2" i="1"/>
  <c r="AM192" i="1"/>
  <c r="AN192" i="1"/>
  <c r="AO192" i="1"/>
  <c r="K171" i="1"/>
  <c r="L171" i="1"/>
  <c r="M171" i="1"/>
  <c r="N171" i="1" s="1"/>
  <c r="V171" i="1"/>
  <c r="S22" i="3" s="1"/>
  <c r="Y171" i="1"/>
  <c r="Z171" i="1"/>
  <c r="AB171" i="1"/>
  <c r="AC171" i="1"/>
  <c r="AD171" i="1"/>
  <c r="AE171" i="1"/>
  <c r="R22" i="3" s="1"/>
  <c r="AF171" i="1"/>
  <c r="AH193" i="1"/>
  <c r="AM193" i="1"/>
  <c r="AN193" i="1"/>
  <c r="AO19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4" i="1"/>
  <c r="AM194" i="1"/>
  <c r="AN194" i="1"/>
  <c r="AO194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5" i="1"/>
  <c r="AM195" i="1"/>
  <c r="AN195" i="1"/>
  <c r="AO195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7" i="1"/>
  <c r="AM197" i="1"/>
  <c r="AN197" i="1"/>
  <c r="AO197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8" i="1"/>
  <c r="AM198" i="1"/>
  <c r="AN198" i="1"/>
  <c r="AO19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9" i="1"/>
  <c r="AM199" i="1"/>
  <c r="AN199" i="1"/>
  <c r="AO19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0" i="1"/>
  <c r="AM200" i="1"/>
  <c r="AN200" i="1"/>
  <c r="AO200" i="1"/>
  <c r="K179" i="1"/>
  <c r="L179" i="1"/>
  <c r="M179" i="1"/>
  <c r="N179" i="1" s="1"/>
  <c r="V179" i="1"/>
  <c r="S23" i="3" s="1"/>
  <c r="Y179" i="1"/>
  <c r="Z179" i="1"/>
  <c r="AB179" i="1"/>
  <c r="AC179" i="1"/>
  <c r="AD179" i="1"/>
  <c r="AE179" i="1"/>
  <c r="R23" i="3" s="1"/>
  <c r="AF179" i="1"/>
  <c r="AH201" i="1"/>
  <c r="AM201" i="1"/>
  <c r="AN201" i="1"/>
  <c r="AO20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3" i="1"/>
  <c r="AM203" i="1"/>
  <c r="AN203" i="1"/>
  <c r="AO20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4" i="1"/>
  <c r="AM204" i="1"/>
  <c r="AN204" i="1"/>
  <c r="AO204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5" i="1"/>
  <c r="AM205" i="1"/>
  <c r="AN205" i="1"/>
  <c r="AO205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7" i="1"/>
  <c r="AM207" i="1"/>
  <c r="AN207" i="1"/>
  <c r="AO20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8" i="1"/>
  <c r="AM208" i="1"/>
  <c r="AN208" i="1"/>
  <c r="AO208" i="1"/>
  <c r="AH209" i="1"/>
  <c r="AM209" i="1"/>
  <c r="AN209" i="1"/>
  <c r="AO20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0" i="1"/>
  <c r="AM210" i="1"/>
  <c r="AN210" i="1"/>
  <c r="AO21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1" i="1"/>
  <c r="AM211" i="1"/>
  <c r="AN211" i="1"/>
  <c r="AO211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2" i="1"/>
  <c r="AM212" i="1"/>
  <c r="AN212" i="1"/>
  <c r="AO21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3" i="1"/>
  <c r="AM213" i="1"/>
  <c r="AN213" i="1"/>
  <c r="AO213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4" i="1"/>
  <c r="AM214" i="1"/>
  <c r="AN214" i="1"/>
  <c r="AO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AO21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6" i="1"/>
  <c r="AM216" i="1"/>
  <c r="AN216" i="1"/>
  <c r="AO21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7" i="1"/>
  <c r="AM217" i="1"/>
  <c r="AN217" i="1"/>
  <c r="AO21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8" i="1"/>
  <c r="AM218" i="1"/>
  <c r="AN218" i="1"/>
  <c r="AO218" i="1"/>
  <c r="K195" i="1"/>
  <c r="L195" i="1"/>
  <c r="M195" i="1"/>
  <c r="N195" i="1" s="1"/>
  <c r="V195" i="1"/>
  <c r="S24" i="3" s="1"/>
  <c r="Y195" i="1"/>
  <c r="Z195" i="1"/>
  <c r="AB195" i="1"/>
  <c r="AC195" i="1"/>
  <c r="AD195" i="1"/>
  <c r="T195" i="1" s="1"/>
  <c r="AE195" i="1"/>
  <c r="R20" i="3" s="1"/>
  <c r="AF195" i="1"/>
  <c r="AH219" i="1"/>
  <c r="AM219" i="1"/>
  <c r="AN219" i="1"/>
  <c r="AO21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0" i="1"/>
  <c r="AM220" i="1"/>
  <c r="AN220" i="1"/>
  <c r="AO220" i="1"/>
  <c r="K198" i="1"/>
  <c r="L198" i="1"/>
  <c r="M198" i="1"/>
  <c r="N198" i="1" s="1"/>
  <c r="V198" i="1"/>
  <c r="Y198" i="1"/>
  <c r="Z198" i="1"/>
  <c r="AA198" i="1" s="1"/>
  <c r="AB198" i="1"/>
  <c r="AC198" i="1"/>
  <c r="AD198" i="1"/>
  <c r="AE198" i="1"/>
  <c r="AF198" i="1"/>
  <c r="AH221" i="1"/>
  <c r="AM221" i="1"/>
  <c r="AN221" i="1"/>
  <c r="AO22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2" i="1"/>
  <c r="AM222" i="1"/>
  <c r="AN222" i="1"/>
  <c r="AO22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3" i="1"/>
  <c r="AM223" i="1"/>
  <c r="AN223" i="1"/>
  <c r="AO223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24" i="1"/>
  <c r="AM224" i="1"/>
  <c r="AN224" i="1"/>
  <c r="AO224" i="1"/>
  <c r="K203" i="1"/>
  <c r="L203" i="1"/>
  <c r="M203" i="1"/>
  <c r="N203" i="1" s="1"/>
  <c r="V203" i="1"/>
  <c r="S21" i="3" s="1"/>
  <c r="Y203" i="1"/>
  <c r="Z203" i="1"/>
  <c r="AB203" i="1"/>
  <c r="AC203" i="1"/>
  <c r="AD203" i="1"/>
  <c r="AE203" i="1"/>
  <c r="R21" i="3" s="1"/>
  <c r="AF203" i="1"/>
  <c r="AH225" i="1"/>
  <c r="AM225" i="1"/>
  <c r="AN225" i="1"/>
  <c r="AO22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6" i="1"/>
  <c r="AM226" i="1"/>
  <c r="AN226" i="1"/>
  <c r="AO22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7" i="1"/>
  <c r="AM227" i="1"/>
  <c r="AN227" i="1"/>
  <c r="AO227" i="1"/>
  <c r="K207" i="1"/>
  <c r="L207" i="1"/>
  <c r="M207" i="1"/>
  <c r="N207" i="1" s="1"/>
  <c r="V207" i="1"/>
  <c r="AB207" i="1"/>
  <c r="AC207" i="1"/>
  <c r="AD207" i="1"/>
  <c r="T207" i="1" s="1"/>
  <c r="AE207" i="1"/>
  <c r="AF207" i="1"/>
  <c r="AH228" i="1"/>
  <c r="AM228" i="1"/>
  <c r="AN228" i="1"/>
  <c r="AO228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9" i="1"/>
  <c r="AM229" i="1"/>
  <c r="AN229" i="1"/>
  <c r="AO229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0" i="1"/>
  <c r="AM230" i="1"/>
  <c r="AN230" i="1"/>
  <c r="AO23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1" i="1"/>
  <c r="AM231" i="1"/>
  <c r="AN231" i="1"/>
  <c r="AO23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2" i="1"/>
  <c r="AM232" i="1"/>
  <c r="AN232" i="1"/>
  <c r="AO23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3" i="1"/>
  <c r="AM233" i="1"/>
  <c r="AN233" i="1"/>
  <c r="AO233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4" i="1"/>
  <c r="AM234" i="1"/>
  <c r="AN234" i="1"/>
  <c r="AO234" i="1"/>
  <c r="M7" i="3"/>
  <c r="R7" i="3"/>
  <c r="U7" i="3"/>
  <c r="T7" i="3" s="1"/>
  <c r="V7" i="3"/>
  <c r="X7" i="3"/>
  <c r="M13" i="3"/>
  <c r="U13" i="3"/>
  <c r="V13" i="3"/>
  <c r="X13" i="3"/>
  <c r="M22" i="3"/>
  <c r="U22" i="3"/>
  <c r="AC22" i="3" s="1"/>
  <c r="V22" i="3"/>
  <c r="X22" i="3"/>
  <c r="M14" i="3"/>
  <c r="U14" i="3"/>
  <c r="T14" i="3" s="1"/>
  <c r="V14" i="3"/>
  <c r="X14" i="3"/>
  <c r="M11" i="3"/>
  <c r="U11" i="3"/>
  <c r="V11" i="3"/>
  <c r="X11" i="3"/>
  <c r="M23" i="3"/>
  <c r="U23" i="3"/>
  <c r="AC23" i="3" s="1"/>
  <c r="V23" i="3"/>
  <c r="X23" i="3"/>
  <c r="M19" i="3"/>
  <c r="U19" i="3"/>
  <c r="T19" i="3" s="1"/>
  <c r="V19" i="3"/>
  <c r="X19" i="3"/>
  <c r="M16" i="3"/>
  <c r="U16" i="3"/>
  <c r="AD16" i="3" s="1"/>
  <c r="V16" i="3"/>
  <c r="X16" i="3"/>
  <c r="M18" i="3"/>
  <c r="U18" i="3"/>
  <c r="AC18" i="3" s="1"/>
  <c r="V18" i="3"/>
  <c r="X18" i="3"/>
  <c r="M10" i="3"/>
  <c r="U10" i="3"/>
  <c r="AC10" i="3" s="1"/>
  <c r="V10" i="3"/>
  <c r="X10" i="3"/>
  <c r="M15" i="3"/>
  <c r="U15" i="3"/>
  <c r="T15" i="3" s="1"/>
  <c r="V15" i="3"/>
  <c r="X15" i="3"/>
  <c r="M20" i="3"/>
  <c r="U20" i="3"/>
  <c r="AD20" i="3" s="1"/>
  <c r="V20" i="3"/>
  <c r="X20" i="3"/>
  <c r="M24" i="3"/>
  <c r="U24" i="3"/>
  <c r="AC24" i="3" s="1"/>
  <c r="V24" i="3"/>
  <c r="X24" i="3"/>
  <c r="M21" i="3"/>
  <c r="U21" i="3"/>
  <c r="T21" i="3" s="1"/>
  <c r="V21" i="3"/>
  <c r="X21" i="3"/>
  <c r="M25" i="3"/>
  <c r="S25" i="3"/>
  <c r="U25" i="3"/>
  <c r="AD25" i="3" s="1"/>
  <c r="V25" i="3"/>
  <c r="X25" i="3"/>
  <c r="M12" i="3"/>
  <c r="U12" i="3"/>
  <c r="AC12" i="3" s="1"/>
  <c r="V12" i="3"/>
  <c r="X12" i="3"/>
  <c r="M8" i="3"/>
  <c r="U8" i="3"/>
  <c r="AC8" i="3" s="1"/>
  <c r="V8" i="3"/>
  <c r="X8" i="3"/>
  <c r="M9" i="3"/>
  <c r="U9" i="3"/>
  <c r="T9" i="3" s="1"/>
  <c r="V9" i="3"/>
  <c r="X9" i="3"/>
  <c r="M17" i="3"/>
  <c r="U17" i="3"/>
  <c r="V17" i="3"/>
  <c r="X17" i="3"/>
  <c r="AG206" i="1"/>
  <c r="AG202" i="1"/>
  <c r="AG196" i="1"/>
  <c r="AG188" i="1"/>
  <c r="AG178" i="1"/>
  <c r="AG158" i="1"/>
  <c r="AG156" i="1"/>
  <c r="AG149" i="1"/>
  <c r="AG144" i="1"/>
  <c r="AG140" i="1"/>
  <c r="AG134" i="1"/>
  <c r="AG133" i="1"/>
  <c r="AG124" i="1"/>
  <c r="AG118" i="1"/>
  <c r="AG105" i="1"/>
  <c r="AG88" i="1"/>
  <c r="AG18" i="1"/>
  <c r="AG28" i="1"/>
  <c r="AG35" i="1"/>
  <c r="AG43" i="1"/>
  <c r="AG51" i="1"/>
  <c r="AG55" i="1"/>
  <c r="AG59" i="1"/>
  <c r="AG63" i="1"/>
  <c r="AG67" i="1"/>
  <c r="AG71" i="1"/>
  <c r="AG75" i="1"/>
  <c r="AG20" i="1"/>
  <c r="AG29" i="1"/>
  <c r="AG38" i="1"/>
  <c r="AG46" i="1"/>
  <c r="AG21" i="1"/>
  <c r="AG79" i="1"/>
  <c r="AG83" i="1"/>
  <c r="AG87" i="1"/>
  <c r="AG92" i="1"/>
  <c r="AG96" i="1"/>
  <c r="AG100" i="1"/>
  <c r="AG104" i="1"/>
  <c r="AG111" i="1"/>
  <c r="AG120" i="1"/>
  <c r="AG129" i="1"/>
  <c r="AG139" i="1"/>
  <c r="AG150" i="1"/>
  <c r="AG114" i="1"/>
  <c r="AG123" i="1"/>
  <c r="AG132" i="1"/>
  <c r="AG143" i="1"/>
  <c r="AG153" i="1"/>
  <c r="AG154" i="1"/>
  <c r="AG211" i="1"/>
  <c r="AG215" i="1"/>
  <c r="AG219" i="1"/>
  <c r="AG229" i="1"/>
  <c r="AG233" i="1"/>
  <c r="AG161" i="1"/>
  <c r="AG165" i="1"/>
  <c r="AG169" i="1"/>
  <c r="AG173" i="1"/>
  <c r="AG177" i="1"/>
  <c r="AG182" i="1"/>
  <c r="AG185" i="1"/>
  <c r="AG190" i="1"/>
  <c r="AG194" i="1"/>
  <c r="AG199" i="1"/>
  <c r="AG204" i="1"/>
  <c r="AG221" i="1"/>
  <c r="AG225" i="1"/>
  <c r="AG14" i="1"/>
  <c r="AG26" i="1"/>
  <c r="AG34" i="1"/>
  <c r="AG41" i="1"/>
  <c r="AG49" i="1"/>
  <c r="AG54" i="1"/>
  <c r="AG58" i="1"/>
  <c r="AG62" i="1"/>
  <c r="AG66" i="1"/>
  <c r="AG70" i="1"/>
  <c r="AG74" i="1"/>
  <c r="AG16" i="1"/>
  <c r="AG27" i="1"/>
  <c r="AG44" i="1"/>
  <c r="AG17" i="1"/>
  <c r="AG78" i="1"/>
  <c r="AG82" i="1"/>
  <c r="AG86" i="1"/>
  <c r="AG95" i="1"/>
  <c r="AG99" i="1"/>
  <c r="AG103" i="1"/>
  <c r="AG117" i="1"/>
  <c r="AG137" i="1"/>
  <c r="AG112" i="1"/>
  <c r="AG130" i="1"/>
  <c r="AG151" i="1"/>
  <c r="AG210" i="1"/>
  <c r="AG218" i="1"/>
  <c r="AG228" i="1"/>
  <c r="AG160" i="1"/>
  <c r="AG168" i="1"/>
  <c r="AG172" i="1"/>
  <c r="AG181" i="1"/>
  <c r="AG189" i="1"/>
  <c r="AG198" i="1"/>
  <c r="AG203" i="1"/>
  <c r="AG224" i="1"/>
  <c r="AG22" i="1"/>
  <c r="AG30" i="1"/>
  <c r="AG37" i="1"/>
  <c r="AG45" i="1"/>
  <c r="AG52" i="1"/>
  <c r="AG56" i="1"/>
  <c r="AG60" i="1"/>
  <c r="AG64" i="1"/>
  <c r="AG68" i="1"/>
  <c r="AG72" i="1"/>
  <c r="AG15" i="1"/>
  <c r="AG23" i="1"/>
  <c r="AG31" i="1"/>
  <c r="AG40" i="1"/>
  <c r="AG48" i="1"/>
  <c r="AG76" i="1"/>
  <c r="AG80" i="1"/>
  <c r="AG84" i="1"/>
  <c r="AG89" i="1"/>
  <c r="AG93" i="1"/>
  <c r="AG97" i="1"/>
  <c r="AG101" i="1"/>
  <c r="AG106" i="1"/>
  <c r="AG113" i="1"/>
  <c r="AG122" i="1"/>
  <c r="AG131" i="1"/>
  <c r="AG142" i="1"/>
  <c r="AG108" i="1"/>
  <c r="AG116" i="1"/>
  <c r="AG126" i="1"/>
  <c r="AG136" i="1"/>
  <c r="AG146" i="1"/>
  <c r="AG155" i="1"/>
  <c r="AG157" i="1"/>
  <c r="AG212" i="1"/>
  <c r="AG216" i="1"/>
  <c r="AG226" i="1"/>
  <c r="AG230" i="1"/>
  <c r="AG234" i="1"/>
  <c r="AG162" i="1"/>
  <c r="AG166" i="1"/>
  <c r="AG170" i="1"/>
  <c r="AG174" i="1"/>
  <c r="AG179" i="1"/>
  <c r="AG183" i="1"/>
  <c r="AG186" i="1"/>
  <c r="AG191" i="1"/>
  <c r="AG195" i="1"/>
  <c r="AG200" i="1"/>
  <c r="AG205" i="1"/>
  <c r="AG222" i="1"/>
  <c r="AG36" i="1"/>
  <c r="AG91" i="1"/>
  <c r="AG109" i="1"/>
  <c r="AG127" i="1"/>
  <c r="AG147" i="1"/>
  <c r="AG121" i="1"/>
  <c r="AG141" i="1"/>
  <c r="AG152" i="1"/>
  <c r="AG214" i="1"/>
  <c r="AG232" i="1"/>
  <c r="AG164" i="1"/>
  <c r="AG176" i="1"/>
  <c r="AG193" i="1"/>
  <c r="AG220" i="1"/>
  <c r="AG24" i="1"/>
  <c r="AG32" i="1"/>
  <c r="AG39" i="1"/>
  <c r="AG47" i="1"/>
  <c r="AG53" i="1"/>
  <c r="AG57" i="1"/>
  <c r="AG61" i="1"/>
  <c r="AG65" i="1"/>
  <c r="AG69" i="1"/>
  <c r="AG73" i="1"/>
  <c r="AG19" i="1"/>
  <c r="AG25" i="1"/>
  <c r="AG33" i="1"/>
  <c r="AG42" i="1"/>
  <c r="AG50" i="1"/>
  <c r="AG77" i="1"/>
  <c r="AG81" i="1"/>
  <c r="AG85" i="1"/>
  <c r="AG90" i="1"/>
  <c r="AG94" i="1"/>
  <c r="AG98" i="1"/>
  <c r="AG102" i="1"/>
  <c r="AG107" i="1"/>
  <c r="AG115" i="1"/>
  <c r="AG125" i="1"/>
  <c r="AG135" i="1"/>
  <c r="AG145" i="1"/>
  <c r="AG110" i="1"/>
  <c r="AG119" i="1"/>
  <c r="AG128" i="1"/>
  <c r="AG138" i="1"/>
  <c r="AG148" i="1"/>
  <c r="AG208" i="1"/>
  <c r="AG209" i="1"/>
  <c r="AG213" i="1"/>
  <c r="AG217" i="1"/>
  <c r="AG227" i="1"/>
  <c r="AG231" i="1"/>
  <c r="AG159" i="1"/>
  <c r="AG163" i="1"/>
  <c r="AG167" i="1"/>
  <c r="AG171" i="1"/>
  <c r="AG175" i="1"/>
  <c r="AG180" i="1"/>
  <c r="AG184" i="1"/>
  <c r="AG187" i="1"/>
  <c r="AG192" i="1"/>
  <c r="AG197" i="1"/>
  <c r="AG201" i="1"/>
  <c r="AG207" i="1"/>
  <c r="AG223" i="1"/>
  <c r="W16" i="3"/>
  <c r="W23" i="3"/>
  <c r="W19" i="3"/>
  <c r="W11" i="3"/>
  <c r="W17" i="3"/>
  <c r="W22" i="3"/>
  <c r="W12" i="3"/>
  <c r="W14" i="3"/>
  <c r="W9" i="3"/>
  <c r="W20" i="3"/>
  <c r="W18" i="3"/>
  <c r="W10" i="3"/>
  <c r="W15" i="3"/>
  <c r="W13" i="3"/>
  <c r="W25" i="3"/>
  <c r="W8" i="3"/>
  <c r="W24" i="3"/>
  <c r="W7" i="3"/>
  <c r="W21" i="3"/>
  <c r="AI206" i="1" l="1"/>
  <c r="U206" i="1"/>
  <c r="S206" i="1" s="1"/>
  <c r="W206" i="1"/>
  <c r="X206" i="1"/>
  <c r="AI202" i="1"/>
  <c r="U202" i="1"/>
  <c r="S202" i="1" s="1"/>
  <c r="W202" i="1"/>
  <c r="X202" i="1"/>
  <c r="U196" i="1"/>
  <c r="S196" i="1" s="1"/>
  <c r="AI196" i="1"/>
  <c r="W196" i="1"/>
  <c r="X196" i="1"/>
  <c r="AI188" i="1"/>
  <c r="U188" i="1"/>
  <c r="S188" i="1" s="1"/>
  <c r="W188" i="1"/>
  <c r="X188" i="1"/>
  <c r="X160" i="1"/>
  <c r="AA225" i="1"/>
  <c r="AA221" i="1"/>
  <c r="AA204" i="1"/>
  <c r="X126" i="1"/>
  <c r="X144" i="1"/>
  <c r="X106" i="1"/>
  <c r="X158" i="1"/>
  <c r="T198" i="1"/>
  <c r="AA159" i="1"/>
  <c r="AA231" i="1"/>
  <c r="AA227" i="1"/>
  <c r="AA217" i="1"/>
  <c r="AA213" i="1"/>
  <c r="AA209" i="1"/>
  <c r="AA154" i="1"/>
  <c r="AA150" i="1"/>
  <c r="AA145" i="1"/>
  <c r="AA139" i="1"/>
  <c r="AA135" i="1"/>
  <c r="AA129" i="1"/>
  <c r="AA125" i="1"/>
  <c r="AA120" i="1"/>
  <c r="AA115" i="1"/>
  <c r="AA111" i="1"/>
  <c r="AA107" i="1"/>
  <c r="X107" i="1"/>
  <c r="AA39" i="1"/>
  <c r="X180" i="1"/>
  <c r="AI178" i="1"/>
  <c r="U178" i="1"/>
  <c r="S178" i="1" s="1"/>
  <c r="W178" i="1"/>
  <c r="X178" i="1"/>
  <c r="U158" i="1"/>
  <c r="S158" i="1" s="1"/>
  <c r="AI158" i="1"/>
  <c r="W158" i="1"/>
  <c r="AI156" i="1"/>
  <c r="U156" i="1"/>
  <c r="S156" i="1" s="1"/>
  <c r="W156" i="1"/>
  <c r="X156" i="1"/>
  <c r="S9" i="3"/>
  <c r="AI149" i="1"/>
  <c r="U149" i="1"/>
  <c r="S149" i="1" s="1"/>
  <c r="W149" i="1"/>
  <c r="X149" i="1"/>
  <c r="U144" i="1"/>
  <c r="S144" i="1" s="1"/>
  <c r="AI144" i="1"/>
  <c r="W144" i="1"/>
  <c r="R8" i="3"/>
  <c r="AI140" i="1"/>
  <c r="U140" i="1"/>
  <c r="S140" i="1" s="1"/>
  <c r="W140" i="1"/>
  <c r="X140" i="1"/>
  <c r="AA174" i="1"/>
  <c r="AA73" i="1"/>
  <c r="AA69" i="1"/>
  <c r="AA65" i="1"/>
  <c r="W65" i="1" s="1"/>
  <c r="AA61" i="1"/>
  <c r="AA53" i="1"/>
  <c r="AA37" i="1"/>
  <c r="X89" i="1"/>
  <c r="X125" i="1"/>
  <c r="T201" i="1"/>
  <c r="U201" i="1" s="1"/>
  <c r="S201" i="1" s="1"/>
  <c r="AA175" i="1"/>
  <c r="AA101" i="1"/>
  <c r="W101" i="1" s="1"/>
  <c r="AA176" i="1"/>
  <c r="X120" i="1"/>
  <c r="T204" i="1"/>
  <c r="AA201" i="1"/>
  <c r="W201" i="1" s="1"/>
  <c r="X182" i="1"/>
  <c r="AA177" i="1"/>
  <c r="AA168" i="1"/>
  <c r="AA164" i="1"/>
  <c r="AA160" i="1"/>
  <c r="AA232" i="1"/>
  <c r="W232" i="1" s="1"/>
  <c r="AA103" i="1"/>
  <c r="AA92" i="1"/>
  <c r="W92" i="1" s="1"/>
  <c r="AA83" i="1"/>
  <c r="AA79" i="1"/>
  <c r="W134" i="1"/>
  <c r="U134" i="1"/>
  <c r="S134" i="1" s="1"/>
  <c r="AI134" i="1"/>
  <c r="X134" i="1"/>
  <c r="AI133" i="1"/>
  <c r="U133" i="1"/>
  <c r="S133" i="1" s="1"/>
  <c r="W133" i="1"/>
  <c r="X133" i="1"/>
  <c r="AI124" i="1"/>
  <c r="U124" i="1"/>
  <c r="S124" i="1" s="1"/>
  <c r="W124" i="1"/>
  <c r="X124" i="1"/>
  <c r="AI118" i="1"/>
  <c r="U118" i="1"/>
  <c r="S118" i="1" s="1"/>
  <c r="W118" i="1"/>
  <c r="X118" i="1"/>
  <c r="AI105" i="1"/>
  <c r="U105" i="1"/>
  <c r="S105" i="1" s="1"/>
  <c r="W105" i="1"/>
  <c r="X105" i="1"/>
  <c r="AI88" i="1"/>
  <c r="U88" i="1"/>
  <c r="S88" i="1" s="1"/>
  <c r="W88" i="1"/>
  <c r="X88" i="1"/>
  <c r="X183" i="1"/>
  <c r="AA172" i="1"/>
  <c r="AD23" i="3"/>
  <c r="AA223" i="1"/>
  <c r="AA207" i="1"/>
  <c r="W207" i="1" s="1"/>
  <c r="X199" i="1"/>
  <c r="X173" i="1"/>
  <c r="AA165" i="1"/>
  <c r="W165" i="1" s="1"/>
  <c r="AA161" i="1"/>
  <c r="AA233" i="1"/>
  <c r="AA229" i="1"/>
  <c r="AA219" i="1"/>
  <c r="W219" i="1" s="1"/>
  <c r="AA215" i="1"/>
  <c r="AA211" i="1"/>
  <c r="AA157" i="1"/>
  <c r="AA152" i="1"/>
  <c r="W152" i="1" s="1"/>
  <c r="AA147" i="1"/>
  <c r="AA142" i="1"/>
  <c r="AA137" i="1"/>
  <c r="AA131" i="1"/>
  <c r="W131" i="1" s="1"/>
  <c r="AA127" i="1"/>
  <c r="AA122" i="1"/>
  <c r="AA117" i="1"/>
  <c r="AA113" i="1"/>
  <c r="AA109" i="1"/>
  <c r="AA98" i="1"/>
  <c r="X184" i="1"/>
  <c r="AA90" i="1"/>
  <c r="R24" i="3"/>
  <c r="AD13" i="3"/>
  <c r="AA166" i="1"/>
  <c r="W166" i="1" s="1"/>
  <c r="AA162" i="1"/>
  <c r="AA234" i="1"/>
  <c r="AA106" i="1"/>
  <c r="AA95" i="1"/>
  <c r="W95" i="1" s="1"/>
  <c r="AA89" i="1"/>
  <c r="AA72" i="1"/>
  <c r="AA68" i="1"/>
  <c r="AA64" i="1"/>
  <c r="AA52" i="1"/>
  <c r="AC7" i="3"/>
  <c r="AA224" i="1"/>
  <c r="AA220" i="1"/>
  <c r="W220" i="1" s="1"/>
  <c r="X205" i="1"/>
  <c r="AA203" i="1"/>
  <c r="T203" i="1"/>
  <c r="U203" i="1" s="1"/>
  <c r="S203" i="1" s="1"/>
  <c r="X200" i="1"/>
  <c r="AA195" i="1"/>
  <c r="X191" i="1"/>
  <c r="X187" i="1"/>
  <c r="X175" i="1"/>
  <c r="AA173" i="1"/>
  <c r="T173" i="1"/>
  <c r="U173" i="1" s="1"/>
  <c r="S173" i="1" s="1"/>
  <c r="X169" i="1"/>
  <c r="X168" i="1"/>
  <c r="AA230" i="1"/>
  <c r="AA226" i="1"/>
  <c r="AA216" i="1"/>
  <c r="W216" i="1" s="1"/>
  <c r="AA212" i="1"/>
  <c r="AA208" i="1"/>
  <c r="AA153" i="1"/>
  <c r="AA148" i="1"/>
  <c r="W148" i="1" s="1"/>
  <c r="AA143" i="1"/>
  <c r="AA138" i="1"/>
  <c r="AA132" i="1"/>
  <c r="W132" i="1" s="1"/>
  <c r="AA128" i="1"/>
  <c r="W128" i="1" s="1"/>
  <c r="AA123" i="1"/>
  <c r="AA119" i="1"/>
  <c r="AA114" i="1"/>
  <c r="AA110" i="1"/>
  <c r="W110" i="1" s="1"/>
  <c r="AA102" i="1"/>
  <c r="AA99" i="1"/>
  <c r="AA96" i="1"/>
  <c r="AA84" i="1"/>
  <c r="W84" i="1" s="1"/>
  <c r="AA80" i="1"/>
  <c r="AA76" i="1"/>
  <c r="AA71" i="1"/>
  <c r="AA63" i="1"/>
  <c r="W63" i="1" s="1"/>
  <c r="AA48" i="1"/>
  <c r="T184" i="1"/>
  <c r="AA222" i="1"/>
  <c r="AA205" i="1"/>
  <c r="W205" i="1" s="1"/>
  <c r="AA200" i="1"/>
  <c r="X194" i="1"/>
  <c r="X193" i="1"/>
  <c r="T187" i="1"/>
  <c r="X186" i="1"/>
  <c r="X181" i="1"/>
  <c r="AA179" i="1"/>
  <c r="X176" i="1"/>
  <c r="AA171" i="1"/>
  <c r="AA170" i="1"/>
  <c r="W170" i="1" s="1"/>
  <c r="AA169" i="1"/>
  <c r="AA228" i="1"/>
  <c r="AA218" i="1"/>
  <c r="AA214" i="1"/>
  <c r="W214" i="1" s="1"/>
  <c r="AA210" i="1"/>
  <c r="AA155" i="1"/>
  <c r="AA151" i="1"/>
  <c r="AA146" i="1"/>
  <c r="W146" i="1" s="1"/>
  <c r="AA141" i="1"/>
  <c r="AA136" i="1"/>
  <c r="AA130" i="1"/>
  <c r="AA126" i="1"/>
  <c r="W126" i="1" s="1"/>
  <c r="AA121" i="1"/>
  <c r="AA116" i="1"/>
  <c r="AA112" i="1"/>
  <c r="AA108" i="1"/>
  <c r="W108" i="1" s="1"/>
  <c r="AA104" i="1"/>
  <c r="AA94" i="1"/>
  <c r="AA91" i="1"/>
  <c r="AA87" i="1"/>
  <c r="W87" i="1" s="1"/>
  <c r="AA86" i="1"/>
  <c r="AA82" i="1"/>
  <c r="AA78" i="1"/>
  <c r="AA67" i="1"/>
  <c r="W67" i="1" s="1"/>
  <c r="AA50" i="1"/>
  <c r="AA46" i="1"/>
  <c r="AA45" i="1"/>
  <c r="AA38" i="1"/>
  <c r="W38" i="1" s="1"/>
  <c r="AA192" i="1"/>
  <c r="AA187" i="1"/>
  <c r="AA184" i="1"/>
  <c r="AA180" i="1"/>
  <c r="W180" i="1" s="1"/>
  <c r="X177" i="1"/>
  <c r="X174" i="1"/>
  <c r="AA199" i="1"/>
  <c r="AA197" i="1"/>
  <c r="X195" i="1"/>
  <c r="AA194" i="1"/>
  <c r="X192" i="1"/>
  <c r="T190" i="1"/>
  <c r="U190" i="1" s="1"/>
  <c r="S190" i="1" s="1"/>
  <c r="T185" i="1"/>
  <c r="T182" i="1"/>
  <c r="T171" i="1"/>
  <c r="U171" i="1" s="1"/>
  <c r="S171" i="1" s="1"/>
  <c r="X171" i="1"/>
  <c r="X166" i="1"/>
  <c r="T166" i="1"/>
  <c r="X167" i="1"/>
  <c r="AA190" i="1"/>
  <c r="W190" i="1" s="1"/>
  <c r="AA185" i="1"/>
  <c r="AA182" i="1"/>
  <c r="T179" i="1"/>
  <c r="U179" i="1" s="1"/>
  <c r="S179" i="1" s="1"/>
  <c r="X170" i="1"/>
  <c r="T170" i="1"/>
  <c r="AA193" i="1"/>
  <c r="AA191" i="1"/>
  <c r="W191" i="1" s="1"/>
  <c r="AA189" i="1"/>
  <c r="AA186" i="1"/>
  <c r="AA183" i="1"/>
  <c r="W183" i="1" s="1"/>
  <c r="AA181" i="1"/>
  <c r="X172" i="1"/>
  <c r="X75" i="1"/>
  <c r="AA36" i="1"/>
  <c r="W36" i="1" s="1"/>
  <c r="AA35" i="1"/>
  <c r="AA26" i="1"/>
  <c r="AA85" i="1"/>
  <c r="AA81" i="1"/>
  <c r="AA77" i="1"/>
  <c r="AA60" i="1"/>
  <c r="AA59" i="1"/>
  <c r="AA58" i="1"/>
  <c r="W58" i="1" s="1"/>
  <c r="AA57" i="1"/>
  <c r="AA56" i="1"/>
  <c r="AA55" i="1"/>
  <c r="AA54" i="1"/>
  <c r="W54" i="1" s="1"/>
  <c r="AA49" i="1"/>
  <c r="AA44" i="1"/>
  <c r="AA43" i="1"/>
  <c r="AA42" i="1"/>
  <c r="W42" i="1" s="1"/>
  <c r="AA41" i="1"/>
  <c r="AA40" i="1"/>
  <c r="AA28" i="1"/>
  <c r="AA21" i="1"/>
  <c r="W21" i="1" s="1"/>
  <c r="AA17" i="1"/>
  <c r="AA75" i="1"/>
  <c r="AA51" i="1"/>
  <c r="AA47" i="1"/>
  <c r="W47" i="1" s="1"/>
  <c r="AA24" i="1"/>
  <c r="AA19" i="1"/>
  <c r="AA15" i="1"/>
  <c r="AI234" i="1"/>
  <c r="U225" i="1"/>
  <c r="S225" i="1" s="1"/>
  <c r="AI233" i="1"/>
  <c r="U224" i="1"/>
  <c r="S224" i="1" s="1"/>
  <c r="AI232" i="1"/>
  <c r="U223" i="1"/>
  <c r="S223" i="1" s="1"/>
  <c r="AI231" i="1"/>
  <c r="U222" i="1"/>
  <c r="S222" i="1" s="1"/>
  <c r="AI230" i="1"/>
  <c r="U221" i="1"/>
  <c r="S221" i="1" s="1"/>
  <c r="AI229" i="1"/>
  <c r="U220" i="1"/>
  <c r="S220" i="1" s="1"/>
  <c r="AI228" i="1"/>
  <c r="U207" i="1"/>
  <c r="S207" i="1" s="1"/>
  <c r="AI227" i="1"/>
  <c r="U205" i="1"/>
  <c r="S205" i="1" s="1"/>
  <c r="AI226" i="1"/>
  <c r="U204" i="1"/>
  <c r="S204" i="1" s="1"/>
  <c r="AI225" i="1"/>
  <c r="AI224" i="1"/>
  <c r="AI223" i="1"/>
  <c r="U200" i="1"/>
  <c r="S200" i="1" s="1"/>
  <c r="AI222" i="1"/>
  <c r="U199" i="1"/>
  <c r="S199" i="1" s="1"/>
  <c r="AI221" i="1"/>
  <c r="U198" i="1"/>
  <c r="S198" i="1" s="1"/>
  <c r="AI220" i="1"/>
  <c r="U197" i="1"/>
  <c r="S197" i="1" s="1"/>
  <c r="AI219" i="1"/>
  <c r="U195" i="1"/>
  <c r="S195" i="1" s="1"/>
  <c r="AI218" i="1"/>
  <c r="U194" i="1"/>
  <c r="S194" i="1" s="1"/>
  <c r="AI217" i="1"/>
  <c r="U193" i="1"/>
  <c r="S193" i="1" s="1"/>
  <c r="AI216" i="1"/>
  <c r="U192" i="1"/>
  <c r="S192" i="1" s="1"/>
  <c r="AI215" i="1"/>
  <c r="U191" i="1"/>
  <c r="S191" i="1" s="1"/>
  <c r="AI214" i="1"/>
  <c r="AI213" i="1"/>
  <c r="U189" i="1"/>
  <c r="S189" i="1" s="1"/>
  <c r="AI212" i="1"/>
  <c r="U187" i="1"/>
  <c r="S187" i="1" s="1"/>
  <c r="AI211" i="1"/>
  <c r="U186" i="1"/>
  <c r="S186" i="1" s="1"/>
  <c r="AI210" i="1"/>
  <c r="U185" i="1"/>
  <c r="S185" i="1" s="1"/>
  <c r="AI209" i="1"/>
  <c r="AI208" i="1"/>
  <c r="U184" i="1"/>
  <c r="S184" i="1" s="1"/>
  <c r="AI207" i="1"/>
  <c r="U183" i="1"/>
  <c r="S183" i="1" s="1"/>
  <c r="AI205" i="1"/>
  <c r="U182" i="1"/>
  <c r="S182" i="1" s="1"/>
  <c r="AI204" i="1"/>
  <c r="U181" i="1"/>
  <c r="S181" i="1" s="1"/>
  <c r="AI203" i="1"/>
  <c r="U180" i="1"/>
  <c r="S180" i="1" s="1"/>
  <c r="AI201" i="1"/>
  <c r="U177" i="1"/>
  <c r="S177" i="1" s="1"/>
  <c r="AI200" i="1"/>
  <c r="U176" i="1"/>
  <c r="S176" i="1" s="1"/>
  <c r="AI199" i="1"/>
  <c r="U175" i="1"/>
  <c r="S175" i="1" s="1"/>
  <c r="AI198" i="1"/>
  <c r="U174" i="1"/>
  <c r="S174" i="1" s="1"/>
  <c r="AI197" i="1"/>
  <c r="AI195" i="1"/>
  <c r="U172" i="1"/>
  <c r="S172" i="1" s="1"/>
  <c r="AI194" i="1"/>
  <c r="AI193" i="1"/>
  <c r="U170" i="1"/>
  <c r="S170" i="1" s="1"/>
  <c r="AI192" i="1"/>
  <c r="U169" i="1"/>
  <c r="S169" i="1" s="1"/>
  <c r="AI191" i="1"/>
  <c r="U168" i="1"/>
  <c r="S168" i="1" s="1"/>
  <c r="AI190" i="1"/>
  <c r="U167" i="1"/>
  <c r="S167" i="1" s="1"/>
  <c r="AI189" i="1"/>
  <c r="U166" i="1"/>
  <c r="S166" i="1" s="1"/>
  <c r="AI187" i="1"/>
  <c r="AI186" i="1"/>
  <c r="AI185" i="1"/>
  <c r="AI184" i="1"/>
  <c r="AI183" i="1"/>
  <c r="AI182" i="1"/>
  <c r="AI181" i="1"/>
  <c r="AI180" i="1"/>
  <c r="W233" i="1"/>
  <c r="AI179" i="1"/>
  <c r="AI177" i="1"/>
  <c r="W231" i="1"/>
  <c r="AI176" i="1"/>
  <c r="AI175" i="1"/>
  <c r="AI174" i="1"/>
  <c r="AI173" i="1"/>
  <c r="AI172" i="1"/>
  <c r="AI171" i="1"/>
  <c r="AI170" i="1"/>
  <c r="AI169" i="1"/>
  <c r="AI168" i="1"/>
  <c r="AI167" i="1"/>
  <c r="AI166" i="1"/>
  <c r="U215" i="1"/>
  <c r="S215" i="1" s="1"/>
  <c r="AI165" i="1"/>
  <c r="U214" i="1"/>
  <c r="S214" i="1" s="1"/>
  <c r="AI164" i="1"/>
  <c r="U213" i="1"/>
  <c r="S213" i="1" s="1"/>
  <c r="AI163" i="1"/>
  <c r="U212" i="1"/>
  <c r="S212" i="1" s="1"/>
  <c r="AI162" i="1"/>
  <c r="U211" i="1"/>
  <c r="S211" i="1" s="1"/>
  <c r="AI161" i="1"/>
  <c r="U210" i="1"/>
  <c r="S210" i="1" s="1"/>
  <c r="AI160" i="1"/>
  <c r="AI157" i="1"/>
  <c r="AI154" i="1"/>
  <c r="AI152" i="1"/>
  <c r="AI159" i="1"/>
  <c r="AI155" i="1"/>
  <c r="AI153" i="1"/>
  <c r="AI151" i="1"/>
  <c r="AI148" i="1"/>
  <c r="AI146" i="1"/>
  <c r="AI143" i="1"/>
  <c r="W143" i="1"/>
  <c r="AI141" i="1"/>
  <c r="W141" i="1"/>
  <c r="AI138" i="1"/>
  <c r="W138" i="1"/>
  <c r="AI136" i="1"/>
  <c r="W136" i="1"/>
  <c r="AI132" i="1"/>
  <c r="AI130" i="1"/>
  <c r="AI128" i="1"/>
  <c r="AI126" i="1"/>
  <c r="AI123" i="1"/>
  <c r="AI121" i="1"/>
  <c r="AI119" i="1"/>
  <c r="AI116" i="1"/>
  <c r="AI114" i="1"/>
  <c r="AI112" i="1"/>
  <c r="AI110" i="1"/>
  <c r="AI108" i="1"/>
  <c r="AI150" i="1"/>
  <c r="AI147" i="1"/>
  <c r="AI145" i="1"/>
  <c r="AI142" i="1"/>
  <c r="AI139" i="1"/>
  <c r="AI137" i="1"/>
  <c r="AI135" i="1"/>
  <c r="AI131" i="1"/>
  <c r="AI129" i="1"/>
  <c r="AI127" i="1"/>
  <c r="AI125" i="1"/>
  <c r="AI122" i="1"/>
  <c r="AI120" i="1"/>
  <c r="AI117" i="1"/>
  <c r="AI115" i="1"/>
  <c r="AI113" i="1"/>
  <c r="AI111" i="1"/>
  <c r="AI109" i="1"/>
  <c r="AI107" i="1"/>
  <c r="AI106" i="1"/>
  <c r="AI104" i="1"/>
  <c r="AI103" i="1"/>
  <c r="AI102" i="1"/>
  <c r="AI101" i="1"/>
  <c r="AI100" i="1"/>
  <c r="AI99" i="1"/>
  <c r="AI98" i="1"/>
  <c r="AI97" i="1"/>
  <c r="AI96" i="1"/>
  <c r="AI95" i="1"/>
  <c r="U94" i="1"/>
  <c r="S94" i="1" s="1"/>
  <c r="AI94" i="1"/>
  <c r="U93" i="1"/>
  <c r="S93" i="1" s="1"/>
  <c r="AI93" i="1"/>
  <c r="U92" i="1"/>
  <c r="S92" i="1" s="1"/>
  <c r="AI92" i="1"/>
  <c r="U91" i="1"/>
  <c r="S91" i="1" s="1"/>
  <c r="AI91" i="1"/>
  <c r="U90" i="1"/>
  <c r="AI90" i="1"/>
  <c r="U89" i="1"/>
  <c r="S89" i="1" s="1"/>
  <c r="AI89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AI21" i="1"/>
  <c r="U21" i="1"/>
  <c r="S21" i="1" s="1"/>
  <c r="AI17" i="1"/>
  <c r="U17" i="1"/>
  <c r="S17" i="1" s="1"/>
  <c r="AI50" i="1"/>
  <c r="AI48" i="1"/>
  <c r="AI46" i="1"/>
  <c r="AI44" i="1"/>
  <c r="AI42" i="1"/>
  <c r="AI40" i="1"/>
  <c r="AI38" i="1"/>
  <c r="AI36" i="1"/>
  <c r="AI33" i="1"/>
  <c r="AI31" i="1"/>
  <c r="AI29" i="1"/>
  <c r="AI27" i="1"/>
  <c r="AI25" i="1"/>
  <c r="AI23" i="1"/>
  <c r="AI20" i="1"/>
  <c r="U20" i="1"/>
  <c r="S20" i="1" s="1"/>
  <c r="AI16" i="1"/>
  <c r="U16" i="1"/>
  <c r="S16" i="1" s="1"/>
  <c r="AI19" i="1"/>
  <c r="U19" i="1"/>
  <c r="S19" i="1" s="1"/>
  <c r="AI15" i="1"/>
  <c r="U15" i="1"/>
  <c r="S15" i="1" s="1"/>
  <c r="U75" i="1"/>
  <c r="S75" i="1" s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W61" i="1"/>
  <c r="AI60" i="1"/>
  <c r="AI59" i="1"/>
  <c r="AI58" i="1"/>
  <c r="AI57" i="1"/>
  <c r="U56" i="1"/>
  <c r="S56" i="1" s="1"/>
  <c r="AI56" i="1"/>
  <c r="U55" i="1"/>
  <c r="S55" i="1" s="1"/>
  <c r="AI55" i="1"/>
  <c r="U54" i="1"/>
  <c r="S54" i="1" s="1"/>
  <c r="AI54" i="1"/>
  <c r="U53" i="1"/>
  <c r="S53" i="1" s="1"/>
  <c r="AI53" i="1"/>
  <c r="U52" i="1"/>
  <c r="S52" i="1" s="1"/>
  <c r="AI52" i="1"/>
  <c r="AI51" i="1"/>
  <c r="AI49" i="1"/>
  <c r="AI47" i="1"/>
  <c r="AI45" i="1"/>
  <c r="AI43" i="1"/>
  <c r="AI41" i="1"/>
  <c r="AI39" i="1"/>
  <c r="AI37" i="1"/>
  <c r="AI35" i="1"/>
  <c r="AI34" i="1"/>
  <c r="AI32" i="1"/>
  <c r="AI30" i="1"/>
  <c r="AI28" i="1"/>
  <c r="AI26" i="1"/>
  <c r="AI24" i="1"/>
  <c r="AI22" i="1"/>
  <c r="U22" i="1"/>
  <c r="S22" i="1" s="1"/>
  <c r="AI18" i="1"/>
  <c r="U18" i="1"/>
  <c r="S18" i="1" s="1"/>
  <c r="AI14" i="1"/>
  <c r="U14" i="1"/>
  <c r="S14" i="1" s="1"/>
  <c r="W225" i="1"/>
  <c r="W224" i="1"/>
  <c r="W223" i="1"/>
  <c r="W222" i="1"/>
  <c r="W221" i="1"/>
  <c r="W203" i="1"/>
  <c r="W200" i="1"/>
  <c r="W198" i="1"/>
  <c r="W195" i="1"/>
  <c r="W193" i="1"/>
  <c r="W189" i="1"/>
  <c r="W186" i="1"/>
  <c r="W181" i="1"/>
  <c r="W179" i="1"/>
  <c r="W173" i="1"/>
  <c r="W161" i="1"/>
  <c r="W168" i="1"/>
  <c r="W160" i="1"/>
  <c r="W204" i="1"/>
  <c r="W199" i="1"/>
  <c r="W197" i="1"/>
  <c r="W194" i="1"/>
  <c r="W192" i="1"/>
  <c r="W187" i="1"/>
  <c r="W185" i="1"/>
  <c r="W184" i="1"/>
  <c r="W182" i="1"/>
  <c r="W177" i="1"/>
  <c r="W174" i="1"/>
  <c r="W169" i="1"/>
  <c r="W163" i="1"/>
  <c r="W159" i="1"/>
  <c r="W176" i="1"/>
  <c r="W171" i="1"/>
  <c r="W164" i="1"/>
  <c r="W175" i="1"/>
  <c r="W172" i="1"/>
  <c r="W167" i="1"/>
  <c r="W162" i="1"/>
  <c r="W234" i="1"/>
  <c r="S20" i="3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T159" i="1"/>
  <c r="U159" i="1" s="1"/>
  <c r="S159" i="1" s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6" i="1"/>
  <c r="U226" i="1" s="1"/>
  <c r="S226" i="1" s="1"/>
  <c r="X226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X225" i="1"/>
  <c r="X224" i="1"/>
  <c r="X223" i="1"/>
  <c r="X222" i="1"/>
  <c r="X221" i="1"/>
  <c r="X220" i="1"/>
  <c r="W230" i="1"/>
  <c r="W229" i="1"/>
  <c r="W228" i="1"/>
  <c r="W227" i="1"/>
  <c r="W226" i="1"/>
  <c r="W218" i="1"/>
  <c r="W217" i="1"/>
  <c r="W215" i="1"/>
  <c r="W213" i="1"/>
  <c r="W212" i="1"/>
  <c r="W211" i="1"/>
  <c r="W210" i="1"/>
  <c r="W209" i="1"/>
  <c r="W208" i="1"/>
  <c r="W157" i="1"/>
  <c r="W155" i="1"/>
  <c r="W154" i="1"/>
  <c r="W153" i="1"/>
  <c r="W151" i="1"/>
  <c r="W150" i="1"/>
  <c r="W147" i="1"/>
  <c r="W145" i="1"/>
  <c r="W142" i="1"/>
  <c r="W139" i="1"/>
  <c r="W137" i="1"/>
  <c r="W135" i="1"/>
  <c r="T209" i="1"/>
  <c r="U209" i="1" s="1"/>
  <c r="S209" i="1" s="1"/>
  <c r="X209" i="1"/>
  <c r="T157" i="1"/>
  <c r="U157" i="1" s="1"/>
  <c r="S157" i="1" s="1"/>
  <c r="T154" i="1"/>
  <c r="U154" i="1" s="1"/>
  <c r="S154" i="1" s="1"/>
  <c r="X154" i="1"/>
  <c r="T152" i="1"/>
  <c r="U152" i="1" s="1"/>
  <c r="S152" i="1" s="1"/>
  <c r="X152" i="1"/>
  <c r="W106" i="1"/>
  <c r="W97" i="1"/>
  <c r="T148" i="1"/>
  <c r="U148" i="1" s="1"/>
  <c r="S148" i="1" s="1"/>
  <c r="X148" i="1"/>
  <c r="T146" i="1"/>
  <c r="U146" i="1" s="1"/>
  <c r="S146" i="1" s="1"/>
  <c r="X146" i="1"/>
  <c r="T143" i="1"/>
  <c r="U143" i="1" s="1"/>
  <c r="S143" i="1" s="1"/>
  <c r="X143" i="1"/>
  <c r="T141" i="1"/>
  <c r="U141" i="1" s="1"/>
  <c r="S141" i="1" s="1"/>
  <c r="T138" i="1"/>
  <c r="U138" i="1" s="1"/>
  <c r="S138" i="1" s="1"/>
  <c r="X138" i="1"/>
  <c r="T136" i="1"/>
  <c r="U136" i="1" s="1"/>
  <c r="S136" i="1" s="1"/>
  <c r="X136" i="1"/>
  <c r="T132" i="1"/>
  <c r="U132" i="1" s="1"/>
  <c r="S132" i="1" s="1"/>
  <c r="X132" i="1"/>
  <c r="W104" i="1"/>
  <c r="W100" i="1"/>
  <c r="W96" i="1"/>
  <c r="X215" i="1"/>
  <c r="X214" i="1"/>
  <c r="X213" i="1"/>
  <c r="X212" i="1"/>
  <c r="X211" i="1"/>
  <c r="X210" i="1"/>
  <c r="T208" i="1"/>
  <c r="U208" i="1" s="1"/>
  <c r="S208" i="1" s="1"/>
  <c r="X208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W103" i="1"/>
  <c r="W99" i="1"/>
  <c r="T150" i="1"/>
  <c r="U150" i="1" s="1"/>
  <c r="S150" i="1" s="1"/>
  <c r="T147" i="1"/>
  <c r="U147" i="1" s="1"/>
  <c r="S147" i="1" s="1"/>
  <c r="X147" i="1"/>
  <c r="T145" i="1"/>
  <c r="U145" i="1" s="1"/>
  <c r="S145" i="1" s="1"/>
  <c r="T142" i="1"/>
  <c r="U142" i="1" s="1"/>
  <c r="S142" i="1" s="1"/>
  <c r="X142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W130" i="1"/>
  <c r="W129" i="1"/>
  <c r="W127" i="1"/>
  <c r="W125" i="1"/>
  <c r="W123" i="1"/>
  <c r="W122" i="1"/>
  <c r="W121" i="1"/>
  <c r="W120" i="1"/>
  <c r="W119" i="1"/>
  <c r="W117" i="1"/>
  <c r="W116" i="1"/>
  <c r="W115" i="1"/>
  <c r="W114" i="1"/>
  <c r="W113" i="1"/>
  <c r="W112" i="1"/>
  <c r="W111" i="1"/>
  <c r="W109" i="1"/>
  <c r="W107" i="1"/>
  <c r="W102" i="1"/>
  <c r="W98" i="1"/>
  <c r="T107" i="1"/>
  <c r="U107" i="1" s="1"/>
  <c r="S107" i="1" s="1"/>
  <c r="T106" i="1"/>
  <c r="U106" i="1" s="1"/>
  <c r="S106" i="1" s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W93" i="1"/>
  <c r="W80" i="1"/>
  <c r="W76" i="1"/>
  <c r="W73" i="1"/>
  <c r="W69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T122" i="1"/>
  <c r="U122" i="1" s="1"/>
  <c r="S122" i="1" s="1"/>
  <c r="X122" i="1"/>
  <c r="T120" i="1"/>
  <c r="U120" i="1" s="1"/>
  <c r="S120" i="1" s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T109" i="1"/>
  <c r="U109" i="1" s="1"/>
  <c r="X109" i="1"/>
  <c r="W91" i="1"/>
  <c r="W90" i="1"/>
  <c r="W89" i="1"/>
  <c r="W85" i="1"/>
  <c r="W81" i="1"/>
  <c r="W77" i="1"/>
  <c r="W72" i="1"/>
  <c r="W68" i="1"/>
  <c r="W64" i="1"/>
  <c r="W86" i="1"/>
  <c r="W82" i="1"/>
  <c r="W78" i="1"/>
  <c r="W75" i="1"/>
  <c r="W71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W94" i="1"/>
  <c r="W83" i="1"/>
  <c r="W79" i="1"/>
  <c r="W74" i="1"/>
  <c r="W70" i="1"/>
  <c r="W66" i="1"/>
  <c r="W62" i="1"/>
  <c r="X94" i="1"/>
  <c r="X93" i="1"/>
  <c r="X92" i="1"/>
  <c r="X91" i="1"/>
  <c r="X90" i="1"/>
  <c r="X87" i="1"/>
  <c r="X86" i="1"/>
  <c r="X85" i="1"/>
  <c r="X84" i="1"/>
  <c r="X83" i="1"/>
  <c r="X82" i="1"/>
  <c r="X81" i="1"/>
  <c r="X80" i="1"/>
  <c r="X79" i="1"/>
  <c r="X78" i="1"/>
  <c r="X77" i="1"/>
  <c r="X76" i="1"/>
  <c r="W48" i="1"/>
  <c r="W39" i="1"/>
  <c r="W37" i="1"/>
  <c r="W35" i="1"/>
  <c r="W60" i="1"/>
  <c r="W59" i="1"/>
  <c r="W57" i="1"/>
  <c r="W56" i="1"/>
  <c r="W55" i="1"/>
  <c r="W53" i="1"/>
  <c r="W49" i="1"/>
  <c r="W44" i="1"/>
  <c r="W43" i="1"/>
  <c r="W41" i="1"/>
  <c r="W40" i="1"/>
  <c r="T74" i="1"/>
  <c r="U74" i="1" s="1"/>
  <c r="S74" i="1" s="1"/>
  <c r="X74" i="1"/>
  <c r="T73" i="1"/>
  <c r="U73" i="1" s="1"/>
  <c r="S73" i="1" s="1"/>
  <c r="X73" i="1"/>
  <c r="T72" i="1"/>
  <c r="U72" i="1" s="1"/>
  <c r="S72" i="1" s="1"/>
  <c r="X72" i="1"/>
  <c r="T71" i="1"/>
  <c r="U71" i="1" s="1"/>
  <c r="S71" i="1" s="1"/>
  <c r="X71" i="1"/>
  <c r="T70" i="1"/>
  <c r="U70" i="1" s="1"/>
  <c r="S70" i="1" s="1"/>
  <c r="X70" i="1"/>
  <c r="T69" i="1"/>
  <c r="U69" i="1" s="1"/>
  <c r="S69" i="1" s="1"/>
  <c r="X69" i="1"/>
  <c r="T68" i="1"/>
  <c r="U68" i="1" s="1"/>
  <c r="S68" i="1" s="1"/>
  <c r="X68" i="1"/>
  <c r="T67" i="1"/>
  <c r="U67" i="1" s="1"/>
  <c r="S67" i="1" s="1"/>
  <c r="X67" i="1"/>
  <c r="T66" i="1"/>
  <c r="U66" i="1" s="1"/>
  <c r="S66" i="1" s="1"/>
  <c r="X66" i="1"/>
  <c r="T65" i="1"/>
  <c r="U65" i="1" s="1"/>
  <c r="S65" i="1" s="1"/>
  <c r="X65" i="1"/>
  <c r="T64" i="1"/>
  <c r="U64" i="1" s="1"/>
  <c r="S64" i="1" s="1"/>
  <c r="X64" i="1"/>
  <c r="T63" i="1"/>
  <c r="U63" i="1" s="1"/>
  <c r="S63" i="1" s="1"/>
  <c r="X63" i="1"/>
  <c r="T62" i="1"/>
  <c r="U62" i="1" s="1"/>
  <c r="S62" i="1" s="1"/>
  <c r="X62" i="1"/>
  <c r="T61" i="1"/>
  <c r="U61" i="1" s="1"/>
  <c r="S61" i="1" s="1"/>
  <c r="X61" i="1"/>
  <c r="T60" i="1"/>
  <c r="U60" i="1" s="1"/>
  <c r="S60" i="1" s="1"/>
  <c r="X60" i="1"/>
  <c r="T59" i="1"/>
  <c r="U59" i="1" s="1"/>
  <c r="S59" i="1" s="1"/>
  <c r="X59" i="1"/>
  <c r="T58" i="1"/>
  <c r="U58" i="1" s="1"/>
  <c r="S58" i="1" s="1"/>
  <c r="X58" i="1"/>
  <c r="T57" i="1"/>
  <c r="U57" i="1" s="1"/>
  <c r="S57" i="1" s="1"/>
  <c r="X57" i="1"/>
  <c r="W52" i="1"/>
  <c r="W50" i="1"/>
  <c r="W46" i="1"/>
  <c r="W45" i="1"/>
  <c r="W51" i="1"/>
  <c r="X56" i="1"/>
  <c r="X55" i="1"/>
  <c r="X54" i="1"/>
  <c r="X53" i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W19" i="1"/>
  <c r="W15" i="1"/>
  <c r="AA34" i="1"/>
  <c r="W34" i="1" s="1"/>
  <c r="AA32" i="1"/>
  <c r="W32" i="1" s="1"/>
  <c r="AA30" i="1"/>
  <c r="W30" i="1" s="1"/>
  <c r="W28" i="1"/>
  <c r="W26" i="1"/>
  <c r="W24" i="1"/>
  <c r="AA22" i="1"/>
  <c r="W22" i="1" s="1"/>
  <c r="AA18" i="1"/>
  <c r="W18" i="1" s="1"/>
  <c r="AA14" i="1"/>
  <c r="W14" i="1" s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W17" i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AA20" i="1"/>
  <c r="W20" i="1" s="1"/>
  <c r="AA16" i="1"/>
  <c r="W16" i="1" s="1"/>
  <c r="X22" i="1"/>
  <c r="X21" i="1"/>
  <c r="X20" i="1"/>
  <c r="X19" i="1"/>
  <c r="X18" i="1"/>
  <c r="X17" i="1"/>
  <c r="X16" i="1"/>
  <c r="X15" i="1"/>
  <c r="AE23" i="3"/>
  <c r="T18" i="3"/>
  <c r="T22" i="3"/>
  <c r="AE19" i="3"/>
  <c r="AD24" i="3"/>
  <c r="AE25" i="3"/>
  <c r="AE18" i="3"/>
  <c r="AD17" i="3"/>
  <c r="AD12" i="3"/>
  <c r="AE11" i="3"/>
  <c r="AE10" i="3"/>
  <c r="AE14" i="3"/>
  <c r="AD9" i="3"/>
  <c r="AE15" i="3"/>
  <c r="AD8" i="3"/>
  <c r="T8" i="3"/>
  <c r="AC9" i="3"/>
  <c r="AC21" i="3"/>
  <c r="AC15" i="3"/>
  <c r="AC19" i="3"/>
  <c r="AC14" i="3"/>
  <c r="AE22" i="3"/>
  <c r="AD22" i="3"/>
  <c r="AD19" i="3"/>
  <c r="T10" i="3"/>
  <c r="AE16" i="3"/>
  <c r="AD15" i="3"/>
  <c r="T23" i="3"/>
  <c r="AE12" i="3"/>
  <c r="AD11" i="3"/>
  <c r="AC17" i="3"/>
  <c r="T12" i="3"/>
  <c r="AE21" i="3"/>
  <c r="T24" i="3"/>
  <c r="Y9" i="3"/>
  <c r="Y21" i="3"/>
  <c r="Y15" i="3"/>
  <c r="Y19" i="3"/>
  <c r="Y14" i="3"/>
  <c r="Y7" i="3"/>
  <c r="Y10" i="3"/>
  <c r="Y12" i="3"/>
  <c r="Y24" i="3"/>
  <c r="Y18" i="3"/>
  <c r="Y22" i="3"/>
  <c r="Y8" i="3"/>
  <c r="Y23" i="3"/>
  <c r="Y17" i="3"/>
  <c r="Y25" i="3"/>
  <c r="Y20" i="3"/>
  <c r="Y16" i="3"/>
  <c r="Y11" i="3"/>
  <c r="Y13" i="3"/>
  <c r="AC25" i="3"/>
  <c r="AC20" i="3"/>
  <c r="AC16" i="3"/>
  <c r="AC11" i="3"/>
  <c r="AC13" i="3"/>
  <c r="T17" i="3"/>
  <c r="AE24" i="3"/>
  <c r="T25" i="3"/>
  <c r="AD21" i="3"/>
  <c r="AE20" i="3"/>
  <c r="T20" i="3"/>
  <c r="AD18" i="3"/>
  <c r="AE17" i="3"/>
  <c r="T16" i="3"/>
  <c r="AD14" i="3"/>
  <c r="AE13" i="3"/>
  <c r="T11" i="3"/>
  <c r="AD10" i="3"/>
  <c r="AE9" i="3"/>
  <c r="T13" i="3"/>
  <c r="AE8" i="3"/>
  <c r="S26" i="3" l="1"/>
  <c r="R26" i="3"/>
  <c r="M26" i="3"/>
  <c r="U26" i="3"/>
  <c r="V26" i="3"/>
  <c r="X26" i="3"/>
  <c r="AC26" i="3" l="1"/>
  <c r="AD26" i="3"/>
  <c r="AE26" i="3"/>
  <c r="W26" i="3"/>
  <c r="T26" i="3" l="1"/>
  <c r="Y26" i="3"/>
  <c r="M23" i="5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N12" i="3" s="1"/>
  <c r="G231" i="4"/>
  <c r="G232" i="4"/>
  <c r="G233" i="4"/>
  <c r="G234" i="4"/>
  <c r="G235" i="4"/>
  <c r="G236" i="4"/>
  <c r="G237" i="4"/>
  <c r="G238" i="4"/>
  <c r="N17" i="3" s="1"/>
  <c r="G239" i="4"/>
  <c r="G240" i="4"/>
  <c r="G241" i="4"/>
  <c r="G242" i="4"/>
  <c r="G243" i="4"/>
  <c r="G244" i="4"/>
  <c r="G245" i="4"/>
  <c r="G246" i="4"/>
  <c r="G247" i="4"/>
  <c r="G248" i="4"/>
  <c r="G249" i="4"/>
  <c r="N9" i="3" l="1"/>
  <c r="N8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7" i="3" s="1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N13" i="3" s="1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22" i="3" s="1"/>
  <c r="G73" i="4"/>
  <c r="G74" i="4"/>
  <c r="G75" i="4"/>
  <c r="G76" i="4"/>
  <c r="G77" i="4"/>
  <c r="G78" i="4"/>
  <c r="G79" i="4"/>
  <c r="G80" i="4"/>
  <c r="G81" i="4"/>
  <c r="G82" i="4"/>
  <c r="G83" i="4"/>
  <c r="G84" i="4"/>
  <c r="N14" i="3" s="1"/>
  <c r="G85" i="4"/>
  <c r="G86" i="4"/>
  <c r="G87" i="4"/>
  <c r="G88" i="4"/>
  <c r="G89" i="4"/>
  <c r="G90" i="4"/>
  <c r="N11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23" i="3" s="1"/>
  <c r="G115" i="4"/>
  <c r="G116" i="4"/>
  <c r="G117" i="4"/>
  <c r="G118" i="4"/>
  <c r="N19" i="3" s="1"/>
  <c r="G119" i="4"/>
  <c r="G120" i="4"/>
  <c r="G121" i="4"/>
  <c r="G122" i="4"/>
  <c r="G123" i="4"/>
  <c r="G124" i="4"/>
  <c r="G125" i="4"/>
  <c r="G126" i="4"/>
  <c r="G127" i="4"/>
  <c r="G128" i="4"/>
  <c r="N16" i="3" s="1"/>
  <c r="G129" i="4"/>
  <c r="G130" i="4"/>
  <c r="G131" i="4"/>
  <c r="G132" i="4"/>
  <c r="G133" i="4"/>
  <c r="N10" i="3" s="1"/>
  <c r="G134" i="4"/>
  <c r="G135" i="4"/>
  <c r="G136" i="4"/>
  <c r="G137" i="4"/>
  <c r="N18" i="3" s="1"/>
  <c r="G138" i="4"/>
  <c r="G139" i="4"/>
  <c r="G140" i="4"/>
  <c r="G141" i="4"/>
  <c r="G142" i="4"/>
  <c r="G143" i="4"/>
  <c r="G144" i="4"/>
  <c r="G145" i="4"/>
  <c r="N15" i="3" s="1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26" i="3" s="1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N21" i="3" s="1"/>
  <c r="G218" i="4"/>
  <c r="G219" i="4"/>
  <c r="G220" i="4"/>
  <c r="G221" i="4"/>
  <c r="N25" i="3" s="1"/>
  <c r="G222" i="4"/>
  <c r="G223" i="4"/>
  <c r="G2" i="4"/>
  <c r="N24" i="3" l="1"/>
  <c r="N2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<sst xmlns="http://schemas.openxmlformats.org/spreadsheetml/2006/main" count="2772" uniqueCount="1092">
  <si>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</si>
  <si>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</si>
  <si>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</si>
  <si>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</si>
  <si>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</si>
  <si>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</si>
  <si>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</si>
  <si>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</si>
  <si>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</si>
  <si>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</si>
  <si>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</si>
  <si>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</si>
  <si>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</si>
  <si>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</si>
  <si>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</si>
  <si>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</si>
  <si>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</si>
  <si>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</si>
  <si>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</si>
  <si>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</si>
  <si>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</si>
  <si>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</si>
  <si>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</si>
  <si>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</si>
  <si>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</si>
  <si>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</si>
  <si>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</si>
  <si>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</si>
  <si>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</si>
  <si>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</si>
  <si>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</si>
  <si>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</si>
  <si>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</si>
  <si>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</si>
  <si>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</si>
  <si>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</si>
  <si>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</si>
  <si>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</si>
  <si>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</si>
  <si>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</si>
  <si>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</si>
  <si>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</si>
  <si>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</si>
  <si>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</si>
  <si>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</si>
  <si>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</si>
  <si>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</si>
  <si>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</si>
  <si>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</si>
  <si>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</si>
  <si>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</si>
  <si>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</si>
  <si>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</si>
  <si>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</si>
  <si>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</si>
  <si>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</si>
  <si>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</si>
  <si>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</si>
  <si>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</si>
  <si>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</si>
  <si>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</si>
  <si>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</si>
  <si>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</si>
  <si>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</si>
  <si>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</si>
  <si>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</si>
  <si>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</si>
  <si>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</si>
  <si>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</si>
  <si>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</si>
  <si>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</si>
  <si>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</si>
  <si>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</si>
  <si>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</si>
  <si>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</si>
  <si>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</si>
  <si>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</si>
  <si>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</si>
  <si>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</si>
  <si>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</si>
  <si>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</si>
  <si>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</si>
  <si>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</si>
  <si>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</si>
  <si>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</si>
  <si>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</si>
  <si>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</si>
  <si>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</si>
  <si>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</si>
  <si>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</si>
  <si>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</si>
  <si>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</si>
  <si>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</si>
  <si>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</si>
  <si>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</si>
  <si>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</si>
  <si>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</si>
  <si>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</si>
  <si>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</si>
  <si>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</si>
  <si>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</si>
  <si>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</si>
  <si>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</si>
  <si>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</si>
  <si>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</si>
  <si>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</si>
  <si>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</si>
  <si>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</si>
  <si>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</si>
  <si>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</si>
  <si>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</si>
  <si>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</si>
  <si>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</si>
  <si>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</si>
  <si>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</si>
  <si>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</si>
  <si>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</si>
  <si>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</si>
  <si>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</si>
  <si>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</si>
  <si>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</si>
  <si>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</si>
  <si>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</si>
  <si>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</si>
  <si>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</si>
  <si>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</si>
  <si>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</si>
  <si>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</si>
  <si>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</si>
  <si>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</si>
  <si>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</si>
  <si>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</si>
  <si>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</si>
  <si>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</si>
  <si>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</si>
  <si>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</si>
  <si>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</si>
  <si>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</si>
  <si>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</si>
  <si>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</si>
  <si>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</si>
  <si>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</si>
  <si>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</si>
  <si>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</si>
  <si>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</si>
  <si>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</si>
  <si>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</si>
  <si>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</si>
  <si>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</si>
  <si>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</si>
  <si>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</si>
  <si>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</si>
  <si>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</si>
  <si>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</si>
  <si>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</si>
  <si>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</si>
  <si>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</si>
  <si>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</si>
  <si>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</si>
  <si>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</si>
  <si>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</si>
  <si>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</si>
  <si>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</si>
  <si>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</si>
  <si>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</si>
  <si>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</si>
  <si>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</si>
  <si>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</si>
  <si>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</si>
  <si>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</si>
  <si>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</si>
  <si>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</si>
  <si>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</si>
  <si>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</si>
  <si>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</si>
  <si>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</si>
  <si>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</si>
  <si>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</si>
  <si>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</si>
  <si>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</si>
  <si>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</si>
  <si>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</si>
  <si>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</si>
  <si>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</si>
  <si>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</si>
  <si>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</si>
  <si>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</si>
  <si>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</si>
  <si>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</si>
  <si>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</si>
  <si>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</si>
  <si>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</si>
  <si>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</si>
  <si>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</si>
  <si>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</si>
  <si>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</si>
  <si>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</si>
  <si>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</si>
  <si>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</si>
  <si>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</si>
  <si>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</si>
  <si>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</si>
  <si>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</si>
  <si>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</si>
  <si>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</si>
  <si>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</si>
  <si>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</si>
  <si>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</si>
  <si>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</si>
  <si>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</si>
  <si>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</si>
  <si>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</si>
  <si>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</si>
  <si>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</si>
  <si>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</si>
  <si>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</si>
  <si>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</si>
  <si>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</si>
  <si>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</si>
  <si>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</si>
  <si>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</si>
  <si>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</si>
  <si>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</si>
  <si>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</si>
  <si>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</si>
  <si>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</si>
  <si>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</si>
  <si>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</si>
  <si>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</si>
  <si>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</si>
  <si>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</si>
  <si>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</si>
  <si>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</si>
  <si>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</si>
  <si>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</si>
  <si>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</si>
  <si>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</si>
  <si>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</si>
  <si>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</si>
  <si>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</si>
  <si>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</si>
  <si>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</si>
  <si>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</si>
  <si>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</si>
  <si>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</si>
  <si>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</si>
  <si>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</si>
  <si>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</si>
  <si>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</si>
  <si>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</si>
  <si>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</si>
  <si>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</si>
  <si>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</si>
  <si>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</si>
  <si>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</si>
  <si>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</si>
  <si>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</si>
  <si>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</si>
  <si>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</si>
  <si>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</si>
  <si>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</si>
  <si>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</si>
  <si>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</si>
  <si>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</si>
  <si>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</si>
  <si>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</si>
  <si>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</si>
  <si>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</si>
  <si>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</si>
  <si>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</si>
  <si>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</si>
  <si>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</si>
  <si>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</si>
  <si>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</si>
  <si>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</si>
  <si>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</si>
  <si>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</si>
  <si>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</si>
  <si>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</si>
  <si>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</si>
  <si>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</si>
  <si>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</si>
  <si>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</si>
  <si>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</si>
  <si>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</si>
  <si>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</si>
  <si>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</si>
  <si>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</si>
  <si>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</si>
  <si>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</si>
  <si>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</si>
  <si>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</si>
  <si>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</si>
  <si>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</si>
  <si>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</si>
  <si>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</si>
  <si>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</si>
  <si>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</si>
  <si>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</si>
  <si>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</si>
  <si>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</si>
  <si>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</si>
  <si>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</si>
  <si>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</si>
  <si>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</si>
  <si>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</si>
  <si>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</si>
  <si>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</si>
  <si>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</si>
  <si>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</si>
  <si>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</si>
  <si>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</si>
  <si>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</si>
  <si>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</si>
  <si>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</si>
  <si>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</si>
  <si>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</si>
  <si>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</si>
  <si>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</si>
  <si>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</si>
  <si>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</si>
  <si>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</si>
  <si>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</si>
  <si>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</si>
  <si>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</si>
  <si>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</si>
  <si>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</si>
  <si>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</si>
  <si>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</si>
  <si>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</si>
  <si>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</si>
  <si>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</si>
  <si>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</si>
  <si>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</si>
  <si>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</si>
  <si>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</si>
  <si>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</si>
  <si>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</si>
  <si>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</si>
  <si>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</si>
  <si>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</si>
  <si>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</si>
  <si>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</si>
  <si>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</si>
  <si>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</si>
  <si>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</si>
  <si>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</si>
  <si>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</si>
  <si>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</si>
  <si>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</si>
  <si>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</si>
  <si>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</si>
  <si>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</si>
  <si>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</si>
  <si>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</si>
  <si>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</si>
  <si>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</si>
  <si>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</si>
  <si>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</si>
  <si>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</si>
  <si>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</si>
  <si>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</si>
  <si>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</si>
  <si>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</si>
  <si>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</si>
  <si>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</si>
  <si>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</si>
  <si>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</si>
  <si>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</si>
  <si>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</si>
  <si>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rtdc.l.rtdc.4053:itc</t>
  </si>
  <si>
    <t>WILLIAMS</t>
  </si>
  <si>
    <t>partly-cloudy-night</t>
  </si>
  <si>
    <t>204:161</t>
  </si>
  <si>
    <t>204:477</t>
  </si>
  <si>
    <t>204:232969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</si>
  <si>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</si>
  <si>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</si>
  <si>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</si>
  <si>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</si>
  <si>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</si>
  <si>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</si>
  <si>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</si>
  <si>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</si>
  <si>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</si>
  <si>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</si>
  <si>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</si>
  <si>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204:455</t>
  </si>
  <si>
    <t>204:513</t>
  </si>
  <si>
    <t>SPECTOR</t>
  </si>
  <si>
    <t>STEWART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</si>
  <si>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</si>
  <si>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</si>
  <si>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</si>
  <si>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</si>
  <si>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</si>
  <si>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</si>
  <si>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rtdc.l.rtdc.4027:itc</t>
  </si>
  <si>
    <t>rtdc.l.rtdc.4029:itc</t>
  </si>
  <si>
    <t>rtdc.l.rtdc.4021:itc</t>
  </si>
  <si>
    <t>206-31</t>
  </si>
  <si>
    <t>208-31</t>
  </si>
  <si>
    <t>224-31</t>
  </si>
  <si>
    <t>232-31</t>
  </si>
  <si>
    <t>238-31</t>
  </si>
  <si>
    <t>rtdc.l.rtdc.4059:itc</t>
  </si>
  <si>
    <t>rtdc.l.rtdc.4028:itc</t>
  </si>
  <si>
    <t>rtdc.l.rtdc.4030:itc</t>
  </si>
  <si>
    <t>HAMMOND</t>
  </si>
  <si>
    <t>JUSTYNN</t>
  </si>
  <si>
    <t>SMITH</t>
  </si>
  <si>
    <t>STAMBAUGH</t>
  </si>
  <si>
    <t>JAMES</t>
  </si>
  <si>
    <t>835-31</t>
  </si>
  <si>
    <t>213-31</t>
  </si>
  <si>
    <t>76-31</t>
  </si>
  <si>
    <t>215-31</t>
  </si>
  <si>
    <t>836-31</t>
  </si>
  <si>
    <t>837-31</t>
  </si>
  <si>
    <t>210-31</t>
  </si>
  <si>
    <t>217-31</t>
  </si>
  <si>
    <t>212-31</t>
  </si>
  <si>
    <t>838-31</t>
  </si>
  <si>
    <t>219-31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</si>
  <si>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</si>
  <si>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</si>
  <si>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</si>
  <si>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</si>
  <si>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</si>
  <si>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</si>
  <si>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</si>
  <si>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</si>
  <si>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</si>
  <si>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</si>
  <si>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</si>
  <si>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</si>
  <si>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</si>
  <si>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</si>
  <si>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</si>
  <si>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</si>
  <si>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</si>
  <si>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</si>
  <si>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</si>
  <si>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</si>
  <si>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</si>
  <si>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</si>
  <si>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</si>
  <si>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</si>
  <si>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</si>
  <si>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</si>
  <si>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</si>
  <si>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</si>
  <si>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</si>
  <si>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</si>
  <si>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</si>
  <si>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</si>
  <si>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</si>
  <si>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</si>
  <si>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</si>
  <si>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</si>
  <si>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</si>
  <si>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</si>
  <si>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</si>
  <si>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</si>
  <si>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</si>
  <si>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</si>
  <si>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</si>
  <si>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</si>
  <si>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</si>
  <si>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</si>
  <si>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</si>
  <si>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204:233297</t>
  </si>
  <si>
    <t>204:232934</t>
  </si>
  <si>
    <t>204:236</t>
  </si>
  <si>
    <t>204:976</t>
  </si>
  <si>
    <t>rtdc.l.rtdc.4041:itc</t>
  </si>
  <si>
    <t>rtdc.l.rtdc.4064:itc</t>
  </si>
  <si>
    <t>rtdc.l.rtdc.4032:itc</t>
  </si>
  <si>
    <t>204:233289</t>
  </si>
  <si>
    <t>204:232983</t>
  </si>
  <si>
    <t>204:221</t>
  </si>
  <si>
    <t>204:233253</t>
  </si>
  <si>
    <t>204:214</t>
  </si>
  <si>
    <t>204:189</t>
  </si>
  <si>
    <t>204:517</t>
  </si>
  <si>
    <t>rtdc.l.rtdc.4058:itc</t>
  </si>
  <si>
    <t>rtdc.l.rtdc.4065:itc</t>
  </si>
  <si>
    <t>rtdc.l.rtdc.4015:itc</t>
  </si>
  <si>
    <t>DONTE</t>
  </si>
  <si>
    <t>ELBAUM</t>
  </si>
  <si>
    <t>MIKE</t>
  </si>
  <si>
    <t>309-02</t>
  </si>
  <si>
    <t>311-02</t>
  </si>
  <si>
    <t>50-03</t>
  </si>
  <si>
    <t>300-03</t>
  </si>
  <si>
    <t>Mostly Cloudy</t>
  </si>
  <si>
    <t>partly-cloudy-day</t>
  </si>
  <si>
    <t>204:200</t>
  </si>
  <si>
    <t>204:232964</t>
  </si>
  <si>
    <t>204:508</t>
  </si>
  <si>
    <t>204:232930</t>
  </si>
  <si>
    <t>204:205</t>
  </si>
  <si>
    <t>204:165</t>
  </si>
  <si>
    <t>204:232971</t>
  </si>
  <si>
    <t>204:520</t>
  </si>
  <si>
    <t>204:203</t>
  </si>
  <si>
    <t>204:207</t>
  </si>
  <si>
    <t>204:233257</t>
  </si>
  <si>
    <t>204:484</t>
  </si>
  <si>
    <t>204:232896</t>
  </si>
  <si>
    <t>204:515</t>
  </si>
  <si>
    <t>204:216</t>
  </si>
  <si>
    <t>204:251</t>
  </si>
  <si>
    <t>204:232936</t>
  </si>
  <si>
    <t>204:233230</t>
  </si>
  <si>
    <t>204:212</t>
  </si>
  <si>
    <t>204:566</t>
  </si>
  <si>
    <t>204:232938</t>
  </si>
  <si>
    <t>204:506</t>
  </si>
  <si>
    <t>rtdc.l.rtdc.4009:itc</t>
  </si>
  <si>
    <t>BARRON</t>
  </si>
  <si>
    <t>PERLA</t>
  </si>
  <si>
    <t>rtdc.l.rtdc.4010:itc</t>
  </si>
  <si>
    <t>MACDONALD</t>
  </si>
  <si>
    <t>THOMAS</t>
  </si>
  <si>
    <t>LAMAR</t>
  </si>
  <si>
    <t>NEKESHA</t>
  </si>
  <si>
    <t>DAVIS</t>
  </si>
  <si>
    <t>rtdc.l.rtdc.4014:itc</t>
  </si>
  <si>
    <t>precipType</t>
  </si>
  <si>
    <t>rain</t>
  </si>
  <si>
    <t>204:573</t>
  </si>
  <si>
    <t>204:557</t>
  </si>
  <si>
    <t>204:495</t>
  </si>
  <si>
    <t>204:233307</t>
  </si>
  <si>
    <t>204:185</t>
  </si>
  <si>
    <t>204:243</t>
  </si>
  <si>
    <t>204:233232</t>
  </si>
  <si>
    <t>204:233255</t>
  </si>
  <si>
    <t>204:467</t>
  </si>
  <si>
    <t>204:464</t>
  </si>
  <si>
    <t>204:233286</t>
  </si>
  <si>
    <t>204:194</t>
  </si>
  <si>
    <t>204:232919</t>
  </si>
  <si>
    <t>204:233247</t>
  </si>
  <si>
    <t>204:498</t>
  </si>
  <si>
    <t>204:233263</t>
  </si>
  <si>
    <t>204:571</t>
  </si>
  <si>
    <t>300:58613</t>
  </si>
  <si>
    <t>300:58933</t>
  </si>
  <si>
    <t>204:218</t>
  </si>
  <si>
    <t>300:58980</t>
  </si>
  <si>
    <t>204:519</t>
  </si>
  <si>
    <t>204:555</t>
  </si>
  <si>
    <t>204:232945</t>
  </si>
  <si>
    <t>204:502</t>
  </si>
  <si>
    <t>204:537</t>
  </si>
  <si>
    <t>204:265</t>
  </si>
  <si>
    <t>204:562</t>
  </si>
  <si>
    <t>204:280</t>
  </si>
  <si>
    <t>204:233238</t>
  </si>
  <si>
    <t>204:560</t>
  </si>
  <si>
    <t>Wi-MAX data drop</t>
  </si>
  <si>
    <t>rtdc.l.rtdc.4049:itc</t>
  </si>
  <si>
    <t>rtdc.l.rtdc.4050:itc</t>
  </si>
  <si>
    <t>BONDS</t>
  </si>
  <si>
    <t>REYNALDO</t>
  </si>
  <si>
    <t>YANAI</t>
  </si>
  <si>
    <t>IAN</t>
  </si>
  <si>
    <t>rtdc.l.rtdc.4066:itc</t>
  </si>
  <si>
    <t>ROBINSON</t>
  </si>
  <si>
    <t>KADDIBA</t>
  </si>
  <si>
    <t>AUSTIN</t>
  </si>
  <si>
    <t>242-06</t>
  </si>
  <si>
    <t>307-06</t>
  </si>
  <si>
    <t>244-06</t>
  </si>
  <si>
    <t>309-06</t>
  </si>
  <si>
    <t>311-06</t>
  </si>
  <si>
    <t>300-07</t>
  </si>
  <si>
    <t>precipAccumulation</t>
  </si>
  <si>
    <t>fog</t>
  </si>
  <si>
    <t>Foggy</t>
  </si>
  <si>
    <t>cloudy</t>
  </si>
  <si>
    <t>Overcast</t>
  </si>
  <si>
    <t>snow</t>
  </si>
  <si>
    <t>204:462</t>
  </si>
  <si>
    <t>204:233299</t>
  </si>
  <si>
    <t>204:233274</t>
  </si>
  <si>
    <t>204:475</t>
  </si>
  <si>
    <t>204:156</t>
  </si>
  <si>
    <t>204:233291</t>
  </si>
  <si>
    <t>204:232957</t>
  </si>
  <si>
    <t>204:473</t>
  </si>
  <si>
    <t>204:233282</t>
  </si>
  <si>
    <t>204:233278</t>
  </si>
  <si>
    <t>204:169</t>
  </si>
  <si>
    <t>204:181</t>
  </si>
  <si>
    <t>204:509</t>
  </si>
  <si>
    <t>204:493</t>
  </si>
  <si>
    <t>204:491</t>
  </si>
  <si>
    <t>204:489</t>
  </si>
  <si>
    <t>204:522</t>
  </si>
  <si>
    <t>204:568</t>
  </si>
  <si>
    <t>204:256</t>
  </si>
  <si>
    <t>204:232925</t>
  </si>
  <si>
    <t>204:233312</t>
  </si>
  <si>
    <t>204:232890</t>
  </si>
  <si>
    <t>204:544</t>
  </si>
  <si>
    <t>204:233306</t>
  </si>
  <si>
    <t>204:528</t>
  </si>
  <si>
    <t>204:233280</t>
  </si>
  <si>
    <t>204:542</t>
  </si>
  <si>
    <t>204:233223</t>
  </si>
  <si>
    <t>204:233261</t>
  </si>
  <si>
    <t>204:232948</t>
  </si>
  <si>
    <t>300:23306</t>
  </si>
  <si>
    <t>204:158</t>
  </si>
  <si>
    <t>300:23312</t>
  </si>
  <si>
    <t>204:147</t>
  </si>
  <si>
    <t>204:229</t>
  </si>
  <si>
    <t>300:58619</t>
  </si>
  <si>
    <t>204:684</t>
  </si>
  <si>
    <t>300:58926</t>
  </si>
  <si>
    <t>300:58935</t>
  </si>
  <si>
    <t>300:58623</t>
  </si>
  <si>
    <t>204:1137</t>
  </si>
  <si>
    <t>204:1086</t>
  </si>
  <si>
    <t>204:820</t>
  </si>
  <si>
    <t>300:58606</t>
  </si>
  <si>
    <t>300:58952</t>
  </si>
  <si>
    <t>300:58641</t>
  </si>
  <si>
    <t>300:58615</t>
  </si>
  <si>
    <t>204:1081</t>
  </si>
  <si>
    <t>204:1044</t>
  </si>
  <si>
    <t>204:703</t>
  </si>
  <si>
    <t>300:58624</t>
  </si>
  <si>
    <t>204:677</t>
  </si>
  <si>
    <t>204:971</t>
  </si>
  <si>
    <t>300:58965</t>
  </si>
  <si>
    <t>204:1095</t>
  </si>
  <si>
    <t>Poor GPS under Wewatta St. overpass</t>
  </si>
  <si>
    <t>Observed poor GPS at DUS, no PTC issues</t>
  </si>
  <si>
    <t>306-07</t>
  </si>
  <si>
    <t>rtdc.l.rtdc.4026:itc</t>
  </si>
  <si>
    <t>123-07</t>
  </si>
  <si>
    <t>rtdc.l.rtdc.4040:itc</t>
  </si>
  <si>
    <t>131-07</t>
  </si>
  <si>
    <t>rtdc.l.rtdc.4019:itc</t>
  </si>
  <si>
    <t>812-07</t>
  </si>
  <si>
    <t>136-07</t>
  </si>
  <si>
    <t>TRACK WARRANT AUTHORITY</t>
  </si>
  <si>
    <t>Form based authority (4)</t>
  </si>
  <si>
    <t>149-07</t>
  </si>
  <si>
    <t>rtdc.l.rtdc.4039:itc</t>
  </si>
  <si>
    <t>146-07</t>
  </si>
  <si>
    <t>rtdc.l.rtdc.4020:itc</t>
  </si>
  <si>
    <t>819-07</t>
  </si>
  <si>
    <t>820-07</t>
  </si>
  <si>
    <t>168-07</t>
  </si>
  <si>
    <t>176-07</t>
  </si>
  <si>
    <t>182-07</t>
  </si>
  <si>
    <t>rtdc.l.rtdc.4025:itc</t>
  </si>
  <si>
    <t>180-07</t>
  </si>
  <si>
    <t>191-07</t>
  </si>
  <si>
    <t>rtdc.l.rtdc.4001:itc</t>
  </si>
  <si>
    <t>836-07</t>
  </si>
  <si>
    <t>845-07</t>
  </si>
  <si>
    <t>844-07</t>
  </si>
  <si>
    <t>847-07</t>
  </si>
  <si>
    <t>236-07</t>
  </si>
  <si>
    <t>rtdc.l.rtdc.4063:itc</t>
  </si>
  <si>
    <t>240-07</t>
  </si>
  <si>
    <t>242-07</t>
  </si>
  <si>
    <t>51-07</t>
  </si>
  <si>
    <t>rtdc.l.rtdc.4042:itc</t>
  </si>
  <si>
    <t>101-07</t>
  </si>
  <si>
    <t>52-07</t>
  </si>
  <si>
    <t>302-07</t>
  </si>
  <si>
    <t>103-07</t>
  </si>
  <si>
    <t>304-07</t>
  </si>
  <si>
    <t>LANGERAK</t>
  </si>
  <si>
    <t>WILLIAM</t>
  </si>
  <si>
    <t>102-07</t>
  </si>
  <si>
    <t>105-07</t>
  </si>
  <si>
    <t>308-07</t>
  </si>
  <si>
    <t>107-07</t>
  </si>
  <si>
    <t>104-07</t>
  </si>
  <si>
    <t>109-07</t>
  </si>
  <si>
    <t>rtdc.l.rtdc.4057:itc</t>
  </si>
  <si>
    <t>310-07</t>
  </si>
  <si>
    <t>111-07</t>
  </si>
  <si>
    <t>113-07</t>
  </si>
  <si>
    <t>106-07</t>
  </si>
  <si>
    <t>rtdc.l.rtdc.4002:itc</t>
  </si>
  <si>
    <t>901-07</t>
  </si>
  <si>
    <t>BROWN</t>
  </si>
  <si>
    <t>JACOB</t>
  </si>
  <si>
    <t>108-07</t>
  </si>
  <si>
    <t>800-07</t>
  </si>
  <si>
    <t>115-07</t>
  </si>
  <si>
    <t>312-07</t>
  </si>
  <si>
    <t>801-07</t>
  </si>
  <si>
    <t>112-07</t>
  </si>
  <si>
    <t>110-07</t>
  </si>
  <si>
    <t>902-07</t>
  </si>
  <si>
    <t>FORTUNATO</t>
  </si>
  <si>
    <t>FRANK</t>
  </si>
  <si>
    <t>117-07</t>
  </si>
  <si>
    <t>114-07</t>
  </si>
  <si>
    <t>119-07</t>
  </si>
  <si>
    <t>802-07</t>
  </si>
  <si>
    <t>803-07</t>
  </si>
  <si>
    <t>121-07</t>
  </si>
  <si>
    <t>116-07</t>
  </si>
  <si>
    <t>118-07</t>
  </si>
  <si>
    <t>804-07</t>
  </si>
  <si>
    <t>805-07</t>
  </si>
  <si>
    <t>125-07</t>
  </si>
  <si>
    <t>120-07</t>
  </si>
  <si>
    <t>127-07</t>
  </si>
  <si>
    <t>122-07</t>
  </si>
  <si>
    <t>806-07</t>
  </si>
  <si>
    <t>807-07</t>
  </si>
  <si>
    <t>129-07</t>
  </si>
  <si>
    <t>126-07</t>
  </si>
  <si>
    <t>124-07</t>
  </si>
  <si>
    <t>808-07</t>
  </si>
  <si>
    <t>809-07</t>
  </si>
  <si>
    <t>128-07</t>
  </si>
  <si>
    <t>133-07</t>
  </si>
  <si>
    <t>135-07</t>
  </si>
  <si>
    <t>810-07</t>
  </si>
  <si>
    <t>811-07</t>
  </si>
  <si>
    <t>137-07</t>
  </si>
  <si>
    <t>130-07</t>
  </si>
  <si>
    <t>139-07</t>
  </si>
  <si>
    <t>132-07</t>
  </si>
  <si>
    <t>134-07</t>
  </si>
  <si>
    <t>903-07</t>
  </si>
  <si>
    <t>141-07</t>
  </si>
  <si>
    <t>143-07</t>
  </si>
  <si>
    <t>813-07</t>
  </si>
  <si>
    <t>138-07</t>
  </si>
  <si>
    <t>140-07</t>
  </si>
  <si>
    <t>145-07</t>
  </si>
  <si>
    <t>147-07</t>
  </si>
  <si>
    <t>142-07</t>
  </si>
  <si>
    <t>814-07</t>
  </si>
  <si>
    <t>144-07</t>
  </si>
  <si>
    <t>151-07</t>
  </si>
  <si>
    <t>815-07</t>
  </si>
  <si>
    <t>153-07</t>
  </si>
  <si>
    <t>148-07</t>
  </si>
  <si>
    <t>155-07</t>
  </si>
  <si>
    <t>150-07</t>
  </si>
  <si>
    <t>816-07</t>
  </si>
  <si>
    <t>157-07</t>
  </si>
  <si>
    <t>56-07</t>
  </si>
  <si>
    <t>152-07</t>
  </si>
  <si>
    <t>159-07</t>
  </si>
  <si>
    <t>817-07</t>
  </si>
  <si>
    <t>154-07</t>
  </si>
  <si>
    <t>156-07</t>
  </si>
  <si>
    <t>161-07</t>
  </si>
  <si>
    <t>BRUDER</t>
  </si>
  <si>
    <t>RICHARD</t>
  </si>
  <si>
    <t>163-07</t>
  </si>
  <si>
    <t>818-07</t>
  </si>
  <si>
    <t>57-07</t>
  </si>
  <si>
    <t>165-07</t>
  </si>
  <si>
    <t>158-07</t>
  </si>
  <si>
    <t>160-07</t>
  </si>
  <si>
    <t>167-07</t>
  </si>
  <si>
    <t>169-07</t>
  </si>
  <si>
    <t>162-07</t>
  </si>
  <si>
    <t>164-07</t>
  </si>
  <si>
    <t>171-07</t>
  </si>
  <si>
    <t>166-07</t>
  </si>
  <si>
    <t>173-07</t>
  </si>
  <si>
    <t>175-07</t>
  </si>
  <si>
    <t>170-07</t>
  </si>
  <si>
    <t>821-07</t>
  </si>
  <si>
    <t>177-07</t>
  </si>
  <si>
    <t>179-07</t>
  </si>
  <si>
    <t>172-07</t>
  </si>
  <si>
    <t>174-07</t>
  </si>
  <si>
    <t>822-07</t>
  </si>
  <si>
    <t>181-07</t>
  </si>
  <si>
    <t>183-07</t>
  </si>
  <si>
    <t>823-07</t>
  </si>
  <si>
    <t>178-07</t>
  </si>
  <si>
    <t>185-07</t>
  </si>
  <si>
    <t>824-07</t>
  </si>
  <si>
    <t>187-07</t>
  </si>
  <si>
    <t>70-07</t>
  </si>
  <si>
    <t>NEWELL</t>
  </si>
  <si>
    <t>189-07</t>
  </si>
  <si>
    <t>184-07</t>
  </si>
  <si>
    <t>825-07</t>
  </si>
  <si>
    <t>DE LA ROSA</t>
  </si>
  <si>
    <t>ALEX</t>
  </si>
  <si>
    <t>186-07</t>
  </si>
  <si>
    <t>904-07</t>
  </si>
  <si>
    <t>193-07</t>
  </si>
  <si>
    <t>188-07</t>
  </si>
  <si>
    <t>826-07</t>
  </si>
  <si>
    <t>195-07</t>
  </si>
  <si>
    <t>827-07</t>
  </si>
  <si>
    <t>190-07</t>
  </si>
  <si>
    <t>197-07</t>
  </si>
  <si>
    <t>192-07</t>
  </si>
  <si>
    <t>828-07</t>
  </si>
  <si>
    <t>829-07</t>
  </si>
  <si>
    <t>199-07</t>
  </si>
  <si>
    <t>194-07</t>
  </si>
  <si>
    <t>201-07</t>
  </si>
  <si>
    <t>196-07</t>
  </si>
  <si>
    <t>203-07</t>
  </si>
  <si>
    <t>830-07</t>
  </si>
  <si>
    <t>198-07</t>
  </si>
  <si>
    <t>831-07</t>
  </si>
  <si>
    <t>77-07</t>
  </si>
  <si>
    <t>205-07</t>
  </si>
  <si>
    <t>207-07</t>
  </si>
  <si>
    <t>200-07</t>
  </si>
  <si>
    <t>832-07</t>
  </si>
  <si>
    <t>833-07</t>
  </si>
  <si>
    <t>202-07</t>
  </si>
  <si>
    <t>75-07</t>
  </si>
  <si>
    <t>209-07</t>
  </si>
  <si>
    <t>204-07</t>
  </si>
  <si>
    <t>211-07</t>
  </si>
  <si>
    <t>834-07</t>
  </si>
  <si>
    <t>835-07</t>
  </si>
  <si>
    <t>206-07</t>
  </si>
  <si>
    <t>213-07</t>
  </si>
  <si>
    <t>208-07</t>
  </si>
  <si>
    <t>215-07</t>
  </si>
  <si>
    <t>837-07</t>
  </si>
  <si>
    <t>210-07</t>
  </si>
  <si>
    <t>217-07</t>
  </si>
  <si>
    <t>212-07</t>
  </si>
  <si>
    <t>838-07</t>
  </si>
  <si>
    <t>839-07</t>
  </si>
  <si>
    <t>219-07</t>
  </si>
  <si>
    <t>ANDERS</t>
  </si>
  <si>
    <t>STEVEN</t>
  </si>
  <si>
    <t>214-07</t>
  </si>
  <si>
    <t>301-07</t>
  </si>
  <si>
    <t>216-07</t>
  </si>
  <si>
    <t>906-07</t>
  </si>
  <si>
    <t>221-07</t>
  </si>
  <si>
    <t>218-07</t>
  </si>
  <si>
    <t>841-07</t>
  </si>
  <si>
    <t>303-07</t>
  </si>
  <si>
    <t>220-07</t>
  </si>
  <si>
    <t>223-07</t>
  </si>
  <si>
    <t>840-07</t>
  </si>
  <si>
    <t>305-07</t>
  </si>
  <si>
    <t>222-07</t>
  </si>
  <si>
    <t>225-07</t>
  </si>
  <si>
    <t>843-07</t>
  </si>
  <si>
    <t>ZEWDU</t>
  </si>
  <si>
    <t>DEREJE</t>
  </si>
  <si>
    <t>227-07</t>
  </si>
  <si>
    <t>224-07</t>
  </si>
  <si>
    <t>842-07</t>
  </si>
  <si>
    <t>229-07</t>
  </si>
  <si>
    <t>226-07</t>
  </si>
  <si>
    <t>231-07</t>
  </si>
  <si>
    <t>228-07</t>
  </si>
  <si>
    <t>233-07</t>
  </si>
  <si>
    <t>230-07</t>
  </si>
  <si>
    <t>232-07</t>
  </si>
  <si>
    <t>846-07</t>
  </si>
  <si>
    <t>235-07</t>
  </si>
  <si>
    <t>237-07</t>
  </si>
  <si>
    <t>234-07</t>
  </si>
  <si>
    <t>849-07</t>
  </si>
  <si>
    <t>239-07</t>
  </si>
  <si>
    <t>908-07</t>
  </si>
  <si>
    <t>238-07</t>
  </si>
  <si>
    <t>241-07</t>
  </si>
  <si>
    <t>243-07</t>
  </si>
  <si>
    <t>313-07</t>
  </si>
  <si>
    <t>307-07</t>
  </si>
  <si>
    <t>309-07</t>
  </si>
  <si>
    <t>204:761</t>
  </si>
  <si>
    <t>204:233288</t>
  </si>
  <si>
    <t>204:232973</t>
  </si>
  <si>
    <t>204:209</t>
  </si>
  <si>
    <t>204:451</t>
  </si>
  <si>
    <t>204:233276</t>
  </si>
  <si>
    <t>204:232952</t>
  </si>
  <si>
    <t>204:167</t>
  </si>
  <si>
    <t>204:233285</t>
  </si>
  <si>
    <t>204:232976</t>
  </si>
  <si>
    <t>204:447</t>
  </si>
  <si>
    <t>204:233302</t>
  </si>
  <si>
    <t>204:232923</t>
  </si>
  <si>
    <t>204:233259</t>
  </si>
  <si>
    <t>204:233305</t>
  </si>
  <si>
    <t>204:233000</t>
  </si>
  <si>
    <t>204:233325</t>
  </si>
  <si>
    <t>204:233002</t>
  </si>
  <si>
    <t>204:232967</t>
  </si>
  <si>
    <t>204:232987</t>
  </si>
  <si>
    <t>204:233303</t>
  </si>
  <si>
    <t>204:486</t>
  </si>
  <si>
    <t>204:233200</t>
  </si>
  <si>
    <t>204:232874</t>
  </si>
  <si>
    <t>204:233201</t>
  </si>
  <si>
    <t>204:233304</t>
  </si>
  <si>
    <t>204:247</t>
  </si>
  <si>
    <t>204:233293</t>
  </si>
  <si>
    <t>204:187</t>
  </si>
  <si>
    <t>204:232974</t>
  </si>
  <si>
    <t>204:172</t>
  </si>
  <si>
    <t>204:540</t>
  </si>
  <si>
    <t>204:232929</t>
  </si>
  <si>
    <t>204:546</t>
  </si>
  <si>
    <t>204:233184</t>
  </si>
  <si>
    <t>204:232871</t>
  </si>
  <si>
    <t>204:233198</t>
  </si>
  <si>
    <t>204:232881</t>
  </si>
  <si>
    <t>204:145</t>
  </si>
  <si>
    <t>204:233153</t>
  </si>
  <si>
    <t>204:232863</t>
  </si>
  <si>
    <t>204:233140</t>
  </si>
  <si>
    <t>204:232823</t>
  </si>
  <si>
    <t>204:260</t>
  </si>
  <si>
    <t>204:232882</t>
  </si>
  <si>
    <t>204:233234</t>
  </si>
  <si>
    <t>204:234</t>
  </si>
  <si>
    <t>204:233193</t>
  </si>
  <si>
    <t>204:232904</t>
  </si>
  <si>
    <t>204:227</t>
  </si>
  <si>
    <t>204:539</t>
  </si>
  <si>
    <t>204:531</t>
  </si>
  <si>
    <t>204:533</t>
  </si>
  <si>
    <t>204:233209</t>
  </si>
  <si>
    <t>204:232902</t>
  </si>
  <si>
    <t>204:127845</t>
  </si>
  <si>
    <t>204:1803</t>
  </si>
  <si>
    <t>204:233308</t>
  </si>
  <si>
    <t>204:233182</t>
  </si>
  <si>
    <t>204:232869</t>
  </si>
  <si>
    <t>204:480</t>
  </si>
  <si>
    <t>204:497</t>
  </si>
  <si>
    <t>204:232963</t>
  </si>
  <si>
    <t>204:233327</t>
  </si>
  <si>
    <t>204:232998</t>
  </si>
  <si>
    <t>204:252</t>
  </si>
  <si>
    <t>204:233211</t>
  </si>
  <si>
    <t>204:232875</t>
  </si>
  <si>
    <t>204:233210</t>
  </si>
  <si>
    <t>204:196</t>
  </si>
  <si>
    <t>204:570</t>
  </si>
  <si>
    <t>204:127857</t>
  </si>
  <si>
    <t>204:249</t>
  </si>
  <si>
    <t>204:233310</t>
  </si>
  <si>
    <t>204:232986</t>
  </si>
  <si>
    <t>204:233225</t>
  </si>
  <si>
    <t>204:604</t>
  </si>
  <si>
    <t>204:233203</t>
  </si>
  <si>
    <t>204:232884</t>
  </si>
  <si>
    <t>204:263</t>
  </si>
  <si>
    <t>204:553</t>
  </si>
  <si>
    <t>204:233207</t>
  </si>
  <si>
    <t>204:191</t>
  </si>
  <si>
    <t>204:233228</t>
  </si>
  <si>
    <t>204:232996</t>
  </si>
  <si>
    <t>204:238</t>
  </si>
  <si>
    <t>204:535</t>
  </si>
  <si>
    <t>204:233186</t>
  </si>
  <si>
    <t>204:232852</t>
  </si>
  <si>
    <t>204:232913</t>
  </si>
  <si>
    <t>204:232940</t>
  </si>
  <si>
    <t>204:273</t>
  </si>
  <si>
    <t>204:575</t>
  </si>
  <si>
    <t>204:258</t>
  </si>
  <si>
    <t>204:610</t>
  </si>
  <si>
    <t>300:23428</t>
  </si>
  <si>
    <t>300:23267</t>
  </si>
  <si>
    <t>300:22722</t>
  </si>
  <si>
    <t>204:134</t>
  </si>
  <si>
    <t>300:23183</t>
  </si>
  <si>
    <t>300:23775</t>
  </si>
  <si>
    <t>300:23177</t>
  </si>
  <si>
    <t>300:23109</t>
  </si>
  <si>
    <t>300:22459</t>
  </si>
  <si>
    <t>204:577</t>
  </si>
  <si>
    <t>300:23697</t>
  </si>
  <si>
    <t>300:22344</t>
  </si>
  <si>
    <t>300:23159</t>
  </si>
  <si>
    <t>204:435</t>
  </si>
  <si>
    <t>204:3538</t>
  </si>
  <si>
    <t>204:3238</t>
  </si>
  <si>
    <t>204:1188</t>
  </si>
  <si>
    <t>300:22221</t>
  </si>
  <si>
    <t>204:917</t>
  </si>
  <si>
    <t>204:1240</t>
  </si>
  <si>
    <t>300:24262</t>
  </si>
  <si>
    <t>204:3136</t>
  </si>
  <si>
    <t>204:1490</t>
  </si>
  <si>
    <t>204:3437</t>
  </si>
  <si>
    <t>300:23474</t>
  </si>
  <si>
    <t>204:1111</t>
  </si>
  <si>
    <t>204:1154</t>
  </si>
  <si>
    <t>300:23310</t>
  </si>
  <si>
    <t>204:1157</t>
  </si>
  <si>
    <t>300:23316</t>
  </si>
  <si>
    <t>204:799</t>
  </si>
  <si>
    <t>204:1083</t>
  </si>
  <si>
    <t>300:58937</t>
  </si>
  <si>
    <t>204:748</t>
  </si>
  <si>
    <t>204:1116</t>
  </si>
  <si>
    <t>300:58640</t>
  </si>
  <si>
    <t>204:834</t>
  </si>
  <si>
    <t>300:58931</t>
  </si>
  <si>
    <t>204:768</t>
  </si>
  <si>
    <t>204:1114</t>
  </si>
  <si>
    <t>300:58969</t>
  </si>
  <si>
    <t>300:58638</t>
  </si>
  <si>
    <t>204:1055</t>
  </si>
  <si>
    <t>300:58944</t>
  </si>
  <si>
    <t>204:792</t>
  </si>
  <si>
    <t>204:1091</t>
  </si>
  <si>
    <t>300:58988</t>
  </si>
  <si>
    <t>300:58660</t>
  </si>
  <si>
    <t>204:4522</t>
  </si>
  <si>
    <t>204:832</t>
  </si>
  <si>
    <t>300:58656</t>
  </si>
  <si>
    <t>204:841</t>
  </si>
  <si>
    <t>204:1128</t>
  </si>
  <si>
    <t>300:58986</t>
  </si>
  <si>
    <t>300:58673</t>
  </si>
  <si>
    <t>204:825</t>
  </si>
  <si>
    <t>300:58634</t>
  </si>
  <si>
    <t>204:4567</t>
  </si>
  <si>
    <t>204:1109</t>
  </si>
  <si>
    <t>300:58928</t>
  </si>
  <si>
    <t>300:58621</t>
  </si>
  <si>
    <t>204:801</t>
  </si>
  <si>
    <t>204:1097</t>
  </si>
  <si>
    <t>204:817</t>
  </si>
  <si>
    <t>300:58939</t>
  </si>
  <si>
    <t>300:58626</t>
  </si>
  <si>
    <t>204:960</t>
  </si>
  <si>
    <t>204:671</t>
  </si>
  <si>
    <t>300:58617</t>
  </si>
  <si>
    <t>204:992</t>
  </si>
  <si>
    <t>204:775</t>
  </si>
  <si>
    <t>204:1079</t>
  </si>
  <si>
    <t>204:726</t>
  </si>
  <si>
    <t>204:1025</t>
  </si>
  <si>
    <t>300:58956</t>
  </si>
  <si>
    <t>204:680</t>
  </si>
  <si>
    <t>204:985</t>
  </si>
  <si>
    <t>300:29767</t>
  </si>
  <si>
    <t>300:58946</t>
  </si>
  <si>
    <t>300:23618</t>
  </si>
  <si>
    <t>204:846</t>
  </si>
  <si>
    <t>300:24214</t>
  </si>
  <si>
    <t>300:23586</t>
  </si>
  <si>
    <t>300:28765</t>
  </si>
  <si>
    <t>300:58666</t>
  </si>
  <si>
    <t>300:28795</t>
  </si>
  <si>
    <t>start /low /b %USERPROFILE%\Documents\GitHub\eaglep3\Utilities\DownloadLogsFromS3.py --loco 4065 --day 2017-11-07</t>
  </si>
  <si>
    <t>start /low /b %USERPROFILE%\Documents\GitHub\eaglep3\Utilities\DownloadLogsFromS3.py --loco 4041 --day 2017-11-07</t>
  </si>
  <si>
    <t>start /low /b %USERPROFILE%\Documents\GitHub\eaglep3\Utilities\DownloadLogsFromS3.py --loco 4019 --day 2017-11-07</t>
  </si>
  <si>
    <t>start /low /b %USERPROFILE%\Documents\GitHub\eaglep3\Utilities\DownloadLogsFromS3.py --loco 4020 --day 2017-11-07</t>
  </si>
  <si>
    <t>start /low /b %USERPROFILE%\Documents\GitHub\eaglep3\Utilities\DownloadLogsFromS3.py --loco 4026 --day 2017-11-07</t>
  </si>
  <si>
    <t>start /low /b %USERPROFILE%\Documents\GitHub\eaglep3\Utilities\DownloadLogsFromS3.py --loco 4063 --day 2017-11-08</t>
  </si>
  <si>
    <t>start /low /b %USERPROFILE%\Documents\GitHub\eaglep3\Utilities\DownloadLogsFromS3.py --loco 4025 --day 2017-11-07</t>
  </si>
  <si>
    <t>start /low /b %USERPROFILE%\Documents\GitHub\eaglep3\Utilities\DownloadLogsFromS3.py --loco 4039 --day 2017-11-07</t>
  </si>
  <si>
    <t>start /low /b %USERPROFILE%\Documents\GitHub\eaglep3\Utilities\DownloadLogsFromS3.py --loco 4021 --day 2017-11-08</t>
  </si>
  <si>
    <t>start /low /b %USERPROFILE%\Documents\GitHub\eaglep3\Utilities\DownloadLogsFromS3.py --loco 4040 --day 2017-11-07</t>
  </si>
  <si>
    <t>start /low /b %USERPROFILE%\Documents\GitHub\eaglep3\Utilities\DownloadLogsFromS3.py --loco 4066 --day 2017-11-07</t>
  </si>
  <si>
    <t>start /low /b %USERPROFILE%\Documents\GitHub\eaglep3\Utilities\DownloadLogsFromS3.py --loco 4022 --day 2017-11-07</t>
  </si>
  <si>
    <t>start /low /b %USERPROFILE%\Documents\GitHub\eaglep3\Utilities\DownloadLogsFromS3.py --loco 4007 --day 2017-11-07</t>
  </si>
  <si>
    <t>start /low /b %USERPROFILE%\Documents\GitHub\eaglep3\Utilities\DownloadLogsFromS3.py --loco 4007 --day 2017-11-08</t>
  </si>
  <si>
    <t>start /low /b %USERPROFILE%\Documents\GitHub\eaglep3\Utilities\DownloadLogsFromS3.py --loco 4001 --day 2017-11-08</t>
  </si>
  <si>
    <t>start /low /b %USERPROFILE%\Documents\GitHub\eaglep3\Utilities\DownloadLogsFromS3.py --loco 4019 --day 2017-11-08</t>
  </si>
  <si>
    <t>start /low /b %USERPROFILE%\Documents\GitHub\eaglep3\Utilities\DownloadLogsFromS3.py --loco 4020 --day 2017-11-08</t>
  </si>
  <si>
    <t>Onboard en route failure</t>
  </si>
  <si>
    <t>244-07</t>
  </si>
  <si>
    <t>AUSTIN THOMPSON</t>
  </si>
  <si>
    <t>YN</t>
  </si>
  <si>
    <t>Mid-block init</t>
  </si>
  <si>
    <t>Overspeed enforcement</t>
  </si>
  <si>
    <t>Did not init due to CCROC/Crew/Equipment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</si>
</sst>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" fontId="9" fillId="0" borderId="0" xfId="0" applyNumberFormat="1" applyFont="1" applyFill="1" applyBorder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  <sheetName val="Slice Disagreement Chec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73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43046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43046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COUNTIFS($N$13:$N$9516,"&gt;0",$AG$13:$AG$9516,I1)</f>
        <v>141</v>
      </c>
      <c r="K5" s="39"/>
      <c r="L5" s="172"/>
      <c r="M5" s="40">
        <f>AVERAGEIFS($N$13:$N$9516,$AG$13:$AG$9516,I1)</f>
        <v>37.705319148854926</v>
      </c>
      <c r="N5" s="38">
        <f t="array" ref="N5">MIN(IF($AG$13:$AG$9516=I1,IF(ISNUMBER($N$13:$N$9516),IF($N$13:$N$9516&gt;0,$N$13:$N$9516))))</f>
        <v>34.116666668560356</v>
      </c>
      <c r="O5" s="3">
        <f t="array" ref="O5">MAX(IF($AG$13:$AG$9516=I1,IF(ISNUMBER($N$13:$N$9516),IF($N$13:$N$9516&gt;0,$N$13:$N$9516))))</f>
        <v>44.150000000372529</v>
      </c>
      <c r="P5" s="2"/>
      <c r="R5" s="163" t="s">
        <v>17</v>
      </c>
      <c r="S5" s="207">
        <f>COUNTIFS($N$13:$N$9516,"&gt;0",$AG$13:$AG$9516,R1)</f>
        <v>49</v>
      </c>
      <c r="T5" s="172"/>
      <c r="U5" s="195"/>
      <c r="V5" s="211">
        <f>AVERAGEIFS($N$13:$N$9516,$AG$13:$AG$9516,R1)</f>
        <v>13.43537414905007</v>
      </c>
      <c r="W5" s="212">
        <f t="array" ref="W5">MIN(IF($AG$13:$AG$9516=R1,IF(ISNUMBER($N$13:$N$9516),IF($N$13:$N$9516&gt;0,$N$13:$N$9516))))</f>
        <v>10.516666662879288</v>
      </c>
      <c r="X5" s="200">
        <f t="array" ref="X5">MAX(IF($AG$13:$AG$9516=R1,IF(ISNUMBER($N$13:$N$9516),IF($N$13:$N$9516&gt;0,$N$13:$N$9516))))</f>
        <v>15.88333333726041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COUNT($O$13:$O$274)</f>
        <v>0</v>
      </c>
      <c r="K6" s="39"/>
      <c r="L6" s="172"/>
      <c r="M6" s="40">
        <f>IFERROR(AVERAGE($O$13:$O$274),0)</f>
        <v>0</v>
      </c>
      <c r="N6" s="38">
        <f>MIN($O$13:$O$274)</f>
        <v>0</v>
      </c>
      <c r="O6" s="3">
        <f>MAX($O$13:$O$274)</f>
        <v>0</v>
      </c>
      <c r="P6" s="2"/>
      <c r="R6" s="164" t="s">
        <v>43</v>
      </c>
      <c r="S6" s="207">
        <f>COUNT($O$13:$O$274)</f>
        <v>0</v>
      </c>
      <c r="T6" s="172"/>
      <c r="U6" s="195"/>
      <c r="V6" s="211">
        <f>IFERROR(AVERAGE($O$13:$O$274),0)</f>
        <v>0</v>
      </c>
      <c r="W6" s="212">
        <f>MIN($O$13:$O$274)</f>
        <v>0</v>
      </c>
      <c r="X6" s="200">
        <f>MAX($O$13:$O$274)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COUNTIFS($P$13:$P$9516,"&gt;0",$AG$13:$AG$9516,I1)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COUNTIFS($P$13:$P$9516,"&gt;0",$AG$13:$AG$9516,R1)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37.705319148854926</v>
      </c>
      <c r="N8" s="38">
        <f>N5</f>
        <v>34.116666668560356</v>
      </c>
      <c r="O8" s="3">
        <f>O5</f>
        <v>44.150000000372529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13.43537414905007</v>
      </c>
      <c r="W8" s="212">
        <f>W5</f>
        <v>10.516666662879288</v>
      </c>
      <c r="X8" s="200">
        <f>X5</f>
        <v>15.88333333726041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- 2017-11-07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AVERAGE(S13:S122)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675</v>
      </c>
      <c r="B13" s="7">
        <v>4042</v>
      </c>
      <c r="C13" s="21" t="s">
        <v>192</v>
      </c>
      <c r="D13" s="21" t="s">
        <v>887</v>
      </c>
      <c r="E13" s="13">
        <v>43046.125856481478</v>
      </c>
      <c r="F13" s="13">
        <v>43046.135648148149</v>
      </c>
      <c r="G13" s="7">
        <v>56</v>
      </c>
      <c r="H13" s="21" t="s">
        <v>888</v>
      </c>
      <c r="I13" s="13">
        <v>43046.159699074073</v>
      </c>
      <c r="J13" s="7">
        <v>0</v>
      </c>
      <c r="K13" s="89" t="str">
        <f>IF(ISEVEN(B13),(B13-1)&amp;"/"&amp;B13,B13&amp;"/"&amp;(B13+1))</f>
        <v>4041/4042</v>
      </c>
      <c r="L13" s="185" t="str">
        <f>VLOOKUP(A13,'Trips&amp;Operators'!$C$1:$G$99911,5,FALSE)</f>
        <v>YORK EDGAR</v>
      </c>
      <c r="M13" s="6">
        <f>I13-F13</f>
        <v>2.4050925923802424E-2</v>
      </c>
      <c r="N13" s="7">
        <f>24*60*SUM($M13:$M13)</f>
        <v>34.633333330275491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-07T02:01:14-0700',mode:absolute,to:'2017-11-07T04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7.6100000000000001E-2</v>
      </c>
      <c r="Z13" s="204">
        <f>RIGHT(H13,LEN(H13)-4)/10000</f>
        <v>23.328800000000001</v>
      </c>
      <c r="AA13" s="204">
        <f>ABS(Z13-Y13)</f>
        <v>23.252700000000001</v>
      </c>
      <c r="AB13" s="54" t="e">
        <f>VLOOKUP(A13,Enforcements!$C$7:$K$10,8,0)</f>
        <v>#N/A</v>
      </c>
      <c r="AC13" s="51" t="e">
        <f>VLOOKUP(A13,Enforcements!$C$7:$E$10,3,0)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/stypes="app*4042*20171107*" /stext=" 10:.+((SYSTEM_STATE.+slice.+state.+changed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4042 --swversion DE.1.0.9.0 --startMP 204:761 --initTime 2017-11-07T03:01:14 --startdatetime 2017-11-07T03:15:20 --delay 56 --endMP 204:233288 --enddatetime 2017-11-07T03:49:58 --enforcementcount 0 &gt;&gt;%USERPROFILE%\Documents\GitHub\eaglep3-reporting\EC\2017-11-07-refined-times.txt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{"issue":{"subject":"","project_id":79,"tracker_id":40,"status_id":1,"priority_id":2,"assigned_to_id":338,"start_date":"2017-11-07","description":"","custom_fields":[{"id":1,"name":"Subdivision","value":"EC"},{"id":4,"name":"Milepost","value":"23.3288"},{"id":17,"name":"Train ID","value":"101-07"},{"id":16,"name":"Locomotive ID","value":"4042"},{"id":130,"name":"Impact","value":""},{"id":150,"name":"Time of Event (Mountain Time)","value":"03:49:58"},{"id":151,"name":"Denver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4042 --day 2017-11-07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10:49:58"},{"id":29,"name":"Sharepoint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-07T02:01:14-0700',mode:absolute,to:'2017-11-07T04:49:58-0700'))&amp;_a=(columns:!('Message%20ID',Summary),filters:!(),index:'emp_*',interval:auto,query:(query_string:(analyze_wildcard:!t,query:'%22rtdc.l.rtdc.4042%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682</v>
      </c>
      <c r="B14" s="7">
        <v>4041</v>
      </c>
      <c r="C14" s="21" t="s">
        <v>192</v>
      </c>
      <c r="D14" s="21" t="s">
        <v>889</v>
      </c>
      <c r="E14" s="13">
        <v>43046.160694444443</v>
      </c>
      <c r="F14" s="13">
        <v>43046.175219907411</v>
      </c>
      <c r="G14" s="7">
        <v>69</v>
      </c>
      <c r="H14" s="21" t="s">
        <v>616</v>
      </c>
      <c r="I14" s="13">
        <v>43046.201122685183</v>
      </c>
      <c r="J14" s="7">
        <v>0</v>
      </c>
      <c r="K14" s="89" t="str">
        <f>IF(ISEVEN(B14),(B14-1)&amp;"/"&amp;B14,B14&amp;"/"&amp;(B14+1))</f>
        <v>4041/4042</v>
      </c>
      <c r="L14" s="185" t="str">
        <f>VLOOKUP(A14,'Trips&amp;Operators'!$C$1:$G$99911,5,FALSE)</f>
        <v>YORK EDGAR</v>
      </c>
      <c r="M14" s="6">
        <f>I14-F14</f>
        <v>2.5902777771989349E-2</v>
      </c>
      <c r="N14" s="7">
        <f>24*60*SUM($M14:$M14)</f>
        <v>37.299999991664663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-07T02:51:24-0700',mode:absolute,to:'2017-11-07T05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23.2973</v>
      </c>
      <c r="Z14" s="204">
        <f>RIGHT(H14,LEN(H14)-4)/10000</f>
        <v>1.5800000000000002E-2</v>
      </c>
      <c r="AA14" s="204">
        <f>ABS(Z14-Y14)</f>
        <v>23.281500000000001</v>
      </c>
      <c r="AB14" s="54" t="e">
        <f>VLOOKUP(A14,Enforcements!$C$7:$K$10,8,0)</f>
        <v>#N/A</v>
      </c>
      <c r="AC14" s="51" t="e">
        <f>VLOOKUP(A14,Enforcements!$C$7:$E$10,3,0)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/stypes="app*4041*20171107*" /stext=" 11:.+((SYSTEM_STATE.+slice.+state.+changed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4041 --swversion DE.1.0.9.0 --startMP 204:232973 --initTime 2017-11-07T03:51:24 --startdatetime 2017-11-07T04:12:19 --delay 69 --endMP 204:158 --enddatetime 2017-11-07T04:49:37 --enforcementcount 0 &gt;&gt;%USERPROFILE%\Documents\GitHub\eaglep3-reporting\EC\2017-11-07-refined-times.txt</v>
      </c>
      <c r="AI14" s="96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{"issue":{"subject":"","project_id":79,"tracker_id":40,"status_id":1,"priority_id":2,"assigned_to_id":338,"start_date":"2017-11-07","description":"","custom_fields":[{"id":1,"name":"Subdivision","value":"EC"},{"id":4,"name":"Milepost","value":"0.0158"},{"id":17,"name":"Train ID","value":"102-07"},{"id":16,"name":"Locomotive ID","value":"4041"},{"id":130,"name":"Impact","value":""},{"id":150,"name":"Time of Event (Mountain Time)","value":"04:49:37"},{"id":151,"name":"Denver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7">"start /low /b "&amp;dls3logs&amp;" --loco "&amp;B14&amp;" --day "&amp;TEXT(F14,"YYYY-MM-DD")</f>
        <v>start /low /b %USERPROFILE%\Documents\GitHub\eaglep3\Utilities\DownloadLogsFromS3.py --loco 4041 --day 2017-11-07</v>
      </c>
      <c r="AN14" s="15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11:49:37"},{"id":29,"name":"Sharepoint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-07T02:51:24-0700',mode:absolute,to:'2017-11-07T05:49:37-0700'))&amp;_a=(columns:!('Message%20ID',Summary),filters:!(),index:'emp_*',interval:auto,query:(query_string:(analyze_wildcard:!t,query:'%22rtdc.l.rtdc.4041%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678</v>
      </c>
      <c r="B15" s="7">
        <v>4064</v>
      </c>
      <c r="C15" s="21" t="s">
        <v>192</v>
      </c>
      <c r="D15" s="21" t="s">
        <v>601</v>
      </c>
      <c r="E15" s="13">
        <v>43046.150636574072</v>
      </c>
      <c r="F15" s="13">
        <v>43046.156446759262</v>
      </c>
      <c r="G15" s="7">
        <v>70</v>
      </c>
      <c r="H15" s="21" t="s">
        <v>544</v>
      </c>
      <c r="I15" s="13">
        <v>43046.181481481479</v>
      </c>
      <c r="J15" s="7">
        <v>0</v>
      </c>
      <c r="K15" s="89" t="str">
        <f>IF(ISEVEN(B15),(B15-1)&amp;"/"&amp;B15,B15&amp;"/"&amp;(B15+1))</f>
        <v>4063/4064</v>
      </c>
      <c r="L15" s="185" t="str">
        <f>VLOOKUP(A15,'Trips&amp;Operators'!$C$1:$G$99911,5,FALSE)</f>
        <v>BONDS REYNALDO</v>
      </c>
      <c r="M15" s="6">
        <f>I15-F15</f>
        <v>2.5034722217242233E-2</v>
      </c>
      <c r="N15" s="7">
        <f>24*60*SUM($M15:$M15)</f>
        <v>36.049999992828816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-07T02:36:55-0700',mode:absolute,to:'2017-11-07T05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5.2200000000000003E-2</v>
      </c>
      <c r="Z15" s="204">
        <f>RIGHT(H15,LEN(H15)-4)/10000</f>
        <v>23.3247</v>
      </c>
      <c r="AA15" s="204">
        <f>ABS(Z15-Y15)</f>
        <v>23.272500000000001</v>
      </c>
      <c r="AB15" s="54" t="e">
        <f>VLOOKUP(A15,Enforcements!$C$7:$K$10,8,0)</f>
        <v>#N/A</v>
      </c>
      <c r="AC15" s="51" t="e">
        <f>VLOOKUP(A15,Enforcements!$C$7:$E$10,3,0)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/stypes="app*4064*20171107*" /stext=" 11:.+((SYSTEM_STATE.+slice.+state.+changed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103-07 --locoid 4064 --swversion DE.1.0.9.0 --startMP 204:522 --initTime 2017-11-07T03:36:55 --startdatetime 2017-11-07T03:45:17 --delay 70 --endMP 204:233247 --enddatetime 2017-11-07T04:21:20 --enforcementcount 0 &gt;&gt;%USERPROFILE%\Documents\GitHub\eaglep3-reporting\EC\2017-11-07-refined-times.txt</v>
      </c>
      <c r="AI15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{"issue":{"subject":"","project_id":79,"tracker_id":40,"status_id":1,"priority_id":2,"assigned_to_id":338,"start_date":"2017-11-07","description":"","custom_fields":[{"id":1,"name":"Subdivision","value":"EC"},{"id":4,"name":"Milepost","value":"23.3247"},{"id":17,"name":"Train ID","value":"103-07"},{"id":16,"name":"Locomotive ID","value":"4064"},{"id":130,"name":"Impact","value":""},{"id":150,"name":"Time of Event (Mountain Time)","value":"04:21:20"},{"id":151,"name":"Denver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4064 --day 2017-11-07</v>
      </c>
      <c r="AN15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-11-07T02:36:55-0700',mode:absolute,to:'2017-11-07T05:21:20-0700'))&amp;_a=(columns:!('Message%20ID',Summary),filters:!(),index:'emp_*',interval:auto,query:(query_string:(analyze_wildcard:!t,query:'%22rtdc.l.rtdc.4064%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686</v>
      </c>
      <c r="B16" s="7">
        <v>4063</v>
      </c>
      <c r="C16" s="21" t="s">
        <v>192</v>
      </c>
      <c r="D16" s="21" t="s">
        <v>614</v>
      </c>
      <c r="E16" s="13">
        <v>43046.191018518519</v>
      </c>
      <c r="F16" s="13">
        <v>43046.196006944447</v>
      </c>
      <c r="G16" s="7">
        <v>50</v>
      </c>
      <c r="H16" s="21" t="s">
        <v>890</v>
      </c>
      <c r="I16" s="13">
        <v>43046.223310185182</v>
      </c>
      <c r="J16" s="7">
        <v>0</v>
      </c>
      <c r="K16" s="89" t="str">
        <f>IF(ISEVEN(B16),(B16-1)&amp;"/"&amp;B16,B16&amp;"/"&amp;(B16+1))</f>
        <v>4063/4064</v>
      </c>
      <c r="L16" s="185" t="str">
        <f>VLOOKUP(A16,'Trips&amp;Operators'!$C$1:$G$99911,5,FALSE)</f>
        <v>BONDS REYNALDO</v>
      </c>
      <c r="M16" s="6">
        <f>I16-F16</f>
        <v>2.7303240734909195E-2</v>
      </c>
      <c r="N16" s="7">
        <f>24*60*SUM($M16:$M16)</f>
        <v>39.316666658269241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-07T03:35:04-0700',mode:absolute,to:'2017-11-07T06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23.294799999999999</v>
      </c>
      <c r="Z16" s="204">
        <f>RIGHT(H16,LEN(H16)-4)/10000</f>
        <v>2.0899999999999998E-2</v>
      </c>
      <c r="AA16" s="204">
        <f>ABS(Z16-Y16)</f>
        <v>23.273899999999998</v>
      </c>
      <c r="AB16" s="54" t="e">
        <f>VLOOKUP(A16,Enforcements!$C$7:$K$10,8,0)</f>
        <v>#N/A</v>
      </c>
      <c r="AC16" s="51" t="e">
        <f>VLOOKUP(A16,Enforcements!$C$7:$E$10,3,0)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/stypes="app*4063*20171107*" /stext=" 12:.+((SYSTEM_STATE.+slice.+state.+changed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104-07 --locoid 4063 --swversion DE.1.0.9.0 --startMP 204:232948 --initTime 2017-11-07T04:35:04 --startdatetime 2017-11-07T04:42:15 --delay 50 --endMP 204:209 --enddatetime 2017-11-07T05:21:34 --enforcementcount 0 &gt;&gt;%USERPROFILE%\Documents\GitHub\eaglep3-reporting\EC\2017-11-07-refined-times.txt</v>
      </c>
      <c r="AI16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{"issue":{"subject":"","project_id":79,"tracker_id":40,"status_id":1,"priority_id":2,"assigned_to_id":338,"start_date":"2017-11-07","description":"","custom_fields":[{"id":1,"name":"Subdivision","value":"EC"},{"id":4,"name":"Milepost","value":"0.0209"},{"id":17,"name":"Train ID","value":"104-07"},{"id":16,"name":"Locomotive ID","value":"4063"},{"id":130,"name":"Impact","value":""},{"id":150,"name":"Time of Event (Mountain Time)","value":"05:21:34"},{"id":151,"name":"Denver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4063 --day 2017-11-07</v>
      </c>
      <c r="AN16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-11-07T03:35:04-0700',mode:absolute,to:'2017-11-07T06:21:34-0700'))&amp;_a=(columns:!('Message%20ID',Summary),filters:!(),index:'emp_*',interval:auto,query:(query_string:(analyze_wildcard:!t,query:'%22rtdc.l.rtdc.4063%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683</v>
      </c>
      <c r="B17" s="7">
        <v>4008</v>
      </c>
      <c r="C17" s="21" t="s">
        <v>192</v>
      </c>
      <c r="D17" s="21" t="s">
        <v>891</v>
      </c>
      <c r="E17" s="13">
        <v>43046.17396990741</v>
      </c>
      <c r="F17" s="13">
        <v>43046.177303240744</v>
      </c>
      <c r="G17" s="7">
        <v>73</v>
      </c>
      <c r="H17" s="21" t="s">
        <v>892</v>
      </c>
      <c r="I17" s="13">
        <v>43046.204328703701</v>
      </c>
      <c r="J17" s="7">
        <v>0</v>
      </c>
      <c r="K17" s="89" t="str">
        <f>IF(ISEVEN(B17),(B17-1)&amp;"/"&amp;B17,B17&amp;"/"&amp;(B17+1))</f>
        <v>4007/4008</v>
      </c>
      <c r="L17" s="185" t="str">
        <f>VLOOKUP(A17,'Trips&amp;Operators'!$C$1:$G$99911,5,FALSE)</f>
        <v>LANGERAK WILLIAM</v>
      </c>
      <c r="M17" s="6">
        <f>I17-F17</f>
        <v>2.7025462957681157E-2</v>
      </c>
      <c r="N17" s="7">
        <f>24*60*SUM($M17:$M17)</f>
        <v>38.916666659060866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-07T03:10:31-0700',mode:absolute,to:'2017-11-07T05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4.5100000000000001E-2</v>
      </c>
      <c r="Z17" s="204">
        <f>RIGHT(H17,LEN(H17)-4)/10000</f>
        <v>23.3276</v>
      </c>
      <c r="AA17" s="204">
        <f>ABS(Z17-Y17)</f>
        <v>23.282499999999999</v>
      </c>
      <c r="AB17" s="54" t="e">
        <f>VLOOKUP(A17,Enforcements!$C$7:$K$10,8,0)</f>
        <v>#N/A</v>
      </c>
      <c r="AC17" s="51" t="e">
        <f>VLOOKUP(A17,Enforcements!$C$7:$E$10,3,0)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/stypes="app*4008*20171107*" /stext=" 11:.+((SYSTEM_STATE.+slice.+state.+changed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105-07 --locoid 4008 --swversion DE.1.0.9.0 --startMP 204:451 --initTime 2017-11-07T04:10:31 --startdatetime 2017-11-07T04:15:19 --delay 73 --endMP 204:233276 --enddatetime 2017-11-07T04:54:14 --enforcementcount 0 &gt;&gt;%USERPROFILE%\Documents\GitHub\eaglep3-reporting\EC\2017-11-07-refined-times.txt</v>
      </c>
      <c r="AI17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{"issue":{"subject":"","project_id":79,"tracker_id":40,"status_id":1,"priority_id":2,"assigned_to_id":338,"start_date":"2017-11-07","description":"","custom_fields":[{"id":1,"name":"Subdivision","value":"EC"},{"id":4,"name":"Milepost","value":"23.3276"},{"id":17,"name":"Train ID","value":"105-07"},{"id":16,"name":"Locomotive ID","value":"4008"},{"id":130,"name":"Impact","value":""},{"id":150,"name":"Time of Event (Mountain Time)","value":"04:54:14"},{"id":151,"name":"Denver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4008 --day 2017-11-07</v>
      </c>
      <c r="AN17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11:54:14"},{"id":29,"name":"Sharepoint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-11-07T03:10:31-0700',mode:absolute,to:'2017-11-07T05:54:14-0700'))&amp;_a=(columns:!('Message%20ID',Summary),filters:!(),index:'emp_*',interval:auto,query:(query_string:(analyze_wildcard:!t,query:'%22rtdc.l.rtdc.4008%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692</v>
      </c>
      <c r="B18" s="7">
        <v>4007</v>
      </c>
      <c r="C18" s="21" t="s">
        <v>192</v>
      </c>
      <c r="D18" s="21" t="s">
        <v>893</v>
      </c>
      <c r="E18" s="13">
        <v>43046.206041666665</v>
      </c>
      <c r="F18" s="13">
        <v>43046.216840277775</v>
      </c>
      <c r="G18" s="7">
        <v>58</v>
      </c>
      <c r="H18" s="21" t="s">
        <v>894</v>
      </c>
      <c r="I18" s="13">
        <v>43046.244641203702</v>
      </c>
      <c r="J18" s="7">
        <v>0</v>
      </c>
      <c r="K18" s="89" t="str">
        <f>IF(ISEVEN(B18),(B18-1)&amp;"/"&amp;B18,B18&amp;"/"&amp;(B18+1))</f>
        <v>4007/4008</v>
      </c>
      <c r="L18" s="185" t="str">
        <f>VLOOKUP(A18,'Trips&amp;Operators'!$C$1:$G$99911,5,FALSE)</f>
        <v>LANGERAK WILLIAM</v>
      </c>
      <c r="M18" s="6">
        <f>I18-F18</f>
        <v>2.7800925927294884E-2</v>
      </c>
      <c r="N18" s="7">
        <f>24*60*SUM($M18:$M18)</f>
        <v>40.033333335304633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-07T03:56:42-0700',mode:absolute,to:'2017-11-07T06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23.295200000000001</v>
      </c>
      <c r="Z18" s="204">
        <f>RIGHT(H18,LEN(H18)-4)/10000</f>
        <v>1.67E-2</v>
      </c>
      <c r="AA18" s="204">
        <f>ABS(Z18-Y18)</f>
        <v>23.278500000000001</v>
      </c>
      <c r="AB18" s="54" t="e">
        <f>VLOOKUP(A18,Enforcements!$C$7:$K$10,8,0)</f>
        <v>#N/A</v>
      </c>
      <c r="AC18" s="51" t="e">
        <f>VLOOKUP(A18,Enforcements!$C$7:$E$10,3,0)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/stypes="app*4007*20171107*" /stext=" 12:.+((SYSTEM_STATE.+slice.+state.+changed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106-07 --locoid 4007 --swversion DE.1.0.9.0 --startMP 204:232952 --initTime 2017-11-07T04:56:42 --startdatetime 2017-11-07T05:12:15 --delay 58 --endMP 204:167 --enddatetime 2017-11-07T05:52:17 --enforcementcount 0 &gt;&gt;%USERPROFILE%\Documents\GitHub\eaglep3-reporting\EC\2017-11-07-refined-times.txt</v>
      </c>
      <c r="AI18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{"issue":{"subject":"","project_id":79,"tracker_id":40,"status_id":1,"priority_id":2,"assigned_to_id":338,"start_date":"2017-11-07","description":"","custom_fields":[{"id":1,"name":"Subdivision","value":"EC"},{"id":4,"name":"Milepost","value":"0.0167"},{"id":17,"name":"Train ID","value":"106-07"},{"id":16,"name":"Locomotive ID","value":"4007"},{"id":130,"name":"Impact","value":""},{"id":150,"name":"Time of Event (Mountain Time)","value":"05:52:17"},{"id":151,"name":"Denver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4007 --day 2017-11-07</v>
      </c>
      <c r="AN18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-11-07T03:56:42-0700',mode:absolute,to:'2017-11-07T06:52:17-0700'))&amp;_a=(columns:!('Message%20ID',Summary),filters:!(),index:'emp_*',interval:auto,query:(query_string:(analyze_wildcard:!t,query:'%22rtdc.l.rtdc.4007%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685</v>
      </c>
      <c r="B19" s="7">
        <v>4066</v>
      </c>
      <c r="C19" s="21" t="s">
        <v>192</v>
      </c>
      <c r="D19" s="21" t="s">
        <v>518</v>
      </c>
      <c r="E19" s="13">
        <v>43046.184745370374</v>
      </c>
      <c r="F19" s="13">
        <v>43046.187662037039</v>
      </c>
      <c r="G19" s="7">
        <v>67</v>
      </c>
      <c r="H19" s="21" t="s">
        <v>605</v>
      </c>
      <c r="I19" s="13">
        <v>43046.213587962964</v>
      </c>
      <c r="J19" s="7">
        <v>0</v>
      </c>
      <c r="K19" s="89" t="str">
        <f>IF(ISEVEN(B19),(B19-1)&amp;"/"&amp;B19,B19&amp;"/"&amp;(B19+1))</f>
        <v>4065/4066</v>
      </c>
      <c r="L19" s="185" t="str">
        <f>VLOOKUP(A19,'Trips&amp;Operators'!$C$1:$G$99911,5,FALSE)</f>
        <v>BARRON PERLA</v>
      </c>
      <c r="M19" s="6">
        <f>I19-F19</f>
        <v>2.5925925925548654E-2</v>
      </c>
      <c r="N19" s="7">
        <f>24*60*SUM($M19:$M19)</f>
        <v>37.333333332790062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-07T03:26:02-0700',mode:absolute,to:'2017-11-07T06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5.0599999999999999E-2</v>
      </c>
      <c r="Z19" s="204">
        <f>RIGHT(H19,LEN(H19)-4)/10000</f>
        <v>23.331199999999999</v>
      </c>
      <c r="AA19" s="204">
        <f>ABS(Z19-Y19)</f>
        <v>23.2806</v>
      </c>
      <c r="AB19" s="54" t="e">
        <f>VLOOKUP(A19,Enforcements!$C$7:$K$10,8,0)</f>
        <v>#N/A</v>
      </c>
      <c r="AC19" s="51" t="e">
        <f>VLOOKUP(A19,Enforcements!$C$7:$E$10,3,0)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 &amp; aws s3 cp s3://rtdc.mdm.uploadarchive.raw/RTDC4066/ "%USERPROFILE%\AppData\Local\Temp\OnboardLogs"\RTDC4066\2017-11-08 --exclude "*" --recursive --include "*20171108*" &amp; "%USERPROFILE%\Documents\GitHub\mrs-test-scripts\Headless Mode &amp; Sideloading\WalkAndUnGZ.bat" "%USERPROFILE%\AppData\Local\Temp\OnboardLogs"\RTDC4066\2017-11-08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/stypes="app*4066*20171107*" /stext=" 12:.+((SYSTEM_STATE.+slice.+state.+changed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107-07 --locoid 4066 --swversion DE.1.0.9.0 --startMP 204:506 --initTime 2017-11-07T04:26:02 --startdatetime 2017-11-07T04:30:14 --delay 67 --endMP 204:233312 --enddatetime 2017-11-07T05:07:34 --enforcementcount 0 &gt;&gt;%USERPROFILE%\Documents\GitHub\eaglep3-reporting\EC\2017-11-07-refined-times.txt</v>
      </c>
      <c r="AI19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{"issue":{"subject":"","project_id":79,"tracker_id":40,"status_id":1,"priority_id":2,"assigned_to_id":338,"start_date":"2017-11-07","description":"","custom_fields":[{"id":1,"name":"Subdivision","value":"EC"},{"id":4,"name":"Milepost","value":"23.3312"},{"id":17,"name":"Train ID","value":"107-07"},{"id":16,"name":"Locomotive ID","value":"4066"},{"id":130,"name":"Impact","value":""},{"id":150,"name":"Time of Event (Mountain Time)","value":"05:07:34"},{"id":151,"name":"Denver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4066 --day 2017-11-07</v>
      </c>
      <c r="AN19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-11-07T03:26:02-0700',mode:absolute,to:'2017-11-07T06:07:34-0700'))&amp;_a=(columns:!('Message%20ID',Summary),filters:!(),index:'emp_*',interval:auto,query:(query_string:(analyze_wildcard:!t,query:'%22rtdc.l.rtdc.4066%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697</v>
      </c>
      <c r="B20" s="7">
        <v>4065</v>
      </c>
      <c r="C20" s="21" t="s">
        <v>192</v>
      </c>
      <c r="D20" s="21" t="s">
        <v>470</v>
      </c>
      <c r="E20" s="13">
        <v>43046.215104166666</v>
      </c>
      <c r="F20" s="13">
        <v>43046.227268518516</v>
      </c>
      <c r="G20" s="7">
        <v>144</v>
      </c>
      <c r="H20" s="21" t="s">
        <v>542</v>
      </c>
      <c r="I20" s="13">
        <v>43046.254490740743</v>
      </c>
      <c r="J20" s="7">
        <v>0</v>
      </c>
      <c r="K20" s="89" t="str">
        <f>IF(ISEVEN(B20),(B20-1)&amp;"/"&amp;B20,B20&amp;"/"&amp;(B20+1))</f>
        <v>4065/4066</v>
      </c>
      <c r="L20" s="185" t="str">
        <f>VLOOKUP(A20,'Trips&amp;Operators'!$C$1:$G$99911,5,FALSE)</f>
        <v>BARRON PERLA</v>
      </c>
      <c r="M20" s="6">
        <f>I20-F20</f>
        <v>2.7222222226555459E-2</v>
      </c>
      <c r="N20" s="7">
        <f>24*60*SUM($M20:$M20)</f>
        <v>39.200000006239861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-07T04:09:45-0700',mode:absolute,to:'2017-11-07T07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23.297699999999999</v>
      </c>
      <c r="Z20" s="204">
        <f>RIGHT(H20,LEN(H20)-4)/10000</f>
        <v>1.9400000000000001E-2</v>
      </c>
      <c r="AA20" s="204">
        <f>ABS(Z20-Y20)</f>
        <v>23.278299999999998</v>
      </c>
      <c r="AB20" s="54" t="e">
        <f>VLOOKUP(A20,Enforcements!$C$7:$K$10,8,0)</f>
        <v>#N/A</v>
      </c>
      <c r="AC20" s="51" t="e">
        <f>VLOOKUP(A20,Enforcements!$C$7:$E$10,3,0)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 &amp; aws s3 cp s3://rtdc.mdm.uploadarchive.raw/RTDC4065/ "%USERPROFILE%\AppData\Local\Temp\OnboardLogs"\RTDC4065\2017-11-08 --exclude "*" --recursive --include "*20171108*" &amp; "%USERPROFILE%\Documents\GitHub\mrs-test-scripts\Headless Mode &amp; Sideloading\WalkAndUnGZ.bat" "%USERPROFILE%\AppData\Local\Temp\OnboardLogs"\RTDC4065\2017-11-08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/stypes="app*4065*20171107*" /stext=" 13:.+((SYSTEM_STATE.+slice.+state.+changed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108-07 --locoid 4065 --swversion DE.1.0.9.0 --startMP 204:232977 --initTime 2017-11-07T05:09:45 --startdatetime 2017-11-07T05:27:16 --delay 144 --endMP 204:194 --enddatetime 2017-11-07T06:06:28 --enforcementcount 0 &gt;&gt;%USERPROFILE%\Documents\GitHub\eaglep3-reporting\EC\2017-11-07-refined-times.txt</v>
      </c>
      <c r="AI20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{"issue":{"subject":"","project_id":79,"tracker_id":40,"status_id":1,"priority_id":2,"assigned_to_id":338,"start_date":"2017-11-07","description":"","custom_fields":[{"id":1,"name":"Subdivision","value":"EC"},{"id":4,"name":"Milepost","value":"0.0194"},{"id":17,"name":"Train ID","value":"108-07"},{"id":16,"name":"Locomotive ID","value":"4065"},{"id":130,"name":"Impact","value":""},{"id":150,"name":"Time of Event (Mountain Time)","value":"06:06:28"},{"id":151,"name":"Denver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4065 --day 2017-11-07</v>
      </c>
      <c r="AN20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-11-07T04:09:45-0700',mode:absolute,to:'2017-11-07T07:06:28-0700'))&amp;_a=(columns:!('Message%20ID',Summary),filters:!(),index:'emp_*',interval:auto,query:(query_string:(analyze_wildcard:!t,query:'%22rtdc.l.rtdc.4065%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687</v>
      </c>
      <c r="B21" s="7">
        <v>4026</v>
      </c>
      <c r="C21" s="21" t="s">
        <v>192</v>
      </c>
      <c r="D21" s="21" t="s">
        <v>540</v>
      </c>
      <c r="E21" s="13">
        <v>43046.194178240738</v>
      </c>
      <c r="F21" s="13">
        <v>43046.198113425926</v>
      </c>
      <c r="G21" s="7">
        <v>87</v>
      </c>
      <c r="H21" s="21" t="s">
        <v>478</v>
      </c>
      <c r="I21" s="13">
        <v>43046.222303240742</v>
      </c>
      <c r="J21" s="7">
        <v>0</v>
      </c>
      <c r="K21" s="89" t="str">
        <f>IF(ISEVEN(B21),(B21-1)&amp;"/"&amp;B21,B21&amp;"/"&amp;(B21+1))</f>
        <v>4025/4026</v>
      </c>
      <c r="L21" s="185" t="str">
        <f>VLOOKUP(A21,'Trips&amp;Operators'!$C$1:$G$99911,5,FALSE)</f>
        <v>LAMAR NEKESHA</v>
      </c>
      <c r="M21" s="6">
        <f>I21-F21</f>
        <v>2.4189814816054422E-2</v>
      </c>
      <c r="N21" s="7">
        <f>24*60*SUM($M21:$M21)</f>
        <v>34.833333335118368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-07T03:39:37-0700',mode:absolute,to:'2017-11-07T06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4.6399999999999997E-2</v>
      </c>
      <c r="Z21" s="204">
        <f>RIGHT(H21,LEN(H21)-4)/10000</f>
        <v>23.328900000000001</v>
      </c>
      <c r="AA21" s="204">
        <f>ABS(Z21-Y21)</f>
        <v>23.282500000000002</v>
      </c>
      <c r="AB21" s="54" t="e">
        <f>VLOOKUP(A21,Enforcements!$C$7:$K$10,8,0)</f>
        <v>#N/A</v>
      </c>
      <c r="AC21" s="51" t="e">
        <f>VLOOKUP(A21,Enforcements!$C$7:$E$10,3,0)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s3://rtdc.mdm.uploadarchive.raw/RTDC4026/ "%USERPROFILE%\AppData\Local\Temp\OnboardLogs"\RTDC4026\2017-11-07 --exclude "*" --recursive --include "*20171107*" &amp; "%USERPROFILE%\Documents\GitHub\mrs-test-scripts\Headless Mode &amp; Sideloading\WalkAndUnGZ.bat" "%USERPROFILE%\AppData\Local\Temp\OnboardLogs"\RTDC4026\2017-11-07 &amp; aws s3 cp s3://rtdc.mdm.uploadarchive.raw/RTDC4026/ "%USERPROFILE%\AppData\Local\Temp\OnboardLogs"\RTDC4026\2017-11-08 --exclude "*" --recursive --include "*20171108*" &amp; "%USERPROFILE%\Documents\GitHub\mrs-test-scripts\Headless Mode &amp; Sideloading\WalkAndUnGZ.bat" "%USERPROFILE%\AppData\Local\Temp\OnboardLogs"\RTDC4026\2017-11-08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/stypes="app*4026*20171107*" /stext=" 12:.+((SYSTEM_STATE.+slice.+state.+changed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109-07 --locoid 4026 --swversion DE.1.0.9.0 --startMP 204:464 --initTime 2017-11-07T04:39:37 --startdatetime 2017-11-07T04:45:17 --delay 87 --endMP 204:233289 --enddatetime 2017-11-07T05:20:07 --enforcementcount 0 &gt;&gt;%USERPROFILE%\Documents\GitHub\eaglep3-reporting\EC\2017-11-07-refined-times.txt</v>
      </c>
      <c r="AI21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{"issue":{"subject":"","project_id":79,"tracker_id":40,"status_id":1,"priority_id":2,"assigned_to_id":338,"start_date":"2017-11-07","description":"","custom_fields":[{"id":1,"name":"Subdivision","value":"EC"},{"id":4,"name":"Milepost","value":"23.3289"},{"id":17,"name":"Train ID","value":"109-07"},{"id":16,"name":"Locomotive ID","value":"4026"},{"id":130,"name":"Impact","value":""},{"id":150,"name":"Time of Event (Mountain Time)","value":"05:20:07"},{"id":151,"name":"Denver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4026 --day 2017-11-07</v>
      </c>
      <c r="AN21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-11-07T03:39:37-0700',mode:absolute,to:'2017-11-07T06:20:07-0700'))&amp;_a=(columns:!('Message%20ID',Summary),filters:!(),index:'emp_*',interval:auto,query:(query_string:(analyze_wildcard:!t,query:'%22rtdc.l.rtdc.4026%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703</v>
      </c>
      <c r="B22" s="7">
        <v>4025</v>
      </c>
      <c r="C22" s="21" t="s">
        <v>192</v>
      </c>
      <c r="D22" s="21" t="s">
        <v>375</v>
      </c>
      <c r="E22" s="13">
        <v>43046.235254629632</v>
      </c>
      <c r="F22" s="13">
        <v>43046.237685185188</v>
      </c>
      <c r="G22" s="7">
        <v>74</v>
      </c>
      <c r="H22" s="21" t="s">
        <v>596</v>
      </c>
      <c r="I22" s="13">
        <v>43046.263796296298</v>
      </c>
      <c r="J22" s="7">
        <v>0</v>
      </c>
      <c r="K22" s="89" t="str">
        <f>IF(ISEVEN(B22),(B22-1)&amp;"/"&amp;B22,B22&amp;"/"&amp;(B22+1))</f>
        <v>4025/4026</v>
      </c>
      <c r="L22" s="185" t="str">
        <f>VLOOKUP(A22,'Trips&amp;Operators'!$C$1:$G$99911,5,FALSE)</f>
        <v>LAMAR NEKESHA</v>
      </c>
      <c r="M22" s="6">
        <f>I22-F22</f>
        <v>2.6111111110367347E-2</v>
      </c>
      <c r="N22" s="7">
        <f>24*60*SUM($M22:$M22)</f>
        <v>37.599999998928979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-07T04:38:46-0700',mode:absolute,to:'2017-11-07T07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23.296900000000001</v>
      </c>
      <c r="Z22" s="204">
        <f>RIGHT(H22,LEN(H22)-4)/10000</f>
        <v>1.8100000000000002E-2</v>
      </c>
      <c r="AA22" s="204">
        <f>ABS(Z22-Y22)</f>
        <v>23.2788</v>
      </c>
      <c r="AB22" s="54" t="e">
        <f>VLOOKUP(A22,Enforcements!$C$7:$K$10,8,0)</f>
        <v>#N/A</v>
      </c>
      <c r="AC22" s="51" t="e">
        <f>VLOOKUP(A22,Enforcements!$C$7:$E$10,3,0)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s3://rtdc.mdm.uploadarchive.raw/RTDC4025/ "%USERPROFILE%\AppData\Local\Temp\OnboardLogs"\RTDC4025\2017-11-07 --exclude "*" --recursive --include "*20171107*" &amp; "%USERPROFILE%\Documents\GitHub\mrs-test-scripts\Headless Mode &amp; Sideloading\WalkAndUnGZ.bat" "%USERPROFILE%\AppData\Local\Temp\OnboardLogs"\RTDC4025\2017-11-07 &amp; aws s3 cp s3://rtdc.mdm.uploadarchive.raw/RTDC4025/ "%USERPROFILE%\AppData\Local\Temp\OnboardLogs"\RTDC4025\2017-11-08 --exclude "*" --recursive --include "*20171108*" &amp; "%USERPROFILE%\Documents\GitHub\mrs-test-scripts\Headless Mode &amp; Sideloading\WalkAndUnGZ.bat" "%USERPROFILE%\AppData\Local\Temp\OnboardLogs"\RTDC4025\2017-11-08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/stypes="app*4025*20171107*" /stext=" 13:.+((SYSTEM_STATE.+slice.+state.+changed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110-07 --locoid 4025 --swversion DE.1.0.9.0 --startMP 204:232969 --initTime 2017-11-07T05:38:46 --startdatetime 2017-11-07T05:42:16 --delay 74 --endMP 204:181 --enddatetime 2017-11-07T06:19:52 --enforcementcount 0 &gt;&gt;%USERPROFILE%\Documents\GitHub\eaglep3-reporting\EC\2017-11-07-refined-times.txt</v>
      </c>
      <c r="AI22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{"issue":{"subject":"","project_id":79,"tracker_id":40,"status_id":1,"priority_id":2,"assigned_to_id":338,"start_date":"2017-11-07","description":"","custom_fields":[{"id":1,"name":"Subdivision","value":"EC"},{"id":4,"name":"Milepost","value":"0.0181"},{"id":17,"name":"Train ID","value":"110-07"},{"id":16,"name":"Locomotive ID","value":"4025"},{"id":130,"name":"Impact","value":""},{"id":150,"name":"Time of Event (Mountain Time)","value":"06:19:52"},{"id":151,"name":"Denver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4025 --day 2017-11-07</v>
      </c>
      <c r="AN22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-11-07T04:38:46-0700',mode:absolute,to:'2017-11-07T07:19:52-0700'))&amp;_a=(columns:!('Message%20ID',Summary),filters:!(),index:'emp_*',interval:auto,query:(query_string:(analyze_wildcard:!t,query:'%22rtdc.l.rtdc.4025%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690</v>
      </c>
      <c r="B23" s="7">
        <v>4042</v>
      </c>
      <c r="C23" s="21" t="s">
        <v>192</v>
      </c>
      <c r="D23" s="21" t="s">
        <v>539</v>
      </c>
      <c r="E23" s="13">
        <v>43046.202511574076</v>
      </c>
      <c r="F23" s="13">
        <v>43046.208553240744</v>
      </c>
      <c r="G23" s="7">
        <v>52</v>
      </c>
      <c r="H23" s="21" t="s">
        <v>895</v>
      </c>
      <c r="I23" s="13">
        <v>43046.233043981483</v>
      </c>
      <c r="J23" s="7">
        <v>0</v>
      </c>
      <c r="K23" s="89" t="str">
        <f>IF(ISEVEN(B23),(B23-1)&amp;"/"&amp;B23,B23&amp;"/"&amp;(B23+1))</f>
        <v>4041/4042</v>
      </c>
      <c r="L23" s="185" t="str">
        <f>VLOOKUP(A23,'Trips&amp;Operators'!$C$1:$G$99911,5,FALSE)</f>
        <v>YORK EDGAR</v>
      </c>
      <c r="M23" s="6">
        <f>I23-F23</f>
        <v>2.4490740739565808E-2</v>
      </c>
      <c r="N23" s="7">
        <f>24*60*SUM($M23:$M23)</f>
        <v>35.266666664974764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-07T03:51:37-0700',mode:absolute,to:'2017-11-07T06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4.6699999999999998E-2</v>
      </c>
      <c r="Z23" s="204">
        <f>RIGHT(H23,LEN(H23)-4)/10000</f>
        <v>23.328499999999998</v>
      </c>
      <c r="AA23" s="204">
        <f>ABS(Z23-Y23)</f>
        <v>23.281799999999997</v>
      </c>
      <c r="AB23" s="54" t="e">
        <f>VLOOKUP(A23,Enforcements!$C$7:$K$10,8,0)</f>
        <v>#N/A</v>
      </c>
      <c r="AC23" s="51" t="e">
        <f>VLOOKUP(A23,Enforcements!$C$7:$E$10,3,0)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/stypes="app*4042*20171107*" /stext=" 12:.+((SYSTEM_STATE.+slice.+state.+changed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111-07 --locoid 4042 --swversion DE.1.0.9.0 --startMP 204:467 --initTime 2017-11-07T04:51:37 --startdatetime 2017-11-07T05:00:19 --delay 52 --endMP 204:233285 --enddatetime 2017-11-07T05:35:35 --enforcementcount 0 &gt;&gt;%USERPROFILE%\Documents\GitHub\eaglep3-reporting\EC\2017-11-07-refined-times.txt</v>
      </c>
      <c r="AI23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{"issue":{"subject":"","project_id":79,"tracker_id":40,"status_id":1,"priority_id":2,"assigned_to_id":338,"start_date":"2017-11-07","description":"","custom_fields":[{"id":1,"name":"Subdivision","value":"EC"},{"id":4,"name":"Milepost","value":"23.3285"},{"id":17,"name":"Train ID","value":"111-07"},{"id":16,"name":"Locomotive ID","value":"4042"},{"id":130,"name":"Impact","value":""},{"id":150,"name":"Time of Event (Mountain Time)","value":"05:35:35"},{"id":151,"name":"Denver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4042 --day 2017-11-07</v>
      </c>
      <c r="AN23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-11-07T03:51:37-0700',mode:absolute,to:'2017-11-07T06:35:35-0700'))&amp;_a=(columns:!('Message%20ID',Summary),filters:!(),index:'emp_*',interval:auto,query:(query_string:(analyze_wildcard:!t,query:'%22rtdc.l.rtdc.4042%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702</v>
      </c>
      <c r="B24" s="7">
        <v>4041</v>
      </c>
      <c r="C24" s="21" t="s">
        <v>192</v>
      </c>
      <c r="D24" s="21" t="s">
        <v>896</v>
      </c>
      <c r="E24" s="13">
        <v>43046.233981481484</v>
      </c>
      <c r="F24" s="13">
        <v>43046.248124999998</v>
      </c>
      <c r="G24" s="7">
        <v>41</v>
      </c>
      <c r="H24" s="21" t="s">
        <v>589</v>
      </c>
      <c r="I24" s="13">
        <v>43046.274733796294</v>
      </c>
      <c r="J24" s="7">
        <v>0</v>
      </c>
      <c r="K24" s="89" t="str">
        <f>IF(ISEVEN(B24),(B24-1)&amp;"/"&amp;B24,B24&amp;"/"&amp;(B24+1))</f>
        <v>4041/4042</v>
      </c>
      <c r="L24" s="185" t="str">
        <f>VLOOKUP(A24,'Trips&amp;Operators'!$C$1:$G$99911,5,FALSE)</f>
        <v>YORK EDGAR</v>
      </c>
      <c r="M24" s="6">
        <f>I24-F24</f>
        <v>2.6608796295477077E-2</v>
      </c>
      <c r="N24" s="7">
        <f>24*60*SUM($M24:$M24)</f>
        <v>38.316666665486991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-07T04:36:56-0700',mode:absolute,to:'2017-11-07T07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23.297599999999999</v>
      </c>
      <c r="Z24" s="204">
        <f>RIGHT(H24,LEN(H24)-4)/10000</f>
        <v>1.5599999999999999E-2</v>
      </c>
      <c r="AA24" s="204">
        <f>ABS(Z24-Y24)</f>
        <v>23.282</v>
      </c>
      <c r="AB24" s="54" t="e">
        <f>VLOOKUP(A24,Enforcements!$C$7:$K$10,8,0)</f>
        <v>#N/A</v>
      </c>
      <c r="AC24" s="51" t="e">
        <f>VLOOKUP(A24,Enforcements!$C$7:$E$10,3,0)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/stypes="app*4041*20171107*" /stext=" 13:.+((SYSTEM_STATE.+slice.+state.+changed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112-07 --locoid 4041 --swversion DE.1.0.9.0 --startMP 204:232976 --initTime 2017-11-07T05:36:56 --startdatetime 2017-11-07T05:57:18 --delay 41 --endMP 204:156 --enddatetime 2017-11-07T06:35:37 --enforcementcount 0 &gt;&gt;%USERPROFILE%\Documents\GitHub\eaglep3-reporting\EC\2017-11-07-refined-times.txt</v>
      </c>
      <c r="AI24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{"issue":{"subject":"","project_id":79,"tracker_id":40,"status_id":1,"priority_id":2,"assigned_to_id":338,"start_date":"2017-11-07","description":"","custom_fields":[{"id":1,"name":"Subdivision","value":"EC"},{"id":4,"name":"Milepost","value":"0.0156"},{"id":17,"name":"Train ID","value":"112-07"},{"id":16,"name":"Locomotive ID","value":"4041"},{"id":130,"name":"Impact","value":""},{"id":150,"name":"Time of Event (Mountain Time)","value":"06:35:37"},{"id":151,"name":"Denver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4041 --day 2017-11-07</v>
      </c>
      <c r="AN24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-11-07T04:36:56-0700',mode:absolute,to:'2017-11-07T07:35:37-0700'))&amp;_a=(columns:!('Message%20ID',Summary),filters:!(),index:'emp_*',interval:auto,query:(query_string:(analyze_wildcard:!t,query:'%22rtdc.l.rtdc.4041%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691</v>
      </c>
      <c r="B25" s="7">
        <v>4058</v>
      </c>
      <c r="C25" s="21" t="s">
        <v>192</v>
      </c>
      <c r="D25" s="21" t="s">
        <v>897</v>
      </c>
      <c r="E25" s="13">
        <v>43046.203958333332</v>
      </c>
      <c r="F25" s="13">
        <v>43046.218900462962</v>
      </c>
      <c r="G25" s="7">
        <v>68</v>
      </c>
      <c r="H25" s="21" t="s">
        <v>610</v>
      </c>
      <c r="I25" s="13">
        <v>43046.243750000001</v>
      </c>
      <c r="J25" s="7">
        <v>0</v>
      </c>
      <c r="K25" s="89" t="str">
        <f>IF(ISEVEN(B25),(B25-1)&amp;"/"&amp;B25,B25&amp;"/"&amp;(B25+1))</f>
        <v>4057/4058</v>
      </c>
      <c r="L25" s="185" t="str">
        <f>VLOOKUP(A25,'Trips&amp;Operators'!$C$1:$G$99911,5,FALSE)</f>
        <v>YANAI IAN</v>
      </c>
      <c r="M25" s="6">
        <f>I25-F25</f>
        <v>2.4849537039699499E-2</v>
      </c>
      <c r="N25" s="7">
        <f>24*60*SUM($M25:$M25)</f>
        <v>35.783333337167278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-07T03:53:42-0700',mode:absolute,to:'2017-11-07T06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4.4699999999999997E-2</v>
      </c>
      <c r="Z25" s="204">
        <f>RIGHT(H25,LEN(H25)-4)/10000</f>
        <v>23.327999999999999</v>
      </c>
      <c r="AA25" s="204">
        <f>ABS(Z25-Y25)</f>
        <v>23.283300000000001</v>
      </c>
      <c r="AB25" s="54" t="e">
        <f>VLOOKUP(A25,Enforcements!$C$7:$K$10,8,0)</f>
        <v>#N/A</v>
      </c>
      <c r="AC25" s="51" t="e">
        <f>VLOOKUP(A25,Enforcements!$C$7:$E$10,3,0)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s3://rtdc.mdm.uploadarchive.raw/RTDC4058/ "%USERPROFILE%\AppData\Local\Temp\OnboardLogs"\RTDC4058\2017-11-07 --exclude "*" --recursive --include "*20171107*" &amp; "%USERPROFILE%\Documents\GitHub\mrs-test-scripts\Headless Mode &amp; Sideloading\WalkAndUnGZ.bat" "%USERPROFILE%\AppData\Local\Temp\OnboardLogs"\RTDC4058\2017-11-07 &amp; aws s3 cp s3://rtdc.mdm.uploadarchive.raw/RTDC4058/ "%USERPROFILE%\AppData\Local\Temp\OnboardLogs"\RTDC4058\2017-11-08 --exclude "*" --recursive --include "*20171108*" &amp; "%USERPROFILE%\Documents\GitHub\mrs-test-scripts\Headless Mode &amp; Sideloading\WalkAndUnGZ.bat" "%USERPROFILE%\AppData\Local\Temp\OnboardLogs"\RTDC4058\2017-11-08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/stypes="app*4058*20171107*" /stext=" 12:.+((SYSTEM_STATE.+slice.+state.+changed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113-07 --locoid 4058 --swversion DE.1.0.9.0 --startMP 204:447 --initTime 2017-11-07T04:53:42 --startdatetime 2017-11-07T05:15:13 --delay 68 --endMP 204:233280 --enddatetime 2017-11-07T05:51:00 --enforcementcount 0 &gt;&gt;%USERPROFILE%\Documents\GitHub\eaglep3-reporting\EC\2017-11-07-refined-times.txt</v>
      </c>
      <c r="AI25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{"issue":{"subject":"","project_id":79,"tracker_id":40,"status_id":1,"priority_id":2,"assigned_to_id":338,"start_date":"2017-11-07","description":"","custom_fields":[{"id":1,"name":"Subdivision","value":"EC"},{"id":4,"name":"Milepost","value":"23.328"},{"id":17,"name":"Train ID","value":"113-07"},{"id":16,"name":"Locomotive ID","value":"4058"},{"id":130,"name":"Impact","value":""},{"id":150,"name":"Time of Event (Mountain Time)","value":"05:51:00"},{"id":151,"name":"Denver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4058 --day 2017-11-07</v>
      </c>
      <c r="AN25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-11-07T03:53:42-0700',mode:absolute,to:'2017-11-07T06:51:00-0700'))&amp;_a=(columns:!('Message%20ID',Summary),filters:!(),index:'emp_*',interval:auto,query:(query_string:(analyze_wildcard:!t,query:'%22rtdc.l.rtdc.4058%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708</v>
      </c>
      <c r="B26" s="7">
        <v>4057</v>
      </c>
      <c r="C26" s="21" t="s">
        <v>192</v>
      </c>
      <c r="D26" s="21" t="s">
        <v>503</v>
      </c>
      <c r="E26" s="13">
        <v>43046.245254629626</v>
      </c>
      <c r="F26" s="13">
        <v>43046.25854166667</v>
      </c>
      <c r="G26" s="7">
        <v>43</v>
      </c>
      <c r="H26" s="21" t="s">
        <v>497</v>
      </c>
      <c r="I26" s="13">
        <v>43046.284837962965</v>
      </c>
      <c r="J26" s="7">
        <v>0</v>
      </c>
      <c r="K26" s="89" t="str">
        <f>IF(ISEVEN(B26),(B26-1)&amp;"/"&amp;B26,B26&amp;"/"&amp;(B26+1))</f>
        <v>4057/4058</v>
      </c>
      <c r="L26" s="185" t="str">
        <f>VLOOKUP(A26,'Trips&amp;Operators'!$C$1:$G$99911,5,FALSE)</f>
        <v>YANAI IAN</v>
      </c>
      <c r="M26" s="6">
        <f>I26-F26</f>
        <v>2.6296296295186039E-2</v>
      </c>
      <c r="N26" s="7">
        <f>24*60*SUM($M26:$M26)</f>
        <v>37.866666665067896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-07T04:53:10-0700',mode:absolute,to:'2017-11-07T07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23.2971</v>
      </c>
      <c r="Z26" s="204">
        <f>RIGHT(H26,LEN(H26)-4)/10000</f>
        <v>0.02</v>
      </c>
      <c r="AA26" s="204">
        <f>ABS(Z26-Y26)</f>
        <v>23.277100000000001</v>
      </c>
      <c r="AB26" s="54" t="e">
        <f>VLOOKUP(A26,Enforcements!$C$7:$K$10,8,0)</f>
        <v>#N/A</v>
      </c>
      <c r="AC26" s="51" t="e">
        <f>VLOOKUP(A26,Enforcements!$C$7:$E$10,3,0)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s3://rtdc.mdm.uploadarchive.raw/RTDC4057/ "%USERPROFILE%\AppData\Local\Temp\OnboardLogs"\RTDC4057\2017-11-07 --exclude "*" --recursive --include "*20171107*" &amp; "%USERPROFILE%\Documents\GitHub\mrs-test-scripts\Headless Mode &amp; Sideloading\WalkAndUnGZ.bat" "%USERPROFILE%\AppData\Local\Temp\OnboardLogs"\RTDC4057\2017-11-07 &amp; aws s3 cp s3://rtdc.mdm.uploadarchive.raw/RTDC4057/ "%USERPROFILE%\AppData\Local\Temp\OnboardLogs"\RTDC4057\2017-11-08 --exclude "*" --recursive --include "*20171108*" &amp; "%USERPROFILE%\Documents\GitHub\mrs-test-scripts\Headless Mode &amp; Sideloading\WalkAndUnGZ.bat" "%USERPROFILE%\AppData\Local\Temp\OnboardLogs"\RTDC4057\2017-11-08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/stypes="app*4057*20171107*" /stext=" 13:.+((SYSTEM_STATE.+slice.+state.+changed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114-07 --locoid 4057 --swversion DE.1.0.9.0 --startMP 204:232971 --initTime 2017-11-07T05:53:10 --startdatetime 2017-11-07T06:12:18 --delay 43 --endMP 204:200 --enddatetime 2017-11-07T06:50:10 --enforcementcount 0 &gt;&gt;%USERPROFILE%\Documents\GitHub\eaglep3-reporting\EC\2017-11-07-refined-times.txt</v>
      </c>
      <c r="AI26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{"issue":{"subject":"","project_id":79,"tracker_id":40,"status_id":1,"priority_id":2,"assigned_to_id":338,"start_date":"2017-11-07","description":"","custom_fields":[{"id":1,"name":"Subdivision","value":"EC"},{"id":4,"name":"Milepost","value":"0.02"},{"id":17,"name":"Train ID","value":"114-07"},{"id":16,"name":"Locomotive ID","value":"4057"},{"id":130,"name":"Impact","value":""},{"id":150,"name":"Time of Event (Mountain Time)","value":"06:50:10"},{"id":151,"name":"Denver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4057 --day 2017-11-07</v>
      </c>
      <c r="AN26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-11-07T04:53:10-0700',mode:absolute,to:'2017-11-07T07:50:10-0700'))&amp;_a=(columns:!('Message%20ID',Summary),filters:!(),index:'emp_*',interval:auto,query:(query_string:(analyze_wildcard:!t,query:'%22rtdc.l.rtdc.4057%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699</v>
      </c>
      <c r="B27" s="7">
        <v>4064</v>
      </c>
      <c r="C27" s="21" t="s">
        <v>192</v>
      </c>
      <c r="D27" s="21" t="s">
        <v>504</v>
      </c>
      <c r="E27" s="13">
        <v>43046.225289351853</v>
      </c>
      <c r="F27" s="13">
        <v>43046.229351851849</v>
      </c>
      <c r="G27" s="7">
        <v>54</v>
      </c>
      <c r="H27" s="21" t="s">
        <v>898</v>
      </c>
      <c r="I27" s="13">
        <v>43046.255127314813</v>
      </c>
      <c r="J27" s="7">
        <v>0</v>
      </c>
      <c r="K27" s="89" t="str">
        <f>IF(ISEVEN(B27),(B27-1)&amp;"/"&amp;B27,B27&amp;"/"&amp;(B27+1))</f>
        <v>4063/4064</v>
      </c>
      <c r="L27" s="185" t="str">
        <f>VLOOKUP(A27,'Trips&amp;Operators'!$C$1:$G$99911,5,FALSE)</f>
        <v>BONDS REYNALDO</v>
      </c>
      <c r="M27" s="6">
        <f>I27-F27</f>
        <v>2.5775462963792961E-2</v>
      </c>
      <c r="N27" s="7">
        <f>24*60*SUM($M27:$M27)</f>
        <v>37.116666667861864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-07T04:24:25-0700',mode:absolute,to:'2017-11-07T07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5.1999999999999998E-2</v>
      </c>
      <c r="Z27" s="204">
        <f>RIGHT(H27,LEN(H27)-4)/10000</f>
        <v>23.330200000000001</v>
      </c>
      <c r="AA27" s="204">
        <f>ABS(Z27-Y27)</f>
        <v>23.278200000000002</v>
      </c>
      <c r="AB27" s="54" t="e">
        <f>VLOOKUP(A27,Enforcements!$C$7:$K$10,8,0)</f>
        <v>#N/A</v>
      </c>
      <c r="AC27" s="51" t="e">
        <f>VLOOKUP(A27,Enforcements!$C$7:$E$10,3,0)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/stypes="app*4064*20171107*" /stext=" 13:.+((SYSTEM_STATE.+slice.+state.+changed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115-07 --locoid 4064 --swversion DE.1.0.9.0 --startMP 204:520 --initTime 2017-11-07T05:24:25 --startdatetime 2017-11-07T05:30:16 --delay 54 --endMP 204:233302 --enddatetime 2017-11-07T06:07:23 --enforcementcount 0 &gt;&gt;%USERPROFILE%\Documents\GitHub\eaglep3-reporting\EC\2017-11-07-refined-times.txt</v>
      </c>
      <c r="AI27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{"issue":{"subject":"","project_id":79,"tracker_id":40,"status_id":1,"priority_id":2,"assigned_to_id":338,"start_date":"2017-11-07","description":"","custom_fields":[{"id":1,"name":"Subdivision","value":"EC"},{"id":4,"name":"Milepost","value":"23.3302"},{"id":17,"name":"Train ID","value":"115-07"},{"id":16,"name":"Locomotive ID","value":"4064"},{"id":130,"name":"Impact","value":""},{"id":150,"name":"Time of Event (Mountain Time)","value":"06:07:23"},{"id":151,"name":"Denver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4064 --day 2017-11-07</v>
      </c>
      <c r="AN27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-11-07T04:24:25-0700',mode:absolute,to:'2017-11-07T07:07:23-0700'))&amp;_a=(columns:!('Message%20ID',Summary),filters:!(),index:'emp_*',interval:auto,query:(query_string:(analyze_wildcard:!t,query:'%22rtdc.l.rtdc.4064%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713</v>
      </c>
      <c r="B28" s="7">
        <v>4063</v>
      </c>
      <c r="C28" s="21" t="s">
        <v>192</v>
      </c>
      <c r="D28" s="21" t="s">
        <v>498</v>
      </c>
      <c r="E28" s="13">
        <v>43046.261736111112</v>
      </c>
      <c r="F28" s="13">
        <v>43046.268946759257</v>
      </c>
      <c r="G28" s="7">
        <v>51</v>
      </c>
      <c r="H28" s="21" t="s">
        <v>550</v>
      </c>
      <c r="I28" s="13">
        <v>43046.295381944445</v>
      </c>
      <c r="J28" s="7">
        <v>0</v>
      </c>
      <c r="K28" s="89" t="str">
        <f>IF(ISEVEN(B28),(B28-1)&amp;"/"&amp;B28,B28&amp;"/"&amp;(B28+1))</f>
        <v>4063/4064</v>
      </c>
      <c r="L28" s="185" t="str">
        <f>VLOOKUP(A28,'Trips&amp;Operators'!$C$1:$G$99911,5,FALSE)</f>
        <v>BONDS REYNALDO</v>
      </c>
      <c r="M28" s="6">
        <f>I28-F28</f>
        <v>2.6435185187438037E-2</v>
      </c>
      <c r="N28" s="7">
        <f>24*60*SUM($M28:$M28)</f>
        <v>38.066666669910774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-07T05:16:54-0700',mode:absolute,to:'2017-11-07T08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23.296399999999998</v>
      </c>
      <c r="Z28" s="204">
        <f>RIGHT(H28,LEN(H28)-4)/10000</f>
        <v>2.18E-2</v>
      </c>
      <c r="AA28" s="204">
        <f>ABS(Z28-Y28)</f>
        <v>23.2746</v>
      </c>
      <c r="AB28" s="54" t="e">
        <f>VLOOKUP(A28,Enforcements!$C$7:$K$10,8,0)</f>
        <v>#N/A</v>
      </c>
      <c r="AC28" s="51" t="e">
        <f>VLOOKUP(A28,Enforcements!$C$7:$E$10,3,0)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/stypes="app*4063*20171107*" /stext=" 14:.+((SYSTEM_STATE.+slice.+state.+changed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116-07 --locoid 4063 --swversion DE.1.0.9.0 --startMP 204:232964 --initTime 2017-11-07T06:16:54 --startdatetime 2017-11-07T06:27:17 --delay 51 --endMP 204:218 --enddatetime 2017-11-07T07:05:21 --enforcementcount 0 &gt;&gt;%USERPROFILE%\Documents\GitHub\eaglep3-reporting\EC\2017-11-07-refined-times.txt</v>
      </c>
      <c r="AI28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{"issue":{"subject":"","project_id":79,"tracker_id":40,"status_id":1,"priority_id":2,"assigned_to_id":338,"start_date":"2017-11-07","description":"","custom_fields":[{"id":1,"name":"Subdivision","value":"EC"},{"id":4,"name":"Milepost","value":"0.0218"},{"id":17,"name":"Train ID","value":"116-07"},{"id":16,"name":"Locomotive ID","value":"4063"},{"id":130,"name":"Impact","value":""},{"id":150,"name":"Time of Event (Mountain Time)","value":"07:05:21"},{"id":151,"name":"Denver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4063 --day 2017-11-07</v>
      </c>
      <c r="AN28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-11-07T05:16:54-0700',mode:absolute,to:'2017-11-07T08:05:21-0700'))&amp;_a=(columns:!('Message%20ID',Summary),filters:!(),index:'emp_*',interval:auto,query:(query_string:(analyze_wildcard:!t,query:'%22rtdc.l.rtdc.4063%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707</v>
      </c>
      <c r="B29" s="7">
        <v>4040</v>
      </c>
      <c r="C29" s="21" t="s">
        <v>192</v>
      </c>
      <c r="D29" s="21" t="s">
        <v>561</v>
      </c>
      <c r="E29" s="13">
        <v>43046.238206018519</v>
      </c>
      <c r="F29" s="13">
        <v>43046.239942129629</v>
      </c>
      <c r="G29" s="7">
        <v>90</v>
      </c>
      <c r="H29" s="21" t="s">
        <v>514</v>
      </c>
      <c r="I29" s="13">
        <v>43046.264421296299</v>
      </c>
      <c r="J29" s="7">
        <v>0</v>
      </c>
      <c r="K29" s="89" t="str">
        <f>IF(ISEVEN(B29),(B29-1)&amp;"/"&amp;B29,B29&amp;"/"&amp;(B29+1))</f>
        <v>4039/4040</v>
      </c>
      <c r="L29" s="185" t="str">
        <f>VLOOKUP(A29,'Trips&amp;Operators'!$C$1:$G$99911,5,FALSE)</f>
        <v>MACDONALD THOMAS</v>
      </c>
      <c r="M29" s="6">
        <f>I29-F29</f>
        <v>2.4479166670062114E-2</v>
      </c>
      <c r="N29" s="7">
        <f>24*60*SUM($M29:$M29)</f>
        <v>35.250000004889444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-07T04:43:01-0700',mode:absolute,to:'2017-11-07T07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5.6000000000000001E-2</v>
      </c>
      <c r="Z29" s="204">
        <f>RIGHT(H29,LEN(H29)-4)/10000</f>
        <v>23.323</v>
      </c>
      <c r="AA29" s="204">
        <f>ABS(Z29-Y29)</f>
        <v>23.266999999999999</v>
      </c>
      <c r="AB29" s="54" t="e">
        <f>VLOOKUP(A29,Enforcements!$C$7:$K$10,8,0)</f>
        <v>#N/A</v>
      </c>
      <c r="AC29" s="51" t="e">
        <f>VLOOKUP(A29,Enforcements!$C$7:$E$10,3,0)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s3://rtdc.mdm.uploadarchive.raw/RTDC4040/ "%USERPROFILE%\AppData\Local\Temp\OnboardLogs"\RTDC4040\2017-11-07 --exclude "*" --recursive --include "*20171107*" &amp; "%USERPROFILE%\Documents\GitHub\mrs-test-scripts\Headless Mode &amp; Sideloading\WalkAndUnGZ.bat" "%USERPROFILE%\AppData\Local\Temp\OnboardLogs"\RTDC4040\2017-11-07 &amp; aws s3 cp s3://rtdc.mdm.uploadarchive.raw/RTDC4040/ "%USERPROFILE%\AppData\Local\Temp\OnboardLogs"\RTDC4040\2017-11-08 --exclude "*" --recursive --include "*20171108*" &amp; "%USERPROFILE%\Documents\GitHub\mrs-test-scripts\Headless Mode &amp; Sideloading\WalkAndUnGZ.bat" "%USERPROFILE%\AppData\Local\Temp\OnboardLogs"\RTDC4040\2017-11-08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/stypes="app*4040*20171107*" /stext=" 13:.+((SYSTEM_STATE.+slice.+state.+changed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117-07 --locoid 4040 --swversion DE.1.0.9.0 --startMP 204:560 --initTime 2017-11-07T05:43:01 --startdatetime 2017-11-07T05:45:31 --delay 90 --endMP 204:233230 --enddatetime 2017-11-07T06:20:46 --enforcementcount 0 &gt;&gt;%USERPROFILE%\Documents\GitHub\eaglep3-reporting\EC\2017-11-07-refined-times.txt</v>
      </c>
      <c r="AI29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{"issue":{"subject":"","project_id":79,"tracker_id":40,"status_id":1,"priority_id":2,"assigned_to_id":338,"start_date":"2017-11-07","description":"","custom_fields":[{"id":1,"name":"Subdivision","value":"EC"},{"id":4,"name":"Milepost","value":"23.323"},{"id":17,"name":"Train ID","value":"117-07"},{"id":16,"name":"Locomotive ID","value":"4040"},{"id":130,"name":"Impact","value":""},{"id":150,"name":"Time of Event (Mountain Time)","value":"06:20:46"},{"id":151,"name":"Denver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4040 --day 2017-11-07</v>
      </c>
      <c r="AN29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-11-07T04:43:01-0700',mode:absolute,to:'2017-11-07T07:20:46-0700'))&amp;_a=(columns:!('Message%20ID',Summary),filters:!(),index:'emp_*',interval:auto,query:(query_string:(analyze_wildcard:!t,query:'%22rtdc.l.rtdc.4040%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714</v>
      </c>
      <c r="B30" s="7">
        <v>4039</v>
      </c>
      <c r="C30" s="21" t="s">
        <v>192</v>
      </c>
      <c r="D30" s="21" t="s">
        <v>899</v>
      </c>
      <c r="E30" s="13">
        <v>43046.265879629631</v>
      </c>
      <c r="F30" s="13">
        <v>43046.280335648145</v>
      </c>
      <c r="G30" s="7">
        <v>179</v>
      </c>
      <c r="H30" s="21" t="s">
        <v>373</v>
      </c>
      <c r="I30" s="13">
        <v>43046.308125000003</v>
      </c>
      <c r="J30" s="7">
        <v>0</v>
      </c>
      <c r="K30" s="89" t="str">
        <f>IF(ISEVEN(B30),(B30-1)&amp;"/"&amp;B30,B30&amp;"/"&amp;(B30+1))</f>
        <v>4039/4040</v>
      </c>
      <c r="L30" s="185" t="str">
        <f>VLOOKUP(A30,'Trips&amp;Operators'!$C$1:$G$99911,5,FALSE)</f>
        <v>MACDONALD THOMAS</v>
      </c>
      <c r="M30" s="6">
        <f>I30-F30</f>
        <v>2.7789351857791189E-2</v>
      </c>
      <c r="N30" s="7">
        <f>24*60*SUM($M30:$M30)</f>
        <v>40.016666675219312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-07T05:22:52-0700',mode:absolute,to:'2017-11-07T08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23.292300000000001</v>
      </c>
      <c r="Z30" s="204">
        <f>RIGHT(H30,LEN(H30)-4)/10000</f>
        <v>1.61E-2</v>
      </c>
      <c r="AA30" s="204">
        <f>ABS(Z30-Y30)</f>
        <v>23.276199999999999</v>
      </c>
      <c r="AB30" s="54" t="e">
        <f>VLOOKUP(A30,Enforcements!$C$7:$K$10,8,0)</f>
        <v>#N/A</v>
      </c>
      <c r="AC30" s="51" t="e">
        <f>VLOOKUP(A30,Enforcements!$C$7:$E$10,3,0)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s3://rtdc.mdm.uploadarchive.raw/RTDC4039/ "%USERPROFILE%\AppData\Local\Temp\OnboardLogs"\RTDC4039\2017-11-07 --exclude "*" --recursive --include "*20171107*" &amp; "%USERPROFILE%\Documents\GitHub\mrs-test-scripts\Headless Mode &amp; Sideloading\WalkAndUnGZ.bat" "%USERPROFILE%\AppData\Local\Temp\OnboardLogs"\RTDC4039\2017-11-07 &amp; aws s3 cp s3://rtdc.mdm.uploadarchive.raw/RTDC4039/ "%USERPROFILE%\AppData\Local\Temp\OnboardLogs"\RTDC4039\2017-11-08 --exclude "*" --recursive --include "*20171108*" &amp; "%USERPROFILE%\Documents\GitHub\mrs-test-scripts\Headless Mode &amp; Sideloading\WalkAndUnGZ.bat" "%USERPROFILE%\AppData\Local\Temp\OnboardLogs"\RTDC4039\2017-11-08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/stypes="app*4039*20171107*" /stext=" 14:.+((SYSTEM_STATE.+slice.+state.+changed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118-07 --locoid 4039 --swversion DE.1.0.9.0 --startMP 204:232923 --initTime 2017-11-07T06:22:52 --startdatetime 2017-11-07T06:43:41 --delay 179 --endMP 204:161 --enddatetime 2017-11-07T07:23:42 --enforcementcount 0 &gt;&gt;%USERPROFILE%\Documents\GitHub\eaglep3-reporting\EC\2017-11-07-refined-times.txt</v>
      </c>
      <c r="AI30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{"issue":{"subject":"","project_id":79,"tracker_id":40,"status_id":1,"priority_id":2,"assigned_to_id":338,"start_date":"2017-11-07","description":"","custom_fields":[{"id":1,"name":"Subdivision","value":"EC"},{"id":4,"name":"Milepost","value":"0.0161"},{"id":17,"name":"Train ID","value":"118-07"},{"id":16,"name":"Locomotive ID","value":"4039"},{"id":130,"name":"Impact","value":""},{"id":150,"name":"Time of Event (Mountain Time)","value":"07:23:42"},{"id":151,"name":"Denver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4039 --day 2017-11-07</v>
      </c>
      <c r="AN30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-11-07T05:22:52-0700',mode:absolute,to:'2017-11-07T08:23:42-0700'))&amp;_a=(columns:!('Message%20ID',Summary),filters:!(),index:'emp_*',interval:auto,query:(query_string:(analyze_wildcard:!t,query:'%22rtdc.l.rtdc.4039%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709</v>
      </c>
      <c r="B31" s="7">
        <v>4008</v>
      </c>
      <c r="C31" s="21" t="s">
        <v>192</v>
      </c>
      <c r="D31" s="21" t="s">
        <v>588</v>
      </c>
      <c r="E31" s="13">
        <v>43046.245949074073</v>
      </c>
      <c r="F31" s="13">
        <v>43046.250231481485</v>
      </c>
      <c r="G31" s="7">
        <v>65</v>
      </c>
      <c r="H31" s="21" t="s">
        <v>900</v>
      </c>
      <c r="I31" s="13">
        <v>43046.276006944441</v>
      </c>
      <c r="J31" s="7">
        <v>0</v>
      </c>
      <c r="K31" s="89" t="str">
        <f>IF(ISEVEN(B31),(B31-1)&amp;"/"&amp;B31,B31&amp;"/"&amp;(B31+1))</f>
        <v>4007/4008</v>
      </c>
      <c r="L31" s="185" t="str">
        <f>VLOOKUP(A31,'Trips&amp;Operators'!$C$1:$G$99911,5,FALSE)</f>
        <v>LANGERAK WILLIAM</v>
      </c>
      <c r="M31" s="6">
        <f>I31-F31</f>
        <v>2.5775462956517003E-2</v>
      </c>
      <c r="N31" s="7">
        <f>24*60*SUM($M31:$M31)</f>
        <v>37.116666657384485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-07T04:54:10-0700',mode:absolute,to:'2017-11-07T07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4.7500000000000001E-2</v>
      </c>
      <c r="Z31" s="204">
        <f>RIGHT(H31,LEN(H31)-4)/10000</f>
        <v>23.325900000000001</v>
      </c>
      <c r="AA31" s="204">
        <f>ABS(Z31-Y31)</f>
        <v>23.278400000000001</v>
      </c>
      <c r="AB31" s="54" t="e">
        <f>VLOOKUP(A31,Enforcements!$C$7:$K$10,8,0)</f>
        <v>#N/A</v>
      </c>
      <c r="AC31" s="51" t="e">
        <f>VLOOKUP(A31,Enforcements!$C$7:$E$10,3,0)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/stypes="app*4008*20171107*" /stext=" 13:.+((SYSTEM_STATE.+slice.+state.+changed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119-07 --locoid 4008 --swversion DE.1.0.9.0 --startMP 204:475 --initTime 2017-11-07T05:54:10 --startdatetime 2017-11-07T06:00:20 --delay 65 --endMP 204:233259 --enddatetime 2017-11-07T06:37:27 --enforcementcount 0 &gt;&gt;%USERPROFILE%\Documents\GitHub\eaglep3-reporting\EC\2017-11-07-refined-times.txt</v>
      </c>
      <c r="AI31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{"issue":{"subject":"","project_id":79,"tracker_id":40,"status_id":1,"priority_id":2,"assigned_to_id":338,"start_date":"2017-11-07","description":"","custom_fields":[{"id":1,"name":"Subdivision","value":"EC"},{"id":4,"name":"Milepost","value":"23.3259"},{"id":17,"name":"Train ID","value":"119-07"},{"id":16,"name":"Locomotive ID","value":"4008"},{"id":130,"name":"Impact","value":""},{"id":150,"name":"Time of Event (Mountain Time)","value":"06:37:27"},{"id":151,"name":"Denver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4008 --day 2017-11-07</v>
      </c>
      <c r="AN31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-11-07T04:54:10-0700',mode:absolute,to:'2017-11-07T07:37:27-0700'))&amp;_a=(columns:!('Message%20ID',Summary),filters:!(),index:'emp_*',interval:auto,query:(query_string:(analyze_wildcard:!t,query:'%22rtdc.l.rtdc.4008%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718</v>
      </c>
      <c r="B32" s="7">
        <v>4007</v>
      </c>
      <c r="C32" s="21" t="s">
        <v>192</v>
      </c>
      <c r="D32" s="21" t="s">
        <v>554</v>
      </c>
      <c r="E32" s="13">
        <v>43046.277372685188</v>
      </c>
      <c r="F32" s="13">
        <v>43046.289780092593</v>
      </c>
      <c r="G32" s="7">
        <v>58</v>
      </c>
      <c r="H32" s="21" t="s">
        <v>589</v>
      </c>
      <c r="I32" s="13">
        <v>43046.31759259259</v>
      </c>
      <c r="J32" s="7">
        <v>0</v>
      </c>
      <c r="K32" s="89" t="str">
        <f>IF(ISEVEN(B32),(B32-1)&amp;"/"&amp;B32,B32&amp;"/"&amp;(B32+1))</f>
        <v>4007/4008</v>
      </c>
      <c r="L32" s="185" t="str">
        <f>VLOOKUP(A32,'Trips&amp;Operators'!$C$1:$G$99911,5,FALSE)</f>
        <v>LANGERAK WILLIAM</v>
      </c>
      <c r="M32" s="6">
        <f>I32-F32</f>
        <v>2.7812499996798579E-2</v>
      </c>
      <c r="N32" s="7">
        <f>24*60*SUM($M32:$M32)</f>
        <v>40.049999995389953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-07T05:39:25-0700',mode:absolute,to:'2017-11-07T08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23.294499999999999</v>
      </c>
      <c r="Z32" s="204">
        <f>RIGHT(H32,LEN(H32)-4)/10000</f>
        <v>1.5599999999999999E-2</v>
      </c>
      <c r="AA32" s="204">
        <f>ABS(Z32-Y32)</f>
        <v>23.2789</v>
      </c>
      <c r="AB32" s="54" t="e">
        <f>VLOOKUP(A32,Enforcements!$C$7:$K$10,8,0)</f>
        <v>#N/A</v>
      </c>
      <c r="AC32" s="51" t="e">
        <f>VLOOKUP(A32,Enforcements!$C$7:$E$10,3,0)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/stypes="app*4007*20171107*" /stext=" 14:.+((SYSTEM_STATE.+slice.+state.+changed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120-07 --locoid 4007 --swversion DE.1.0.9.0 --startMP 204:232945 --initTime 2017-11-07T06:39:25 --startdatetime 2017-11-07T06:57:17 --delay 58 --endMP 204:156 --enddatetime 2017-11-07T07:37:20 --enforcementcount 0 &gt;&gt;%USERPROFILE%\Documents\GitHub\eaglep3-reporting\EC\2017-11-07-refined-times.txt</v>
      </c>
      <c r="AI32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{"issue":{"subject":"","project_id":79,"tracker_id":40,"status_id":1,"priority_id":2,"assigned_to_id":338,"start_date":"2017-11-07","description":"","custom_fields":[{"id":1,"name":"Subdivision","value":"EC"},{"id":4,"name":"Milepost","value":"0.0156"},{"id":17,"name":"Train ID","value":"120-07"},{"id":16,"name":"Locomotive ID","value":"4007"},{"id":130,"name":"Impact","value":""},{"id":150,"name":"Time of Event (Mountain Time)","value":"07:37:20"},{"id":151,"name":"Denver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4007 --day 2017-11-07</v>
      </c>
      <c r="AN32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-11-07T05:39:25-0700',mode:absolute,to:'2017-11-07T08:37:20-0700'))&amp;_a=(columns:!('Message%20ID',Summary),filters:!(),index:'emp_*',interval:auto,query:(query_string:(analyze_wildcard:!t,query:'%22rtdc.l.rtdc.4007%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712</v>
      </c>
      <c r="B33" s="7">
        <v>4066</v>
      </c>
      <c r="C33" s="21" t="s">
        <v>192</v>
      </c>
      <c r="D33" s="21" t="s">
        <v>499</v>
      </c>
      <c r="E33" s="13">
        <v>43046.256863425922</v>
      </c>
      <c r="F33" s="13">
        <v>43046.260578703703</v>
      </c>
      <c r="G33" s="7">
        <v>58</v>
      </c>
      <c r="H33" s="21" t="s">
        <v>901</v>
      </c>
      <c r="I33" s="13">
        <v>43046.285601851851</v>
      </c>
      <c r="J33" s="7">
        <v>0</v>
      </c>
      <c r="K33" s="89" t="str">
        <f>IF(ISEVEN(B33),(B33-1)&amp;"/"&amp;B33,B33&amp;"/"&amp;(B33+1))</f>
        <v>4065/4066</v>
      </c>
      <c r="L33" s="185" t="str">
        <f>VLOOKUP(A33,'Trips&amp;Operators'!$C$1:$G$99911,5,FALSE)</f>
        <v>BARRON PERLA</v>
      </c>
      <c r="M33" s="6">
        <f>I33-F33</f>
        <v>2.5023148147738539E-2</v>
      </c>
      <c r="N33" s="7">
        <f>24*60*SUM($M33:$M33)</f>
        <v>36.033333332743496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-07T05:09:53-0700',mode:absolute,to:'2017-11-07T07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5.0799999999999998E-2</v>
      </c>
      <c r="Z33" s="204">
        <f>RIGHT(H33,LEN(H33)-4)/10000</f>
        <v>23.330500000000001</v>
      </c>
      <c r="AA33" s="204">
        <f>ABS(Z33-Y33)</f>
        <v>23.279700000000002</v>
      </c>
      <c r="AB33" s="54" t="e">
        <f>VLOOKUP(A33,Enforcements!$C$7:$K$10,8,0)</f>
        <v>#N/A</v>
      </c>
      <c r="AC33" s="51" t="e">
        <f>VLOOKUP(A33,Enforcements!$C$7:$E$10,3,0)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 &amp; aws s3 cp s3://rtdc.mdm.uploadarchive.raw/RTDC4066/ "%USERPROFILE%\AppData\Local\Temp\OnboardLogs"\RTDC4066\2017-11-08 --exclude "*" --recursive --include "*20171108*" &amp; "%USERPROFILE%\Documents\GitHub\mrs-test-scripts\Headless Mode &amp; Sideloading\WalkAndUnGZ.bat" "%USERPROFILE%\AppData\Local\Temp\OnboardLogs"\RTDC4066\2017-11-08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/stypes="app*4066*20171107*" /stext=" 13:.+((SYSTEM_STATE.+slice.+state.+changed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121-07 --locoid 4066 --swversion DE.1.0.9.0 --startMP 204:508 --initTime 2017-11-07T06:09:53 --startdatetime 2017-11-07T06:15:14 --delay 58 --endMP 204:233305 --enddatetime 2017-11-07T06:51:16 --enforcementcount 0 &gt;&gt;%USERPROFILE%\Documents\GitHub\eaglep3-reporting\EC\2017-11-07-refined-times.txt</v>
      </c>
      <c r="AI33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{"issue":{"subject":"","project_id":79,"tracker_id":40,"status_id":1,"priority_id":2,"assigned_to_id":338,"start_date":"2017-11-07","description":"","custom_fields":[{"id":1,"name":"Subdivision","value":"EC"},{"id":4,"name":"Milepost","value":"23.3305"},{"id":17,"name":"Train ID","value":"121-07"},{"id":16,"name":"Locomotive ID","value":"4066"},{"id":130,"name":"Impact","value":""},{"id":150,"name":"Time of Event (Mountain Time)","value":"06:51:16"},{"id":151,"name":"Denver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4066 --day 2017-11-07</v>
      </c>
      <c r="AN33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-11-07T05:09:53-0700',mode:absolute,to:'2017-11-07T07:51:16-0700'))&amp;_a=(columns:!('Message%20ID',Summary),filters:!(),index:'emp_*',interval:auto,query:(query_string:(analyze_wildcard:!t,query:'%22rtdc.l.rtdc.4066%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720</v>
      </c>
      <c r="B34" s="7">
        <v>4065</v>
      </c>
      <c r="C34" s="21" t="s">
        <v>192</v>
      </c>
      <c r="D34" s="21" t="s">
        <v>902</v>
      </c>
      <c r="E34" s="13">
        <v>43046.287060185183</v>
      </c>
      <c r="F34" s="13">
        <v>43046.300162037034</v>
      </c>
      <c r="G34" s="7">
        <v>115</v>
      </c>
      <c r="H34" s="21" t="s">
        <v>542</v>
      </c>
      <c r="I34" s="13">
        <v>43046.327499999999</v>
      </c>
      <c r="J34" s="7">
        <v>0</v>
      </c>
      <c r="K34" s="89" t="str">
        <f>IF(ISEVEN(B34),(B34-1)&amp;"/"&amp;B34,B34&amp;"/"&amp;(B34+1))</f>
        <v>4065/4066</v>
      </c>
      <c r="L34" s="185" t="str">
        <f>VLOOKUP(A34,'Trips&amp;Operators'!$C$1:$G$99911,5,FALSE)</f>
        <v>BARRON PERLA</v>
      </c>
      <c r="M34" s="6">
        <f>I34-F34</f>
        <v>2.7337962965248153E-2</v>
      </c>
      <c r="N34" s="7">
        <f>24*60*SUM($M34:$M34)</f>
        <v>39.36666666995734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-07T05:53:22-0700',mode:absolute,to:'2017-11-07T08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23.3</v>
      </c>
      <c r="Z34" s="204">
        <f>RIGHT(H34,LEN(H34)-4)/10000</f>
        <v>1.9400000000000001E-2</v>
      </c>
      <c r="AA34" s="204">
        <f>ABS(Z34-Y34)</f>
        <v>23.2806</v>
      </c>
      <c r="AB34" s="54" t="e">
        <f>VLOOKUP(A34,Enforcements!$C$7:$K$10,8,0)</f>
        <v>#N/A</v>
      </c>
      <c r="AC34" s="51" t="e">
        <f>VLOOKUP(A34,Enforcements!$C$7:$E$10,3,0)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 &amp; aws s3 cp s3://rtdc.mdm.uploadarchive.raw/RTDC4065/ "%USERPROFILE%\AppData\Local\Temp\OnboardLogs"\RTDC4065\2017-11-08 --exclude "*" --recursive --include "*20171108*" &amp; "%USERPROFILE%\Documents\GitHub\mrs-test-scripts\Headless Mode &amp; Sideloading\WalkAndUnGZ.bat" "%USERPROFILE%\AppData\Local\Temp\OnboardLogs"\RTDC4065\2017-11-08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/stypes="app*4065*20171107*" /stext=" 14:.+((SYSTEM_STATE.+slice.+state.+changed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122-07 --locoid 4065 --swversion DE.1.0.9.0 --startMP 204:233000 --initTime 2017-11-07T06:53:22 --startdatetime 2017-11-07T07:12:14 --delay 115 --endMP 204:194 --enddatetime 2017-11-07T07:51:36 --enforcementcount 0 &gt;&gt;%USERPROFILE%\Documents\GitHub\eaglep3-reporting\EC\2017-11-07-refined-times.txt</v>
      </c>
      <c r="AI34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{"issue":{"subject":"","project_id":79,"tracker_id":40,"status_id":1,"priority_id":2,"assigned_to_id":338,"start_date":"2017-11-07","description":"","custom_fields":[{"id":1,"name":"Subdivision","value":"EC"},{"id":4,"name":"Milepost","value":"0.0194"},{"id":17,"name":"Train ID","value":"122-07"},{"id":16,"name":"Locomotive ID","value":"4065"},{"id":130,"name":"Impact","value":""},{"id":150,"name":"Time of Event (Mountain Time)","value":"07:51:36"},{"id":151,"name":"Denver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4065 --day 2017-11-07</v>
      </c>
      <c r="AN34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-11-07T05:53:22-0700',mode:absolute,to:'2017-11-07T08:51:36-0700'))&amp;_a=(columns:!('Message%20ID',Summary),filters:!(),index:'emp_*',interval:auto,query:(query_string:(analyze_wildcard:!t,query:'%22rtdc.l.rtdc.4065%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644</v>
      </c>
      <c r="B35" s="7">
        <v>4026</v>
      </c>
      <c r="C35" s="21" t="s">
        <v>192</v>
      </c>
      <c r="D35" s="21" t="s">
        <v>508</v>
      </c>
      <c r="E35" s="13">
        <v>43046.266226851854</v>
      </c>
      <c r="F35" s="13">
        <v>43046.271041666667</v>
      </c>
      <c r="G35" s="7">
        <v>61</v>
      </c>
      <c r="H35" s="21" t="s">
        <v>903</v>
      </c>
      <c r="I35" s="13">
        <v>43046.295925925922</v>
      </c>
      <c r="J35" s="7">
        <v>0</v>
      </c>
      <c r="K35" s="89" t="str">
        <f>IF(ISEVEN(B35),(B35-1)&amp;"/"&amp;B35,B35&amp;"/"&amp;(B35+1))</f>
        <v>4025/4026</v>
      </c>
      <c r="L35" s="185" t="str">
        <f>VLOOKUP(A35,'Trips&amp;Operators'!$C$1:$G$99911,5,FALSE)</f>
        <v>LAMAR NEKESHA</v>
      </c>
      <c r="M35" s="6">
        <f>I35-F35</f>
        <v>2.488425925548654E-2</v>
      </c>
      <c r="N35" s="7">
        <f>24*60*SUM($M35:$M35)</f>
        <v>35.833333327900618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-07T05:23:22-0700',mode:absolute,to:'2017-11-07T08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4.8399999999999999E-2</v>
      </c>
      <c r="Z35" s="204">
        <f>RIGHT(H35,LEN(H35)-4)/10000</f>
        <v>23.3325</v>
      </c>
      <c r="AA35" s="204">
        <f>ABS(Z35-Y35)</f>
        <v>23.284099999999999</v>
      </c>
      <c r="AB35" s="54" t="str">
        <f>VLOOKUP(A35,Enforcements!$C$7:$K$10,8,0)</f>
        <v>Bulletin (2)</v>
      </c>
      <c r="AC35" s="51" t="str">
        <f>VLOOKUP(A35,Enforcements!$C$7:$E$10,3,0)</f>
        <v>GRADE CROSSING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s3://rtdc.mdm.uploadarchive.raw/RTDC4026/ "%USERPROFILE%\AppData\Local\Temp\OnboardLogs"\RTDC4026\2017-11-07 --exclude "*" --recursive --include "*20171107*" &amp; "%USERPROFILE%\Documents\GitHub\mrs-test-scripts\Headless Mode &amp; Sideloading\WalkAndUnGZ.bat" "%USERPROFILE%\AppData\Local\Temp\OnboardLogs"\RTDC4026\2017-11-07 &amp; aws s3 cp s3://rtdc.mdm.uploadarchive.raw/RTDC4026/ "%USERPROFILE%\AppData\Local\Temp\OnboardLogs"\RTDC4026\2017-11-08 --exclude "*" --recursive --include "*20171108*" &amp; "%USERPROFILE%\Documents\GitHub\mrs-test-scripts\Headless Mode &amp; Sideloading\WalkAndUnGZ.bat" "%USERPROFILE%\AppData\Local\Temp\OnboardLogs"\RTDC4026\2017-11-08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/stypes="app*4026*20171107*" /stext=" 14:.+((SYSTEM_STATE.+slice.+state.+changed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123-07 --locoid 4026 --swversion DE.1.0.9.0 --startMP 204:484 --initTime 2017-11-07T06:23:22 --startdatetime 2017-11-07T06:30:18 --delay 61 --endMP 204:233325 --enddatetime 2017-11-07T07:06:08 --enforcementcount 0 &gt;&gt;%USERPROFILE%\Documents\GitHub\eaglep3-reporting\EC\2017-11-07-refined-times.txt</v>
      </c>
      <c r="AI35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{"issue":{"subject":"","project_id":79,"tracker_id":40,"status_id":1,"priority_id":2,"assigned_to_id":338,"start_date":"2017-11-07","description":"","custom_fields":[{"id":1,"name":"Subdivision","value":"EC"},{"id":4,"name":"Milepost","value":"23.3325"},{"id":17,"name":"Train ID","value":"123-07"},{"id":16,"name":"Locomotive ID","value":"4026"},{"id":130,"name":"Impact","value":""},{"id":150,"name":"Time of Event (Mountain Time)","value":"07:06:08"},{"id":151,"name":"Denver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4026 --day 2017-11-07</v>
      </c>
      <c r="AN35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-11-07T05:23:22-0700',mode:absolute,to:'2017-11-07T08:06:08-0700'))&amp;_a=(columns:!('Message%20ID',Summary),filters:!(),index:'emp_*',interval:auto,query:(query_string:(analyze_wildcard:!t,query:'%22rtdc.l.rtdc.4026%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725</v>
      </c>
      <c r="B36" s="7">
        <v>4025</v>
      </c>
      <c r="C36" s="21" t="s">
        <v>192</v>
      </c>
      <c r="D36" s="21" t="s">
        <v>904</v>
      </c>
      <c r="E36" s="13">
        <v>43046.307858796295</v>
      </c>
      <c r="F36" s="13">
        <v>43046.310763888891</v>
      </c>
      <c r="G36" s="7">
        <v>60</v>
      </c>
      <c r="H36" s="21" t="s">
        <v>596</v>
      </c>
      <c r="I36" s="13">
        <v>43046.336678240739</v>
      </c>
      <c r="J36" s="7">
        <v>0</v>
      </c>
      <c r="K36" s="89" t="str">
        <f>IF(ISEVEN(B36),(B36-1)&amp;"/"&amp;B36,B36&amp;"/"&amp;(B36+1))</f>
        <v>4025/4026</v>
      </c>
      <c r="L36" s="185" t="str">
        <f>VLOOKUP(A36,'Trips&amp;Operators'!$C$1:$G$99911,5,FALSE)</f>
        <v>LAMAR NEKESHA</v>
      </c>
      <c r="M36" s="6">
        <f>I36-F36</f>
        <v>2.5914351848769002E-2</v>
      </c>
      <c r="N36" s="7">
        <f>24*60*SUM($M36:$M36)</f>
        <v>37.316666662227362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-07T06:23:19-0700',mode:absolute,to:'2017-11-07T09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23.3002</v>
      </c>
      <c r="Z36" s="204">
        <f>RIGHT(H36,LEN(H36)-4)/10000</f>
        <v>1.8100000000000002E-2</v>
      </c>
      <c r="AA36" s="204">
        <f>ABS(Z36-Y36)</f>
        <v>23.2821</v>
      </c>
      <c r="AB36" s="54" t="e">
        <f>VLOOKUP(A36,Enforcements!$C$7:$K$10,8,0)</f>
        <v>#N/A</v>
      </c>
      <c r="AC36" s="51" t="e">
        <f>VLOOKUP(A36,Enforcements!$C$7:$E$10,3,0)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s3://rtdc.mdm.uploadarchive.raw/RTDC4025/ "%USERPROFILE%\AppData\Local\Temp\OnboardLogs"\RTDC4025\2017-11-07 --exclude "*" --recursive --include "*20171107*" &amp; "%USERPROFILE%\Documents\GitHub\mrs-test-scripts\Headless Mode &amp; Sideloading\WalkAndUnGZ.bat" "%USERPROFILE%\AppData\Local\Temp\OnboardLogs"\RTDC4025\2017-11-07 &amp; aws s3 cp s3://rtdc.mdm.uploadarchive.raw/RTDC4025/ "%USERPROFILE%\AppData\Local\Temp\OnboardLogs"\RTDC4025\2017-11-08 --exclude "*" --recursive --include "*20171108*" &amp; "%USERPROFILE%\Documents\GitHub\mrs-test-scripts\Headless Mode &amp; Sideloading\WalkAndUnGZ.bat" "%USERPROFILE%\AppData\Local\Temp\OnboardLogs"\RTDC4025\2017-11-08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/stypes="app*4025*20171107*" /stext=" 15:.+((SYSTEM_STATE.+slice.+state.+changed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124-07 --locoid 4025 --swversion DE.1.0.9.0 --startMP 204:233002 --initTime 2017-11-07T07:23:19 --startdatetime 2017-11-07T07:27:30 --delay 60 --endMP 204:181 --enddatetime 2017-11-07T08:04:49 --enforcementcount 0 &gt;&gt;%USERPROFILE%\Documents\GitHub\eaglep3-reporting\EC\2017-11-07-refined-times.txt</v>
      </c>
      <c r="AI36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{"issue":{"subject":"","project_id":79,"tracker_id":40,"status_id":1,"priority_id":2,"assigned_to_id":338,"start_date":"2017-11-07","description":"","custom_fields":[{"id":1,"name":"Subdivision","value":"EC"},{"id":4,"name":"Milepost","value":"0.0181"},{"id":17,"name":"Train ID","value":"124-07"},{"id":16,"name":"Locomotive ID","value":"4025"},{"id":130,"name":"Impact","value":""},{"id":150,"name":"Time of Event (Mountain Time)","value":"08:04:49"},{"id":151,"name":"Denver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4025 --day 2017-11-07</v>
      </c>
      <c r="AN36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-11-07T06:23:19-0700',mode:absolute,to:'2017-11-07T09:04:49-0700'))&amp;_a=(columns:!('Message%20ID',Summary),filters:!(),index:'emp_*',interval:auto,query:(query_string:(analyze_wildcard:!t,query:'%22rtdc.l.rtdc.4025%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717</v>
      </c>
      <c r="B37" s="7">
        <v>4042</v>
      </c>
      <c r="C37" s="21" t="s">
        <v>192</v>
      </c>
      <c r="D37" s="21" t="s">
        <v>387</v>
      </c>
      <c r="E37" s="13">
        <v>43046.276238425926</v>
      </c>
      <c r="F37" s="13">
        <v>43046.281458333331</v>
      </c>
      <c r="G37" s="7">
        <v>50</v>
      </c>
      <c r="H37" s="21" t="s">
        <v>537</v>
      </c>
      <c r="I37" s="13">
        <v>43046.305462962962</v>
      </c>
      <c r="J37" s="7">
        <v>0</v>
      </c>
      <c r="K37" s="89" t="str">
        <f>IF(ISEVEN(B37),(B37-1)&amp;"/"&amp;B37,B37&amp;"/"&amp;(B37+1))</f>
        <v>4041/4042</v>
      </c>
      <c r="L37" s="185" t="str">
        <f>VLOOKUP(A37,'Trips&amp;Operators'!$C$1:$G$99911,5,FALSE)</f>
        <v>YORK EDGAR</v>
      </c>
      <c r="M37" s="6">
        <f>I37-F37</f>
        <v>2.400462963123573E-2</v>
      </c>
      <c r="N37" s="7">
        <f>24*60*SUM($M37:$M37)</f>
        <v>34.566666668979451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-07T05:37:47-0700',mode:absolute,to:'2017-11-07T08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4.5499999999999999E-2</v>
      </c>
      <c r="Z37" s="204">
        <f>RIGHT(H37,LEN(H37)-4)/10000</f>
        <v>23.3232</v>
      </c>
      <c r="AA37" s="204">
        <f>ABS(Z37-Y37)</f>
        <v>23.277699999999999</v>
      </c>
      <c r="AB37" s="54" t="e">
        <f>VLOOKUP(A37,Enforcements!$C$7:$K$10,8,0)</f>
        <v>#N/A</v>
      </c>
      <c r="AC37" s="51" t="e">
        <f>VLOOKUP(A37,Enforcements!$C$7:$E$10,3,0)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/stypes="app*4042*20171107*" /stext=" 14:.+((SYSTEM_STATE.+slice.+state.+changed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125-07 --locoid 4042 --swversion DE.1.0.9.0 --startMP 204:455 --initTime 2017-11-07T06:37:47 --startdatetime 2017-11-07T06:45:18 --delay 50 --endMP 204:233232 --enddatetime 2017-11-07T07:19:52 --enforcementcount 0 &gt;&gt;%USERPROFILE%\Documents\GitHub\eaglep3-reporting\EC\2017-11-07-refined-times.txt</v>
      </c>
      <c r="AI37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{"issue":{"subject":"","project_id":79,"tracker_id":40,"status_id":1,"priority_id":2,"assigned_to_id":338,"start_date":"2017-11-07","description":"","custom_fields":[{"id":1,"name":"Subdivision","value":"EC"},{"id":4,"name":"Milepost","value":"23.3232"},{"id":17,"name":"Train ID","value":"125-07"},{"id":16,"name":"Locomotive ID","value":"4042"},{"id":130,"name":"Impact","value":""},{"id":150,"name":"Time of Event (Mountain Time)","value":"07:19:52"},{"id":151,"name":"Denver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4042 --day 2017-11-07</v>
      </c>
      <c r="AN37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-11-07T05:37:47-0700',mode:absolute,to:'2017-11-07T08:19:52-0700'))&amp;_a=(columns:!('Message%20ID',Summary),filters:!(),index:'emp_*',interval:auto,query:(query_string:(analyze_wildcard:!t,query:'%22rtdc.l.rtdc.4042%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724</v>
      </c>
      <c r="B38" s="7">
        <v>4041</v>
      </c>
      <c r="C38" s="21" t="s">
        <v>192</v>
      </c>
      <c r="D38" s="21" t="s">
        <v>905</v>
      </c>
      <c r="E38" s="13">
        <v>43046.306273148148</v>
      </c>
      <c r="F38" s="13">
        <v>43046.321122685185</v>
      </c>
      <c r="G38" s="7">
        <v>49</v>
      </c>
      <c r="H38" s="21" t="s">
        <v>347</v>
      </c>
      <c r="I38" s="13">
        <v>43046.347094907411</v>
      </c>
      <c r="J38" s="7">
        <v>0</v>
      </c>
      <c r="K38" s="89" t="str">
        <f>IF(ISEVEN(B38),(B38-1)&amp;"/"&amp;B38,B38&amp;"/"&amp;(B38+1))</f>
        <v>4041/4042</v>
      </c>
      <c r="L38" s="185" t="str">
        <f>VLOOKUP(A38,'Trips&amp;Operators'!$C$1:$G$99911,5,FALSE)</f>
        <v>YORK EDGAR</v>
      </c>
      <c r="M38" s="6">
        <f>I38-F38</f>
        <v>2.5972222225391306E-2</v>
      </c>
      <c r="N38" s="7">
        <f>24*60*SUM($M38:$M38)</f>
        <v>37.400000004563481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-07T06:21:02-0700',mode:absolute,to:'2017-11-07T09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23.296700000000001</v>
      </c>
      <c r="Z38" s="204">
        <f>RIGHT(H38,LEN(H38)-4)/10000</f>
        <v>1.54E-2</v>
      </c>
      <c r="AA38" s="204">
        <f>ABS(Z38-Y38)</f>
        <v>23.281300000000002</v>
      </c>
      <c r="AB38" s="54" t="e">
        <f>VLOOKUP(A38,Enforcements!$C$7:$K$10,8,0)</f>
        <v>#N/A</v>
      </c>
      <c r="AC38" s="51" t="e">
        <f>VLOOKUP(A38,Enforcements!$C$7:$E$10,3,0)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/stypes="app*4041*20171107*" /stext=" 15:.+((SYSTEM_STATE.+slice.+state.+changed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126-07 --locoid 4041 --swversion DE.1.0.9.0 --startMP 204:232967 --initTime 2017-11-07T07:21:02 --startdatetime 2017-11-07T07:42:25 --delay 49 --endMP 204:154 --enddatetime 2017-11-07T08:19:49 --enforcementcount 0 &gt;&gt;%USERPROFILE%\Documents\GitHub\eaglep3-reporting\EC\2017-11-07-refined-times.txt</v>
      </c>
      <c r="AI38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{"issue":{"subject":"","project_id":79,"tracker_id":40,"status_id":1,"priority_id":2,"assigned_to_id":338,"start_date":"2017-11-07","description":"","custom_fields":[{"id":1,"name":"Subdivision","value":"EC"},{"id":4,"name":"Milepost","value":"0.0154"},{"id":17,"name":"Train ID","value":"126-07"},{"id":16,"name":"Locomotive ID","value":"4041"},{"id":130,"name":"Impact","value":""},{"id":150,"name":"Time of Event (Mountain Time)","value":"08:19:49"},{"id":151,"name":"Denver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4041 --day 2017-11-07</v>
      </c>
      <c r="AN38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-11-07T06:21:02-0700',mode:absolute,to:'2017-11-07T09:19:49-0700'))&amp;_a=(columns:!('Message%20ID',Summary),filters:!(),index:'emp_*',interval:auto,query:(query_string:(analyze_wildcard:!t,query:'%22rtdc.l.rtdc.4041%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719</v>
      </c>
      <c r="B39" s="7">
        <v>4058</v>
      </c>
      <c r="C39" s="21" t="s">
        <v>192</v>
      </c>
      <c r="D39" s="21" t="s">
        <v>388</v>
      </c>
      <c r="E39" s="13">
        <v>43046.286608796298</v>
      </c>
      <c r="F39" s="13">
        <v>43046.291932870372</v>
      </c>
      <c r="G39" s="7">
        <v>45</v>
      </c>
      <c r="H39" s="21" t="s">
        <v>608</v>
      </c>
      <c r="I39" s="13">
        <v>43046.316770833335</v>
      </c>
      <c r="J39" s="7">
        <v>0</v>
      </c>
      <c r="K39" s="89" t="str">
        <f>IF(ISEVEN(B39),(B39-1)&amp;"/"&amp;B39,B39&amp;"/"&amp;(B39+1))</f>
        <v>4057/4058</v>
      </c>
      <c r="L39" s="185" t="str">
        <f>VLOOKUP(A39,'Trips&amp;Operators'!$C$1:$G$99911,5,FALSE)</f>
        <v>YANAI IAN</v>
      </c>
      <c r="M39" s="6">
        <f>I39-F39</f>
        <v>2.4837962962919846E-2</v>
      </c>
      <c r="N39" s="7">
        <f>24*60*SUM($M39:$M39)</f>
        <v>35.766666666604578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-07T05:52:43-0700',mode:absolute,to:'2017-11-07T08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5.1299999999999998E-2</v>
      </c>
      <c r="Z39" s="204">
        <f>RIGHT(H39,LEN(H39)-4)/10000</f>
        <v>23.3306</v>
      </c>
      <c r="AA39" s="204">
        <f>ABS(Z39-Y39)</f>
        <v>23.279299999999999</v>
      </c>
      <c r="AB39" s="54" t="e">
        <f>VLOOKUP(A39,Enforcements!$C$7:$K$10,8,0)</f>
        <v>#N/A</v>
      </c>
      <c r="AC39" s="51" t="e">
        <f>VLOOKUP(A39,Enforcements!$C$7:$E$10,3,0)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s3://rtdc.mdm.uploadarchive.raw/RTDC4058/ "%USERPROFILE%\AppData\Local\Temp\OnboardLogs"\RTDC4058\2017-11-07 --exclude "*" --recursive --include "*20171107*" &amp; "%USERPROFILE%\Documents\GitHub\mrs-test-scripts\Headless Mode &amp; Sideloading\WalkAndUnGZ.bat" "%USERPROFILE%\AppData\Local\Temp\OnboardLogs"\RTDC4058\2017-11-07 &amp; aws s3 cp s3://rtdc.mdm.uploadarchive.raw/RTDC4058/ "%USERPROFILE%\AppData\Local\Temp\OnboardLogs"\RTDC4058\2017-11-08 --exclude "*" --recursive --include "*20171108*" &amp; "%USERPROFILE%\Documents\GitHub\mrs-test-scripts\Headless Mode &amp; Sideloading\WalkAndUnGZ.bat" "%USERPROFILE%\AppData\Local\Temp\OnboardLogs"\RTDC4058\2017-11-08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/stypes="app*4058*20171107*" /stext=" 14:.+((SYSTEM_STATE.+slice.+state.+changed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127-07 --locoid 4058 --swversion DE.1.0.9.0 --startMP 204:513 --initTime 2017-11-07T06:52:43 --startdatetime 2017-11-07T07:00:23 --delay 45 --endMP 204:233306 --enddatetime 2017-11-07T07:36:09 --enforcementcount 0 &gt;&gt;%USERPROFILE%\Documents\GitHub\eaglep3-reporting\EC\2017-11-07-refined-times.txt</v>
      </c>
      <c r="AI39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{"issue":{"subject":"","project_id":79,"tracker_id":40,"status_id":1,"priority_id":2,"assigned_to_id":338,"start_date":"2017-11-07","description":"","custom_fields":[{"id":1,"name":"Subdivision","value":"EC"},{"id":4,"name":"Milepost","value":"23.3306"},{"id":17,"name":"Train ID","value":"127-07"},{"id":16,"name":"Locomotive ID","value":"4058"},{"id":130,"name":"Impact","value":""},{"id":150,"name":"Time of Event (Mountain Time)","value":"07:36:09"},{"id":151,"name":"Denver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4058 --day 2017-11-07</v>
      </c>
      <c r="AN39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-11-07T05:52:43-0700',mode:absolute,to:'2017-11-07T08:36:09-0700'))&amp;_a=(columns:!('Message%20ID',Summary),filters:!(),index:'emp_*',interval:auto,query:(query_string:(analyze_wildcard:!t,query:'%22rtdc.l.rtdc.4058%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728</v>
      </c>
      <c r="B40" s="7">
        <v>4057</v>
      </c>
      <c r="C40" s="21" t="s">
        <v>192</v>
      </c>
      <c r="D40" s="21" t="s">
        <v>906</v>
      </c>
      <c r="E40" s="13">
        <v>43046.318043981482</v>
      </c>
      <c r="F40" s="13">
        <v>43046.331423611111</v>
      </c>
      <c r="G40" s="7">
        <v>69</v>
      </c>
      <c r="H40" s="21" t="s">
        <v>511</v>
      </c>
      <c r="I40" s="13">
        <v>43046.35765046296</v>
      </c>
      <c r="J40" s="7">
        <v>0</v>
      </c>
      <c r="K40" s="89" t="str">
        <f>IF(ISEVEN(B40),(B40-1)&amp;"/"&amp;B40,B40&amp;"/"&amp;(B40+1))</f>
        <v>4057/4058</v>
      </c>
      <c r="L40" s="185" t="str">
        <f>VLOOKUP(A40,'Trips&amp;Operators'!$C$1:$G$99911,5,FALSE)</f>
        <v>YANAI IAN</v>
      </c>
      <c r="M40" s="6">
        <f>I40-F40</f>
        <v>2.622685184906004E-2</v>
      </c>
      <c r="N40" s="7">
        <f>24*60*SUM($M40:$M40)</f>
        <v>37.766666662646458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-07T06:37:59-0700',mode:absolute,to:'2017-11-07T09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23.2987</v>
      </c>
      <c r="Z40" s="204">
        <f>RIGHT(H40,LEN(H40)-4)/10000</f>
        <v>2.1600000000000001E-2</v>
      </c>
      <c r="AA40" s="204">
        <f>ABS(Z40-Y40)</f>
        <v>23.277100000000001</v>
      </c>
      <c r="AB40" s="54" t="e">
        <f>VLOOKUP(A40,Enforcements!$C$7:$K$10,8,0)</f>
        <v>#N/A</v>
      </c>
      <c r="AC40" s="51" t="e">
        <f>VLOOKUP(A40,Enforcements!$C$7:$E$10,3,0)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s3://rtdc.mdm.uploadarchive.raw/RTDC4057/ "%USERPROFILE%\AppData\Local\Temp\OnboardLogs"\RTDC4057\2017-11-07 --exclude "*" --recursive --include "*20171107*" &amp; "%USERPROFILE%\Documents\GitHub\mrs-test-scripts\Headless Mode &amp; Sideloading\WalkAndUnGZ.bat" "%USERPROFILE%\AppData\Local\Temp\OnboardLogs"\RTDC4057\2017-11-07 &amp; aws s3 cp s3://rtdc.mdm.uploadarchive.raw/RTDC4057/ "%USERPROFILE%\AppData\Local\Temp\OnboardLogs"\RTDC4057\2017-11-08 --exclude "*" --recursive --include "*20171108*" &amp; "%USERPROFILE%\Documents\GitHub\mrs-test-scripts\Headless Mode &amp; Sideloading\WalkAndUnGZ.bat" "%USERPROFILE%\AppData\Local\Temp\OnboardLogs"\RTDC4057\2017-11-08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/stypes="app*4057*20171107*" /stext=" 15:.+((SYSTEM_STATE.+slice.+state.+changed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128-07 --locoid 4057 --swversion DE.1.0.9.0 --startMP 204:232987 --initTime 2017-11-07T07:37:59 --startdatetime 2017-11-07T07:57:15 --delay 69 --endMP 204:216 --enddatetime 2017-11-07T08:35:01 --enforcementcount 0 &gt;&gt;%USERPROFILE%\Documents\GitHub\eaglep3-reporting\EC\2017-11-07-refined-times.txt</v>
      </c>
      <c r="AI40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{"issue":{"subject":"","project_id":79,"tracker_id":40,"status_id":1,"priority_id":2,"assigned_to_id":338,"start_date":"2017-11-07","description":"","custom_fields":[{"id":1,"name":"Subdivision","value":"EC"},{"id":4,"name":"Milepost","value":"0.0216"},{"id":17,"name":"Train ID","value":"128-07"},{"id":16,"name":"Locomotive ID","value":"4057"},{"id":130,"name":"Impact","value":""},{"id":150,"name":"Time of Event (Mountain Time)","value":"08:35:01"},{"id":151,"name":"Denver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4057 --day 2017-11-07</v>
      </c>
      <c r="AN40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-11-07T06:37:59-0700',mode:absolute,to:'2017-11-07T09:35:01-0700'))&amp;_a=(columns:!('Message%20ID',Summary),filters:!(),index:'emp_*',interval:auto,query:(query_string:(analyze_wildcard:!t,query:'%22rtdc.l.rtdc.4057%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723</v>
      </c>
      <c r="B41" s="7">
        <v>4064</v>
      </c>
      <c r="C41" s="21" t="s">
        <v>192</v>
      </c>
      <c r="D41" s="21" t="s">
        <v>484</v>
      </c>
      <c r="E41" s="13">
        <v>43046.297175925924</v>
      </c>
      <c r="F41" s="13">
        <v>43046.302268518521</v>
      </c>
      <c r="G41" s="7">
        <v>53</v>
      </c>
      <c r="H41" s="21" t="s">
        <v>907</v>
      </c>
      <c r="I41" s="13">
        <v>43046.327118055553</v>
      </c>
      <c r="J41" s="7">
        <v>0</v>
      </c>
      <c r="K41" s="89" t="str">
        <f>IF(ISEVEN(B41),(B41-1)&amp;"/"&amp;B41,B41&amp;"/"&amp;(B41+1))</f>
        <v>4063/4064</v>
      </c>
      <c r="L41" s="185" t="str">
        <f>VLOOKUP(A41,'Trips&amp;Operators'!$C$1:$G$99911,5,FALSE)</f>
        <v>BONDS REYNALDO</v>
      </c>
      <c r="M41" s="6">
        <f>I41-F41</f>
        <v>2.4849537032423541E-2</v>
      </c>
      <c r="N41" s="7">
        <f>24*60*SUM($M41:$M41)</f>
        <v>35.783333326689899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-07T06:07:56-0700',mode:absolute,to:'2017-11-07T08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5.1700000000000003E-2</v>
      </c>
      <c r="Z41" s="204">
        <f>RIGHT(H41,LEN(H41)-4)/10000</f>
        <v>23.330300000000001</v>
      </c>
      <c r="AA41" s="204">
        <f>ABS(Z41-Y41)</f>
        <v>23.278600000000001</v>
      </c>
      <c r="AB41" s="54" t="e">
        <f>VLOOKUP(A41,Enforcements!$C$7:$K$10,8,0)</f>
        <v>#N/A</v>
      </c>
      <c r="AC41" s="51" t="e">
        <f>VLOOKUP(A41,Enforcements!$C$7:$E$10,3,0)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/stypes="app*4064*20171107*" /stext=" 14:.+((SYSTEM_STATE.+slice.+state.+changed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129-07 --locoid 4064 --swversion DE.1.0.9.0 --startMP 204:517 --initTime 2017-11-07T07:07:56 --startdatetime 2017-11-07T07:15:16 --delay 53 --endMP 204:233303 --enddatetime 2017-11-07T07:51:03 --enforcementcount 0 &gt;&gt;%USERPROFILE%\Documents\GitHub\eaglep3-reporting\EC\2017-11-07-refined-times.txt</v>
      </c>
      <c r="AI41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{"issue":{"subject":"","project_id":79,"tracker_id":40,"status_id":1,"priority_id":2,"assigned_to_id":338,"start_date":"2017-11-07","description":"","custom_fields":[{"id":1,"name":"Subdivision","value":"EC"},{"id":4,"name":"Milepost","value":"23.3303"},{"id":17,"name":"Train ID","value":"129-07"},{"id":16,"name":"Locomotive ID","value":"4064"},{"id":130,"name":"Impact","value":""},{"id":150,"name":"Time of Event (Mountain Time)","value":"07:51:03"},{"id":151,"name":"Denver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4064 --day 2017-11-07</v>
      </c>
      <c r="AN41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-11-07T06:07:56-0700',mode:absolute,to:'2017-11-07T08:51:03-0700'))&amp;_a=(columns:!('Message%20ID',Summary),filters:!(),index:'emp_*',interval:auto,query:(query_string:(analyze_wildcard:!t,query:'%22rtdc.l.rtdc.4064%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734</v>
      </c>
      <c r="B42" s="7">
        <v>4063</v>
      </c>
      <c r="C42" s="21" t="s">
        <v>192</v>
      </c>
      <c r="D42" s="21" t="s">
        <v>905</v>
      </c>
      <c r="E42" s="13">
        <v>43046.339201388888</v>
      </c>
      <c r="F42" s="13">
        <v>43046.341909722221</v>
      </c>
      <c r="G42" s="7">
        <v>67</v>
      </c>
      <c r="H42" s="21" t="s">
        <v>480</v>
      </c>
      <c r="I42" s="13">
        <v>43046.368402777778</v>
      </c>
      <c r="J42" s="7">
        <v>0</v>
      </c>
      <c r="K42" s="89" t="str">
        <f>IF(ISEVEN(B42),(B42-1)&amp;"/"&amp;B42,B42&amp;"/"&amp;(B42+1))</f>
        <v>4063/4064</v>
      </c>
      <c r="L42" s="185" t="str">
        <f>VLOOKUP(A42,'Trips&amp;Operators'!$C$1:$G$99911,5,FALSE)</f>
        <v>BONDS REYNALDO</v>
      </c>
      <c r="M42" s="6">
        <f>I42-F42</f>
        <v>2.6493055556784384E-2</v>
      </c>
      <c r="N42" s="7">
        <f>24*60*SUM($M42:$M42)</f>
        <v>38.150000001769513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-07T07:08:27-0700',mode:absolute,to:'2017-11-07T09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23.296700000000001</v>
      </c>
      <c r="Z42" s="204">
        <f>RIGHT(H42,LEN(H42)-4)/10000</f>
        <v>2.2100000000000002E-2</v>
      </c>
      <c r="AA42" s="204">
        <f>ABS(Z42-Y42)</f>
        <v>23.274600000000003</v>
      </c>
      <c r="AB42" s="54" t="e">
        <f>VLOOKUP(A42,Enforcements!$C$7:$K$10,8,0)</f>
        <v>#N/A</v>
      </c>
      <c r="AC42" s="51" t="e">
        <f>VLOOKUP(A42,Enforcements!$C$7:$E$10,3,0)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/stypes="app*4063*20171107*" /stext=" 15:.+((SYSTEM_STATE.+slice.+state.+changed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130-07 --locoid 4063 --swversion DE.1.0.9.0 --startMP 204:232967 --initTime 2017-11-07T08:08:27 --startdatetime 2017-11-07T08:12:21 --delay 67 --endMP 204:221 --enddatetime 2017-11-07T08:50:30 --enforcementcount 0 &gt;&gt;%USERPROFILE%\Documents\GitHub\eaglep3-reporting\EC\2017-11-07-refined-times.txt</v>
      </c>
      <c r="AI42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{"issue":{"subject":"","project_id":79,"tracker_id":40,"status_id":1,"priority_id":2,"assigned_to_id":338,"start_date":"2017-11-07","description":"","custom_fields":[{"id":1,"name":"Subdivision","value":"EC"},{"id":4,"name":"Milepost","value":"0.0221"},{"id":17,"name":"Train ID","value":"130-07"},{"id":16,"name":"Locomotive ID","value":"4063"},{"id":130,"name":"Impact","value":""},{"id":150,"name":"Time of Event (Mountain Time)","value":"08:50:30"},{"id":151,"name":"Denver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4063 --day 2017-11-07</v>
      </c>
      <c r="AN42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-11-07T07:08:27-0700',mode:absolute,to:'2017-11-07T09:50:30-0700'))&amp;_a=(columns:!('Message%20ID',Summary),filters:!(),index:'emp_*',interval:auto,query:(query_string:(analyze_wildcard:!t,query:'%22rtdc.l.rtdc.4063%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646</v>
      </c>
      <c r="B43" s="7">
        <v>4040</v>
      </c>
      <c r="C43" s="21" t="s">
        <v>192</v>
      </c>
      <c r="D43" s="21" t="s">
        <v>908</v>
      </c>
      <c r="E43" s="13">
        <v>43046.309548611112</v>
      </c>
      <c r="F43" s="13">
        <v>43046.313009259262</v>
      </c>
      <c r="G43" s="7">
        <v>61</v>
      </c>
      <c r="H43" s="21" t="s">
        <v>909</v>
      </c>
      <c r="I43" s="13">
        <v>43046.339108796295</v>
      </c>
      <c r="J43" s="7">
        <v>0</v>
      </c>
      <c r="K43" s="89" t="str">
        <f>IF(ISEVEN(B43),(B43-1)&amp;"/"&amp;B43,B43&amp;"/"&amp;(B43+1))</f>
        <v>4039/4040</v>
      </c>
      <c r="L43" s="185" t="str">
        <f>VLOOKUP(A43,'Trips&amp;Operators'!$C$1:$G$99911,5,FALSE)</f>
        <v>MACDONALD THOMAS</v>
      </c>
      <c r="M43" s="6">
        <f>I43-F43</f>
        <v>2.6099537033587694E-2</v>
      </c>
      <c r="N43" s="7">
        <f>24*60*SUM($M43:$M43)</f>
        <v>37.58333332836628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-07T06:25:45-0700',mode:absolute,to:'2017-11-07T09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4.8599999999999997E-2</v>
      </c>
      <c r="Z43" s="204">
        <f>RIGHT(H43,LEN(H43)-4)/10000</f>
        <v>23.32</v>
      </c>
      <c r="AA43" s="204">
        <f>ABS(Z43-Y43)</f>
        <v>23.2714</v>
      </c>
      <c r="AB43" s="54" t="e">
        <f>VLOOKUP(A43,Enforcements!$C$7:$K$10,8,0)</f>
        <v>#N/A</v>
      </c>
      <c r="AC43" s="51" t="e">
        <f>VLOOKUP(A43,Enforcements!$C$7:$E$10,3,0)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s3://rtdc.mdm.uploadarchive.raw/RTDC4040/ "%USERPROFILE%\AppData\Local\Temp\OnboardLogs"\RTDC4040\2017-11-07 --exclude "*" --recursive --include "*20171107*" &amp; "%USERPROFILE%\Documents\GitHub\mrs-test-scripts\Headless Mode &amp; Sideloading\WalkAndUnGZ.bat" "%USERPROFILE%\AppData\Local\Temp\OnboardLogs"\RTDC4040\2017-11-07 &amp; aws s3 cp s3://rtdc.mdm.uploadarchive.raw/RTDC4040/ "%USERPROFILE%\AppData\Local\Temp\OnboardLogs"\RTDC4040\2017-11-08 --exclude "*" --recursive --include "*20171108*" &amp; "%USERPROFILE%\Documents\GitHub\mrs-test-scripts\Headless Mode &amp; Sideloading\WalkAndUnGZ.bat" "%USERPROFILE%\AppData\Local\Temp\OnboardLogs"\RTDC4040\2017-11-08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/stypes="app*4040*20171107*" /stext=" 15:.+((SYSTEM_STATE.+slice.+state.+changed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131-07 --locoid 4040 --swversion DE.1.0.9.0 --startMP 204:486 --initTime 2017-11-07T07:25:45 --startdatetime 2017-11-07T07:30:44 --delay 61 --endMP 204:233200 --enddatetime 2017-11-07T08:08:19 --enforcementcount 0 &gt;&gt;%USERPROFILE%\Documents\GitHub\eaglep3-reporting\EC\2017-11-07-refined-times.txt</v>
      </c>
      <c r="AI43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{"issue":{"subject":"","project_id":79,"tracker_id":40,"status_id":1,"priority_id":2,"assigned_to_id":338,"start_date":"2017-11-07","description":"","custom_fields":[{"id":1,"name":"Subdivision","value":"EC"},{"id":4,"name":"Milepost","value":"23.32"},{"id":17,"name":"Train ID","value":"131-07"},{"id":16,"name":"Locomotive ID","value":"4040"},{"id":130,"name":"Impact","value":""},{"id":150,"name":"Time of Event (Mountain Time)","value":"08:08:19"},{"id":151,"name":"Denver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4040 --day 2017-11-07</v>
      </c>
      <c r="AN43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-11-07T06:25:45-0700',mode:absolute,to:'2017-11-07T09:08:19-0700'))&amp;_a=(columns:!('Message%20ID',Summary),filters:!(),index:'emp_*',interval:auto,query:(query_string:(analyze_wildcard:!t,query:'%22rtdc.l.rtdc.4040%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736</v>
      </c>
      <c r="B44" s="7">
        <v>4039</v>
      </c>
      <c r="C44" s="21" t="s">
        <v>192</v>
      </c>
      <c r="D44" s="21" t="s">
        <v>910</v>
      </c>
      <c r="E44" s="13">
        <v>43046.349652777775</v>
      </c>
      <c r="F44" s="13">
        <v>43046.352696759262</v>
      </c>
      <c r="G44" s="7">
        <v>60</v>
      </c>
      <c r="H44" s="21" t="s">
        <v>536</v>
      </c>
      <c r="I44" s="13">
        <v>43046.37871527778</v>
      </c>
      <c r="J44" s="7">
        <v>0</v>
      </c>
      <c r="K44" s="89" t="str">
        <f>IF(ISEVEN(B44),(B44-1)&amp;"/"&amp;B44,B44&amp;"/"&amp;(B44+1))</f>
        <v>4039/4040</v>
      </c>
      <c r="L44" s="185" t="str">
        <f>VLOOKUP(A44,'Trips&amp;Operators'!$C$1:$G$99911,5,FALSE)</f>
        <v>MACDONALD THOMAS</v>
      </c>
      <c r="M44" s="6">
        <f>I44-F44</f>
        <v>2.6018518517958E-2</v>
      </c>
      <c r="N44" s="7">
        <f>24*60*SUM($M44:$M44)</f>
        <v>37.46666666585952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-07T07:23:30-0700',mode:absolute,to:'2017-11-07T10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23.287400000000002</v>
      </c>
      <c r="Z44" s="204">
        <f>RIGHT(H44,LEN(H44)-4)/10000</f>
        <v>2.4299999999999999E-2</v>
      </c>
      <c r="AA44" s="204">
        <f>ABS(Z44-Y44)</f>
        <v>23.263100000000001</v>
      </c>
      <c r="AB44" s="54" t="e">
        <f>VLOOKUP(A44,Enforcements!$C$7:$K$10,8,0)</f>
        <v>#N/A</v>
      </c>
      <c r="AC44" s="51" t="e">
        <f>VLOOKUP(A44,Enforcements!$C$7:$E$10,3,0)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s3://rtdc.mdm.uploadarchive.raw/RTDC4039/ "%USERPROFILE%\AppData\Local\Temp\OnboardLogs"\RTDC4039\2017-11-07 --exclude "*" --recursive --include "*20171107*" &amp; "%USERPROFILE%\Documents\GitHub\mrs-test-scripts\Headless Mode &amp; Sideloading\WalkAndUnGZ.bat" "%USERPROFILE%\AppData\Local\Temp\OnboardLogs"\RTDC4039\2017-11-07 &amp; aws s3 cp s3://rtdc.mdm.uploadarchive.raw/RTDC4039/ "%USERPROFILE%\AppData\Local\Temp\OnboardLogs"\RTDC4039\2017-11-08 --exclude "*" --recursive --include "*20171108*" &amp; "%USERPROFILE%\Documents\GitHub\mrs-test-scripts\Headless Mode &amp; Sideloading\WalkAndUnGZ.bat" "%USERPROFILE%\AppData\Local\Temp\OnboardLogs"\RTDC4039\2017-11-08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/stypes="app*4039*20171107*" /stext=" 16:.+((SYSTEM_STATE.+slice.+state.+changed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132-07 --locoid 4039 --swversion DE.1.0.9.0 --startMP 204:232874 --initTime 2017-11-07T08:23:30 --startdatetime 2017-11-07T08:27:53 --delay 60 --endMP 204:243 --enddatetime 2017-11-07T09:05:21 --enforcementcount 0 &gt;&gt;%USERPROFILE%\Documents\GitHub\eaglep3-reporting\EC\2017-11-07-refined-times.txt</v>
      </c>
      <c r="AI44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{"issue":{"subject":"","project_id":79,"tracker_id":40,"status_id":1,"priority_id":2,"assigned_to_id":338,"start_date":"2017-11-07","description":"","custom_fields":[{"id":1,"name":"Subdivision","value":"EC"},{"id":4,"name":"Milepost","value":"0.0243"},{"id":17,"name":"Train ID","value":"132-07"},{"id":16,"name":"Locomotive ID","value":"4039"},{"id":130,"name":"Impact","value":""},{"id":150,"name":"Time of Event (Mountain Time)","value":"09:05:21"},{"id":151,"name":"Denver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4039 --day 2017-11-07</v>
      </c>
      <c r="AN44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16:05:21"},{"id":29,"name":"Sharepoint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-11-07T07:23:30-0700',mode:absolute,to:'2017-11-07T10:05:21-0700'))&amp;_a=(columns:!('Message%20ID',Summary),filters:!(),index:'emp_*',interval:auto,query:(query_string:(analyze_wildcard:!t,query:'%22rtdc.l.rtdc.4039%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729</v>
      </c>
      <c r="B45" s="7">
        <v>4008</v>
      </c>
      <c r="C45" s="21" t="s">
        <v>192</v>
      </c>
      <c r="D45" s="21" t="s">
        <v>540</v>
      </c>
      <c r="E45" s="13">
        <v>43046.319606481484</v>
      </c>
      <c r="F45" s="13">
        <v>43046.323148148149</v>
      </c>
      <c r="G45" s="7">
        <v>63</v>
      </c>
      <c r="H45" s="21" t="s">
        <v>911</v>
      </c>
      <c r="I45" s="13">
        <v>43046.348391203705</v>
      </c>
      <c r="J45" s="7">
        <v>0</v>
      </c>
      <c r="K45" s="89" t="str">
        <f>IF(ISEVEN(B45),(B45-1)&amp;"/"&amp;B45,B45&amp;"/"&amp;(B45+1))</f>
        <v>4007/4008</v>
      </c>
      <c r="L45" s="185" t="str">
        <f>VLOOKUP(A45,'Trips&amp;Operators'!$C$1:$G$99911,5,FALSE)</f>
        <v>LANGERAK WILLIAM</v>
      </c>
      <c r="M45" s="6">
        <f>I45-F45</f>
        <v>2.5243055555620231E-2</v>
      </c>
      <c r="N45" s="7">
        <f>24*60*SUM($M45:$M45)</f>
        <v>36.350000000093132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-07T06:40:14-0700',mode:absolute,to:'2017-11-07T09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4.6399999999999997E-2</v>
      </c>
      <c r="Z45" s="204">
        <f>RIGHT(H45,LEN(H45)-4)/10000</f>
        <v>23.3201</v>
      </c>
      <c r="AA45" s="204">
        <f>ABS(Z45-Y45)</f>
        <v>23.273700000000002</v>
      </c>
      <c r="AB45" s="54" t="e">
        <f>VLOOKUP(A45,Enforcements!$C$7:$K$10,8,0)</f>
        <v>#N/A</v>
      </c>
      <c r="AC45" s="51" t="e">
        <f>VLOOKUP(A45,Enforcements!$C$7:$E$10,3,0)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/stypes="app*4008*20171107*" /stext=" 15:.+((SYSTEM_STATE.+slice.+state.+changed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133-07 --locoid 4008 --swversion DE.1.0.9.0 --startMP 204:464 --initTime 2017-11-07T07:40:14 --startdatetime 2017-11-07T07:45:20 --delay 63 --endMP 204:233201 --enddatetime 2017-11-07T08:21:41 --enforcementcount 0 &gt;&gt;%USERPROFILE%\Documents\GitHub\eaglep3-reporting\EC\2017-11-07-refined-times.txt</v>
      </c>
      <c r="AI45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{"issue":{"subject":"","project_id":79,"tracker_id":40,"status_id":1,"priority_id":2,"assigned_to_id":338,"start_date":"2017-11-07","description":"","custom_fields":[{"id":1,"name":"Subdivision","value":"EC"},{"id":4,"name":"Milepost","value":"23.3201"},{"id":17,"name":"Train ID","value":"133-07"},{"id":16,"name":"Locomotive ID","value":"4008"},{"id":130,"name":"Impact","value":""},{"id":150,"name":"Time of Event (Mountain Time)","value":"08:21:41"},{"id":151,"name":"Denver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4008 --day 2017-11-07</v>
      </c>
      <c r="AN45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-11-07T06:40:14-0700',mode:absolute,to:'2017-11-07T09:21:41-0700'))&amp;_a=(columns:!('Message%20ID',Summary),filters:!(),index:'emp_*',interval:auto,query:(query_string:(analyze_wildcard:!t,query:'%22rtdc.l.rtdc.4008%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737</v>
      </c>
      <c r="B46" s="7">
        <v>4007</v>
      </c>
      <c r="C46" s="21" t="s">
        <v>192</v>
      </c>
      <c r="D46" s="21" t="s">
        <v>606</v>
      </c>
      <c r="E46" s="13">
        <v>43046.350023148145</v>
      </c>
      <c r="F46" s="13">
        <v>43046.362673611111</v>
      </c>
      <c r="G46" s="7">
        <v>60</v>
      </c>
      <c r="H46" s="21" t="s">
        <v>502</v>
      </c>
      <c r="I46" s="13">
        <v>43046.389803240738</v>
      </c>
      <c r="J46" s="7">
        <v>0</v>
      </c>
      <c r="K46" s="89" t="str">
        <f>IF(ISEVEN(B46),(B46-1)&amp;"/"&amp;B46,B46&amp;"/"&amp;(B46+1))</f>
        <v>4007/4008</v>
      </c>
      <c r="L46" s="185" t="str">
        <f>VLOOKUP(A46,'Trips&amp;Operators'!$C$1:$G$99911,5,FALSE)</f>
        <v>LANGERAK WILLIAM</v>
      </c>
      <c r="M46" s="6">
        <f>I46-F46</f>
        <v>2.7129629626870155E-2</v>
      </c>
      <c r="N46" s="7">
        <f>24*60*SUM($M46:$M46)</f>
        <v>39.066666662693024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-07T07:24:02-0700',mode:absolute,to:'2017-11-07T10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23.289000000000001</v>
      </c>
      <c r="Z46" s="204">
        <f>RIGHT(H46,LEN(H46)-4)/10000</f>
        <v>1.6500000000000001E-2</v>
      </c>
      <c r="AA46" s="204">
        <f>ABS(Z46-Y46)</f>
        <v>23.272500000000001</v>
      </c>
      <c r="AB46" s="54" t="e">
        <f>VLOOKUP(A46,Enforcements!$C$7:$K$10,8,0)</f>
        <v>#N/A</v>
      </c>
      <c r="AC46" s="51" t="e">
        <f>VLOOKUP(A46,Enforcements!$C$7:$E$10,3,0)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/stypes="app*4007*20171107*" /stext=" 16:.+((SYSTEM_STATE.+slice.+state.+changed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134-07 --locoid 4007 --swversion DE.1.0.9.0 --startMP 204:232890 --initTime 2017-11-07T08:24:02 --startdatetime 2017-11-07T08:42:15 --delay 60 --endMP 204:165 --enddatetime 2017-11-07T09:21:19 --enforcementcount 0 &gt;&gt;%USERPROFILE%\Documents\GitHub\eaglep3-reporting\EC\2017-11-07-refined-times.txt</v>
      </c>
      <c r="AI46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{"issue":{"subject":"","project_id":79,"tracker_id":40,"status_id":1,"priority_id":2,"assigned_to_id":338,"start_date":"2017-11-07","description":"","custom_fields":[{"id":1,"name":"Subdivision","value":"EC"},{"id":4,"name":"Milepost","value":"0.0165"},{"id":17,"name":"Train ID","value":"134-07"},{"id":16,"name":"Locomotive ID","value":"4007"},{"id":130,"name":"Impact","value":""},{"id":150,"name":"Time of Event (Mountain Time)","value":"09:21:19"},{"id":151,"name":"Denver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4007 --day 2017-11-07</v>
      </c>
      <c r="AN46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16:21:19"},{"id":29,"name":"Sharepoint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-11-07T07:24:02-0700',mode:absolute,to:'2017-11-07T10:21:19-0700'))&amp;_a=(columns:!('Message%20ID',Summary),filters:!(),index:'emp_*',interval:auto,query:(query_string:(analyze_wildcard:!t,query:'%22rtdc.l.rtdc.4007%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730</v>
      </c>
      <c r="B47" s="7">
        <v>4066</v>
      </c>
      <c r="C47" s="21" t="s">
        <v>192</v>
      </c>
      <c r="D47" s="21" t="s">
        <v>555</v>
      </c>
      <c r="E47" s="13">
        <v>43046.329212962963</v>
      </c>
      <c r="F47" s="13">
        <v>43046.333506944444</v>
      </c>
      <c r="G47" s="7">
        <v>74</v>
      </c>
      <c r="H47" s="21" t="s">
        <v>912</v>
      </c>
      <c r="I47" s="13">
        <v>43046.358888888892</v>
      </c>
      <c r="J47" s="7">
        <v>0</v>
      </c>
      <c r="K47" s="89" t="str">
        <f>IF(ISEVEN(B47),(B47-1)&amp;"/"&amp;B47,B47&amp;"/"&amp;(B47+1))</f>
        <v>4065/4066</v>
      </c>
      <c r="L47" s="185" t="str">
        <f>VLOOKUP(A47,'Trips&amp;Operators'!$C$1:$G$99911,5,FALSE)</f>
        <v>BARRON PERLA</v>
      </c>
      <c r="M47" s="6">
        <f>I47-F47</f>
        <v>2.5381944447872229E-2</v>
      </c>
      <c r="N47" s="7">
        <f>24*60*SUM($M47:$M47)</f>
        <v>36.55000000493601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-07T06:54:04-0700',mode:absolute,to:'2017-11-07T09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5.0200000000000002E-2</v>
      </c>
      <c r="Z47" s="204">
        <f>RIGHT(H47,LEN(H47)-4)/10000</f>
        <v>23.330400000000001</v>
      </c>
      <c r="AA47" s="204">
        <f>ABS(Z47-Y47)</f>
        <v>23.280200000000001</v>
      </c>
      <c r="AB47" s="54" t="e">
        <f>VLOOKUP(A47,Enforcements!$C$7:$K$10,8,0)</f>
        <v>#N/A</v>
      </c>
      <c r="AC47" s="51" t="e">
        <f>VLOOKUP(A47,Enforcements!$C$7:$E$10,3,0)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 &amp; aws s3 cp s3://rtdc.mdm.uploadarchive.raw/RTDC4066/ "%USERPROFILE%\AppData\Local\Temp\OnboardLogs"\RTDC4066\2017-11-08 --exclude "*" --recursive --include "*20171108*" &amp; "%USERPROFILE%\Documents\GitHub\mrs-test-scripts\Headless Mode &amp; Sideloading\WalkAndUnGZ.bat" "%USERPROFILE%\AppData\Local\Temp\OnboardLogs"\RTDC4066\2017-11-08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/stypes="app*4066*20171107*" /stext=" 15:.+((SYSTEM_STATE.+slice.+state.+changed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135-07 --locoid 4066 --swversion DE.1.0.9.0 --startMP 204:502 --initTime 2017-11-07T07:54:04 --startdatetime 2017-11-07T08:00:15 --delay 74 --endMP 204:233304 --enddatetime 2017-11-07T08:36:48 --enforcementcount 0 &gt;&gt;%USERPROFILE%\Documents\GitHub\eaglep3-reporting\EC\2017-11-07-refined-times.txt</v>
      </c>
      <c r="AI47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{"issue":{"subject":"","project_id":79,"tracker_id":40,"status_id":1,"priority_id":2,"assigned_to_id":338,"start_date":"2017-11-07","description":"","custom_fields":[{"id":1,"name":"Subdivision","value":"EC"},{"id":4,"name":"Milepost","value":"23.3304"},{"id":17,"name":"Train ID","value":"135-07"},{"id":16,"name":"Locomotive ID","value":"4066"},{"id":130,"name":"Impact","value":""},{"id":150,"name":"Time of Event (Mountain Time)","value":"08:36:48"},{"id":151,"name":"Denver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4066 --day 2017-11-07</v>
      </c>
      <c r="AN47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-11-07T06:54:04-0700',mode:absolute,to:'2017-11-07T09:36:48-0700'))&amp;_a=(columns:!('Message%20ID',Summary),filters:!(),index:'emp_*',interval:auto,query:(query_string:(analyze_wildcard:!t,query:'%22rtdc.l.rtdc.4066%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649</v>
      </c>
      <c r="B48" s="7">
        <v>4065</v>
      </c>
      <c r="C48" s="21" t="s">
        <v>192</v>
      </c>
      <c r="D48" s="21" t="s">
        <v>896</v>
      </c>
      <c r="E48" s="13">
        <v>43046.360706018517</v>
      </c>
      <c r="F48" s="13">
        <v>43046.373113425929</v>
      </c>
      <c r="G48" s="7">
        <v>59</v>
      </c>
      <c r="H48" s="21" t="s">
        <v>913</v>
      </c>
      <c r="I48" s="13">
        <v>43046.400150462963</v>
      </c>
      <c r="J48" s="7">
        <v>0</v>
      </c>
      <c r="K48" s="89" t="str">
        <f>IF(ISEVEN(B48),(B48-1)&amp;"/"&amp;B48,B48&amp;"/"&amp;(B48+1))</f>
        <v>4065/4066</v>
      </c>
      <c r="L48" s="185" t="str">
        <f>VLOOKUP(A48,'Trips&amp;Operators'!$C$1:$G$99911,5,FALSE)</f>
        <v>BARRON PERLA</v>
      </c>
      <c r="M48" s="6">
        <f>I48-F48</f>
        <v>2.7037037034460809E-2</v>
      </c>
      <c r="N48" s="7">
        <f>24*60*SUM($M48:$M48)</f>
        <v>38.933333329623565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-07T07:39:25-0700',mode:absolute,to:'2017-11-07T10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23.297599999999999</v>
      </c>
      <c r="Z48" s="204">
        <f>RIGHT(H48,LEN(H48)-4)/10000</f>
        <v>2.47E-2</v>
      </c>
      <c r="AA48" s="204">
        <f>ABS(Z48-Y48)</f>
        <v>23.2729</v>
      </c>
      <c r="AB48" s="54" t="e">
        <f>VLOOKUP(A48,Enforcements!$C$7:$K$10,8,0)</f>
        <v>#N/A</v>
      </c>
      <c r="AC48" s="51" t="e">
        <f>VLOOKUP(A48,Enforcements!$C$7:$E$10,3,0)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 &amp; aws s3 cp s3://rtdc.mdm.uploadarchive.raw/RTDC4065/ "%USERPROFILE%\AppData\Local\Temp\OnboardLogs"\RTDC4065\2017-11-08 --exclude "*" --recursive --include "*20171108*" &amp; "%USERPROFILE%\Documents\GitHub\mrs-test-scripts\Headless Mode &amp; Sideloading\WalkAndUnGZ.bat" "%USERPROFILE%\AppData\Local\Temp\OnboardLogs"\RTDC4065\2017-11-08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/stypes="app*4065*20171107*" /stext=" 16:.+((SYSTEM_STATE.+slice.+state.+changed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136-07 --locoid 4065 --swversion DE.1.0.9.0 --startMP 204:232976 --initTime 2017-11-07T08:39:25 --startdatetime 2017-11-07T08:57:17 --delay 59 --endMP 204:247 --enddatetime 2017-11-07T09:36:13 --enforcementcount 0 &gt;&gt;%USERPROFILE%\Documents\GitHub\eaglep3-reporting\EC\2017-11-07-refined-times.txt</v>
      </c>
      <c r="AI48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{"issue":{"subject":"","project_id":79,"tracker_id":40,"status_id":1,"priority_id":2,"assigned_to_id":338,"start_date":"2017-11-07","description":"","custom_fields":[{"id":1,"name":"Subdivision","value":"EC"},{"id":4,"name":"Milepost","value":"0.0247"},{"id":17,"name":"Train ID","value":"136-07"},{"id":16,"name":"Locomotive ID","value":"4065"},{"id":130,"name":"Impact","value":""},{"id":150,"name":"Time of Event (Mountain Time)","value":"09:36:13"},{"id":151,"name":"Denver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4065 --day 2017-11-07</v>
      </c>
      <c r="AN48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16:36:13"},{"id":29,"name":"Sharepoint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-11-07T07:39:25-0700',mode:absolute,to:'2017-11-07T10:36:13-0700'))&amp;_a=(columns:!('Message%20ID',Summary),filters:!(),index:'emp_*',interval:auto,query:(query_string:(analyze_wildcard:!t,query:'%22rtdc.l.rtdc.4065%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733</v>
      </c>
      <c r="B49" s="7">
        <v>4026</v>
      </c>
      <c r="C49" s="21" t="s">
        <v>192</v>
      </c>
      <c r="D49" s="21" t="s">
        <v>592</v>
      </c>
      <c r="E49" s="13">
        <v>43046.338530092595</v>
      </c>
      <c r="F49" s="13">
        <v>43046.343946759262</v>
      </c>
      <c r="G49" s="7">
        <v>47</v>
      </c>
      <c r="H49" s="21" t="s">
        <v>914</v>
      </c>
      <c r="I49" s="13">
        <v>43046.367731481485</v>
      </c>
      <c r="J49" s="7">
        <v>0</v>
      </c>
      <c r="K49" s="89" t="str">
        <f>IF(ISEVEN(B49),(B49-1)&amp;"/"&amp;B49,B49&amp;"/"&amp;(B49+1))</f>
        <v>4025/4026</v>
      </c>
      <c r="L49" s="185" t="str">
        <f>VLOOKUP(A49,'Trips&amp;Operators'!$C$1:$G$99911,5,FALSE)</f>
        <v>LAMAR NEKESHA</v>
      </c>
      <c r="M49" s="6">
        <f>I49-F49</f>
        <v>2.3784722223354038E-2</v>
      </c>
      <c r="N49" s="7">
        <f>24*60*SUM($M49:$M49)</f>
        <v>34.250000001629815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-07T07:07:29-0700',mode:absolute,to:'2017-11-07T09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4.7300000000000002E-2</v>
      </c>
      <c r="Z49" s="204">
        <f>RIGHT(H49,LEN(H49)-4)/10000</f>
        <v>23.3293</v>
      </c>
      <c r="AA49" s="204">
        <f>ABS(Z49-Y49)</f>
        <v>23.282</v>
      </c>
      <c r="AB49" s="54" t="e">
        <f>VLOOKUP(A49,Enforcements!$C$7:$K$10,8,0)</f>
        <v>#N/A</v>
      </c>
      <c r="AC49" s="51" t="e">
        <f>VLOOKUP(A49,Enforcements!$C$7:$E$10,3,0)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s3://rtdc.mdm.uploadarchive.raw/RTDC4026/ "%USERPROFILE%\AppData\Local\Temp\OnboardLogs"\RTDC4026\2017-11-07 --exclude "*" --recursive --include "*20171107*" &amp; "%USERPROFILE%\Documents\GitHub\mrs-test-scripts\Headless Mode &amp; Sideloading\WalkAndUnGZ.bat" "%USERPROFILE%\AppData\Local\Temp\OnboardLogs"\RTDC4026\2017-11-07 &amp; aws s3 cp s3://rtdc.mdm.uploadarchive.raw/RTDC4026/ "%USERPROFILE%\AppData\Local\Temp\OnboardLogs"\RTDC4026\2017-11-08 --exclude "*" --recursive --include "*20171108*" &amp; "%USERPROFILE%\Documents\GitHub\mrs-test-scripts\Headless Mode &amp; Sideloading\WalkAndUnGZ.bat" "%USERPROFILE%\AppData\Local\Temp\OnboardLogs"\RTDC4026\2017-11-08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/stypes="app*4026*20171107*" /stext=" 15:.+((SYSTEM_STATE.+slice.+state.+changed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137-07 --locoid 4026 --swversion DE.1.0.9.0 --startMP 204:473 --initTime 2017-11-07T08:07:29 --startdatetime 2017-11-07T08:15:17 --delay 47 --endMP 204:233293 --enddatetime 2017-11-07T08:49:32 --enforcementcount 0 &gt;&gt;%USERPROFILE%\Documents\GitHub\eaglep3-reporting\EC\2017-11-07-refined-times.txt</v>
      </c>
      <c r="AI49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{"issue":{"subject":"","project_id":79,"tracker_id":40,"status_id":1,"priority_id":2,"assigned_to_id":338,"start_date":"2017-11-07","description":"","custom_fields":[{"id":1,"name":"Subdivision","value":"EC"},{"id":4,"name":"Milepost","value":"23.3293"},{"id":17,"name":"Train ID","value":"137-07"},{"id":16,"name":"Locomotive ID","value":"4026"},{"id":130,"name":"Impact","value":""},{"id":150,"name":"Time of Event (Mountain Time)","value":"08:49:32"},{"id":151,"name":"Denver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4026 --day 2017-11-07</v>
      </c>
      <c r="AN49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-11-07T07:07:29-0700',mode:absolute,to:'2017-11-07T09:49:32-0700'))&amp;_a=(columns:!('Message%20ID',Summary),filters:!(),index:'emp_*',interval:auto,query:(query_string:(analyze_wildcard:!t,query:'%22rtdc.l.rtdc.4026%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742</v>
      </c>
      <c r="B50" s="7">
        <v>4025</v>
      </c>
      <c r="C50" s="21" t="s">
        <v>192</v>
      </c>
      <c r="D50" s="21" t="s">
        <v>503</v>
      </c>
      <c r="E50" s="13">
        <v>43046.377268518518</v>
      </c>
      <c r="F50" s="13">
        <v>43046.38354166667</v>
      </c>
      <c r="G50" s="7">
        <v>67</v>
      </c>
      <c r="H50" s="21" t="s">
        <v>915</v>
      </c>
      <c r="I50" s="13">
        <v>43046.410127314812</v>
      </c>
      <c r="J50" s="7">
        <v>0</v>
      </c>
      <c r="K50" s="89" t="str">
        <f>IF(ISEVEN(B50),(B50-1)&amp;"/"&amp;B50,B50&amp;"/"&amp;(B50+1))</f>
        <v>4025/4026</v>
      </c>
      <c r="L50" s="185" t="str">
        <f>VLOOKUP(A50,'Trips&amp;Operators'!$C$1:$G$99911,5,FALSE)</f>
        <v>LAMAR NEKESHA</v>
      </c>
      <c r="M50" s="6">
        <f>I50-F50</f>
        <v>2.6585648141917773E-2</v>
      </c>
      <c r="N50" s="7">
        <f>24*60*SUM($M50:$M50)</f>
        <v>38.283333324361593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-07T08:03:16-0700',mode:absolute,to:'2017-11-07T10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23.2971</v>
      </c>
      <c r="Z50" s="204">
        <f>RIGHT(H50,LEN(H50)-4)/10000</f>
        <v>1.8700000000000001E-2</v>
      </c>
      <c r="AA50" s="204">
        <f>ABS(Z50-Y50)</f>
        <v>23.278400000000001</v>
      </c>
      <c r="AB50" s="54" t="e">
        <f>VLOOKUP(A50,Enforcements!$C$7:$K$10,8,0)</f>
        <v>#N/A</v>
      </c>
      <c r="AC50" s="51" t="e">
        <f>VLOOKUP(A50,Enforcements!$C$7:$E$10,3,0)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s3://rtdc.mdm.uploadarchive.raw/RTDC4025/ "%USERPROFILE%\AppData\Local\Temp\OnboardLogs"\RTDC4025\2017-11-07 --exclude "*" --recursive --include "*20171107*" &amp; "%USERPROFILE%\Documents\GitHub\mrs-test-scripts\Headless Mode &amp; Sideloading\WalkAndUnGZ.bat" "%USERPROFILE%\AppData\Local\Temp\OnboardLogs"\RTDC4025\2017-11-07 &amp; aws s3 cp s3://rtdc.mdm.uploadarchive.raw/RTDC4025/ "%USERPROFILE%\AppData\Local\Temp\OnboardLogs"\RTDC4025\2017-11-08 --exclude "*" --recursive --include "*20171108*" &amp; "%USERPROFILE%\Documents\GitHub\mrs-test-scripts\Headless Mode &amp; Sideloading\WalkAndUnGZ.bat" "%USERPROFILE%\AppData\Local\Temp\OnboardLogs"\RTDC4025\2017-11-08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/stypes="app*4025*20171107*" /stext=" 16:.+((SYSTEM_STATE.+slice.+state.+changed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138-07 --locoid 4025 --swversion DE.1.0.9.0 --startMP 204:232971 --initTime 2017-11-07T09:03:16 --startdatetime 2017-11-07T09:12:18 --delay 67 --endMP 204:187 --enddatetime 2017-11-07T09:50:35 --enforcementcount 0 &gt;&gt;%USERPROFILE%\Documents\GitHub\eaglep3-reporting\EC\2017-11-07-refined-times.txt</v>
      </c>
      <c r="AI50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{"issue":{"subject":"","project_id":79,"tracker_id":40,"status_id":1,"priority_id":2,"assigned_to_id":338,"start_date":"2017-11-07","description":"","custom_fields":[{"id":1,"name":"Subdivision","value":"EC"},{"id":4,"name":"Milepost","value":"0.0187"},{"id":17,"name":"Train ID","value":"138-07"},{"id":16,"name":"Locomotive ID","value":"4025"},{"id":130,"name":"Impact","value":""},{"id":150,"name":"Time of Event (Mountain Time)","value":"09:50:35"},{"id":151,"name":"Denver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4025 --day 2017-11-07</v>
      </c>
      <c r="AN50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16:50:35"},{"id":29,"name":"Sharepoint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-11-07T08:03:16-0700',mode:absolute,to:'2017-11-07T10:50:35-0700'))&amp;_a=(columns:!('Message%20ID',Summary),filters:!(),index:'emp_*',interval:auto,query:(query_string:(analyze_wildcard:!t,query:'%22rtdc.l.rtdc.4025%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735</v>
      </c>
      <c r="B51" s="7">
        <v>4042</v>
      </c>
      <c r="C51" s="21" t="s">
        <v>192</v>
      </c>
      <c r="D51" s="21" t="s">
        <v>588</v>
      </c>
      <c r="E51" s="13">
        <v>43046.348761574074</v>
      </c>
      <c r="F51" s="13">
        <v>43046.355127314811</v>
      </c>
      <c r="G51" s="7">
        <v>44</v>
      </c>
      <c r="H51" s="21" t="s">
        <v>471</v>
      </c>
      <c r="I51" s="13">
        <v>43046.379571759258</v>
      </c>
      <c r="J51" s="7">
        <v>0</v>
      </c>
      <c r="K51" s="89" t="str">
        <f>IF(ISEVEN(B51),(B51-1)&amp;"/"&amp;B51,B51&amp;"/"&amp;(B51+1))</f>
        <v>4041/4042</v>
      </c>
      <c r="L51" s="185" t="str">
        <f>VLOOKUP(A51,'Trips&amp;Operators'!$C$1:$G$99911,5,FALSE)</f>
        <v>YORK EDGAR</v>
      </c>
      <c r="M51" s="6">
        <f>I51-F51</f>
        <v>2.4444444446999114E-2</v>
      </c>
      <c r="N51" s="7">
        <f>24*60*SUM($M51:$M51)</f>
        <v>35.200000003678724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-07T07:22:13-0700',mode:absolute,to:'2017-11-07T10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4.7500000000000001E-2</v>
      </c>
      <c r="Z51" s="204">
        <f>RIGHT(H51,LEN(H51)-4)/10000</f>
        <v>23.329699999999999</v>
      </c>
      <c r="AA51" s="204">
        <f>ABS(Z51-Y51)</f>
        <v>23.2822</v>
      </c>
      <c r="AB51" s="54" t="e">
        <f>VLOOKUP(A51,Enforcements!$C$7:$K$10,8,0)</f>
        <v>#N/A</v>
      </c>
      <c r="AC51" s="51" t="e">
        <f>VLOOKUP(A51,Enforcements!$C$7:$E$10,3,0)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/stypes="app*4042*20171107*" /stext=" 16:.+((SYSTEM_STATE.+slice.+state.+changed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139-07 --locoid 4042 --swversion DE.1.0.9.0 --startMP 204:475 --initTime 2017-11-07T08:22:13 --startdatetime 2017-11-07T08:31:23 --delay 44 --endMP 204:233297 --enddatetime 2017-11-07T09:06:35 --enforcementcount 0 &gt;&gt;%USERPROFILE%\Documents\GitHub\eaglep3-reporting\EC\2017-11-07-refined-times.txt</v>
      </c>
      <c r="AI51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{"issue":{"subject":"","project_id":79,"tracker_id":40,"status_id":1,"priority_id":2,"assigned_to_id":338,"start_date":"2017-11-07","description":"","custom_fields":[{"id":1,"name":"Subdivision","value":"EC"},{"id":4,"name":"Milepost","value":"23.3297"},{"id":17,"name":"Train ID","value":"139-07"},{"id":16,"name":"Locomotive ID","value":"4042"},{"id":130,"name":"Impact","value":""},{"id":150,"name":"Time of Event (Mountain Time)","value":"09:06:35"},{"id":151,"name":"Denver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4042 --day 2017-11-07</v>
      </c>
      <c r="AN51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16:06:35"},{"id":29,"name":"Sharepoint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-11-07T07:22:13-0700',mode:absolute,to:'2017-11-07T10:06:35-0700'))&amp;_a=(columns:!('Message%20ID',Summary),filters:!(),index:'emp_*',interval:auto,query:(query_string:(analyze_wildcard:!t,query:'%22rtdc.l.rtdc.4042%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743</v>
      </c>
      <c r="B52" s="7">
        <v>4041</v>
      </c>
      <c r="C52" s="21" t="s">
        <v>192</v>
      </c>
      <c r="D52" s="21" t="s">
        <v>916</v>
      </c>
      <c r="E52" s="13">
        <v>43046.380416666667</v>
      </c>
      <c r="F52" s="13">
        <v>43046.394201388888</v>
      </c>
      <c r="G52" s="7">
        <v>44</v>
      </c>
      <c r="H52" s="21" t="s">
        <v>917</v>
      </c>
      <c r="I52" s="13">
        <v>43046.419004629628</v>
      </c>
      <c r="J52" s="7">
        <v>0</v>
      </c>
      <c r="K52" s="89" t="str">
        <f>IF(ISEVEN(B52),(B52-1)&amp;"/"&amp;B52,B52&amp;"/"&amp;(B52+1))</f>
        <v>4041/4042</v>
      </c>
      <c r="L52" s="185" t="str">
        <f>VLOOKUP(A52,'Trips&amp;Operators'!$C$1:$G$99911,5,FALSE)</f>
        <v>YORK EDGAR</v>
      </c>
      <c r="M52" s="6">
        <f>I52-F52</f>
        <v>2.4803240739856847E-2</v>
      </c>
      <c r="N52" s="7">
        <f>24*60*SUM($M52:$M52)</f>
        <v>35.716666665393859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-07T08:07:48-0700',mode:absolute,to:'2017-11-07T11:03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23.2974</v>
      </c>
      <c r="Z52" s="204">
        <f>RIGHT(H52,LEN(H52)-4)/10000</f>
        <v>1.72E-2</v>
      </c>
      <c r="AA52" s="204">
        <f>ABS(Z52-Y52)</f>
        <v>23.280200000000001</v>
      </c>
      <c r="AB52" s="54" t="e">
        <f>VLOOKUP(A52,Enforcements!$C$7:$K$10,8,0)</f>
        <v>#N/A</v>
      </c>
      <c r="AC52" s="51" t="e">
        <f>VLOOKUP(A52,Enforcements!$C$7:$E$10,3,0)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/stypes="app*4041*20171107*" /stext=" 17:.+((SYSTEM_STATE.+slice.+state.+changed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140-07 --locoid 4041 --swversion DE.1.0.9.0 --startMP 204:232974 --initTime 2017-11-07T09:07:48 --startdatetime 2017-11-07T09:27:39 --delay 44 --endMP 204:172 --enddatetime 2017-11-07T10:03:22 --enforcementcount 0 &gt;&gt;%USERPROFILE%\Documents\GitHub\eaglep3-reporting\EC\2017-11-07-refined-times.txt</v>
      </c>
      <c r="AI52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{"issue":{"subject":"","project_id":79,"tracker_id":40,"status_id":1,"priority_id":2,"assigned_to_id":338,"start_date":"2017-11-07","description":"","custom_fields":[{"id":1,"name":"Subdivision","value":"EC"},{"id":4,"name":"Milepost","value":"0.0172"},{"id":17,"name":"Train ID","value":"140-07"},{"id":16,"name":"Locomotive ID","value":"4041"},{"id":130,"name":"Impact","value":""},{"id":150,"name":"Time of Event (Mountain Time)","value":"10:03:22"},{"id":151,"name":"Denver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4041 --day 2017-11-07</v>
      </c>
      <c r="AN52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17:03:22"},{"id":29,"name":"Sharepoint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-11-07T08:07:48-0700',mode:absolute,to:'2017-11-07T11:03:22-0700'))&amp;_a=(columns:!('Message%20ID',Summary),filters:!(),index:'emp_*',interval:auto,query:(query_string:(analyze_wildcard:!t,query:'%22rtdc.l.rtdc.4041%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739</v>
      </c>
      <c r="B53" s="7">
        <v>4058</v>
      </c>
      <c r="C53" s="21" t="s">
        <v>192</v>
      </c>
      <c r="D53" s="21" t="s">
        <v>545</v>
      </c>
      <c r="E53" s="13">
        <v>43046.358993055554</v>
      </c>
      <c r="F53" s="13">
        <v>43046.365543981483</v>
      </c>
      <c r="G53" s="7">
        <v>50</v>
      </c>
      <c r="H53" s="21" t="s">
        <v>586</v>
      </c>
      <c r="I53" s="13">
        <v>43046.389236111114</v>
      </c>
      <c r="J53" s="7">
        <v>0</v>
      </c>
      <c r="K53" s="89" t="str">
        <f>IF(ISEVEN(B53),(B53-1)&amp;"/"&amp;B53,B53&amp;"/"&amp;(B53+1))</f>
        <v>4057/4058</v>
      </c>
      <c r="L53" s="185" t="str">
        <f>VLOOKUP(A53,'Trips&amp;Operators'!$C$1:$G$99911,5,FALSE)</f>
        <v>YANAI IAN</v>
      </c>
      <c r="M53" s="6">
        <f>I53-F53</f>
        <v>2.3692129630944692E-2</v>
      </c>
      <c r="N53" s="7">
        <f>24*60*SUM($M53:$M53)</f>
        <v>34.116666668560356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-07T07:36:57-0700',mode:absolute,to:'2017-11-07T10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4.9799999999999997E-2</v>
      </c>
      <c r="Z53" s="204">
        <f>RIGHT(H53,LEN(H53)-4)/10000</f>
        <v>23.329899999999999</v>
      </c>
      <c r="AA53" s="204">
        <f>ABS(Z53-Y53)</f>
        <v>23.280099999999997</v>
      </c>
      <c r="AB53" s="54" t="e">
        <f>VLOOKUP(A53,Enforcements!$C$7:$K$10,8,0)</f>
        <v>#N/A</v>
      </c>
      <c r="AC53" s="51" t="e">
        <f>VLOOKUP(A53,Enforcements!$C$7:$E$10,3,0)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s3://rtdc.mdm.uploadarchive.raw/RTDC4058/ "%USERPROFILE%\AppData\Local\Temp\OnboardLogs"\RTDC4058\2017-11-07 --exclude "*" --recursive --include "*20171107*" &amp; "%USERPROFILE%\Documents\GitHub\mrs-test-scripts\Headless Mode &amp; Sideloading\WalkAndUnGZ.bat" "%USERPROFILE%\AppData\Local\Temp\OnboardLogs"\RTDC4058\2017-11-07 &amp; aws s3 cp s3://rtdc.mdm.uploadarchive.raw/RTDC4058/ "%USERPROFILE%\AppData\Local\Temp\OnboardLogs"\RTDC4058\2017-11-08 --exclude "*" --recursive --include "*20171108*" &amp; "%USERPROFILE%\Documents\GitHub\mrs-test-scripts\Headless Mode &amp; Sideloading\WalkAndUnGZ.bat" "%USERPROFILE%\AppData\Local\Temp\OnboardLogs"\RTDC4058\2017-11-08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/stypes="app*4058*20171107*" /stext=" 16:.+((SYSTEM_STATE.+slice.+state.+changed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141-07 --locoid 4058 --swversion DE.1.0.9.0 --startMP 204:498 --initTime 2017-11-07T08:36:57 --startdatetime 2017-11-07T08:46:23 --delay 50 --endMP 204:233299 --enddatetime 2017-11-07T09:20:30 --enforcementcount 0 &gt;&gt;%USERPROFILE%\Documents\GitHub\eaglep3-reporting\EC\2017-11-07-refined-times.txt</v>
      </c>
      <c r="AI53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{"issue":{"subject":"","project_id":79,"tracker_id":40,"status_id":1,"priority_id":2,"assigned_to_id":338,"start_date":"2017-11-07","description":"","custom_fields":[{"id":1,"name":"Subdivision","value":"EC"},{"id":4,"name":"Milepost","value":"23.3299"},{"id":17,"name":"Train ID","value":"141-07"},{"id":16,"name":"Locomotive ID","value":"4058"},{"id":130,"name":"Impact","value":""},{"id":150,"name":"Time of Event (Mountain Time)","value":"09:20:30"},{"id":151,"name":"Denver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4058 --day 2017-11-07</v>
      </c>
      <c r="AN53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16:20:30"},{"id":29,"name":"Sharepoint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-11-07T07:36:57-0700',mode:absolute,to:'2017-11-07T10:20:30-0700'))&amp;_a=(columns:!('Message%20ID',Summary),filters:!(),index:'emp_*',interval:auto,query:(query_string:(analyze_wildcard:!t,query:'%22rtdc.l.rtdc.4058%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746</v>
      </c>
      <c r="B54" s="7">
        <v>4057</v>
      </c>
      <c r="C54" s="21" t="s">
        <v>192</v>
      </c>
      <c r="D54" s="21" t="s">
        <v>905</v>
      </c>
      <c r="E54" s="13">
        <v>43046.391180555554</v>
      </c>
      <c r="F54" s="13">
        <v>43046.404340277775</v>
      </c>
      <c r="G54" s="7">
        <v>68</v>
      </c>
      <c r="H54" s="21" t="s">
        <v>515</v>
      </c>
      <c r="I54" s="13">
        <v>43046.430289351854</v>
      </c>
      <c r="J54" s="7">
        <v>0</v>
      </c>
      <c r="K54" s="89" t="str">
        <f>IF(ISEVEN(B54),(B54-1)&amp;"/"&amp;B54,B54&amp;"/"&amp;(B54+1))</f>
        <v>4057/4058</v>
      </c>
      <c r="L54" s="185" t="str">
        <f>VLOOKUP(A54,'Trips&amp;Operators'!$C$1:$G$99911,5,FALSE)</f>
        <v>YANAI IAN</v>
      </c>
      <c r="M54" s="6">
        <f>I54-F54</f>
        <v>2.5949074079107959E-2</v>
      </c>
      <c r="N54" s="7">
        <f>24*60*SUM($M54:$M54)</f>
        <v>37.366666673915461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-07T08:23:18-0700',mode:absolute,to:'2017-11-07T11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23.296700000000001</v>
      </c>
      <c r="Z54" s="204">
        <f>RIGHT(H54,LEN(H54)-4)/10000</f>
        <v>2.12E-2</v>
      </c>
      <c r="AA54" s="204">
        <f>ABS(Z54-Y54)</f>
        <v>23.275500000000001</v>
      </c>
      <c r="AB54" s="54" t="e">
        <f>VLOOKUP(A54,Enforcements!$C$7:$K$10,8,0)</f>
        <v>#N/A</v>
      </c>
      <c r="AC54" s="51" t="e">
        <f>VLOOKUP(A54,Enforcements!$C$7:$E$10,3,0)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s3://rtdc.mdm.uploadarchive.raw/RTDC4057/ "%USERPROFILE%\AppData\Local\Temp\OnboardLogs"\RTDC4057\2017-11-07 --exclude "*" --recursive --include "*20171107*" &amp; "%USERPROFILE%\Documents\GitHub\mrs-test-scripts\Headless Mode &amp; Sideloading\WalkAndUnGZ.bat" "%USERPROFILE%\AppData\Local\Temp\OnboardLogs"\RTDC4057\2017-11-07 &amp; aws s3 cp s3://rtdc.mdm.uploadarchive.raw/RTDC4057/ "%USERPROFILE%\AppData\Local\Temp\OnboardLogs"\RTDC4057\2017-11-08 --exclude "*" --recursive --include "*20171108*" &amp; "%USERPROFILE%\Documents\GitHub\mrs-test-scripts\Headless Mode &amp; Sideloading\WalkAndUnGZ.bat" "%USERPROFILE%\AppData\Local\Temp\OnboardLogs"\RTDC4057\2017-11-08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/stypes="app*4057*20171107*" /stext=" 17:.+((SYSTEM_STATE.+slice.+state.+changed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142-07 --locoid 4057 --swversion DE.1.0.9.0 --startMP 204:232967 --initTime 2017-11-07T09:23:18 --startdatetime 2017-11-07T09:42:15 --delay 68 --endMP 204:212 --enddatetime 2017-11-07T10:19:37 --enforcementcount 0 &gt;&gt;%USERPROFILE%\Documents\GitHub\eaglep3-reporting\EC\2017-11-07-refined-times.txt</v>
      </c>
      <c r="AI54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{"issue":{"subject":"","project_id":79,"tracker_id":40,"status_id":1,"priority_id":2,"assigned_to_id":338,"start_date":"2017-11-07","description":"","custom_fields":[{"id":1,"name":"Subdivision","value":"EC"},{"id":4,"name":"Milepost","value":"0.0212"},{"id":17,"name":"Train ID","value":"142-07"},{"id":16,"name":"Locomotive ID","value":"4057"},{"id":130,"name":"Impact","value":""},{"id":150,"name":"Time of Event (Mountain Time)","value":"10:19:37"},{"id":151,"name":"Denver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4057 --day 2017-11-07</v>
      </c>
      <c r="AN54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17:19:37"},{"id":29,"name":"Sharepoint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-11-07T08:23:18-0700',mode:absolute,to:'2017-11-07T11:19:37-0700'))&amp;_a=(columns:!('Message%20ID',Summary),filters:!(),index:'emp_*',interval:auto,query:(query_string:(analyze_wildcard:!t,query:'%22rtdc.l.rtdc.4057%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740</v>
      </c>
      <c r="B55" s="7">
        <v>4064</v>
      </c>
      <c r="C55" s="21" t="s">
        <v>192</v>
      </c>
      <c r="D55" s="21" t="s">
        <v>504</v>
      </c>
      <c r="E55" s="13">
        <v>43046.37054398148</v>
      </c>
      <c r="F55" s="13">
        <v>43046.375208333331</v>
      </c>
      <c r="G55" s="7">
        <v>65</v>
      </c>
      <c r="H55" s="21" t="s">
        <v>914</v>
      </c>
      <c r="I55" s="13">
        <v>43046.400509259256</v>
      </c>
      <c r="J55" s="7">
        <v>0</v>
      </c>
      <c r="K55" s="89" t="str">
        <f>IF(ISEVEN(B55),(B55-1)&amp;"/"&amp;B55,B55&amp;"/"&amp;(B55+1))</f>
        <v>4063/4064</v>
      </c>
      <c r="L55" s="185" t="str">
        <f>VLOOKUP(A55,'Trips&amp;Operators'!$C$1:$G$99911,5,FALSE)</f>
        <v>BONDS REYNALDO</v>
      </c>
      <c r="M55" s="6">
        <f>I55-F55</f>
        <v>2.5300925924966577E-2</v>
      </c>
      <c r="N55" s="7">
        <f>24*60*SUM($M55:$M55)</f>
        <v>36.433333331951872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-07T07:53:35-0700',mode:absolute,to:'2017-11-07T10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5.1999999999999998E-2</v>
      </c>
      <c r="Z55" s="204">
        <f>RIGHT(H55,LEN(H55)-4)/10000</f>
        <v>23.3293</v>
      </c>
      <c r="AA55" s="204">
        <f>ABS(Z55-Y55)</f>
        <v>23.2773</v>
      </c>
      <c r="AB55" s="54" t="e">
        <f>VLOOKUP(A55,Enforcements!$C$7:$K$10,8,0)</f>
        <v>#N/A</v>
      </c>
      <c r="AC55" s="51" t="e">
        <f>VLOOKUP(A55,Enforcements!$C$7:$E$10,3,0)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/stypes="app*4064*20171107*" /stext=" 16:.+((SYSTEM_STATE.+slice.+state.+changed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143-07 --locoid 4064 --swversion DE.1.0.9.0 --startMP 204:520 --initTime 2017-11-07T08:53:35 --startdatetime 2017-11-07T09:00:18 --delay 65 --endMP 204:233293 --enddatetime 2017-11-07T09:36:44 --enforcementcount 0 &gt;&gt;%USERPROFILE%\Documents\GitHub\eaglep3-reporting\EC\2017-11-07-refined-times.txt</v>
      </c>
      <c r="AI55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{"issue":{"subject":"","project_id":79,"tracker_id":40,"status_id":1,"priority_id":2,"assigned_to_id":338,"start_date":"2017-11-07","description":"","custom_fields":[{"id":1,"name":"Subdivision","value":"EC"},{"id":4,"name":"Milepost","value":"23.3293"},{"id":17,"name":"Train ID","value":"143-07"},{"id":16,"name":"Locomotive ID","value":"4064"},{"id":130,"name":"Impact","value":""},{"id":150,"name":"Time of Event (Mountain Time)","value":"09:36:44"},{"id":151,"name":"Denver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4064 --day 2017-11-07</v>
      </c>
      <c r="AN55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-11-07T07:53:35-0700',mode:absolute,to:'2017-11-07T10:36:44-0700'))&amp;_a=(columns:!('Message%20ID',Summary),filters:!(),index:'emp_*',interval:auto,query:(query_string:(analyze_wildcard:!t,query:'%22rtdc.l.rtdc.4064%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748</v>
      </c>
      <c r="B56" s="7">
        <v>4063</v>
      </c>
      <c r="C56" s="21" t="s">
        <v>192</v>
      </c>
      <c r="D56" s="21" t="s">
        <v>916</v>
      </c>
      <c r="E56" s="13">
        <v>43046.409710648149</v>
      </c>
      <c r="F56" s="13">
        <v>43046.414780092593</v>
      </c>
      <c r="G56" s="7">
        <v>72</v>
      </c>
      <c r="H56" s="21" t="s">
        <v>483</v>
      </c>
      <c r="I56" s="13">
        <v>43046.440972222219</v>
      </c>
      <c r="J56" s="7">
        <v>0</v>
      </c>
      <c r="K56" s="89" t="str">
        <f>IF(ISEVEN(B56),(B56-1)&amp;"/"&amp;B56,B56&amp;"/"&amp;(B56+1))</f>
        <v>4063/4064</v>
      </c>
      <c r="L56" s="185" t="str">
        <f>VLOOKUP(A56,'Trips&amp;Operators'!$C$1:$G$99911,5,FALSE)</f>
        <v>BONDS REYNALDO</v>
      </c>
      <c r="M56" s="6">
        <f>I56-F56</f>
        <v>2.619212962599704E-2</v>
      </c>
      <c r="N56" s="7">
        <f>24*60*SUM($M56:$M56)</f>
        <v>37.716666661435738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-07T08:49:59-0700',mode:absolute,to:'2017-11-07T11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23.2974</v>
      </c>
      <c r="Z56" s="204">
        <f>RIGHT(H56,LEN(H56)-4)/10000</f>
        <v>1.89E-2</v>
      </c>
      <c r="AA56" s="204">
        <f>ABS(Z56-Y56)</f>
        <v>23.278500000000001</v>
      </c>
      <c r="AB56" s="54" t="e">
        <f>VLOOKUP(A56,Enforcements!$C$7:$K$10,8,0)</f>
        <v>#N/A</v>
      </c>
      <c r="AC56" s="51" t="e">
        <f>VLOOKUP(A56,Enforcements!$C$7:$E$10,3,0)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/stypes="app*4063*20171107*" /stext=" 17:.+((SYSTEM_STATE.+slice.+state.+changed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144-07 --locoid 4063 --swversion DE.1.0.9.0 --startMP 204:232974 --initTime 2017-11-07T09:49:59 --startdatetime 2017-11-07T09:57:17 --delay 72 --endMP 204:189 --enddatetime 2017-11-07T10:35:00 --enforcementcount 0 &gt;&gt;%USERPROFILE%\Documents\GitHub\eaglep3-reporting\EC\2017-11-07-refined-times.txt</v>
      </c>
      <c r="AI56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{"issue":{"subject":"","project_id":79,"tracker_id":40,"status_id":1,"priority_id":2,"assigned_to_id":338,"start_date":"2017-11-07","description":"","custom_fields":[{"id":1,"name":"Subdivision","value":"EC"},{"id":4,"name":"Milepost","value":"0.0189"},{"id":17,"name":"Train ID","value":"144-07"},{"id":16,"name":"Locomotive ID","value":"4063"},{"id":130,"name":"Impact","value":""},{"id":150,"name":"Time of Event (Mountain Time)","value":"10:35:00"},{"id":151,"name":"Denver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4063 --day 2017-11-07</v>
      </c>
      <c r="AN56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17:35:00"},{"id":29,"name":"Sharepoint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-11-07T08:49:59-0700',mode:absolute,to:'2017-11-07T11:35:00-0700'))&amp;_a=(columns:!('Message%20ID',Summary),filters:!(),index:'emp_*',interval:auto,query:(query_string:(analyze_wildcard:!t,query:'%22rtdc.l.rtdc.4063%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744</v>
      </c>
      <c r="B57" s="7">
        <v>4040</v>
      </c>
      <c r="C57" s="21" t="s">
        <v>192</v>
      </c>
      <c r="D57" s="21" t="s">
        <v>918</v>
      </c>
      <c r="E57" s="13">
        <v>43046.384317129632</v>
      </c>
      <c r="F57" s="13">
        <v>43046.385775462964</v>
      </c>
      <c r="G57" s="7">
        <v>50</v>
      </c>
      <c r="H57" s="21" t="s">
        <v>481</v>
      </c>
      <c r="I57" s="13">
        <v>43046.409953703704</v>
      </c>
      <c r="J57" s="7">
        <v>0</v>
      </c>
      <c r="K57" s="89" t="str">
        <f>IF(ISEVEN(B57),(B57-1)&amp;"/"&amp;B57,B57&amp;"/"&amp;(B57+1))</f>
        <v>4039/4040</v>
      </c>
      <c r="L57" s="185" t="str">
        <f>VLOOKUP(A57,'Trips&amp;Operators'!$C$1:$G$99911,5,FALSE)</f>
        <v>MACDONALD THOMAS</v>
      </c>
      <c r="M57" s="6">
        <f>I57-F57</f>
        <v>2.417824073927477E-2</v>
      </c>
      <c r="N57" s="7">
        <f>24*60*SUM($M57:$M57)</f>
        <v>34.816666664555669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-07T08:13:25-0700',mode:absolute,to:'2017-11-07T10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5.3999999999999999E-2</v>
      </c>
      <c r="Z57" s="204">
        <f>RIGHT(H57,LEN(H57)-4)/10000</f>
        <v>23.325299999999999</v>
      </c>
      <c r="AA57" s="204">
        <f>ABS(Z57-Y57)</f>
        <v>23.2713</v>
      </c>
      <c r="AB57" s="54" t="e">
        <f>VLOOKUP(A57,Enforcements!$C$7:$K$10,8,0)</f>
        <v>#N/A</v>
      </c>
      <c r="AC57" s="51" t="e">
        <f>VLOOKUP(A57,Enforcements!$C$7:$E$10,3,0)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s3://rtdc.mdm.uploadarchive.raw/RTDC4040/ "%USERPROFILE%\AppData\Local\Temp\OnboardLogs"\RTDC4040\2017-11-07 --exclude "*" --recursive --include "*20171107*" &amp; "%USERPROFILE%\Documents\GitHub\mrs-test-scripts\Headless Mode &amp; Sideloading\WalkAndUnGZ.bat" "%USERPROFILE%\AppData\Local\Temp\OnboardLogs"\RTDC4040\2017-11-07 &amp; aws s3 cp s3://rtdc.mdm.uploadarchive.raw/RTDC4040/ "%USERPROFILE%\AppData\Local\Temp\OnboardLogs"\RTDC4040\2017-11-08 --exclude "*" --recursive --include "*20171108*" &amp; "%USERPROFILE%\Documents\GitHub\mrs-test-scripts\Headless Mode &amp; Sideloading\WalkAndUnGZ.bat" "%USERPROFILE%\AppData\Local\Temp\OnboardLogs"\RTDC4040\2017-11-08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/stypes="app*4040*20171107*" /stext=" 16:.+((SYSTEM_STATE.+slice.+state.+changed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145-07 --locoid 4040 --swversion DE.1.0.9.0 --startMP 204:540 --initTime 2017-11-07T09:13:25 --startdatetime 2017-11-07T09:15:31 --delay 50 --endMP 204:233253 --enddatetime 2017-11-07T09:50:20 --enforcementcount 0 &gt;&gt;%USERPROFILE%\Documents\GitHub\eaglep3-reporting\EC\2017-11-07-refined-times.txt</v>
      </c>
      <c r="AI57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{"issue":{"subject":"","project_id":79,"tracker_id":40,"status_id":1,"priority_id":2,"assigned_to_id":338,"start_date":"2017-11-07","description":"","custom_fields":[{"id":1,"name":"Subdivision","value":"EC"},{"id":4,"name":"Milepost","value":"23.3253"},{"id":17,"name":"Train ID","value":"145-07"},{"id":16,"name":"Locomotive ID","value":"4040"},{"id":130,"name":"Impact","value":""},{"id":150,"name":"Time of Event (Mountain Time)","value":"09:50:20"},{"id":151,"name":"Denver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4040 --day 2017-11-07</v>
      </c>
      <c r="AN57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16:50:20"},{"id":29,"name":"Sharepoint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-11-07T08:13:25-0700',mode:absolute,to:'2017-11-07T10:50:20-0700'))&amp;_a=(columns:!('Message%20ID',Summary),filters:!(),index:'emp_*',interval:auto,query:(query_string:(analyze_wildcard:!t,query:'%22rtdc.l.rtdc.4040%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654</v>
      </c>
      <c r="B58" s="7">
        <v>4039</v>
      </c>
      <c r="C58" s="21" t="s">
        <v>192</v>
      </c>
      <c r="D58" s="21" t="s">
        <v>919</v>
      </c>
      <c r="E58" s="13">
        <v>43046.411435185182</v>
      </c>
      <c r="F58" s="13">
        <v>43046.425208333334</v>
      </c>
      <c r="G58" s="7">
        <v>1065</v>
      </c>
      <c r="H58" s="21" t="s">
        <v>542</v>
      </c>
      <c r="I58" s="13">
        <v>43046.452488425923</v>
      </c>
      <c r="J58" s="7">
        <v>0</v>
      </c>
      <c r="K58" s="89" t="str">
        <f>IF(ISEVEN(B58),(B58-1)&amp;"/"&amp;B58,B58&amp;"/"&amp;(B58+1))</f>
        <v>4039/4040</v>
      </c>
      <c r="L58" s="185" t="str">
        <f>VLOOKUP(A58,'Trips&amp;Operators'!$C$1:$G$99911,5,FALSE)</f>
        <v>MACDONALD THOMAS</v>
      </c>
      <c r="M58" s="6">
        <f>I58-F58</f>
        <v>2.7280092588625848E-2</v>
      </c>
      <c r="N58" s="7">
        <f>24*60*SUM($M58:$M58)</f>
        <v>39.283333327621222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-07T08:52:28-0700',mode:absolute,to:'2017-11-07T11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23.292899999999999</v>
      </c>
      <c r="Z58" s="204">
        <f>RIGHT(H58,LEN(H58)-4)/10000</f>
        <v>1.9400000000000001E-2</v>
      </c>
      <c r="AA58" s="204">
        <f>ABS(Z58-Y58)</f>
        <v>23.273499999999999</v>
      </c>
      <c r="AB58" s="54" t="e">
        <f>VLOOKUP(A58,Enforcements!$C$7:$K$10,8,0)</f>
        <v>#N/A</v>
      </c>
      <c r="AC58" s="51" t="e">
        <f>VLOOKUP(A58,Enforcements!$C$7:$E$10,3,0)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s3://rtdc.mdm.uploadarchive.raw/RTDC4039/ "%USERPROFILE%\AppData\Local\Temp\OnboardLogs"\RTDC4039\2017-11-07 --exclude "*" --recursive --include "*20171107*" &amp; "%USERPROFILE%\Documents\GitHub\mrs-test-scripts\Headless Mode &amp; Sideloading\WalkAndUnGZ.bat" "%USERPROFILE%\AppData\Local\Temp\OnboardLogs"\RTDC4039\2017-11-07 &amp; aws s3 cp s3://rtdc.mdm.uploadarchive.raw/RTDC4039/ "%USERPROFILE%\AppData\Local\Temp\OnboardLogs"\RTDC4039\2017-11-08 --exclude "*" --recursive --include "*20171108*" &amp; "%USERPROFILE%\Documents\GitHub\mrs-test-scripts\Headless Mode &amp; Sideloading\WalkAndUnGZ.bat" "%USERPROFILE%\AppData\Local\Temp\OnboardLogs"\RTDC4039\2017-11-08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/stypes="app*4039*20171107*" /stext=" 17:.+((SYSTEM_STATE.+slice.+state.+changed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146-07 --locoid 4039 --swversion DE.1.0.9.0 --startMP 204:232929 --initTime 2017-11-07T09:52:28 --startdatetime 2017-11-07T10:12:18 --delay 1065 --endMP 204:194 --enddatetime 2017-11-07T10:51:35 --enforcementcount 0 &gt;&gt;%USERPROFILE%\Documents\GitHub\eaglep3-reporting\EC\2017-11-07-refined-times.txt</v>
      </c>
      <c r="AI58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{"issue":{"subject":"","project_id":79,"tracker_id":40,"status_id":1,"priority_id":2,"assigned_to_id":338,"start_date":"2017-11-07","description":"","custom_fields":[{"id":1,"name":"Subdivision","value":"EC"},{"id":4,"name":"Milepost","value":"0.0194"},{"id":17,"name":"Train ID","value":"146-07"},{"id":16,"name":"Locomotive ID","value":"4039"},{"id":130,"name":"Impact","value":""},{"id":150,"name":"Time of Event (Mountain Time)","value":"10:51:35"},{"id":151,"name":"Denver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4039 --day 2017-11-07</v>
      </c>
      <c r="AN58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17:51:35"},{"id":29,"name":"Sharepoint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-11-07T08:52:28-0700',mode:absolute,to:'2017-11-07T11:51:35-0700'))&amp;_a=(columns:!('Message%20ID',Summary),filters:!(),index:'emp_*',interval:auto,query:(query_string:(analyze_wildcard:!t,query:'%22rtdc.l.rtdc.4039%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745</v>
      </c>
      <c r="B59" s="7">
        <v>4008</v>
      </c>
      <c r="C59" s="21" t="s">
        <v>192</v>
      </c>
      <c r="D59" s="21" t="s">
        <v>374</v>
      </c>
      <c r="E59" s="13">
        <v>43046.391238425924</v>
      </c>
      <c r="F59" s="13">
        <v>43046.396006944444</v>
      </c>
      <c r="G59" s="7">
        <v>61</v>
      </c>
      <c r="H59" s="21" t="s">
        <v>538</v>
      </c>
      <c r="I59" s="13">
        <v>43046.421585648146</v>
      </c>
      <c r="J59" s="7">
        <v>0</v>
      </c>
      <c r="K59" s="89" t="str">
        <f>IF(ISEVEN(B59),(B59-1)&amp;"/"&amp;B59,B59&amp;"/"&amp;(B59+1))</f>
        <v>4007/4008</v>
      </c>
      <c r="L59" s="185" t="str">
        <f>VLOOKUP(A59,'Trips&amp;Operators'!$C$1:$G$99911,5,FALSE)</f>
        <v>LANGERAK WILLIAM</v>
      </c>
      <c r="M59" s="6">
        <f>I59-F59</f>
        <v>2.5578703702194616E-2</v>
      </c>
      <c r="N59" s="7">
        <f>24*60*SUM($M59:$M59)</f>
        <v>36.833333331160247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-07T08:23:23-0700',mode:absolute,to:'2017-11-07T11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4.7699999999999999E-2</v>
      </c>
      <c r="Z59" s="204">
        <f>RIGHT(H59,LEN(H59)-4)/10000</f>
        <v>23.325500000000002</v>
      </c>
      <c r="AA59" s="204">
        <f>ABS(Z59-Y59)</f>
        <v>23.277800000000003</v>
      </c>
      <c r="AB59" s="54" t="e">
        <f>VLOOKUP(A59,Enforcements!$C$7:$K$10,8,0)</f>
        <v>#N/A</v>
      </c>
      <c r="AC59" s="51" t="e">
        <f>VLOOKUP(A59,Enforcements!$C$7:$E$10,3,0)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/stypes="app*4008*20171107*" /stext=" 17:.+((SYSTEM_STATE.+slice.+state.+changed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147-07 --locoid 4008 --swversion DE.1.0.9.0 --startMP 204:477 --initTime 2017-11-07T09:23:23 --startdatetime 2017-11-07T09:30:15 --delay 61 --endMP 204:233255 --enddatetime 2017-11-07T10:07:05 --enforcementcount 0 &gt;&gt;%USERPROFILE%\Documents\GitHub\eaglep3-reporting\EC\2017-11-07-refined-times.txt</v>
      </c>
      <c r="AI59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{"issue":{"subject":"","project_id":79,"tracker_id":40,"status_id":1,"priority_id":2,"assigned_to_id":338,"start_date":"2017-11-07","description":"","custom_fields":[{"id":1,"name":"Subdivision","value":"EC"},{"id":4,"name":"Milepost","value":"23.3255"},{"id":17,"name":"Train ID","value":"147-07"},{"id":16,"name":"Locomotive ID","value":"4008"},{"id":130,"name":"Impact","value":""},{"id":150,"name":"Time of Event (Mountain Time)","value":"10:07:05"},{"id":151,"name":"Denver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4008 --day 2017-11-07</v>
      </c>
      <c r="AN59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17:07:05"},{"id":29,"name":"Sharepoint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-11-07T08:23:23-0700',mode:absolute,to:'2017-11-07T11:07:05-0700'))&amp;_a=(columns:!('Message%20ID',Summary),filters:!(),index:'emp_*',interval:auto,query:(query_string:(analyze_wildcard:!t,query:'%22rtdc.l.rtdc.4008%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752</v>
      </c>
      <c r="B60" s="7">
        <v>4007</v>
      </c>
      <c r="C60" s="21" t="s">
        <v>192</v>
      </c>
      <c r="D60" s="21" t="s">
        <v>472</v>
      </c>
      <c r="E60" s="13">
        <v>43046.422962962963</v>
      </c>
      <c r="F60" s="13">
        <v>43046.435960648145</v>
      </c>
      <c r="G60" s="7">
        <v>57</v>
      </c>
      <c r="H60" s="21" t="s">
        <v>595</v>
      </c>
      <c r="I60" s="13">
        <v>43046.462476851855</v>
      </c>
      <c r="J60" s="7">
        <v>0</v>
      </c>
      <c r="K60" s="89" t="str">
        <f>IF(ISEVEN(B60),(B60-1)&amp;"/"&amp;B60,B60&amp;"/"&amp;(B60+1))</f>
        <v>4007/4008</v>
      </c>
      <c r="L60" s="185" t="str">
        <f>VLOOKUP(A60,'Trips&amp;Operators'!$C$1:$G$99911,5,FALSE)</f>
        <v>LANGERAK WILLIAM</v>
      </c>
      <c r="M60" s="6">
        <f>I60-F60</f>
        <v>2.6516203710343689E-2</v>
      </c>
      <c r="N60" s="7">
        <f>24*60*SUM($M60:$M60)</f>
        <v>38.183333342894912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-07T09:09:04-0700',mode:absolute,to:'2017-11-07T12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23.293399999999998</v>
      </c>
      <c r="Z60" s="204">
        <f>RIGHT(H60,LEN(H60)-4)/10000</f>
        <v>1.6899999999999998E-2</v>
      </c>
      <c r="AA60" s="204">
        <f>ABS(Z60-Y60)</f>
        <v>23.276499999999999</v>
      </c>
      <c r="AB60" s="54" t="e">
        <f>VLOOKUP(A60,Enforcements!$C$7:$K$10,8,0)</f>
        <v>#N/A</v>
      </c>
      <c r="AC60" s="51" t="e">
        <f>VLOOKUP(A60,Enforcements!$C$7:$E$10,3,0)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/stypes="app*4007*20171107*" /stext=" 18:.+((SYSTEM_STATE.+slice.+state.+changed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148-07 --locoid 4007 --swversion DE.1.0.9.0 --startMP 204:232934 --initTime 2017-11-07T10:09:04 --startdatetime 2017-11-07T10:27:47 --delay 57 --endMP 204:169 --enddatetime 2017-11-07T11:05:58 --enforcementcount 0 &gt;&gt;%USERPROFILE%\Documents\GitHub\eaglep3-reporting\EC\2017-11-07-refined-times.txt</v>
      </c>
      <c r="AI60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{"issue":{"subject":"","project_id":79,"tracker_id":40,"status_id":1,"priority_id":2,"assigned_to_id":338,"start_date":"2017-11-07","description":"","custom_fields":[{"id":1,"name":"Subdivision","value":"EC"},{"id":4,"name":"Milepost","value":"0.0169"},{"id":17,"name":"Train ID","value":"148-07"},{"id":16,"name":"Locomotive ID","value":"4007"},{"id":130,"name":"Impact","value":""},{"id":150,"name":"Time of Event (Mountain Time)","value":"11:05:58"},{"id":151,"name":"Denver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4007 --day 2017-11-07</v>
      </c>
      <c r="AN60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-11-07T09:09:04-0700',mode:absolute,to:'2017-11-07T12:05:58-0700'))&amp;_a=(columns:!('Message%20ID',Summary),filters:!(),index:'emp_*',interval:auto,query:(query_string:(analyze_wildcard:!t,query:'%22rtdc.l.rtdc.4007%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652</v>
      </c>
      <c r="B61" s="7">
        <v>4066</v>
      </c>
      <c r="C61" s="21" t="s">
        <v>192</v>
      </c>
      <c r="D61" s="21" t="s">
        <v>920</v>
      </c>
      <c r="E61" s="13">
        <v>43046.402361111112</v>
      </c>
      <c r="F61" s="13">
        <v>43046.406423611108</v>
      </c>
      <c r="G61" s="7">
        <v>67</v>
      </c>
      <c r="H61" s="21" t="s">
        <v>534</v>
      </c>
      <c r="I61" s="13">
        <v>43046.431643518517</v>
      </c>
      <c r="J61" s="7">
        <v>0</v>
      </c>
      <c r="K61" s="89" t="str">
        <f>IF(ISEVEN(B61),(B61-1)&amp;"/"&amp;B61,B61&amp;"/"&amp;(B61+1))</f>
        <v>4065/4066</v>
      </c>
      <c r="L61" s="185" t="str">
        <f>VLOOKUP(A61,'Trips&amp;Operators'!$C$1:$G$99911,5,FALSE)</f>
        <v>BARRON PERLA</v>
      </c>
      <c r="M61" s="6">
        <f>I61-F61</f>
        <v>2.5219907409336884E-2</v>
      </c>
      <c r="N61" s="7">
        <f>24*60*SUM($M61:$M61)</f>
        <v>36.316666669445112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-07T08:39:24-0700',mode:absolute,to:'2017-11-07T11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5.4600000000000003E-2</v>
      </c>
      <c r="Z61" s="204">
        <f>RIGHT(H61,LEN(H61)-4)/10000</f>
        <v>23.3307</v>
      </c>
      <c r="AA61" s="204">
        <f>ABS(Z61-Y61)</f>
        <v>23.2761</v>
      </c>
      <c r="AB61" s="54" t="e">
        <f>VLOOKUP(A61,Enforcements!$C$7:$K$10,8,0)</f>
        <v>#N/A</v>
      </c>
      <c r="AC61" s="51" t="e">
        <f>VLOOKUP(A61,Enforcements!$C$7:$E$10,3,0)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 &amp; aws s3 cp s3://rtdc.mdm.uploadarchive.raw/RTDC4066/ "%USERPROFILE%\AppData\Local\Temp\OnboardLogs"\RTDC4066\2017-11-08 --exclude "*" --recursive --include "*20171108*" &amp; "%USERPROFILE%\Documents\GitHub\mrs-test-scripts\Headless Mode &amp; Sideloading\WalkAndUnGZ.bat" "%USERPROFILE%\AppData\Local\Temp\OnboardLogs"\RTDC4066\2017-11-08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/stypes="app*4066*20171107*" /stext=" 17:.+((SYSTEM_STATE.+slice.+state.+changed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149-07 --locoid 4066 --swversion DE.1.0.9.0 --startMP 204:546 --initTime 2017-11-07T09:39:24 --startdatetime 2017-11-07T09:45:15 --delay 67 --endMP 204:233307 --enddatetime 2017-11-07T10:21:34 --enforcementcount 0 &gt;&gt;%USERPROFILE%\Documents\GitHub\eaglep3-reporting\EC\2017-11-07-refined-times.txt</v>
      </c>
      <c r="AI61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{"issue":{"subject":"","project_id":79,"tracker_id":40,"status_id":1,"priority_id":2,"assigned_to_id":338,"start_date":"2017-11-07","description":"","custom_fields":[{"id":1,"name":"Subdivision","value":"EC"},{"id":4,"name":"Milepost","value":"23.3307"},{"id":17,"name":"Train ID","value":"149-07"},{"id":16,"name":"Locomotive ID","value":"4066"},{"id":130,"name":"Impact","value":""},{"id":150,"name":"Time of Event (Mountain Time)","value":"10:21:34"},{"id":151,"name":"Denver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4066 --day 2017-11-07</v>
      </c>
      <c r="AN61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17:21:34"},{"id":29,"name":"Sharepoint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-11-07T08:39:24-0700',mode:absolute,to:'2017-11-07T11:21:34-0700'))&amp;_a=(columns:!('Message%20ID',Summary),filters:!(),index:'emp_*',interval:auto,query:(query_string:(analyze_wildcard:!t,query:'%22rtdc.l.rtdc.4066%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754</v>
      </c>
      <c r="B62" s="7">
        <v>4065</v>
      </c>
      <c r="C62" s="21" t="s">
        <v>192</v>
      </c>
      <c r="D62" s="21" t="s">
        <v>503</v>
      </c>
      <c r="E62" s="13">
        <v>43046.433530092596</v>
      </c>
      <c r="F62" s="13">
        <v>43046.446030092593</v>
      </c>
      <c r="G62" s="7">
        <v>69</v>
      </c>
      <c r="H62" s="21" t="s">
        <v>505</v>
      </c>
      <c r="I62" s="13">
        <v>43046.473252314812</v>
      </c>
      <c r="J62" s="7">
        <v>0</v>
      </c>
      <c r="K62" s="89" t="str">
        <f>IF(ISEVEN(B62),(B62-1)&amp;"/"&amp;B62,B62&amp;"/"&amp;(B62+1))</f>
        <v>4065/4066</v>
      </c>
      <c r="L62" s="185" t="str">
        <f>VLOOKUP(A62,'Trips&amp;Operators'!$C$1:$G$99911,5,FALSE)</f>
        <v>BARRON PERLA</v>
      </c>
      <c r="M62" s="6">
        <f>I62-F62</f>
        <v>2.7222222219279502E-2</v>
      </c>
      <c r="N62" s="7">
        <f>24*60*SUM($M62:$M62)</f>
        <v>39.199999995762482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-07T09:24:17-0700',mode:absolute,to:'2017-11-07T12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23.2971</v>
      </c>
      <c r="Z62" s="204">
        <f>RIGHT(H62,LEN(H62)-4)/10000</f>
        <v>2.0299999999999999E-2</v>
      </c>
      <c r="AA62" s="204">
        <f>ABS(Z62-Y62)</f>
        <v>23.276800000000001</v>
      </c>
      <c r="AB62" s="54" t="e">
        <f>VLOOKUP(A62,Enforcements!$C$7:$K$10,8,0)</f>
        <v>#N/A</v>
      </c>
      <c r="AC62" s="51" t="e">
        <f>VLOOKUP(A62,Enforcements!$C$7:$E$10,3,0)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 &amp; aws s3 cp s3://rtdc.mdm.uploadarchive.raw/RTDC4065/ "%USERPROFILE%\AppData\Local\Temp\OnboardLogs"\RTDC4065\2017-11-08 --exclude "*" --recursive --include "*20171108*" &amp; "%USERPROFILE%\Documents\GitHub\mrs-test-scripts\Headless Mode &amp; Sideloading\WalkAndUnGZ.bat" "%USERPROFILE%\AppData\Local\Temp\OnboardLogs"\RTDC4065\2017-11-08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/stypes="app*4065*20171107*" /stext=" 18:.+((SYSTEM_STATE.+slice.+state.+changed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150-07 --locoid 4065 --swversion DE.1.0.9.0 --startMP 204:232971 --initTime 2017-11-07T10:24:17 --startdatetime 2017-11-07T10:42:17 --delay 69 --endMP 204:203 --enddatetime 2017-11-07T11:21:29 --enforcementcount 0 &gt;&gt;%USERPROFILE%\Documents\GitHub\eaglep3-reporting\EC\2017-11-07-refined-times.txt</v>
      </c>
      <c r="AI62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{"issue":{"subject":"","project_id":79,"tracker_id":40,"status_id":1,"priority_id":2,"assigned_to_id":338,"start_date":"2017-11-07","description":"","custom_fields":[{"id":1,"name":"Subdivision","value":"EC"},{"id":4,"name":"Milepost","value":"0.0203"},{"id":17,"name":"Train ID","value":"150-07"},{"id":16,"name":"Locomotive ID","value":"4065"},{"id":130,"name":"Impact","value":""},{"id":150,"name":"Time of Event (Mountain Time)","value":"11:21:29"},{"id":151,"name":"Denver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4065 --day 2017-11-07</v>
      </c>
      <c r="AN62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-11-07T09:24:17-0700',mode:absolute,to:'2017-11-07T12:21:29-0700'))&amp;_a=(columns:!('Message%20ID',Summary),filters:!(),index:'emp_*',interval:auto,query:(query_string:(analyze_wildcard:!t,query:'%22rtdc.l.rtdc.4065%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749</v>
      </c>
      <c r="B63" s="7">
        <v>4026</v>
      </c>
      <c r="C63" s="21" t="s">
        <v>192</v>
      </c>
      <c r="D63" s="21" t="s">
        <v>600</v>
      </c>
      <c r="E63" s="13">
        <v>43046.41306712963</v>
      </c>
      <c r="F63" s="13">
        <v>43046.416828703703</v>
      </c>
      <c r="G63" s="7">
        <v>61</v>
      </c>
      <c r="H63" s="21" t="s">
        <v>590</v>
      </c>
      <c r="I63" s="13">
        <v>43046.44159722222</v>
      </c>
      <c r="J63" s="7">
        <v>0</v>
      </c>
      <c r="K63" s="89" t="str">
        <f>IF(ISEVEN(B63),(B63-1)&amp;"/"&amp;B63,B63&amp;"/"&amp;(B63+1))</f>
        <v>4025/4026</v>
      </c>
      <c r="L63" s="185" t="str">
        <f>VLOOKUP(A63,'Trips&amp;Operators'!$C$1:$G$99911,5,FALSE)</f>
        <v>LAMAR NEKESHA</v>
      </c>
      <c r="M63" s="6">
        <f>I63-F63</f>
        <v>2.4768518516793847E-2</v>
      </c>
      <c r="N63" s="7">
        <f>24*60*SUM($M63:$M63)</f>
        <v>35.66666666418314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-07T08:54:49-0700',mode:absolute,to:'2017-11-07T11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4.8899999999999999E-2</v>
      </c>
      <c r="Z63" s="204">
        <f>RIGHT(H63,LEN(H63)-4)/10000</f>
        <v>23.3291</v>
      </c>
      <c r="AA63" s="204">
        <f>ABS(Z63-Y63)</f>
        <v>23.280200000000001</v>
      </c>
      <c r="AB63" s="54" t="e">
        <f>VLOOKUP(A63,Enforcements!$C$7:$K$10,8,0)</f>
        <v>#N/A</v>
      </c>
      <c r="AC63" s="51" t="e">
        <f>VLOOKUP(A63,Enforcements!$C$7:$E$10,3,0)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s3://rtdc.mdm.uploadarchive.raw/RTDC4026/ "%USERPROFILE%\AppData\Local\Temp\OnboardLogs"\RTDC4026\2017-11-07 --exclude "*" --recursive --include "*20171107*" &amp; "%USERPROFILE%\Documents\GitHub\mrs-test-scripts\Headless Mode &amp; Sideloading\WalkAndUnGZ.bat" "%USERPROFILE%\AppData\Local\Temp\OnboardLogs"\RTDC4026\2017-11-07 &amp; aws s3 cp s3://rtdc.mdm.uploadarchive.raw/RTDC4026/ "%USERPROFILE%\AppData\Local\Temp\OnboardLogs"\RTDC4026\2017-11-08 --exclude "*" --recursive --include "*20171108*" &amp; "%USERPROFILE%\Documents\GitHub\mrs-test-scripts\Headless Mode &amp; Sideloading\WalkAndUnGZ.bat" "%USERPROFILE%\AppData\Local\Temp\OnboardLogs"\RTDC4026\2017-11-08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/stypes="app*4026*20171107*" /stext=" 17:.+((SYSTEM_STATE.+slice.+state.+changed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151-07 --locoid 4026 --swversion DE.1.0.9.0 --startMP 204:489 --initTime 2017-11-07T09:54:49 --startdatetime 2017-11-07T10:00:14 --delay 61 --endMP 204:233291 --enddatetime 2017-11-07T10:35:54 --enforcementcount 0 &gt;&gt;%USERPROFILE%\Documents\GitHub\eaglep3-reporting\EC\2017-11-07-refined-times.txt</v>
      </c>
      <c r="AI63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{"issue":{"subject":"","project_id":79,"tracker_id":40,"status_id":1,"priority_id":2,"assigned_to_id":338,"start_date":"2017-11-07","description":"","custom_fields":[{"id":1,"name":"Subdivision","value":"EC"},{"id":4,"name":"Milepost","value":"23.3291"},{"id":17,"name":"Train ID","value":"151-07"},{"id":16,"name":"Locomotive ID","value":"4026"},{"id":130,"name":"Impact","value":""},{"id":150,"name":"Time of Event (Mountain Time)","value":"10:35:54"},{"id":151,"name":"Denver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4026 --day 2017-11-07</v>
      </c>
      <c r="AN63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17:35:54"},{"id":29,"name":"Sharepoint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-11-07T08:54:49-0700',mode:absolute,to:'2017-11-07T11:35:54-0700'))&amp;_a=(columns:!('Message%20ID',Summary),filters:!(),index:'emp_*',interval:auto,query:(query_string:(analyze_wildcard:!t,query:'%22rtdc.l.rtdc.4026%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758</v>
      </c>
      <c r="B64" s="7">
        <v>4025</v>
      </c>
      <c r="C64" s="21" t="s">
        <v>192</v>
      </c>
      <c r="D64" s="21" t="s">
        <v>498</v>
      </c>
      <c r="E64" s="13">
        <v>43046.453310185185</v>
      </c>
      <c r="F64" s="13">
        <v>43046.456412037034</v>
      </c>
      <c r="G64" s="7">
        <v>50</v>
      </c>
      <c r="H64" s="21" t="s">
        <v>915</v>
      </c>
      <c r="I64" s="13">
        <v>43046.482268518521</v>
      </c>
      <c r="J64" s="7">
        <v>0</v>
      </c>
      <c r="K64" s="89" t="str">
        <f>IF(ISEVEN(B64),(B64-1)&amp;"/"&amp;B64,B64&amp;"/"&amp;(B64+1))</f>
        <v>4025/4026</v>
      </c>
      <c r="L64" s="185" t="str">
        <f>VLOOKUP(A64,'Trips&amp;Operators'!$C$1:$G$99911,5,FALSE)</f>
        <v>LAMAR NEKESHA</v>
      </c>
      <c r="M64" s="6">
        <f>I64-F64</f>
        <v>2.5856481486698613E-2</v>
      </c>
      <c r="N64" s="7">
        <f>24*60*SUM($M64:$M64)</f>
        <v>37.233333340846002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-07T09:52:46-0700',mode:absolute,to:'2017-11-07T12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23.296399999999998</v>
      </c>
      <c r="Z64" s="204">
        <f>RIGHT(H64,LEN(H64)-4)/10000</f>
        <v>1.8700000000000001E-2</v>
      </c>
      <c r="AA64" s="204">
        <f>ABS(Z64-Y64)</f>
        <v>23.277699999999999</v>
      </c>
      <c r="AB64" s="54" t="e">
        <f>VLOOKUP(A64,Enforcements!$C$7:$K$10,8,0)</f>
        <v>#N/A</v>
      </c>
      <c r="AC64" s="51" t="e">
        <f>VLOOKUP(A64,Enforcements!$C$7:$E$10,3,0)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s3://rtdc.mdm.uploadarchive.raw/RTDC4025/ "%USERPROFILE%\AppData\Local\Temp\OnboardLogs"\RTDC4025\2017-11-07 --exclude "*" --recursive --include "*20171107*" &amp; "%USERPROFILE%\Documents\GitHub\mrs-test-scripts\Headless Mode &amp; Sideloading\WalkAndUnGZ.bat" "%USERPROFILE%\AppData\Local\Temp\OnboardLogs"\RTDC4025\2017-11-07 &amp; aws s3 cp s3://rtdc.mdm.uploadarchive.raw/RTDC4025/ "%USERPROFILE%\AppData\Local\Temp\OnboardLogs"\RTDC4025\2017-11-08 --exclude "*" --recursive --include "*20171108*" &amp; "%USERPROFILE%\Documents\GitHub\mrs-test-scripts\Headless Mode &amp; Sideloading\WalkAndUnGZ.bat" "%USERPROFILE%\AppData\Local\Temp\OnboardLogs"\RTDC4025\2017-11-08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/stypes="app*4025*20171107*" /stext=" 18:.+((SYSTEM_STATE.+slice.+state.+changed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152-07 --locoid 4025 --swversion DE.1.0.9.0 --startMP 204:232964 --initTime 2017-11-07T10:52:46 --startdatetime 2017-11-07T10:57:14 --delay 50 --endMP 204:187 --enddatetime 2017-11-07T11:34:28 --enforcementcount 0 &gt;&gt;%USERPROFILE%\Documents\GitHub\eaglep3-reporting\EC\2017-11-07-refined-times.txt</v>
      </c>
      <c r="AI64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{"issue":{"subject":"","project_id":79,"tracker_id":40,"status_id":1,"priority_id":2,"assigned_to_id":338,"start_date":"2017-11-07","description":"","custom_fields":[{"id":1,"name":"Subdivision","value":"EC"},{"id":4,"name":"Milepost","value":"0.0187"},{"id":17,"name":"Train ID","value":"152-07"},{"id":16,"name":"Locomotive ID","value":"4025"},{"id":130,"name":"Impact","value":""},{"id":150,"name":"Time of Event (Mountain Time)","value":"11:34:28"},{"id":151,"name":"Denver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4025 --day 2017-11-07</v>
      </c>
      <c r="AN64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-11-07T09:52:46-0700',mode:absolute,to:'2017-11-07T12:34:28-0700'))&amp;_a=(columns:!('Message%20ID',Summary),filters:!(),index:'emp_*',interval:auto,query:(query_string:(analyze_wildcard:!t,query:'%22rtdc.l.rtdc.4025%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751</v>
      </c>
      <c r="B65" s="7">
        <v>4042</v>
      </c>
      <c r="C65" s="21" t="s">
        <v>192</v>
      </c>
      <c r="D65" s="21" t="s">
        <v>585</v>
      </c>
      <c r="E65" s="13">
        <v>43046.420937499999</v>
      </c>
      <c r="F65" s="13">
        <v>43046.427268518521</v>
      </c>
      <c r="G65" s="7">
        <v>104</v>
      </c>
      <c r="H65" s="21" t="s">
        <v>921</v>
      </c>
      <c r="I65" s="13">
        <v>43046.451967592591</v>
      </c>
      <c r="J65" s="7">
        <v>0</v>
      </c>
      <c r="K65" s="89" t="str">
        <f>IF(ISEVEN(B65),(B65-1)&amp;"/"&amp;B65,B65&amp;"/"&amp;(B65+1))</f>
        <v>4041/4042</v>
      </c>
      <c r="L65" s="185" t="str">
        <f>VLOOKUP(A65,'Trips&amp;Operators'!$C$1:$G$99911,5,FALSE)</f>
        <v>BROWN JACOB</v>
      </c>
      <c r="M65" s="6">
        <f>I65-F65</f>
        <v>2.4699074070667848E-2</v>
      </c>
      <c r="N65" s="7">
        <f>24*60*SUM($M65:$M65)</f>
        <v>35.566666661761701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-07T09:06:09-0700',mode:absolute,to:'2017-11-07T11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4.6199999999999998E-2</v>
      </c>
      <c r="Z65" s="204">
        <f>RIGHT(H65,LEN(H65)-4)/10000</f>
        <v>23.3184</v>
      </c>
      <c r="AA65" s="204">
        <f>ABS(Z65-Y65)</f>
        <v>23.272200000000002</v>
      </c>
      <c r="AB65" s="54" t="e">
        <f>VLOOKUP(A65,Enforcements!$C$7:$K$10,8,0)</f>
        <v>#N/A</v>
      </c>
      <c r="AC65" s="51" t="e">
        <f>VLOOKUP(A65,Enforcements!$C$7:$E$10,3,0)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/stypes="app*4042*20171107*" /stext=" 17:.+((SYSTEM_STATE.+slice.+state.+changed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153-07 --locoid 4042 --swversion DE.1.0.9.0 --startMP 204:462 --initTime 2017-11-07T10:06:09 --startdatetime 2017-11-07T10:15:16 --delay 104 --endMP 204:233184 --enddatetime 2017-11-07T10:50:50 --enforcementcount 0 &gt;&gt;%USERPROFILE%\Documents\GitHub\eaglep3-reporting\EC\2017-11-07-refined-times.txt</v>
      </c>
      <c r="AI65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{"issue":{"subject":"","project_id":79,"tracker_id":40,"status_id":1,"priority_id":2,"assigned_to_id":338,"start_date":"2017-11-07","description":"","custom_fields":[{"id":1,"name":"Subdivision","value":"EC"},{"id":4,"name":"Milepost","value":"23.3184"},{"id":17,"name":"Train ID","value":"153-07"},{"id":16,"name":"Locomotive ID","value":"4042"},{"id":130,"name":"Impact","value":""},{"id":150,"name":"Time of Event (Mountain Time)","value":"10:50:50"},{"id":151,"name":"Denver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4042 --day 2017-11-07</v>
      </c>
      <c r="AN65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17:50:50"},{"id":29,"name":"Sharepoint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-11-07T09:06:09-0700',mode:absolute,to:'2017-11-07T11:50:50-0700'))&amp;_a=(columns:!('Message%20ID',Summary),filters:!(),index:'emp_*',interval:auto,query:(query_string:(analyze_wildcard:!t,query:'%22rtdc.l.rtdc.4042%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761</v>
      </c>
      <c r="B66" s="7">
        <v>4041</v>
      </c>
      <c r="C66" s="21" t="s">
        <v>192</v>
      </c>
      <c r="D66" s="21" t="s">
        <v>922</v>
      </c>
      <c r="E66" s="13">
        <v>43046.458333333336</v>
      </c>
      <c r="F66" s="13">
        <v>43046.466851851852</v>
      </c>
      <c r="G66" s="7">
        <v>62</v>
      </c>
      <c r="H66" s="21" t="s">
        <v>512</v>
      </c>
      <c r="I66" s="13">
        <v>43046.493425925924</v>
      </c>
      <c r="J66" s="7">
        <v>0</v>
      </c>
      <c r="K66" s="89" t="str">
        <f>IF(ISEVEN(B66),(B66-1)&amp;"/"&amp;B66,B66&amp;"/"&amp;(B66+1))</f>
        <v>4041/4042</v>
      </c>
      <c r="L66" s="185" t="str">
        <f>VLOOKUP(A66,'Trips&amp;Operators'!$C$1:$G$99911,5,FALSE)</f>
        <v>BROWN JACOB</v>
      </c>
      <c r="M66" s="6">
        <f>I66-F66</f>
        <v>2.6574074072414078E-2</v>
      </c>
      <c r="N66" s="7">
        <f>24*60*SUM($M66:$M66)</f>
        <v>38.266666664276272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-07T10:00:00-0700',mode:absolute,to:'2017-11-07T12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23.287099999999999</v>
      </c>
      <c r="Z66" s="204">
        <f>RIGHT(H66,LEN(H66)-4)/10000</f>
        <v>2.5100000000000001E-2</v>
      </c>
      <c r="AA66" s="204">
        <f>ABS(Z66-Y66)</f>
        <v>23.262</v>
      </c>
      <c r="AB66" s="54" t="e">
        <f>VLOOKUP(A66,Enforcements!$C$7:$K$10,8,0)</f>
        <v>#N/A</v>
      </c>
      <c r="AC66" s="51" t="e">
        <f>VLOOKUP(A66,Enforcements!$C$7:$E$10,3,0)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/stypes="app*4041*20171107*" /stext=" 18:.+((SYSTEM_STATE.+slice.+state.+changed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154-07 --locoid 4041 --swversion DE.1.0.9.0 --startMP 204:232871 --initTime 2017-11-07T11:00:00 --startdatetime 2017-11-07T11:12:16 --delay 62 --endMP 204:251 --enddatetime 2017-11-07T11:50:32 --enforcementcount 0 &gt;&gt;%USERPROFILE%\Documents\GitHub\eaglep3-reporting\EC\2017-11-07-refined-times.txt</v>
      </c>
      <c r="AI66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{"issue":{"subject":"","project_id":79,"tracker_id":40,"status_id":1,"priority_id":2,"assigned_to_id":338,"start_date":"2017-11-07","description":"","custom_fields":[{"id":1,"name":"Subdivision","value":"EC"},{"id":4,"name":"Milepost","value":"0.0251"},{"id":17,"name":"Train ID","value":"154-07"},{"id":16,"name":"Locomotive ID","value":"4041"},{"id":130,"name":"Impact","value":""},{"id":150,"name":"Time of Event (Mountain Time)","value":"11:50:32"},{"id":151,"name":"Denver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4041 --day 2017-11-07</v>
      </c>
      <c r="AN66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-11-07T10:00:00-0700',mode:absolute,to:'2017-11-07T12:50:32-0700'))&amp;_a=(columns:!('Message%20ID',Summary),filters:!(),index:'emp_*',interval:auto,query:(query_string:(analyze_wildcard:!t,query:'%22rtdc.l.rtdc.4041%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753</v>
      </c>
      <c r="B67" s="7">
        <v>4058</v>
      </c>
      <c r="C67" s="21" t="s">
        <v>192</v>
      </c>
      <c r="D67" s="21" t="s">
        <v>499</v>
      </c>
      <c r="E67" s="13">
        <v>43046.431261574071</v>
      </c>
      <c r="F67" s="13">
        <v>43046.437673611108</v>
      </c>
      <c r="G67" s="7">
        <v>44</v>
      </c>
      <c r="H67" s="21" t="s">
        <v>923</v>
      </c>
      <c r="I67" s="13">
        <v>43046.462361111109</v>
      </c>
      <c r="J67" s="7">
        <v>0</v>
      </c>
      <c r="K67" s="89" t="str">
        <f>IF(ISEVEN(B67),(B67-1)&amp;"/"&amp;B67,B67&amp;"/"&amp;(B67+1))</f>
        <v>4057/4058</v>
      </c>
      <c r="L67" s="185" t="str">
        <f>VLOOKUP(A67,'Trips&amp;Operators'!$C$1:$G$99911,5,FALSE)</f>
        <v>YANAI IAN</v>
      </c>
      <c r="M67" s="6">
        <f>I67-F67</f>
        <v>2.4687500001164153E-2</v>
      </c>
      <c r="N67" s="7">
        <f>24*60*SUM($M67:$M67)</f>
        <v>35.550000001676381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-07T09:21:01-0700',mode:absolute,to:'2017-11-07T12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5.0799999999999998E-2</v>
      </c>
      <c r="Z67" s="204">
        <f>RIGHT(H67,LEN(H67)-4)/10000</f>
        <v>23.319800000000001</v>
      </c>
      <c r="AA67" s="204">
        <f>ABS(Z67-Y67)</f>
        <v>23.269000000000002</v>
      </c>
      <c r="AB67" s="54" t="e">
        <f>VLOOKUP(A67,Enforcements!$C$7:$K$10,8,0)</f>
        <v>#N/A</v>
      </c>
      <c r="AC67" s="51" t="e">
        <f>VLOOKUP(A67,Enforcements!$C$7:$E$10,3,0)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s3://rtdc.mdm.uploadarchive.raw/RTDC4058/ "%USERPROFILE%\AppData\Local\Temp\OnboardLogs"\RTDC4058\2017-11-07 --exclude "*" --recursive --include "*20171107*" &amp; "%USERPROFILE%\Documents\GitHub\mrs-test-scripts\Headless Mode &amp; Sideloading\WalkAndUnGZ.bat" "%USERPROFILE%\AppData\Local\Temp\OnboardLogs"\RTDC4058\2017-11-07 &amp; aws s3 cp s3://rtdc.mdm.uploadarchive.raw/RTDC4058/ "%USERPROFILE%\AppData\Local\Temp\OnboardLogs"\RTDC4058\2017-11-08 --exclude "*" --recursive --include "*20171108*" &amp; "%USERPROFILE%\Documents\GitHub\mrs-test-scripts\Headless Mode &amp; Sideloading\WalkAndUnGZ.bat" "%USERPROFILE%\AppData\Local\Temp\OnboardLogs"\RTDC4058\2017-11-08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/stypes="app*4058*20171107*" /stext=" 18:.+((SYSTEM_STATE.+slice.+state.+changed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155-07 --locoid 4058 --swversion DE.1.0.9.0 --startMP 204:508 --initTime 2017-11-07T10:21:01 --startdatetime 2017-11-07T10:30:15 --delay 44 --endMP 204:233198 --enddatetime 2017-11-07T11:05:48 --enforcementcount 0 &gt;&gt;%USERPROFILE%\Documents\GitHub\eaglep3-reporting\EC\2017-11-07-refined-times.txt</v>
      </c>
      <c r="AI67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{"issue":{"subject":"","project_id":79,"tracker_id":40,"status_id":1,"priority_id":2,"assigned_to_id":338,"start_date":"2017-11-07","description":"","custom_fields":[{"id":1,"name":"Subdivision","value":"EC"},{"id":4,"name":"Milepost","value":"23.3198"},{"id":17,"name":"Train ID","value":"155-07"},{"id":16,"name":"Locomotive ID","value":"4058"},{"id":130,"name":"Impact","value":""},{"id":150,"name":"Time of Event (Mountain Time)","value":"11:05:48"},{"id":151,"name":"Denver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4058 --day 2017-11-07</v>
      </c>
      <c r="AN67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-11-07T09:21:01-0700',mode:absolute,to:'2017-11-07T12:05:48-0700'))&amp;_a=(columns:!('Message%20ID',Summary),filters:!(),index:'emp_*',interval:auto,query:(query_string:(analyze_wildcard:!t,query:'%22rtdc.l.rtdc.4058%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762</v>
      </c>
      <c r="B68" s="7">
        <v>4057</v>
      </c>
      <c r="C68" s="21" t="s">
        <v>192</v>
      </c>
      <c r="D68" s="21" t="s">
        <v>924</v>
      </c>
      <c r="E68" s="13">
        <v>43046.46398148148</v>
      </c>
      <c r="F68" s="13">
        <v>43046.477395833332</v>
      </c>
      <c r="G68" s="7">
        <v>58</v>
      </c>
      <c r="H68" s="21" t="s">
        <v>925</v>
      </c>
      <c r="I68" s="13">
        <v>43046.502974537034</v>
      </c>
      <c r="J68" s="7">
        <v>0</v>
      </c>
      <c r="K68" s="89" t="str">
        <f>IF(ISEVEN(B68),(B68-1)&amp;"/"&amp;B68,B68&amp;"/"&amp;(B68+1))</f>
        <v>4057/4058</v>
      </c>
      <c r="L68" s="185" t="str">
        <f>VLOOKUP(A68,'Trips&amp;Operators'!$C$1:$G$99911,5,FALSE)</f>
        <v>YANAI IAN</v>
      </c>
      <c r="M68" s="6">
        <f>I68-F68</f>
        <v>2.5578703702194616E-2</v>
      </c>
      <c r="N68" s="7">
        <f>24*60*SUM($M68:$M68)</f>
        <v>36.833333331160247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-07T10:08:08-0700',mode:absolute,to:'2017-11-07T13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23.2881</v>
      </c>
      <c r="Z68" s="204">
        <f>RIGHT(H68,LEN(H68)-4)/10000</f>
        <v>1.4500000000000001E-2</v>
      </c>
      <c r="AA68" s="204">
        <f>ABS(Z68-Y68)</f>
        <v>23.273599999999998</v>
      </c>
      <c r="AB68" s="54" t="e">
        <f>VLOOKUP(A68,Enforcements!$C$7:$K$10,8,0)</f>
        <v>#N/A</v>
      </c>
      <c r="AC68" s="51" t="e">
        <f>VLOOKUP(A68,Enforcements!$C$7:$E$10,3,0)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s3://rtdc.mdm.uploadarchive.raw/RTDC4057/ "%USERPROFILE%\AppData\Local\Temp\OnboardLogs"\RTDC4057\2017-11-07 --exclude "*" --recursive --include "*20171107*" &amp; "%USERPROFILE%\Documents\GitHub\mrs-test-scripts\Headless Mode &amp; Sideloading\WalkAndUnGZ.bat" "%USERPROFILE%\AppData\Local\Temp\OnboardLogs"\RTDC4057\2017-11-07 &amp; aws s3 cp s3://rtdc.mdm.uploadarchive.raw/RTDC4057/ "%USERPROFILE%\AppData\Local\Temp\OnboardLogs"\RTDC4057\2017-11-08 --exclude "*" --recursive --include "*20171108*" &amp; "%USERPROFILE%\Documents\GitHub\mrs-test-scripts\Headless Mode &amp; Sideloading\WalkAndUnGZ.bat" "%USERPROFILE%\AppData\Local\Temp\OnboardLogs"\RTDC4057\2017-11-08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/stypes="app*4057*20171107*" /stext=" 19:.+((SYSTEM_STATE.+slice.+state.+changed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156-07 --locoid 4057 --swversion DE.1.0.9.0 --startMP 204:232881 --initTime 2017-11-07T11:08:08 --startdatetime 2017-11-07T11:27:27 --delay 58 --endMP 204:145 --enddatetime 2017-11-07T12:04:17 --enforcementcount 0 &gt;&gt;%USERPROFILE%\Documents\GitHub\eaglep3-reporting\EC\2017-11-07-refined-times.txt</v>
      </c>
      <c r="AI68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{"issue":{"subject":"","project_id":79,"tracker_id":40,"status_id":1,"priority_id":2,"assigned_to_id":338,"start_date":"2017-11-07","description":"","custom_fields":[{"id":1,"name":"Subdivision","value":"EC"},{"id":4,"name":"Milepost","value":"0.0145"},{"id":17,"name":"Train ID","value":"156-07"},{"id":16,"name":"Locomotive ID","value":"4057"},{"id":130,"name":"Impact","value":""},{"id":150,"name":"Time of Event (Mountain Time)","value":"12:04:17"},{"id":151,"name":"Denver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4057 --day 2017-11-07</v>
      </c>
      <c r="AN68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-11-07T10:08:08-0700',mode:absolute,to:'2017-11-07T13:04:17-0700'))&amp;_a=(columns:!('Message%20ID',Summary),filters:!(),index:'emp_*',interval:auto,query:(query_string:(analyze_wildcard:!t,query:'%22rtdc.l.rtdc.4057%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756</v>
      </c>
      <c r="B69" s="7">
        <v>4064</v>
      </c>
      <c r="C69" s="21" t="s">
        <v>192</v>
      </c>
      <c r="D69" s="21" t="s">
        <v>555</v>
      </c>
      <c r="E69" s="13">
        <v>43046.443969907406</v>
      </c>
      <c r="F69" s="13">
        <v>43046.448275462964</v>
      </c>
      <c r="G69" s="7">
        <v>128</v>
      </c>
      <c r="H69" s="21" t="s">
        <v>926</v>
      </c>
      <c r="I69" s="13">
        <v>43046.473240740743</v>
      </c>
      <c r="J69" s="7">
        <v>0</v>
      </c>
      <c r="K69" s="89" t="str">
        <f>IF(ISEVEN(B69),(B69-1)&amp;"/"&amp;B69,B69&amp;"/"&amp;(B69+1))</f>
        <v>4063/4064</v>
      </c>
      <c r="L69" s="185" t="str">
        <f>VLOOKUP(A69,'Trips&amp;Operators'!$C$1:$G$99911,5,FALSE)</f>
        <v>DAVIS MICHAEL</v>
      </c>
      <c r="M69" s="6">
        <f>I69-F69</f>
        <v>2.4965277778392192E-2</v>
      </c>
      <c r="N69" s="7">
        <f>24*60*SUM($M69:$M69)</f>
        <v>35.950000000884756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-07T09:39:19-0700',mode:absolute,to:'2017-11-07T12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5.0200000000000002E-2</v>
      </c>
      <c r="Z69" s="204">
        <f>RIGHT(H69,LEN(H69)-4)/10000</f>
        <v>23.315300000000001</v>
      </c>
      <c r="AA69" s="204">
        <f>ABS(Z69-Y69)</f>
        <v>23.2651</v>
      </c>
      <c r="AB69" s="54" t="e">
        <f>VLOOKUP(A69,Enforcements!$C$7:$K$10,8,0)</f>
        <v>#N/A</v>
      </c>
      <c r="AC69" s="51" t="e">
        <f>VLOOKUP(A69,Enforcements!$C$7:$E$10,3,0)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/stypes="app*4064*20171107*" /stext=" 18:.+((SYSTEM_STATE.+slice.+state.+changed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157-07 --locoid 4064 --swversion DE.1.0.9.0 --startMP 204:502 --initTime 2017-11-07T10:39:19 --startdatetime 2017-11-07T10:45:31 --delay 128 --endMP 204:233153 --enddatetime 2017-11-07T11:21:28 --enforcementcount 0 &gt;&gt;%USERPROFILE%\Documents\GitHub\eaglep3-reporting\EC\2017-11-07-refined-times.txt</v>
      </c>
      <c r="AI69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{"issue":{"subject":"","project_id":79,"tracker_id":40,"status_id":1,"priority_id":2,"assigned_to_id":338,"start_date":"2017-11-07","description":"","custom_fields":[{"id":1,"name":"Subdivision","value":"EC"},{"id":4,"name":"Milepost","value":"23.3153"},{"id":17,"name":"Train ID","value":"157-07"},{"id":16,"name":"Locomotive ID","value":"4064"},{"id":130,"name":"Impact","value":""},{"id":150,"name":"Time of Event (Mountain Time)","value":"11:21:28"},{"id":151,"name":"Denver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4064 --day 2017-11-07</v>
      </c>
      <c r="AN69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-11-07T09:39:19-0700',mode:absolute,to:'2017-11-07T12:21:28-0700'))&amp;_a=(columns:!('Message%20ID',Summary),filters:!(),index:'emp_*',interval:auto,query:(query_string:(analyze_wildcard:!t,query:'%22rtdc.l.rtdc.4064%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770</v>
      </c>
      <c r="B70" s="7">
        <v>4063</v>
      </c>
      <c r="C70" s="21" t="s">
        <v>192</v>
      </c>
      <c r="D70" s="21" t="s">
        <v>927</v>
      </c>
      <c r="E70" s="13">
        <v>43046.485497685186</v>
      </c>
      <c r="F70" s="13">
        <v>43046.488159722219</v>
      </c>
      <c r="G70" s="7">
        <v>124</v>
      </c>
      <c r="H70" s="21" t="s">
        <v>482</v>
      </c>
      <c r="I70" s="13">
        <v>43046.515983796293</v>
      </c>
      <c r="J70" s="7">
        <v>0</v>
      </c>
      <c r="K70" s="89" t="str">
        <f>IF(ISEVEN(B70),(B70-1)&amp;"/"&amp;B70,B70&amp;"/"&amp;(B70+1))</f>
        <v>4063/4064</v>
      </c>
      <c r="L70" s="185" t="str">
        <f>VLOOKUP(A70,'Trips&amp;Operators'!$C$1:$G$99911,5,FALSE)</f>
        <v>DAVIS MICHAEL</v>
      </c>
      <c r="M70" s="6">
        <f>I70-F70</f>
        <v>2.7824074073578231E-2</v>
      </c>
      <c r="N70" s="7">
        <f>24*60*SUM($M70:$M70)</f>
        <v>40.066666665952653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-07T10:39:07-0700',mode:absolute,to:'2017-11-07T13:23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23.286300000000001</v>
      </c>
      <c r="Z70" s="204">
        <f>RIGHT(H70,LEN(H70)-4)/10000</f>
        <v>2.1399999999999999E-2</v>
      </c>
      <c r="AA70" s="204">
        <f>ABS(Z70-Y70)</f>
        <v>23.264900000000001</v>
      </c>
      <c r="AB70" s="54" t="e">
        <f>VLOOKUP(A70,Enforcements!$C$7:$K$10,8,0)</f>
        <v>#N/A</v>
      </c>
      <c r="AC70" s="51" t="e">
        <f>VLOOKUP(A70,Enforcements!$C$7:$E$10,3,0)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/stypes="app*4063*20171107*" /stext=" 19:.+((SYSTEM_STATE.+slice.+state.+changed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158-07 --locoid 4063 --swversion DE.1.0.9.0 --startMP 204:232863 --initTime 2017-11-07T11:39:07 --startdatetime 2017-11-07T11:42:57 --delay 124 --endMP 204:214 --enddatetime 2017-11-07T12:23:01 --enforcementcount 0 &gt;&gt;%USERPROFILE%\Documents\GitHub\eaglep3-reporting\EC\2017-11-07-refined-times.txt</v>
      </c>
      <c r="AI70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{"issue":{"subject":"","project_id":79,"tracker_id":40,"status_id":1,"priority_id":2,"assigned_to_id":338,"start_date":"2017-11-07","description":"","custom_fields":[{"id":1,"name":"Subdivision","value":"EC"},{"id":4,"name":"Milepost","value":"0.0214"},{"id":17,"name":"Train ID","value":"158-07"},{"id":16,"name":"Locomotive ID","value":"4063"},{"id":130,"name":"Impact","value":""},{"id":150,"name":"Time of Event (Mountain Time)","value":"12:23:01"},{"id":151,"name":"Denver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4063 --day 2017-11-07</v>
      </c>
      <c r="AN70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-11-07T10:39:07-0700',mode:absolute,to:'2017-11-07T13:23:01-0700'))&amp;_a=(columns:!('Message%20ID',Summary),filters:!(),index:'emp_*',interval:auto,query:(query_string:(analyze_wildcard:!t,query:'%22rtdc.l.rtdc.4063%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759</v>
      </c>
      <c r="B71" s="7">
        <v>4040</v>
      </c>
      <c r="C71" s="21" t="s">
        <v>192</v>
      </c>
      <c r="D71" s="21" t="s">
        <v>598</v>
      </c>
      <c r="E71" s="13">
        <v>43046.457407407404</v>
      </c>
      <c r="F71" s="13">
        <v>43046.458541666667</v>
      </c>
      <c r="G71" s="7">
        <v>46</v>
      </c>
      <c r="H71" s="21" t="s">
        <v>928</v>
      </c>
      <c r="I71" s="13">
        <v>43046.483553240738</v>
      </c>
      <c r="J71" s="7">
        <v>0</v>
      </c>
      <c r="K71" s="89" t="str">
        <f>IF(ISEVEN(B71),(B71-1)&amp;"/"&amp;B71,B71&amp;"/"&amp;(B71+1))</f>
        <v>4039/4040</v>
      </c>
      <c r="L71" s="185" t="str">
        <f>VLOOKUP(A71,'Trips&amp;Operators'!$C$1:$G$99911,5,FALSE)</f>
        <v>MACDONALD THOMAS</v>
      </c>
      <c r="M71" s="6">
        <f>I71-F71</f>
        <v>2.5011574070958886E-2</v>
      </c>
      <c r="N71" s="7">
        <f>24*60*SUM($M71:$M71)</f>
        <v>36.016666662180796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-07T09:58:40-0700',mode:absolute,to:'2017-11-07T12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4.9299999999999997E-2</v>
      </c>
      <c r="Z71" s="204">
        <f>RIGHT(H71,LEN(H71)-4)/10000</f>
        <v>23.314</v>
      </c>
      <c r="AA71" s="204">
        <f>ABS(Z71-Y71)</f>
        <v>23.264700000000001</v>
      </c>
      <c r="AB71" s="54" t="e">
        <f>VLOOKUP(A71,Enforcements!$C$7:$K$10,8,0)</f>
        <v>#N/A</v>
      </c>
      <c r="AC71" s="51" t="e">
        <f>VLOOKUP(A71,Enforcements!$C$7:$E$10,3,0)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s3://rtdc.mdm.uploadarchive.raw/RTDC4040/ "%USERPROFILE%\AppData\Local\Temp\OnboardLogs"\RTDC4040\2017-11-07 --exclude "*" --recursive --include "*20171107*" &amp; "%USERPROFILE%\Documents\GitHub\mrs-test-scripts\Headless Mode &amp; Sideloading\WalkAndUnGZ.bat" "%USERPROFILE%\AppData\Local\Temp\OnboardLogs"\RTDC4040\2017-11-07 &amp; aws s3 cp s3://rtdc.mdm.uploadarchive.raw/RTDC4040/ "%USERPROFILE%\AppData\Local\Temp\OnboardLogs"\RTDC4040\2017-11-08 --exclude "*" --recursive --include "*20171108*" &amp; "%USERPROFILE%\Documents\GitHub\mrs-test-scripts\Headless Mode &amp; Sideloading\WalkAndUnGZ.bat" "%USERPROFILE%\AppData\Local\Temp\OnboardLogs"\RTDC4040\2017-11-08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/stypes="app*4040*20171107*" /stext=" 18:.+((SYSTEM_STATE.+slice.+state.+changed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159-07 --locoid 4040 --swversion DE.1.0.9.0 --startMP 204:493 --initTime 2017-11-07T10:58:40 --startdatetime 2017-11-07T11:00:18 --delay 46 --endMP 204:233140 --enddatetime 2017-11-07T11:36:19 --enforcementcount 0 &gt;&gt;%USERPROFILE%\Documents\GitHub\eaglep3-reporting\EC\2017-11-07-refined-times.txt</v>
      </c>
      <c r="AI71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{"issue":{"subject":"","project_id":79,"tracker_id":40,"status_id":1,"priority_id":2,"assigned_to_id":338,"start_date":"2017-11-07","description":"","custom_fields":[{"id":1,"name":"Subdivision","value":"EC"},{"id":4,"name":"Milepost","value":"23.314"},{"id":17,"name":"Train ID","value":"159-07"},{"id":16,"name":"Locomotive ID","value":"4040"},{"id":130,"name":"Impact","value":""},{"id":150,"name":"Time of Event (Mountain Time)","value":"11:36:19"},{"id":151,"name":"Denver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4040 --day 2017-11-07</v>
      </c>
      <c r="AN71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-11-07T09:58:40-0700',mode:absolute,to:'2017-11-07T12:36:19-0700'))&amp;_a=(columns:!('Message%20ID',Summary),filters:!(),index:'emp_*',interval:auto,query:(query_string:(analyze_wildcard:!t,query:'%22rtdc.l.rtdc.4040%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771</v>
      </c>
      <c r="B72" s="7">
        <v>4039</v>
      </c>
      <c r="C72" s="21" t="s">
        <v>192</v>
      </c>
      <c r="D72" s="21" t="s">
        <v>929</v>
      </c>
      <c r="E72" s="13">
        <v>43046.496516203704</v>
      </c>
      <c r="F72" s="13">
        <v>43046.498206018521</v>
      </c>
      <c r="G72" s="7">
        <v>59</v>
      </c>
      <c r="H72" s="21" t="s">
        <v>930</v>
      </c>
      <c r="I72" s="13">
        <v>43046.528067129628</v>
      </c>
      <c r="J72" s="7">
        <v>0</v>
      </c>
      <c r="K72" s="89" t="str">
        <f>IF(ISEVEN(B72),(B72-1)&amp;"/"&amp;B72,B72&amp;"/"&amp;(B72+1))</f>
        <v>4039/4040</v>
      </c>
      <c r="L72" s="185" t="str">
        <f>VLOOKUP(A72,'Trips&amp;Operators'!$C$1:$G$99911,5,FALSE)</f>
        <v>MACDONALD THOMAS</v>
      </c>
      <c r="M72" s="6">
        <f>I72-F72</f>
        <v>2.9861111106583849E-2</v>
      </c>
      <c r="N72" s="7">
        <f>24*60*SUM($M72:$M72)</f>
        <v>42.999999993480742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-07T10:54:59-0700',mode:absolute,to:'2017-11-07T13:40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23.282299999999999</v>
      </c>
      <c r="Z72" s="204">
        <f>RIGHT(H72,LEN(H72)-4)/10000</f>
        <v>2.5999999999999999E-2</v>
      </c>
      <c r="AA72" s="204">
        <f>ABS(Z72-Y72)</f>
        <v>23.2563</v>
      </c>
      <c r="AB72" s="54" t="e">
        <f>VLOOKUP(A72,Enforcements!$C$7:$K$10,8,0)</f>
        <v>#N/A</v>
      </c>
      <c r="AC72" s="51" t="e">
        <f>VLOOKUP(A72,Enforcements!$C$7:$E$10,3,0)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s3://rtdc.mdm.uploadarchive.raw/RTDC4039/ "%USERPROFILE%\AppData\Local\Temp\OnboardLogs"\RTDC4039\2017-11-07 --exclude "*" --recursive --include "*20171107*" &amp; "%USERPROFILE%\Documents\GitHub\mrs-test-scripts\Headless Mode &amp; Sideloading\WalkAndUnGZ.bat" "%USERPROFILE%\AppData\Local\Temp\OnboardLogs"\RTDC4039\2017-11-07 &amp; aws s3 cp s3://rtdc.mdm.uploadarchive.raw/RTDC4039/ "%USERPROFILE%\AppData\Local\Temp\OnboardLogs"\RTDC4039\2017-11-08 --exclude "*" --recursive --include "*20171108*" &amp; "%USERPROFILE%\Documents\GitHub\mrs-test-scripts\Headless Mode &amp; Sideloading\WalkAndUnGZ.bat" "%USERPROFILE%\AppData\Local\Temp\OnboardLogs"\RTDC4039\2017-11-08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/stypes="app*4039*20171107*" /stext=" 19:.+((SYSTEM_STATE.+slice.+state.+changed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160-07 --locoid 4039 --swversion DE.1.0.9.0 --startMP 204:232823 --initTime 2017-11-07T11:54:59 --startdatetime 2017-11-07T11:57:25 --delay 59 --endMP 204:260 --enddatetime 2017-11-07T12:40:25 --enforcementcount 0 &gt;&gt;%USERPROFILE%\Documents\GitHub\eaglep3-reporting\EC\2017-11-07-refined-times.txt</v>
      </c>
      <c r="AI72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{"issue":{"subject":"","project_id":79,"tracker_id":40,"status_id":1,"priority_id":2,"assigned_to_id":338,"start_date":"2017-11-07","description":"","custom_fields":[{"id":1,"name":"Subdivision","value":"EC"},{"id":4,"name":"Milepost","value":"0.026"},{"id":17,"name":"Train ID","value":"160-07"},{"id":16,"name":"Locomotive ID","value":"4039"},{"id":130,"name":"Impact","value":""},{"id":150,"name":"Time of Event (Mountain Time)","value":"12:40:25"},{"id":151,"name":"Denver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4039 --day 2017-11-07</v>
      </c>
      <c r="AN72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-11-07T10:54:59-0700',mode:absolute,to:'2017-11-07T13:40:25-0700'))&amp;_a=(columns:!('Message%20ID',Summary),filters:!(),index:'emp_*',interval:auto,query:(query_string:(analyze_wildcard:!t,query:'%22rtdc.l.rtdc.4039%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763</v>
      </c>
      <c r="B73" s="7">
        <v>4008</v>
      </c>
      <c r="C73" s="21" t="s">
        <v>192</v>
      </c>
      <c r="D73" s="21" t="s">
        <v>908</v>
      </c>
      <c r="E73" s="13">
        <v>43046.466168981482</v>
      </c>
      <c r="F73" s="13">
        <v>43046.508622685185</v>
      </c>
      <c r="G73" s="7">
        <v>143</v>
      </c>
      <c r="H73" s="21" t="s">
        <v>921</v>
      </c>
      <c r="I73" s="13">
        <v>43046.534930555557</v>
      </c>
      <c r="J73" s="7">
        <v>0</v>
      </c>
      <c r="K73" s="89" t="str">
        <f>IF(ISEVEN(B73),(B73-1)&amp;"/"&amp;B73,B73&amp;"/"&amp;(B73+1))</f>
        <v>4007/4008</v>
      </c>
      <c r="L73" s="185" t="str">
        <f>VLOOKUP(A73,'Trips&amp;Operators'!$C$1:$G$99911,5,FALSE)</f>
        <v>BRUDER RICHARD</v>
      </c>
      <c r="M73" s="6">
        <f>I73-F73</f>
        <v>2.6307870371965691E-2</v>
      </c>
      <c r="N73" s="7">
        <f>24*60*SUM($M73:$M73)</f>
        <v>37.883333335630596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-07T10:11:17-0700',mode:absolute,to:'2017-11-07T13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4.8599999999999997E-2</v>
      </c>
      <c r="Z73" s="204">
        <f>RIGHT(H73,LEN(H73)-4)/10000</f>
        <v>23.3184</v>
      </c>
      <c r="AA73" s="204">
        <f>ABS(Z73-Y73)</f>
        <v>23.2698</v>
      </c>
      <c r="AB73" s="54" t="e">
        <f>VLOOKUP(A73,Enforcements!$C$7:$K$10,8,0)</f>
        <v>#N/A</v>
      </c>
      <c r="AC73" s="51" t="e">
        <f>VLOOKUP(A73,Enforcements!$C$7:$E$10,3,0)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/stypes="app*4008*20171107*" /stext=" 19:.+((SYSTEM_STATE.+slice.+state.+changed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161-07 --locoid 4008 --swversion DE.1.0.9.0 --startMP 204:486 --initTime 2017-11-07T11:11:17 --startdatetime 2017-11-07T12:12:25 --delay 143 --endMP 204:233184 --enddatetime 2017-11-07T12:50:18 --enforcementcount 0 &gt;&gt;%USERPROFILE%\Documents\GitHub\eaglep3-reporting\EC\2017-11-07-refined-times.txt</v>
      </c>
      <c r="AI73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{"issue":{"subject":"","project_id":79,"tracker_id":40,"status_id":1,"priority_id":2,"assigned_to_id":338,"start_date":"2017-11-07","description":"","custom_fields":[{"id":1,"name":"Subdivision","value":"EC"},{"id":4,"name":"Milepost","value":"23.3184"},{"id":17,"name":"Train ID","value":"161-07"},{"id":16,"name":"Locomotive ID","value":"4008"},{"id":130,"name":"Impact","value":""},{"id":150,"name":"Time of Event (Mountain Time)","value":"12:50:18"},{"id":151,"name":"Denver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4008 --day 2017-11-07</v>
      </c>
      <c r="AN73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-11-07T10:11:17-0700',mode:absolute,to:'2017-11-07T13:50:18-0700'))&amp;_a=(columns:!('Message%20ID',Summary),filters:!(),index:'emp_*',interval:auto,query:(query_string:(analyze_wildcard:!t,query:'%22rtdc.l.rtdc.4008%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774</v>
      </c>
      <c r="B74" s="7">
        <v>4007</v>
      </c>
      <c r="C74" s="21" t="s">
        <v>192</v>
      </c>
      <c r="D74" s="21" t="s">
        <v>931</v>
      </c>
      <c r="E74" s="13">
        <v>43046.506909722222</v>
      </c>
      <c r="F74" s="13">
        <v>43046.508622685185</v>
      </c>
      <c r="G74" s="7">
        <v>70</v>
      </c>
      <c r="H74" s="21" t="s">
        <v>619</v>
      </c>
      <c r="I74" s="13">
        <v>43046.534930555557</v>
      </c>
      <c r="J74" s="7">
        <v>0</v>
      </c>
      <c r="K74" s="89" t="str">
        <f>IF(ISEVEN(B74),(B74-1)&amp;"/"&amp;B74,B74&amp;"/"&amp;(B74+1))</f>
        <v>4007/4008</v>
      </c>
      <c r="L74" s="185" t="str">
        <f>VLOOKUP(A74,'Trips&amp;Operators'!$C$1:$G$99911,5,FALSE)</f>
        <v>BRUDER RICHARD</v>
      </c>
      <c r="M74" s="6">
        <f>I74-F74</f>
        <v>2.6307870371965691E-2</v>
      </c>
      <c r="N74" s="7">
        <f>24*60*SUM($M74:$M74)</f>
        <v>37.883333335630596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-07T11:09:57-0700',mode:absolute,to:'2017-11-07T13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23.2882</v>
      </c>
      <c r="Z74" s="204">
        <f>RIGHT(H74,LEN(H74)-4)/10000</f>
        <v>2.29E-2</v>
      </c>
      <c r="AA74" s="204">
        <f>ABS(Z74-Y74)</f>
        <v>23.2653</v>
      </c>
      <c r="AB74" s="54" t="e">
        <f>VLOOKUP(A74,Enforcements!$C$7:$K$10,8,0)</f>
        <v>#N/A</v>
      </c>
      <c r="AC74" s="51" t="e">
        <f>VLOOKUP(A74,Enforcements!$C$7:$E$10,3,0)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/stypes="app*4007*20171107*" /stext=" 19:.+((SYSTEM_STATE.+slice.+state.+changed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162-07 --locoid 4007 --swversion DE.1.0.9.0 --startMP 204:232882 --initTime 2017-11-07T12:09:57 --startdatetime 2017-11-07T12:12:25 --delay 70 --endMP 204:229 --enddatetime 2017-11-07T12:50:18 --enforcementcount 0 &gt;&gt;%USERPROFILE%\Documents\GitHub\eaglep3-reporting\EC\2017-11-07-refined-times.txt</v>
      </c>
      <c r="AI74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{"issue":{"subject":"","project_id":79,"tracker_id":40,"status_id":1,"priority_id":2,"assigned_to_id":338,"start_date":"2017-11-07","description":"","custom_fields":[{"id":1,"name":"Subdivision","value":"EC"},{"id":4,"name":"Milepost","value":"0.0229"},{"id":17,"name":"Train ID","value":"162-07"},{"id":16,"name":"Locomotive ID","value":"4007"},{"id":130,"name":"Impact","value":""},{"id":150,"name":"Time of Event (Mountain Time)","value":"12:50:18"},{"id":151,"name":"Denver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4007 --day 2017-11-07</v>
      </c>
      <c r="AN74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-11-07T11:09:57-0700',mode:absolute,to:'2017-11-07T13:50:18-0700'))&amp;_a=(columns:!('Message%20ID',Summary),filters:!(),index:'emp_*',interval:auto,query:(query_string:(analyze_wildcard:!t,query:'%22rtdc.l.rtdc.4007%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766</v>
      </c>
      <c r="B75" s="7">
        <v>4066</v>
      </c>
      <c r="C75" s="21" t="s">
        <v>192</v>
      </c>
      <c r="D75" s="21" t="s">
        <v>484</v>
      </c>
      <c r="E75" s="13">
        <v>43046.475393518522</v>
      </c>
      <c r="F75" s="13">
        <v>43046.479386574072</v>
      </c>
      <c r="G75" s="7">
        <v>81</v>
      </c>
      <c r="H75" s="21" t="s">
        <v>932</v>
      </c>
      <c r="I75" s="13">
        <v>43046.504386574074</v>
      </c>
      <c r="J75" s="7">
        <v>0</v>
      </c>
      <c r="K75" s="89" t="str">
        <f>IF(ISEVEN(B75),(B75-1)&amp;"/"&amp;B75,B75&amp;"/"&amp;(B75+1))</f>
        <v>4065/4066</v>
      </c>
      <c r="L75" s="185" t="str">
        <f>VLOOKUP(A75,'Trips&amp;Operators'!$C$1:$G$99911,5,FALSE)</f>
        <v>LOZA FIDEL</v>
      </c>
      <c r="M75" s="6">
        <f>I75-F75</f>
        <v>2.5000000001455192E-2</v>
      </c>
      <c r="N75" s="7">
        <f>24*60*SUM($M75:$M75)</f>
        <v>36.000000002095476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-07T10:24:34-0700',mode:absolute,to:'2017-11-07T13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5.1700000000000003E-2</v>
      </c>
      <c r="Z75" s="204">
        <f>RIGHT(H75,LEN(H75)-4)/10000</f>
        <v>23.323399999999999</v>
      </c>
      <c r="AA75" s="204">
        <f>ABS(Z75-Y75)</f>
        <v>23.271699999999999</v>
      </c>
      <c r="AB75" s="54" t="e">
        <f>VLOOKUP(A75,Enforcements!$C$7:$K$10,8,0)</f>
        <v>#N/A</v>
      </c>
      <c r="AC75" s="51" t="e">
        <f>VLOOKUP(A75,Enforcements!$C$7:$E$10,3,0)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 &amp; aws s3 cp s3://rtdc.mdm.uploadarchive.raw/RTDC4066/ "%USERPROFILE%\AppData\Local\Temp\OnboardLogs"\RTDC4066\2017-11-08 --exclude "*" --recursive --include "*20171108*" &amp; "%USERPROFILE%\Documents\GitHub\mrs-test-scripts\Headless Mode &amp; Sideloading\WalkAndUnGZ.bat" "%USERPROFILE%\AppData\Local\Temp\OnboardLogs"\RTDC4066\2017-11-08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/stypes="app*4066*20171107*" /stext=" 19:.+((SYSTEM_STATE.+slice.+state.+changed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163-07 --locoid 4066 --swversion DE.1.0.9.0 --startMP 204:517 --initTime 2017-11-07T11:24:34 --startdatetime 2017-11-07T11:30:19 --delay 81 --endMP 204:233234 --enddatetime 2017-11-07T12:06:19 --enforcementcount 0 &gt;&gt;%USERPROFILE%\Documents\GitHub\eaglep3-reporting\EC\2017-11-07-refined-times.txt</v>
      </c>
      <c r="AI75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{"issue":{"subject":"","project_id":79,"tracker_id":40,"status_id":1,"priority_id":2,"assigned_to_id":338,"start_date":"2017-11-07","description":"","custom_fields":[{"id":1,"name":"Subdivision","value":"EC"},{"id":4,"name":"Milepost","value":"23.3234"},{"id":17,"name":"Train ID","value":"163-07"},{"id":16,"name":"Locomotive ID","value":"4066"},{"id":130,"name":"Impact","value":""},{"id":150,"name":"Time of Event (Mountain Time)","value":"12:06:19"},{"id":151,"name":"Denver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4066 --day 2017-11-07</v>
      </c>
      <c r="AN75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-11-07T10:24:34-0700',mode:absolute,to:'2017-11-07T13:06:19-0700'))&amp;_a=(columns:!('Message%20ID',Summary),filters:!(),index:'emp_*',interval:auto,query:(query_string:(analyze_wildcard:!t,query:'%22rtdc.l.rtdc.4066%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775</v>
      </c>
      <c r="B76" s="7">
        <v>4065</v>
      </c>
      <c r="C76" s="21" t="s">
        <v>192</v>
      </c>
      <c r="D76" s="21" t="s">
        <v>604</v>
      </c>
      <c r="E76" s="13">
        <v>43046.515347222223</v>
      </c>
      <c r="F76" s="13">
        <v>43046.518958333334</v>
      </c>
      <c r="G76" s="7">
        <v>81</v>
      </c>
      <c r="H76" s="21" t="s">
        <v>933</v>
      </c>
      <c r="I76" s="13">
        <v>43046.545381944445</v>
      </c>
      <c r="J76" s="7">
        <v>0</v>
      </c>
      <c r="K76" s="89" t="str">
        <f>IF(ISEVEN(B76),(B76-1)&amp;"/"&amp;B76,B76&amp;"/"&amp;(B76+1))</f>
        <v>4065/4066</v>
      </c>
      <c r="L76" s="185" t="str">
        <f>VLOOKUP(A76,'Trips&amp;Operators'!$C$1:$G$99911,5,FALSE)</f>
        <v>STEWART MICHAEL</v>
      </c>
      <c r="M76" s="6">
        <f>I76-F76</f>
        <v>2.6423611110658385E-2</v>
      </c>
      <c r="N76" s="7">
        <f>24*60*SUM($M76:$M76)</f>
        <v>38.049999999348074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-07T11:22:06-0700',mode:absolute,to:'2017-11-07T14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23.2925</v>
      </c>
      <c r="Z76" s="204">
        <f>RIGHT(H76,LEN(H76)-4)/10000</f>
        <v>2.3400000000000001E-2</v>
      </c>
      <c r="AA76" s="204">
        <f>ABS(Z76-Y76)</f>
        <v>23.269100000000002</v>
      </c>
      <c r="AB76" s="54" t="e">
        <f>VLOOKUP(A76,Enforcements!$C$7:$K$10,8,0)</f>
        <v>#N/A</v>
      </c>
      <c r="AC76" s="51" t="e">
        <f>VLOOKUP(A76,Enforcements!$C$7:$E$10,3,0)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 &amp; aws s3 cp s3://rtdc.mdm.uploadarchive.raw/RTDC4065/ "%USERPROFILE%\AppData\Local\Temp\OnboardLogs"\RTDC4065\2017-11-08 --exclude "*" --recursive --include "*20171108*" &amp; "%USERPROFILE%\Documents\GitHub\mrs-test-scripts\Headless Mode &amp; Sideloading\WalkAndUnGZ.bat" "%USERPROFILE%\AppData\Local\Temp\OnboardLogs"\RTDC4065\2017-11-08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/stypes="app*4065*20171107*" /stext=" 20:.+((SYSTEM_STATE.+slice.+state.+changed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164-07 --locoid 4065 --swversion DE.1.0.9.0 --startMP 204:232925 --initTime 2017-11-07T12:22:06 --startdatetime 2017-11-07T12:27:18 --delay 81 --endMP 204:234 --enddatetime 2017-11-07T13:05:21 --enforcementcount 0 &gt;&gt;%USERPROFILE%\Documents\GitHub\eaglep3-reporting\EC\2017-11-07-refined-times.txt</v>
      </c>
      <c r="AI76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{"issue":{"subject":"","project_id":79,"tracker_id":40,"status_id":1,"priority_id":2,"assigned_to_id":338,"start_date":"2017-11-07","description":"","custom_fields":[{"id":1,"name":"Subdivision","value":"EC"},{"id":4,"name":"Milepost","value":"0.0234"},{"id":17,"name":"Train ID","value":"164-07"},{"id":16,"name":"Locomotive ID","value":"4065"},{"id":130,"name":"Impact","value":""},{"id":150,"name":"Time of Event (Mountain Time)","value":"13:05:21"},{"id":151,"name":"Denver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4065 --day 2017-11-07</v>
      </c>
      <c r="AN76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20:05:21"},{"id":29,"name":"Sharepoint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-11-07T11:22:06-0700',mode:absolute,to:'2017-11-07T14:05:21-0700'))&amp;_a=(columns:!('Message%20ID',Summary),filters:!(),index:'emp_*',interval:auto,query:(query_string:(analyze_wildcard:!t,query:'%22rtdc.l.rtdc.4065%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769</v>
      </c>
      <c r="B77" s="7">
        <v>4026</v>
      </c>
      <c r="C77" s="21" t="s">
        <v>192</v>
      </c>
      <c r="D77" s="21" t="s">
        <v>552</v>
      </c>
      <c r="E77" s="13">
        <v>43046.483981481484</v>
      </c>
      <c r="F77" s="13">
        <v>43046.489768518521</v>
      </c>
      <c r="G77" s="7">
        <v>153</v>
      </c>
      <c r="H77" s="21" t="s">
        <v>594</v>
      </c>
      <c r="I77" s="13">
        <v>43046.513865740744</v>
      </c>
      <c r="J77" s="7">
        <v>0</v>
      </c>
      <c r="K77" s="89" t="str">
        <f>IF(ISEVEN(B77),(B77-1)&amp;"/"&amp;B77,B77&amp;"/"&amp;(B77+1))</f>
        <v>4025/4026</v>
      </c>
      <c r="L77" s="185" t="str">
        <f>VLOOKUP(A77,'Trips&amp;Operators'!$C$1:$G$99911,5,FALSE)</f>
        <v>LEVIN SCOTT</v>
      </c>
      <c r="M77" s="6">
        <f>I77-F77</f>
        <v>2.4097222223645076E-2</v>
      </c>
      <c r="N77" s="7">
        <f>24*60*SUM($M77:$M77)</f>
        <v>34.70000000204891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-07T10:36:56-0700',mode:absolute,to:'2017-11-07T13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5.1900000000000002E-2</v>
      </c>
      <c r="Z77" s="204">
        <f>RIGHT(H77,LEN(H77)-4)/10000</f>
        <v>23.3278</v>
      </c>
      <c r="AA77" s="204">
        <f>ABS(Z77-Y77)</f>
        <v>23.2759</v>
      </c>
      <c r="AB77" s="54" t="e">
        <f>VLOOKUP(A77,Enforcements!$C$7:$K$10,8,0)</f>
        <v>#N/A</v>
      </c>
      <c r="AC77" s="51" t="e">
        <f>VLOOKUP(A77,Enforcements!$C$7:$E$10,3,0)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"%USERPROFILE%\AppData\Local\Temp\OnboardLogs"\RTDC4026\2017-11-07 --exclude "*" --recursive --include "*20171107*" &amp; "%USERPROFILE%\Documents\GitHub\mrs-test-scripts\Headless Mode &amp; Sideloading\WalkAndUnGZ.bat" "%USERPROFILE%\AppData\Local\Temp\OnboardLogs"\RTDC4026\2017-11-07 &amp; aws s3 cp s3://rtdc.mdm.uploadarchive.raw/RTDC4026/ "%USERPROFILE%\AppData\Local\Temp\OnboardLogs"\RTDC4026\2017-11-08 --exclude "*" --recursive --include "*20171108*" &amp; "%USERPROFILE%\Documents\GitHub\mrs-test-scripts\Headless Mode &amp; Sideloading\WalkAndUnGZ.bat" "%USERPROFILE%\AppData\Local\Temp\OnboardLogs"\RTDC4026\2017-11-08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/stypes="app*4026*20171107*" /stext=" 19:.+((SYSTEM_STATE.+slice.+state.+changed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165-07 --locoid 4026 --swversion DE.1.0.9.0 --startMP 204:519 --initTime 2017-11-07T11:36:56 --startdatetime 2017-11-07T11:45:16 --delay 153 --endMP 204:233278 --enddatetime 2017-11-07T12:19:58 --enforcementcount 0 &gt;&gt;%USERPROFILE%\Documents\GitHub\eaglep3-reporting\EC\2017-11-07-refined-times.txt</v>
      </c>
      <c r="AI77" s="96" t="str">
        <f t="shared" si="6"/>
        <v>echo {"issue":{"subject":"","project_id":79,"tracker_id":40,"status_id":1,"priority_id":2,"assigned_to_id":338,"start_date":"2017-11-07","description":"","custom_fields":[{"id":1,"name":"Subdivision","value":"EC"},{"id":4,"name":"Milepost","value":"23.3278"},{"id":17,"name":"Train ID","value":"165-07"},{"id":16,"name":"Locomotive ID","value":"4026"},{"id":130,"name":"Impact","value":""},{"id":150,"name":"Time of Event (Mountain Time)","value":"12:19:58"},{"id":151,"name":"Denver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4026 --day 2017-11-07</v>
      </c>
      <c r="AN77" s="151" t="str">
        <f t="shared" si="8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-11-07T10:36:56-0700',mode:absolute,to:'2017-11-07T13:19:58-0700'))&amp;_a=(columns:!('Message%20ID',Summary),filters:!(),index:'emp_*',interval:auto,query:(query_string:(analyze_wildcard:!t,query:'%22rtdc.l.rtdc.4026%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777</v>
      </c>
      <c r="B78" s="7">
        <v>4025</v>
      </c>
      <c r="C78" s="21" t="s">
        <v>192</v>
      </c>
      <c r="D78" s="21" t="s">
        <v>503</v>
      </c>
      <c r="E78" s="13">
        <v>43046.524641203701</v>
      </c>
      <c r="F78" s="13">
        <v>43046.529340277775</v>
      </c>
      <c r="G78" s="7">
        <v>90</v>
      </c>
      <c r="H78" s="21" t="s">
        <v>373</v>
      </c>
      <c r="I78" s="13">
        <v>43046.556018518517</v>
      </c>
      <c r="J78" s="7">
        <v>0</v>
      </c>
      <c r="K78" s="89" t="str">
        <f>IF(ISEVEN(B78),(B78-1)&amp;"/"&amp;B78,B78&amp;"/"&amp;(B78+1))</f>
        <v>4025/4026</v>
      </c>
      <c r="L78" s="185" t="str">
        <f>VLOOKUP(A78,'Trips&amp;Operators'!$C$1:$G$99911,5,FALSE)</f>
        <v>LEVIN SCOTT</v>
      </c>
      <c r="M78" s="6">
        <f>I78-F78</f>
        <v>2.6678240741603076E-2</v>
      </c>
      <c r="N78" s="7">
        <f>24*60*SUM($M78:$M78)</f>
        <v>38.41666666790843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-07T11:35:29-0700',mode:absolute,to:'2017-11-07T14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23.2971</v>
      </c>
      <c r="Z78" s="204">
        <f>RIGHT(H78,LEN(H78)-4)/10000</f>
        <v>1.61E-2</v>
      </c>
      <c r="AA78" s="204">
        <f>ABS(Z78-Y78)</f>
        <v>23.280999999999999</v>
      </c>
      <c r="AB78" s="54" t="e">
        <f>VLOOKUP(A78,Enforcements!$C$7:$K$10,8,0)</f>
        <v>#N/A</v>
      </c>
      <c r="AC78" s="51" t="e">
        <f>VLOOKUP(A78,Enforcements!$C$7:$E$10,3,0)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s3://rtdc.mdm.uploadarchive.raw/RTDC4025/ "%USERPROFILE%\AppData\Local\Temp\OnboardLogs"\RTDC4025\2017-11-07 --exclude "*" --recursive --include "*20171107*" &amp; "%USERPROFILE%\Documents\GitHub\mrs-test-scripts\Headless Mode &amp; Sideloading\WalkAndUnGZ.bat" "%USERPROFILE%\AppData\Local\Temp\OnboardLogs"\RTDC4025\2017-11-07 &amp; aws s3 cp s3://rtdc.mdm.uploadarchive.raw/RTDC4025/ "%USERPROFILE%\AppData\Local\Temp\OnboardLogs"\RTDC4025\2017-11-08 --exclude "*" --recursive --include "*20171108*" &amp; "%USERPROFILE%\Documents\GitHub\mrs-test-scripts\Headless Mode &amp; Sideloading\WalkAndUnGZ.bat" "%USERPROFILE%\AppData\Local\Temp\OnboardLogs"\RTDC4025\2017-11-08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/stypes="app*4025*20171107*" /stext=" 20:.+((SYSTEM_STATE.+slice.+state.+changed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50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166-07 --locoid 4025 --swversion DE.1.0.9.0 --startMP 204:232971 --initTime 2017-11-07T12:35:29 --startdatetime 2017-11-07T12:42:15 --delay 90 --endMP 204:161 --enddatetime 2017-11-07T13:20:40 --enforcementcount 0 &gt;&gt;%USERPROFILE%\Documents\GitHub\eaglep3-reporting\EC\2017-11-07-refined-times.txt</v>
      </c>
      <c r="AI78" s="96" t="str">
        <f t="shared" ref="AI78:AI150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{"issue":{"subject":"","project_id":79,"tracker_id":40,"status_id":1,"priority_id":2,"assigned_to_id":338,"start_date":"2017-11-07","description":"","custom_fields":[{"id":1,"name":"Subdivision","value":"EC"},{"id":4,"name":"Milepost","value":"0.0161"},{"id":17,"name":"Train ID","value":"166-07"},{"id":16,"name":"Locomotive ID","value":"4025"},{"id":130,"name":"Impact","value":""},{"id":150,"name":"Time of Event (Mountain Time)","value":"13:20:40"},{"id":151,"name":"Denver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50" si="12">"start /low /b "&amp;dls3logs&amp;" --loco "&amp;B78&amp;" --day "&amp;TEXT(F78,"YYYY-MM-DD")</f>
        <v>start /low /b %USERPROFILE%\Documents\GitHub\eaglep3\Utilities\DownloadLogsFromS3.py --loco 4025 --day 2017-11-07</v>
      </c>
      <c r="AN78" s="151" t="str">
        <f t="shared" ref="AN78:AN150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20:20:40"},{"id":29,"name":"Sharepoint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50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-07T11:35:29-0700',mode:absolute,to:'2017-11-07T14:20:40-0700'))&amp;_a=(columns:!('Message%20ID',Summary),filters:!(),index:'emp_*',interval:auto,query:(query_string:(analyze_wildcard:!t,query:'%22rtdc.l.rtdc.4025%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772</v>
      </c>
      <c r="B79" s="7">
        <v>4042</v>
      </c>
      <c r="C79" s="21" t="s">
        <v>192</v>
      </c>
      <c r="D79" s="21" t="s">
        <v>556</v>
      </c>
      <c r="E79" s="13">
        <v>43046.497442129628</v>
      </c>
      <c r="F79" s="13">
        <v>43046.500254629631</v>
      </c>
      <c r="G79" s="7">
        <v>108</v>
      </c>
      <c r="H79" s="21" t="s">
        <v>934</v>
      </c>
      <c r="I79" s="13">
        <v>43046.525613425925</v>
      </c>
      <c r="J79" s="7">
        <v>0</v>
      </c>
      <c r="K79" s="89" t="str">
        <f>IF(ISEVEN(B79),(B79-1)&amp;"/"&amp;B79,B79&amp;"/"&amp;(B79+1))</f>
        <v>4041/4042</v>
      </c>
      <c r="L79" s="185" t="str">
        <f>VLOOKUP(A79,'Trips&amp;Operators'!$C$1:$G$99911,5,FALSE)</f>
        <v>ANDREA WILLIAMS</v>
      </c>
      <c r="M79" s="6">
        <f>I79-F79</f>
        <v>2.5358796294312924E-2</v>
      </c>
      <c r="N79" s="7">
        <f>24*60*SUM($M79:$M79)</f>
        <v>36.516666663810611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-07T10:56:19-0700',mode:absolute,to:'2017-11-07T13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5.3699999999999998E-2</v>
      </c>
      <c r="Z79" s="204">
        <f>RIGHT(H79,LEN(H79)-4)/10000</f>
        <v>23.319299999999998</v>
      </c>
      <c r="AA79" s="204">
        <f>ABS(Z79-Y79)</f>
        <v>23.265599999999999</v>
      </c>
      <c r="AB79" s="54" t="e">
        <f>VLOOKUP(A79,Enforcements!$C$7:$K$10,8,0)</f>
        <v>#N/A</v>
      </c>
      <c r="AC79" s="51" t="e">
        <f>VLOOKUP(A79,Enforcements!$C$7:$E$10,3,0)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/stypes="app*4042*20171107*" /stext=" 19:.+((SYSTEM_STATE.+slice.+state.+changed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0"/>
        <v>"%USERPROFILE%\Documents\GitHub\eaglep3\Utilities\RefineRTDCRunTimes.py" --tripid 167-07 --locoid 4042 --swversion DE.1.0.9.0 --startMP 204:537 --initTime 2017-11-07T11:56:19 --startdatetime 2017-11-07T12:00:22 --delay 108 --endMP 204:233193 --enddatetime 2017-11-07T12:36:53 --enforcementcount 0 &gt;&gt;%USERPROFILE%\Documents\GitHub\eaglep3-reporting\EC\2017-11-07-refined-times.txt</v>
      </c>
      <c r="AI79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{"issue":{"subject":"","project_id":79,"tracker_id":40,"status_id":1,"priority_id":2,"assigned_to_id":338,"start_date":"2017-11-07","description":"","custom_fields":[{"id":1,"name":"Subdivision","value":"EC"},{"id":4,"name":"Milepost","value":"23.3193"},{"id":17,"name":"Train ID","value":"167-07"},{"id":16,"name":"Locomotive ID","value":"4042"},{"id":130,"name":"Impact","value":""},{"id":150,"name":"Time of Event (Mountain Time)","value":"12:36:53"},{"id":151,"name":"Denver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2"/>
        <v>start /low /b %USERPROFILE%\Documents\GitHub\eaglep3\Utilities\DownloadLogsFromS3.py --loco 4042 --day 2017-11-07</v>
      </c>
      <c r="AN79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4"/>
        <v>https://d0f6bd738d7f1b3e5a7ca70fe4ff75f0.us-east-1.aws.found.io/app/kibana#/discover/Steve-Slow-Train-Analysis-(2080s-and-2083s)?_g=(refreshInterval:(display:Off,pause:!f,section:0,value:0),time:(from:'2017-11-07T10:56:19-0700',mode:absolute,to:'2017-11-07T13:36:53-0700'))&amp;_a=(columns:!('Message%20ID',Summary),filters:!(),index:'emp_*',interval:auto,query:(query_string:(analyze_wildcard:!t,query:'%22rtdc.l.rtdc.4042%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658</v>
      </c>
      <c r="B80" s="7">
        <v>4041</v>
      </c>
      <c r="C80" s="21" t="s">
        <v>192</v>
      </c>
      <c r="D80" s="21" t="s">
        <v>910</v>
      </c>
      <c r="E80" s="13">
        <v>43046.532488425924</v>
      </c>
      <c r="F80" s="13">
        <v>43046.539837962962</v>
      </c>
      <c r="G80" s="7">
        <v>97</v>
      </c>
      <c r="H80" s="21" t="s">
        <v>557</v>
      </c>
      <c r="I80" s="13">
        <v>43046.56827546296</v>
      </c>
      <c r="J80" s="7">
        <v>0</v>
      </c>
      <c r="K80" s="89" t="str">
        <f>IF(ISEVEN(B80),(B80-1)&amp;"/"&amp;B80,B80&amp;"/"&amp;(B80+1))</f>
        <v>4041/4042</v>
      </c>
      <c r="L80" s="185" t="str">
        <f>VLOOKUP(A80,'Trips&amp;Operators'!$C$1:$G$99911,5,FALSE)</f>
        <v>ANDREA WILLIAMS</v>
      </c>
      <c r="M80" s="6">
        <f>I80-F80</f>
        <v>2.8437499997380655E-2</v>
      </c>
      <c r="N80" s="7">
        <f>24*60*SUM($M80:$M80)</f>
        <v>40.949999996228144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-07T11:46:47-0700',mode:absolute,to:'2017-11-07T14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23.287400000000002</v>
      </c>
      <c r="Z80" s="204">
        <f>RIGHT(H80,LEN(H80)-4)/10000</f>
        <v>2.6499999999999999E-2</v>
      </c>
      <c r="AA80" s="204">
        <f>ABS(Z80-Y80)</f>
        <v>23.260900000000003</v>
      </c>
      <c r="AB80" s="54" t="e">
        <f>VLOOKUP(A80,Enforcements!$C$7:$K$10,8,0)</f>
        <v>#N/A</v>
      </c>
      <c r="AC80" s="51" t="e">
        <f>VLOOKUP(A80,Enforcements!$C$7:$E$10,3,0)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/stypes="app*4041*20171107*" /stext=" 20:.+((SYSTEM_STATE.+slice.+state.+changed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0"/>
        <v>"%USERPROFILE%\Documents\GitHub\eaglep3\Utilities\RefineRTDCRunTimes.py" --tripid 168-07 --locoid 4041 --swversion DE.1.0.9.0 --startMP 204:232874 --initTime 2017-11-07T12:46:47 --startdatetime 2017-11-07T12:57:22 --delay 97 --endMP 204:265 --enddatetime 2017-11-07T13:38:19 --enforcementcount 0 &gt;&gt;%USERPROFILE%\Documents\GitHub\eaglep3-reporting\EC\2017-11-07-refined-times.txt</v>
      </c>
      <c r="AI80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{"issue":{"subject":"","project_id":79,"tracker_id":40,"status_id":1,"priority_id":2,"assigned_to_id":338,"start_date":"2017-11-07","description":"","custom_fields":[{"id":1,"name":"Subdivision","value":"EC"},{"id":4,"name":"Milepost","value":"0.0265"},{"id":17,"name":"Train ID","value":"168-07"},{"id":16,"name":"Locomotive ID","value":"4041"},{"id":130,"name":"Impact","value":""},{"id":150,"name":"Time of Event (Mountain Time)","value":"13:38:19"},{"id":151,"name":"Denver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2"/>
        <v>start /low /b %USERPROFILE%\Documents\GitHub\eaglep3\Utilities\DownloadLogsFromS3.py --loco 4041 --day 2017-11-07</v>
      </c>
      <c r="AN80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20:38:19"},{"id":29,"name":"Sharepoint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4"/>
        <v>https://d0f6bd738d7f1b3e5a7ca70fe4ff75f0.us-east-1.aws.found.io/app/kibana#/discover/Steve-Slow-Train-Analysis-(2080s-and-2083s)?_g=(refreshInterval:(display:Off,pause:!f,section:0,value:0),time:(from:'2017-11-07T11:46:47-0700',mode:absolute,to:'2017-11-07T14:38:19-0700'))&amp;_a=(columns:!('Message%20ID',Summary),filters:!(),index:'emp_*',interval:auto,query:(query_string:(analyze_wildcard:!t,query:'%22rtdc.l.rtdc.4041%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773</v>
      </c>
      <c r="B81" s="7">
        <v>4058</v>
      </c>
      <c r="C81" s="21" t="s">
        <v>192</v>
      </c>
      <c r="D81" s="21" t="s">
        <v>539</v>
      </c>
      <c r="E81" s="13">
        <v>43046.506249999999</v>
      </c>
      <c r="F81" s="13">
        <v>43046.510671296295</v>
      </c>
      <c r="G81" s="7">
        <v>116</v>
      </c>
      <c r="H81" s="21" t="s">
        <v>932</v>
      </c>
      <c r="I81" s="13">
        <v>43046.534930555557</v>
      </c>
      <c r="J81" s="7">
        <v>0</v>
      </c>
      <c r="K81" s="89" t="str">
        <f>IF(ISEVEN(B81),(B81-1)&amp;"/"&amp;B81,B81&amp;"/"&amp;(B81+1))</f>
        <v>4057/4058</v>
      </c>
      <c r="L81" s="185" t="str">
        <f>VLOOKUP(A81,'Trips&amp;Operators'!$C$1:$G$99911,5,FALSE)</f>
        <v>SAFIEF AEIMEN</v>
      </c>
      <c r="M81" s="6">
        <f>I81-F81</f>
        <v>2.4259259262180422E-2</v>
      </c>
      <c r="N81" s="7">
        <f>24*60*SUM($M81:$M81)</f>
        <v>34.933333337539807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-07T11:09:00-0700',mode:absolute,to:'2017-11-07T13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4.6699999999999998E-2</v>
      </c>
      <c r="Z81" s="204">
        <f>RIGHT(H81,LEN(H81)-4)/10000</f>
        <v>23.323399999999999</v>
      </c>
      <c r="AA81" s="204">
        <f>ABS(Z81-Y81)</f>
        <v>23.276699999999998</v>
      </c>
      <c r="AB81" s="54" t="e">
        <f>VLOOKUP(A81,Enforcements!$C$7:$K$10,8,0)</f>
        <v>#N/A</v>
      </c>
      <c r="AC81" s="51" t="e">
        <f>VLOOKUP(A81,Enforcements!$C$7:$E$10,3,0)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s3://rtdc.mdm.uploadarchive.raw/RTDC4058/ "%USERPROFILE%\AppData\Local\Temp\OnboardLogs"\RTDC4058\2017-11-07 --exclude "*" --recursive --include "*20171107*" &amp; "%USERPROFILE%\Documents\GitHub\mrs-test-scripts\Headless Mode &amp; Sideloading\WalkAndUnGZ.bat" "%USERPROFILE%\AppData\Local\Temp\OnboardLogs"\RTDC4058\2017-11-07 &amp; aws s3 cp s3://rtdc.mdm.uploadarchive.raw/RTDC4058/ "%USERPROFILE%\AppData\Local\Temp\OnboardLogs"\RTDC4058\2017-11-08 --exclude "*" --recursive --include "*20171108*" &amp; "%USERPROFILE%\Documents\GitHub\mrs-test-scripts\Headless Mode &amp; Sideloading\WalkAndUnGZ.bat" "%USERPROFILE%\AppData\Local\Temp\OnboardLogs"\RTDC4058\2017-11-08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/stypes="app*4058*20171107*" /stext=" 19:.+((SYSTEM_STATE.+slice.+state.+changed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0"/>
        <v>"%USERPROFILE%\Documents\GitHub\eaglep3\Utilities\RefineRTDCRunTimes.py" --tripid 169-07 --locoid 4058 --swversion DE.1.0.9.0 --startMP 204:467 --initTime 2017-11-07T12:09:00 --startdatetime 2017-11-07T12:15:22 --delay 116 --endMP 204:233234 --enddatetime 2017-11-07T12:50:18 --enforcementcount 0 &gt;&gt;%USERPROFILE%\Documents\GitHub\eaglep3-reporting\EC\2017-11-07-refined-times.txt</v>
      </c>
      <c r="AI81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{"issue":{"subject":"","project_id":79,"tracker_id":40,"status_id":1,"priority_id":2,"assigned_to_id":338,"start_date":"2017-11-07","description":"","custom_fields":[{"id":1,"name":"Subdivision","value":"EC"},{"id":4,"name":"Milepost","value":"23.3234"},{"id":17,"name":"Train ID","value":"169-07"},{"id":16,"name":"Locomotive ID","value":"4058"},{"id":130,"name":"Impact","value":""},{"id":150,"name":"Time of Event (Mountain Time)","value":"12:50:18"},{"id":151,"name":"Denver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2"/>
        <v>start /low /b %USERPROFILE%\Documents\GitHub\eaglep3\Utilities\DownloadLogsFromS3.py --loco 4058 --day 2017-11-07</v>
      </c>
      <c r="AN81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4"/>
        <v>https://d0f6bd738d7f1b3e5a7ca70fe4ff75f0.us-east-1.aws.found.io/app/kibana#/discover/Steve-Slow-Train-Analysis-(2080s-and-2083s)?_g=(refreshInterval:(display:Off,pause:!f,section:0,value:0),time:(from:'2017-11-07T11:09:00-0700',mode:absolute,to:'2017-11-07T13:50:18-0700'))&amp;_a=(columns:!('Message%20ID',Summary),filters:!(),index:'emp_*',interval:auto,query:(query_string:(analyze_wildcard:!t,query:'%22rtdc.l.rtdc.4058%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780</v>
      </c>
      <c r="B82" s="7">
        <v>4057</v>
      </c>
      <c r="C82" s="21" t="s">
        <v>192</v>
      </c>
      <c r="D82" s="21" t="s">
        <v>935</v>
      </c>
      <c r="E82" s="13">
        <v>43046.537939814814</v>
      </c>
      <c r="F82" s="13">
        <v>43046.550393518519</v>
      </c>
      <c r="G82" s="7">
        <v>85</v>
      </c>
      <c r="H82" s="21" t="s">
        <v>917</v>
      </c>
      <c r="I82" s="13">
        <v>43046.576828703706</v>
      </c>
      <c r="J82" s="7">
        <v>0</v>
      </c>
      <c r="K82" s="89" t="str">
        <f>IF(ISEVEN(B82),(B82-1)&amp;"/"&amp;B82,B82&amp;"/"&amp;(B82+1))</f>
        <v>4057/4058</v>
      </c>
      <c r="L82" s="185" t="str">
        <f>VLOOKUP(A82,'Trips&amp;Operators'!$C$1:$G$99911,5,FALSE)</f>
        <v>SAFIEF AEIMEN</v>
      </c>
      <c r="M82" s="6">
        <f>I82-F82</f>
        <v>2.6435185187438037E-2</v>
      </c>
      <c r="N82" s="7">
        <f>24*60*SUM($M82:$M82)</f>
        <v>38.066666669910774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-07T11:54:38-0700',mode:absolute,to:'2017-11-07T14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23.290400000000002</v>
      </c>
      <c r="Z82" s="204">
        <f>RIGHT(H82,LEN(H82)-4)/10000</f>
        <v>1.72E-2</v>
      </c>
      <c r="AA82" s="204">
        <f>ABS(Z82-Y82)</f>
        <v>23.273200000000003</v>
      </c>
      <c r="AB82" s="54" t="e">
        <f>VLOOKUP(A82,Enforcements!$C$7:$K$10,8,0)</f>
        <v>#N/A</v>
      </c>
      <c r="AC82" s="51" t="e">
        <f>VLOOKUP(A82,Enforcements!$C$7:$E$10,3,0)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s3://rtdc.mdm.uploadarchive.raw/RTDC4057/ "%USERPROFILE%\AppData\Local\Temp\OnboardLogs"\RTDC4057\2017-11-07 --exclude "*" --recursive --include "*20171107*" &amp; "%USERPROFILE%\Documents\GitHub\mrs-test-scripts\Headless Mode &amp; Sideloading\WalkAndUnGZ.bat" "%USERPROFILE%\AppData\Local\Temp\OnboardLogs"\RTDC4057\2017-11-07 &amp; aws s3 cp s3://rtdc.mdm.uploadarchive.raw/RTDC4057/ "%USERPROFILE%\AppData\Local\Temp\OnboardLogs"\RTDC4057\2017-11-08 --exclude "*" --recursive --include "*20171108*" &amp; "%USERPROFILE%\Documents\GitHub\mrs-test-scripts\Headless Mode &amp; Sideloading\WalkAndUnGZ.bat" "%USERPROFILE%\AppData\Local\Temp\OnboardLogs"\RTDC4057\2017-11-08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/stypes="app*4057*20171107*" /stext=" 20:.+((SYSTEM_STATE.+slice.+state.+changed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0"/>
        <v>"%USERPROFILE%\Documents\GitHub\eaglep3\Utilities\RefineRTDCRunTimes.py" --tripid 170-07 --locoid 4057 --swversion DE.1.0.9.0 --startMP 204:232904 --initTime 2017-11-07T12:54:38 --startdatetime 2017-11-07T13:12:34 --delay 85 --endMP 204:172 --enddatetime 2017-11-07T13:50:38 --enforcementcount 0 &gt;&gt;%USERPROFILE%\Documents\GitHub\eaglep3-reporting\EC\2017-11-07-refined-times.txt</v>
      </c>
      <c r="AI82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{"issue":{"subject":"","project_id":79,"tracker_id":40,"status_id":1,"priority_id":2,"assigned_to_id":338,"start_date":"2017-11-07","description":"","custom_fields":[{"id":1,"name":"Subdivision","value":"EC"},{"id":4,"name":"Milepost","value":"0.0172"},{"id":17,"name":"Train ID","value":"170-07"},{"id":16,"name":"Locomotive ID","value":"4057"},{"id":130,"name":"Impact","value":""},{"id":150,"name":"Time of Event (Mountain Time)","value":"13:50:38"},{"id":151,"name":"Denver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2"/>
        <v>start /low /b %USERPROFILE%\Documents\GitHub\eaglep3\Utilities\DownloadLogsFromS3.py --loco 4057 --day 2017-11-07</v>
      </c>
      <c r="AN82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20:50:38"},{"id":29,"name":"Sharepoint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4"/>
        <v>https://d0f6bd738d7f1b3e5a7ca70fe4ff75f0.us-east-1.aws.found.io/app/kibana#/discover/Steve-Slow-Train-Analysis-(2080s-and-2083s)?_g=(refreshInterval:(display:Off,pause:!f,section:0,value:0),time:(from:'2017-11-07T11:54:38-0700',mode:absolute,to:'2017-11-07T14:50:38-0700'))&amp;_a=(columns:!('Message%20ID',Summary),filters:!(),index:'emp_*',interval:auto,query:(query_string:(analyze_wildcard:!t,query:'%22rtdc.l.rtdc.4057%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776</v>
      </c>
      <c r="B83" s="7">
        <v>4064</v>
      </c>
      <c r="C83" s="21" t="s">
        <v>192</v>
      </c>
      <c r="D83" s="21" t="s">
        <v>552</v>
      </c>
      <c r="E83" s="13">
        <v>43046.519004629627</v>
      </c>
      <c r="F83" s="13">
        <v>43046.521354166667</v>
      </c>
      <c r="G83" s="7">
        <v>56</v>
      </c>
      <c r="H83" s="21" t="s">
        <v>478</v>
      </c>
      <c r="I83" s="13">
        <v>43046.547233796293</v>
      </c>
      <c r="J83" s="7">
        <v>0</v>
      </c>
      <c r="K83" s="89" t="str">
        <f>IF(ISEVEN(B83),(B83-1)&amp;"/"&amp;B83,B83&amp;"/"&amp;(B83+1))</f>
        <v>4063/4064</v>
      </c>
      <c r="L83" s="185" t="str">
        <f>VLOOKUP(A83,'Trips&amp;Operators'!$C$1:$G$99911,5,FALSE)</f>
        <v>DAVIS MICHAEL</v>
      </c>
      <c r="M83" s="6">
        <f>I83-F83</f>
        <v>2.5879629625706002E-2</v>
      </c>
      <c r="N83" s="7">
        <f>24*60*SUM($M83:$M83)</f>
        <v>37.266666661016643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-07T11:27:22-0700',mode:absolute,to:'2017-11-07T14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5.1900000000000002E-2</v>
      </c>
      <c r="Z83" s="204">
        <f>RIGHT(H83,LEN(H83)-4)/10000</f>
        <v>23.328900000000001</v>
      </c>
      <c r="AA83" s="204">
        <f>ABS(Z83-Y83)</f>
        <v>23.277000000000001</v>
      </c>
      <c r="AB83" s="54" t="e">
        <f>VLOOKUP(A83,Enforcements!$C$7:$K$10,8,0)</f>
        <v>#N/A</v>
      </c>
      <c r="AC83" s="51" t="e">
        <f>VLOOKUP(A83,Enforcements!$C$7:$E$10,3,0)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/stypes="app*4064*20171107*" /stext=" 20:.+((SYSTEM_STATE.+slice.+state.+changed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0"/>
        <v>"%USERPROFILE%\Documents\GitHub\eaglep3\Utilities\RefineRTDCRunTimes.py" --tripid 171-07 --locoid 4064 --swversion DE.1.0.9.0 --startMP 204:519 --initTime 2017-11-07T12:27:22 --startdatetime 2017-11-07T12:30:45 --delay 56 --endMP 204:233289 --enddatetime 2017-11-07T13:08:01 --enforcementcount 0 &gt;&gt;%USERPROFILE%\Documents\GitHub\eaglep3-reporting\EC\2017-11-07-refined-times.txt</v>
      </c>
      <c r="AI83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{"issue":{"subject":"","project_id":79,"tracker_id":40,"status_id":1,"priority_id":2,"assigned_to_id":338,"start_date":"2017-11-07","description":"","custom_fields":[{"id":1,"name":"Subdivision","value":"EC"},{"id":4,"name":"Milepost","value":"23.3289"},{"id":17,"name":"Train ID","value":"171-07"},{"id":16,"name":"Locomotive ID","value":"4064"},{"id":130,"name":"Impact","value":""},{"id":150,"name":"Time of Event (Mountain Time)","value":"13:08:01"},{"id":151,"name":"Denver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2"/>
        <v>start /low /b %USERPROFILE%\Documents\GitHub\eaglep3\Utilities\DownloadLogsFromS3.py --loco 4064 --day 2017-11-07</v>
      </c>
      <c r="AN83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20:08:01"},{"id":29,"name":"Sharepoint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4"/>
        <v>https://d0f6bd738d7f1b3e5a7ca70fe4ff75f0.us-east-1.aws.found.io/app/kibana#/discover/Steve-Slow-Train-Analysis-(2080s-and-2083s)?_g=(refreshInterval:(display:Off,pause:!f,section:0,value:0),time:(from:'2017-11-07T11:27:22-0700',mode:absolute,to:'2017-11-07T14:08:01-0700'))&amp;_a=(columns:!('Message%20ID',Summary),filters:!(),index:'emp_*',interval:auto,query:(query_string:(analyze_wildcard:!t,query:'%22rtdc.l.rtdc.4064%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784</v>
      </c>
      <c r="B84" s="7">
        <v>4063</v>
      </c>
      <c r="C84" s="21" t="s">
        <v>192</v>
      </c>
      <c r="D84" s="21" t="s">
        <v>498</v>
      </c>
      <c r="E84" s="13">
        <v>43046.558159722219</v>
      </c>
      <c r="F84" s="13">
        <v>43046.560752314814</v>
      </c>
      <c r="G84" s="7">
        <v>91</v>
      </c>
      <c r="H84" s="21" t="s">
        <v>936</v>
      </c>
      <c r="I84" s="13">
        <v>43046.588333333333</v>
      </c>
      <c r="J84" s="7">
        <v>0</v>
      </c>
      <c r="K84" s="89" t="str">
        <f>IF(ISEVEN(B84),(B84-1)&amp;"/"&amp;B84,B84&amp;"/"&amp;(B84+1))</f>
        <v>4063/4064</v>
      </c>
      <c r="L84" s="185" t="str">
        <f>VLOOKUP(A84,'Trips&amp;Operators'!$C$1:$G$99911,5,FALSE)</f>
        <v>DAVIS MICHAEL</v>
      </c>
      <c r="M84" s="6">
        <f>I84-F84</f>
        <v>2.7581018519413192E-2</v>
      </c>
      <c r="N84" s="7">
        <f>24*60*SUM($M84:$M84)</f>
        <v>39.716666667954996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-07T12:23:45-0700',mode:absolute,to:'2017-11-07T15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23.296399999999998</v>
      </c>
      <c r="Z84" s="204">
        <f>RIGHT(H84,LEN(H84)-4)/10000</f>
        <v>2.2700000000000001E-2</v>
      </c>
      <c r="AA84" s="204">
        <f>ABS(Z84-Y84)</f>
        <v>23.273699999999998</v>
      </c>
      <c r="AB84" s="54" t="e">
        <f>VLOOKUP(A84,Enforcements!$C$7:$K$10,8,0)</f>
        <v>#N/A</v>
      </c>
      <c r="AC84" s="51" t="e">
        <f>VLOOKUP(A84,Enforcements!$C$7:$E$10,3,0)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/stypes="app*4063*20171107*" /stext=" 21:.+((SYSTEM_STATE.+slice.+state.+changed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0"/>
        <v>"%USERPROFILE%\Documents\GitHub\eaglep3\Utilities\RefineRTDCRunTimes.py" --tripid 172-07 --locoid 4063 --swversion DE.1.0.9.0 --startMP 204:232964 --initTime 2017-11-07T13:23:45 --startdatetime 2017-11-07T13:27:29 --delay 91 --endMP 204:227 --enddatetime 2017-11-07T14:07:12 --enforcementcount 0 &gt;&gt;%USERPROFILE%\Documents\GitHub\eaglep3-reporting\EC\2017-11-07-refined-times.txt</v>
      </c>
      <c r="AI84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{"issue":{"subject":"","project_id":79,"tracker_id":40,"status_id":1,"priority_id":2,"assigned_to_id":338,"start_date":"2017-11-07","description":"","custom_fields":[{"id":1,"name":"Subdivision","value":"EC"},{"id":4,"name":"Milepost","value":"0.0227"},{"id":17,"name":"Train ID","value":"172-07"},{"id":16,"name":"Locomotive ID","value":"4063"},{"id":130,"name":"Impact","value":""},{"id":150,"name":"Time of Event (Mountain Time)","value":"14:07:12"},{"id":151,"name":"Denver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2"/>
        <v>start /low /b %USERPROFILE%\Documents\GitHub\eaglep3\Utilities\DownloadLogsFromS3.py --loco 4063 --day 2017-11-07</v>
      </c>
      <c r="AN84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4"/>
        <v>https://d0f6bd738d7f1b3e5a7ca70fe4ff75f0.us-east-1.aws.found.io/app/kibana#/discover/Steve-Slow-Train-Analysis-(2080s-and-2083s)?_g=(refreshInterval:(display:Off,pause:!f,section:0,value:0),time:(from:'2017-11-07T12:23:45-0700',mode:absolute,to:'2017-11-07T15:07:12-0700'))&amp;_a=(columns:!('Message%20ID',Summary),filters:!(),index:'emp_*',interval:auto,query:(query_string:(analyze_wildcard:!t,query:'%22rtdc.l.rtdc.4063%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778</v>
      </c>
      <c r="B85" s="7">
        <v>4040</v>
      </c>
      <c r="C85" s="21" t="s">
        <v>192</v>
      </c>
      <c r="D85" s="21" t="s">
        <v>937</v>
      </c>
      <c r="E85" s="13">
        <v>43046.530046296299</v>
      </c>
      <c r="F85" s="13">
        <v>43046.531956018516</v>
      </c>
      <c r="G85" s="7">
        <v>61</v>
      </c>
      <c r="H85" s="21" t="s">
        <v>544</v>
      </c>
      <c r="I85" s="13">
        <v>43046.556655092594</v>
      </c>
      <c r="J85" s="7">
        <v>0</v>
      </c>
      <c r="K85" s="89" t="str">
        <f>IF(ISEVEN(B85),(B85-1)&amp;"/"&amp;B85,B85&amp;"/"&amp;(B85+1))</f>
        <v>4039/4040</v>
      </c>
      <c r="L85" s="185" t="str">
        <f>VLOOKUP(A85,'Trips&amp;Operators'!$C$1:$G$99911,5,FALSE)</f>
        <v>MOSES BRADLEY</v>
      </c>
      <c r="M85" s="6">
        <f>I85-F85</f>
        <v>2.4699074077943806E-2</v>
      </c>
      <c r="N85" s="7">
        <f>24*60*SUM($M85:$M85)</f>
        <v>35.56666667223908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-07T11:43:16-0700',mode:absolute,to:'2017-11-07T14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5.3900000000000003E-2</v>
      </c>
      <c r="Z85" s="204">
        <f>RIGHT(H85,LEN(H85)-4)/10000</f>
        <v>23.3247</v>
      </c>
      <c r="AA85" s="204">
        <f>ABS(Z85-Y85)</f>
        <v>23.270800000000001</v>
      </c>
      <c r="AB85" s="54" t="e">
        <f>VLOOKUP(A85,Enforcements!$C$7:$K$10,8,0)</f>
        <v>#N/A</v>
      </c>
      <c r="AC85" s="51" t="e">
        <f>VLOOKUP(A85,Enforcements!$C$7:$E$10,3,0)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s3://rtdc.mdm.uploadarchive.raw/RTDC4040/ "%USERPROFILE%\AppData\Local\Temp\OnboardLogs"\RTDC4040\2017-11-07 --exclude "*" --recursive --include "*20171107*" &amp; "%USERPROFILE%\Documents\GitHub\mrs-test-scripts\Headless Mode &amp; Sideloading\WalkAndUnGZ.bat" "%USERPROFILE%\AppData\Local\Temp\OnboardLogs"\RTDC4040\2017-11-07 &amp; aws s3 cp s3://rtdc.mdm.uploadarchive.raw/RTDC4040/ "%USERPROFILE%\AppData\Local\Temp\OnboardLogs"\RTDC4040\2017-11-08 --exclude "*" --recursive --include "*20171108*" &amp; "%USERPROFILE%\Documents\GitHub\mrs-test-scripts\Headless Mode &amp; Sideloading\WalkAndUnGZ.bat" "%USERPROFILE%\AppData\Local\Temp\OnboardLogs"\RTDC4040\2017-11-08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/stypes="app*4040*20171107*" /stext=" 20:.+((SYSTEM_STATE.+slice.+state.+changed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0"/>
        <v>"%USERPROFILE%\Documents\GitHub\eaglep3\Utilities\RefineRTDCRunTimes.py" --tripid 173-07 --locoid 4040 --swversion DE.1.0.9.0 --startMP 204:539 --initTime 2017-11-07T12:43:16 --startdatetime 2017-11-07T12:46:01 --delay 61 --endMP 204:233247 --enddatetime 2017-11-07T13:21:35 --enforcementcount 0 &gt;&gt;%USERPROFILE%\Documents\GitHub\eaglep3-reporting\EC\2017-11-07-refined-times.txt</v>
      </c>
      <c r="AI85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{"issue":{"subject":"","project_id":79,"tracker_id":40,"status_id":1,"priority_id":2,"assigned_to_id":338,"start_date":"2017-11-07","description":"","custom_fields":[{"id":1,"name":"Subdivision","value":"EC"},{"id":4,"name":"Milepost","value":"23.3247"},{"id":17,"name":"Train ID","value":"173-07"},{"id":16,"name":"Locomotive ID","value":"4040"},{"id":130,"name":"Impact","value":""},{"id":150,"name":"Time of Event (Mountain Time)","value":"13:21:35"},{"id":151,"name":"Denver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2"/>
        <v>start /low /b %USERPROFILE%\Documents\GitHub\eaglep3\Utilities\DownloadLogsFromS3.py --loco 4040 --day 2017-11-07</v>
      </c>
      <c r="AN85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4"/>
        <v>https://d0f6bd738d7f1b3e5a7ca70fe4ff75f0.us-east-1.aws.found.io/app/kibana#/discover/Steve-Slow-Train-Analysis-(2080s-and-2083s)?_g=(refreshInterval:(display:Off,pause:!f,section:0,value:0),time:(from:'2017-11-07T11:43:16-0700',mode:absolute,to:'2017-11-07T14:21:35-0700'))&amp;_a=(columns:!('Message%20ID',Summary),filters:!(),index:'emp_*',interval:auto,query:(query_string:(analyze_wildcard:!t,query:'%22rtdc.l.rtdc.4040%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785</v>
      </c>
      <c r="B86" s="7">
        <v>4039</v>
      </c>
      <c r="C86" s="21" t="s">
        <v>192</v>
      </c>
      <c r="D86" s="21" t="s">
        <v>543</v>
      </c>
      <c r="E86" s="13">
        <v>43046.558530092596</v>
      </c>
      <c r="F86" s="13">
        <v>43046.571215277778</v>
      </c>
      <c r="G86" s="7">
        <v>65</v>
      </c>
      <c r="H86" s="21" t="s">
        <v>515</v>
      </c>
      <c r="I86" s="13">
        <v>43046.598171296297</v>
      </c>
      <c r="J86" s="7">
        <v>0</v>
      </c>
      <c r="K86" s="89" t="str">
        <f>IF(ISEVEN(B86),(B86-1)&amp;"/"&amp;B86,B86&amp;"/"&amp;(B86+1))</f>
        <v>4039/4040</v>
      </c>
      <c r="L86" s="185" t="str">
        <f>VLOOKUP(A86,'Trips&amp;Operators'!$C$1:$G$99911,5,FALSE)</f>
        <v>MOSES BRADLEY</v>
      </c>
      <c r="M86" s="6">
        <f>I86-F86</f>
        <v>2.6956018518831115E-2</v>
      </c>
      <c r="N86" s="7">
        <f>24*60*SUM($M86:$M86)</f>
        <v>38.816666667116806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-07T12:24:17-0700',mode:absolute,to:'2017-11-07T15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23.291899999999998</v>
      </c>
      <c r="Z86" s="204">
        <f>RIGHT(H86,LEN(H86)-4)/10000</f>
        <v>2.12E-2</v>
      </c>
      <c r="AA86" s="204">
        <f>ABS(Z86-Y86)</f>
        <v>23.270699999999998</v>
      </c>
      <c r="AB86" s="54" t="e">
        <f>VLOOKUP(A86,Enforcements!$C$7:$K$10,8,0)</f>
        <v>#N/A</v>
      </c>
      <c r="AC86" s="51" t="e">
        <f>VLOOKUP(A86,Enforcements!$C$7:$E$10,3,0)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s3://rtdc.mdm.uploadarchive.raw/RTDC4039/ "%USERPROFILE%\AppData\Local\Temp\OnboardLogs"\RTDC4039\2017-11-07 --exclude "*" --recursive --include "*20171107*" &amp; "%USERPROFILE%\Documents\GitHub\mrs-test-scripts\Headless Mode &amp; Sideloading\WalkAndUnGZ.bat" "%USERPROFILE%\AppData\Local\Temp\OnboardLogs"\RTDC4039\2017-11-07 &amp; aws s3 cp s3://rtdc.mdm.uploadarchive.raw/RTDC4039/ "%USERPROFILE%\AppData\Local\Temp\OnboardLogs"\RTDC4039\2017-11-08 --exclude "*" --recursive --include "*20171108*" &amp; "%USERPROFILE%\Documents\GitHub\mrs-test-scripts\Headless Mode &amp; Sideloading\WalkAndUnGZ.bat" "%USERPROFILE%\AppData\Local\Temp\OnboardLogs"\RTDC4039\2017-11-08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/stypes="app*4039*20171107*" /stext=" 21:.+((SYSTEM_STATE.+slice.+state.+changed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0"/>
        <v>"%USERPROFILE%\Documents\GitHub\eaglep3\Utilities\RefineRTDCRunTimes.py" --tripid 174-07 --locoid 4039 --swversion DE.1.0.9.0 --startMP 204:232919 --initTime 2017-11-07T13:24:17 --startdatetime 2017-11-07T13:42:33 --delay 65 --endMP 204:212 --enddatetime 2017-11-07T14:21:22 --enforcementcount 0 &gt;&gt;%USERPROFILE%\Documents\GitHub\eaglep3-reporting\EC\2017-11-07-refined-times.txt</v>
      </c>
      <c r="AI86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{"issue":{"subject":"","project_id":79,"tracker_id":40,"status_id":1,"priority_id":2,"assigned_to_id":338,"start_date":"2017-11-07","description":"","custom_fields":[{"id":1,"name":"Subdivision","value":"EC"},{"id":4,"name":"Milepost","value":"0.0212"},{"id":17,"name":"Train ID","value":"174-07"},{"id":16,"name":"Locomotive ID","value":"4039"},{"id":130,"name":"Impact","value":""},{"id":150,"name":"Time of Event (Mountain Time)","value":"14:21:22"},{"id":151,"name":"Denver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2"/>
        <v>start /low /b %USERPROFILE%\Documents\GitHub\eaglep3\Utilities\DownloadLogsFromS3.py --loco 4039 --day 2017-11-07</v>
      </c>
      <c r="AN86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4"/>
        <v>https://d0f6bd738d7f1b3e5a7ca70fe4ff75f0.us-east-1.aws.found.io/app/kibana#/discover/Steve-Slow-Train-Analysis-(2080s-and-2083s)?_g=(refreshInterval:(display:Off,pause:!f,section:0,value:0),time:(from:'2017-11-07T12:24:17-0700',mode:absolute,to:'2017-11-07T15:21:22-0700'))&amp;_a=(columns:!('Message%20ID',Summary),filters:!(),index:'emp_*',interval:auto,query:(query_string:(analyze_wildcard:!t,query:'%22rtdc.l.rtdc.4039%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779</v>
      </c>
      <c r="B87" s="7">
        <v>4008</v>
      </c>
      <c r="C87" s="21" t="s">
        <v>192</v>
      </c>
      <c r="D87" s="21" t="s">
        <v>938</v>
      </c>
      <c r="E87" s="13">
        <v>43046.537106481483</v>
      </c>
      <c r="F87" s="13">
        <v>43046.541817129626</v>
      </c>
      <c r="G87" s="7">
        <v>105</v>
      </c>
      <c r="H87" s="21" t="s">
        <v>560</v>
      </c>
      <c r="I87" s="13">
        <v>43046.567453703705</v>
      </c>
      <c r="J87" s="7">
        <v>0</v>
      </c>
      <c r="K87" s="89" t="str">
        <f>IF(ISEVEN(B87),(B87-1)&amp;"/"&amp;B87,B87&amp;"/"&amp;(B87+1))</f>
        <v>4007/4008</v>
      </c>
      <c r="L87" s="185" t="str">
        <f>VLOOKUP(A87,'Trips&amp;Operators'!$C$1:$G$99911,5,FALSE)</f>
        <v>ROBINSON KADDIBA</v>
      </c>
      <c r="M87" s="6">
        <f>I87-F87</f>
        <v>2.5636574078816921E-2</v>
      </c>
      <c r="N87" s="7">
        <f>24*60*SUM($M87:$M87)</f>
        <v>36.916666673496366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-07T11:53:26-0700',mode:absolute,to:'2017-11-07T14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5.3100000000000001E-2</v>
      </c>
      <c r="Z87" s="204">
        <f>RIGHT(H87,LEN(H87)-4)/10000</f>
        <v>23.323799999999999</v>
      </c>
      <c r="AA87" s="204">
        <f>ABS(Z87-Y87)</f>
        <v>23.270699999999998</v>
      </c>
      <c r="AB87" s="54" t="e">
        <f>VLOOKUP(A87,Enforcements!$C$7:$K$10,8,0)</f>
        <v>#N/A</v>
      </c>
      <c r="AC87" s="51" t="e">
        <f>VLOOKUP(A87,Enforcements!$C$7:$E$10,3,0)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/stypes="app*4008*20171107*" /stext=" 20:.+((SYSTEM_STATE.+slice.+state.+changed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0"/>
        <v>"%USERPROFILE%\Documents\GitHub\eaglep3\Utilities\RefineRTDCRunTimes.py" --tripid 175-07 --locoid 4008 --swversion DE.1.0.9.0 --startMP 204:531 --initTime 2017-11-07T12:53:26 --startdatetime 2017-11-07T13:00:13 --delay 105 --endMP 204:233238 --enddatetime 2017-11-07T13:37:08 --enforcementcount 0 &gt;&gt;%USERPROFILE%\Documents\GitHub\eaglep3-reporting\EC\2017-11-07-refined-times.txt</v>
      </c>
      <c r="AI87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{"issue":{"subject":"","project_id":79,"tracker_id":40,"status_id":1,"priority_id":2,"assigned_to_id":338,"start_date":"2017-11-07","description":"","custom_fields":[{"id":1,"name":"Subdivision","value":"EC"},{"id":4,"name":"Milepost","value":"23.3238"},{"id":17,"name":"Train ID","value":"175-07"},{"id":16,"name":"Locomotive ID","value":"4008"},{"id":130,"name":"Impact","value":""},{"id":150,"name":"Time of Event (Mountain Time)","value":"13:37:08"},{"id":151,"name":"Denver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2"/>
        <v>start /low /b %USERPROFILE%\Documents\GitHub\eaglep3\Utilities\DownloadLogsFromS3.py --loco 4008 --day 2017-11-07</v>
      </c>
      <c r="AN87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4"/>
        <v>https://d0f6bd738d7f1b3e5a7ca70fe4ff75f0.us-east-1.aws.found.io/app/kibana#/discover/Steve-Slow-Train-Analysis-(2080s-and-2083s)?_g=(refreshInterval:(display:Off,pause:!f,section:0,value:0),time:(from:'2017-11-07T11:53:26-0700',mode:absolute,to:'2017-11-07T14:37:08-0700'))&amp;_a=(columns:!('Message%20ID',Summary),filters:!(),index:'emp_*',interval:auto,query:(query_string:(analyze_wildcard:!t,query:'%22rtdc.l.rtdc.4008%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659</v>
      </c>
      <c r="B88" s="7">
        <v>4007</v>
      </c>
      <c r="C88" s="21" t="s">
        <v>192</v>
      </c>
      <c r="D88" s="21" t="s">
        <v>938</v>
      </c>
      <c r="E88" s="13">
        <v>43046.537106481483</v>
      </c>
      <c r="F88" s="13">
        <v>43046.581412037034</v>
      </c>
      <c r="G88" s="7">
        <v>105</v>
      </c>
      <c r="H88" s="21" t="s">
        <v>560</v>
      </c>
      <c r="I88" s="13">
        <v>43046.608483796299</v>
      </c>
      <c r="J88" s="7">
        <v>0</v>
      </c>
      <c r="K88" s="89" t="str">
        <f>IF(ISEVEN(B88),(B88-1)&amp;"/"&amp;B88,B88&amp;"/"&amp;(B88+1))</f>
        <v>4007/4008</v>
      </c>
      <c r="L88" s="185" t="str">
        <f>VLOOKUP(A88,'Trips&amp;Operators'!$C$1:$G$99911,5,FALSE)</f>
        <v>BRUDER RICHARD</v>
      </c>
      <c r="M88" s="6">
        <f>I88-F88</f>
        <v>2.7071759264799766E-2</v>
      </c>
      <c r="N88" s="7">
        <f>24*60*SUM($M88:$M88)</f>
        <v>38.983333341311663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-07T11:53:26-0700',mode:absolute,to:'2017-11-07T15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v>23.291899999999998</v>
      </c>
      <c r="Z88" s="204">
        <v>2.12E-2</v>
      </c>
      <c r="AA88" s="204">
        <f>ABS(Z88-Y88)</f>
        <v>23.270699999999998</v>
      </c>
      <c r="AB88" s="54" t="e">
        <f>VLOOKUP(A88,Enforcements!$C$7:$K$10,8,0)</f>
        <v>#N/A</v>
      </c>
      <c r="AC88" s="51" t="e">
        <f>VLOOKUP(A88,Enforcements!$C$7:$E$10,3,0)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/stypes="app*4007*20171107*" /stext=" 21:.+((SYSTEM_STATE.+slice.+state.+changed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ref="AH88" si="15"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"&amp;J88&amp;IF(outputrefinedruntimes," &gt;&gt;"&amp;RefinedRTDCRunTimesOutputFile,"")</f>
        <v>"%USERPROFILE%\Documents\GitHub\eaglep3\Utilities\RefineRTDCRunTimes.py" --tripid 176-07 --locoid 4007 --swversion DE.1.0.9.0 --startMP 204:531 --initTime 2017-11-07T12:53:26 --startdatetime 2017-11-07T13:57:14 --delay 105 --endMP 204:233238 --enddatetime 2017-11-07T14:36:13 --enforcementcount 0 &gt;&gt;%USERPROFILE%\Documents\GitHub\eaglep3-reporting\EC\2017-11-07-refined-times.txt</v>
      </c>
      <c r="AI88" s="96" t="str">
        <f t="shared" ref="AI88" si="16"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Z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{"issue":{"subject":"","project_id":79,"tracker_id":40,"status_id":1,"priority_id":2,"assigned_to_id":338,"start_date":"2017-11-07","description":"","custom_fields":[{"id":1,"name":"Subdivision","value":"EC"},{"id":4,"name":"Milepost","value":"0.0212"},{"id":17,"name":"Train ID","value":"176-07"},{"id":16,"name":"Locomotive ID","value":"4007"},{"id":130,"name":"Impact","value":""},{"id":150,"name":"Time of Event (Mountain Time)","value":"14:36:13"},{"id":151,"name":"Denver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ref="AM88" si="17">"start /low /b "&amp;dls3logs&amp;" --loco "&amp;B88&amp;" --day "&amp;TEXT(F88,"YYYY-MM-DD")</f>
        <v>start /low /b %USERPROFILE%\Documents\GitHub\eaglep3\Utilities\DownloadLogsFromS3.py --loco 4007 --day 2017-11-07</v>
      </c>
      <c r="AN88" s="151" t="str">
        <f t="shared" ref="AN88" si="18">"echo {""issue"":{""subject"":"""&amp;R88&amp;""",""project_id"":30,""tracker_id"":4,""status_id"":"&amp;redmine_status_wcr&amp;",""priority_id"":"&amp;redmine_priority_wcr&amp;",""assigned_to_id"":"&amp;redmine_assignee_wcr&amp;",""start_date"":"""&amp;TEXT(I88-utc_offset/24,"YYYY-mm-dd")&amp;""",""description"":"""&amp;AJ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ref="AO88" si="19"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Message%20ID',Summary),filters:!(),index:'emp_*',interval:auto,query:"&amp;"(query_string:(analyze_wildcard:!t,query:'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-07T11:53:26-0700',mode:absolute,to:'2017-11-07T15:36:13-0700'))&amp;_a=(columns:!('Message%20ID',Summary),filters:!(),index:'emp_*',interval:auto,query:(query_string:(analyze_wildcard:!t,query:'%22rtdc.l.rtdc.4007%22')),sort:!(Time.ISO8601,asc))</v>
      </c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</row>
    <row r="89" spans="1:91" s="1" customFormat="1" x14ac:dyDescent="0.3">
      <c r="A89" s="32" t="s">
        <v>782</v>
      </c>
      <c r="B89" s="7">
        <v>4066</v>
      </c>
      <c r="C89" s="21" t="s">
        <v>192</v>
      </c>
      <c r="D89" s="21" t="s">
        <v>939</v>
      </c>
      <c r="E89" s="13">
        <v>43046.54760416667</v>
      </c>
      <c r="F89" s="13">
        <v>43046.552372685182</v>
      </c>
      <c r="G89" s="7">
        <v>73</v>
      </c>
      <c r="H89" s="21" t="s">
        <v>940</v>
      </c>
      <c r="I89" s="13">
        <v>43046.576863425929</v>
      </c>
      <c r="J89" s="7">
        <v>0</v>
      </c>
      <c r="K89" s="89" t="str">
        <f>IF(ISEVEN(B89),(B89-1)&amp;"/"&amp;B89,B89&amp;"/"&amp;(B89+1))</f>
        <v>4065/4066</v>
      </c>
      <c r="L89" s="185" t="str">
        <f>VLOOKUP(A89,'Trips&amp;Operators'!$C$1:$G$99911,5,FALSE)</f>
        <v>LOZA FIDEL</v>
      </c>
      <c r="M89" s="6">
        <f>I89-F89</f>
        <v>2.4490740746841766E-2</v>
      </c>
      <c r="N89" s="7">
        <f>24*60*SUM($M89:$M89)</f>
        <v>35.266666675452143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-07T12:08:33-0700',mode:absolute,to:'2017-11-07T14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5.33E-2</v>
      </c>
      <c r="Z89" s="204">
        <f>RIGHT(H89,LEN(H89)-4)/10000</f>
        <v>23.320900000000002</v>
      </c>
      <c r="AA89" s="204">
        <f>ABS(Z89-Y89)</f>
        <v>23.267600000000002</v>
      </c>
      <c r="AB89" s="54" t="e">
        <f>VLOOKUP(A89,Enforcements!$C$7:$K$10,8,0)</f>
        <v>#N/A</v>
      </c>
      <c r="AC89" s="51" t="e">
        <f>VLOOKUP(A89,Enforcements!$C$7:$E$10,3,0)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 &amp; aws s3 cp s3://rtdc.mdm.uploadarchive.raw/RTDC4066/ "%USERPROFILE%\AppData\Local\Temp\OnboardLogs"\RTDC4066\2017-11-08 --exclude "*" --recursive --include "*20171108*" &amp; "%USERPROFILE%\Documents\GitHub\mrs-test-scripts\Headless Mode &amp; Sideloading\WalkAndUnGZ.bat" "%USERPROFILE%\AppData\Local\Temp\OnboardLogs"\RTDC4066\2017-11-08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/stypes="app*4066*20171107*" /stext=" 20:.+((SYSTEM_STATE.+slice.+state.+changed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0"/>
        <v>"%USERPROFILE%\Documents\GitHub\eaglep3\Utilities\RefineRTDCRunTimes.py" --tripid 177-07 --locoid 4066 --swversion DE.1.0.9.0 --startMP 204:533 --initTime 2017-11-07T13:08:33 --startdatetime 2017-11-07T13:15:25 --delay 73 --endMP 204:233209 --enddatetime 2017-11-07T13:50:41 --enforcementcount 0 &gt;&gt;%USERPROFILE%\Documents\GitHub\eaglep3-reporting\EC\2017-11-07-refined-times.txt</v>
      </c>
      <c r="AI89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{"issue":{"subject":"","project_id":79,"tracker_id":40,"status_id":1,"priority_id":2,"assigned_to_id":338,"start_date":"2017-11-07","description":"","custom_fields":[{"id":1,"name":"Subdivision","value":"EC"},{"id":4,"name":"Milepost","value":"23.3209"},{"id":17,"name":"Train ID","value":"177-07"},{"id":16,"name":"Locomotive ID","value":"4066"},{"id":130,"name":"Impact","value":""},{"id":150,"name":"Time of Event (Mountain Time)","value":"13:50:41"},{"id":151,"name":"Denver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2"/>
        <v>start /low /b %USERPROFILE%\Documents\GitHub\eaglep3\Utilities\DownloadLogsFromS3.py --loco 4066 --day 2017-11-07</v>
      </c>
      <c r="AN89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20:50:41"},{"id":29,"name":"Sharepoint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4"/>
        <v>https://d0f6bd738d7f1b3e5a7ca70fe4ff75f0.us-east-1.aws.found.io/app/kibana#/discover/Steve-Slow-Train-Analysis-(2080s-and-2083s)?_g=(refreshInterval:(display:Off,pause:!f,section:0,value:0),time:(from:'2017-11-07T12:08:33-0700',mode:absolute,to:'2017-11-07T14:50:41-0700'))&amp;_a=(columns:!('Message%20ID',Summary),filters:!(),index:'emp_*',interval:auto,query:(query_string:(analyze_wildcard:!t,query:'%22rtdc.l.rtdc.4066%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790</v>
      </c>
      <c r="B90" s="7">
        <v>4065</v>
      </c>
      <c r="C90" s="21" t="s">
        <v>192</v>
      </c>
      <c r="D90" s="21" t="s">
        <v>941</v>
      </c>
      <c r="E90" s="13">
        <v>43046.589641203704</v>
      </c>
      <c r="F90" s="13">
        <v>43046.608969907407</v>
      </c>
      <c r="G90" s="7">
        <v>54</v>
      </c>
      <c r="H90" s="21" t="s">
        <v>941</v>
      </c>
      <c r="I90" s="13">
        <v>43046.625694444447</v>
      </c>
      <c r="J90" s="7">
        <v>0</v>
      </c>
      <c r="K90" s="89" t="str">
        <f>IF(ISEVEN(B90),(B90-1)&amp;"/"&amp;B90,B90&amp;"/"&amp;(B90+1))</f>
        <v>4065/4066</v>
      </c>
      <c r="L90" s="185" t="str">
        <f>VLOOKUP(A90,'Trips&amp;Operators'!$C$1:$G$99911,5,FALSE)</f>
        <v>STEWART MICHAEL</v>
      </c>
      <c r="M90" s="6">
        <f>I90-F90</f>
        <v>1.672453703940846E-2</v>
      </c>
      <c r="N90" s="7"/>
      <c r="O90" s="7"/>
      <c r="P90" s="7"/>
      <c r="Q90" s="22"/>
      <c r="R90" s="174"/>
      <c r="S90" s="221"/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-07T13:09:05-0700',mode:absolute,to:'2017-11-07T16:01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0" s="204" t="str">
        <f>IF(AA90&lt;VLOOKUP(AG90,Variables!$AC$3:$AD$8,2,FALSE),"Y","N")</f>
        <v>Y</v>
      </c>
      <c r="X90" s="204">
        <f>VALUE(LEFT(AD90,4))-VALUE(LEFT(AD89,4))</f>
        <v>1</v>
      </c>
      <c r="Y90" s="204">
        <f>RIGHT(D90,LEN(D90)-4)/10000</f>
        <v>23.290199999999999</v>
      </c>
      <c r="Z90" s="204">
        <f>RIGHT(H90,LEN(H90)-4)/10000</f>
        <v>23.290199999999999</v>
      </c>
      <c r="AA90" s="204">
        <f>ABS(Z90-Y90)</f>
        <v>0</v>
      </c>
      <c r="AB90" s="54" t="e">
        <f>VLOOKUP(A90,Enforcements!$C$7:$K$10,8,0)</f>
        <v>#N/A</v>
      </c>
      <c r="AC90" s="51" t="e">
        <f>VLOOKUP(A90,Enforcements!$C$7:$E$10,3,0)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 &amp; aws s3 cp s3://rtdc.mdm.uploadarchive.raw/RTDC4065/ "%USERPROFILE%\AppData\Local\Temp\OnboardLogs"\RTDC4065\2017-11-08 --exclude "*" --recursive --include "*20171108*" &amp; "%USERPROFILE%\Documents\GitHub\mrs-test-scripts\Headless Mode &amp; Sideloading\WalkAndUnGZ.bat" "%USERPROFILE%\AppData\Local\Temp\OnboardLogs"\RTDC4065\2017-11-08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/stypes="app*4065*20171107*" /stext=" 22:.+((SYSTEM_STATE.+slice.+state.+changed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0"/>
        <v>"%USERPROFILE%\Documents\GitHub\eaglep3\Utilities\RefineRTDCRunTimes.py" --tripid 178-07 --locoid 4065 --swversion DE.1.0.9.0 --startMP 204:232902 --initTime 2017-11-07T14:09:05 --startdatetime 2017-11-07T14:36:55 --delay 54 --endMP 204:232902 --enddatetime 2017-11-07T15:01:00 --enforcementcount 0 &gt;&gt;%USERPROFILE%\Documents\GitHub\eaglep3-reporting\EC\2017-11-07-refined-times.txt</v>
      </c>
      <c r="AI90" s="96" t="str">
        <f>"echo {""issue"":{""subject"":"""&amp;R90&amp;""",""project_id"":79,""tracker_id"":40,""status_id"":"&amp;redmine_status&amp;",""priority_id"":"&amp;redmine_priority&amp;",""assigned_to_id"":"&amp;redmine_assignee&amp;",""start_date"":"""&amp;TEXT(I90,"YYYY-mm-dd")&amp;""",""description"":"""&amp;AJ90&amp;""",""custom_fields"":[{""id"":1,""name"":""Subdivision"",""value"":"""&amp;AG90&amp;"""},{""id"":4,""name"":""Milepost"",""value"":"""&amp;Z90&amp;"""},{""id"":17,""name"":""Train ID"",""value"":"""&amp;A90&amp;"""},{""id"":16,""name"":""Locomotive ID"",""value"":"""&amp;B90&amp;"""},{""id"":130,""name"":""Impact"",""value"":"""&amp;AK90&amp;"""},{""id"":150,""name"":""Time of Event (Mountain Time)"",""value"":"""&amp;TEXT(I90,"hh:mm:ss")&amp;"""},{""id"":151,""name"":""Denver Issue ID"",""value"":"""&amp;"""},{""id"":178,""name"":""Operational Impact"",""value"":"""&amp;redmine_op_impact&amp;"""},{""id"":179,""name"":""Denver Segment Assigned"",""value"":"""&amp;AL90&amp;"""}]}}"&amp;"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{"issue":{"subject":"","project_id":79,"tracker_id":40,"status_id":1,"priority_id":2,"assigned_to_id":338,"start_date":"2017-11-07","description":"","custom_fields":[{"id":1,"name":"Subdivision","value":"EC"},{"id":4,"name":"Milepost","value":"23.2902"},{"id":17,"name":"Train ID","value":"178-07"},{"id":16,"name":"Locomotive ID","value":"4065"},{"id":130,"name":"Impact","value":""},{"id":150,"name":"Time of Event (Mountain Time)","value":"15:01:00"},{"id":151,"name":"Denver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2"/>
        <v>start /low /b %USERPROFILE%\Documents\GitHub\eaglep3\Utilities\DownloadLogsFromS3.py --loco 4065 --day 2017-11-07</v>
      </c>
      <c r="AN90" s="151" t="str">
        <f>"echo {""issue"":{""subject"":"""&amp;R90&amp;""",""project_id"":30,""tracker_id"":4,""status_id"":"&amp;redmine_status_wcr&amp;",""priority_id"":"&amp;redmine_priority_wcr&amp;",""assigned_to_id"":"&amp;redmine_assignee_wcr&amp;",""start_date"":"""&amp;TEXT(I90-utc_offset/24,"YYYY-mm-dd")&amp;""",""description"":"""&amp;AJ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4"/>
        <v>https://d0f6bd738d7f1b3e5a7ca70fe4ff75f0.us-east-1.aws.found.io/app/kibana#/discover/Steve-Slow-Train-Analysis-(2080s-and-2083s)?_g=(refreshInterval:(display:Off,pause:!f,section:0,value:0),time:(from:'2017-11-07T13:09:05-0700',mode:absolute,to:'2017-11-07T16:01:00-0700'))&amp;_a=(columns:!('Message%20ID',Summary),filters:!(),index:'emp_*',interval:auto,query:(query_string:(analyze_wildcard:!t,query:'%22rtdc.l.rtdc.4065%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790</v>
      </c>
      <c r="B91" s="7">
        <v>4065</v>
      </c>
      <c r="C91" s="21" t="s">
        <v>192</v>
      </c>
      <c r="D91" s="21" t="s">
        <v>942</v>
      </c>
      <c r="E91" s="13">
        <v>43046.607800925929</v>
      </c>
      <c r="F91" s="13">
        <v>43046.608969907407</v>
      </c>
      <c r="G91" s="7">
        <v>47</v>
      </c>
      <c r="H91" s="21" t="s">
        <v>943</v>
      </c>
      <c r="I91" s="13">
        <v>43046.625694444447</v>
      </c>
      <c r="J91" s="7">
        <v>0</v>
      </c>
      <c r="K91" s="89" t="str">
        <f>IF(ISEVEN(B91),(B91-1)&amp;"/"&amp;B91,B91&amp;"/"&amp;(B91+1))</f>
        <v>4065/4066</v>
      </c>
      <c r="L91" s="185" t="str">
        <f>VLOOKUP(A91,'Trips&amp;Operators'!$C$1:$G$99911,5,FALSE)</f>
        <v>STEWART MICHAEL</v>
      </c>
      <c r="M91" s="6">
        <f>I91-F91</f>
        <v>1.672453703940846E-2</v>
      </c>
      <c r="N91" s="7"/>
      <c r="O91" s="7"/>
      <c r="P91" s="7">
        <f>24*60*SUM($M91:$M91)</f>
        <v>24.083333336748183</v>
      </c>
      <c r="Q91" s="22"/>
      <c r="R91" s="174" t="s">
        <v>1085</v>
      </c>
      <c r="S91" s="221">
        <f>1/IF(AG91="EC",12,1)*SUM(U91:U91)</f>
        <v>1</v>
      </c>
      <c r="T91" s="174" t="str">
        <f>IF(ISEVEN(LEFT(AD91,4)),"Southbound","NorthBound")</f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-07T13:35:14-0700',mode:absolute,to:'2017-11-07T16:01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1" s="204" t="str">
        <f>IF(AA91&lt;VLOOKUP(AG91,Variables!$AC$3:$AD$8,2,FALSE),"Y","N")</f>
        <v>Y</v>
      </c>
      <c r="X91" s="204">
        <f>VALUE(LEFT(AD91,4))-VALUE(LEFT(AD90,4))</f>
        <v>0</v>
      </c>
      <c r="Y91" s="204">
        <f>RIGHT(D91,LEN(D91)-4)/10000</f>
        <v>12.7845</v>
      </c>
      <c r="Z91" s="204">
        <f>RIGHT(H91,LEN(H91)-4)/10000</f>
        <v>0.18029999999999999</v>
      </c>
      <c r="AA91" s="204">
        <f>ABS(Z91-Y91)</f>
        <v>12.604199999999999</v>
      </c>
      <c r="AB91" s="54" t="e">
        <f>VLOOKUP(A91,Enforcements!$C$7:$K$10,8,0)</f>
        <v>#N/A</v>
      </c>
      <c r="AC91" s="51" t="e">
        <f>VLOOKUP(A91,Enforcements!$C$7:$E$10,3,0)</f>
        <v>#N/A</v>
      </c>
      <c r="AD91" s="179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 &amp; aws s3 cp s3://rtdc.mdm.uploadarchive.raw/RTDC4065/ "%USERPROFILE%\AppData\Local\Temp\OnboardLogs"\RTDC4065\2017-11-08 --exclude "*" --recursive --include "*20171108*" &amp; "%USERPROFILE%\Documents\GitHub\mrs-test-scripts\Headless Mode &amp; Sideloading\WalkAndUnGZ.bat" "%USERPROFILE%\AppData\Local\Temp\OnboardLogs"\RTDC4065\2017-11-08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/stypes="app*4065*20171107*" /stext=" 22:.+((SYSTEM_STATE.+slice.+state.+changed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0"/>
        <v>"%USERPROFILE%\Documents\GitHub\eaglep3\Utilities\RefineRTDCRunTimes.py" --tripid 178-07 --locoid 4065 --swversion DE.1.0.9.0 --startMP 204:127845 --initTime 2017-11-07T14:35:14 --startdatetime 2017-11-07T14:36:55 --delay 47 --endMP 204:1803 --enddatetime 2017-11-07T15:01:00 --enforcementcount 0 &gt;&gt;%USERPROFILE%\Documents\GitHub\eaglep3-reporting\EC\2017-11-07-refined-times.txt</v>
      </c>
      <c r="AI91" s="96" t="str">
        <f>"echo {""issue"":{""subject"":"""&amp;R91&amp;""",""project_id"":79,""tracker_id"":40,""status_id"":"&amp;redmine_status&amp;",""priority_id"":"&amp;redmine_priority&amp;",""assigned_to_id"":"&amp;redmine_assignee&amp;",""start_date"":"""&amp;TEXT(I91,"YYYY-mm-dd")&amp;""",""description"":"""&amp;AJ91&amp;""",""custom_fields"":[{""id"":1,""name"":""Subdivision"",""value"":"""&amp;AG91&amp;"""},{""id"":4,""name"":""Milepost"",""value"":"""&amp;Z91&amp;"""},{""id"":17,""name"":""Train ID"",""value"":"""&amp;A91&amp;"""},{""id"":16,""name"":""Locomotive ID"",""value"":"""&amp;B91&amp;"""},{""id"":130,""name"":""Impact"",""value"":"""&amp;AK91&amp;"""},{""id"":150,""name"":""Time of Event (Mountain Time)"",""value"":"""&amp;TEXT(I91,"hh:mm:ss")&amp;"""},{""id"":151,""name"":""Denver Issue ID"",""value"":"""&amp;"""},{""id"":178,""name"":""Operational Impact"",""value"":"""&amp;redmine_op_impact&amp;"""},{""id"":179,""name"":""Denver Segment Assigned"",""value"":"""&amp;AL91&amp;"""}]}}"&amp;" | curl --insecure -X POST -H ""Content-Type: application/json"" -H ""X-Redmine-API-Key: "&amp;redm_api_key&amp;""" "&amp;redm_url&amp;" --data @-"</f>
        <v>echo {"issue":{"subject":"Onboard en route failure","project_id":79,"tracker_id":40,"status_id":1,"priority_id":2,"assigned_to_id":338,"start_date":"2017-11-07","description":"","custom_fields":[{"id":1,"name":"Subdivision","value":"EC"},{"id":4,"name":"Milepost","value":"0.1803"},{"id":17,"name":"Train ID","value":"178-07"},{"id":16,"name":"Locomotive ID","value":"4065"},{"id":130,"name":"Impact","value":""},{"id":150,"name":"Time of Event (Mountain Time)","value":"15:01:00"},{"id":151,"name":"Denver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2"/>
        <v>start /low /b %USERPROFILE%\Documents\GitHub\eaglep3\Utilities\DownloadLogsFromS3.py --loco 4065 --day 2017-11-07</v>
      </c>
      <c r="AN91" s="151" t="str">
        <f>"echo {""issue"":{""subject"":"""&amp;R91&amp;""",""project_id"":30,""tracker_id"":4,""status_id"":"&amp;redmine_status_wcr&amp;",""priority_id"":"&amp;redmine_priority_wcr&amp;",""assigned_to_id"":"&amp;redmine_assignee_wcr&amp;",""start_date"":"""&amp;TEXT(I91-utc_offset/24,"YYYY-mm-dd")&amp;""",""description"":"""&amp;AJ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4"/>
        <v>https://d0f6bd738d7f1b3e5a7ca70fe4ff75f0.us-east-1.aws.found.io/app/kibana#/discover/Steve-Slow-Train-Analysis-(2080s-and-2083s)?_g=(refreshInterval:(display:Off,pause:!f,section:0,value:0),time:(from:'2017-11-07T13:35:14-0700',mode:absolute,to:'2017-11-07T16:01:00-0700'))&amp;_a=(columns:!('Message%20ID',Summary),filters:!(),index:'emp_*',interval:auto,query:(query_string:(analyze_wildcard:!t,query:'%22rtdc.l.rtdc.4065%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783</v>
      </c>
      <c r="B92" s="7">
        <v>4026</v>
      </c>
      <c r="C92" s="21" t="s">
        <v>192</v>
      </c>
      <c r="D92" s="21" t="s">
        <v>588</v>
      </c>
      <c r="E92" s="13">
        <v>43046.55746527778</v>
      </c>
      <c r="F92" s="13">
        <v>43046.562685185185</v>
      </c>
      <c r="G92" s="7">
        <v>54</v>
      </c>
      <c r="H92" s="21" t="s">
        <v>944</v>
      </c>
      <c r="I92" s="13">
        <v>43046.587835648148</v>
      </c>
      <c r="J92" s="7">
        <v>0</v>
      </c>
      <c r="K92" s="89" t="str">
        <f>IF(ISEVEN(B92),(B92-1)&amp;"/"&amp;B92,B92&amp;"/"&amp;(B92+1))</f>
        <v>4025/4026</v>
      </c>
      <c r="L92" s="185" t="str">
        <f>VLOOKUP(A92,'Trips&amp;Operators'!$C$1:$G$99911,5,FALSE)</f>
        <v>LEVIN SCOTT</v>
      </c>
      <c r="M92" s="6">
        <f>I92-F92</f>
        <v>2.5150462963210884E-2</v>
      </c>
      <c r="N92" s="7">
        <f>24*60*SUM($M92:$M92)</f>
        <v>36.216666667023674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-07T12:22:45-0700',mode:absolute,to:'2017-11-07T15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4.7500000000000001E-2</v>
      </c>
      <c r="Z92" s="204">
        <f>RIGHT(H92,LEN(H92)-4)/10000</f>
        <v>23.3308</v>
      </c>
      <c r="AA92" s="204">
        <f>ABS(Z92-Y92)</f>
        <v>23.283300000000001</v>
      </c>
      <c r="AB92" s="54" t="e">
        <f>VLOOKUP(A92,Enforcements!$C$7:$K$10,8,0)</f>
        <v>#N/A</v>
      </c>
      <c r="AC92" s="51" t="e">
        <f>VLOOKUP(A92,Enforcements!$C$7:$E$10,3,0)</f>
        <v>#N/A</v>
      </c>
      <c r="AD92" s="179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s3://rtdc.mdm.uploadarchive.raw/RTDC4026/ "%USERPROFILE%\AppData\Local\Temp\OnboardLogs"\RTDC4026\2017-11-07 --exclude "*" --recursive --include "*20171107*" &amp; "%USERPROFILE%\Documents\GitHub\mrs-test-scripts\Headless Mode &amp; Sideloading\WalkAndUnGZ.bat" "%USERPROFILE%\AppData\Local\Temp\OnboardLogs"\RTDC4026\2017-11-07 &amp; aws s3 cp s3://rtdc.mdm.uploadarchive.raw/RTDC4026/ "%USERPROFILE%\AppData\Local\Temp\OnboardLogs"\RTDC4026\2017-11-08 --exclude "*" --recursive --include "*20171108*" &amp; "%USERPROFILE%\Documents\GitHub\mrs-test-scripts\Headless Mode &amp; Sideloading\WalkAndUnGZ.bat" "%USERPROFILE%\AppData\Local\Temp\OnboardLogs"\RTDC4026\2017-11-08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/stypes="app*4026*20171107*"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0"/>
        <v>"%USERPROFILE%\Documents\GitHub\eaglep3\Utilities\RefineRTDCRunTimes.py" --tripid 179-07 --locoid 4026 --swversion DE.1.0.9.0 --startMP 204:475 --initTime 2017-11-07T13:22:45 --startdatetime 2017-11-07T13:30:16 --delay 54 --endMP 204:233308 --enddatetime 2017-11-07T14:06:29 --enforcementcount 0 &gt;&gt;%USERPROFILE%\Documents\GitHub\eaglep3-reporting\EC\2017-11-07-refined-times.txt</v>
      </c>
      <c r="AI92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{"issue":{"subject":"","project_id":79,"tracker_id":40,"status_id":1,"priority_id":2,"assigned_to_id":338,"start_date":"2017-11-07","description":"","custom_fields":[{"id":1,"name":"Subdivision","value":"EC"},{"id":4,"name":"Milepost","value":"23.3308"},{"id":17,"name":"Train ID","value":"179-07"},{"id":16,"name":"Locomotive ID","value":"4026"},{"id":130,"name":"Impact","value":""},{"id":150,"name":"Time of Event (Mountain Time)","value":"14:06:29"},{"id":151,"name":"Denver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2"/>
        <v>start /low /b %USERPROFILE%\Documents\GitHub\eaglep3\Utilities\DownloadLogsFromS3.py --loco 4026 --day 2017-11-07</v>
      </c>
      <c r="AN92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4"/>
        <v>https://d0f6bd738d7f1b3e5a7ca70fe4ff75f0.us-east-1.aws.found.io/app/kibana#/discover/Steve-Slow-Train-Analysis-(2080s-and-2083s)?_g=(refreshInterval:(display:Off,pause:!f,section:0,value:0),time:(from:'2017-11-07T12:22:45-0700',mode:absolute,to:'2017-11-07T15:06:29-0700'))&amp;_a=(columns:!('Message%20ID',Summary),filters:!(),index:'emp_*',interval:auto,query:(query_string:(analyze_wildcard:!t,query:'%22rtdc.l.rtdc.4026%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662</v>
      </c>
      <c r="B93" s="7">
        <v>4025</v>
      </c>
      <c r="C93" s="21" t="s">
        <v>192</v>
      </c>
      <c r="D93" s="21" t="s">
        <v>479</v>
      </c>
      <c r="E93" s="13">
        <v>43046.597037037034</v>
      </c>
      <c r="F93" s="13">
        <v>43046.602361111109</v>
      </c>
      <c r="G93" s="7">
        <v>50</v>
      </c>
      <c r="H93" s="21" t="s">
        <v>559</v>
      </c>
      <c r="I93" s="13">
        <v>43046.631620370368</v>
      </c>
      <c r="J93" s="7">
        <v>0</v>
      </c>
      <c r="K93" s="89" t="str">
        <f>IF(ISEVEN(B93),(B93-1)&amp;"/"&amp;B93,B93&amp;"/"&amp;(B93+1))</f>
        <v>4025/4026</v>
      </c>
      <c r="L93" s="185" t="str">
        <f>VLOOKUP(A93,'Trips&amp;Operators'!$C$1:$G$99911,5,FALSE)</f>
        <v>LEVIN SCOTT</v>
      </c>
      <c r="M93" s="6">
        <f>I93-F93</f>
        <v>2.9259259259561077E-2</v>
      </c>
      <c r="N93" s="7">
        <f>24*60*SUM($M93:$M93)</f>
        <v>42.133333333767951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-07T13:19:44-0700',mode:absolute,to:'2017-11-07T16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23.298300000000001</v>
      </c>
      <c r="Z93" s="204">
        <f>RIGHT(H93,LEN(H93)-4)/10000</f>
        <v>2.8000000000000001E-2</v>
      </c>
      <c r="AA93" s="204">
        <f>ABS(Z93-Y93)</f>
        <v>23.270300000000002</v>
      </c>
      <c r="AB93" s="54" t="str">
        <f>VLOOKUP(A93,Enforcements!$C$7:$K$10,8,0)</f>
        <v>Bulletin (2)</v>
      </c>
      <c r="AC93" s="51" t="str">
        <f>VLOOKUP(A93,Enforcements!$C$7:$E$10,3,0)</f>
        <v>GRADE CROSSING</v>
      </c>
      <c r="AD93" s="179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s3://rtdc.mdm.uploadarchive.raw/RTDC4025/ "%USERPROFILE%\AppData\Local\Temp\OnboardLogs"\RTDC4025\2017-11-07 --exclude "*" --recursive --include "*20171107*" &amp; "%USERPROFILE%\Documents\GitHub\mrs-test-scripts\Headless Mode &amp; Sideloading\WalkAndUnGZ.bat" "%USERPROFILE%\AppData\Local\Temp\OnboardLogs"\RTDC4025\2017-11-07 &amp; aws s3 cp s3://rtdc.mdm.uploadarchive.raw/RTDC4025/ "%USERPROFILE%\AppData\Local\Temp\OnboardLogs"\RTDC4025\2017-11-08 --exclude "*" --recursive --include "*20171108*" &amp; "%USERPROFILE%\Documents\GitHub\mrs-test-scripts\Headless Mode &amp; Sideloading\WalkAndUnGZ.bat" "%USERPROFILE%\AppData\Local\Temp\OnboardLogs"\RTDC4025\2017-11-08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/stypes="app*4025*20171107*" /stext=" 22:.+((SYSTEM_STATE.+slice.+state.+changed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0"/>
        <v>"%USERPROFILE%\Documents\GitHub\eaglep3\Utilities\RefineRTDCRunTimes.py" --tripid 180-07 --locoid 4025 --swversion DE.1.0.9.0 --startMP 204:232983 --initTime 2017-11-07T14:19:44 --startdatetime 2017-11-07T14:27:24 --delay 50 --endMP 204:280 --enddatetime 2017-11-07T15:09:32 --enforcementcount 0 &gt;&gt;%USERPROFILE%\Documents\GitHub\eaglep3-reporting\EC\2017-11-07-refined-times.txt</v>
      </c>
      <c r="AI93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{"issue":{"subject":"","project_id":79,"tracker_id":40,"status_id":1,"priority_id":2,"assigned_to_id":338,"start_date":"2017-11-07","description":"","custom_fields":[{"id":1,"name":"Subdivision","value":"EC"},{"id":4,"name":"Milepost","value":"0.028"},{"id":17,"name":"Train ID","value":"180-07"},{"id":16,"name":"Locomotive ID","value":"4025"},{"id":130,"name":"Impact","value":""},{"id":150,"name":"Time of Event (Mountain Time)","value":"15:09:32"},{"id":151,"name":"Denver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2"/>
        <v>start /low /b %USERPROFILE%\Documents\GitHub\eaglep3\Utilities\DownloadLogsFromS3.py --loco 4025 --day 2017-11-07</v>
      </c>
      <c r="AN93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4"/>
        <v>https://d0f6bd738d7f1b3e5a7ca70fe4ff75f0.us-east-1.aws.found.io/app/kibana#/discover/Steve-Slow-Train-Analysis-(2080s-and-2083s)?_g=(refreshInterval:(display:Off,pause:!f,section:0,value:0),time:(from:'2017-11-07T13:19:44-0700',mode:absolute,to:'2017-11-07T16:09:32-0700'))&amp;_a=(columns:!('Message%20ID',Summary),filters:!(),index:'emp_*',interval:auto,query:(query_string:(analyze_wildcard:!t,query:'%22rtdc.l.rtdc.4025%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787</v>
      </c>
      <c r="B94" s="7">
        <v>4042</v>
      </c>
      <c r="C94" s="21" t="s">
        <v>192</v>
      </c>
      <c r="D94" s="21" t="s">
        <v>547</v>
      </c>
      <c r="E94" s="13">
        <v>43046.569849537038</v>
      </c>
      <c r="F94" s="13">
        <v>43046.573113425926</v>
      </c>
      <c r="G94" s="7">
        <v>84</v>
      </c>
      <c r="H94" s="21" t="s">
        <v>945</v>
      </c>
      <c r="I94" s="13">
        <v>43046.599606481483</v>
      </c>
      <c r="J94" s="7">
        <v>0</v>
      </c>
      <c r="K94" s="89" t="str">
        <f>IF(ISEVEN(B94),(B94-1)&amp;"/"&amp;B94,B94&amp;"/"&amp;(B94+1))</f>
        <v>4041/4042</v>
      </c>
      <c r="L94" s="185" t="str">
        <f>VLOOKUP(A94,'Trips&amp;Operators'!$C$1:$G$99911,5,FALSE)</f>
        <v>ANDREA WILLIAMS</v>
      </c>
      <c r="M94" s="6">
        <f>I94-F94</f>
        <v>2.6493055556784384E-2</v>
      </c>
      <c r="N94" s="7">
        <f>24*60*SUM($M94:$M94)</f>
        <v>38.150000001769513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-07T12:40:35-0700',mode:absolute,to:'2017-11-07T15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5.7099999999999998E-2</v>
      </c>
      <c r="Z94" s="204">
        <f>RIGHT(H94,LEN(H94)-4)/10000</f>
        <v>23.318200000000001</v>
      </c>
      <c r="AA94" s="204">
        <f>ABS(Z94-Y94)</f>
        <v>23.261100000000003</v>
      </c>
      <c r="AB94" s="54" t="e">
        <f>VLOOKUP(A94,Enforcements!$C$7:$K$10,8,0)</f>
        <v>#N/A</v>
      </c>
      <c r="AC94" s="51" t="e">
        <f>VLOOKUP(A94,Enforcements!$C$7:$E$10,3,0)</f>
        <v>#N/A</v>
      </c>
      <c r="AD94" s="179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/stypes="app*4042*20171107*"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0"/>
        <v>"%USERPROFILE%\Documents\GitHub\eaglep3\Utilities\RefineRTDCRunTimes.py" --tripid 181-07 --locoid 4042 --swversion DE.1.0.9.0 --startMP 204:571 --initTime 2017-11-07T13:40:35 --startdatetime 2017-11-07T13:45:17 --delay 84 --endMP 204:233182 --enddatetime 2017-11-07T14:23:26 --enforcementcount 0 &gt;&gt;%USERPROFILE%\Documents\GitHub\eaglep3-reporting\EC\2017-11-07-refined-times.txt</v>
      </c>
      <c r="AI94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{"issue":{"subject":"","project_id":79,"tracker_id":40,"status_id":1,"priority_id":2,"assigned_to_id":338,"start_date":"2017-11-07","description":"","custom_fields":[{"id":1,"name":"Subdivision","value":"EC"},{"id":4,"name":"Milepost","value":"23.3182"},{"id":17,"name":"Train ID","value":"181-07"},{"id":16,"name":"Locomotive ID","value":"4042"},{"id":130,"name":"Impact","value":""},{"id":150,"name":"Time of Event (Mountain Time)","value":"14:23:26"},{"id":151,"name":"Denver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2"/>
        <v>start /low /b %USERPROFILE%\Documents\GitHub\eaglep3\Utilities\DownloadLogsFromS3.py --loco 4042 --day 2017-11-07</v>
      </c>
      <c r="AN94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4"/>
        <v>https://d0f6bd738d7f1b3e5a7ca70fe4ff75f0.us-east-1.aws.found.io/app/kibana#/discover/Steve-Slow-Train-Analysis-(2080s-and-2083s)?_g=(refreshInterval:(display:Off,pause:!f,section:0,value:0),time:(from:'2017-11-07T12:40:35-0700',mode:absolute,to:'2017-11-07T15:23:26-0700'))&amp;_a=(columns:!('Message%20ID',Summary),filters:!(),index:'emp_*',interval:auto,query:(query_string:(analyze_wildcard:!t,query:'%22rtdc.l.rtdc.4042%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660</v>
      </c>
      <c r="B95" s="7">
        <v>4041</v>
      </c>
      <c r="C95" s="21" t="s">
        <v>192</v>
      </c>
      <c r="D95" s="21" t="s">
        <v>946</v>
      </c>
      <c r="E95" s="13">
        <v>43046.607395833336</v>
      </c>
      <c r="F95" s="13">
        <v>43046.614317129628</v>
      </c>
      <c r="G95" s="7">
        <v>66</v>
      </c>
      <c r="H95" s="21" t="s">
        <v>930</v>
      </c>
      <c r="I95" s="13">
        <v>43046.644976851851</v>
      </c>
      <c r="J95" s="7">
        <v>0</v>
      </c>
      <c r="K95" s="89" t="str">
        <f>IF(ISEVEN(B95),(B95-1)&amp;"/"&amp;B95,B95&amp;"/"&amp;(B95+1))</f>
        <v>4041/4042</v>
      </c>
      <c r="L95" s="185" t="str">
        <f>VLOOKUP(A95,'Trips&amp;Operators'!$C$1:$G$99911,5,FALSE)</f>
        <v>ANDREA WILLIAMS</v>
      </c>
      <c r="M95" s="6">
        <f>I95-F95</f>
        <v>3.0659722222480923E-2</v>
      </c>
      <c r="N95" s="7">
        <f>24*60*SUM($M95:$M95)</f>
        <v>44.150000000372529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-07T13:34:39-0700',mode:absolute,to:'2017-11-07T16:28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23.286899999999999</v>
      </c>
      <c r="Z95" s="204">
        <f>RIGHT(H95,LEN(H95)-4)/10000</f>
        <v>2.5999999999999999E-2</v>
      </c>
      <c r="AA95" s="204">
        <f>ABS(Z95-Y95)</f>
        <v>23.260899999999999</v>
      </c>
      <c r="AB95" s="54" t="e">
        <f>VLOOKUP(A95,Enforcements!$C$7:$K$10,8,0)</f>
        <v>#N/A</v>
      </c>
      <c r="AC95" s="51" t="e">
        <f>VLOOKUP(A95,Enforcements!$C$7:$E$10,3,0)</f>
        <v>#N/A</v>
      </c>
      <c r="AD95" s="179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/stypes="app*4041*20171107*" /stext=" 22:.+((SYSTEM_STATE.+slice.+state.+changed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0"/>
        <v>"%USERPROFILE%\Documents\GitHub\eaglep3\Utilities\RefineRTDCRunTimes.py" --tripid 182-07 --locoid 4041 --swversion DE.1.0.9.0 --startMP 204:232869 --initTime 2017-11-07T14:34:39 --startdatetime 2017-11-07T14:44:37 --delay 66 --endMP 204:260 --enddatetime 2017-11-07T15:28:46 --enforcementcount 0 &gt;&gt;%USERPROFILE%\Documents\GitHub\eaglep3-reporting\EC\2017-11-07-refined-times.txt</v>
      </c>
      <c r="AI95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{"issue":{"subject":"","project_id":79,"tracker_id":40,"status_id":1,"priority_id":2,"assigned_to_id":338,"start_date":"2017-11-07","description":"","custom_fields":[{"id":1,"name":"Subdivision","value":"EC"},{"id":4,"name":"Milepost","value":"0.026"},{"id":17,"name":"Train ID","value":"182-07"},{"id":16,"name":"Locomotive ID","value":"4041"},{"id":130,"name":"Impact","value":""},{"id":150,"name":"Time of Event (Mountain Time)","value":"15:28:46"},{"id":151,"name":"Denver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2"/>
        <v>start /low /b %USERPROFILE%\Documents\GitHub\eaglep3\Utilities\DownloadLogsFromS3.py --loco 4041 --day 2017-11-07</v>
      </c>
      <c r="AN95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22:28:46"},{"id":29,"name":"Sharepoint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4"/>
        <v>https://d0f6bd738d7f1b3e5a7ca70fe4ff75f0.us-east-1.aws.found.io/app/kibana#/discover/Steve-Slow-Train-Analysis-(2080s-and-2083s)?_g=(refreshInterval:(display:Off,pause:!f,section:0,value:0),time:(from:'2017-11-07T13:34:39-0700',mode:absolute,to:'2017-11-07T16:28:46-0700'))&amp;_a=(columns:!('Message%20ID',Summary),filters:!(),index:'emp_*',interval:auto,query:(query_string:(analyze_wildcard:!t,query:'%22rtdc.l.rtdc.4041%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788</v>
      </c>
      <c r="B96" s="7">
        <v>4058</v>
      </c>
      <c r="C96" s="21" t="s">
        <v>192</v>
      </c>
      <c r="D96" s="21" t="s">
        <v>947</v>
      </c>
      <c r="E96" s="13">
        <v>43046.579409722224</v>
      </c>
      <c r="F96" s="13">
        <v>43046.583506944444</v>
      </c>
      <c r="G96" s="7">
        <v>139</v>
      </c>
      <c r="H96" s="21" t="s">
        <v>546</v>
      </c>
      <c r="I96" s="13">
        <v>43046.610162037039</v>
      </c>
      <c r="J96" s="7">
        <v>0</v>
      </c>
      <c r="K96" s="89" t="str">
        <f>IF(ISEVEN(B96),(B96-1)&amp;"/"&amp;B96,B96&amp;"/"&amp;(B96+1))</f>
        <v>4057/4058</v>
      </c>
      <c r="L96" s="185" t="str">
        <f>VLOOKUP(A96,'Trips&amp;Operators'!$C$1:$G$99911,5,FALSE)</f>
        <v>SAFIEF AEIMEN</v>
      </c>
      <c r="M96" s="6">
        <f>I96-F96</f>
        <v>2.6655092595319729E-2</v>
      </c>
      <c r="N96" s="7">
        <f>24*60*SUM($M96:$M96)</f>
        <v>38.38333333726041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-07T12:54:21-0700',mode:absolute,to:'2017-11-07T15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4.8000000000000001E-2</v>
      </c>
      <c r="Z96" s="204">
        <f>RIGHT(H96,LEN(H96)-4)/10000</f>
        <v>23.3263</v>
      </c>
      <c r="AA96" s="204">
        <f>ABS(Z96-Y96)</f>
        <v>23.278300000000002</v>
      </c>
      <c r="AB96" s="54" t="e">
        <f>VLOOKUP(A96,Enforcements!$C$7:$K$10,8,0)</f>
        <v>#N/A</v>
      </c>
      <c r="AC96" s="51" t="e">
        <f>VLOOKUP(A96,Enforcements!$C$7:$E$10,3,0)</f>
        <v>#N/A</v>
      </c>
      <c r="AD96" s="179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s3://rtdc.mdm.uploadarchive.raw/RTDC4058/ "%USERPROFILE%\AppData\Local\Temp\OnboardLogs"\RTDC4058\2017-11-07 --exclude "*" --recursive --include "*20171107*" &amp; "%USERPROFILE%\Documents\GitHub\mrs-test-scripts\Headless Mode &amp; Sideloading\WalkAndUnGZ.bat" "%USERPROFILE%\AppData\Local\Temp\OnboardLogs"\RTDC4058\2017-11-07 &amp; aws s3 cp s3://rtdc.mdm.uploadarchive.raw/RTDC4058/ "%USERPROFILE%\AppData\Local\Temp\OnboardLogs"\RTDC4058\2017-11-08 --exclude "*" --recursive --include "*20171108*" &amp; "%USERPROFILE%\Documents\GitHub\mrs-test-scripts\Headless Mode &amp; Sideloading\WalkAndUnGZ.bat" "%USERPROFILE%\AppData\Local\Temp\OnboardLogs"\RTDC4058\2017-11-08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/stypes="app*4058*20171107*"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0"/>
        <v>"%USERPROFILE%\Documents\GitHub\eaglep3\Utilities\RefineRTDCRunTimes.py" --tripid 183-07 --locoid 4058 --swversion DE.1.0.9.0 --startMP 204:480 --initTime 2017-11-07T13:54:21 --startdatetime 2017-11-07T14:00:15 --delay 139 --endMP 204:233263 --enddatetime 2017-11-07T14:38:38 --enforcementcount 0 &gt;&gt;%USERPROFILE%\Documents\GitHub\eaglep3-reporting\EC\2017-11-07-refined-times.txt</v>
      </c>
      <c r="AI96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{"issue":{"subject":"","project_id":79,"tracker_id":40,"status_id":1,"priority_id":2,"assigned_to_id":338,"start_date":"2017-11-07","description":"","custom_fields":[{"id":1,"name":"Subdivision","value":"EC"},{"id":4,"name":"Milepost","value":"23.3263"},{"id":17,"name":"Train ID","value":"183-07"},{"id":16,"name":"Locomotive ID","value":"4058"},{"id":130,"name":"Impact","value":""},{"id":150,"name":"Time of Event (Mountain Time)","value":"14:38:38"},{"id":151,"name":"Denver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2"/>
        <v>start /low /b %USERPROFILE%\Documents\GitHub\eaglep3\Utilities\DownloadLogsFromS3.py --loco 4058 --day 2017-11-07</v>
      </c>
      <c r="AN96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4"/>
        <v>https://d0f6bd738d7f1b3e5a7ca70fe4ff75f0.us-east-1.aws.found.io/app/kibana#/discover/Steve-Slow-Train-Analysis-(2080s-and-2083s)?_g=(refreshInterval:(display:Off,pause:!f,section:0,value:0),time:(from:'2017-11-07T12:54:21-0700',mode:absolute,to:'2017-11-07T15:38:38-0700'))&amp;_a=(columns:!('Message%20ID',Summary),filters:!(),index:'emp_*',interval:auto,query:(query_string:(analyze_wildcard:!t,query:'%22rtdc.l.rtdc.4058%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797</v>
      </c>
      <c r="B97" s="7">
        <v>4057</v>
      </c>
      <c r="C97" s="21" t="s">
        <v>192</v>
      </c>
      <c r="D97" s="21" t="s">
        <v>591</v>
      </c>
      <c r="E97" s="13">
        <v>43046.612708333334</v>
      </c>
      <c r="F97" s="13">
        <v>43046.623379629629</v>
      </c>
      <c r="G97" s="7">
        <v>74</v>
      </c>
      <c r="H97" s="21" t="s">
        <v>535</v>
      </c>
      <c r="I97" s="13">
        <v>43046.650833333333</v>
      </c>
      <c r="J97" s="7">
        <v>0</v>
      </c>
      <c r="K97" s="89" t="str">
        <f>IF(ISEVEN(B97),(B97-1)&amp;"/"&amp;B97,B97&amp;"/"&amp;(B97+1))</f>
        <v>4057/4058</v>
      </c>
      <c r="L97" s="185" t="str">
        <f>VLOOKUP(A97,'Trips&amp;Operators'!$C$1:$G$99911,5,FALSE)</f>
        <v>SAFIEF AEIMEN</v>
      </c>
      <c r="M97" s="6">
        <f>I97-F97</f>
        <v>2.7453703703940846E-2</v>
      </c>
      <c r="N97" s="7">
        <f>24*60*SUM($M97:$M97)</f>
        <v>39.533333333674818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-07T13:42:18-0700',mode:absolute,to:'2017-11-07T16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23.2957</v>
      </c>
      <c r="Z97" s="204">
        <f>RIGHT(H97,LEN(H97)-4)/10000</f>
        <v>1.8499999999999999E-2</v>
      </c>
      <c r="AA97" s="204">
        <f>ABS(Z97-Y97)</f>
        <v>23.277200000000001</v>
      </c>
      <c r="AB97" s="54" t="e">
        <f>VLOOKUP(A97,Enforcements!$C$7:$K$10,8,0)</f>
        <v>#N/A</v>
      </c>
      <c r="AC97" s="51" t="e">
        <f>VLOOKUP(A97,Enforcements!$C$7:$E$10,3,0)</f>
        <v>#N/A</v>
      </c>
      <c r="AD97" s="179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s3://rtdc.mdm.uploadarchive.raw/RTDC4057/ "%USERPROFILE%\AppData\Local\Temp\OnboardLogs"\RTDC4057\2017-11-07 --exclude "*" --recursive --include "*20171107*" &amp; "%USERPROFILE%\Documents\GitHub\mrs-test-scripts\Headless Mode &amp; Sideloading\WalkAndUnGZ.bat" "%USERPROFILE%\AppData\Local\Temp\OnboardLogs"\RTDC4057\2017-11-07 &amp; aws s3 cp s3://rtdc.mdm.uploadarchive.raw/RTDC4057/ "%USERPROFILE%\AppData\Local\Temp\OnboardLogs"\RTDC4057\2017-11-08 --exclude "*" --recursive --include "*20171108*" &amp; "%USERPROFILE%\Documents\GitHub\mrs-test-scripts\Headless Mode &amp; Sideloading\WalkAndUnGZ.bat" "%USERPROFILE%\AppData\Local\Temp\OnboardLogs"\RTDC4057\2017-11-08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/stypes="app*4057*20171107*" /stext=" 22:.+((SYSTEM_STATE.+slice.+state.+changed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0"/>
        <v>"%USERPROFILE%\Documents\GitHub\eaglep3\Utilities\RefineRTDCRunTimes.py" --tripid 184-07 --locoid 4057 --swversion DE.1.0.9.0 --startMP 204:232957 --initTime 2017-11-07T14:42:18 --startdatetime 2017-11-07T14:57:40 --delay 74 --endMP 204:185 --enddatetime 2017-11-07T15:37:12 --enforcementcount 0 &gt;&gt;%USERPROFILE%\Documents\GitHub\eaglep3-reporting\EC\2017-11-07-refined-times.txt</v>
      </c>
      <c r="AI97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{"issue":{"subject":"","project_id":79,"tracker_id":40,"status_id":1,"priority_id":2,"assigned_to_id":338,"start_date":"2017-11-07","description":"","custom_fields":[{"id":1,"name":"Subdivision","value":"EC"},{"id":4,"name":"Milepost","value":"0.0185"},{"id":17,"name":"Train ID","value":"184-07"},{"id":16,"name":"Locomotive ID","value":"4057"},{"id":130,"name":"Impact","value":""},{"id":150,"name":"Time of Event (Mountain Time)","value":"15:37:12"},{"id":151,"name":"Denver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2"/>
        <v>start /low /b %USERPROFILE%\Documents\GitHub\eaglep3\Utilities\DownloadLogsFromS3.py --loco 4057 --day 2017-11-07</v>
      </c>
      <c r="AN97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4"/>
        <v>https://d0f6bd738d7f1b3e5a7ca70fe4ff75f0.us-east-1.aws.found.io/app/kibana#/discover/Steve-Slow-Train-Analysis-(2080s-and-2083s)?_g=(refreshInterval:(display:Off,pause:!f,section:0,value:0),time:(from:'2017-11-07T13:42:18-0700',mode:absolute,to:'2017-11-07T16:37:12-0700'))&amp;_a=(columns:!('Message%20ID',Summary),filters:!(),index:'emp_*',interval:auto,query:(query_string:(analyze_wildcard:!t,query:'%22rtdc.l.rtdc.4057%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791</v>
      </c>
      <c r="B98" s="7">
        <v>4064</v>
      </c>
      <c r="C98" s="21" t="s">
        <v>192</v>
      </c>
      <c r="D98" s="21" t="s">
        <v>948</v>
      </c>
      <c r="E98" s="13">
        <v>43046.592175925929</v>
      </c>
      <c r="F98" s="13">
        <v>43046.594259259262</v>
      </c>
      <c r="G98" s="7">
        <v>77</v>
      </c>
      <c r="H98" s="21" t="s">
        <v>541</v>
      </c>
      <c r="I98" s="13">
        <v>43046.62427083333</v>
      </c>
      <c r="J98" s="7">
        <v>0</v>
      </c>
      <c r="K98" s="89" t="str">
        <f>IF(ISEVEN(B98),(B98-1)&amp;"/"&amp;B98,B98&amp;"/"&amp;(B98+1))</f>
        <v>4063/4064</v>
      </c>
      <c r="L98" s="185" t="str">
        <f>VLOOKUP(A98,'Trips&amp;Operators'!$C$1:$G$99911,5,FALSE)</f>
        <v>DAVIS MICHAEL</v>
      </c>
      <c r="M98" s="6">
        <f>I98-F98</f>
        <v>3.0011574068339542E-2</v>
      </c>
      <c r="N98" s="7">
        <f>24*60*SUM($M98:$M98)</f>
        <v>43.21666665840894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-07T13:12:44-0700',mode:absolute,to:'2017-11-07T15:58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4.9700000000000001E-2</v>
      </c>
      <c r="Z98" s="204">
        <f>RIGHT(H98,LEN(H98)-4)/10000</f>
        <v>23.328600000000002</v>
      </c>
      <c r="AA98" s="204">
        <f>ABS(Z98-Y98)</f>
        <v>23.2789</v>
      </c>
      <c r="AB98" s="54" t="e">
        <f>VLOOKUP(A98,Enforcements!$C$7:$K$10,8,0)</f>
        <v>#N/A</v>
      </c>
      <c r="AC98" s="51" t="e">
        <f>VLOOKUP(A98,Enforcements!$C$7:$E$10,3,0)</f>
        <v>#N/A</v>
      </c>
      <c r="AD98" s="179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/stypes="app*4064*20171107*"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0"/>
        <v>"%USERPROFILE%\Documents\GitHub\eaglep3\Utilities\RefineRTDCRunTimes.py" --tripid 185-07 --locoid 4064 --swversion DE.1.0.9.0 --startMP 204:497 --initTime 2017-11-07T14:12:44 --startdatetime 2017-11-07T14:15:44 --delay 77 --endMP 204:233286 --enddatetime 2017-11-07T14:58:57 --enforcementcount 0 &gt;&gt;%USERPROFILE%\Documents\GitHub\eaglep3-reporting\EC\2017-11-07-refined-times.txt</v>
      </c>
      <c r="AI98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{"issue":{"subject":"","project_id":79,"tracker_id":40,"status_id":1,"priority_id":2,"assigned_to_id":338,"start_date":"2017-11-07","description":"","custom_fields":[{"id":1,"name":"Subdivision","value":"EC"},{"id":4,"name":"Milepost","value":"23.3286"},{"id":17,"name":"Train ID","value":"185-07"},{"id":16,"name":"Locomotive ID","value":"4064"},{"id":130,"name":"Impact","value":""},{"id":150,"name":"Time of Event (Mountain Time)","value":"14:58:57"},{"id":151,"name":"Denver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2"/>
        <v>start /low /b %USERPROFILE%\Documents\GitHub\eaglep3\Utilities\DownloadLogsFromS3.py --loco 4064 --day 2017-11-07</v>
      </c>
      <c r="AN98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4"/>
        <v>https://d0f6bd738d7f1b3e5a7ca70fe4ff75f0.us-east-1.aws.found.io/app/kibana#/discover/Steve-Slow-Train-Analysis-(2080s-and-2083s)?_g=(refreshInterval:(display:Off,pause:!f,section:0,value:0),time:(from:'2017-11-07T13:12:44-0700',mode:absolute,to:'2017-11-07T15:58:57-0700'))&amp;_a=(columns:!('Message%20ID',Summary),filters:!(),index:'emp_*',interval:auto,query:(query_string:(analyze_wildcard:!t,query:'%22rtdc.l.rtdc.4064%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801</v>
      </c>
      <c r="B99" s="7">
        <v>4063</v>
      </c>
      <c r="C99" s="21" t="s">
        <v>192</v>
      </c>
      <c r="D99" s="21" t="s">
        <v>949</v>
      </c>
      <c r="E99" s="13">
        <v>43046.631921296299</v>
      </c>
      <c r="F99" s="13">
        <v>43046.633831018517</v>
      </c>
      <c r="G99" s="7">
        <v>61</v>
      </c>
      <c r="H99" s="21" t="s">
        <v>936</v>
      </c>
      <c r="I99" s="13">
        <v>43046.664178240739</v>
      </c>
      <c r="J99" s="7">
        <v>0</v>
      </c>
      <c r="K99" s="89" t="str">
        <f>IF(ISEVEN(B99),(B99-1)&amp;"/"&amp;B99,B99&amp;"/"&amp;(B99+1))</f>
        <v>4063/4064</v>
      </c>
      <c r="L99" s="185" t="str">
        <f>VLOOKUP(A99,'Trips&amp;Operators'!$C$1:$G$99911,5,FALSE)</f>
        <v>DAVIS MICHAEL</v>
      </c>
      <c r="M99" s="6">
        <f>I99-F99</f>
        <v>3.0347222222189885E-2</v>
      </c>
      <c r="N99" s="7">
        <f>24*60*SUM($M99:$M99)</f>
        <v>43.699999999953434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-07T14:09:58-0700',mode:absolute,to:'2017-11-07T16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23.296299999999999</v>
      </c>
      <c r="Z99" s="204">
        <f>RIGHT(H99,LEN(H99)-4)/10000</f>
        <v>2.2700000000000001E-2</v>
      </c>
      <c r="AA99" s="204">
        <f>ABS(Z99-Y99)</f>
        <v>23.273599999999998</v>
      </c>
      <c r="AB99" s="54" t="e">
        <f>VLOOKUP(A99,Enforcements!$C$7:$K$10,8,0)</f>
        <v>#N/A</v>
      </c>
      <c r="AC99" s="51" t="e">
        <f>VLOOKUP(A99,Enforcements!$C$7:$E$10,3,0)</f>
        <v>#N/A</v>
      </c>
      <c r="AD99" s="179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/stypes="app*4063*20171107*" /stext=" 22:.+((SYSTEM_STATE.+slice.+state.+changed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0"/>
        <v>"%USERPROFILE%\Documents\GitHub\eaglep3\Utilities\RefineRTDCRunTimes.py" --tripid 186-07 --locoid 4063 --swversion DE.1.0.9.0 --startMP 204:232963 --initTime 2017-11-07T15:09:58 --startdatetime 2017-11-07T15:12:43 --delay 61 --endMP 204:227 --enddatetime 2017-11-07T15:56:25 --enforcementcount 0 &gt;&gt;%USERPROFILE%\Documents\GitHub\eaglep3-reporting\EC\2017-11-07-refined-times.txt</v>
      </c>
      <c r="AI99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{"issue":{"subject":"","project_id":79,"tracker_id":40,"status_id":1,"priority_id":2,"assigned_to_id":338,"start_date":"2017-11-07","description":"","custom_fields":[{"id":1,"name":"Subdivision","value":"EC"},{"id":4,"name":"Milepost","value":"0.0227"},{"id":17,"name":"Train ID","value":"186-07"},{"id":16,"name":"Locomotive ID","value":"4063"},{"id":130,"name":"Impact","value":""},{"id":150,"name":"Time of Event (Mountain Time)","value":"15:56:25"},{"id":151,"name":"Denver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2"/>
        <v>start /low /b %USERPROFILE%\Documents\GitHub\eaglep3\Utilities\DownloadLogsFromS3.py --loco 4063 --day 2017-11-07</v>
      </c>
      <c r="AN99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4"/>
        <v>https://d0f6bd738d7f1b3e5a7ca70fe4ff75f0.us-east-1.aws.found.io/app/kibana#/discover/Steve-Slow-Train-Analysis-(2080s-and-2083s)?_g=(refreshInterval:(display:Off,pause:!f,section:0,value:0),time:(from:'2017-11-07T14:09:58-0700',mode:absolute,to:'2017-11-07T16:56:25-0700'))&amp;_a=(columns:!('Message%20ID',Summary),filters:!(),index:'emp_*',interval:auto,query:(query_string:(analyze_wildcard:!t,query:'%22rtdc.l.rtdc.4063%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793</v>
      </c>
      <c r="B100" s="7">
        <v>4040</v>
      </c>
      <c r="C100" s="21" t="s">
        <v>192</v>
      </c>
      <c r="D100" s="21" t="s">
        <v>948</v>
      </c>
      <c r="E100" s="13">
        <v>43046.600300925929</v>
      </c>
      <c r="F100" s="13">
        <v>43046.604398148149</v>
      </c>
      <c r="G100" s="7">
        <v>95</v>
      </c>
      <c r="H100" s="21" t="s">
        <v>950</v>
      </c>
      <c r="I100" s="13">
        <v>43046.63181712963</v>
      </c>
      <c r="J100" s="7">
        <v>0</v>
      </c>
      <c r="K100" s="89" t="str">
        <f>IF(ISEVEN(B100),(B100-1)&amp;"/"&amp;B100,B100&amp;"/"&amp;(B100+1))</f>
        <v>4039/4040</v>
      </c>
      <c r="L100" s="185" t="str">
        <f>VLOOKUP(A100,'Trips&amp;Operators'!$C$1:$G$99911,5,FALSE)</f>
        <v>SMITH MICHAEL</v>
      </c>
      <c r="M100" s="6">
        <f>I100-F100</f>
        <v>2.7418981480877846E-2</v>
      </c>
      <c r="N100" s="7">
        <f>24*60*SUM($M100:$M100)</f>
        <v>39.483333332464099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-07T13:24:26-0700',mode:absolute,to:'2017-11-07T16:09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4.9700000000000001E-2</v>
      </c>
      <c r="Z100" s="204">
        <f>RIGHT(H100,LEN(H100)-4)/10000</f>
        <v>23.332699999999999</v>
      </c>
      <c r="AA100" s="204">
        <f>ABS(Z100-Y100)</f>
        <v>23.282999999999998</v>
      </c>
      <c r="AB100" s="54" t="e">
        <f>VLOOKUP(A100,Enforcements!$C$7:$K$10,8,0)</f>
        <v>#N/A</v>
      </c>
      <c r="AC100" s="51" t="e">
        <f>VLOOKUP(A100,Enforcements!$C$7:$E$10,3,0)</f>
        <v>#N/A</v>
      </c>
      <c r="AD100" s="179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s3://rtdc.mdm.uploadarchive.raw/RTDC4040/ "%USERPROFILE%\AppData\Local\Temp\OnboardLogs"\RTDC4040\2017-11-07 --exclude "*" --recursive --include "*20171107*" &amp; "%USERPROFILE%\Documents\GitHub\mrs-test-scripts\Headless Mode &amp; Sideloading\WalkAndUnGZ.bat" "%USERPROFILE%\AppData\Local\Temp\OnboardLogs"\RTDC4040\2017-11-07 &amp; aws s3 cp s3://rtdc.mdm.uploadarchive.raw/RTDC4040/ "%USERPROFILE%\AppData\Local\Temp\OnboardLogs"\RTDC4040\2017-11-08 --exclude "*" --recursive --include "*20171108*" &amp; "%USERPROFILE%\Documents\GitHub\mrs-test-scripts\Headless Mode &amp; Sideloading\WalkAndUnGZ.bat" "%USERPROFILE%\AppData\Local\Temp\OnboardLogs"\RTDC4040\2017-11-08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/stypes="app*4040*20171107*"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0"/>
        <v>"%USERPROFILE%\Documents\GitHub\eaglep3\Utilities\RefineRTDCRunTimes.py" --tripid 187-07 --locoid 4040 --swversion DE.1.0.9.0 --startMP 204:497 --initTime 2017-11-07T14:24:26 --startdatetime 2017-11-07T14:30:20 --delay 95 --endMP 204:233327 --enddatetime 2017-11-07T15:09:49 --enforcementcount 0 &gt;&gt;%USERPROFILE%\Documents\GitHub\eaglep3-reporting\EC\2017-11-07-refined-times.txt</v>
      </c>
      <c r="AI100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{"issue":{"subject":"","project_id":79,"tracker_id":40,"status_id":1,"priority_id":2,"assigned_to_id":338,"start_date":"2017-11-07","description":"","custom_fields":[{"id":1,"name":"Subdivision","value":"EC"},{"id":4,"name":"Milepost","value":"23.3327"},{"id":17,"name":"Train ID","value":"187-07"},{"id":16,"name":"Locomotive ID","value":"4040"},{"id":130,"name":"Impact","value":""},{"id":150,"name":"Time of Event (Mountain Time)","value":"15:09:49"},{"id":151,"name":"Denver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2"/>
        <v>start /low /b %USERPROFILE%\Documents\GitHub\eaglep3\Utilities\DownloadLogsFromS3.py --loco 4040 --day 2017-11-07</v>
      </c>
      <c r="AN100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4"/>
        <v>https://d0f6bd738d7f1b3e5a7ca70fe4ff75f0.us-east-1.aws.found.io/app/kibana#/discover/Steve-Slow-Train-Analysis-(2080s-and-2083s)?_g=(refreshInterval:(display:Off,pause:!f,section:0,value:0),time:(from:'2017-11-07T13:24:26-0700',mode:absolute,to:'2017-11-07T16:09:49-0700'))&amp;_a=(columns:!('Message%20ID',Summary),filters:!(),index:'emp_*',interval:auto,query:(query_string:(analyze_wildcard:!t,query:'%22rtdc.l.rtdc.4040%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3">
      <c r="A101" s="32" t="s">
        <v>804</v>
      </c>
      <c r="B101" s="7">
        <v>4039</v>
      </c>
      <c r="C101" s="21" t="s">
        <v>192</v>
      </c>
      <c r="D101" s="21" t="s">
        <v>951</v>
      </c>
      <c r="E101" s="13">
        <v>43046.636805555558</v>
      </c>
      <c r="F101" s="13">
        <v>43046.643923611111</v>
      </c>
      <c r="G101" s="7">
        <v>92</v>
      </c>
      <c r="H101" s="21" t="s">
        <v>952</v>
      </c>
      <c r="I101" s="13">
        <v>43046.670219907406</v>
      </c>
      <c r="J101" s="7">
        <v>0</v>
      </c>
      <c r="K101" s="89" t="str">
        <f>IF(ISEVEN(B101),(B101-1)&amp;"/"&amp;B101,B101&amp;"/"&amp;(B101+1))</f>
        <v>4039/4040</v>
      </c>
      <c r="L101" s="185" t="str">
        <f>VLOOKUP(A101,'Trips&amp;Operators'!$C$1:$G$99911,5,FALSE)</f>
        <v>SMITH MICHAEL</v>
      </c>
      <c r="M101" s="6">
        <f>I101-F101</f>
        <v>2.6296296295186039E-2</v>
      </c>
      <c r="N101" s="7">
        <f>24*60*SUM($M101:$M101)</f>
        <v>37.866666665067896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-07T14:17:00-0700',mode:absolute,to:'2017-11-07T17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23.299800000000001</v>
      </c>
      <c r="Z101" s="204">
        <f>RIGHT(H101,LEN(H101)-4)/10000</f>
        <v>2.52E-2</v>
      </c>
      <c r="AA101" s="204">
        <f>ABS(Z101-Y101)</f>
        <v>23.2746</v>
      </c>
      <c r="AB101" s="54" t="e">
        <f>VLOOKUP(A101,Enforcements!$C$7:$K$10,8,0)</f>
        <v>#N/A</v>
      </c>
      <c r="AC101" s="51" t="e">
        <f>VLOOKUP(A101,Enforcements!$C$7:$E$10,3,0)</f>
        <v>#N/A</v>
      </c>
      <c r="AD101" s="179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s3://rtdc.mdm.uploadarchive.raw/RTDC4039/ "%USERPROFILE%\AppData\Local\Temp\OnboardLogs"\RTDC4039\2017-11-07 --exclude "*" --recursive --include "*20171107*" &amp; "%USERPROFILE%\Documents\GitHub\mrs-test-scripts\Headless Mode &amp; Sideloading\WalkAndUnGZ.bat" "%USERPROFILE%\AppData\Local\Temp\OnboardLogs"\RTDC4039\2017-11-07 &amp; aws s3 cp s3://rtdc.mdm.uploadarchive.raw/RTDC4039/ "%USERPROFILE%\AppData\Local\Temp\OnboardLogs"\RTDC4039\2017-11-08 --exclude "*" --recursive --include "*20171108*" &amp; "%USERPROFILE%\Documents\GitHub\mrs-test-scripts\Headless Mode &amp; Sideloading\WalkAndUnGZ.bat" "%USERPROFILE%\AppData\Local\Temp\OnboardLogs"\RTDC4039\2017-11-08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/stypes="app*4039*20171107*" /stext=" 23:.+((SYSTEM_STATE.+slice.+state.+changed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0"/>
        <v>"%USERPROFILE%\Documents\GitHub\eaglep3\Utilities\RefineRTDCRunTimes.py" --tripid 188-07 --locoid 4039 --swversion DE.1.0.9.0 --startMP 204:232998 --initTime 2017-11-07T15:17:00 --startdatetime 2017-11-07T15:27:15 --delay 92 --endMP 204:252 --enddatetime 2017-11-07T16:05:07 --enforcementcount 0 &gt;&gt;%USERPROFILE%\Documents\GitHub\eaglep3-reporting\EC\2017-11-07-refined-times.txt</v>
      </c>
      <c r="AI101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{"issue":{"subject":"","project_id":79,"tracker_id":40,"status_id":1,"priority_id":2,"assigned_to_id":338,"start_date":"2017-11-07","description":"","custom_fields":[{"id":1,"name":"Subdivision","value":"EC"},{"id":4,"name":"Milepost","value":"0.0252"},{"id":17,"name":"Train ID","value":"188-07"},{"id":16,"name":"Locomotive ID","value":"4039"},{"id":130,"name":"Impact","value":""},{"id":150,"name":"Time of Event (Mountain Time)","value":"16:05:07"},{"id":151,"name":"Denver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2"/>
        <v>start /low /b %USERPROFILE%\Documents\GitHub\eaglep3\Utilities\DownloadLogsFromS3.py --loco 4039 --day 2017-11-07</v>
      </c>
      <c r="AN101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4"/>
        <v>https://d0f6bd738d7f1b3e5a7ca70fe4ff75f0.us-east-1.aws.found.io/app/kibana#/discover/Steve-Slow-Train-Analysis-(2080s-and-2083s)?_g=(refreshInterval:(display:Off,pause:!f,section:0,value:0),time:(from:'2017-11-07T14:17:00-0700',mode:absolute,to:'2017-11-07T17:05:07-0700'))&amp;_a=(columns:!('Message%20ID',Summary),filters:!(),index:'emp_*',interval:auto,query:(query_string:(analyze_wildcard:!t,query:'%22rtdc.l.rtdc.4039%22')),sort:!(Time.ISO8601,asc))</v>
      </c>
    </row>
    <row r="102" spans="1:91" s="20" customFormat="1" x14ac:dyDescent="0.3">
      <c r="A102" s="32" t="s">
        <v>796</v>
      </c>
      <c r="B102" s="7">
        <v>4008</v>
      </c>
      <c r="C102" s="21" t="s">
        <v>192</v>
      </c>
      <c r="D102" s="21" t="s">
        <v>504</v>
      </c>
      <c r="E102" s="13">
        <v>43046.609814814816</v>
      </c>
      <c r="F102" s="13">
        <v>43046.614814814813</v>
      </c>
      <c r="G102" s="7">
        <v>85</v>
      </c>
      <c r="H102" s="21" t="s">
        <v>953</v>
      </c>
      <c r="I102" s="13">
        <v>43046.642233796294</v>
      </c>
      <c r="J102" s="7">
        <v>0</v>
      </c>
      <c r="K102" s="89" t="str">
        <f>IF(ISEVEN(B102),(B102-1)&amp;"/"&amp;B102,B102&amp;"/"&amp;(B102+1))</f>
        <v>4007/4008</v>
      </c>
      <c r="L102" s="185" t="str">
        <f>VLOOKUP(A102,'Trips&amp;Operators'!$C$1:$G$99911,5,FALSE)</f>
        <v>BRUDER RICHARD</v>
      </c>
      <c r="M102" s="6">
        <f>I102-F102</f>
        <v>2.7418981480877846E-2</v>
      </c>
      <c r="N102" s="7">
        <f>24*60*SUM($M102:$M102)</f>
        <v>39.483333332464099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-07T13:38:08-0700',mode:absolute,to:'2017-11-07T16:24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5.1999999999999998E-2</v>
      </c>
      <c r="Z102" s="204">
        <f>RIGHT(H102,LEN(H102)-4)/10000</f>
        <v>23.321100000000001</v>
      </c>
      <c r="AA102" s="204">
        <f>ABS(Z102-Y102)</f>
        <v>23.269100000000002</v>
      </c>
      <c r="AB102" s="54" t="e">
        <f>VLOOKUP(A102,Enforcements!$C$7:$K$10,8,0)</f>
        <v>#N/A</v>
      </c>
      <c r="AC102" s="51" t="e">
        <f>VLOOKUP(A102,Enforcements!$C$7:$E$10,3,0)</f>
        <v>#N/A</v>
      </c>
      <c r="AD102" s="179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/stypes="app*4008*20171107*"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0"/>
        <v>"%USERPROFILE%\Documents\GitHub\eaglep3\Utilities\RefineRTDCRunTimes.py" --tripid 189-07 --locoid 4008 --swversion DE.1.0.9.0 --startMP 204:520 --initTime 2017-11-07T14:38:08 --startdatetime 2017-11-07T14:45:20 --delay 85 --endMP 204:233211 --enddatetime 2017-11-07T15:24:49 --enforcementcount 0 &gt;&gt;%USERPROFILE%\Documents\GitHub\eaglep3-reporting\EC\2017-11-07-refined-times.txt</v>
      </c>
      <c r="AI102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{"issue":{"subject":"","project_id":79,"tracker_id":40,"status_id":1,"priority_id":2,"assigned_to_id":338,"start_date":"2017-11-07","description":"","custom_fields":[{"id":1,"name":"Subdivision","value":"EC"},{"id":4,"name":"Milepost","value":"23.3211"},{"id":17,"name":"Train ID","value":"189-07"},{"id":16,"name":"Locomotive ID","value":"4008"},{"id":130,"name":"Impact","value":""},{"id":150,"name":"Time of Event (Mountain Time)","value":"15:24:49"},{"id":151,"name":"Denver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2"/>
        <v>start /low /b %USERPROFILE%\Documents\GitHub\eaglep3\Utilities\DownloadLogsFromS3.py --loco 4008 --day 2017-11-07</v>
      </c>
      <c r="AN102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4"/>
        <v>https://d0f6bd738d7f1b3e5a7ca70fe4ff75f0.us-east-1.aws.found.io/app/kibana#/discover/Steve-Slow-Train-Analysis-(2080s-and-2083s)?_g=(refreshInterval:(display:Off,pause:!f,section:0,value:0),time:(from:'2017-11-07T13:38:08-0700',mode:absolute,to:'2017-11-07T16:24:49-0700'))&amp;_a=(columns:!('Message%20ID',Summary),filters:!(),index:'emp_*',interval:auto,query:(query_string:(analyze_wildcard:!t,query:'%22rtdc.l.rtdc.4008%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808</v>
      </c>
      <c r="B103" s="7">
        <v>4007</v>
      </c>
      <c r="C103" s="21" t="s">
        <v>192</v>
      </c>
      <c r="D103" s="21" t="s">
        <v>954</v>
      </c>
      <c r="E103" s="13">
        <v>43046.650694444441</v>
      </c>
      <c r="F103" s="13">
        <v>43046.654386574075</v>
      </c>
      <c r="G103" s="7">
        <v>81</v>
      </c>
      <c r="H103" s="21" t="s">
        <v>619</v>
      </c>
      <c r="I103" s="13">
        <v>43046.681759259256</v>
      </c>
      <c r="J103" s="7">
        <v>0</v>
      </c>
      <c r="K103" s="89" t="str">
        <f>IF(ISEVEN(B103),(B103-1)&amp;"/"&amp;B103,B103&amp;"/"&amp;(B103+1))</f>
        <v>4007/4008</v>
      </c>
      <c r="L103" s="185" t="str">
        <f>VLOOKUP(A103,'Trips&amp;Operators'!$C$1:$G$99911,5,FALSE)</f>
        <v>BRUDER RICHARD</v>
      </c>
      <c r="M103" s="6">
        <f>I103-F103</f>
        <v>2.7372685181035195E-2</v>
      </c>
      <c r="N103" s="7">
        <f>24*60*SUM($M103:$M103)</f>
        <v>39.41666666069068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-07T14:37:00-0700',mode:absolute,to:'2017-11-07T17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23.287500000000001</v>
      </c>
      <c r="Z103" s="204">
        <f>RIGHT(H103,LEN(H103)-4)/10000</f>
        <v>2.29E-2</v>
      </c>
      <c r="AA103" s="204">
        <f>ABS(Z103-Y103)</f>
        <v>23.264600000000002</v>
      </c>
      <c r="AB103" s="54" t="e">
        <f>VLOOKUP(A103,Enforcements!$C$7:$K$10,8,0)</f>
        <v>#N/A</v>
      </c>
      <c r="AC103" s="51" t="e">
        <f>VLOOKUP(A103,Enforcements!$C$7:$E$10,3,0)</f>
        <v>#N/A</v>
      </c>
      <c r="AD103" s="179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/stypes="app*4007*20171107*" /stext=" 23:.+((SYSTEM_STATE.+slice.+state.+changed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0"/>
        <v>"%USERPROFILE%\Documents\GitHub\eaglep3\Utilities\RefineRTDCRunTimes.py" --tripid 190-07 --locoid 4007 --swversion DE.1.0.9.0 --startMP 204:232875 --initTime 2017-11-07T15:37:00 --startdatetime 2017-11-07T15:42:19 --delay 81 --endMP 204:229 --enddatetime 2017-11-07T16:21:44 --enforcementcount 0 &gt;&gt;%USERPROFILE%\Documents\GitHub\eaglep3-reporting\EC\2017-11-07-refined-times.txt</v>
      </c>
      <c r="AI103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{"issue":{"subject":"","project_id":79,"tracker_id":40,"status_id":1,"priority_id":2,"assigned_to_id":338,"start_date":"2017-11-07","description":"","custom_fields":[{"id":1,"name":"Subdivision","value":"EC"},{"id":4,"name":"Milepost","value":"0.0229"},{"id":17,"name":"Train ID","value":"190-07"},{"id":16,"name":"Locomotive ID","value":"4007"},{"id":130,"name":"Impact","value":""},{"id":150,"name":"Time of Event (Mountain Time)","value":"16:21:44"},{"id":151,"name":"Denver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2"/>
        <v>start /low /b %USERPROFILE%\Documents\GitHub\eaglep3\Utilities\DownloadLogsFromS3.py --loco 4007 --day 2017-11-07</v>
      </c>
      <c r="AN103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4"/>
        <v>https://d0f6bd738d7f1b3e5a7ca70fe4ff75f0.us-east-1.aws.found.io/app/kibana#/discover/Steve-Slow-Train-Analysis-(2080s-and-2083s)?_g=(refreshInterval:(display:Off,pause:!f,section:0,value:0),time:(from:'2017-11-07T14:37:00-0700',mode:absolute,to:'2017-11-07T17:21:44-0700'))&amp;_a=(columns:!('Message%20ID',Summary),filters:!(),index:'emp_*',interval:auto,query:(query_string:(analyze_wildcard:!t,query:'%22rtdc.l.rtdc.4007%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663</v>
      </c>
      <c r="B104" s="7">
        <v>4022</v>
      </c>
      <c r="C104" s="21" t="s">
        <v>192</v>
      </c>
      <c r="D104" s="21" t="s">
        <v>558</v>
      </c>
      <c r="E104" s="13">
        <v>43046.616469907407</v>
      </c>
      <c r="F104" s="13">
        <v>43046.625185185185</v>
      </c>
      <c r="G104" s="7">
        <v>68</v>
      </c>
      <c r="H104" s="21" t="s">
        <v>955</v>
      </c>
      <c r="I104" s="13">
        <v>43046.650567129633</v>
      </c>
      <c r="J104" s="7">
        <v>0</v>
      </c>
      <c r="K104" s="89" t="str">
        <f>IF(ISEVEN(B104),(B104-1)&amp;"/"&amp;B104,B104&amp;"/"&amp;(B104+1))</f>
        <v>4021/4022</v>
      </c>
      <c r="L104" s="185" t="str">
        <f>VLOOKUP(A104,'Trips&amp;Operators'!$C$1:$G$99911,5,FALSE)</f>
        <v>NEWELL JAMES</v>
      </c>
      <c r="M104" s="6">
        <f>I104-F104</f>
        <v>2.5381944447872229E-2</v>
      </c>
      <c r="N104" s="7">
        <f>24*60*SUM($M104:$M104)</f>
        <v>36.55000000493601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-07T13:47:43-0700',mode:absolute,to:'2017-11-07T16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5.62E-2</v>
      </c>
      <c r="Z104" s="204">
        <f>RIGHT(H104,LEN(H104)-4)/10000</f>
        <v>23.321000000000002</v>
      </c>
      <c r="AA104" s="204">
        <f>ABS(Z104-Y104)</f>
        <v>23.264800000000001</v>
      </c>
      <c r="AB104" s="54" t="e">
        <f>VLOOKUP(A104,Enforcements!$C$7:$K$10,8,0)</f>
        <v>#N/A</v>
      </c>
      <c r="AC104" s="51" t="e">
        <f>VLOOKUP(A104,Enforcements!$C$7:$E$10,3,0)</f>
        <v>#N/A</v>
      </c>
      <c r="AD104" s="179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s3://rtdc.mdm.uploadarchive.raw/RTDC4022/ "%USERPROFILE%\AppData\Local\Temp\OnboardLogs"\RTDC4022\2017-11-07 --exclude "*" --recursive --include "*20171107*" &amp; "%USERPROFILE%\Documents\GitHub\mrs-test-scripts\Headless Mode &amp; Sideloading\WalkAndUnGZ.bat" "%USERPROFILE%\AppData\Local\Temp\OnboardLogs"\RTDC4022\2017-11-07 &amp; aws s3 cp s3://rtdc.mdm.uploadarchive.raw/RTDC4022/ "%USERPROFILE%\AppData\Local\Temp\OnboardLogs"\RTDC4022\2017-11-08 --exclude "*" --recursive --include "*20171108*" &amp; "%USERPROFILE%\Documents\GitHub\mrs-test-scripts\Headless Mode &amp; Sideloading\WalkAndUnGZ.bat" "%USERPROFILE%\AppData\Local\Temp\OnboardLogs"\RTDC4022\2017-11-08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/stypes="app*4022*20171107*"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0"/>
        <v>"%USERPROFILE%\Documents\GitHub\eaglep3\Utilities\RefineRTDCRunTimes.py" --tripid 191-07 --locoid 4022 --swversion DE.1.0.9.0 --startMP 204:562 --initTime 2017-11-07T14:47:43 --startdatetime 2017-11-07T15:00:16 --delay 68 --endMP 204:233210 --enddatetime 2017-11-07T15:36:49 --enforcementcount 0 &gt;&gt;%USERPROFILE%\Documents\GitHub\eaglep3-reporting\EC\2017-11-07-refined-times.txt</v>
      </c>
      <c r="AI104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{"issue":{"subject":"","project_id":79,"tracker_id":40,"status_id":1,"priority_id":2,"assigned_to_id":338,"start_date":"2017-11-07","description":"","custom_fields":[{"id":1,"name":"Subdivision","value":"EC"},{"id":4,"name":"Milepost","value":"23.321"},{"id":17,"name":"Train ID","value":"191-07"},{"id":16,"name":"Locomotive ID","value":"4022"},{"id":130,"name":"Impact","value":""},{"id":150,"name":"Time of Event (Mountain Time)","value":"15:36:49"},{"id":151,"name":"Denver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2"/>
        <v>start /low /b %USERPROFILE%\Documents\GitHub\eaglep3\Utilities\DownloadLogsFromS3.py --loco 4022 --day 2017-11-07</v>
      </c>
      <c r="AN104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4"/>
        <v>https://d0f6bd738d7f1b3e5a7ca70fe4ff75f0.us-east-1.aws.found.io/app/kibana#/discover/Steve-Slow-Train-Analysis-(2080s-and-2083s)?_g=(refreshInterval:(display:Off,pause:!f,section:0,value:0),time:(from:'2017-11-07T13:47:43-0700',mode:absolute,to:'2017-11-07T16:36:49-0700'))&amp;_a=(columns:!('Message%20ID',Summary),filters:!(),index:'emp_*',interval:auto,query:(query_string:(analyze_wildcard:!t,query:'%22rtdc.l.rtdc.4022%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810</v>
      </c>
      <c r="B105" s="7">
        <v>4021</v>
      </c>
      <c r="C105" s="21" t="s">
        <v>192</v>
      </c>
      <c r="D105" s="21" t="s">
        <v>558</v>
      </c>
      <c r="E105" s="13">
        <v>43046.616469907407</v>
      </c>
      <c r="F105" s="13">
        <v>43046.665451388886</v>
      </c>
      <c r="G105" s="7">
        <v>68</v>
      </c>
      <c r="H105" s="21" t="s">
        <v>955</v>
      </c>
      <c r="I105" s="13">
        <v>43046.693865740737</v>
      </c>
      <c r="J105" s="7">
        <v>0</v>
      </c>
      <c r="K105" s="89" t="str">
        <f>IF(ISEVEN(B105),(B105-1)&amp;"/"&amp;B105,B105&amp;"/"&amp;(B105+1))</f>
        <v>4021/4022</v>
      </c>
      <c r="L105" s="185" t="str">
        <f>VLOOKUP(A105,'Trips&amp;Operators'!$C$1:$G$99911,5,FALSE)</f>
        <v>NEWELL JAMES</v>
      </c>
      <c r="M105" s="6">
        <f>I105-F105</f>
        <v>2.8414351851097308E-2</v>
      </c>
      <c r="N105" s="7">
        <f>24*60*SUM($M105:$M105)</f>
        <v>40.916666665580124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-07T13:47:43-0700',mode:absolute,to:'2017-11-07T17:39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v>23.287500000000001</v>
      </c>
      <c r="Z105" s="204">
        <v>2.29E-2</v>
      </c>
      <c r="AA105" s="204">
        <f>ABS(Z105-Y105)</f>
        <v>23.264600000000002</v>
      </c>
      <c r="AB105" s="54" t="e">
        <f>VLOOKUP(A105,Enforcements!$C$7:$K$10,8,0)</f>
        <v>#N/A</v>
      </c>
      <c r="AC105" s="51" t="e">
        <f>VLOOKUP(A105,Enforcements!$C$7:$E$10,3,0)</f>
        <v>#N/A</v>
      </c>
      <c r="AD105" s="179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s3://rtdc.mdm.uploadarchive.raw/RTDC4021/ "%USERPROFILE%\AppData\Local\Temp\OnboardLogs"\RTDC4021\2017-11-07 --exclude "*" --recursive --include "*20171107*" &amp; "%USERPROFILE%\Documents\GitHub\mrs-test-scripts\Headless Mode &amp; Sideloading\WalkAndUnGZ.bat" "%USERPROFILE%\AppData\Local\Temp\OnboardLogs"\RTDC4021\2017-11-07 &amp; aws s3 cp s3://rtdc.mdm.uploadarchive.raw/RTDC4021/ "%USERPROFILE%\AppData\Local\Temp\OnboardLogs"\RTDC4021\2017-11-08 --exclude "*" --recursive --include "*20171108*" &amp; "%USERPROFILE%\Documents\GitHub\mrs-test-scripts\Headless Mode &amp; Sideloading\WalkAndUnGZ.bat" "%USERPROFILE%\AppData\Local\Temp\OnboardLogs"\RTDC4021\2017-11-08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/stypes="app*4021*20171107*" /stext=" 23:.+((SYSTEM_STATE.+slice.+state.+changed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ref="AH105" si="20"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"&amp;J105&amp;IF(outputrefinedruntimes," &gt;&gt;"&amp;RefinedRTDCRunTimesOutputFile,"")</f>
        <v>"%USERPROFILE%\Documents\GitHub\eaglep3\Utilities\RefineRTDCRunTimes.py" --tripid 192-07 --locoid 4021 --swversion DE.1.0.9.0 --startMP 204:562 --initTime 2017-11-07T14:47:43 --startdatetime 2017-11-07T15:58:15 --delay 68 --endMP 204:233210 --enddatetime 2017-11-07T16:39:10 --enforcementcount 0 &gt;&gt;%USERPROFILE%\Documents\GitHub\eaglep3-reporting\EC\2017-11-07-refined-times.txt</v>
      </c>
      <c r="AI105" s="96" t="str">
        <f t="shared" ref="AI105" si="21"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Z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{"issue":{"subject":"","project_id":79,"tracker_id":40,"status_id":1,"priority_id":2,"assigned_to_id":338,"start_date":"2017-11-07","description":"","custom_fields":[{"id":1,"name":"Subdivision","value":"EC"},{"id":4,"name":"Milepost","value":"0.0229"},{"id":17,"name":"Train ID","value":"192-07"},{"id":16,"name":"Locomotive ID","value":"4021"},{"id":130,"name":"Impact","value":""},{"id":150,"name":"Time of Event (Mountain Time)","value":"16:39:10"},{"id":151,"name":"Denver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ref="AM105" si="22">"start /low /b "&amp;dls3logs&amp;" --loco "&amp;B105&amp;" --day "&amp;TEXT(F105,"YYYY-MM-DD")</f>
        <v>start /low /b %USERPROFILE%\Documents\GitHub\eaglep3\Utilities\DownloadLogsFromS3.py --loco 4021 --day 2017-11-07</v>
      </c>
      <c r="AN105" s="151" t="str">
        <f t="shared" ref="AN105" si="23">"echo {""issue"":{""subject"":"""&amp;R105&amp;""",""project_id"":30,""tracker_id"":4,""status_id"":"&amp;redmine_status_wcr&amp;",""priority_id"":"&amp;redmine_priority_wcr&amp;",""assigned_to_id"":"&amp;redmine_assignee_wcr&amp;",""start_date"":"""&amp;TEXT(I105-utc_offset/24,"YYYY-mm-dd")&amp;""",""description"":"""&amp;AJ105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ref="AO105" si="24"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Message%20ID',Summary),filters:!(),index:'emp_*',interval:auto,query:"&amp;"(query_string:(analyze_wildcard:!t,query:'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-07T13:47:43-0700',mode:absolute,to:'2017-11-07T17:39:10-0700'))&amp;_a=(columns:!('Message%20ID',Summary),filters:!(),index:'emp_*',interval:auto,query:(query_string:(analyze_wildcard:!t,query:'%22rtdc.l.rtdc.4021%22')),sort:!(Time.ISO8601,asc))</v>
      </c>
    </row>
    <row r="106" spans="1:91" s="20" customFormat="1" x14ac:dyDescent="0.3">
      <c r="A106" s="32" t="s">
        <v>803</v>
      </c>
      <c r="B106" s="7">
        <v>4026</v>
      </c>
      <c r="C106" s="21" t="s">
        <v>192</v>
      </c>
      <c r="D106" s="21" t="s">
        <v>553</v>
      </c>
      <c r="E106" s="13">
        <v>43046.634629629632</v>
      </c>
      <c r="F106" s="13">
        <v>43046.635787037034</v>
      </c>
      <c r="G106" s="7">
        <v>57</v>
      </c>
      <c r="H106" s="21" t="s">
        <v>541</v>
      </c>
      <c r="I106" s="13">
        <v>43046.660092592596</v>
      </c>
      <c r="J106" s="7">
        <v>0</v>
      </c>
      <c r="K106" s="89" t="str">
        <f>IF(ISEVEN(B106),(B106-1)&amp;"/"&amp;B106,B106&amp;"/"&amp;(B106+1))</f>
        <v>4025/4026</v>
      </c>
      <c r="L106" s="185" t="str">
        <f>VLOOKUP(A106,'Trips&amp;Operators'!$C$1:$G$99911,5,FALSE)</f>
        <v>LEVIN SCOTT</v>
      </c>
      <c r="M106" s="6">
        <f>I106-F106</f>
        <v>2.4305555562023073E-2</v>
      </c>
      <c r="N106" s="7">
        <f>24*60*SUM($M106:$M106)</f>
        <v>35.000000009313226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-07T14:13:52-0700',mode:absolute,to:'2017-11-07T16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204" t="str">
        <f>IF(AA106&lt;VLOOKUP(AG106,Variables!$AC$3:$AD$8,2,FALSE),"Y","N")</f>
        <v>N</v>
      </c>
      <c r="X106" s="204">
        <f t="shared" ref="X106:X107" si="25">VALUE(LEFT(AD106,4))-VALUE(LEFT(AD105,4))</f>
        <v>1</v>
      </c>
      <c r="Y106" s="204">
        <f>RIGHT(D106,LEN(D106)-4)/10000</f>
        <v>5.5500000000000001E-2</v>
      </c>
      <c r="Z106" s="204">
        <f>RIGHT(H106,LEN(H106)-4)/10000</f>
        <v>23.328600000000002</v>
      </c>
      <c r="AA106" s="204">
        <f>ABS(Z106-Y106)</f>
        <v>23.273100000000003</v>
      </c>
      <c r="AB106" s="54" t="e">
        <f>VLOOKUP(A106,Enforcements!$C$7:$K$10,8,0)</f>
        <v>#N/A</v>
      </c>
      <c r="AC106" s="51" t="e">
        <f>VLOOKUP(A106,Enforcements!$C$7:$E$10,3,0)</f>
        <v>#N/A</v>
      </c>
      <c r="AD106" s="179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s3://rtdc.mdm.uploadarchive.raw/RTDC4026/ "%USERPROFILE%\AppData\Local\Temp\OnboardLogs"\RTDC4026\2017-11-07 --exclude "*" --recursive --include "*20171107*" &amp; "%USERPROFILE%\Documents\GitHub\mrs-test-scripts\Headless Mode &amp; Sideloading\WalkAndUnGZ.bat" "%USERPROFILE%\AppData\Local\Temp\OnboardLogs"\RTDC4026\2017-11-07 &amp; aws s3 cp s3://rtdc.mdm.uploadarchive.raw/RTDC4026/ "%USERPROFILE%\AppData\Local\Temp\OnboardLogs"\RTDC4026\2017-11-08 --exclude "*" --recursive --include "*20171108*" &amp; "%USERPROFILE%\Documents\GitHub\mrs-test-scripts\Headless Mode &amp; Sideloading\WalkAndUnGZ.bat" "%USERPROFILE%\AppData\Local\Temp\OnboardLogs"\RTDC4026\2017-11-08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/stypes="app*4026*20171107*"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0"/>
        <v>"%USERPROFILE%\Documents\GitHub\eaglep3\Utilities\RefineRTDCRunTimes.py" --tripid 193-07 --locoid 4026 --swversion DE.1.0.9.0 --startMP 204:555 --initTime 2017-11-07T15:13:52 --startdatetime 2017-11-07T15:15:32 --delay 57 --endMP 204:233286 --enddatetime 2017-11-07T15:50:32 --enforcementcount 0 &gt;&gt;%USERPROFILE%\Documents\GitHub\eaglep3-reporting\EC\2017-11-07-refined-times.txt</v>
      </c>
      <c r="AI106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{"issue":{"subject":"","project_id":79,"tracker_id":40,"status_id":1,"priority_id":2,"assigned_to_id":338,"start_date":"2017-11-07","description":"","custom_fields":[{"id":1,"name":"Subdivision","value":"EC"},{"id":4,"name":"Milepost","value":"23.3286"},{"id":17,"name":"Train ID","value":"193-07"},{"id":16,"name":"Locomotive ID","value":"4026"},{"id":130,"name":"Impact","value":""},{"id":150,"name":"Time of Event (Mountain Time)","value":"15:50:32"},{"id":151,"name":"Denver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2"/>
        <v>start /low /b %USERPROFILE%\Documents\GitHub\eaglep3\Utilities\DownloadLogsFromS3.py --loco 4026 --day 2017-11-07</v>
      </c>
      <c r="AN106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4"/>
        <v>https://d0f6bd738d7f1b3e5a7ca70fe4ff75f0.us-east-1.aws.found.io/app/kibana#/discover/Steve-Slow-Train-Analysis-(2080s-and-2083s)?_g=(refreshInterval:(display:Off,pause:!f,section:0,value:0),time:(from:'2017-11-07T14:13:52-0700',mode:absolute,to:'2017-11-07T16:50:32-0700'))&amp;_a=(columns:!('Message%20ID',Summary),filters:!(),index:'emp_*',interval:auto,query:(query_string:(analyze_wildcard:!t,query:'%22rtdc.l.rtdc.4026%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814</v>
      </c>
      <c r="B107" s="7">
        <v>4025</v>
      </c>
      <c r="C107" s="21" t="s">
        <v>192</v>
      </c>
      <c r="D107" s="21" t="s">
        <v>470</v>
      </c>
      <c r="E107" s="13">
        <v>43046.670486111114</v>
      </c>
      <c r="F107" s="13">
        <v>43046.675173611111</v>
      </c>
      <c r="G107" s="7">
        <v>58</v>
      </c>
      <c r="H107" s="21" t="s">
        <v>956</v>
      </c>
      <c r="I107" s="13">
        <v>43046.702245370368</v>
      </c>
      <c r="J107" s="7">
        <v>0</v>
      </c>
      <c r="K107" s="89" t="str">
        <f>IF(ISEVEN(B107),(B107-1)&amp;"/"&amp;B107,B107&amp;"/"&amp;(B107+1))</f>
        <v>4025/4026</v>
      </c>
      <c r="L107" s="185" t="str">
        <f>VLOOKUP(A107,'Trips&amp;Operators'!$C$1:$G$99911,5,FALSE)</f>
        <v>LEVIN SCOTT</v>
      </c>
      <c r="M107" s="6">
        <f>I107-F107</f>
        <v>2.7071759257523809E-2</v>
      </c>
      <c r="N107" s="7">
        <f>24*60*SUM($M107:$M107)</f>
        <v>38.983333330834284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-07T15:05:30-0700',mode:absolute,to:'2017-11-07T17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204" t="str">
        <f>IF(AA107&lt;VLOOKUP(AG107,Variables!$AC$3:$AD$8,2,FALSE),"Y","N")</f>
        <v>N</v>
      </c>
      <c r="X107" s="204">
        <f t="shared" si="25"/>
        <v>1</v>
      </c>
      <c r="Y107" s="204">
        <f>RIGHT(D107,LEN(D107)-4)/10000</f>
        <v>23.297699999999999</v>
      </c>
      <c r="Z107" s="204">
        <f>RIGHT(H107,LEN(H107)-4)/10000</f>
        <v>1.9599999999999999E-2</v>
      </c>
      <c r="AA107" s="204">
        <f>ABS(Z107-Y107)</f>
        <v>23.278099999999998</v>
      </c>
      <c r="AB107" s="54" t="e">
        <f>VLOOKUP(A107,Enforcements!$C$7:$K$10,8,0)</f>
        <v>#N/A</v>
      </c>
      <c r="AC107" s="51" t="e">
        <f>VLOOKUP(A107,Enforcements!$C$7:$E$10,3,0)</f>
        <v>#N/A</v>
      </c>
      <c r="AD107" s="179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s3://rtdc.mdm.uploadarchive.raw/RTDC4025/ "%USERPROFILE%\AppData\Local\Temp\OnboardLogs"\RTDC4025\2017-11-07 --exclude "*" --recursive --include "*20171107*" &amp; "%USERPROFILE%\Documents\GitHub\mrs-test-scripts\Headless Mode &amp; Sideloading\WalkAndUnGZ.bat" "%USERPROFILE%\AppData\Local\Temp\OnboardLogs"\RTDC4025\2017-11-07 &amp; aws s3 cp s3://rtdc.mdm.uploadarchive.raw/RTDC4025/ "%USERPROFILE%\AppData\Local\Temp\OnboardLogs"\RTDC4025\2017-11-08 --exclude "*" --recursive --include "*20171108*" &amp; "%USERPROFILE%\Documents\GitHub\mrs-test-scripts\Headless Mode &amp; Sideloading\WalkAndUnGZ.bat" "%USERPROFILE%\AppData\Local\Temp\OnboardLogs"\RTDC4025\2017-11-08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/stypes="app*4025*20171107*" /stext=" 23:.+((SYSTEM_STATE.+slice.+state.+changed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0"/>
        <v>"%USERPROFILE%\Documents\GitHub\eaglep3\Utilities\RefineRTDCRunTimes.py" --tripid 194-07 --locoid 4025 --swversion DE.1.0.9.0 --startMP 204:232977 --initTime 2017-11-07T16:05:30 --startdatetime 2017-11-07T16:12:15 --delay 58 --endMP 204:196 --enddatetime 2017-11-07T16:51:14 --enforcementcount 0 &gt;&gt;%USERPROFILE%\Documents\GitHub\eaglep3-reporting\EC\2017-11-07-refined-times.txt</v>
      </c>
      <c r="AI107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{"issue":{"subject":"","project_id":79,"tracker_id":40,"status_id":1,"priority_id":2,"assigned_to_id":338,"start_date":"2017-11-07","description":"","custom_fields":[{"id":1,"name":"Subdivision","value":"EC"},{"id":4,"name":"Milepost","value":"0.0196"},{"id":17,"name":"Train ID","value":"194-07"},{"id":16,"name":"Locomotive ID","value":"4025"},{"id":130,"name":"Impact","value":""},{"id":150,"name":"Time of Event (Mountain Time)","value":"16:51:14"},{"id":151,"name":"Denver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2"/>
        <v>start /low /b %USERPROFILE%\Documents\GitHub\eaglep3\Utilities\DownloadLogsFromS3.py --loco 4025 --day 2017-11-07</v>
      </c>
      <c r="AN107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4"/>
        <v>https://d0f6bd738d7f1b3e5a7ca70fe4ff75f0.us-east-1.aws.found.io/app/kibana#/discover/Steve-Slow-Train-Analysis-(2080s-and-2083s)?_g=(refreshInterval:(display:Off,pause:!f,section:0,value:0),time:(from:'2017-11-07T15:05:30-0700',mode:absolute,to:'2017-11-07T17:51:14-0700'))&amp;_a=(columns:!('Message%20ID',Summary),filters:!(),index:'emp_*',interval:auto,query:(query_string:(analyze_wildcard:!t,query:'%22rtdc.l.rtdc.4025%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806</v>
      </c>
      <c r="B108" s="7">
        <v>4042</v>
      </c>
      <c r="C108" s="21" t="s">
        <v>192</v>
      </c>
      <c r="D108" s="21" t="s">
        <v>957</v>
      </c>
      <c r="E108" s="13">
        <v>43046.645949074074</v>
      </c>
      <c r="F108" s="13">
        <v>43046.64739583333</v>
      </c>
      <c r="G108" s="7">
        <v>57</v>
      </c>
      <c r="H108" s="21" t="s">
        <v>612</v>
      </c>
      <c r="I108" s="13">
        <v>43046.674305555556</v>
      </c>
      <c r="J108" s="7">
        <v>0</v>
      </c>
      <c r="K108" s="89" t="str">
        <f>IF(ISEVEN(B108),(B108-1)&amp;"/"&amp;B108,B108&amp;"/"&amp;(B108+1))</f>
        <v>4041/4042</v>
      </c>
      <c r="L108" s="185" t="str">
        <f>VLOOKUP(A108,'Trips&amp;Operators'!$C$1:$G$99911,5,FALSE)</f>
        <v>ANDREA WILLIAMS</v>
      </c>
      <c r="M108" s="6">
        <f>I108-F108</f>
        <v>2.6909722226264421E-2</v>
      </c>
      <c r="N108" s="7">
        <f>24*60*SUM($M108:$M108)</f>
        <v>38.750000005820766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-07T14:30:10-0700',mode:absolute,to:'2017-11-07T17:11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5.7000000000000002E-2</v>
      </c>
      <c r="Z108" s="204">
        <f>RIGHT(H108,LEN(H108)-4)/10000</f>
        <v>23.322299999999998</v>
      </c>
      <c r="AA108" s="204">
        <f>ABS(Z108-Y108)</f>
        <v>23.2653</v>
      </c>
      <c r="AB108" s="54" t="e">
        <f>VLOOKUP(A108,Enforcements!$C$7:$K$10,8,0)</f>
        <v>#N/A</v>
      </c>
      <c r="AC108" s="51" t="e">
        <f>VLOOKUP(A108,Enforcements!$C$7:$E$10,3,0)</f>
        <v>#N/A</v>
      </c>
      <c r="AD108" s="179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/stypes="app*4042*20171107*"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0"/>
        <v>"%USERPROFILE%\Documents\GitHub\eaglep3\Utilities\RefineRTDCRunTimes.py" --tripid 195-07 --locoid 4042 --swversion DE.1.0.9.0 --startMP 204:570 --initTime 2017-11-07T15:30:10 --startdatetime 2017-11-07T15:32:15 --delay 57 --endMP 204:233223 --enddatetime 2017-11-07T16:11:00 --enforcementcount 0 &gt;&gt;%USERPROFILE%\Documents\GitHub\eaglep3-reporting\EC\2017-11-07-refined-times.txt</v>
      </c>
      <c r="AI108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{"issue":{"subject":"","project_id":79,"tracker_id":40,"status_id":1,"priority_id":2,"assigned_to_id":338,"start_date":"2017-11-07","description":"","custom_fields":[{"id":1,"name":"Subdivision","value":"EC"},{"id":4,"name":"Milepost","value":"23.3223"},{"id":17,"name":"Train ID","value":"195-07"},{"id":16,"name":"Locomotive ID","value":"4042"},{"id":130,"name":"Impact","value":""},{"id":150,"name":"Time of Event (Mountain Time)","value":"16:11:00"},{"id":151,"name":"Denver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2"/>
        <v>start /low /b %USERPROFILE%\Documents\GitHub\eaglep3\Utilities\DownloadLogsFromS3.py --loco 4042 --day 2017-11-07</v>
      </c>
      <c r="AN108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23:11:00"},{"id":29,"name":"Sharepoint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4"/>
        <v>https://d0f6bd738d7f1b3e5a7ca70fe4ff75f0.us-east-1.aws.found.io/app/kibana#/discover/Steve-Slow-Train-Analysis-(2080s-and-2083s)?_g=(refreshInterval:(display:Off,pause:!f,section:0,value:0),time:(from:'2017-11-07T14:30:10-0700',mode:absolute,to:'2017-11-07T17:11:00-0700'))&amp;_a=(columns:!('Message%20ID',Summary),filters:!(),index:'emp_*',interval:auto,query:(query_string:(analyze_wildcard:!t,query:'%22rtdc.l.rtdc.4042%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816</v>
      </c>
      <c r="B109" s="7">
        <v>4041</v>
      </c>
      <c r="C109" s="21" t="s">
        <v>192</v>
      </c>
      <c r="D109" s="21" t="s">
        <v>509</v>
      </c>
      <c r="E109" s="13">
        <v>43046.679444444446</v>
      </c>
      <c r="F109" s="13">
        <v>43046.698680555557</v>
      </c>
      <c r="G109" s="7">
        <v>72</v>
      </c>
      <c r="H109" s="21" t="s">
        <v>509</v>
      </c>
      <c r="I109" s="13">
        <v>43046.717118055552</v>
      </c>
      <c r="J109" s="7">
        <v>0</v>
      </c>
      <c r="K109" s="89" t="str">
        <f>IF(ISEVEN(B109),(B109-1)&amp;"/"&amp;B109,B109&amp;"/"&amp;(B109+1))</f>
        <v>4041/4042</v>
      </c>
      <c r="L109" s="185" t="str">
        <f>VLOOKUP(A109,'Trips&amp;Operators'!$C$1:$G$99911,5,FALSE)</f>
        <v>ANDREA WILLIAMS</v>
      </c>
      <c r="M109" s="6">
        <f>I109-F109</f>
        <v>1.8437499995343387E-2</v>
      </c>
      <c r="N109" s="7"/>
      <c r="O109" s="7"/>
      <c r="P109" s="7"/>
      <c r="Q109" s="22"/>
      <c r="R109" s="174"/>
      <c r="S109" s="221"/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0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-07T15:18:24-0700',mode:absolute,to:'2017-11-07T18:12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204" t="str">
        <f>IF(AA109&lt;VLOOKUP(AG109,Variables!$AC$3:$AD$8,2,FALSE),"Y","N")</f>
        <v>Y</v>
      </c>
      <c r="X109" s="204">
        <f>VALUE(LEFT(AD109,4))-VALUE(LEFT(AD108,4))</f>
        <v>1</v>
      </c>
      <c r="Y109" s="204">
        <f>RIGHT(D109,LEN(D109)-4)/10000</f>
        <v>23.2896</v>
      </c>
      <c r="Z109" s="204">
        <f>RIGHT(H109,LEN(H109)-4)/10000</f>
        <v>23.2896</v>
      </c>
      <c r="AA109" s="204">
        <f>ABS(Z109-Y109)</f>
        <v>0</v>
      </c>
      <c r="AB109" s="54" t="e">
        <f>VLOOKUP(A109,Enforcements!$C$7:$K$10,8,0)</f>
        <v>#N/A</v>
      </c>
      <c r="AC109" s="51" t="e">
        <f>VLOOKUP(A109,Enforcements!$C$7:$E$10,3,0)</f>
        <v>#N/A</v>
      </c>
      <c r="AD109" s="179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/stypes="app*4041*20171108*" /stext=" 00:.+((SYSTEM_STATE.+slice.+state.+changed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0"/>
        <v>"%USERPROFILE%\Documents\GitHub\eaglep3\Utilities\RefineRTDCRunTimes.py" --tripid 196-07 --locoid 4041 --swversion DE.1.0.9.0 --startMP 204:232896 --initTime 2017-11-07T16:18:24 --startdatetime 2017-11-07T16:46:06 --delay 72 --endMP 204:232896 --enddatetime 2017-11-07T17:12:39 --enforcementcount 0 &gt;&gt;%USERPROFILE%\Documents\GitHub\eaglep3-reporting\EC\2017-11-07-refined-times.txt</v>
      </c>
      <c r="AI109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{"issue":{"subject":"","project_id":79,"tracker_id":40,"status_id":1,"priority_id":2,"assigned_to_id":338,"start_date":"2017-11-07","description":"","custom_fields":[{"id":1,"name":"Subdivision","value":"EC"},{"id":4,"name":"Milepost","value":"23.2896"},{"id":17,"name":"Train ID","value":"196-07"},{"id":16,"name":"Locomotive ID","value":"4041"},{"id":130,"name":"Impact","value":""},{"id":150,"name":"Time of Event (Mountain Time)","value":"17:12:39"},{"id":151,"name":"Denver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2"/>
        <v>start /low /b %USERPROFILE%\Documents\GitHub\eaglep3\Utilities\DownloadLogsFromS3.py --loco 4041 --day 2017-11-07</v>
      </c>
      <c r="AN109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00:12:39"},{"id":29,"name":"Sharepoint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4"/>
        <v>https://d0f6bd738d7f1b3e5a7ca70fe4ff75f0.us-east-1.aws.found.io/app/kibana#/discover/Steve-Slow-Train-Analysis-(2080s-and-2083s)?_g=(refreshInterval:(display:Off,pause:!f,section:0,value:0),time:(from:'2017-11-07T15:18:24-0700',mode:absolute,to:'2017-11-07T18:12:39-0700'))&amp;_a=(columns:!('Message%20ID',Summary),filters:!(),index:'emp_*',interval:auto,query:(query_string:(analyze_wildcard:!t,query:'%22rtdc.l.rtdc.4041%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816</v>
      </c>
      <c r="B110" s="7">
        <v>4041</v>
      </c>
      <c r="C110" s="21" t="s">
        <v>192</v>
      </c>
      <c r="D110" s="21" t="s">
        <v>958</v>
      </c>
      <c r="E110" s="13">
        <v>43046.697048611109</v>
      </c>
      <c r="F110" s="13">
        <v>43046.698680555557</v>
      </c>
      <c r="G110" s="7">
        <v>69</v>
      </c>
      <c r="H110" s="21" t="s">
        <v>959</v>
      </c>
      <c r="I110" s="13">
        <v>43046.717118055552</v>
      </c>
      <c r="J110" s="7">
        <v>0</v>
      </c>
      <c r="K110" s="89" t="str">
        <f>IF(ISEVEN(B110),(B110-1)&amp;"/"&amp;B110,B110&amp;"/"&amp;(B110+1))</f>
        <v>4041/4042</v>
      </c>
      <c r="L110" s="185" t="str">
        <f>VLOOKUP(A110,'Trips&amp;Operators'!$C$1:$G$99911,5,FALSE)</f>
        <v>ANDREA WILLIAMS</v>
      </c>
      <c r="M110" s="6">
        <f>I110-F110</f>
        <v>1.8437499995343387E-2</v>
      </c>
      <c r="N110" s="7"/>
      <c r="O110" s="7"/>
      <c r="P110" s="7">
        <f>24*60*SUM($M110:$M110)</f>
        <v>26.549999993294477</v>
      </c>
      <c r="Q110" s="22"/>
      <c r="R110" s="174" t="s">
        <v>1085</v>
      </c>
      <c r="S110" s="221">
        <f>1/IF(AG110="EC",12,1)*SUM(U110:U110)</f>
        <v>1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-07T15:43:45-0700',mode:absolute,to:'2017-11-07T18:12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0" s="204" t="str">
        <f>IF(AA110&lt;VLOOKUP(AG110,Variables!$AC$3:$AD$8,2,FALSE),"Y","N")</f>
        <v>Y</v>
      </c>
      <c r="X110" s="204">
        <f>VALUE(LEFT(AD110,4))-VALUE(LEFT(AD109,4))</f>
        <v>0</v>
      </c>
      <c r="Y110" s="204">
        <f>RIGHT(D110,LEN(D110)-4)/10000</f>
        <v>12.7857</v>
      </c>
      <c r="Z110" s="204">
        <f>RIGHT(H110,LEN(H110)-4)/10000</f>
        <v>2.4899999999999999E-2</v>
      </c>
      <c r="AA110" s="204">
        <f>ABS(Z110-Y110)</f>
        <v>12.7608</v>
      </c>
      <c r="AB110" s="54" t="e">
        <f>VLOOKUP(A110,Enforcements!$C$7:$K$10,8,0)</f>
        <v>#N/A</v>
      </c>
      <c r="AC110" s="51" t="e">
        <f>VLOOKUP(A110,Enforcements!$C$7:$E$10,3,0)</f>
        <v>#N/A</v>
      </c>
      <c r="AD110" s="179">
        <f>VALUE(LEFT(A110,LEN(A110)-3))</f>
        <v>196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/stypes="app*4041*20171108*" /stext=" 00:.+((SYSTEM_STATE.+slice.+state.+changed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0"/>
        <v>"%USERPROFILE%\Documents\GitHub\eaglep3\Utilities\RefineRTDCRunTimes.py" --tripid 196-07 --locoid 4041 --swversion DE.1.0.9.0 --startMP 204:127857 --initTime 2017-11-07T16:43:45 --startdatetime 2017-11-07T16:46:06 --delay 69 --endMP 204:249 --enddatetime 2017-11-07T17:12:39 --enforcementcount 0 &gt;&gt;%USERPROFILE%\Documents\GitHub\eaglep3-reporting\EC\2017-11-07-refined-times.txt</v>
      </c>
      <c r="AI110" s="96" t="str">
        <f t="shared" si="11"/>
        <v>echo {"issue":{"subject":"Onboard en route failure","project_id":79,"tracker_id":40,"status_id":1,"priority_id":2,"assigned_to_id":338,"start_date":"2017-11-07","description":"","custom_fields":[{"id":1,"name":"Subdivision","value":"EC"},{"id":4,"name":"Milepost","value":"0.0249"},{"id":17,"name":"Train ID","value":"196-07"},{"id":16,"name":"Locomotive ID","value":"4041"},{"id":130,"name":"Impact","value":""},{"id":150,"name":"Time of Event (Mountain Time)","value":"17:12:39"},{"id":151,"name":"Denver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2"/>
        <v>start /low /b %USERPROFILE%\Documents\GitHub\eaglep3\Utilities\DownloadLogsFromS3.py --loco 4041 --day 2017-11-07</v>
      </c>
      <c r="AN110" s="151" t="str">
        <f t="shared" si="13"/>
        <v>echo {"issue":{"subject":"Onboard en route failure","project_id":30,"tracker_id":4,"status_id":1,"priority_id":1,"assigned_to_id":10,"start_date":"2017-11-08","description":"","custom_fields":[{"id":30,"name":"Category","value":"Issue"},{"id":3,"name":"Functional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00:12:39"},{"id":29,"name":"Sharepoint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4"/>
        <v>https://d0f6bd738d7f1b3e5a7ca70fe4ff75f0.us-east-1.aws.found.io/app/kibana#/discover/Steve-Slow-Train-Analysis-(2080s-and-2083s)?_g=(refreshInterval:(display:Off,pause:!f,section:0,value:0),time:(from:'2017-11-07T15:43:45-0700',mode:absolute,to:'2017-11-07T18:12:39-0700'))&amp;_a=(columns:!('Message%20ID',Summary),filters:!(),index:'emp_*',interval:auto,query:(query_string:(analyze_wildcard:!t,query:'%22rtdc.l.rtdc.4041%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809</v>
      </c>
      <c r="B111" s="7">
        <v>4058</v>
      </c>
      <c r="C111" s="21" t="s">
        <v>192</v>
      </c>
      <c r="D111" s="21" t="s">
        <v>374</v>
      </c>
      <c r="E111" s="13">
        <v>43046.653668981482</v>
      </c>
      <c r="F111" s="13">
        <v>43046.656412037039</v>
      </c>
      <c r="G111" s="7">
        <v>87</v>
      </c>
      <c r="H111" s="21" t="s">
        <v>507</v>
      </c>
      <c r="I111" s="13">
        <v>43046.682986111111</v>
      </c>
      <c r="J111" s="7">
        <v>0</v>
      </c>
      <c r="K111" s="89" t="str">
        <f>IF(ISEVEN(B111),(B111-1)&amp;"/"&amp;B111,B111&amp;"/"&amp;(B111+1))</f>
        <v>4057/4058</v>
      </c>
      <c r="L111" s="185" t="str">
        <f>VLOOKUP(A111,'Trips&amp;Operators'!$C$1:$G$99911,5,FALSE)</f>
        <v>SAFIEF AEIMEN</v>
      </c>
      <c r="M111" s="6">
        <f>I111-F111</f>
        <v>2.6574074072414078E-2</v>
      </c>
      <c r="N111" s="7">
        <f>24*60*SUM($M111:$M111)</f>
        <v>38.266666664276272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-07T14:41:17-0700',mode:absolute,to:'2017-11-07T17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4.7699999999999999E-2</v>
      </c>
      <c r="Z111" s="204">
        <f>RIGHT(H111,LEN(H111)-4)/10000</f>
        <v>23.325700000000001</v>
      </c>
      <c r="AA111" s="204">
        <f>ABS(Z111-Y111)</f>
        <v>23.278000000000002</v>
      </c>
      <c r="AB111" s="54" t="e">
        <f>VLOOKUP(A111,Enforcements!$C$7:$K$10,8,0)</f>
        <v>#N/A</v>
      </c>
      <c r="AC111" s="51" t="e">
        <f>VLOOKUP(A111,Enforcements!$C$7:$E$10,3,0)</f>
        <v>#N/A</v>
      </c>
      <c r="AD111" s="179">
        <f>VALUE(LEFT(A111,LEN(A111)-3))</f>
        <v>197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s3://rtdc.mdm.uploadarchive.raw/RTDC4058/ "%USERPROFILE%\AppData\Local\Temp\OnboardLogs"\RTDC4058\2017-11-07 --exclude "*" --recursive --include "*20171107*" &amp; "%USERPROFILE%\Documents\GitHub\mrs-test-scripts\Headless Mode &amp; Sideloading\WalkAndUnGZ.bat" "%USERPROFILE%\AppData\Local\Temp\OnboardLogs"\RTDC4058\2017-11-07 &amp; aws s3 cp s3://rtdc.mdm.uploadarchive.raw/RTDC4058/ "%USERPROFILE%\AppData\Local\Temp\OnboardLogs"\RTDC4058\2017-11-08 --exclude "*" --recursive --include "*20171108*" &amp; "%USERPROFILE%\Documents\GitHub\mrs-test-scripts\Headless Mode &amp; Sideloading\WalkAndUnGZ.bat" "%USERPROFILE%\AppData\Local\Temp\OnboardLogs"\RTDC4058\2017-11-08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/stypes="app*4058*20171107*"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0"/>
        <v>"%USERPROFILE%\Documents\GitHub\eaglep3\Utilities\RefineRTDCRunTimes.py" --tripid 197-07 --locoid 4058 --swversion DE.1.0.9.0 --startMP 204:477 --initTime 2017-11-07T15:41:17 --startdatetime 2017-11-07T15:45:14 --delay 87 --endMP 204:233257 --enddatetime 2017-11-07T16:23:30 --enforcementcount 0 &gt;&gt;%USERPROFILE%\Documents\GitHub\eaglep3-reporting\EC\2017-11-07-refined-times.txt</v>
      </c>
      <c r="AI111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{"issue":{"subject":"","project_id":79,"tracker_id":40,"status_id":1,"priority_id":2,"assigned_to_id":338,"start_date":"2017-11-07","description":"","custom_fields":[{"id":1,"name":"Subdivision","value":"EC"},{"id":4,"name":"Milepost","value":"23.3257"},{"id":17,"name":"Train ID","value":"197-07"},{"id":16,"name":"Locomotive ID","value":"4058"},{"id":130,"name":"Impact","value":""},{"id":150,"name":"Time of Event (Mountain Time)","value":"16:23:30"},{"id":151,"name":"Denver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2"/>
        <v>start /low /b %USERPROFILE%\Documents\GitHub\eaglep3\Utilities\DownloadLogsFromS3.py --loco 4058 --day 2017-11-07</v>
      </c>
      <c r="AN111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4"/>
        <v>https://d0f6bd738d7f1b3e5a7ca70fe4ff75f0.us-east-1.aws.found.io/app/kibana#/discover/Steve-Slow-Train-Analysis-(2080s-and-2083s)?_g=(refreshInterval:(display:Off,pause:!f,section:0,value:0),time:(from:'2017-11-07T14:41:17-0700',mode:absolute,to:'2017-11-07T17:23:30-0700'))&amp;_a=(columns:!('Message%20ID',Summary),filters:!(),index:'emp_*',interval:auto,query:(query_string:(analyze_wildcard:!t,query:'%22rtdc.l.rtdc.4058%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819</v>
      </c>
      <c r="B112" s="7">
        <v>4057</v>
      </c>
      <c r="C112" s="21" t="s">
        <v>192</v>
      </c>
      <c r="D112" s="21" t="s">
        <v>517</v>
      </c>
      <c r="E112" s="13">
        <v>43046.685289351852</v>
      </c>
      <c r="F112" s="13">
        <v>43046.696168981478</v>
      </c>
      <c r="G112" s="7">
        <v>100</v>
      </c>
      <c r="H112" s="21" t="s">
        <v>956</v>
      </c>
      <c r="I112" s="13">
        <v>43046.722488425927</v>
      </c>
      <c r="J112" s="7">
        <v>0</v>
      </c>
      <c r="K112" s="89" t="str">
        <f>IF(ISEVEN(B112),(B112-1)&amp;"/"&amp;B112,B112&amp;"/"&amp;(B112+1))</f>
        <v>4057/4058</v>
      </c>
      <c r="L112" s="185" t="str">
        <f>VLOOKUP(A112,'Trips&amp;Operators'!$C$1:$G$99911,5,FALSE)</f>
        <v>SAFIEF AEIMEN</v>
      </c>
      <c r="M112" s="6">
        <f>I112-F112</f>
        <v>2.6319444448745344E-2</v>
      </c>
      <c r="N112" s="7">
        <f>24*60*SUM($M112:$M112)</f>
        <v>37.900000006193295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-07T15:26:49-0700',mode:absolute,to:'2017-11-07T18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23.293800000000001</v>
      </c>
      <c r="Z112" s="204">
        <f>RIGHT(H112,LEN(H112)-4)/10000</f>
        <v>1.9599999999999999E-2</v>
      </c>
      <c r="AA112" s="204">
        <f>ABS(Z112-Y112)</f>
        <v>23.2742</v>
      </c>
      <c r="AB112" s="54" t="e">
        <f>VLOOKUP(A112,Enforcements!$C$7:$K$10,8,0)</f>
        <v>#N/A</v>
      </c>
      <c r="AC112" s="51" t="e">
        <f>VLOOKUP(A112,Enforcements!$C$7:$E$10,3,0)</f>
        <v>#N/A</v>
      </c>
      <c r="AD112" s="179">
        <f>VALUE(LEFT(A112,LEN(A112)-3))</f>
        <v>198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s3://rtdc.mdm.uploadarchive.raw/RTDC4057/ "%USERPROFILE%\AppData\Local\Temp\OnboardLogs"\RTDC4057\2017-11-07 --exclude "*" --recursive --include "*20171107*" &amp; "%USERPROFILE%\Documents\GitHub\mrs-test-scripts\Headless Mode &amp; Sideloading\WalkAndUnGZ.bat" "%USERPROFILE%\AppData\Local\Temp\OnboardLogs"\RTDC4057\2017-11-07 &amp; aws s3 cp s3://rtdc.mdm.uploadarchive.raw/RTDC4057/ "%USERPROFILE%\AppData\Local\Temp\OnboardLogs"\RTDC4057\2017-11-08 --exclude "*" --recursive --include "*20171108*" &amp; "%USERPROFILE%\Documents\GitHub\mrs-test-scripts\Headless Mode &amp; Sideloading\WalkAndUnGZ.bat" "%USERPROFILE%\AppData\Local\Temp\OnboardLogs"\RTDC4057\2017-11-08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/stypes="app*4057*20171108*" /stext=" 00:.+((SYSTEM_STATE.+slice.+state.+changed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0"/>
        <v>"%USERPROFILE%\Documents\GitHub\eaglep3\Utilities\RefineRTDCRunTimes.py" --tripid 198-07 --locoid 4057 --swversion DE.1.0.9.0 --startMP 204:232938 --initTime 2017-11-07T16:26:49 --startdatetime 2017-11-07T16:42:29 --delay 100 --endMP 204:196 --enddatetime 2017-11-07T17:20:23 --enforcementcount 0 &gt;&gt;%USERPROFILE%\Documents\GitHub\eaglep3-reporting\EC\2017-11-07-refined-times.txt</v>
      </c>
      <c r="AI112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{"issue":{"subject":"","project_id":79,"tracker_id":40,"status_id":1,"priority_id":2,"assigned_to_id":338,"start_date":"2017-11-07","description":"","custom_fields":[{"id":1,"name":"Subdivision","value":"EC"},{"id":4,"name":"Milepost","value":"0.0196"},{"id":17,"name":"Train ID","value":"198-07"},{"id":16,"name":"Locomotive ID","value":"4057"},{"id":130,"name":"Impact","value":""},{"id":150,"name":"Time of Event (Mountain Time)","value":"17:20:23"},{"id":151,"name":"Denver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2"/>
        <v>start /low /b %USERPROFILE%\Documents\GitHub\eaglep3\Utilities\DownloadLogsFromS3.py --loco 4057 --day 2017-11-07</v>
      </c>
      <c r="AN112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4"/>
        <v>https://d0f6bd738d7f1b3e5a7ca70fe4ff75f0.us-east-1.aws.found.io/app/kibana#/discover/Steve-Slow-Train-Analysis-(2080s-and-2083s)?_g=(refreshInterval:(display:Off,pause:!f,section:0,value:0),time:(from:'2017-11-07T15:26:49-0700',mode:absolute,to:'2017-11-07T18:20:23-0700'))&amp;_a=(columns:!('Message%20ID',Summary),filters:!(),index:'emp_*',interval:auto,query:(query_string:(analyze_wildcard:!t,query:'%22rtdc.l.rtdc.4057%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813</v>
      </c>
      <c r="B113" s="7">
        <v>4064</v>
      </c>
      <c r="C113" s="21" t="s">
        <v>192</v>
      </c>
      <c r="D113" s="21" t="s">
        <v>597</v>
      </c>
      <c r="E113" s="13">
        <v>43046.665277777778</v>
      </c>
      <c r="F113" s="13">
        <v>43046.667118055557</v>
      </c>
      <c r="G113" s="7">
        <v>60</v>
      </c>
      <c r="H113" s="21" t="s">
        <v>960</v>
      </c>
      <c r="I113" s="13">
        <v>43046.694675925923</v>
      </c>
      <c r="J113" s="7">
        <v>0</v>
      </c>
      <c r="K113" s="89" t="str">
        <f>IF(ISEVEN(B113),(B113-1)&amp;"/"&amp;B113,B113&amp;"/"&amp;(B113+1))</f>
        <v>4063/4064</v>
      </c>
      <c r="L113" s="185" t="str">
        <f>VLOOKUP(A113,'Trips&amp;Operators'!$C$1:$G$99911,5,FALSE)</f>
        <v>DAVIS MICHAEL</v>
      </c>
      <c r="M113" s="6">
        <f>I113-F113</f>
        <v>2.7557870365853887E-2</v>
      </c>
      <c r="N113" s="7">
        <f>24*60*SUM($M113:$M113)</f>
        <v>39.683333326829597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-07T14:58:00-0700',mode:absolute,to:'2017-11-07T17:40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5.0900000000000001E-2</v>
      </c>
      <c r="Z113" s="204">
        <f>RIGHT(H113,LEN(H113)-4)/10000</f>
        <v>23.331</v>
      </c>
      <c r="AA113" s="204">
        <f>ABS(Z113-Y113)</f>
        <v>23.280100000000001</v>
      </c>
      <c r="AB113" s="54" t="e">
        <f>VLOOKUP(A113,Enforcements!$C$7:$K$10,8,0)</f>
        <v>#N/A</v>
      </c>
      <c r="AC113" s="51" t="e">
        <f>VLOOKUP(A113,Enforcements!$C$7:$E$10,3,0)</f>
        <v>#N/A</v>
      </c>
      <c r="AD113" s="179">
        <f>VALUE(LEFT(A113,LEN(A113)-3))</f>
        <v>199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/stypes="app*4064*20171107*"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0"/>
        <v>"%USERPROFILE%\Documents\GitHub\eaglep3\Utilities\RefineRTDCRunTimes.py" --tripid 199-07 --locoid 4064 --swversion DE.1.0.9.0 --startMP 204:509 --initTime 2017-11-07T15:58:00 --startdatetime 2017-11-07T16:00:39 --delay 60 --endMP 204:233310 --enddatetime 2017-11-07T16:40:20 --enforcementcount 0 &gt;&gt;%USERPROFILE%\Documents\GitHub\eaglep3-reporting\EC\2017-11-07-refined-times.txt</v>
      </c>
      <c r="AI113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{"issue":{"subject":"","project_id":79,"tracker_id":40,"status_id":1,"priority_id":2,"assigned_to_id":338,"start_date":"2017-11-07","description":"","custom_fields":[{"id":1,"name":"Subdivision","value":"EC"},{"id":4,"name":"Milepost","value":"23.331"},{"id":17,"name":"Train ID","value":"199-07"},{"id":16,"name":"Locomotive ID","value":"4064"},{"id":130,"name":"Impact","value":""},{"id":150,"name":"Time of Event (Mountain Time)","value":"16:40:20"},{"id":151,"name":"Denver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2"/>
        <v>start /low /b %USERPROFILE%\Documents\GitHub\eaglep3\Utilities\DownloadLogsFromS3.py --loco 4064 --day 2017-11-07</v>
      </c>
      <c r="AN113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4"/>
        <v>https://d0f6bd738d7f1b3e5a7ca70fe4ff75f0.us-east-1.aws.found.io/app/kibana#/discover/Steve-Slow-Train-Analysis-(2080s-and-2083s)?_g=(refreshInterval:(display:Off,pause:!f,section:0,value:0),time:(from:'2017-11-07T14:58:00-0700',mode:absolute,to:'2017-11-07T17:40:20-0700'))&amp;_a=(columns:!('Message%20ID',Summary),filters:!(),index:'emp_*',interval:auto,query:(query_string:(analyze_wildcard:!t,query:'%22rtdc.l.rtdc.4064%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824</v>
      </c>
      <c r="B114" s="7">
        <v>4063</v>
      </c>
      <c r="C114" s="21" t="s">
        <v>192</v>
      </c>
      <c r="D114" s="21" t="s">
        <v>498</v>
      </c>
      <c r="E114" s="13">
        <v>43046.704212962963</v>
      </c>
      <c r="F114" s="13">
        <v>43046.706643518519</v>
      </c>
      <c r="G114" s="7">
        <v>75</v>
      </c>
      <c r="H114" s="21" t="s">
        <v>501</v>
      </c>
      <c r="I114" s="13">
        <v>43046.736400462964</v>
      </c>
      <c r="J114" s="7">
        <v>0</v>
      </c>
      <c r="K114" s="89" t="str">
        <f>IF(ISEVEN(B114),(B114-1)&amp;"/"&amp;B114,B114&amp;"/"&amp;(B114+1))</f>
        <v>4063/4064</v>
      </c>
      <c r="L114" s="185" t="str">
        <f>VLOOKUP(A114,'Trips&amp;Operators'!$C$1:$G$99911,5,FALSE)</f>
        <v>DAVIS MICHAEL</v>
      </c>
      <c r="M114" s="6">
        <f>I114-F114</f>
        <v>2.9756944444670808E-2</v>
      </c>
      <c r="N114" s="7">
        <f>24*60*SUM($M114:$M114)</f>
        <v>42.850000000325963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-07T15:54:04-0700',mode:absolute,to:'2017-11-07T18:40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23.296399999999998</v>
      </c>
      <c r="Z114" s="204">
        <f>RIGHT(H114,LEN(H114)-4)/10000</f>
        <v>2.0500000000000001E-2</v>
      </c>
      <c r="AA114" s="204">
        <f>ABS(Z114-Y114)</f>
        <v>23.2759</v>
      </c>
      <c r="AB114" s="54" t="e">
        <f>VLOOKUP(A114,Enforcements!$C$7:$K$10,8,0)</f>
        <v>#N/A</v>
      </c>
      <c r="AC114" s="51" t="e">
        <f>VLOOKUP(A114,Enforcements!$C$7:$E$10,3,0)</f>
        <v>#N/A</v>
      </c>
      <c r="AD114" s="179">
        <f>VALUE(LEFT(A114,LEN(A114)-3))</f>
        <v>200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/stypes="app*4063*20171108*" /stext=" 00:.+((SYSTEM_STATE.+slice.+state.+changed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0"/>
        <v>"%USERPROFILE%\Documents\GitHub\eaglep3\Utilities\RefineRTDCRunTimes.py" --tripid 200-07 --locoid 4063 --swversion DE.1.0.9.0 --startMP 204:232964 --initTime 2017-11-07T16:54:04 --startdatetime 2017-11-07T16:57:34 --delay 75 --endMP 204:205 --enddatetime 2017-11-07T17:40:25 --enforcementcount 0 &gt;&gt;%USERPROFILE%\Documents\GitHub\eaglep3-reporting\EC\2017-11-07-refined-times.txt</v>
      </c>
      <c r="AI114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{"issue":{"subject":"","project_id":79,"tracker_id":40,"status_id":1,"priority_id":2,"assigned_to_id":338,"start_date":"2017-11-07","description":"","custom_fields":[{"id":1,"name":"Subdivision","value":"EC"},{"id":4,"name":"Milepost","value":"0.0205"},{"id":17,"name":"Train ID","value":"200-07"},{"id":16,"name":"Locomotive ID","value":"4063"},{"id":130,"name":"Impact","value":""},{"id":150,"name":"Time of Event (Mountain Time)","value":"17:40:25"},{"id":151,"name":"Denver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2"/>
        <v>start /low /b %USERPROFILE%\Documents\GitHub\eaglep3\Utilities\DownloadLogsFromS3.py --loco 4063 --day 2017-11-07</v>
      </c>
      <c r="AN114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4"/>
        <v>https://d0f6bd738d7f1b3e5a7ca70fe4ff75f0.us-east-1.aws.found.io/app/kibana#/discover/Steve-Slow-Train-Analysis-(2080s-and-2083s)?_g=(refreshInterval:(display:Off,pause:!f,section:0,value:0),time:(from:'2017-11-07T15:54:04-0700',mode:absolute,to:'2017-11-07T18:40:25-0700'))&amp;_a=(columns:!('Message%20ID',Summary),filters:!(),index:'emp_*',interval:auto,query:(query_string:(analyze_wildcard:!t,query:'%22rtdc.l.rtdc.4063%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815</v>
      </c>
      <c r="B115" s="7">
        <v>4040</v>
      </c>
      <c r="C115" s="21" t="s">
        <v>192</v>
      </c>
      <c r="D115" s="21" t="s">
        <v>611</v>
      </c>
      <c r="E115" s="13">
        <v>43046.672129629631</v>
      </c>
      <c r="F115" s="13">
        <v>43046.677291666667</v>
      </c>
      <c r="G115" s="7">
        <v>52</v>
      </c>
      <c r="H115" s="21" t="s">
        <v>471</v>
      </c>
      <c r="I115" s="13">
        <v>43046.703148148146</v>
      </c>
      <c r="J115" s="7">
        <v>0</v>
      </c>
      <c r="K115" s="89" t="str">
        <f>IF(ISEVEN(B115),(B115-1)&amp;"/"&amp;B115,B115&amp;"/"&amp;(B115+1))</f>
        <v>4039/4040</v>
      </c>
      <c r="L115" s="185" t="str">
        <f>VLOOKUP(A115,'Trips&amp;Operators'!$C$1:$G$99911,5,FALSE)</f>
        <v>SMITH MICHAEL</v>
      </c>
      <c r="M115" s="6">
        <f>I115-F115</f>
        <v>2.5856481479422655E-2</v>
      </c>
      <c r="N115" s="7">
        <f>24*60*SUM($M115:$M115)</f>
        <v>37.233333330368623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-07T15:07:52-0700',mode:absolute,to:'2017-11-07T17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5.4199999999999998E-2</v>
      </c>
      <c r="Z115" s="204">
        <f>RIGHT(H115,LEN(H115)-4)/10000</f>
        <v>23.329699999999999</v>
      </c>
      <c r="AA115" s="204">
        <f>ABS(Z115-Y115)</f>
        <v>23.275499999999997</v>
      </c>
      <c r="AB115" s="54" t="e">
        <f>VLOOKUP(A115,Enforcements!$C$7:$K$10,8,0)</f>
        <v>#N/A</v>
      </c>
      <c r="AC115" s="51" t="e">
        <f>VLOOKUP(A115,Enforcements!$C$7:$E$10,3,0)</f>
        <v>#N/A</v>
      </c>
      <c r="AD115" s="179">
        <f>VALUE(LEFT(A115,LEN(A115)-3))</f>
        <v>201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s3://rtdc.mdm.uploadarchive.raw/RTDC4040/ "%USERPROFILE%\AppData\Local\Temp\OnboardLogs"\RTDC4040\2017-11-07 --exclude "*" --recursive --include "*20171107*" &amp; "%USERPROFILE%\Documents\GitHub\mrs-test-scripts\Headless Mode &amp; Sideloading\WalkAndUnGZ.bat" "%USERPROFILE%\AppData\Local\Temp\OnboardLogs"\RTDC4040\2017-11-07 &amp; aws s3 cp s3://rtdc.mdm.uploadarchive.raw/RTDC4040/ "%USERPROFILE%\AppData\Local\Temp\OnboardLogs"\RTDC4040\2017-11-08 --exclude "*" --recursive --include "*20171108*" &amp; "%USERPROFILE%\Documents\GitHub\mrs-test-scripts\Headless Mode &amp; Sideloading\WalkAndUnGZ.bat" "%USERPROFILE%\AppData\Local\Temp\OnboardLogs"\RTDC4040\2017-11-08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/stypes="app*4040*20171107*"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0"/>
        <v>"%USERPROFILE%\Documents\GitHub\eaglep3\Utilities\RefineRTDCRunTimes.py" --tripid 201-07 --locoid 4040 --swversion DE.1.0.9.0 --startMP 204:542 --initTime 2017-11-07T16:07:52 --startdatetime 2017-11-07T16:15:18 --delay 52 --endMP 204:233297 --enddatetime 2017-11-07T16:52:32 --enforcementcount 0 &gt;&gt;%USERPROFILE%\Documents\GitHub\eaglep3-reporting\EC\2017-11-07-refined-times.txt</v>
      </c>
      <c r="AI115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{"issue":{"subject":"","project_id":79,"tracker_id":40,"status_id":1,"priority_id":2,"assigned_to_id":338,"start_date":"2017-11-07","description":"","custom_fields":[{"id":1,"name":"Subdivision","value":"EC"},{"id":4,"name":"Milepost","value":"23.3297"},{"id":17,"name":"Train ID","value":"201-07"},{"id":16,"name":"Locomotive ID","value":"4040"},{"id":130,"name":"Impact","value":""},{"id":150,"name":"Time of Event (Mountain Time)","value":"16:52:32"},{"id":151,"name":"Denver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2"/>
        <v>start /low /b %USERPROFILE%\Documents\GitHub\eaglep3\Utilities\DownloadLogsFromS3.py --loco 4040 --day 2017-11-07</v>
      </c>
      <c r="AN115" s="151" t="str">
        <f t="shared" si="13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4"/>
        <v>https://d0f6bd738d7f1b3e5a7ca70fe4ff75f0.us-east-1.aws.found.io/app/kibana#/discover/Steve-Slow-Train-Analysis-(2080s-and-2083s)?_g=(refreshInterval:(display:Off,pause:!f,section:0,value:0),time:(from:'2017-11-07T15:07:52-0700',mode:absolute,to:'2017-11-07T17:52:32-0700'))&amp;_a=(columns:!('Message%20ID',Summary),filters:!(),index:'emp_*',interval:auto,query:(query_string:(analyze_wildcard:!t,query:'%22rtdc.l.rtdc.4040%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827</v>
      </c>
      <c r="B116" s="7">
        <v>4039</v>
      </c>
      <c r="C116" s="21" t="s">
        <v>192</v>
      </c>
      <c r="D116" s="21" t="s">
        <v>961</v>
      </c>
      <c r="E116" s="13">
        <v>43046.709108796298</v>
      </c>
      <c r="F116" s="13">
        <v>43046.716979166667</v>
      </c>
      <c r="G116" s="7">
        <v>57</v>
      </c>
      <c r="H116" s="21" t="s">
        <v>506</v>
      </c>
      <c r="I116" s="13">
        <v>43046.743437500001</v>
      </c>
      <c r="J116" s="7">
        <v>0</v>
      </c>
      <c r="K116" s="89" t="str">
        <f>IF(ISEVEN(B116),(B116-1)&amp;"/"&amp;B116,B116&amp;"/"&amp;(B116+1))</f>
        <v>4039/4040</v>
      </c>
      <c r="L116" s="185" t="str">
        <f>VLOOKUP(A116,'Trips&amp;Operators'!$C$1:$G$99911,5,FALSE)</f>
        <v>SMITH MICHAEL</v>
      </c>
      <c r="M116" s="6">
        <f>I116-F116</f>
        <v>2.6458333333721384E-2</v>
      </c>
      <c r="N116" s="7">
        <f>24*60*SUM($M116:$M116)</f>
        <v>38.100000000558794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-07T16:01:07-0700',mode:absolute,to:'2017-11-07T18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23.2986</v>
      </c>
      <c r="Z116" s="204">
        <f>RIGHT(H116,LEN(H116)-4)/10000</f>
        <v>2.07E-2</v>
      </c>
      <c r="AA116" s="204">
        <f>ABS(Z116-Y116)</f>
        <v>23.277899999999999</v>
      </c>
      <c r="AB116" s="54" t="e">
        <f>VLOOKUP(A116,Enforcements!$C$7:$K$10,8,0)</f>
        <v>#N/A</v>
      </c>
      <c r="AC116" s="51" t="e">
        <f>VLOOKUP(A116,Enforcements!$C$7:$E$10,3,0)</f>
        <v>#N/A</v>
      </c>
      <c r="AD116" s="179">
        <f>VALUE(LEFT(A116,LEN(A116)-3))</f>
        <v>202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s3://rtdc.mdm.uploadarchive.raw/RTDC4039/ "%USERPROFILE%\AppData\Local\Temp\OnboardLogs"\RTDC4039\2017-11-07 --exclude "*" --recursive --include "*20171107*" &amp; "%USERPROFILE%\Documents\GitHub\mrs-test-scripts\Headless Mode &amp; Sideloading\WalkAndUnGZ.bat" "%USERPROFILE%\AppData\Local\Temp\OnboardLogs"\RTDC4039\2017-11-07 &amp; aws s3 cp s3://rtdc.mdm.uploadarchive.raw/RTDC4039/ "%USERPROFILE%\AppData\Local\Temp\OnboardLogs"\RTDC4039\2017-11-08 --exclude "*" --recursive --include "*20171108*" &amp; "%USERPROFILE%\Documents\GitHub\mrs-test-scripts\Headless Mode &amp; Sideloading\WalkAndUnGZ.bat" "%USERPROFILE%\AppData\Local\Temp\OnboardLogs"\RTDC4039\2017-11-08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/stypes="app*4039*20171108*" /stext=" 00:.+((SYSTEM_STATE.+slice.+state.+changed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0"/>
        <v>"%USERPROFILE%\Documents\GitHub\eaglep3\Utilities\RefineRTDCRunTimes.py" --tripid 202-07 --locoid 4039 --swversion DE.1.0.9.0 --startMP 204:232986 --initTime 2017-11-07T17:01:07 --startdatetime 2017-11-07T17:12:27 --delay 57 --endMP 204:207 --enddatetime 2017-11-07T17:50:33 --enforcementcount 0 &gt;&gt;%USERPROFILE%\Documents\GitHub\eaglep3-reporting\EC\2017-11-07-refined-times.txt</v>
      </c>
      <c r="AI116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{"issue":{"subject":"","project_id":79,"tracker_id":40,"status_id":1,"priority_id":2,"assigned_to_id":338,"start_date":"2017-11-07","description":"","custom_fields":[{"id":1,"name":"Subdivision","value":"EC"},{"id":4,"name":"Milepost","value":"0.0207"},{"id":17,"name":"Train ID","value":"202-07"},{"id":16,"name":"Locomotive ID","value":"4039"},{"id":130,"name":"Impact","value":""},{"id":150,"name":"Time of Event (Mountain Time)","value":"17:50:33"},{"id":151,"name":"Denver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2"/>
        <v>start /low /b %USERPROFILE%\Documents\GitHub\eaglep3\Utilities\DownloadLogsFromS3.py --loco 4039 --day 2017-11-07</v>
      </c>
      <c r="AN116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4"/>
        <v>https://d0f6bd738d7f1b3e5a7ca70fe4ff75f0.us-east-1.aws.found.io/app/kibana#/discover/Steve-Slow-Train-Analysis-(2080s-and-2083s)?_g=(refreshInterval:(display:Off,pause:!f,section:0,value:0),time:(from:'2017-11-07T16:01:07-0700',mode:absolute,to:'2017-11-07T18:50:33-0700'))&amp;_a=(columns:!('Message%20ID',Summary),filters:!(),index:'emp_*',interval:auto,query:(query_string:(analyze_wildcard:!t,query:'%22rtdc.l.rtdc.4039%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817</v>
      </c>
      <c r="B117" s="7">
        <v>4008</v>
      </c>
      <c r="C117" s="21" t="s">
        <v>192</v>
      </c>
      <c r="D117" s="21" t="s">
        <v>607</v>
      </c>
      <c r="E117" s="13">
        <v>43046.683680555558</v>
      </c>
      <c r="F117" s="13">
        <v>43046.687673611108</v>
      </c>
      <c r="G117" s="7">
        <v>64</v>
      </c>
      <c r="H117" s="21" t="s">
        <v>962</v>
      </c>
      <c r="I117" s="13">
        <v>43046.713310185187</v>
      </c>
      <c r="J117" s="7">
        <v>0</v>
      </c>
      <c r="K117" s="89" t="str">
        <f>IF(ISEVEN(B117),(B117-1)&amp;"/"&amp;B117,B117&amp;"/"&amp;(B117+1))</f>
        <v>4007/4008</v>
      </c>
      <c r="L117" s="185" t="str">
        <f>VLOOKUP(A117,'Trips&amp;Operators'!$C$1:$G$99911,5,FALSE)</f>
        <v>BRUDER RICHARD</v>
      </c>
      <c r="M117" s="6">
        <f>I117-F117</f>
        <v>2.5636574078816921E-2</v>
      </c>
      <c r="N117" s="7">
        <f>24*60*SUM($M117:$M117)</f>
        <v>36.916666673496366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-07T15:24:30-0700',mode:absolute,to:'2017-11-07T18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5.4399999999999997E-2</v>
      </c>
      <c r="Z117" s="204">
        <f>RIGHT(H117,LEN(H117)-4)/10000</f>
        <v>23.322500000000002</v>
      </c>
      <c r="AA117" s="204">
        <f>ABS(Z117-Y117)</f>
        <v>23.2681</v>
      </c>
      <c r="AB117" s="54" t="e">
        <f>VLOOKUP(A117,Enforcements!$C$7:$K$10,8,0)</f>
        <v>#N/A</v>
      </c>
      <c r="AC117" s="51" t="e">
        <f>VLOOKUP(A117,Enforcements!$C$7:$E$10,3,0)</f>
        <v>#N/A</v>
      </c>
      <c r="AD117" s="179">
        <f>VALUE(LEFT(A117,LEN(A117)-3))</f>
        <v>203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/stypes="app*4008*20171108*"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0"/>
        <v>"%USERPROFILE%\Documents\GitHub\eaglep3\Utilities\RefineRTDCRunTimes.py" --tripid 203-07 --locoid 4008 --swversion DE.1.0.9.0 --startMP 204:544 --initTime 2017-11-07T16:24:30 --startdatetime 2017-11-07T16:30:15 --delay 64 --endMP 204:233225 --enddatetime 2017-11-07T17:07:10 --enforcementcount 0 &gt;&gt;%USERPROFILE%\Documents\GitHub\eaglep3-reporting\EC\2017-11-07-refined-times.txt</v>
      </c>
      <c r="AI117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{"issue":{"subject":"","project_id":79,"tracker_id":40,"status_id":1,"priority_id":2,"assigned_to_id":338,"start_date":"2017-11-07","description":"","custom_fields":[{"id":1,"name":"Subdivision","value":"EC"},{"id":4,"name":"Milepost","value":"23.3225"},{"id":17,"name":"Train ID","value":"203-07"},{"id":16,"name":"Locomotive ID","value":"4008"},{"id":130,"name":"Impact","value":""},{"id":150,"name":"Time of Event (Mountain Time)","value":"17:07:10"},{"id":151,"name":"Denver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2"/>
        <v>start /low /b %USERPROFILE%\Documents\GitHub\eaglep3\Utilities\DownloadLogsFromS3.py --loco 4008 --day 2017-11-07</v>
      </c>
      <c r="AN117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4"/>
        <v>https://d0f6bd738d7f1b3e5a7ca70fe4ff75f0.us-east-1.aws.found.io/app/kibana#/discover/Steve-Slow-Train-Analysis-(2080s-and-2083s)?_g=(refreshInterval:(display:Off,pause:!f,section:0,value:0),time:(from:'2017-11-07T15:24:30-0700',mode:absolute,to:'2017-11-07T18:07:10-0700'))&amp;_a=(columns:!('Message%20ID',Summary),filters:!(),index:'emp_*',interval:auto,query:(query_string:(analyze_wildcard:!t,query:'%22rtdc.l.rtdc.4008%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830</v>
      </c>
      <c r="B118" s="7">
        <v>4007</v>
      </c>
      <c r="C118" s="21" t="s">
        <v>192</v>
      </c>
      <c r="D118" s="21" t="s">
        <v>607</v>
      </c>
      <c r="E118" s="13">
        <v>43046.683680555558</v>
      </c>
      <c r="F118" s="13">
        <v>43046.727280092593</v>
      </c>
      <c r="G118" s="7">
        <v>64</v>
      </c>
      <c r="H118" s="21" t="s">
        <v>962</v>
      </c>
      <c r="I118" s="13">
        <v>43046.754155092596</v>
      </c>
      <c r="J118" s="7">
        <v>0</v>
      </c>
      <c r="K118" s="89" t="str">
        <f>IF(ISEVEN(B118),(B118-1)&amp;"/"&amp;B118,B118&amp;"/"&amp;(B118+1))</f>
        <v>4007/4008</v>
      </c>
      <c r="L118" s="185" t="str">
        <f>VLOOKUP(A118,'Trips&amp;Operators'!$C$1:$G$99911,5,FALSE)</f>
        <v>BRUDER RICHARD</v>
      </c>
      <c r="M118" s="6">
        <f>I118-F118</f>
        <v>2.6875000003201421E-2</v>
      </c>
      <c r="N118" s="7">
        <f>24*60*SUM($M118:$M118)</f>
        <v>38.700000004610047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-07T15:24:30-0700',mode:absolute,to:'2017-11-07T19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v>23.2986</v>
      </c>
      <c r="Z118" s="204">
        <v>2.07E-2</v>
      </c>
      <c r="AA118" s="204">
        <f>ABS(Z118-Y118)</f>
        <v>23.277899999999999</v>
      </c>
      <c r="AB118" s="54" t="e">
        <f>VLOOKUP(A118,Enforcements!$C$7:$K$10,8,0)</f>
        <v>#N/A</v>
      </c>
      <c r="AC118" s="51" t="e">
        <f>VLOOKUP(A118,Enforcements!$C$7:$E$10,3,0)</f>
        <v>#N/A</v>
      </c>
      <c r="AD118" s="179">
        <f>VALUE(LEFT(A118,LEN(A118)-3))</f>
        <v>204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/stypes="app*4007*20171108*" /stext=" 01:.+((SYSTEM_STATE.+slice.+state.+changed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ref="AH118" si="26"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204-07 --locoid 4007 --swversion DE.1.0.9.0 --startMP 204:544 --initTime 2017-11-07T16:24:30 --startdatetime 2017-11-07T17:27:17 --delay 64 --endMP 204:233225 --enddatetime 2017-11-07T18:05:59 --enforcementcount 0 &gt;&gt;%USERPROFILE%\Documents\GitHub\eaglep3-reporting\EC\2017-11-07-refined-times.txt</v>
      </c>
      <c r="AI118" s="96" t="str">
        <f t="shared" ref="AI118" si="27"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{"issue":{"subject":"","project_id":79,"tracker_id":40,"status_id":1,"priority_id":2,"assigned_to_id":338,"start_date":"2017-11-07","description":"","custom_fields":[{"id":1,"name":"Subdivision","value":"EC"},{"id":4,"name":"Milepost","value":"0.0207"},{"id":17,"name":"Train ID","value":"204-07"},{"id":16,"name":"Locomotive ID","value":"4007"},{"id":130,"name":"Impact","value":""},{"id":150,"name":"Time of Event (Mountain Time)","value":"18:05:59"},{"id":151,"name":"Denver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ref="AM118" si="28">"start /low /b "&amp;dls3logs&amp;" --loco "&amp;B118&amp;" --day "&amp;TEXT(F118,"YYYY-MM-DD")</f>
        <v>start /low /b %USERPROFILE%\Documents\GitHub\eaglep3\Utilities\DownloadLogsFromS3.py --loco 4007 --day 2017-11-07</v>
      </c>
      <c r="AN118" s="151" t="str">
        <f t="shared" ref="AN118" si="29"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ref="AO118" si="30"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-07T15:24:30-0700',mode:absolute,to:'2017-11-07T19:05:59-0700'))&amp;_a=(columns:!('Message%20ID',Summary),filters:!(),index:'emp_*',interval:auto,query:(query_string:(analyze_wildcard:!t,query:'%22rtdc.l.rtdc.4007%22')),sort:!(Time.ISO8601,asc))</v>
      </c>
    </row>
    <row r="119" spans="1:91" s="20" customFormat="1" x14ac:dyDescent="0.3">
      <c r="A119" s="32" t="s">
        <v>822</v>
      </c>
      <c r="B119" s="7">
        <v>4022</v>
      </c>
      <c r="C119" s="21" t="s">
        <v>192</v>
      </c>
      <c r="D119" s="21" t="s">
        <v>963</v>
      </c>
      <c r="E119" s="13">
        <v>43046.695775462962</v>
      </c>
      <c r="F119" s="13">
        <v>43046.698182870372</v>
      </c>
      <c r="G119" s="7">
        <v>82</v>
      </c>
      <c r="H119" s="21" t="s">
        <v>964</v>
      </c>
      <c r="I119" s="13">
        <v>43046.724131944444</v>
      </c>
      <c r="J119" s="7">
        <v>0</v>
      </c>
      <c r="K119" s="89" t="str">
        <f>IF(ISEVEN(B119),(B119-1)&amp;"/"&amp;B119,B119&amp;"/"&amp;(B119+1))</f>
        <v>4021/4022</v>
      </c>
      <c r="L119" s="185" t="str">
        <f>VLOOKUP(A119,'Trips&amp;Operators'!$C$1:$G$99911,5,FALSE)</f>
        <v>STEWART MICHAEL</v>
      </c>
      <c r="M119" s="6">
        <f>I119-F119</f>
        <v>2.5949074071832001E-2</v>
      </c>
      <c r="N119" s="7">
        <f>24*60*SUM($M119:$M119)</f>
        <v>37.366666663438082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-07T15:41:55-0700',mode:absolute,to:'2017-11-07T18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204" t="str">
        <f>IF(AA119&lt;VLOOKUP(AG119,Variables!$AC$3:$AD$8,2,FALSE),"Y","N")</f>
        <v>N</v>
      </c>
      <c r="X119" s="204">
        <f t="shared" ref="X119:X120" si="31">VALUE(LEFT(AD119,4))-VALUE(LEFT(AD118,4))</f>
        <v>1</v>
      </c>
      <c r="Y119" s="204">
        <f>RIGHT(D119,LEN(D119)-4)/10000</f>
        <v>6.0400000000000002E-2</v>
      </c>
      <c r="Z119" s="204">
        <f>RIGHT(H119,LEN(H119)-4)/10000</f>
        <v>23.3203</v>
      </c>
      <c r="AA119" s="204">
        <f>ABS(Z119-Y119)</f>
        <v>23.259899999999998</v>
      </c>
      <c r="AB119" s="54" t="e">
        <f>VLOOKUP(A119,Enforcements!$C$7:$K$10,8,0)</f>
        <v>#N/A</v>
      </c>
      <c r="AC119" s="51" t="e">
        <f>VLOOKUP(A119,Enforcements!$C$7:$E$10,3,0)</f>
        <v>#N/A</v>
      </c>
      <c r="AD119" s="179">
        <f>VALUE(LEFT(A119,LEN(A119)-3))</f>
        <v>205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s3://rtdc.mdm.uploadarchive.raw/RTDC4022/ "%USERPROFILE%\AppData\Local\Temp\OnboardLogs"\RTDC4022\2017-11-07 --exclude "*" --recursive --include "*20171107*" &amp; "%USERPROFILE%\Documents\GitHub\mrs-test-scripts\Headless Mode &amp; Sideloading\WalkAndUnGZ.bat" "%USERPROFILE%\AppData\Local\Temp\OnboardLogs"\RTDC4022\2017-11-07 &amp; aws s3 cp s3://rtdc.mdm.uploadarchive.raw/RTDC4022/ "%USERPROFILE%\AppData\Local\Temp\OnboardLogs"\RTDC4022\2017-11-08 --exclude "*" --recursive --include "*20171108*" &amp; "%USERPROFILE%\Documents\GitHub\mrs-test-scripts\Headless Mode &amp; Sideloading\WalkAndUnGZ.bat" "%USERPROFILE%\AppData\Local\Temp\OnboardLogs"\RTDC4022\2017-11-08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/stypes="app*4022*20171108*"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0"/>
        <v>"%USERPROFILE%\Documents\GitHub\eaglep3\Utilities\RefineRTDCRunTimes.py" --tripid 205-07 --locoid 4022 --swversion DE.1.0.9.0 --startMP 204:604 --initTime 2017-11-07T16:41:55 --startdatetime 2017-11-07T16:45:23 --delay 82 --endMP 204:233203 --enddatetime 2017-11-07T17:22:45 --enforcementcount 0 &gt;&gt;%USERPROFILE%\Documents\GitHub\eaglep3-reporting\EC\2017-11-07-refined-times.txt</v>
      </c>
      <c r="AI119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{"issue":{"subject":"","project_id":79,"tracker_id":40,"status_id":1,"priority_id":2,"assigned_to_id":338,"start_date":"2017-11-07","description":"","custom_fields":[{"id":1,"name":"Subdivision","value":"EC"},{"id":4,"name":"Milepost","value":"23.3203"},{"id":17,"name":"Train ID","value":"205-07"},{"id":16,"name":"Locomotive ID","value":"4022"},{"id":130,"name":"Impact","value":""},{"id":150,"name":"Time of Event (Mountain Time)","value":"17:22:45"},{"id":151,"name":"Denver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2"/>
        <v>start /low /b %USERPROFILE%\Documents\GitHub\eaglep3\Utilities\DownloadLogsFromS3.py --loco 4022 --day 2017-11-07</v>
      </c>
      <c r="AN119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4"/>
        <v>https://d0f6bd738d7f1b3e5a7ca70fe4ff75f0.us-east-1.aws.found.io/app/kibana#/discover/Steve-Slow-Train-Analysis-(2080s-and-2083s)?_g=(refreshInterval:(display:Off,pause:!f,section:0,value:0),time:(from:'2017-11-07T15:41:55-0700',mode:absolute,to:'2017-11-07T18:22:45-0700'))&amp;_a=(columns:!('Message%20ID',Summary),filters:!(),index:'emp_*',interval:auto,query:(query_string:(analyze_wildcard:!t,query:'%22rtdc.l.rtdc.4022%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834</v>
      </c>
      <c r="B120" s="7">
        <v>4021</v>
      </c>
      <c r="C120" s="21" t="s">
        <v>192</v>
      </c>
      <c r="D120" s="21" t="s">
        <v>965</v>
      </c>
      <c r="E120" s="13">
        <v>43046.736192129632</v>
      </c>
      <c r="F120" s="13">
        <v>43046.738437499997</v>
      </c>
      <c r="G120" s="7">
        <v>88</v>
      </c>
      <c r="H120" s="21" t="s">
        <v>966</v>
      </c>
      <c r="I120" s="13">
        <v>43046.767500000002</v>
      </c>
      <c r="J120" s="7">
        <v>0</v>
      </c>
      <c r="K120" s="89" t="str">
        <f>IF(ISEVEN(B120),(B120-1)&amp;"/"&amp;B120,B120&amp;"/"&amp;(B120+1))</f>
        <v>4021/4022</v>
      </c>
      <c r="L120" s="185" t="str">
        <f>VLOOKUP(A120,'Trips&amp;Operators'!$C$1:$G$99911,5,FALSE)</f>
        <v>STEWART MICHAEL</v>
      </c>
      <c r="M120" s="6">
        <f>I120-F120</f>
        <v>2.9062500005238689E-2</v>
      </c>
      <c r="N120" s="7">
        <f>24*60*SUM($M120:$M120)</f>
        <v>41.850000007543713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-07T16:40:07-0700',mode:absolute,to:'2017-11-07T19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204" t="str">
        <f>IF(AA120&lt;VLOOKUP(AG120,Variables!$AC$3:$AD$8,2,FALSE),"Y","N")</f>
        <v>N</v>
      </c>
      <c r="X120" s="204">
        <f t="shared" si="31"/>
        <v>1</v>
      </c>
      <c r="Y120" s="204">
        <f>RIGHT(D120,LEN(D120)-4)/10000</f>
        <v>23.288399999999999</v>
      </c>
      <c r="Z120" s="204">
        <f>RIGHT(H120,LEN(H120)-4)/10000</f>
        <v>2.63E-2</v>
      </c>
      <c r="AA120" s="204">
        <f>ABS(Z120-Y120)</f>
        <v>23.2621</v>
      </c>
      <c r="AB120" s="54" t="e">
        <f>VLOOKUP(A120,Enforcements!$C$7:$K$10,8,0)</f>
        <v>#N/A</v>
      </c>
      <c r="AC120" s="51" t="e">
        <f>VLOOKUP(A120,Enforcements!$C$7:$E$10,3,0)</f>
        <v>#N/A</v>
      </c>
      <c r="AD120" s="179">
        <f>VALUE(LEFT(A120,LEN(A120)-3))</f>
        <v>206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s3://rtdc.mdm.uploadarchive.raw/RTDC4021/ "%USERPROFILE%\AppData\Local\Temp\OnboardLogs"\RTDC4021\2017-11-07 --exclude "*" --recursive --include "*20171107*" &amp; "%USERPROFILE%\Documents\GitHub\mrs-test-scripts\Headless Mode &amp; Sideloading\WalkAndUnGZ.bat" "%USERPROFILE%\AppData\Local\Temp\OnboardLogs"\RTDC4021\2017-11-07 &amp; aws s3 cp s3://rtdc.mdm.uploadarchive.raw/RTDC4021/ "%USERPROFILE%\AppData\Local\Temp\OnboardLogs"\RTDC4021\2017-11-08 --exclude "*" --recursive --include "*20171108*" &amp; "%USERPROFILE%\Documents\GitHub\mrs-test-scripts\Headless Mode &amp; Sideloading\WalkAndUnGZ.bat" "%USERPROFILE%\AppData\Local\Temp\OnboardLogs"\RTDC4021\2017-11-08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/stypes="app*4021*20171108*" /stext=" 01:.+((SYSTEM_STATE.+slice.+state.+changed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0"/>
        <v>"%USERPROFILE%\Documents\GitHub\eaglep3\Utilities\RefineRTDCRunTimes.py" --tripid 206-07 --locoid 4021 --swversion DE.1.0.9.0 --startMP 204:232884 --initTime 2017-11-07T17:40:07 --startdatetime 2017-11-07T17:43:21 --delay 88 --endMP 204:263 --enddatetime 2017-11-07T18:25:12 --enforcementcount 0 &gt;&gt;%USERPROFILE%\Documents\GitHub\eaglep3-reporting\EC\2017-11-07-refined-times.txt</v>
      </c>
      <c r="AI120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{"issue":{"subject":"","project_id":79,"tracker_id":40,"status_id":1,"priority_id":2,"assigned_to_id":338,"start_date":"2017-11-07","description":"","custom_fields":[{"id":1,"name":"Subdivision","value":"EC"},{"id":4,"name":"Milepost","value":"0.0263"},{"id":17,"name":"Train ID","value":"206-07"},{"id":16,"name":"Locomotive ID","value":"4021"},{"id":130,"name":"Impact","value":""},{"id":150,"name":"Time of Event (Mountain Time)","value":"18:25:12"},{"id":151,"name":"Denver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2"/>
        <v>start /low /b %USERPROFILE%\Documents\GitHub\eaglep3\Utilities\DownloadLogsFromS3.py --loco 4021 --day 2017-11-07</v>
      </c>
      <c r="AN120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4"/>
        <v>https://d0f6bd738d7f1b3e5a7ca70fe4ff75f0.us-east-1.aws.found.io/app/kibana#/discover/Steve-Slow-Train-Analysis-(2080s-and-2083s)?_g=(refreshInterval:(display:Off,pause:!f,section:0,value:0),time:(from:'2017-11-07T16:40:07-0700',mode:absolute,to:'2017-11-07T19:25:12-0700'))&amp;_a=(columns:!('Message%20ID',Summary),filters:!(),index:'emp_*',interval:auto,query:(query_string:(analyze_wildcard:!t,query:'%22rtdc.l.rtdc.4021%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823</v>
      </c>
      <c r="B121" s="7">
        <v>4026</v>
      </c>
      <c r="C121" s="21" t="s">
        <v>192</v>
      </c>
      <c r="D121" s="21" t="s">
        <v>499</v>
      </c>
      <c r="E121" s="13">
        <v>43046.703101851854</v>
      </c>
      <c r="F121" s="13">
        <v>43046.70853009259</v>
      </c>
      <c r="G121" s="7">
        <v>66</v>
      </c>
      <c r="H121" s="21" t="s">
        <v>900</v>
      </c>
      <c r="I121" s="13">
        <v>43046.733888888892</v>
      </c>
      <c r="J121" s="7">
        <v>0</v>
      </c>
      <c r="K121" s="89" t="str">
        <f>IF(ISEVEN(B121),(B121-1)&amp;"/"&amp;B121,B121&amp;"/"&amp;(B121+1))</f>
        <v>4025/4026</v>
      </c>
      <c r="L121" s="185" t="str">
        <f>VLOOKUP(A121,'Trips&amp;Operators'!$C$1:$G$99911,5,FALSE)</f>
        <v>LEVIN SCOTT</v>
      </c>
      <c r="M121" s="6">
        <f>I121-F121</f>
        <v>2.5358796301588882E-2</v>
      </c>
      <c r="N121" s="7">
        <f>24*60*SUM($M121:$M121)</f>
        <v>36.51666667428799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-07T15:52:28-0700',mode:absolute,to:'2017-11-07T18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5.0799999999999998E-2</v>
      </c>
      <c r="Z121" s="204">
        <f>RIGHT(H121,LEN(H121)-4)/10000</f>
        <v>23.325900000000001</v>
      </c>
      <c r="AA121" s="204">
        <f>ABS(Z121-Y121)</f>
        <v>23.275100000000002</v>
      </c>
      <c r="AB121" s="54" t="e">
        <f>VLOOKUP(A121,Enforcements!$C$7:$K$10,8,0)</f>
        <v>#N/A</v>
      </c>
      <c r="AC121" s="51" t="e">
        <f>VLOOKUP(A121,Enforcements!$C$7:$E$10,3,0)</f>
        <v>#N/A</v>
      </c>
      <c r="AD121" s="179">
        <f>VALUE(LEFT(A121,LEN(A121)-3))</f>
        <v>207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s3://rtdc.mdm.uploadarchive.raw/RTDC4026/ "%USERPROFILE%\AppData\Local\Temp\OnboardLogs"\RTDC4026\2017-11-07 --exclude "*" --recursive --include "*20171107*" &amp; "%USERPROFILE%\Documents\GitHub\mrs-test-scripts\Headless Mode &amp; Sideloading\WalkAndUnGZ.bat" "%USERPROFILE%\AppData\Local\Temp\OnboardLogs"\RTDC4026\2017-11-07 &amp; aws s3 cp s3://rtdc.mdm.uploadarchive.raw/RTDC4026/ "%USERPROFILE%\AppData\Local\Temp\OnboardLogs"\RTDC4026\2017-11-08 --exclude "*" --recursive --include "*20171108*" &amp; "%USERPROFILE%\Documents\GitHub\mrs-test-scripts\Headless Mode &amp; Sideloading\WalkAndUnGZ.bat" "%USERPROFILE%\AppData\Local\Temp\OnboardLogs"\RTDC4026\2017-11-08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/stypes="app*4026*20171108*"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0"/>
        <v>"%USERPROFILE%\Documents\GitHub\eaglep3\Utilities\RefineRTDCRunTimes.py" --tripid 207-07 --locoid 4026 --swversion DE.1.0.9.0 --startMP 204:508 --initTime 2017-11-07T16:52:28 --startdatetime 2017-11-07T17:00:17 --delay 66 --endMP 204:233259 --enddatetime 2017-11-07T17:36:48 --enforcementcount 0 &gt;&gt;%USERPROFILE%\Documents\GitHub\eaglep3-reporting\EC\2017-11-07-refined-times.txt</v>
      </c>
      <c r="AI121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{"issue":{"subject":"","project_id":79,"tracker_id":40,"status_id":1,"priority_id":2,"assigned_to_id":338,"start_date":"2017-11-07","description":"","custom_fields":[{"id":1,"name":"Subdivision","value":"EC"},{"id":4,"name":"Milepost","value":"23.3259"},{"id":17,"name":"Train ID","value":"207-07"},{"id":16,"name":"Locomotive ID","value":"4026"},{"id":130,"name":"Impact","value":""},{"id":150,"name":"Time of Event (Mountain Time)","value":"17:36:48"},{"id":151,"name":"Denver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2"/>
        <v>start /low /b %USERPROFILE%\Documents\GitHub\eaglep3\Utilities\DownloadLogsFromS3.py --loco 4026 --day 2017-11-07</v>
      </c>
      <c r="AN121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4"/>
        <v>https://d0f6bd738d7f1b3e5a7ca70fe4ff75f0.us-east-1.aws.found.io/app/kibana#/discover/Steve-Slow-Train-Analysis-(2080s-and-2083s)?_g=(refreshInterval:(display:Off,pause:!f,section:0,value:0),time:(from:'2017-11-07T15:52:28-0700',mode:absolute,to:'2017-11-07T18:36:48-0700'))&amp;_a=(columns:!('Message%20ID',Summary),filters:!(),index:'emp_*',interval:auto,query:(query_string:(analyze_wildcard:!t,query:'%22rtdc.l.rtdc.4026%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836</v>
      </c>
      <c r="B122" s="7">
        <v>4025</v>
      </c>
      <c r="C122" s="21" t="s">
        <v>192</v>
      </c>
      <c r="D122" s="21" t="s">
        <v>513</v>
      </c>
      <c r="E122" s="13">
        <v>43046.739722222221</v>
      </c>
      <c r="F122" s="13">
        <v>43046.748090277775</v>
      </c>
      <c r="G122" s="7">
        <v>53</v>
      </c>
      <c r="H122" s="21" t="s">
        <v>915</v>
      </c>
      <c r="I122" s="13">
        <v>43046.775567129633</v>
      </c>
      <c r="J122" s="7">
        <v>0</v>
      </c>
      <c r="K122" s="89" t="str">
        <f>IF(ISEVEN(B122),(B122-1)&amp;"/"&amp;B122,B122&amp;"/"&amp;(B122+1))</f>
        <v>4025/4026</v>
      </c>
      <c r="L122" s="185" t="str">
        <f>VLOOKUP(A122,'Trips&amp;Operators'!$C$1:$G$99911,5,FALSE)</f>
        <v>LEVIN SCOTT</v>
      </c>
      <c r="M122" s="6">
        <f>I122-F122</f>
        <v>2.7476851857500151E-2</v>
      </c>
      <c r="N122" s="7">
        <f>24*60*SUM($M122:$M122)</f>
        <v>39.566666674800217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-07T16:45:12-0700',mode:absolute,to:'2017-11-07T19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23.293600000000001</v>
      </c>
      <c r="Z122" s="204">
        <f>RIGHT(H122,LEN(H122)-4)/10000</f>
        <v>1.8700000000000001E-2</v>
      </c>
      <c r="AA122" s="204">
        <f>ABS(Z122-Y122)</f>
        <v>23.274900000000002</v>
      </c>
      <c r="AB122" s="54" t="e">
        <f>VLOOKUP(A122,Enforcements!$C$7:$K$10,8,0)</f>
        <v>#N/A</v>
      </c>
      <c r="AC122" s="51" t="e">
        <f>VLOOKUP(A122,Enforcements!$C$7:$E$10,3,0)</f>
        <v>#N/A</v>
      </c>
      <c r="AD122" s="179">
        <f>VALUE(LEFT(A122,LEN(A122)-3))</f>
        <v>208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s3://rtdc.mdm.uploadarchive.raw/RTDC4025/ "%USERPROFILE%\AppData\Local\Temp\OnboardLogs"\RTDC4025\2017-11-07 --exclude "*" --recursive --include "*20171107*" &amp; "%USERPROFILE%\Documents\GitHub\mrs-test-scripts\Headless Mode &amp; Sideloading\WalkAndUnGZ.bat" "%USERPROFILE%\AppData\Local\Temp\OnboardLogs"\RTDC4025\2017-11-07 &amp; aws s3 cp s3://rtdc.mdm.uploadarchive.raw/RTDC4025/ "%USERPROFILE%\AppData\Local\Temp\OnboardLogs"\RTDC4025\2017-11-08 --exclude "*" --recursive --include "*20171108*" &amp; "%USERPROFILE%\Documents\GitHub\mrs-test-scripts\Headless Mode &amp; Sideloading\WalkAndUnGZ.bat" "%USERPROFILE%\AppData\Local\Temp\OnboardLogs"\RTDC4025\2017-11-08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/stypes="app*4025*20171108*" /stext=" 01:.+((SYSTEM_STATE.+slice.+state.+changed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0"/>
        <v>"%USERPROFILE%\Documents\GitHub\eaglep3\Utilities\RefineRTDCRunTimes.py" --tripid 208-07 --locoid 4025 --swversion DE.1.0.9.0 --startMP 204:232936 --initTime 2017-11-07T17:45:12 --startdatetime 2017-11-07T17:57:15 --delay 53 --endMP 204:187 --enddatetime 2017-11-07T18:36:49 --enforcementcount 0 &gt;&gt;%USERPROFILE%\Documents\GitHub\eaglep3-reporting\EC\2017-11-07-refined-times.txt</v>
      </c>
      <c r="AI122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{"issue":{"subject":"","project_id":79,"tracker_id":40,"status_id":1,"priority_id":2,"assigned_to_id":338,"start_date":"2017-11-07","description":"","custom_fields":[{"id":1,"name":"Subdivision","value":"EC"},{"id":4,"name":"Milepost","value":"0.0187"},{"id":17,"name":"Train ID","value":"208-07"},{"id":16,"name":"Locomotive ID","value":"4025"},{"id":130,"name":"Impact","value":""},{"id":150,"name":"Time of Event (Mountain Time)","value":"18:36:49"},{"id":151,"name":"Denver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2"/>
        <v>start /low /b %USERPROFILE%\Documents\GitHub\eaglep3\Utilities\DownloadLogsFromS3.py --loco 4025 --day 2017-11-07</v>
      </c>
      <c r="AN122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4"/>
        <v>https://d0f6bd738d7f1b3e5a7ca70fe4ff75f0.us-east-1.aws.found.io/app/kibana#/discover/Steve-Slow-Train-Analysis-(2080s-and-2083s)?_g=(refreshInterval:(display:Off,pause:!f,section:0,value:0),time:(from:'2017-11-07T16:45:12-0700',mode:absolute,to:'2017-11-07T19:36:49-0700'))&amp;_a=(columns:!('Message%20ID',Summary),filters:!(),index:'emp_*',interval:auto,query:(query_string:(analyze_wildcard:!t,query:'%22rtdc.l.rtdc.4025%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829</v>
      </c>
      <c r="B123" s="7">
        <v>4042</v>
      </c>
      <c r="C123" s="21" t="s">
        <v>192</v>
      </c>
      <c r="D123" s="21" t="s">
        <v>967</v>
      </c>
      <c r="E123" s="13">
        <v>43046.718414351853</v>
      </c>
      <c r="F123" s="13">
        <v>43046.720081018517</v>
      </c>
      <c r="G123" s="7">
        <v>60</v>
      </c>
      <c r="H123" s="21" t="s">
        <v>968</v>
      </c>
      <c r="I123" s="13">
        <v>43046.747164351851</v>
      </c>
      <c r="J123" s="7">
        <v>0</v>
      </c>
      <c r="K123" s="89" t="str">
        <f>IF(ISEVEN(B123),(B123-1)&amp;"/"&amp;B123,B123&amp;"/"&amp;(B123+1))</f>
        <v>4041/4042</v>
      </c>
      <c r="L123" s="185" t="str">
        <f>VLOOKUP(A123,'Trips&amp;Operators'!$C$1:$G$99911,5,FALSE)</f>
        <v>ANDREA WILLIAMS</v>
      </c>
      <c r="M123" s="6">
        <f>I123-F123</f>
        <v>2.7083333334303461E-2</v>
      </c>
      <c r="N123" s="7">
        <f>24*60*SUM($M123:$M123)</f>
        <v>39.000000001396984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-07T16:14:31-0700',mode:absolute,to:'2017-11-07T18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5.5300000000000002E-2</v>
      </c>
      <c r="Z123" s="204">
        <f>RIGHT(H123,LEN(H123)-4)/10000</f>
        <v>23.320699999999999</v>
      </c>
      <c r="AA123" s="204">
        <f>ABS(Z123-Y123)</f>
        <v>23.2654</v>
      </c>
      <c r="AB123" s="54" t="e">
        <f>VLOOKUP(A123,Enforcements!$C$7:$K$10,8,0)</f>
        <v>#N/A</v>
      </c>
      <c r="AC123" s="51" t="e">
        <f>VLOOKUP(A123,Enforcements!$C$7:$E$10,3,0)</f>
        <v>#N/A</v>
      </c>
      <c r="AD123" s="179">
        <f>VALUE(LEFT(A123,LEN(A123)-3))</f>
        <v>209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/stypes="app*4042*20171108*"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0"/>
        <v>"%USERPROFILE%\Documents\GitHub\eaglep3\Utilities\RefineRTDCRunTimes.py" --tripid 209-07 --locoid 4042 --swversion DE.1.0.9.0 --startMP 204:553 --initTime 2017-11-07T17:14:31 --startdatetime 2017-11-07T17:16:55 --delay 60 --endMP 204:233207 --enddatetime 2017-11-07T17:55:55 --enforcementcount 0 &gt;&gt;%USERPROFILE%\Documents\GitHub\eaglep3-reporting\EC\2017-11-07-refined-times.txt</v>
      </c>
      <c r="AI123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{"issue":{"subject":"","project_id":79,"tracker_id":40,"status_id":1,"priority_id":2,"assigned_to_id":338,"start_date":"2017-11-07","description":"","custom_fields":[{"id":1,"name":"Subdivision","value":"EC"},{"id":4,"name":"Milepost","value":"23.3207"},{"id":17,"name":"Train ID","value":"209-07"},{"id":16,"name":"Locomotive ID","value":"4042"},{"id":130,"name":"Impact","value":""},{"id":150,"name":"Time of Event (Mountain Time)","value":"17:55:55"},{"id":151,"name":"Denver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2"/>
        <v>start /low /b %USERPROFILE%\Documents\GitHub\eaglep3\Utilities\DownloadLogsFromS3.py --loco 4042 --day 2017-11-07</v>
      </c>
      <c r="AN123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4"/>
        <v>https://d0f6bd738d7f1b3e5a7ca70fe4ff75f0.us-east-1.aws.found.io/app/kibana#/discover/Steve-Slow-Train-Analysis-(2080s-and-2083s)?_g=(refreshInterval:(display:Off,pause:!f,section:0,value:0),time:(from:'2017-11-07T16:14:31-0700',mode:absolute,to:'2017-11-07T18:55:55-0700'))&amp;_a=(columns:!('Message%20ID',Summary),filters:!(),index:'emp_*',interval:auto,query:(query_string:(analyze_wildcard:!t,query:'%22rtdc.l.rtdc.4042%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839</v>
      </c>
      <c r="B124" s="7">
        <v>4041</v>
      </c>
      <c r="C124" s="21" t="s">
        <v>192</v>
      </c>
      <c r="D124" s="21" t="s">
        <v>967</v>
      </c>
      <c r="E124" s="13">
        <v>43046.718414351853</v>
      </c>
      <c r="F124" s="13">
        <v>43046.758576388886</v>
      </c>
      <c r="G124" s="7">
        <v>60</v>
      </c>
      <c r="H124" s="21" t="s">
        <v>968</v>
      </c>
      <c r="I124" s="13">
        <v>43046.786550925928</v>
      </c>
      <c r="J124" s="7">
        <v>0</v>
      </c>
      <c r="K124" s="89" t="str">
        <f>IF(ISEVEN(B124),(B124-1)&amp;"/"&amp;B124,B124&amp;"/"&amp;(B124+1))</f>
        <v>4041/4042</v>
      </c>
      <c r="L124" s="185" t="str">
        <f>VLOOKUP(A124,'Trips&amp;Operators'!$C$1:$G$99911,5,FALSE)</f>
        <v>ANDREA WILLIAMS</v>
      </c>
      <c r="M124" s="6">
        <f>I124-F124</f>
        <v>2.7974537042609882E-2</v>
      </c>
      <c r="N124" s="7">
        <f>24*60*SUM($M124:$M124)</f>
        <v>40.28333334135823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-07T16:14:31-0700',mode:absolute,to:'2017-11-07T19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v>23.293600000000001</v>
      </c>
      <c r="Z124" s="204">
        <v>1.8700000000000001E-2</v>
      </c>
      <c r="AA124" s="204">
        <f>ABS(Z124-Y124)</f>
        <v>23.274900000000002</v>
      </c>
      <c r="AB124" s="54" t="e">
        <f>VLOOKUP(A124,Enforcements!$C$7:$K$10,8,0)</f>
        <v>#N/A</v>
      </c>
      <c r="AC124" s="51" t="e">
        <f>VLOOKUP(A124,Enforcements!$C$7:$E$10,3,0)</f>
        <v>#N/A</v>
      </c>
      <c r="AD124" s="179">
        <f>VALUE(LEFT(A124,LEN(A124)-3))</f>
        <v>210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/stypes="app*4041*20171108*" /stext=" 01:.+((SYSTEM_STATE.+slice.+state.+changed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ref="AH124" si="32"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"&amp;J124&amp;IF(outputrefinedruntimes," &gt;&gt;"&amp;RefinedRTDCRunTimesOutputFile,"")</f>
        <v>"%USERPROFILE%\Documents\GitHub\eaglep3\Utilities\RefineRTDCRunTimes.py" --tripid 210-07 --locoid 4041 --swversion DE.1.0.9.0 --startMP 204:553 --initTime 2017-11-07T17:14:31 --startdatetime 2017-11-07T18:12:21 --delay 60 --endMP 204:233207 --enddatetime 2017-11-07T18:52:38 --enforcementcount 0 &gt;&gt;%USERPROFILE%\Documents\GitHub\eaglep3-reporting\EC\2017-11-07-refined-times.txt</v>
      </c>
      <c r="AI124" s="96" t="str">
        <f t="shared" ref="AI124" si="33"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Z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{"issue":{"subject":"","project_id":79,"tracker_id":40,"status_id":1,"priority_id":2,"assigned_to_id":338,"start_date":"2017-11-07","description":"","custom_fields":[{"id":1,"name":"Subdivision","value":"EC"},{"id":4,"name":"Milepost","value":"0.0187"},{"id":17,"name":"Train ID","value":"210-07"},{"id":16,"name":"Locomotive ID","value":"4041"},{"id":130,"name":"Impact","value":""},{"id":150,"name":"Time of Event (Mountain Time)","value":"18:52:38"},{"id":151,"name":"Denver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ref="AM124" si="34">"start /low /b "&amp;dls3logs&amp;" --loco "&amp;B124&amp;" --day "&amp;TEXT(F124,"YYYY-MM-DD")</f>
        <v>start /low /b %USERPROFILE%\Documents\GitHub\eaglep3\Utilities\DownloadLogsFromS3.py --loco 4041 --day 2017-11-07</v>
      </c>
      <c r="AN124" s="151" t="str">
        <f t="shared" ref="AN124" si="35">"echo {""issue"":{""subject"":"""&amp;R124&amp;""",""project_id"":30,""tracker_id"":4,""status_id"":"&amp;redmine_status_wcr&amp;",""priority_id"":"&amp;redmine_priority_wcr&amp;",""assigned_to_id"":"&amp;redmine_assignee_wcr&amp;",""start_date"":"""&amp;TEXT(I124-utc_offset/24,"YYYY-mm-dd")&amp;""",""description"":"""&amp;AJ124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ref="AO124" si="36"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Message%20ID',Summary),filters:!(),index:'emp_*',interval:auto,query:"&amp;"(query_string:(analyze_wildcard:!t,query:'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-07T16:14:31-0700',mode:absolute,to:'2017-11-07T19:52:38-0700'))&amp;_a=(columns:!('Message%20ID',Summary),filters:!(),index:'emp_*',interval:auto,query:(query_string:(analyze_wildcard:!t,query:'%22rtdc.l.rtdc.4041%22')),sort:!(Time.ISO8601,asc))</v>
      </c>
    </row>
    <row r="125" spans="1:91" s="20" customFormat="1" x14ac:dyDescent="0.3">
      <c r="A125" s="32" t="s">
        <v>831</v>
      </c>
      <c r="B125" s="7">
        <v>4058</v>
      </c>
      <c r="C125" s="21" t="s">
        <v>192</v>
      </c>
      <c r="D125" s="21" t="s">
        <v>599</v>
      </c>
      <c r="E125" s="13">
        <v>43046.725439814814</v>
      </c>
      <c r="F125" s="13">
        <v>43046.729363425926</v>
      </c>
      <c r="G125" s="7">
        <v>96</v>
      </c>
      <c r="H125" s="21" t="s">
        <v>613</v>
      </c>
      <c r="I125" s="13">
        <v>43046.755173611113</v>
      </c>
      <c r="J125" s="7">
        <v>0</v>
      </c>
      <c r="K125" s="89" t="str">
        <f>IF(ISEVEN(B125),(B125-1)&amp;"/"&amp;B125,B125&amp;"/"&amp;(B125+1))</f>
        <v>4057/4058</v>
      </c>
      <c r="L125" s="185" t="str">
        <f>VLOOKUP(A125,'Trips&amp;Operators'!$C$1:$G$99911,5,FALSE)</f>
        <v>SAFIEF AEIMEN</v>
      </c>
      <c r="M125" s="6">
        <f>I125-F125</f>
        <v>2.5810185186855961E-2</v>
      </c>
      <c r="N125" s="7">
        <f>24*60*SUM($M125:$M125)</f>
        <v>37.166666669072583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-07T16:24:38-0700',mode:absolute,to:'2017-11-07T19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5" s="204" t="str">
        <f>IF(AA125&lt;VLOOKUP(AG125,Variables!$AC$3:$AD$8,2,FALSE),"Y","N")</f>
        <v>N</v>
      </c>
      <c r="X125" s="204">
        <f t="shared" ref="X125:X126" si="37">VALUE(LEFT(AD125,4))-VALUE(LEFT(AD124,4))</f>
        <v>1</v>
      </c>
      <c r="Y125" s="204">
        <f>RIGHT(D125,LEN(D125)-4)/10000</f>
        <v>4.9099999999999998E-2</v>
      </c>
      <c r="Z125" s="204">
        <f>RIGHT(H125,LEN(H125)-4)/10000</f>
        <v>23.3261</v>
      </c>
      <c r="AA125" s="204">
        <f>ABS(Z125-Y125)</f>
        <v>23.277000000000001</v>
      </c>
      <c r="AB125" s="54" t="e">
        <f>VLOOKUP(A125,Enforcements!$C$7:$K$10,8,0)</f>
        <v>#N/A</v>
      </c>
      <c r="AC125" s="51" t="e">
        <f>VLOOKUP(A125,Enforcements!$C$7:$E$10,3,0)</f>
        <v>#N/A</v>
      </c>
      <c r="AD125" s="179">
        <f>VALUE(LEFT(A125,LEN(A125)-3))</f>
        <v>211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s3://rtdc.mdm.uploadarchive.raw/RTDC4058/ "%USERPROFILE%\AppData\Local\Temp\OnboardLogs"\RTDC4058\2017-11-07 --exclude "*" --recursive --include "*20171107*" &amp; "%USERPROFILE%\Documents\GitHub\mrs-test-scripts\Headless Mode &amp; Sideloading\WalkAndUnGZ.bat" "%USERPROFILE%\AppData\Local\Temp\OnboardLogs"\RTDC4058\2017-11-07 &amp; aws s3 cp s3://rtdc.mdm.uploadarchive.raw/RTDC4058/ "%USERPROFILE%\AppData\Local\Temp\OnboardLogs"\RTDC4058\2017-11-08 --exclude "*" --recursive --include "*20171108*" &amp; "%USERPROFILE%\Documents\GitHub\mrs-test-scripts\Headless Mode &amp; Sideloading\WalkAndUnGZ.bat" "%USERPROFILE%\AppData\Local\Temp\OnboardLogs"\RTDC4058\2017-11-08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/stypes="app*4058*20171108*"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0"/>
        <v>"%USERPROFILE%\Documents\GitHub\eaglep3\Utilities\RefineRTDCRunTimes.py" --tripid 211-07 --locoid 4058 --swversion DE.1.0.9.0 --startMP 204:491 --initTime 2017-11-07T17:24:38 --startdatetime 2017-11-07T17:30:17 --delay 96 --endMP 204:233261 --enddatetime 2017-11-07T18:07:27 --enforcementcount 0 &gt;&gt;%USERPROFILE%\Documents\GitHub\eaglep3-reporting\EC\2017-11-07-refined-times.txt</v>
      </c>
      <c r="AI125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{"issue":{"subject":"","project_id":79,"tracker_id":40,"status_id":1,"priority_id":2,"assigned_to_id":338,"start_date":"2017-11-07","description":"","custom_fields":[{"id":1,"name":"Subdivision","value":"EC"},{"id":4,"name":"Milepost","value":"23.3261"},{"id":17,"name":"Train ID","value":"211-07"},{"id":16,"name":"Locomotive ID","value":"4058"},{"id":130,"name":"Impact","value":""},{"id":150,"name":"Time of Event (Mountain Time)","value":"18:07:27"},{"id":151,"name":"Denver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2"/>
        <v>start /low /b %USERPROFILE%\Documents\GitHub\eaglep3\Utilities\DownloadLogsFromS3.py --loco 4058 --day 2017-11-07</v>
      </c>
      <c r="AN125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4"/>
        <v>https://d0f6bd738d7f1b3e5a7ca70fe4ff75f0.us-east-1.aws.found.io/app/kibana#/discover/Steve-Slow-Train-Analysis-(2080s-and-2083s)?_g=(refreshInterval:(display:Off,pause:!f,section:0,value:0),time:(from:'2017-11-07T16:24:38-0700',mode:absolute,to:'2017-11-07T19:07:27-0700'))&amp;_a=(columns:!('Message%20ID',Summary),filters:!(),index:'emp_*',interval:auto,query:(query_string:(analyze_wildcard:!t,query:'%22rtdc.l.rtdc.4058%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841</v>
      </c>
      <c r="B126" s="7">
        <v>4057</v>
      </c>
      <c r="C126" s="21" t="s">
        <v>192</v>
      </c>
      <c r="D126" s="21" t="s">
        <v>472</v>
      </c>
      <c r="E126" s="13">
        <v>43046.758946759262</v>
      </c>
      <c r="F126" s="13">
        <v>43046.76898148148</v>
      </c>
      <c r="G126" s="7">
        <v>108</v>
      </c>
      <c r="H126" s="21" t="s">
        <v>969</v>
      </c>
      <c r="I126" s="13">
        <v>43046.795173611114</v>
      </c>
      <c r="J126" s="7">
        <v>0</v>
      </c>
      <c r="K126" s="89" t="str">
        <f>IF(ISEVEN(B126),(B126-1)&amp;"/"&amp;B126,B126&amp;"/"&amp;(B126+1))</f>
        <v>4057/4058</v>
      </c>
      <c r="L126" s="185" t="str">
        <f>VLOOKUP(A126,'Trips&amp;Operators'!$C$1:$G$99911,5,FALSE)</f>
        <v>SAFIEF AEIMEN</v>
      </c>
      <c r="M126" s="6">
        <f>I126-F126</f>
        <v>2.6192129633272998E-2</v>
      </c>
      <c r="N126" s="7">
        <f>24*60*SUM($M126:$M126)</f>
        <v>37.716666671913117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-07T17:12:53-0700',mode:absolute,to:'2017-11-07T20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6" s="204" t="str">
        <f>IF(AA126&lt;VLOOKUP(AG126,Variables!$AC$3:$AD$8,2,FALSE),"Y","N")</f>
        <v>N</v>
      </c>
      <c r="X126" s="204">
        <f t="shared" si="37"/>
        <v>1</v>
      </c>
      <c r="Y126" s="204">
        <f>RIGHT(D126,LEN(D126)-4)/10000</f>
        <v>23.293399999999998</v>
      </c>
      <c r="Z126" s="204">
        <f>RIGHT(H126,LEN(H126)-4)/10000</f>
        <v>1.9099999999999999E-2</v>
      </c>
      <c r="AA126" s="204">
        <f>ABS(Z126-Y126)</f>
        <v>23.274299999999997</v>
      </c>
      <c r="AB126" s="54" t="e">
        <f>VLOOKUP(A126,Enforcements!$C$7:$K$10,8,0)</f>
        <v>#N/A</v>
      </c>
      <c r="AC126" s="51" t="e">
        <f>VLOOKUP(A126,Enforcements!$C$7:$E$10,3,0)</f>
        <v>#N/A</v>
      </c>
      <c r="AD126" s="179">
        <f>VALUE(LEFT(A126,LEN(A126)-3))</f>
        <v>212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s3://rtdc.mdm.uploadarchive.raw/RTDC4057/ "%USERPROFILE%\AppData\Local\Temp\OnboardLogs"\RTDC4057\2017-11-07 --exclude "*" --recursive --include "*20171107*" &amp; "%USERPROFILE%\Documents\GitHub\mrs-test-scripts\Headless Mode &amp; Sideloading\WalkAndUnGZ.bat" "%USERPROFILE%\AppData\Local\Temp\OnboardLogs"\RTDC4057\2017-11-07 &amp; aws s3 cp s3://rtdc.mdm.uploadarchive.raw/RTDC4057/ "%USERPROFILE%\AppData\Local\Temp\OnboardLogs"\RTDC4057\2017-11-08 --exclude "*" --recursive --include "*20171108*" &amp; "%USERPROFILE%\Documents\GitHub\mrs-test-scripts\Headless Mode &amp; Sideloading\WalkAndUnGZ.bat" "%USERPROFILE%\AppData\Local\Temp\OnboardLogs"\RTDC4057\2017-11-08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/stypes="app*4057*20171108*" /stext=" 02:.+((SYSTEM_STATE.+slice.+state.+changed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0"/>
        <v>"%USERPROFILE%\Documents\GitHub\eaglep3\Utilities\RefineRTDCRunTimes.py" --tripid 212-07 --locoid 4057 --swversion DE.1.0.9.0 --startMP 204:232934 --initTime 2017-11-07T18:12:53 --startdatetime 2017-11-07T18:27:20 --delay 108 --endMP 204:191 --enddatetime 2017-11-07T19:05:03 --enforcementcount 0 &gt;&gt;%USERPROFILE%\Documents\GitHub\eaglep3-reporting\EC\2017-11-07-refined-times.txt</v>
      </c>
      <c r="AI126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{"issue":{"subject":"","project_id":79,"tracker_id":40,"status_id":1,"priority_id":2,"assigned_to_id":338,"start_date":"2017-11-07","description":"","custom_fields":[{"id":1,"name":"Subdivision","value":"EC"},{"id":4,"name":"Milepost","value":"0.0191"},{"id":17,"name":"Train ID","value":"212-07"},{"id":16,"name":"Locomotive ID","value":"4057"},{"id":130,"name":"Impact","value":""},{"id":150,"name":"Time of Event (Mountain Time)","value":"19:05:03"},{"id":151,"name":"Denver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2"/>
        <v>start /low /b %USERPROFILE%\Documents\GitHub\eaglep3\Utilities\DownloadLogsFromS3.py --loco 4057 --day 2017-11-07</v>
      </c>
      <c r="AN126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4"/>
        <v>https://d0f6bd738d7f1b3e5a7ca70fe4ff75f0.us-east-1.aws.found.io/app/kibana#/discover/Steve-Slow-Train-Analysis-(2080s-and-2083s)?_g=(refreshInterval:(display:Off,pause:!f,section:0,value:0),time:(from:'2017-11-07T17:12:53-0700',mode:absolute,to:'2017-11-07T20:05:03-0700'))&amp;_a=(columns:!('Message%20ID',Summary),filters:!(),index:'emp_*',interval:auto,query:(query_string:(analyze_wildcard:!t,query:'%22rtdc.l.rtdc.4057%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835</v>
      </c>
      <c r="B127" s="7">
        <v>4064</v>
      </c>
      <c r="C127" s="21" t="s">
        <v>192</v>
      </c>
      <c r="D127" s="21" t="s">
        <v>552</v>
      </c>
      <c r="E127" s="13">
        <v>43046.738113425927</v>
      </c>
      <c r="F127" s="13">
        <v>43046.740034722221</v>
      </c>
      <c r="G127" s="7">
        <v>75</v>
      </c>
      <c r="H127" s="21" t="s">
        <v>970</v>
      </c>
      <c r="I127" s="13">
        <v>43046.764525462961</v>
      </c>
      <c r="J127" s="7">
        <v>0</v>
      </c>
      <c r="K127" s="89" t="str">
        <f>IF(ISEVEN(B127),(B127-1)&amp;"/"&amp;B127,B127&amp;"/"&amp;(B127+1))</f>
        <v>4063/4064</v>
      </c>
      <c r="L127" s="185" t="str">
        <f>VLOOKUP(A127,'Trips&amp;Operators'!$C$1:$G$99911,5,FALSE)</f>
        <v>LOZA FIDEL</v>
      </c>
      <c r="M127" s="6">
        <f>I127-F127</f>
        <v>2.4490740739565808E-2</v>
      </c>
      <c r="N127" s="7">
        <f>24*60*SUM($M127:$M127)</f>
        <v>35.266666664974764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-07T16:42:53-0700',mode:absolute,to:'2017-11-07T19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5.1900000000000002E-2</v>
      </c>
      <c r="Z127" s="204">
        <f>RIGHT(H127,LEN(H127)-4)/10000</f>
        <v>23.322800000000001</v>
      </c>
      <c r="AA127" s="204">
        <f>ABS(Z127-Y127)</f>
        <v>23.270900000000001</v>
      </c>
      <c r="AB127" s="54" t="e">
        <f>VLOOKUP(A127,Enforcements!$C$7:$K$10,8,0)</f>
        <v>#N/A</v>
      </c>
      <c r="AC127" s="51" t="e">
        <f>VLOOKUP(A127,Enforcements!$C$7:$E$10,3,0)</f>
        <v>#N/A</v>
      </c>
      <c r="AD127" s="179">
        <f>VALUE(LEFT(A127,LEN(A127)-3))</f>
        <v>213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/stypes="app*4064*20171108*"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0"/>
        <v>"%USERPROFILE%\Documents\GitHub\eaglep3\Utilities\RefineRTDCRunTimes.py" --tripid 213-07 --locoid 4064 --swversion DE.1.0.9.0 --startMP 204:519 --initTime 2017-11-07T17:42:53 --startdatetime 2017-11-07T17:45:39 --delay 75 --endMP 204:233228 --enddatetime 2017-11-07T18:20:55 --enforcementcount 0 &gt;&gt;%USERPROFILE%\Documents\GitHub\eaglep3-reporting\EC\2017-11-07-refined-times.txt</v>
      </c>
      <c r="AI127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{"issue":{"subject":"","project_id":79,"tracker_id":40,"status_id":1,"priority_id":2,"assigned_to_id":338,"start_date":"2017-11-07","description":"","custom_fields":[{"id":1,"name":"Subdivision","value":"EC"},{"id":4,"name":"Milepost","value":"23.3228"},{"id":17,"name":"Train ID","value":"213-07"},{"id":16,"name":"Locomotive ID","value":"4064"},{"id":130,"name":"Impact","value":""},{"id":150,"name":"Time of Event (Mountain Time)","value":"18:20:55"},{"id":151,"name":"Denver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2"/>
        <v>start /low /b %USERPROFILE%\Documents\GitHub\eaglep3\Utilities\DownloadLogsFromS3.py --loco 4064 --day 2017-11-07</v>
      </c>
      <c r="AN127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4"/>
        <v>https://d0f6bd738d7f1b3e5a7ca70fe4ff75f0.us-east-1.aws.found.io/app/kibana#/discover/Steve-Slow-Train-Analysis-(2080s-and-2083s)?_g=(refreshInterval:(display:Off,pause:!f,section:0,value:0),time:(from:'2017-11-07T16:42:53-0700',mode:absolute,to:'2017-11-07T19:20:55-0700'))&amp;_a=(columns:!('Message%20ID',Summary),filters:!(),index:'emp_*',interval:auto,query:(query_string:(analyze_wildcard:!t,query:'%22rtdc.l.rtdc.4064%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847</v>
      </c>
      <c r="B128" s="7">
        <v>4063</v>
      </c>
      <c r="C128" s="21" t="s">
        <v>192</v>
      </c>
      <c r="D128" s="21" t="s">
        <v>543</v>
      </c>
      <c r="E128" s="13">
        <v>43046.773634259262</v>
      </c>
      <c r="F128" s="13">
        <v>43046.779386574075</v>
      </c>
      <c r="G128" s="7">
        <v>106</v>
      </c>
      <c r="H128" s="21" t="s">
        <v>890</v>
      </c>
      <c r="I128" s="13">
        <v>43046.805266203701</v>
      </c>
      <c r="J128" s="7">
        <v>0</v>
      </c>
      <c r="K128" s="89" t="str">
        <f>IF(ISEVEN(B128),(B128-1)&amp;"/"&amp;B128,B128&amp;"/"&amp;(B128+1))</f>
        <v>4063/4064</v>
      </c>
      <c r="L128" s="185" t="str">
        <f>VLOOKUP(A128,'Trips&amp;Operators'!$C$1:$G$99911,5,FALSE)</f>
        <v>LOZA FIDEL</v>
      </c>
      <c r="M128" s="6">
        <f>I128-F128</f>
        <v>2.5879629625706002E-2</v>
      </c>
      <c r="N128" s="7">
        <f>24*60*SUM($M128:$M128)</f>
        <v>37.266666661016643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-07T17:34:02-0700',mode:absolute,to:'2017-11-07T20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23.291899999999998</v>
      </c>
      <c r="Z128" s="204">
        <f>RIGHT(H128,LEN(H128)-4)/10000</f>
        <v>2.0899999999999998E-2</v>
      </c>
      <c r="AA128" s="204">
        <f>ABS(Z128-Y128)</f>
        <v>23.270999999999997</v>
      </c>
      <c r="AB128" s="54" t="e">
        <f>VLOOKUP(A128,Enforcements!$C$7:$K$10,8,0)</f>
        <v>#N/A</v>
      </c>
      <c r="AC128" s="51" t="e">
        <f>VLOOKUP(A128,Enforcements!$C$7:$E$10,3,0)</f>
        <v>#N/A</v>
      </c>
      <c r="AD128" s="179">
        <f>VALUE(LEFT(A128,LEN(A128)-3))</f>
        <v>214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/stypes="app*4063*20171108*" /stext=" 02:.+((SYSTEM_STATE.+slice.+state.+changed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0"/>
        <v>"%USERPROFILE%\Documents\GitHub\eaglep3\Utilities\RefineRTDCRunTimes.py" --tripid 214-07 --locoid 4063 --swversion DE.1.0.9.0 --startMP 204:232919 --initTime 2017-11-07T18:34:02 --startdatetime 2017-11-07T18:42:19 --delay 106 --endMP 204:209 --enddatetime 2017-11-07T19:19:35 --enforcementcount 0 &gt;&gt;%USERPROFILE%\Documents\GitHub\eaglep3-reporting\EC\2017-11-07-refined-times.txt</v>
      </c>
      <c r="AI128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{"issue":{"subject":"","project_id":79,"tracker_id":40,"status_id":1,"priority_id":2,"assigned_to_id":338,"start_date":"2017-11-07","description":"","custom_fields":[{"id":1,"name":"Subdivision","value":"EC"},{"id":4,"name":"Milepost","value":"0.0209"},{"id":17,"name":"Train ID","value":"214-07"},{"id":16,"name":"Locomotive ID","value":"4063"},{"id":130,"name":"Impact","value":""},{"id":150,"name":"Time of Event (Mountain Time)","value":"19:19:35"},{"id":151,"name":"Denver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2"/>
        <v>start /low /b %USERPROFILE%\Documents\GitHub\eaglep3\Utilities\DownloadLogsFromS3.py --loco 4063 --day 2017-11-07</v>
      </c>
      <c r="AN128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4"/>
        <v>https://d0f6bd738d7f1b3e5a7ca70fe4ff75f0.us-east-1.aws.found.io/app/kibana#/discover/Steve-Slow-Train-Analysis-(2080s-and-2083s)?_g=(refreshInterval:(display:Off,pause:!f,section:0,value:0),time:(from:'2017-11-07T17:34:02-0700',mode:absolute,to:'2017-11-07T20:19:35-0700'))&amp;_a=(columns:!('Message%20ID',Summary),filters:!(),index:'emp_*',interval:auto,query:(query_string:(analyze_wildcard:!t,query:'%22rtdc.l.rtdc.4063%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837</v>
      </c>
      <c r="B129" s="7">
        <v>4040</v>
      </c>
      <c r="C129" s="21" t="s">
        <v>192</v>
      </c>
      <c r="D129" s="21" t="s">
        <v>510</v>
      </c>
      <c r="E129" s="13">
        <v>43046.745173611111</v>
      </c>
      <c r="F129" s="13">
        <v>43046.750416666669</v>
      </c>
      <c r="G129" s="7">
        <v>76</v>
      </c>
      <c r="H129" s="21" t="s">
        <v>605</v>
      </c>
      <c r="I129" s="13">
        <v>43046.776597222219</v>
      </c>
      <c r="J129" s="7">
        <v>0</v>
      </c>
      <c r="K129" s="89" t="str">
        <f>IF(ISEVEN(B129),(B129-1)&amp;"/"&amp;B129,B129&amp;"/"&amp;(B129+1))</f>
        <v>4039/4040</v>
      </c>
      <c r="L129" s="185" t="str">
        <f>VLOOKUP(A129,'Trips&amp;Operators'!$C$1:$G$99911,5,FALSE)</f>
        <v>SMITH MICHAEL</v>
      </c>
      <c r="M129" s="6">
        <f>I129-F129</f>
        <v>2.6180555549217388E-2</v>
      </c>
      <c r="N129" s="7">
        <f>24*60*SUM($M129:$M129)</f>
        <v>37.699999990873039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-07T16:53:03-0700',mode:absolute,to:'2017-11-07T19:38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5.1499999999999997E-2</v>
      </c>
      <c r="Z129" s="204">
        <f>RIGHT(H129,LEN(H129)-4)/10000</f>
        <v>23.331199999999999</v>
      </c>
      <c r="AA129" s="204">
        <f>ABS(Z129-Y129)</f>
        <v>23.279699999999998</v>
      </c>
      <c r="AB129" s="54" t="e">
        <f>VLOOKUP(A129,Enforcements!$C$7:$K$10,8,0)</f>
        <v>#N/A</v>
      </c>
      <c r="AC129" s="51" t="e">
        <f>VLOOKUP(A129,Enforcements!$C$7:$E$10,3,0)</f>
        <v>#N/A</v>
      </c>
      <c r="AD129" s="179">
        <f>VALUE(LEFT(A129,LEN(A129)-3))</f>
        <v>215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s3://rtdc.mdm.uploadarchive.raw/RTDC4040/ "%USERPROFILE%\AppData\Local\Temp\OnboardLogs"\RTDC4040\2017-11-07 --exclude "*" --recursive --include "*20171107*" &amp; "%USERPROFILE%\Documents\GitHub\mrs-test-scripts\Headless Mode &amp; Sideloading\WalkAndUnGZ.bat" "%USERPROFILE%\AppData\Local\Temp\OnboardLogs"\RTDC4040\2017-11-07 &amp; aws s3 cp s3://rtdc.mdm.uploadarchive.raw/RTDC4040/ "%USERPROFILE%\AppData\Local\Temp\OnboardLogs"\RTDC4040\2017-11-08 --exclude "*" --recursive --include "*20171108*" &amp; "%USERPROFILE%\Documents\GitHub\mrs-test-scripts\Headless Mode &amp; Sideloading\WalkAndUnGZ.bat" "%USERPROFILE%\AppData\Local\Temp\OnboardLogs"\RTDC4040\2017-11-08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/stypes="app*4040*20171108*"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0"/>
        <v>"%USERPROFILE%\Documents\GitHub\eaglep3\Utilities\RefineRTDCRunTimes.py" --tripid 215-07 --locoid 4040 --swversion DE.1.0.9.0 --startMP 204:515 --initTime 2017-11-07T17:53:03 --startdatetime 2017-11-07T18:00:36 --delay 76 --endMP 204:233312 --enddatetime 2017-11-07T18:38:18 --enforcementcount 0 &gt;&gt;%USERPROFILE%\Documents\GitHub\eaglep3-reporting\EC\2017-11-07-refined-times.txt</v>
      </c>
      <c r="AI129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{"issue":{"subject":"","project_id":79,"tracker_id":40,"status_id":1,"priority_id":2,"assigned_to_id":338,"start_date":"2017-11-07","description":"","custom_fields":[{"id":1,"name":"Subdivision","value":"EC"},{"id":4,"name":"Milepost","value":"23.3312"},{"id":17,"name":"Train ID","value":"215-07"},{"id":16,"name":"Locomotive ID","value":"4040"},{"id":130,"name":"Impact","value":""},{"id":150,"name":"Time of Event (Mountain Time)","value":"18:38:18"},{"id":151,"name":"Denver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2"/>
        <v>start /low /b %USERPROFILE%\Documents\GitHub\eaglep3\Utilities\DownloadLogsFromS3.py --loco 4040 --day 2017-11-07</v>
      </c>
      <c r="AN129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4"/>
        <v>https://d0f6bd738d7f1b3e5a7ca70fe4ff75f0.us-east-1.aws.found.io/app/kibana#/discover/Steve-Slow-Train-Analysis-(2080s-and-2083s)?_g=(refreshInterval:(display:Off,pause:!f,section:0,value:0),time:(from:'2017-11-07T16:53:03-0700',mode:absolute,to:'2017-11-07T19:38:18-0700'))&amp;_a=(columns:!('Message%20ID',Summary),filters:!(),index:'emp_*',interval:auto,query:(query_string:(analyze_wildcard:!t,query:'%22rtdc.l.rtdc.4040%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849</v>
      </c>
      <c r="B130" s="7">
        <v>4039</v>
      </c>
      <c r="C130" s="21" t="s">
        <v>192</v>
      </c>
      <c r="D130" s="21" t="s">
        <v>971</v>
      </c>
      <c r="E130" s="13">
        <v>43046.783402777779</v>
      </c>
      <c r="F130" s="13">
        <v>43046.78979166667</v>
      </c>
      <c r="G130" s="7">
        <v>66</v>
      </c>
      <c r="H130" s="21" t="s">
        <v>972</v>
      </c>
      <c r="I130" s="13">
        <v>43046.815879629627</v>
      </c>
      <c r="J130" s="7">
        <v>0</v>
      </c>
      <c r="K130" s="89" t="str">
        <f>IF(ISEVEN(B130),(B130-1)&amp;"/"&amp;B130,B130&amp;"/"&amp;(B130+1))</f>
        <v>4039/4040</v>
      </c>
      <c r="L130" s="185" t="str">
        <f>VLOOKUP(A130,'Trips&amp;Operators'!$C$1:$G$99911,5,FALSE)</f>
        <v>SMITH MICHAEL</v>
      </c>
      <c r="M130" s="6">
        <f>I130-F130</f>
        <v>2.6087962956808042E-2</v>
      </c>
      <c r="N130" s="7">
        <f>24*60*SUM($M130:$M130)</f>
        <v>37.56666665780358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-07T17:48:06-0700',mode:absolute,to:'2017-11-07T20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23.299600000000002</v>
      </c>
      <c r="Z130" s="204">
        <f>RIGHT(H130,LEN(H130)-4)/10000</f>
        <v>2.3800000000000002E-2</v>
      </c>
      <c r="AA130" s="204">
        <f>ABS(Z130-Y130)</f>
        <v>23.2758</v>
      </c>
      <c r="AB130" s="54" t="e">
        <f>VLOOKUP(A130,Enforcements!$C$7:$K$10,8,0)</f>
        <v>#N/A</v>
      </c>
      <c r="AC130" s="51" t="e">
        <f>VLOOKUP(A130,Enforcements!$C$7:$E$10,3,0)</f>
        <v>#N/A</v>
      </c>
      <c r="AD130" s="179">
        <f>VALUE(LEFT(A130,LEN(A130)-3))</f>
        <v>216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s3://rtdc.mdm.uploadarchive.raw/RTDC4039/ "%USERPROFILE%\AppData\Local\Temp\OnboardLogs"\RTDC4039\2017-11-07 --exclude "*" --recursive --include "*20171107*" &amp; "%USERPROFILE%\Documents\GitHub\mrs-test-scripts\Headless Mode &amp; Sideloading\WalkAndUnGZ.bat" "%USERPROFILE%\AppData\Local\Temp\OnboardLogs"\RTDC4039\2017-11-07 &amp; aws s3 cp s3://rtdc.mdm.uploadarchive.raw/RTDC4039/ "%USERPROFILE%\AppData\Local\Temp\OnboardLogs"\RTDC4039\2017-11-08 --exclude "*" --recursive --include "*20171108*" &amp; "%USERPROFILE%\Documents\GitHub\mrs-test-scripts\Headless Mode &amp; Sideloading\WalkAndUnGZ.bat" "%USERPROFILE%\AppData\Local\Temp\OnboardLogs"\RTDC4039\2017-11-08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/stypes="app*4039*20171108*" /stext=" 02:.+((SYSTEM_STATE.+slice.+state.+changed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0"/>
        <v>"%USERPROFILE%\Documents\GitHub\eaglep3\Utilities\RefineRTDCRunTimes.py" --tripid 216-07 --locoid 4039 --swversion DE.1.0.9.0 --startMP 204:232996 --initTime 2017-11-07T18:48:06 --startdatetime 2017-11-07T18:57:18 --delay 66 --endMP 204:238 --enddatetime 2017-11-07T19:34:52 --enforcementcount 0 &gt;&gt;%USERPROFILE%\Documents\GitHub\eaglep3-reporting\EC\2017-11-07-refined-times.txt</v>
      </c>
      <c r="AI130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{"issue":{"subject":"","project_id":79,"tracker_id":40,"status_id":1,"priority_id":2,"assigned_to_id":338,"start_date":"2017-11-07","description":"","custom_fields":[{"id":1,"name":"Subdivision","value":"EC"},{"id":4,"name":"Milepost","value":"0.0238"},{"id":17,"name":"Train ID","value":"216-07"},{"id":16,"name":"Locomotive ID","value":"4039"},{"id":130,"name":"Impact","value":""},{"id":150,"name":"Time of Event (Mountain Time)","value":"19:34:52"},{"id":151,"name":"Denver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2"/>
        <v>start /low /b %USERPROFILE%\Documents\GitHub\eaglep3\Utilities\DownloadLogsFromS3.py --loco 4039 --day 2017-11-07</v>
      </c>
      <c r="AN130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4"/>
        <v>https://d0f6bd738d7f1b3e5a7ca70fe4ff75f0.us-east-1.aws.found.io/app/kibana#/discover/Steve-Slow-Train-Analysis-(2080s-and-2083s)?_g=(refreshInterval:(display:Off,pause:!f,section:0,value:0),time:(from:'2017-11-07T17:48:06-0700',mode:absolute,to:'2017-11-07T20:34:52-0700'))&amp;_a=(columns:!('Message%20ID',Summary),filters:!(),index:'emp_*',interval:auto,query:(query_string:(analyze_wildcard:!t,query:'%22rtdc.l.rtdc.4039%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840</v>
      </c>
      <c r="B131" s="7">
        <v>4008</v>
      </c>
      <c r="C131" s="21" t="s">
        <v>192</v>
      </c>
      <c r="D131" s="21" t="s">
        <v>973</v>
      </c>
      <c r="E131" s="13">
        <v>43046.756365740737</v>
      </c>
      <c r="F131" s="13">
        <v>43046.760763888888</v>
      </c>
      <c r="G131" s="7">
        <v>124</v>
      </c>
      <c r="H131" s="21" t="s">
        <v>974</v>
      </c>
      <c r="I131" s="13">
        <v>43046.78601851852</v>
      </c>
      <c r="J131" s="7">
        <v>0</v>
      </c>
      <c r="K131" s="89" t="str">
        <f>IF(ISEVEN(B131),(B131-1)&amp;"/"&amp;B131,B131&amp;"/"&amp;(B131+1))</f>
        <v>4007/4008</v>
      </c>
      <c r="L131" s="185" t="str">
        <f>VLOOKUP(A131,'Trips&amp;Operators'!$C$1:$G$99911,5,FALSE)</f>
        <v>NICHOLSON WESLEY</v>
      </c>
      <c r="M131" s="6">
        <f>I131-F131</f>
        <v>2.5254629632399883E-2</v>
      </c>
      <c r="N131" s="7">
        <f>24*60*SUM($M131:$M131)</f>
        <v>36.366666670655832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-07T17:09:10-0700',mode:absolute,to:'2017-11-07T19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5.3499999999999999E-2</v>
      </c>
      <c r="Z131" s="204">
        <f>RIGHT(H131,LEN(H131)-4)/10000</f>
        <v>23.3186</v>
      </c>
      <c r="AA131" s="204">
        <f>ABS(Z131-Y131)</f>
        <v>23.2651</v>
      </c>
      <c r="AB131" s="54" t="e">
        <f>VLOOKUP(A131,Enforcements!$C$7:$K$10,8,0)</f>
        <v>#N/A</v>
      </c>
      <c r="AC131" s="51" t="e">
        <f>VLOOKUP(A131,Enforcements!$C$7:$E$10,3,0)</f>
        <v>#N/A</v>
      </c>
      <c r="AD131" s="179">
        <f>VALUE(LEFT(A131,LEN(A131)-3))</f>
        <v>217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/stypes="app*4008*20171108*"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0"/>
        <v>"%USERPROFILE%\Documents\GitHub\eaglep3\Utilities\RefineRTDCRunTimes.py" --tripid 217-07 --locoid 4008 --swversion DE.1.0.9.0 --startMP 204:535 --initTime 2017-11-07T18:09:10 --startdatetime 2017-11-07T18:15:30 --delay 124 --endMP 204:233186 --enddatetime 2017-11-07T18:51:52 --enforcementcount 0 &gt;&gt;%USERPROFILE%\Documents\GitHub\eaglep3-reporting\EC\2017-11-07-refined-times.txt</v>
      </c>
      <c r="AI131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{"issue":{"subject":"","project_id":79,"tracker_id":40,"status_id":1,"priority_id":2,"assigned_to_id":338,"start_date":"2017-11-07","description":"","custom_fields":[{"id":1,"name":"Subdivision","value":"EC"},{"id":4,"name":"Milepost","value":"23.3186"},{"id":17,"name":"Train ID","value":"217-07"},{"id":16,"name":"Locomotive ID","value":"4008"},{"id":130,"name":"Impact","value":""},{"id":150,"name":"Time of Event (Mountain Time)","value":"18:51:52"},{"id":151,"name":"Denver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2"/>
        <v>start /low /b %USERPROFILE%\Documents\GitHub\eaglep3\Utilities\DownloadLogsFromS3.py --loco 4008 --day 2017-11-07</v>
      </c>
      <c r="AN131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4"/>
        <v>https://d0f6bd738d7f1b3e5a7ca70fe4ff75f0.us-east-1.aws.found.io/app/kibana#/discover/Steve-Slow-Train-Analysis-(2080s-and-2083s)?_g=(refreshInterval:(display:Off,pause:!f,section:0,value:0),time:(from:'2017-11-07T17:09:10-0700',mode:absolute,to:'2017-11-07T19:51:52-0700'))&amp;_a=(columns:!('Message%20ID',Summary),filters:!(),index:'emp_*',interval:auto,query:(query_string:(analyze_wildcard:!t,query:'%22rtdc.l.rtdc.4008%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852</v>
      </c>
      <c r="B132" s="7">
        <v>4007</v>
      </c>
      <c r="C132" s="21" t="s">
        <v>192</v>
      </c>
      <c r="D132" s="21" t="s">
        <v>975</v>
      </c>
      <c r="E132" s="13">
        <v>43046.790451388886</v>
      </c>
      <c r="F132" s="13">
        <v>43046.800243055557</v>
      </c>
      <c r="G132" s="7">
        <v>119</v>
      </c>
      <c r="H132" s="21" t="s">
        <v>966</v>
      </c>
      <c r="I132" s="13">
        <v>43046.827384259261</v>
      </c>
      <c r="J132" s="7">
        <v>0</v>
      </c>
      <c r="K132" s="89" t="str">
        <f>IF(ISEVEN(B132),(B132-1)&amp;"/"&amp;B132,B132&amp;"/"&amp;(B132+1))</f>
        <v>4007/4008</v>
      </c>
      <c r="L132" s="185" t="str">
        <f>VLOOKUP(A132,'Trips&amp;Operators'!$C$1:$G$99911,5,FALSE)</f>
        <v>NICHOLSON WESLEY</v>
      </c>
      <c r="M132" s="6">
        <f>I132-F132</f>
        <v>2.7141203703649808E-2</v>
      </c>
      <c r="N132" s="7">
        <f>24*60*SUM($M132:$M132)</f>
        <v>39.083333333255723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-07T17:58:15-0700',mode:absolute,to:'2017-11-07T20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23.2852</v>
      </c>
      <c r="Z132" s="204">
        <f>RIGHT(H132,LEN(H132)-4)/10000</f>
        <v>2.63E-2</v>
      </c>
      <c r="AA132" s="204">
        <f>ABS(Z132-Y132)</f>
        <v>23.258900000000001</v>
      </c>
      <c r="AB132" s="54" t="e">
        <f>VLOOKUP(A132,Enforcements!$C$7:$K$10,8,0)</f>
        <v>#N/A</v>
      </c>
      <c r="AC132" s="51" t="e">
        <f>VLOOKUP(A132,Enforcements!$C$7:$E$10,3,0)</f>
        <v>#N/A</v>
      </c>
      <c r="AD132" s="179">
        <f>VALUE(LEFT(A132,LEN(A132)-3))</f>
        <v>218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/stypes="app*4007*20171108*" /stext=" 02:.+((SYSTEM_STATE.+slice.+state.+changed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0"/>
        <v>"%USERPROFILE%\Documents\GitHub\eaglep3\Utilities\RefineRTDCRunTimes.py" --tripid 218-07 --locoid 4007 --swversion DE.1.0.9.0 --startMP 204:232852 --initTime 2017-11-07T18:58:15 --startdatetime 2017-11-07T19:12:21 --delay 119 --endMP 204:263 --enddatetime 2017-11-07T19:51:26 --enforcementcount 0 &gt;&gt;%USERPROFILE%\Documents\GitHub\eaglep3-reporting\EC\2017-11-07-refined-times.txt</v>
      </c>
      <c r="AI132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{"issue":{"subject":"","project_id":79,"tracker_id":40,"status_id":1,"priority_id":2,"assigned_to_id":338,"start_date":"2017-11-07","description":"","custom_fields":[{"id":1,"name":"Subdivision","value":"EC"},{"id":4,"name":"Milepost","value":"0.0263"},{"id":17,"name":"Train ID","value":"218-07"},{"id":16,"name":"Locomotive ID","value":"4007"},{"id":130,"name":"Impact","value":""},{"id":150,"name":"Time of Event (Mountain Time)","value":"19:51:26"},{"id":151,"name":"Denver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2"/>
        <v>start /low /b %USERPROFILE%\Documents\GitHub\eaglep3\Utilities\DownloadLogsFromS3.py --loco 4007 --day 2017-11-07</v>
      </c>
      <c r="AN132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4"/>
        <v>https://d0f6bd738d7f1b3e5a7ca70fe4ff75f0.us-east-1.aws.found.io/app/kibana#/discover/Steve-Slow-Train-Analysis-(2080s-and-2083s)?_g=(refreshInterval:(display:Off,pause:!f,section:0,value:0),time:(from:'2017-11-07T17:58:15-0700',mode:absolute,to:'2017-11-07T20:51:26-0700'))&amp;_a=(columns:!('Message%20ID',Summary),filters:!(),index:'emp_*',interval:auto,query:(query_string:(analyze_wildcard:!t,query:'%22rtdc.l.rtdc.4007%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844</v>
      </c>
      <c r="B133" s="7">
        <v>4022</v>
      </c>
      <c r="C133" s="21" t="s">
        <v>192</v>
      </c>
      <c r="D133" s="21" t="s">
        <v>975</v>
      </c>
      <c r="E133" s="13">
        <v>43046.790451388886</v>
      </c>
      <c r="F133" s="13">
        <v>43046.771805555552</v>
      </c>
      <c r="G133" s="7">
        <v>119</v>
      </c>
      <c r="H133" s="21" t="s">
        <v>966</v>
      </c>
      <c r="I133" s="13">
        <v>43046.797164351854</v>
      </c>
      <c r="J133" s="7">
        <v>0</v>
      </c>
      <c r="K133" s="89" t="str">
        <f>IF(ISEVEN(B133),(B133-1)&amp;"/"&amp;B133,B133&amp;"/"&amp;(B133+1))</f>
        <v>4021/4022</v>
      </c>
      <c r="L133" s="185" t="str">
        <f>VLOOKUP(A133,'Trips&amp;Operators'!$C$1:$G$99911,5,FALSE)</f>
        <v>ANDERS STEVEN</v>
      </c>
      <c r="M133" s="6">
        <f>I133-F133</f>
        <v>2.5358796301588882E-2</v>
      </c>
      <c r="N133" s="7">
        <f>24*60*SUM($M133:$M133)</f>
        <v>36.51666667428799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-07T17:58:15-0700',mode:absolute,to:'2017-11-07T20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v>5.3499999999999999E-2</v>
      </c>
      <c r="Z133" s="204">
        <v>23.3186</v>
      </c>
      <c r="AA133" s="204">
        <f>ABS(Z133-Y133)</f>
        <v>23.2651</v>
      </c>
      <c r="AB133" s="54" t="e">
        <f>VLOOKUP(A133,Enforcements!$C$7:$K$10,8,0)</f>
        <v>#N/A</v>
      </c>
      <c r="AC133" s="51" t="e">
        <f>VLOOKUP(A133,Enforcements!$C$7:$E$10,3,0)</f>
        <v>#N/A</v>
      </c>
      <c r="AD133" s="179">
        <f>VALUE(LEFT(A133,LEN(A133)-3))</f>
        <v>219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s3://rtdc.mdm.uploadarchive.raw/RTDC4022/ "%USERPROFILE%\AppData\Local\Temp\OnboardLogs"\RTDC4022\2017-11-07 --exclude "*" --recursive --include "*20171107*" &amp; "%USERPROFILE%\Documents\GitHub\mrs-test-scripts\Headless Mode &amp; Sideloading\WalkAndUnGZ.bat" "%USERPROFILE%\AppData\Local\Temp\OnboardLogs"\RTDC4022\2017-11-07 &amp; aws s3 cp s3://rtdc.mdm.uploadarchive.raw/RTDC4022/ "%USERPROFILE%\AppData\Local\Temp\OnboardLogs"\RTDC4022\2017-11-08 --exclude "*" --recursive --include "*20171108*" &amp; "%USERPROFILE%\Documents\GitHub\mrs-test-scripts\Headless Mode &amp; Sideloading\WalkAndUnGZ.bat" "%USERPROFILE%\AppData\Local\Temp\OnboardLogs"\RTDC4022\2017-11-08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/stypes="app*4022*20171108*"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ref="AH133" si="38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219-07 --locoid 4022 --swversion DE.1.0.9.0 --startMP 204:232852 --initTime 2017-11-07T18:58:15 --startdatetime 2017-11-07T18:31:24 --delay 119 --endMP 204:263 --enddatetime 2017-11-07T19:07:55 --enforcementcount 0 &gt;&gt;%USERPROFILE%\Documents\GitHub\eaglep3-reporting\EC\2017-11-07-refined-times.txt</v>
      </c>
      <c r="AI133" s="96" t="str">
        <f t="shared" ref="AI133" si="39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{"issue":{"subject":"","project_id":79,"tracker_id":40,"status_id":1,"priority_id":2,"assigned_to_id":338,"start_date":"2017-11-07","description":"","custom_fields":[{"id":1,"name":"Subdivision","value":"EC"},{"id":4,"name":"Milepost","value":"23.3186"},{"id":17,"name":"Train ID","value":"219-07"},{"id":16,"name":"Locomotive ID","value":"4022"},{"id":130,"name":"Impact","value":""},{"id":150,"name":"Time of Event (Mountain Time)","value":"19:07:55"},{"id":151,"name":"Denver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ref="AM133" si="40">"start /low /b "&amp;dls3logs&amp;" --loco "&amp;B133&amp;" --day "&amp;TEXT(F133,"YYYY-MM-DD")</f>
        <v>start /low /b %USERPROFILE%\Documents\GitHub\eaglep3\Utilities\DownloadLogsFromS3.py --loco 4022 --day 2017-11-07</v>
      </c>
      <c r="AN133" s="151" t="str">
        <f t="shared" ref="AN133" si="41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ref="AO133" si="42"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Message%20ID',Summary),filters:!(),index:'emp_*',interval:auto,query:"&amp;"(query_string:(analyze_wildcard:!t,query:'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-07T17:58:15-0700',mode:absolute,to:'2017-11-07T20:07:55-0700'))&amp;_a=(columns:!('Message%20ID',Summary),filters:!(),index:'emp_*',interval:auto,query:(query_string:(analyze_wildcard:!t,query:'%22rtdc.l.rtdc.4022%22')),sort:!(Time.ISO8601,asc))</v>
      </c>
    </row>
    <row r="134" spans="1:91" s="20" customFormat="1" x14ac:dyDescent="0.3">
      <c r="A134" s="32" t="s">
        <v>855</v>
      </c>
      <c r="B134" s="7">
        <v>4021</v>
      </c>
      <c r="C134" s="21" t="s">
        <v>192</v>
      </c>
      <c r="D134" s="21" t="s">
        <v>975</v>
      </c>
      <c r="E134" s="13">
        <v>43046.790451388886</v>
      </c>
      <c r="F134" s="13">
        <v>43046.810671296298</v>
      </c>
      <c r="G134" s="7">
        <v>119</v>
      </c>
      <c r="H134" s="21" t="s">
        <v>966</v>
      </c>
      <c r="I134" s="13">
        <v>43046.839189814818</v>
      </c>
      <c r="J134" s="7">
        <v>0</v>
      </c>
      <c r="K134" s="89" t="str">
        <f>IF(ISEVEN(B134),(B134-1)&amp;"/"&amp;B134,B134&amp;"/"&amp;(B134+1))</f>
        <v>4021/4022</v>
      </c>
      <c r="L134" s="185" t="str">
        <f>VLOOKUP(A134,'Trips&amp;Operators'!$C$1:$G$99911,5,FALSE)</f>
        <v>ANDERS STEVEN</v>
      </c>
      <c r="M134" s="6">
        <f>I134-F134</f>
        <v>2.8518518520286307E-2</v>
      </c>
      <c r="N134" s="7">
        <f>24*60*SUM($M134:$M134)</f>
        <v>41.066666669212282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-07T17:58:15-0700',mode:absolute,to:'2017-11-07T21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v>23.2852</v>
      </c>
      <c r="Z134" s="204">
        <v>2.63E-2</v>
      </c>
      <c r="AA134" s="204">
        <f>ABS(Z134-Y134)</f>
        <v>23.258900000000001</v>
      </c>
      <c r="AB134" s="54" t="e">
        <f>VLOOKUP(A134,Enforcements!$C$7:$K$10,8,0)</f>
        <v>#N/A</v>
      </c>
      <c r="AC134" s="51" t="e">
        <f>VLOOKUP(A134,Enforcements!$C$7:$E$10,3,0)</f>
        <v>#N/A</v>
      </c>
      <c r="AD134" s="179">
        <f>VALUE(LEFT(A134,LEN(A134)-3))</f>
        <v>220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s3://rtdc.mdm.uploadarchive.raw/RTDC4021/ "%USERPROFILE%\AppData\Local\Temp\OnboardLogs"\RTDC4021\2017-11-07 --exclude "*" --recursive --include "*20171107*" &amp; "%USERPROFILE%\Documents\GitHub\mrs-test-scripts\Headless Mode &amp; Sideloading\WalkAndUnGZ.bat" "%USERPROFILE%\AppData\Local\Temp\OnboardLogs"\RTDC4021\2017-11-07 &amp; aws s3 cp s3://rtdc.mdm.uploadarchive.raw/RTDC4021/ "%USERPROFILE%\AppData\Local\Temp\OnboardLogs"\RTDC4021\2017-11-08 --exclude "*" --recursive --include "*20171108*" &amp; "%USERPROFILE%\Documents\GitHub\mrs-test-scripts\Headless Mode &amp; Sideloading\WalkAndUnGZ.bat" "%USERPROFILE%\AppData\Local\Temp\OnboardLogs"\RTDC4021\2017-11-08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/stypes="app*4021*20171108*" /stext=" 03:.+((SYSTEM_STATE.+slice.+state.+changed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ref="AH134" si="43">refinertdcruntimes&amp;" --tripid "&amp;A134&amp;" --locoid "&amp;B134&amp;" --swversion "&amp;C134&amp;" --startMP "&amp;D134&amp;" --initTime "&amp;TEXT(E134,"yyyy-mm-ddTHH:MM:SS")&amp;" --startdatetime "&amp;TEXT(F134,"yyyy-mm-ddTHH:MM:SS")&amp;" --delay "&amp;G134&amp;" --endMP "&amp;H134&amp;" --enddatetime "&amp;TEXT(I134,"yyyy-mm-ddTHH:MM:SS")&amp;" --enforcementcount "&amp;J134&amp;IF(outputrefinedruntimes," &gt;&gt;"&amp;RefinedRTDCRunTimesOutputFile,"")</f>
        <v>"%USERPROFILE%\Documents\GitHub\eaglep3\Utilities\RefineRTDCRunTimes.py" --tripid 220-07 --locoid 4021 --swversion DE.1.0.9.0 --startMP 204:232852 --initTime 2017-11-07T18:58:15 --startdatetime 2017-11-07T19:27:22 --delay 119 --endMP 204:263 --enddatetime 2017-11-07T20:08:26 --enforcementcount 0 &gt;&gt;%USERPROFILE%\Documents\GitHub\eaglep3-reporting\EC\2017-11-07-refined-times.txt</v>
      </c>
      <c r="AI134" s="96" t="str">
        <f t="shared" ref="AI134" si="44">"echo {""issue"":{""subject"":"""&amp;R134&amp;""",""project_id"":79,""tracker_id"":40,""status_id"":"&amp;redmine_status&amp;",""priority_id"":"&amp;redmine_priority&amp;",""assigned_to_id"":"&amp;redmine_assignee&amp;",""start_date"":"""&amp;TEXT(I134,"YYYY-mm-dd")&amp;""",""description"":"""&amp;AJ134&amp;""",""custom_fields"":[{""id"":1,""name"":""Subdivision"",""value"":"""&amp;AG134&amp;"""},{""id"":4,""name"":""Milepost"",""value"":"""&amp;Z134&amp;"""},{""id"":17,""name"":""Train ID"",""value"":"""&amp;A134&amp;"""},{""id"":16,""name"":""Locomotive ID"",""value"":"""&amp;B134&amp;"""},{""id"":130,""name"":""Impact"",""value"":"""&amp;AK134&amp;"""},{""id"":150,""name"":""Time of Event (Mountain Time)"",""value"":"""&amp;TEXT(I134,"hh:mm:ss")&amp;"""},{""id"":151,""name"":""Denver Issue ID"",""value"":"""&amp;"""},{""id"":178,""name"":""Operational Impact"",""value"":"""&amp;redmine_op_impact&amp;"""},{""id"":179,""name"":""Denver Segment Assigned"",""value"":"""&amp;AL134&amp;"""}]}}"&amp;"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{"issue":{"subject":"","project_id":79,"tracker_id":40,"status_id":1,"priority_id":2,"assigned_to_id":338,"start_date":"2017-11-07","description":"","custom_fields":[{"id":1,"name":"Subdivision","value":"EC"},{"id":4,"name":"Milepost","value":"0.0263"},{"id":17,"name":"Train ID","value":"220-07"},{"id":16,"name":"Locomotive ID","value":"4021"},{"id":130,"name":"Impact","value":""},{"id":150,"name":"Time of Event (Mountain Time)","value":"20:08:26"},{"id":151,"name":"Denver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ref="AM134" si="45">"start /low /b "&amp;dls3logs&amp;" --loco "&amp;B134&amp;" --day "&amp;TEXT(F134,"YYYY-MM-DD")</f>
        <v>start /low /b %USERPROFILE%\Documents\GitHub\eaglep3\Utilities\DownloadLogsFromS3.py --loco 4021 --day 2017-11-07</v>
      </c>
      <c r="AN134" s="151" t="str">
        <f t="shared" ref="AN134" si="46">"echo {""issue"":{""subject"":"""&amp;R134&amp;""",""project_id"":30,""tracker_id"":4,""status_id"":"&amp;redmine_status_wcr&amp;",""priority_id"":"&amp;redmine_priority_wcr&amp;",""assigned_to_id"":"&amp;redmine_assignee_wcr&amp;",""start_date"":"""&amp;TEXT(I134-utc_offset/24,"YYYY-mm-dd")&amp;""",""description"":"""&amp;AJ134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03:08:26"},{"id":29,"name":"Sharepoint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ref="AO134" si="47"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Message%20ID',Summary),filters:!(),index:'emp_*',interval:auto,query:"&amp;"(query_string:(analyze_wildcard:!t,query:'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-07T17:58:15-0700',mode:absolute,to:'2017-11-07T21:08:26-0700'))&amp;_a=(columns:!('Message%20ID',Summary),filters:!(),index:'emp_*',interval:auto,query:(query_string:(analyze_wildcard:!t,query:'%22rtdc.l.rtdc.4021%22')),sort:!(Time.ISO8601,asc))</v>
      </c>
    </row>
    <row r="135" spans="1:91" s="20" customFormat="1" x14ac:dyDescent="0.3">
      <c r="A135" s="32" t="s">
        <v>851</v>
      </c>
      <c r="B135" s="7">
        <v>4042</v>
      </c>
      <c r="C135" s="21" t="s">
        <v>192</v>
      </c>
      <c r="D135" s="21" t="s">
        <v>957</v>
      </c>
      <c r="E135" s="13">
        <v>43046.789571759262</v>
      </c>
      <c r="F135" s="13">
        <v>43046.791851851849</v>
      </c>
      <c r="G135" s="7">
        <v>70</v>
      </c>
      <c r="H135" s="21" t="s">
        <v>587</v>
      </c>
      <c r="I135" s="13">
        <v>43046.816608796296</v>
      </c>
      <c r="J135" s="7">
        <v>0</v>
      </c>
      <c r="K135" s="89" t="str">
        <f>IF(ISEVEN(B135),(B135-1)&amp;"/"&amp;B135,B135&amp;"/"&amp;(B135+1))</f>
        <v>4041/4042</v>
      </c>
      <c r="L135" s="185" t="str">
        <f>VLOOKUP(A135,'Trips&amp;Operators'!$C$1:$G$99911,5,FALSE)</f>
        <v>GUNTHIER ERIC</v>
      </c>
      <c r="M135" s="6">
        <f>I135-F135</f>
        <v>2.4756944447290152E-2</v>
      </c>
      <c r="N135" s="7">
        <f>24*60*SUM($M135:$M135)</f>
        <v>35.650000004097819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-07T17:56:59-0700',mode:absolute,to:'2017-11-07T20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5.7000000000000002E-2</v>
      </c>
      <c r="Z135" s="204">
        <f>RIGHT(H135,LEN(H135)-4)/10000</f>
        <v>23.327400000000001</v>
      </c>
      <c r="AA135" s="204">
        <f>ABS(Z135-Y135)</f>
        <v>23.270400000000002</v>
      </c>
      <c r="AB135" s="54" t="e">
        <f>VLOOKUP(A135,Enforcements!$C$7:$K$10,8,0)</f>
        <v>#N/A</v>
      </c>
      <c r="AC135" s="51" t="e">
        <f>VLOOKUP(A135,Enforcements!$C$7:$E$10,3,0)</f>
        <v>#N/A</v>
      </c>
      <c r="AD135" s="179">
        <f>VALUE(LEFT(A135,LEN(A135)-3))</f>
        <v>221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/stypes="app*4042*20171108*"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0"/>
        <v>"%USERPROFILE%\Documents\GitHub\eaglep3\Utilities\RefineRTDCRunTimes.py" --tripid 221-07 --locoid 4042 --swversion DE.1.0.9.0 --startMP 204:570 --initTime 2017-11-07T18:56:59 --startdatetime 2017-11-07T19:00:16 --delay 70 --endMP 204:233274 --enddatetime 2017-11-07T19:35:55 --enforcementcount 0 &gt;&gt;%USERPROFILE%\Documents\GitHub\eaglep3-reporting\EC\2017-11-07-refined-times.txt</v>
      </c>
      <c r="AI135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{"issue":{"subject":"","project_id":79,"tracker_id":40,"status_id":1,"priority_id":2,"assigned_to_id":338,"start_date":"2017-11-07","description":"","custom_fields":[{"id":1,"name":"Subdivision","value":"EC"},{"id":4,"name":"Milepost","value":"23.3274"},{"id":17,"name":"Train ID","value":"221-07"},{"id":16,"name":"Locomotive ID","value":"4042"},{"id":130,"name":"Impact","value":""},{"id":150,"name":"Time of Event (Mountain Time)","value":"19:35:55"},{"id":151,"name":"Denver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2"/>
        <v>start /low /b %USERPROFILE%\Documents\GitHub\eaglep3\Utilities\DownloadLogsFromS3.py --loco 4042 --day 2017-11-07</v>
      </c>
      <c r="AN135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4"/>
        <v>https://d0f6bd738d7f1b3e5a7ca70fe4ff75f0.us-east-1.aws.found.io/app/kibana#/discover/Steve-Slow-Train-Analysis-(2080s-and-2083s)?_g=(refreshInterval:(display:Off,pause:!f,section:0,value:0),time:(from:'2017-11-07T17:56:59-0700',mode:absolute,to:'2017-11-07T20:35:55-0700'))&amp;_a=(columns:!('Message%20ID',Summary),filters:!(),index:'emp_*',interval:auto,query:(query_string:(analyze_wildcard:!t,query:'%22rtdc.l.rtdc.4042%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859</v>
      </c>
      <c r="B136" s="7">
        <v>4041</v>
      </c>
      <c r="C136" s="21" t="s">
        <v>192</v>
      </c>
      <c r="D136" s="21" t="s">
        <v>591</v>
      </c>
      <c r="E136" s="13">
        <v>43046.821284722224</v>
      </c>
      <c r="F136" s="13">
        <v>43046.831435185188</v>
      </c>
      <c r="G136" s="7">
        <v>88</v>
      </c>
      <c r="H136" s="21" t="s">
        <v>482</v>
      </c>
      <c r="I136" s="13">
        <v>43046.857152777775</v>
      </c>
      <c r="J136" s="7">
        <v>0</v>
      </c>
      <c r="K136" s="89" t="str">
        <f>IF(ISEVEN(B136),(B136-1)&amp;"/"&amp;B136,B136&amp;"/"&amp;(B136+1))</f>
        <v>4041/4042</v>
      </c>
      <c r="L136" s="185" t="str">
        <f>VLOOKUP(A136,'Trips&amp;Operators'!$C$1:$G$99911,5,FALSE)</f>
        <v>GUNTHIER ERIC</v>
      </c>
      <c r="M136" s="6">
        <f>I136-F136</f>
        <v>2.5717592587170657E-2</v>
      </c>
      <c r="N136" s="7">
        <f>24*60*SUM($M136:$M136)</f>
        <v>37.033333325525746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-07T18:42:39-0700',mode:absolute,to:'2017-11-07T21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23.2957</v>
      </c>
      <c r="Z136" s="204">
        <f>RIGHT(H136,LEN(H136)-4)/10000</f>
        <v>2.1399999999999999E-2</v>
      </c>
      <c r="AA136" s="204">
        <f>ABS(Z136-Y136)</f>
        <v>23.2743</v>
      </c>
      <c r="AB136" s="54" t="e">
        <f>VLOOKUP(A136,Enforcements!$C$7:$K$10,8,0)</f>
        <v>#N/A</v>
      </c>
      <c r="AC136" s="51" t="e">
        <f>VLOOKUP(A136,Enforcements!$C$7:$E$10,3,0)</f>
        <v>#N/A</v>
      </c>
      <c r="AD136" s="179">
        <f>VALUE(LEFT(A136,LEN(A136)-3))</f>
        <v>222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/stypes="app*4041*20171108*" /stext=" 03:.+((SYSTEM_STATE.+slice.+state.+changed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0"/>
        <v>"%USERPROFILE%\Documents\GitHub\eaglep3\Utilities\RefineRTDCRunTimes.py" --tripid 222-07 --locoid 4041 --swversion DE.1.0.9.0 --startMP 204:232957 --initTime 2017-11-07T19:42:39 --startdatetime 2017-11-07T19:57:16 --delay 88 --endMP 204:214 --enddatetime 2017-11-07T20:34:18 --enforcementcount 0 &gt;&gt;%USERPROFILE%\Documents\GitHub\eaglep3-reporting\EC\2017-11-07-refined-times.txt</v>
      </c>
      <c r="AI136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{"issue":{"subject":"","project_id":79,"tracker_id":40,"status_id":1,"priority_id":2,"assigned_to_id":338,"start_date":"2017-11-07","description":"","custom_fields":[{"id":1,"name":"Subdivision","value":"EC"},{"id":4,"name":"Milepost","value":"0.0214"},{"id":17,"name":"Train ID","value":"222-07"},{"id":16,"name":"Locomotive ID","value":"4041"},{"id":130,"name":"Impact","value":""},{"id":150,"name":"Time of Event (Mountain Time)","value":"20:34:18"},{"id":151,"name":"Denver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2"/>
        <v>start /low /b %USERPROFILE%\Documents\GitHub\eaglep3\Utilities\DownloadLogsFromS3.py --loco 4041 --day 2017-11-07</v>
      </c>
      <c r="AN136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03:34:18"},{"id":29,"name":"Sharepoint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4"/>
        <v>https://d0f6bd738d7f1b3e5a7ca70fe4ff75f0.us-east-1.aws.found.io/app/kibana#/discover/Steve-Slow-Train-Analysis-(2080s-and-2083s)?_g=(refreshInterval:(display:Off,pause:!f,section:0,value:0),time:(from:'2017-11-07T18:42:39-0700',mode:absolute,to:'2017-11-07T21:34:18-0700'))&amp;_a=(columns:!('Message%20ID',Summary),filters:!(),index:'emp_*',interval:auto,query:(query_string:(analyze_wildcard:!t,query:'%22rtdc.l.rtdc.4041%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856</v>
      </c>
      <c r="B137" s="7">
        <v>4064</v>
      </c>
      <c r="C137" s="21" t="s">
        <v>192</v>
      </c>
      <c r="D137" s="21" t="s">
        <v>533</v>
      </c>
      <c r="E137" s="13">
        <v>43046.808125000003</v>
      </c>
      <c r="F137" s="13">
        <v>43046.812708333331</v>
      </c>
      <c r="G137" s="7">
        <v>69</v>
      </c>
      <c r="H137" s="21" t="s">
        <v>481</v>
      </c>
      <c r="I137" s="13">
        <v>43046.837847222225</v>
      </c>
      <c r="J137" s="7">
        <v>0</v>
      </c>
      <c r="K137" s="89" t="str">
        <f>IF(ISEVEN(B137),(B137-1)&amp;"/"&amp;B137,B137&amp;"/"&amp;(B137+1))</f>
        <v>4063/4064</v>
      </c>
      <c r="L137" s="185" t="str">
        <f>VLOOKUP(A137,'Trips&amp;Operators'!$C$1:$G$99911,5,FALSE)</f>
        <v>LOZA FIDEL</v>
      </c>
      <c r="M137" s="6">
        <f>I137-F137</f>
        <v>2.513888889370719E-2</v>
      </c>
      <c r="N137" s="7">
        <f>24*60*SUM($M137:$M137)</f>
        <v>36.200000006938353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-07T18:23:42-0700',mode:absolute,to:'2017-11-07T21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4.9500000000000002E-2</v>
      </c>
      <c r="Z137" s="204">
        <f>RIGHT(H137,LEN(H137)-4)/10000</f>
        <v>23.325299999999999</v>
      </c>
      <c r="AA137" s="204">
        <f>ABS(Z137-Y137)</f>
        <v>23.2758</v>
      </c>
      <c r="AB137" s="54" t="e">
        <f>VLOOKUP(A137,Enforcements!$C$7:$K$10,8,0)</f>
        <v>#N/A</v>
      </c>
      <c r="AC137" s="51" t="e">
        <f>VLOOKUP(A137,Enforcements!$C$7:$E$10,3,0)</f>
        <v>#N/A</v>
      </c>
      <c r="AD137" s="179">
        <f>VALUE(LEFT(A137,LEN(A137)-3))</f>
        <v>223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/stypes="app*4064*20171108*" /stext=" 03:.+((SYSTEM_STATE.+slice.+state.+changed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0"/>
        <v>"%USERPROFILE%\Documents\GitHub\eaglep3\Utilities\RefineRTDCRunTimes.py" --tripid 223-07 --locoid 4064 --swversion DE.1.0.9.0 --startMP 204:495 --initTime 2017-11-07T19:23:42 --startdatetime 2017-11-07T19:30:18 --delay 69 --endMP 204:233253 --enddatetime 2017-11-07T20:06:30 --enforcementcount 0 &gt;&gt;%USERPROFILE%\Documents\GitHub\eaglep3-reporting\EC\2017-11-07-refined-times.txt</v>
      </c>
      <c r="AI137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{"issue":{"subject":"","project_id":79,"tracker_id":40,"status_id":1,"priority_id":2,"assigned_to_id":338,"start_date":"2017-11-07","description":"","custom_fields":[{"id":1,"name":"Subdivision","value":"EC"},{"id":4,"name":"Milepost","value":"23.3253"},{"id":17,"name":"Train ID","value":"223-07"},{"id":16,"name":"Locomotive ID","value":"4064"},{"id":130,"name":"Impact","value":""},{"id":150,"name":"Time of Event (Mountain Time)","value":"20:06:30"},{"id":151,"name":"Denver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2"/>
        <v>start /low /b %USERPROFILE%\Documents\GitHub\eaglep3\Utilities\DownloadLogsFromS3.py --loco 4064 --day 2017-11-07</v>
      </c>
      <c r="AN137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4"/>
        <v>https://d0f6bd738d7f1b3e5a7ca70fe4ff75f0.us-east-1.aws.found.io/app/kibana#/discover/Steve-Slow-Train-Analysis-(2080s-and-2083s)?_g=(refreshInterval:(display:Off,pause:!f,section:0,value:0),time:(from:'2017-11-07T18:23:42-0700',mode:absolute,to:'2017-11-07T21:06:30-0700'))&amp;_a=(columns:!('Message%20ID',Summary),filters:!(),index:'emp_*',interval:auto,query:(query_string:(analyze_wildcard:!t,query:'%22rtdc.l.rtdc.4064%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865</v>
      </c>
      <c r="B138" s="7">
        <v>4063</v>
      </c>
      <c r="C138" s="21" t="s">
        <v>192</v>
      </c>
      <c r="D138" s="21" t="s">
        <v>500</v>
      </c>
      <c r="E138" s="13">
        <v>43046.846678240741</v>
      </c>
      <c r="F138" s="13">
        <v>43046.852256944447</v>
      </c>
      <c r="G138" s="7">
        <v>80</v>
      </c>
      <c r="H138" s="21" t="s">
        <v>506</v>
      </c>
      <c r="I138" s="13">
        <v>43046.879050925927</v>
      </c>
      <c r="J138" s="7">
        <v>0</v>
      </c>
      <c r="K138" s="89" t="str">
        <f>IF(ISEVEN(B138),(B138-1)&amp;"/"&amp;B138,B138&amp;"/"&amp;(B138+1))</f>
        <v>4063/4064</v>
      </c>
      <c r="L138" s="185" t="str">
        <f>VLOOKUP(A138,'Trips&amp;Operators'!$C$1:$G$99911,5,FALSE)</f>
        <v>LOZA FIDEL</v>
      </c>
      <c r="M138" s="6">
        <f>I138-F138</f>
        <v>2.679398148029577E-2</v>
      </c>
      <c r="N138" s="7">
        <f>24*60*SUM($M138:$M138)</f>
        <v>38.583333331625909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-07T19:19:13-0700',mode:absolute,to:'2017-11-07T22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23.292999999999999</v>
      </c>
      <c r="Z138" s="204">
        <f>RIGHT(H138,LEN(H138)-4)/10000</f>
        <v>2.07E-2</v>
      </c>
      <c r="AA138" s="204">
        <f>ABS(Z138-Y138)</f>
        <v>23.272299999999998</v>
      </c>
      <c r="AB138" s="54" t="e">
        <f>VLOOKUP(A138,Enforcements!$C$7:$K$10,8,0)</f>
        <v>#N/A</v>
      </c>
      <c r="AC138" s="51" t="e">
        <f>VLOOKUP(A138,Enforcements!$C$7:$E$10,3,0)</f>
        <v>#N/A</v>
      </c>
      <c r="AD138" s="179">
        <f>VALUE(LEFT(A138,LEN(A138)-3))</f>
        <v>224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/stypes="app*4063*20171108*" /stext=" 04:.+((SYSTEM_STATE.+slice.+state.+changed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0"/>
        <v>"%USERPROFILE%\Documents\GitHub\eaglep3\Utilities\RefineRTDCRunTimes.py" --tripid 224-07 --locoid 4063 --swversion DE.1.0.9.0 --startMP 204:232930 --initTime 2017-11-07T20:19:13 --startdatetime 2017-11-07T20:27:15 --delay 80 --endMP 204:207 --enddatetime 2017-11-07T21:05:50 --enforcementcount 0 &gt;&gt;%USERPROFILE%\Documents\GitHub\eaglep3-reporting\EC\2017-11-07-refined-times.txt</v>
      </c>
      <c r="AI138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{"issue":{"subject":"","project_id":79,"tracker_id":40,"status_id":1,"priority_id":2,"assigned_to_id":338,"start_date":"2017-11-07","description":"","custom_fields":[{"id":1,"name":"Subdivision","value":"EC"},{"id":4,"name":"Milepost","value":"0.0207"},{"id":17,"name":"Train ID","value":"224-07"},{"id":16,"name":"Locomotive ID","value":"4063"},{"id":130,"name":"Impact","value":""},{"id":150,"name":"Time of Event (Mountain Time)","value":"21:05:50"},{"id":151,"name":"Denver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2"/>
        <v>start /low /b %USERPROFILE%\Documents\GitHub\eaglep3\Utilities\DownloadLogsFromS3.py --loco 4063 --day 2017-11-07</v>
      </c>
      <c r="AN138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04:05:50"},{"id":29,"name":"Sharepoint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4"/>
        <v>https://d0f6bd738d7f1b3e5a7ca70fe4ff75f0.us-east-1.aws.found.io/app/kibana#/discover/Steve-Slow-Train-Analysis-(2080s-and-2083s)?_g=(refreshInterval:(display:Off,pause:!f,section:0,value:0),time:(from:'2017-11-07T19:19:13-0700',mode:absolute,to:'2017-11-07T22:05:50-0700'))&amp;_a=(columns:!('Message%20ID',Summary),filters:!(),index:'emp_*',interval:auto,query:(query_string:(analyze_wildcard:!t,query:'%22rtdc.l.rtdc.4063%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860</v>
      </c>
      <c r="B139" s="7">
        <v>4008</v>
      </c>
      <c r="C139" s="21" t="s">
        <v>192</v>
      </c>
      <c r="D139" s="21" t="s">
        <v>516</v>
      </c>
      <c r="E139" s="13">
        <v>43046.829756944448</v>
      </c>
      <c r="F139" s="13">
        <v>43046.83353009259</v>
      </c>
      <c r="G139" s="7">
        <v>98</v>
      </c>
      <c r="H139" s="21" t="s">
        <v>593</v>
      </c>
      <c r="I139" s="13">
        <v>43046.858761574076</v>
      </c>
      <c r="J139" s="7">
        <v>0</v>
      </c>
      <c r="K139" s="89" t="str">
        <f>IF(ISEVEN(B139),(B139-1)&amp;"/"&amp;B139,B139&amp;"/"&amp;(B139+1))</f>
        <v>4007/4008</v>
      </c>
      <c r="L139" s="185" t="str">
        <f>VLOOKUP(A139,'Trips&amp;Operators'!$C$1:$G$99911,5,FALSE)</f>
        <v>NICHOLSON WESLEY</v>
      </c>
      <c r="M139" s="6">
        <f>I139-F139</f>
        <v>2.5231481486116536E-2</v>
      </c>
      <c r="N139" s="7">
        <f>24*60*SUM($M139:$M139)</f>
        <v>36.333333340007812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-07T18:54:51-0700',mode:absolute,to:'2017-11-07T21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5.6599999999999998E-2</v>
      </c>
      <c r="Z139" s="204">
        <f>RIGHT(H139,LEN(H139)-4)/10000</f>
        <v>23.328199999999999</v>
      </c>
      <c r="AA139" s="204">
        <f>ABS(Z139-Y139)</f>
        <v>23.271599999999999</v>
      </c>
      <c r="AB139" s="54" t="e">
        <f>VLOOKUP(A139,Enforcements!$C$7:$K$10,8,0)</f>
        <v>#N/A</v>
      </c>
      <c r="AC139" s="51" t="e">
        <f>VLOOKUP(A139,Enforcements!$C$7:$E$10,3,0)</f>
        <v>#N/A</v>
      </c>
      <c r="AD139" s="179">
        <f>VALUE(LEFT(A139,LEN(A139)-3))</f>
        <v>225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/stypes="app*4008*20171108*"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0"/>
        <v>"%USERPROFILE%\Documents\GitHub\eaglep3\Utilities\RefineRTDCRunTimes.py" --tripid 225-07 --locoid 4008 --swversion DE.1.0.9.0 --startMP 204:566 --initTime 2017-11-07T19:54:51 --startdatetime 2017-11-07T20:00:17 --delay 98 --endMP 204:233282 --enddatetime 2017-11-07T20:36:37 --enforcementcount 0 &gt;&gt;%USERPROFILE%\Documents\GitHub\eaglep3-reporting\EC\2017-11-07-refined-times.txt</v>
      </c>
      <c r="AI139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{"issue":{"subject":"","project_id":79,"tracker_id":40,"status_id":1,"priority_id":2,"assigned_to_id":338,"start_date":"2017-11-07","description":"","custom_fields":[{"id":1,"name":"Subdivision","value":"EC"},{"id":4,"name":"Milepost","value":"23.3282"},{"id":17,"name":"Train ID","value":"225-07"},{"id":16,"name":"Locomotive ID","value":"4008"},{"id":130,"name":"Impact","value":""},{"id":150,"name":"Time of Event (Mountain Time)","value":"20:36:37"},{"id":151,"name":"Denver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2"/>
        <v>start /low /b %USERPROFILE%\Documents\GitHub\eaglep3\Utilities\DownloadLogsFromS3.py --loco 4008 --day 2017-11-07</v>
      </c>
      <c r="AN139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4"/>
        <v>https://d0f6bd738d7f1b3e5a7ca70fe4ff75f0.us-east-1.aws.found.io/app/kibana#/discover/Steve-Slow-Train-Analysis-(2080s-and-2083s)?_g=(refreshInterval:(display:Off,pause:!f,section:0,value:0),time:(from:'2017-11-07T18:54:51-0700',mode:absolute,to:'2017-11-07T21:36:37-0700'))&amp;_a=(columns:!('Message%20ID',Summary),filters:!(),index:'emp_*',interval:auto,query:(query_string:(analyze_wildcard:!t,query:'%22rtdc.l.rtdc.4008%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868</v>
      </c>
      <c r="B140" s="7">
        <v>4007</v>
      </c>
      <c r="C140" s="21" t="s">
        <v>192</v>
      </c>
      <c r="D140" s="21" t="s">
        <v>516</v>
      </c>
      <c r="E140" s="13">
        <v>43046.829756944448</v>
      </c>
      <c r="F140" s="13">
        <v>43046.873113425929</v>
      </c>
      <c r="G140" s="7">
        <v>98</v>
      </c>
      <c r="H140" s="21" t="s">
        <v>593</v>
      </c>
      <c r="I140" s="13">
        <v>43046.900439814817</v>
      </c>
      <c r="J140" s="7">
        <v>0</v>
      </c>
      <c r="K140" s="89" t="str">
        <f>IF(ISEVEN(B140),(B140-1)&amp;"/"&amp;B140,B140&amp;"/"&amp;(B140+1))</f>
        <v>4007/4008</v>
      </c>
      <c r="L140" s="185" t="str">
        <f>VLOOKUP(A140,'Trips&amp;Operators'!$C$1:$G$99911,5,FALSE)</f>
        <v>NICHOLSON WESLEY</v>
      </c>
      <c r="M140" s="6">
        <f>I140-F140</f>
        <v>2.73263888884685E-2</v>
      </c>
      <c r="N140" s="7">
        <f>24*60*SUM($M140:$M140)</f>
        <v>39.34999999939464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-07T18:54:51-0700',mode:absolute,to:'2017-11-07T22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v>23.292999999999999</v>
      </c>
      <c r="Z140" s="204">
        <v>2.07E-2</v>
      </c>
      <c r="AA140" s="204">
        <f>ABS(Z140-Y140)</f>
        <v>23.272299999999998</v>
      </c>
      <c r="AB140" s="54" t="e">
        <f>VLOOKUP(A140,Enforcements!$C$7:$K$10,8,0)</f>
        <v>#N/A</v>
      </c>
      <c r="AC140" s="51" t="e">
        <f>VLOOKUP(A140,Enforcements!$C$7:$E$10,3,0)</f>
        <v>#N/A</v>
      </c>
      <c r="AD140" s="179">
        <f>VALUE(LEFT(A140,LEN(A140)-3))</f>
        <v>226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/stypes="app*4007*20171108*" /stext=" 04:.+((SYSTEM_STATE.+slice.+state.+changed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ref="AH140" si="48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226-07 --locoid 4007 --swversion DE.1.0.9.0 --startMP 204:566 --initTime 2017-11-07T19:54:51 --startdatetime 2017-11-07T20:57:17 --delay 98 --endMP 204:233282 --enddatetime 2017-11-07T21:36:38 --enforcementcount 0 &gt;&gt;%USERPROFILE%\Documents\GitHub\eaglep3-reporting\EC\2017-11-07-refined-times.txt</v>
      </c>
      <c r="AI140" s="96" t="str">
        <f t="shared" ref="AI140" si="49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{"issue":{"subject":"","project_id":79,"tracker_id":40,"status_id":1,"priority_id":2,"assigned_to_id":338,"start_date":"2017-11-07","description":"","custom_fields":[{"id":1,"name":"Subdivision","value":"EC"},{"id":4,"name":"Milepost","value":"0.0207"},{"id":17,"name":"Train ID","value":"226-07"},{"id":16,"name":"Locomotive ID","value":"4007"},{"id":130,"name":"Impact","value":""},{"id":150,"name":"Time of Event (Mountain Time)","value":"21:36:38"},{"id":151,"name":"Denver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ref="AM140" si="50">"start /low /b "&amp;dls3logs&amp;" --loco "&amp;B140&amp;" --day "&amp;TEXT(F140,"YYYY-MM-DD")</f>
        <v>start /low /b %USERPROFILE%\Documents\GitHub\eaglep3\Utilities\DownloadLogsFromS3.py --loco 4007 --day 2017-11-07</v>
      </c>
      <c r="AN140" s="151" t="str">
        <f t="shared" ref="AN140" si="51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ref="AO140" si="52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-07T18:54:51-0700',mode:absolute,to:'2017-11-07T22:36:38-0700'))&amp;_a=(columns:!('Message%20ID',Summary),filters:!(),index:'emp_*',interval:auto,query:(query_string:(analyze_wildcard:!t,query:'%22rtdc.l.rtdc.4007%22')),sort:!(Time.ISO8601,asc))</v>
      </c>
    </row>
    <row r="141" spans="1:91" s="20" customFormat="1" x14ac:dyDescent="0.3">
      <c r="A141" s="32" t="s">
        <v>864</v>
      </c>
      <c r="B141" s="7">
        <v>4022</v>
      </c>
      <c r="C141" s="21" t="s">
        <v>192</v>
      </c>
      <c r="D141" s="21" t="s">
        <v>967</v>
      </c>
      <c r="E141" s="13">
        <v>43046.840844907405</v>
      </c>
      <c r="F141" s="13">
        <v>43046.854375000003</v>
      </c>
      <c r="G141" s="7">
        <v>115</v>
      </c>
      <c r="H141" s="21" t="s">
        <v>955</v>
      </c>
      <c r="I141" s="13">
        <v>43046.879074074073</v>
      </c>
      <c r="J141" s="7">
        <v>0</v>
      </c>
      <c r="K141" s="89" t="str">
        <f>IF(ISEVEN(B141),(B141-1)&amp;"/"&amp;B141,B141&amp;"/"&amp;(B141+1))</f>
        <v>4021/4022</v>
      </c>
      <c r="L141" s="185" t="str">
        <f>VLOOKUP(A141,'Trips&amp;Operators'!$C$1:$G$99911,5,FALSE)</f>
        <v>AUSTIN THOMPSON</v>
      </c>
      <c r="M141" s="6">
        <f>I141-F141</f>
        <v>2.4699074070667848E-2</v>
      </c>
      <c r="N141" s="7">
        <f>24*60*SUM($M141:$M141)</f>
        <v>35.566666661761701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-07T19:10:49-0700',mode:absolute,to:'2017-11-07T22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5.5300000000000002E-2</v>
      </c>
      <c r="Z141" s="204">
        <f>RIGHT(H141,LEN(H141)-4)/10000</f>
        <v>23.321000000000002</v>
      </c>
      <c r="AA141" s="204">
        <f>ABS(Z141-Y141)</f>
        <v>23.265700000000002</v>
      </c>
      <c r="AB141" s="54" t="e">
        <f>VLOOKUP(A141,Enforcements!$C$7:$K$10,8,0)</f>
        <v>#N/A</v>
      </c>
      <c r="AC141" s="51" t="e">
        <f>VLOOKUP(A141,Enforcements!$C$7:$E$10,3,0)</f>
        <v>#N/A</v>
      </c>
      <c r="AD141" s="179">
        <f>VALUE(LEFT(A141,LEN(A141)-3))</f>
        <v>227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"%USERPROFILE%\AppData\Local\Temp\OnboardLogs"\RTDC4022\2017-11-07 --exclude "*" --recursive --include "*20171107*" &amp; "%USERPROFILE%\Documents\GitHub\mrs-test-scripts\Headless Mode &amp; Sideloading\WalkAndUnGZ.bat" "%USERPROFILE%\AppData\Local\Temp\OnboardLogs"\RTDC4022\2017-11-07 &amp; aws s3 cp s3://rtdc.mdm.uploadarchive.raw/RTDC4022/ "%USERPROFILE%\AppData\Local\Temp\OnboardLogs"\RTDC4022\2017-11-08 --exclude "*" --recursive --include "*20171108*" &amp; "%USERPROFILE%\Documents\GitHub\mrs-test-scripts\Headless Mode &amp; Sideloading\WalkAndUnGZ.bat" "%USERPROFILE%\AppData\Local\Temp\OnboardLogs"\RTDC4022\2017-11-08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/stypes="app*4022*20171108*" /stext=" 04:.+((SYSTEM_STATE.+slice.+state.+changed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0"/>
        <v>"%USERPROFILE%\Documents\GitHub\eaglep3\Utilities\RefineRTDCRunTimes.py" --tripid 227-07 --locoid 4022 --swversion DE.1.0.9.0 --startMP 204:553 --initTime 2017-11-07T20:10:49 --startdatetime 2017-11-07T20:30:18 --delay 115 --endMP 204:233210 --enddatetime 2017-11-07T21:05:52 --enforcementcount 0 &gt;&gt;%USERPROFILE%\Documents\GitHub\eaglep3-reporting\EC\2017-11-07-refined-times.txt</v>
      </c>
      <c r="AI141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{"issue":{"subject":"","project_id":79,"tracker_id":40,"status_id":1,"priority_id":2,"assigned_to_id":338,"start_date":"2017-11-07","description":"","custom_fields":[{"id":1,"name":"Subdivision","value":"EC"},{"id":4,"name":"Milepost","value":"23.321"},{"id":17,"name":"Train ID","value":"227-07"},{"id":16,"name":"Locomotive ID","value":"4022"},{"id":130,"name":"Impact","value":""},{"id":150,"name":"Time of Event (Mountain Time)","value":"21:05:52"},{"id":151,"name":"Denver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2"/>
        <v>start /low /b %USERPROFILE%\Documents\GitHub\eaglep3\Utilities\DownloadLogsFromS3.py --loco 4022 --day 2017-11-07</v>
      </c>
      <c r="AN141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04:05:52"},{"id":29,"name":"Sharepoint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4"/>
        <v>https://d0f6bd738d7f1b3e5a7ca70fe4ff75f0.us-east-1.aws.found.io/app/kibana#/discover/Steve-Slow-Train-Analysis-(2080s-and-2083s)?_g=(refreshInterval:(display:Off,pause:!f,section:0,value:0),time:(from:'2017-11-07T19:10:49-0700',mode:absolute,to:'2017-11-07T22:05:52-0700'))&amp;_a=(columns:!('Message%20ID',Summary),filters:!(),index:'emp_*',interval:auto,query:(query_string:(analyze_wildcard:!t,query:'%22rtdc.l.rtdc.4022%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870</v>
      </c>
      <c r="B142" s="7">
        <v>4021</v>
      </c>
      <c r="C142" s="21" t="s">
        <v>192</v>
      </c>
      <c r="D142" s="21" t="s">
        <v>976</v>
      </c>
      <c r="E142" s="13">
        <v>43046.891967592594</v>
      </c>
      <c r="F142" s="13">
        <v>43046.893923611111</v>
      </c>
      <c r="G142" s="7">
        <v>67</v>
      </c>
      <c r="H142" s="21" t="s">
        <v>603</v>
      </c>
      <c r="I142" s="13">
        <v>43046.920185185183</v>
      </c>
      <c r="J142" s="7">
        <v>0</v>
      </c>
      <c r="K142" s="89" t="str">
        <f>IF(ISEVEN(B142),(B142-1)&amp;"/"&amp;B142,B142&amp;"/"&amp;(B142+1))</f>
        <v>4021/4022</v>
      </c>
      <c r="L142" s="185" t="str">
        <f>VLOOKUP(A142,'Trips&amp;Operators'!$C$1:$G$99911,5,FALSE)</f>
        <v>ANDERS STEVEN</v>
      </c>
      <c r="M142" s="6">
        <f>I142-F142</f>
        <v>2.626157407212304E-2</v>
      </c>
      <c r="N142" s="7">
        <f>24*60*SUM($M142:$M142)</f>
        <v>37.816666663857177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-07T20:24:26-0700',mode:absolute,to:'2017-11-07T23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23.2913</v>
      </c>
      <c r="Z142" s="204">
        <f>RIGHT(H142,LEN(H142)-4)/10000</f>
        <v>2.5600000000000001E-2</v>
      </c>
      <c r="AA142" s="204">
        <f>ABS(Z142-Y142)</f>
        <v>23.265699999999999</v>
      </c>
      <c r="AB142" s="54" t="e">
        <f>VLOOKUP(A142,Enforcements!$C$7:$K$10,8,0)</f>
        <v>#N/A</v>
      </c>
      <c r="AC142" s="51" t="e">
        <f>VLOOKUP(A142,Enforcements!$C$7:$E$10,3,0)</f>
        <v>#N/A</v>
      </c>
      <c r="AD142" s="179">
        <f>VALUE(LEFT(A142,LEN(A142)-3))</f>
        <v>228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s3://rtdc.mdm.uploadarchive.raw/RTDC4021/ "%USERPROFILE%\AppData\Local\Temp\OnboardLogs"\RTDC4021\2017-11-07 --exclude "*" --recursive --include "*20171107*" &amp; "%USERPROFILE%\Documents\GitHub\mrs-test-scripts\Headless Mode &amp; Sideloading\WalkAndUnGZ.bat" "%USERPROFILE%\AppData\Local\Temp\OnboardLogs"\RTDC4021\2017-11-07 &amp; aws s3 cp s3://rtdc.mdm.uploadarchive.raw/RTDC4021/ "%USERPROFILE%\AppData\Local\Temp\OnboardLogs"\RTDC4021\2017-11-08 --exclude "*" --recursive --include "*20171108*" &amp; "%USERPROFILE%\Documents\GitHub\mrs-test-scripts\Headless Mode &amp; Sideloading\WalkAndUnGZ.bat" "%USERPROFILE%\AppData\Local\Temp\OnboardLogs"\RTDC4021\2017-11-08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/stypes="app*4021*20171108*" /stext=" 05:.+((SYSTEM_STATE.+slice.+state.+changed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0"/>
        <v>"%USERPROFILE%\Documents\GitHub\eaglep3\Utilities\RefineRTDCRunTimes.py" --tripid 228-07 --locoid 4021 --swversion DE.1.0.9.0 --startMP 204:232913 --initTime 2017-11-07T21:24:26 --startdatetime 2017-11-07T21:27:15 --delay 67 --endMP 204:256 --enddatetime 2017-11-07T22:05:04 --enforcementcount 0 &gt;&gt;%USERPROFILE%\Documents\GitHub\eaglep3-reporting\EC\2017-11-07-refined-times.txt</v>
      </c>
      <c r="AI142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{"issue":{"subject":"","project_id":79,"tracker_id":40,"status_id":1,"priority_id":2,"assigned_to_id":338,"start_date":"2017-11-07","description":"","custom_fields":[{"id":1,"name":"Subdivision","value":"EC"},{"id":4,"name":"Milepost","value":"0.0256"},{"id":17,"name":"Train ID","value":"228-07"},{"id":16,"name":"Locomotive ID","value":"4021"},{"id":130,"name":"Impact","value":""},{"id":150,"name":"Time of Event (Mountain Time)","value":"22:05:04"},{"id":151,"name":"Denver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2"/>
        <v>start /low /b %USERPROFILE%\Documents\GitHub\eaglep3\Utilities\DownloadLogsFromS3.py --loco 4021 --day 2017-11-07</v>
      </c>
      <c r="AN142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05:05:04"},{"id":29,"name":"Sharepoint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4"/>
        <v>https://d0f6bd738d7f1b3e5a7ca70fe4ff75f0.us-east-1.aws.found.io/app/kibana#/discover/Steve-Slow-Train-Analysis-(2080s-and-2083s)?_g=(refreshInterval:(display:Off,pause:!f,section:0,value:0),time:(from:'2017-11-07T20:24:26-0700',mode:absolute,to:'2017-11-07T23:05:04-0700'))&amp;_a=(columns:!('Message%20ID',Summary),filters:!(),index:'emp_*',interval:auto,query:(query_string:(analyze_wildcard:!t,query:'%22rtdc.l.rtdc.4021%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867</v>
      </c>
      <c r="B143" s="7">
        <v>4042</v>
      </c>
      <c r="C143" s="21" t="s">
        <v>192</v>
      </c>
      <c r="D143" s="21" t="s">
        <v>499</v>
      </c>
      <c r="E143" s="13">
        <v>43046.861006944448</v>
      </c>
      <c r="F143" s="13">
        <v>43046.875185185185</v>
      </c>
      <c r="G143" s="7">
        <v>316</v>
      </c>
      <c r="H143" s="21" t="s">
        <v>960</v>
      </c>
      <c r="I143" s="13">
        <v>43046.899837962963</v>
      </c>
      <c r="J143" s="7">
        <v>0</v>
      </c>
      <c r="K143" s="89" t="str">
        <f>IF(ISEVEN(B143),(B143-1)&amp;"/"&amp;B143,B143&amp;"/"&amp;(B143+1))</f>
        <v>4041/4042</v>
      </c>
      <c r="L143" s="185" t="str">
        <f>VLOOKUP(A143,'Trips&amp;Operators'!$C$1:$G$99911,5,FALSE)</f>
        <v>GUNTHIER ERIC</v>
      </c>
      <c r="M143" s="6">
        <f>I143-F143</f>
        <v>2.4652777778101154E-2</v>
      </c>
      <c r="N143" s="7">
        <f>24*60*SUM($M143:$M143)</f>
        <v>35.500000000465661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-07T19:39:51-0700',mode:absolute,to:'2017-11-07T22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5.0799999999999998E-2</v>
      </c>
      <c r="Z143" s="204">
        <f>RIGHT(H143,LEN(H143)-4)/10000</f>
        <v>23.331</v>
      </c>
      <c r="AA143" s="204">
        <f>ABS(Z143-Y143)</f>
        <v>23.280200000000001</v>
      </c>
      <c r="AB143" s="54" t="e">
        <f>VLOOKUP(A143,Enforcements!$C$7:$K$10,8,0)</f>
        <v>#N/A</v>
      </c>
      <c r="AC143" s="51" t="e">
        <f>VLOOKUP(A143,Enforcements!$C$7:$E$10,3,0)</f>
        <v>#N/A</v>
      </c>
      <c r="AD143" s="179">
        <f>VALUE(LEFT(A143,LEN(A143)-3))</f>
        <v>229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/stypes="app*4042*20171108*"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10"/>
        <v>"%USERPROFILE%\Documents\GitHub\eaglep3\Utilities\RefineRTDCRunTimes.py" --tripid 229-07 --locoid 4042 --swversion DE.1.0.9.0 --startMP 204:508 --initTime 2017-11-07T20:39:51 --startdatetime 2017-11-07T21:00:16 --delay 316 --endMP 204:233310 --enddatetime 2017-11-07T21:35:46 --enforcementcount 0 &gt;&gt;%USERPROFILE%\Documents\GitHub\eaglep3-reporting\EC\2017-11-07-refined-times.txt</v>
      </c>
      <c r="AI143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{"issue":{"subject":"","project_id":79,"tracker_id":40,"status_id":1,"priority_id":2,"assigned_to_id":338,"start_date":"2017-11-07","description":"","custom_fields":[{"id":1,"name":"Subdivision","value":"EC"},{"id":4,"name":"Milepost","value":"23.331"},{"id":17,"name":"Train ID","value":"229-07"},{"id":16,"name":"Locomotive ID","value":"4042"},{"id":130,"name":"Impact","value":""},{"id":150,"name":"Time of Event (Mountain Time)","value":"21:35:46"},{"id":151,"name":"Denver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12"/>
        <v>start /low /b %USERPROFILE%\Documents\GitHub\eaglep3\Utilities\DownloadLogsFromS3.py --loco 4042 --day 2017-11-07</v>
      </c>
      <c r="AN143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14"/>
        <v>https://d0f6bd738d7f1b3e5a7ca70fe4ff75f0.us-east-1.aws.found.io/app/kibana#/discover/Steve-Slow-Train-Analysis-(2080s-and-2083s)?_g=(refreshInterval:(display:Off,pause:!f,section:0,value:0),time:(from:'2017-11-07T19:39:51-0700',mode:absolute,to:'2017-11-07T22:35:46-0700'))&amp;_a=(columns:!('Message%20ID',Summary),filters:!(),index:'emp_*',interval:auto,query:(query_string:(analyze_wildcard:!t,query:'%22rtdc.l.rtdc.4042%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872</v>
      </c>
      <c r="B144" s="7">
        <v>4041</v>
      </c>
      <c r="C144" s="21" t="s">
        <v>192</v>
      </c>
      <c r="D144" s="21" t="s">
        <v>499</v>
      </c>
      <c r="E144" s="13">
        <v>43046.861006944448</v>
      </c>
      <c r="F144" s="13">
        <v>43046.914780092593</v>
      </c>
      <c r="G144" s="7">
        <v>316</v>
      </c>
      <c r="H144" s="21" t="s">
        <v>960</v>
      </c>
      <c r="I144" s="13">
        <v>43046.941157407404</v>
      </c>
      <c r="J144" s="7">
        <v>0</v>
      </c>
      <c r="K144" s="89" t="str">
        <f>IF(ISEVEN(B144),(B144-1)&amp;"/"&amp;B144,B144&amp;"/"&amp;(B144+1))</f>
        <v>4041/4042</v>
      </c>
      <c r="L144" s="185" t="str">
        <f>VLOOKUP(A144,'Trips&amp;Operators'!$C$1:$G$99911,5,FALSE)</f>
        <v>GUNTHIER ERIC</v>
      </c>
      <c r="M144" s="6">
        <f>I144-F144</f>
        <v>2.6377314810815733E-2</v>
      </c>
      <c r="N144" s="7">
        <f>24*60*SUM($M144:$M144)</f>
        <v>37.983333327574655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-07T19:39:51-0700',mode:absolute,to:'2017-11-07T23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4" s="204" t="str">
        <f>IF(AA144&lt;VLOOKUP(AG144,Variables!$AC$3:$AD$8,2,FALSE),"Y","N")</f>
        <v>N</v>
      </c>
      <c r="X144" s="228">
        <f>VALUE(LEFT(AD144,4))-VALUE(LEFT(AD143,4))</f>
        <v>1</v>
      </c>
      <c r="Y144" s="204">
        <v>23.2913</v>
      </c>
      <c r="Z144" s="204">
        <v>2.5600000000000001E-2</v>
      </c>
      <c r="AA144" s="204">
        <f>ABS(Z144-Y144)</f>
        <v>23.265699999999999</v>
      </c>
      <c r="AB144" s="54" t="e">
        <f>VLOOKUP(A144,Enforcements!$C$7:$K$10,8,0)</f>
        <v>#N/A</v>
      </c>
      <c r="AC144" s="51" t="e">
        <f>VLOOKUP(A144,Enforcements!$C$7:$E$10,3,0)</f>
        <v>#N/A</v>
      </c>
      <c r="AD144" s="179">
        <f>VALUE(LEFT(A144,LEN(A144)-3))</f>
        <v>230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/stypes="app*4041*20171108*" /stext=" 05:.+((SYSTEM_STATE.+slice.+state.+changed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ref="AH144" si="53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230-07 --locoid 4041 --swversion DE.1.0.9.0 --startMP 204:508 --initTime 2017-11-07T20:39:51 --startdatetime 2017-11-07T21:57:17 --delay 316 --endMP 204:233310 --enddatetime 2017-11-07T22:35:16 --enforcementcount 0 &gt;&gt;%USERPROFILE%\Documents\GitHub\eaglep3-reporting\EC\2017-11-07-refined-times.txt</v>
      </c>
      <c r="AI144" s="96" t="str">
        <f t="shared" ref="AI144" si="54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{"issue":{"subject":"","project_id":79,"tracker_id":40,"status_id":1,"priority_id":2,"assigned_to_id":338,"start_date":"2017-11-07","description":"","custom_fields":[{"id":1,"name":"Subdivision","value":"EC"},{"id":4,"name":"Milepost","value":"0.0256"},{"id":17,"name":"Train ID","value":"230-07"},{"id":16,"name":"Locomotive ID","value":"4041"},{"id":130,"name":"Impact","value":""},{"id":150,"name":"Time of Event (Mountain Time)","value":"22:35:16"},{"id":151,"name":"Denver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" si="55">"start /low /b "&amp;dls3logs&amp;" --loco "&amp;B144&amp;" --day "&amp;TEXT(F144,"YYYY-MM-DD")</f>
        <v>start /low /b %USERPROFILE%\Documents\GitHub\eaglep3\Utilities\DownloadLogsFromS3.py --loco 4041 --day 2017-11-07</v>
      </c>
      <c r="AN144" s="151" t="str">
        <f t="shared" ref="AN144" si="56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05:35:16"},{"id":29,"name":"Sharepoint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" si="57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-07T19:39:51-0700',mode:absolute,to:'2017-11-07T23:35:16-0700'))&amp;_a=(columns:!('Message%20ID',Summary),filters:!(),index:'emp_*',interval:auto,query:(query_string:(analyze_wildcard:!t,query:'%22rtdc.l.rtdc.4041%22')),sort:!(Time.ISO8601,asc))</v>
      </c>
    </row>
    <row r="145" spans="1:91" s="20" customFormat="1" x14ac:dyDescent="0.3">
      <c r="A145" s="32" t="s">
        <v>869</v>
      </c>
      <c r="B145" s="7">
        <v>4064</v>
      </c>
      <c r="C145" s="21" t="s">
        <v>192</v>
      </c>
      <c r="D145" s="21" t="s">
        <v>609</v>
      </c>
      <c r="E145" s="13">
        <v>43046.882592592592</v>
      </c>
      <c r="F145" s="13">
        <v>43046.896099537036</v>
      </c>
      <c r="G145" s="7">
        <v>96</v>
      </c>
      <c r="H145" s="21" t="s">
        <v>481</v>
      </c>
      <c r="I145" s="13">
        <v>43046.921006944445</v>
      </c>
      <c r="J145" s="7">
        <v>0</v>
      </c>
      <c r="K145" s="89" t="str">
        <f>IF(ISEVEN(B145),(B145-1)&amp;"/"&amp;B145,B145&amp;"/"&amp;(B145+1))</f>
        <v>4063/4064</v>
      </c>
      <c r="L145" s="185" t="str">
        <f>VLOOKUP(A145,'Trips&amp;Operators'!$C$1:$G$99911,5,FALSE)</f>
        <v>LOZA FIDEL</v>
      </c>
      <c r="M145" s="6">
        <f>I145-F145</f>
        <v>2.4907407409045845E-2</v>
      </c>
      <c r="N145" s="7">
        <f>24*60*SUM($M145:$M145)</f>
        <v>35.866666669026017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-07T20:10:56-0700',mode:absolute,to:'2017-11-07T23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5" s="204" t="str">
        <f>IF(AA145&lt;VLOOKUP(AG145,Variables!$AC$3:$AD$8,2,FALSE),"Y","N")</f>
        <v>N</v>
      </c>
      <c r="X145" s="228">
        <f>VALUE(LEFT(AD145,4))-VALUE(LEFT(AD144,4))</f>
        <v>1</v>
      </c>
      <c r="Y145" s="204">
        <f>RIGHT(D145,LEN(D145)-4)/10000</f>
        <v>5.28E-2</v>
      </c>
      <c r="Z145" s="204">
        <f>RIGHT(H145,LEN(H145)-4)/10000</f>
        <v>23.325299999999999</v>
      </c>
      <c r="AA145" s="204">
        <f>ABS(Z145-Y145)</f>
        <v>23.272499999999997</v>
      </c>
      <c r="AB145" s="54" t="e">
        <f>VLOOKUP(A145,Enforcements!$C$7:$K$10,8,0)</f>
        <v>#N/A</v>
      </c>
      <c r="AC145" s="51" t="e">
        <f>VLOOKUP(A145,Enforcements!$C$7:$E$10,3,0)</f>
        <v>#N/A</v>
      </c>
      <c r="AD145" s="179">
        <f>VALUE(LEFT(A145,LEN(A145)-3))</f>
        <v>231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/stypes="app*4064*20171108*" /stext=" 05:.+((SYSTEM_STATE.+slice.+state.+changed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10"/>
        <v>"%USERPROFILE%\Documents\GitHub\eaglep3\Utilities\RefineRTDCRunTimes.py" --tripid 231-07 --locoid 4064 --swversion DE.1.0.9.0 --startMP 204:528 --initTime 2017-11-07T21:10:56 --startdatetime 2017-11-07T21:30:23 --delay 96 --endMP 204:233253 --enddatetime 2017-11-07T22:06:15 --enforcementcount 0 &gt;&gt;%USERPROFILE%\Documents\GitHub\eaglep3-reporting\EC\2017-11-07-refined-times.txt</v>
      </c>
      <c r="AI145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{"issue":{"subject":"","project_id":79,"tracker_id":40,"status_id":1,"priority_id":2,"assigned_to_id":338,"start_date":"2017-11-07","description":"","custom_fields":[{"id":1,"name":"Subdivision","value":"EC"},{"id":4,"name":"Milepost","value":"23.3253"},{"id":17,"name":"Train ID","value":"231-07"},{"id":16,"name":"Locomotive ID","value":"4064"},{"id":130,"name":"Impact","value":""},{"id":150,"name":"Time of Event (Mountain Time)","value":"22:06:15"},{"id":151,"name":"Denver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12"/>
        <v>start /low /b %USERPROFILE%\Documents\GitHub\eaglep3\Utilities\DownloadLogsFromS3.py --loco 4064 --day 2017-11-07</v>
      </c>
      <c r="AN145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05:06:15"},{"id":29,"name":"Sharepoint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14"/>
        <v>https://d0f6bd738d7f1b3e5a7ca70fe4ff75f0.us-east-1.aws.found.io/app/kibana#/discover/Steve-Slow-Train-Analysis-(2080s-and-2083s)?_g=(refreshInterval:(display:Off,pause:!f,section:0,value:0),time:(from:'2017-11-07T20:10:56-0700',mode:absolute,to:'2017-11-07T23:06:15-0700'))&amp;_a=(columns:!('Message%20ID',Summary),filters:!(),index:'emp_*',interval:auto,query:(query_string:(analyze_wildcard:!t,query:'%22rtdc.l.rtdc.4064%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873</v>
      </c>
      <c r="B146" s="7">
        <v>4063</v>
      </c>
      <c r="C146" s="21" t="s">
        <v>192</v>
      </c>
      <c r="D146" s="21" t="s">
        <v>977</v>
      </c>
      <c r="E146" s="13">
        <v>43046.929409722223</v>
      </c>
      <c r="F146" s="13">
        <v>43046.935706018521</v>
      </c>
      <c r="G146" s="7">
        <v>62</v>
      </c>
      <c r="H146" s="21" t="s">
        <v>966</v>
      </c>
      <c r="I146" s="13">
        <v>43046.961828703701</v>
      </c>
      <c r="J146" s="7">
        <v>0</v>
      </c>
      <c r="K146" s="89" t="str">
        <f>IF(ISEVEN(B146),(B146-1)&amp;"/"&amp;B146,B146&amp;"/"&amp;(B146+1))</f>
        <v>4063/4064</v>
      </c>
      <c r="L146" s="185" t="str">
        <f>VLOOKUP(A146,'Trips&amp;Operators'!$C$1:$G$99911,5,FALSE)</f>
        <v>LOZA FIDEL</v>
      </c>
      <c r="M146" s="6">
        <f>I146-F146</f>
        <v>2.6122685179871041E-2</v>
      </c>
      <c r="N146" s="7">
        <f>24*60*SUM($M146:$M146)</f>
        <v>37.6166666590143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-07T21:18:21-0700',mode:absolute,to:'2017-11-08T00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23.294</v>
      </c>
      <c r="Z146" s="204">
        <f>RIGHT(H146,LEN(H146)-4)/10000</f>
        <v>2.63E-2</v>
      </c>
      <c r="AA146" s="204">
        <f>ABS(Z146-Y146)</f>
        <v>23.267700000000001</v>
      </c>
      <c r="AB146" s="54" t="e">
        <f>VLOOKUP(A146,Enforcements!$C$7:$K$10,8,0)</f>
        <v>#N/A</v>
      </c>
      <c r="AC146" s="51" t="e">
        <f>VLOOKUP(A146,Enforcements!$C$7:$E$10,3,0)</f>
        <v>#N/A</v>
      </c>
      <c r="AD146" s="179">
        <f>VALUE(LEFT(A146,LEN(A146)-3))</f>
        <v>232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/stypes="app*4063*20171108*" /stext=" 06:.+((SYSTEM_STATE.+slice.+state.+changed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10"/>
        <v>"%USERPROFILE%\Documents\GitHub\eaglep3\Utilities\RefineRTDCRunTimes.py" --tripid 232-07 --locoid 4063 --swversion DE.1.0.9.0 --startMP 204:232940 --initTime 2017-11-07T22:18:21 --startdatetime 2017-11-07T22:27:25 --delay 62 --endMP 204:263 --enddatetime 2017-11-07T23:05:02 --enforcementcount 0 &gt;&gt;%USERPROFILE%\Documents\GitHub\eaglep3-reporting\EC\2017-11-07-refined-times.txt</v>
      </c>
      <c r="AI146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{"issue":{"subject":"","project_id":79,"tracker_id":40,"status_id":1,"priority_id":2,"assigned_to_id":338,"start_date":"2017-11-07","description":"","custom_fields":[{"id":1,"name":"Subdivision","value":"EC"},{"id":4,"name":"Milepost","value":"0.0263"},{"id":17,"name":"Train ID","value":"232-07"},{"id":16,"name":"Locomotive ID","value":"4063"},{"id":130,"name":"Impact","value":""},{"id":150,"name":"Time of Event (Mountain Time)","value":"23:05:02"},{"id":151,"name":"Denver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12"/>
        <v>start /low /b %USERPROFILE%\Documents\GitHub\eaglep3\Utilities\DownloadLogsFromS3.py --loco 4063 --day 2017-11-07</v>
      </c>
      <c r="AN146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06:05:02"},{"id":29,"name":"Sharepoint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14"/>
        <v>https://d0f6bd738d7f1b3e5a7ca70fe4ff75f0.us-east-1.aws.found.io/app/kibana#/discover/Steve-Slow-Train-Analysis-(2080s-and-2083s)?_g=(refreshInterval:(display:Off,pause:!f,section:0,value:0),time:(from:'2017-11-07T21:18:21-0700',mode:absolute,to:'2017-11-08T00:05:02-0700'))&amp;_a=(columns:!('Message%20ID',Summary),filters:!(),index:'emp_*',interval:auto,query:(query_string:(analyze_wildcard:!t,query:'%22rtdc.l.rtdc.4063%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871</v>
      </c>
      <c r="B147" s="7">
        <v>4008</v>
      </c>
      <c r="C147" s="21" t="s">
        <v>192</v>
      </c>
      <c r="D147" s="21" t="s">
        <v>532</v>
      </c>
      <c r="E147" s="13">
        <v>43046.903356481482</v>
      </c>
      <c r="F147" s="13">
        <v>43046.916921296295</v>
      </c>
      <c r="G147" s="7">
        <v>55</v>
      </c>
      <c r="H147" s="21" t="s">
        <v>914</v>
      </c>
      <c r="I147" s="13">
        <v>43046.942847222221</v>
      </c>
      <c r="J147" s="7">
        <v>0</v>
      </c>
      <c r="K147" s="89" t="str">
        <f>IF(ISEVEN(B147),(B147-1)&amp;"/"&amp;B147,B147&amp;"/"&amp;(B147+1))</f>
        <v>4007/4008</v>
      </c>
      <c r="L147" s="185" t="str">
        <f>VLOOKUP(A147,'Trips&amp;Operators'!$C$1:$G$99911,5,FALSE)</f>
        <v>NICHOLSON WESLEY</v>
      </c>
      <c r="M147" s="6">
        <f>I147-F147</f>
        <v>2.5925925925548654E-2</v>
      </c>
      <c r="N147" s="7">
        <f>24*60*SUM($M147:$M147)</f>
        <v>37.333333332790062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-07T20:40:50-0700',mode:absolute,to:'2017-11-07T23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5.57E-2</v>
      </c>
      <c r="Z147" s="204">
        <f>RIGHT(H147,LEN(H147)-4)/10000</f>
        <v>23.3293</v>
      </c>
      <c r="AA147" s="204">
        <f>ABS(Z147-Y147)</f>
        <v>23.273599999999998</v>
      </c>
      <c r="AB147" s="54" t="e">
        <f>VLOOKUP(A147,Enforcements!$C$7:$K$10,8,0)</f>
        <v>#N/A</v>
      </c>
      <c r="AC147" s="51" t="e">
        <f>VLOOKUP(A147,Enforcements!$C$7:$E$10,3,0)</f>
        <v>#N/A</v>
      </c>
      <c r="AD147" s="179">
        <f>VALUE(LEFT(A147,LEN(A147)-3))</f>
        <v>233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s3://rtdc.mdm.uploadarchive.raw/RTDC4008/ "%USERPROFILE%\AppData\Local\Temp\OnboardLogs"\RTDC4008\2017-11-07 --exclude "*" --recursive --include "*20171107*" &amp; "%USERPROFILE%\Documents\GitHub\mrs-test-scripts\Headless Mode &amp; Sideloading\WalkAndUnGZ.bat" "%USERPROFILE%\AppData\Local\Temp\OnboardLogs"\RTDC4008\2017-11-07 &amp; 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/stypes="app*4008*20171108*"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10"/>
        <v>"%USERPROFILE%\Documents\GitHub\eaglep3\Utilities\RefineRTDCRunTimes.py" --tripid 233-07 --locoid 4008 --swversion DE.1.0.9.0 --startMP 204:557 --initTime 2017-11-07T21:40:50 --startdatetime 2017-11-07T22:00:22 --delay 55 --endMP 204:233293 --enddatetime 2017-11-07T22:37:42 --enforcementcount 0 &gt;&gt;%USERPROFILE%\Documents\GitHub\eaglep3-reporting\EC\2017-11-07-refined-times.txt</v>
      </c>
      <c r="AI147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{"issue":{"subject":"","project_id":79,"tracker_id":40,"status_id":1,"priority_id":2,"assigned_to_id":338,"start_date":"2017-11-07","description":"","custom_fields":[{"id":1,"name":"Subdivision","value":"EC"},{"id":4,"name":"Milepost","value":"23.3293"},{"id":17,"name":"Train ID","value":"233-07"},{"id":16,"name":"Locomotive ID","value":"4008"},{"id":130,"name":"Impact","value":""},{"id":150,"name":"Time of Event (Mountain Time)","value":"22:37:42"},{"id":151,"name":"Denver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12"/>
        <v>start /low /b %USERPROFILE%\Documents\GitHub\eaglep3\Utilities\DownloadLogsFromS3.py --loco 4008 --day 2017-11-07</v>
      </c>
      <c r="AN147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05:37:42"},{"id":29,"name":"Sharepoint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14"/>
        <v>https://d0f6bd738d7f1b3e5a7ca70fe4ff75f0.us-east-1.aws.found.io/app/kibana#/discover/Steve-Slow-Train-Analysis-(2080s-and-2083s)?_g=(refreshInterval:(display:Off,pause:!f,section:0,value:0),time:(from:'2017-11-07T20:40:50-0700',mode:absolute,to:'2017-11-07T23:37:42-0700'))&amp;_a=(columns:!('Message%20ID',Summary),filters:!(),index:'emp_*',interval:auto,query:(query_string:(analyze_wildcard:!t,query:'%22rtdc.l.rtdc.4008%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877</v>
      </c>
      <c r="B148" s="7">
        <v>4007</v>
      </c>
      <c r="C148" s="21" t="s">
        <v>192</v>
      </c>
      <c r="D148" s="21" t="s">
        <v>893</v>
      </c>
      <c r="E148" s="13">
        <v>43046.94903935185</v>
      </c>
      <c r="F148" s="13">
        <v>43046.956643518519</v>
      </c>
      <c r="G148" s="7">
        <v>85</v>
      </c>
      <c r="H148" s="21" t="s">
        <v>473</v>
      </c>
      <c r="I148" s="13">
        <v>43046.984710648147</v>
      </c>
      <c r="J148" s="7">
        <v>0</v>
      </c>
      <c r="K148" s="89" t="str">
        <f>IF(ISEVEN(B148),(B148-1)&amp;"/"&amp;B148,B148&amp;"/"&amp;(B148+1))</f>
        <v>4007/4008</v>
      </c>
      <c r="L148" s="185" t="str">
        <f>VLOOKUP(A148,'Trips&amp;Operators'!$C$1:$G$99911,5,FALSE)</f>
        <v>NICHOLSON WESLEY</v>
      </c>
      <c r="M148" s="6">
        <f>I148-F148</f>
        <v>2.806712962774327E-2</v>
      </c>
      <c r="N148" s="7">
        <f>24*60*SUM($M148:$M148)</f>
        <v>40.416666663950309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-07T21:46:37-0700',mode:absolute,to:'2017-11-08T00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23.295200000000001</v>
      </c>
      <c r="Z148" s="204">
        <f>RIGHT(H148,LEN(H148)-4)/10000</f>
        <v>2.3599999999999999E-2</v>
      </c>
      <c r="AA148" s="204">
        <f>ABS(Z148-Y148)</f>
        <v>23.271600000000003</v>
      </c>
      <c r="AB148" s="54" t="e">
        <f>VLOOKUP(A148,Enforcements!$C$7:$K$10,8,0)</f>
        <v>#N/A</v>
      </c>
      <c r="AC148" s="51" t="e">
        <f>VLOOKUP(A148,Enforcements!$C$7:$E$10,3,0)</f>
        <v>#N/A</v>
      </c>
      <c r="AD148" s="179">
        <f>VALUE(LEFT(A148,LEN(A148)-3))</f>
        <v>234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/stypes="app*4007*20171108*" /stext=" 06:.+((SYSTEM_STATE.+slice.+state.+changed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10"/>
        <v>"%USERPROFILE%\Documents\GitHub\eaglep3\Utilities\RefineRTDCRunTimes.py" --tripid 234-07 --locoid 4007 --swversion DE.1.0.9.0 --startMP 204:232952 --initTime 2017-11-07T22:46:37 --startdatetime 2017-11-07T22:57:34 --delay 85 --endMP 204:236 --enddatetime 2017-11-07T23:37:59 --enforcementcount 0 &gt;&gt;%USERPROFILE%\Documents\GitHub\eaglep3-reporting\EC\2017-11-07-refined-times.txt</v>
      </c>
      <c r="AI148" s="96" t="str">
        <f t="shared" si="11"/>
        <v>echo {"issue":{"subject":"","project_id":79,"tracker_id":40,"status_id":1,"priority_id":2,"assigned_to_id":338,"start_date":"2017-11-07","description":"","custom_fields":[{"id":1,"name":"Subdivision","value":"EC"},{"id":4,"name":"Milepost","value":"0.0236"},{"id":17,"name":"Train ID","value":"234-07"},{"id":16,"name":"Locomotive ID","value":"4007"},{"id":130,"name":"Impact","value":""},{"id":150,"name":"Time of Event (Mountain Time)","value":"23:37:59"},{"id":151,"name":"Denver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12"/>
        <v>start /low /b %USERPROFILE%\Documents\GitHub\eaglep3\Utilities\DownloadLogsFromS3.py --loco 4007 --day 2017-11-07</v>
      </c>
      <c r="AN148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06:37:59"},{"id":29,"name":"Sharepoint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14"/>
        <v>https://d0f6bd738d7f1b3e5a7ca70fe4ff75f0.us-east-1.aws.found.io/app/kibana#/discover/Steve-Slow-Train-Analysis-(2080s-and-2083s)?_g=(refreshInterval:(display:Off,pause:!f,section:0,value:0),time:(from:'2017-11-07T21:46:37-0700',mode:absolute,to:'2017-11-08T00:37:59-0700'))&amp;_a=(columns:!('Message%20ID',Summary),filters:!(),index:'emp_*',interval:auto,query:(query_string:(analyze_wildcard:!t,query:'%22rtdc.l.rtdc.4007%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875</v>
      </c>
      <c r="B149" s="7">
        <v>4022</v>
      </c>
      <c r="C149" s="21" t="s">
        <v>192</v>
      </c>
      <c r="D149" s="21" t="s">
        <v>893</v>
      </c>
      <c r="E149" s="13">
        <v>43046.94903935185</v>
      </c>
      <c r="F149" s="13">
        <v>43046.937824074077</v>
      </c>
      <c r="G149" s="7">
        <v>85</v>
      </c>
      <c r="H149" s="21" t="s">
        <v>473</v>
      </c>
      <c r="I149" s="13">
        <v>43046.962245370371</v>
      </c>
      <c r="J149" s="7">
        <v>0</v>
      </c>
      <c r="K149" s="89" t="str">
        <f>IF(ISEVEN(B149),(B149-1)&amp;"/"&amp;B149,B149&amp;"/"&amp;(B149+1))</f>
        <v>4021/4022</v>
      </c>
      <c r="L149" s="185" t="str">
        <f>VLOOKUP(A149,'Trips&amp;Operators'!$C$1:$G$99911,5,FALSE)</f>
        <v>AUSTIN THOMPSON</v>
      </c>
      <c r="M149" s="6">
        <f>I149-F149</f>
        <v>2.4421296293439809E-2</v>
      </c>
      <c r="N149" s="7">
        <f>24*60*SUM($M149:$M149)</f>
        <v>35.166666662553325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-07T21:46:37-0700',mode:absolute,to:'2017-11-08T00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v>5.57E-2</v>
      </c>
      <c r="Z149" s="204">
        <v>23.3293</v>
      </c>
      <c r="AA149" s="204">
        <f>ABS(Z149-Y149)</f>
        <v>23.273599999999998</v>
      </c>
      <c r="AB149" s="54" t="e">
        <f>VLOOKUP(A149,Enforcements!$C$7:$K$10,8,0)</f>
        <v>#N/A</v>
      </c>
      <c r="AC149" s="51" t="e">
        <f>VLOOKUP(A149,Enforcements!$C$7:$E$10,3,0)</f>
        <v>#N/A</v>
      </c>
      <c r="AD149" s="179">
        <f>VALUE(LEFT(A149,LEN(A149)-3))</f>
        <v>235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s3://rtdc.mdm.uploadarchive.raw/RTDC4022/ "%USERPROFILE%\AppData\Local\Temp\OnboardLogs"\RTDC4022\2017-11-07 --exclude "*" --recursive --include "*20171107*" &amp; "%USERPROFILE%\Documents\GitHub\mrs-test-scripts\Headless Mode &amp; Sideloading\WalkAndUnGZ.bat" "%USERPROFILE%\AppData\Local\Temp\OnboardLogs"\RTDC4022\2017-11-07 &amp; aws s3 cp s3://rtdc.mdm.uploadarchive.raw/RTDC4022/ "%USERPROFILE%\AppData\Local\Temp\OnboardLogs"\RTDC4022\2017-11-08 --exclude "*" --recursive --include "*20171108*" &amp; "%USERPROFILE%\Documents\GitHub\mrs-test-scripts\Headless Mode &amp; Sideloading\WalkAndUnGZ.bat" "%USERPROFILE%\AppData\Local\Temp\OnboardLogs"\RTDC4022\2017-11-08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/stypes="app*4022*20171108*" /stext=" 06:.+((SYSTEM_STATE.+slice.+state.+changed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ref="AH149" si="58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235-07 --locoid 4022 --swversion DE.1.0.9.0 --startMP 204:232952 --initTime 2017-11-07T22:46:37 --startdatetime 2017-11-07T22:30:28 --delay 85 --endMP 204:236 --enddatetime 2017-11-07T23:05:38 --enforcementcount 0 &gt;&gt;%USERPROFILE%\Documents\GitHub\eaglep3-reporting\EC\2017-11-07-refined-times.txt</v>
      </c>
      <c r="AI149" s="96" t="str">
        <f t="shared" ref="AI149" si="59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{"issue":{"subject":"","project_id":79,"tracker_id":40,"status_id":1,"priority_id":2,"assigned_to_id":338,"start_date":"2017-11-07","description":"","custom_fields":[{"id":1,"name":"Subdivision","value":"EC"},{"id":4,"name":"Milepost","value":"23.3293"},{"id":17,"name":"Train ID","value":"235-07"},{"id":16,"name":"Locomotive ID","value":"4022"},{"id":130,"name":"Impact","value":""},{"id":150,"name":"Time of Event (Mountain Time)","value":"23:05:38"},{"id":151,"name":"Denver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ref="AM149" si="60">"start /low /b "&amp;dls3logs&amp;" --loco "&amp;B149&amp;" --day "&amp;TEXT(F149,"YYYY-MM-DD")</f>
        <v>start /low /b %USERPROFILE%\Documents\GitHub\eaglep3\Utilities\DownloadLogsFromS3.py --loco 4022 --day 2017-11-07</v>
      </c>
      <c r="AN149" s="151" t="str">
        <f t="shared" ref="AN149" si="61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ref="AO149" si="62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-07T21:46:37-0700',mode:absolute,to:'2017-11-08T00:05:38-0700'))&amp;_a=(columns:!('Message%20ID',Summary),filters:!(),index:'emp_*',interval:auto,query:(query_string:(analyze_wildcard:!t,query:'%22rtdc.l.rtdc.4022%22')),sort:!(Time.ISO8601,asc))</v>
      </c>
    </row>
    <row r="150" spans="1:91" s="20" customFormat="1" x14ac:dyDescent="0.3">
      <c r="A150" s="32" t="s">
        <v>669</v>
      </c>
      <c r="B150" s="7">
        <v>4021</v>
      </c>
      <c r="C150" s="21" t="s">
        <v>192</v>
      </c>
      <c r="D150" s="21" t="s">
        <v>517</v>
      </c>
      <c r="E150" s="13">
        <v>43046.975474537037</v>
      </c>
      <c r="F150" s="13">
        <v>43046.977256944447</v>
      </c>
      <c r="G150" s="7">
        <v>56</v>
      </c>
      <c r="H150" s="21" t="s">
        <v>978</v>
      </c>
      <c r="I150" s="13">
        <v>43047.003437500003</v>
      </c>
      <c r="J150" s="7">
        <v>0</v>
      </c>
      <c r="K150" s="89" t="str">
        <f>IF(ISEVEN(B150),(B150-1)&amp;"/"&amp;B150,B150&amp;"/"&amp;(B150+1))</f>
        <v>4021/4022</v>
      </c>
      <c r="L150" s="185" t="str">
        <f>VLOOKUP(A150,'Trips&amp;Operators'!$C$1:$G$99911,5,FALSE)</f>
        <v>ANDERS STEVEN</v>
      </c>
      <c r="M150" s="6">
        <f>I150-F150</f>
        <v>2.6180555556493346E-2</v>
      </c>
      <c r="N150" s="7">
        <f>24*60*SUM($M150:$M150)</f>
        <v>37.700000001350418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-07T22:24:41-0700',mode:absolute,to:'2017-11-08T01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0" s="204" t="str">
        <f>IF(AA150&lt;VLOOKUP(AG150,Variables!$AC$3:$AD$8,2,FALSE),"Y","N")</f>
        <v>N</v>
      </c>
      <c r="X150" s="204">
        <f t="shared" ref="X150:X151" si="63">VALUE(LEFT(AD150,4))-VALUE(LEFT(AD149,4))</f>
        <v>1</v>
      </c>
      <c r="Y150" s="204">
        <f>RIGHT(D150,LEN(D150)-4)/10000</f>
        <v>23.293800000000001</v>
      </c>
      <c r="Z150" s="204">
        <f>RIGHT(H150,LEN(H150)-4)/10000</f>
        <v>2.7300000000000001E-2</v>
      </c>
      <c r="AA150" s="204">
        <f>ABS(Z150-Y150)</f>
        <v>23.266500000000001</v>
      </c>
      <c r="AB150" s="54" t="e">
        <f>VLOOKUP(A150,Enforcements!$C$7:$K$10,8,0)</f>
        <v>#N/A</v>
      </c>
      <c r="AC150" s="51" t="e">
        <f>VLOOKUP(A150,Enforcements!$C$7:$E$10,3,0)</f>
        <v>#N/A</v>
      </c>
      <c r="AD150" s="179">
        <f>VALUE(LEFT(A150,LEN(A150)-3))</f>
        <v>236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s3://rtdc.mdm.uploadarchive.raw/RTDC4021/ "%USERPROFILE%\AppData\Local\Temp\OnboardLogs"\RTDC4021\2017-11-07 --exclude "*" --recursive --include "*20171107*" &amp; "%USERPROFILE%\Documents\GitHub\mrs-test-scripts\Headless Mode &amp; Sideloading\WalkAndUnGZ.bat" "%USERPROFILE%\AppData\Local\Temp\OnboardLogs"\RTDC4021\2017-11-07 &amp; aws s3 cp s3://rtdc.mdm.uploadarchive.raw/RTDC4021/ "%USERPROFILE%\AppData\Local\Temp\OnboardLogs"\RTDC4021\2017-11-08 --exclude "*" --recursive --include "*20171108*" &amp; "%USERPROFILE%\Documents\GitHub\mrs-test-scripts\Headless Mode &amp; Sideloading\WalkAndUnGZ.bat" "%USERPROFILE%\AppData\Local\Temp\OnboardLogs"\RTDC4021\2017-11-08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/stypes="app*4021*20171108*" /stext=" 07:.+((SYSTEM_STATE.+slice.+state.+changed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10"/>
        <v>"%USERPROFILE%\Documents\GitHub\eaglep3\Utilities\RefineRTDCRunTimes.py" --tripid 236-07 --locoid 4021 --swversion DE.1.0.9.0 --startMP 204:232938 --initTime 2017-11-07T23:24:41 --startdatetime 2017-11-07T23:27:15 --delay 56 --endMP 204:273 --enddatetime 2017-11-08T00:04:57 --enforcementcount 0 &gt;&gt;%USERPROFILE%\Documents\GitHub\eaglep3-reporting\EC\2017-11-07-refined-times.txt</v>
      </c>
      <c r="AI150" s="96" t="str">
        <f t="shared" si="11"/>
        <v>echo {"issue":{"subject":"","project_id":79,"tracker_id":40,"status_id":1,"priority_id":2,"assigned_to_id":338,"start_date":"2017-11-08","description":"","custom_fields":[{"id":1,"name":"Subdivision","value":"EC"},{"id":4,"name":"Milepost","value":"0.0273"},{"id":17,"name":"Train ID","value":"236-07"},{"id":16,"name":"Locomotive ID","value":"4021"},{"id":130,"name":"Impact","value":""},{"id":150,"name":"Time of Event (Mountain Time)","value":"00:04:57"},{"id":151,"name":"Denver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12"/>
        <v>start /low /b %USERPROFILE%\Documents\GitHub\eaglep3\Utilities\DownloadLogsFromS3.py --loco 4021 --day 2017-11-07</v>
      </c>
      <c r="AN150" s="151" t="str">
        <f t="shared" si="13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07:04:57"},{"id":29,"name":"Sharepoint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14"/>
        <v>https://d0f6bd738d7f1b3e5a7ca70fe4ff75f0.us-east-1.aws.found.io/app/kibana#/discover/Steve-Slow-Train-Analysis-(2080s-and-2083s)?_g=(refreshInterval:(display:Off,pause:!f,section:0,value:0),time:(from:'2017-11-07T22:24:41-0700',mode:absolute,to:'2017-11-08T01:04:57-0700'))&amp;_a=(columns:!('Message%20ID',Summary),filters:!(),index:'emp_*',interval:auto,query:(query_string:(analyze_wildcard:!t,query:'%22rtdc.l.rtdc.4021%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876</v>
      </c>
      <c r="B151" s="7">
        <v>4042</v>
      </c>
      <c r="C151" s="21" t="s">
        <v>192</v>
      </c>
      <c r="D151" s="21" t="s">
        <v>556</v>
      </c>
      <c r="E151" s="13">
        <v>43046.943194444444</v>
      </c>
      <c r="F151" s="13">
        <v>43046.958587962959</v>
      </c>
      <c r="G151" s="7">
        <v>429</v>
      </c>
      <c r="H151" s="21" t="s">
        <v>895</v>
      </c>
      <c r="I151" s="13">
        <v>43046.983124999999</v>
      </c>
      <c r="J151" s="7">
        <v>0</v>
      </c>
      <c r="K151" s="89" t="str">
        <f>IF(ISEVEN(B151),(B151-1)&amp;"/"&amp;B151,B151&amp;"/"&amp;(B151+1))</f>
        <v>4041/4042</v>
      </c>
      <c r="L151" s="185" t="str">
        <f>VLOOKUP(A151,'Trips&amp;Operators'!$C$1:$G$99911,5,FALSE)</f>
        <v>GUNTHIER ERIC</v>
      </c>
      <c r="M151" s="6">
        <f>I151-F151</f>
        <v>2.453703703940846E-2</v>
      </c>
      <c r="N151" s="7">
        <f>24*60*SUM($M151:$M151)</f>
        <v>35.333333336748183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-07T21:38:12-0700',mode:absolute,to:'2017-11-08T00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1" s="204" t="str">
        <f>IF(AA151&lt;VLOOKUP(AG151,Variables!$AC$3:$AD$8,2,FALSE),"Y","N")</f>
        <v>N</v>
      </c>
      <c r="X151" s="204">
        <f t="shared" si="63"/>
        <v>1</v>
      </c>
      <c r="Y151" s="204">
        <f>RIGHT(D151,LEN(D151)-4)/10000</f>
        <v>5.3699999999999998E-2</v>
      </c>
      <c r="Z151" s="204">
        <f>RIGHT(H151,LEN(H151)-4)/10000</f>
        <v>23.328499999999998</v>
      </c>
      <c r="AA151" s="204">
        <f>ABS(Z151-Y151)</f>
        <v>23.274799999999999</v>
      </c>
      <c r="AB151" s="54" t="e">
        <f>VLOOKUP(A151,Enforcements!$C$7:$K$10,8,0)</f>
        <v>#N/A</v>
      </c>
      <c r="AC151" s="51" t="e">
        <f>VLOOKUP(A151,Enforcements!$C$7:$E$10,3,0)</f>
        <v>#N/A</v>
      </c>
      <c r="AD151" s="179">
        <f>VALUE(LEFT(A151,LEN(A151)-3))</f>
        <v>237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s3://rtdc.mdm.uploadarchive.raw/RTDC4042/ "%USERPROFILE%\AppData\Local\Temp\OnboardLogs"\RTDC4042\2017-11-07 --exclude "*" --recursive --include "*20171107*" &amp; "%USERPROFILE%\Documents\GitHub\mrs-test-scripts\Headless Mode &amp; Sideloading\WalkAndUnGZ.bat" "%USERPROFILE%\AppData\Local\Temp\OnboardLogs"\RTDC4042\2017-11-07 &amp; 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/stypes="app*4042*20171108*"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ref="AH151:AH220" si="64"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237-07 --locoid 4042 --swversion DE.1.0.9.0 --startMP 204:537 --initTime 2017-11-07T22:38:12 --startdatetime 2017-11-07T23:00:22 --delay 429 --endMP 204:233285 --enddatetime 2017-11-07T23:35:42 --enforcementcount 0 &gt;&gt;%USERPROFILE%\Documents\GitHub\eaglep3-reporting\EC\2017-11-07-refined-times.txt</v>
      </c>
      <c r="AI151" s="96" t="str">
        <f t="shared" ref="AI151:AI220" si="65"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{"issue":{"subject":"","project_id":79,"tracker_id":40,"status_id":1,"priority_id":2,"assigned_to_id":338,"start_date":"2017-11-07","description":"","custom_fields":[{"id":1,"name":"Subdivision","value":"EC"},{"id":4,"name":"Milepost","value":"23.3285"},{"id":17,"name":"Train ID","value":"237-07"},{"id":16,"name":"Locomotive ID","value":"4042"},{"id":130,"name":"Impact","value":""},{"id":150,"name":"Time of Event (Mountain Time)","value":"23:35:42"},{"id":151,"name":"Denver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ref="AM151:AM220" si="66">"start /low /b "&amp;dls3logs&amp;" --loco "&amp;B151&amp;" --day "&amp;TEXT(F151,"YYYY-MM-DD")</f>
        <v>start /low /b %USERPROFILE%\Documents\GitHub\eaglep3\Utilities\DownloadLogsFromS3.py --loco 4042 --day 2017-11-07</v>
      </c>
      <c r="AN151" s="151" t="str">
        <f t="shared" ref="AN151:AN220" si="67"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ref="AO151:AO220" si="68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-07T21:38:12-0700',mode:absolute,to:'2017-11-08T00:35:42-0700'))&amp;_a=(columns:!('Message%20ID',Summary),filters:!(),index:'emp_*',interval:auto,query:(query_string:(analyze_wildcard:!t,query:'%22rtdc.l.rtdc.4042%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881</v>
      </c>
      <c r="B152" s="7">
        <v>4041</v>
      </c>
      <c r="C152" s="21" t="s">
        <v>192</v>
      </c>
      <c r="D152" s="21" t="s">
        <v>896</v>
      </c>
      <c r="E152" s="13">
        <v>43046.989131944443</v>
      </c>
      <c r="F152" s="13">
        <v>43046.998449074075</v>
      </c>
      <c r="G152" s="7">
        <v>75</v>
      </c>
      <c r="H152" s="21" t="s">
        <v>502</v>
      </c>
      <c r="I152" s="13">
        <v>43047.024988425925</v>
      </c>
      <c r="J152" s="7">
        <v>0</v>
      </c>
      <c r="K152" s="89" t="str">
        <f>IF(ISEVEN(B152),(B152-1)&amp;"/"&amp;B152,B152&amp;"/"&amp;(B152+1))</f>
        <v>4041/4042</v>
      </c>
      <c r="L152" s="185" t="str">
        <f>VLOOKUP(A152,'Trips&amp;Operators'!$C$1:$G$99911,5,FALSE)</f>
        <v>GUNTHIER ERIC</v>
      </c>
      <c r="M152" s="6">
        <f>I152-F152</f>
        <v>2.6539351849351078E-2</v>
      </c>
      <c r="N152" s="7">
        <f>24*60*SUM($M152:$M152)</f>
        <v>38.216666663065553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-07T22:44:21-0700',mode:absolute,to:'2017-11-08T01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23.297599999999999</v>
      </c>
      <c r="Z152" s="204">
        <f>RIGHT(H152,LEN(H152)-4)/10000</f>
        <v>1.6500000000000001E-2</v>
      </c>
      <c r="AA152" s="204">
        <f>ABS(Z152-Y152)</f>
        <v>23.281099999999999</v>
      </c>
      <c r="AB152" s="54" t="e">
        <f>VLOOKUP(A152,Enforcements!$C$7:$K$10,8,0)</f>
        <v>#N/A</v>
      </c>
      <c r="AC152" s="51" t="e">
        <f>VLOOKUP(A152,Enforcements!$C$7:$E$10,3,0)</f>
        <v>#N/A</v>
      </c>
      <c r="AD152" s="179">
        <f>VALUE(LEFT(A152,LEN(A152)-3))</f>
        <v>238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/stypes="app*4041*20171108*" /stext=" 07:.+((SYSTEM_STATE.+slice.+state.+changed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64"/>
        <v>"%USERPROFILE%\Documents\GitHub\eaglep3\Utilities\RefineRTDCRunTimes.py" --tripid 238-07 --locoid 4041 --swversion DE.1.0.9.0 --startMP 204:232976 --initTime 2017-11-07T23:44:21 --startdatetime 2017-11-07T23:57:46 --delay 75 --endMP 204:165 --enddatetime 2017-11-08T00:35:59 --enforcementcount 0 &gt;&gt;%USERPROFILE%\Documents\GitHub\eaglep3-reporting\EC\2017-11-07-refined-times.txt</v>
      </c>
      <c r="AI152" s="96" t="str">
        <f t="shared" si="65"/>
        <v>echo {"issue":{"subject":"","project_id":79,"tracker_id":40,"status_id":1,"priority_id":2,"assigned_to_id":338,"start_date":"2017-11-08","description":"","custom_fields":[{"id":1,"name":"Subdivision","value":"EC"},{"id":4,"name":"Milepost","value":"0.0165"},{"id":17,"name":"Train ID","value":"238-07"},{"id":16,"name":"Locomotive ID","value":"4041"},{"id":130,"name":"Impact","value":""},{"id":150,"name":"Time of Event (Mountain Time)","value":"00:35:59"},{"id":151,"name":"Denver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66"/>
        <v>start /low /b %USERPROFILE%\Documents\GitHub\eaglep3\Utilities\DownloadLogsFromS3.py --loco 4041 --day 2017-11-07</v>
      </c>
      <c r="AN152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07:35:59"},{"id":29,"name":"Sharepoint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68"/>
        <v>https://d0f6bd738d7f1b3e5a7ca70fe4ff75f0.us-east-1.aws.found.io/app/kibana#/discover/Steve-Slow-Train-Analysis-(2080s-and-2083s)?_g=(refreshInterval:(display:Off,pause:!f,section:0,value:0),time:(from:'2017-11-07T22:44:21-0700',mode:absolute,to:'2017-11-08T01:35:59-0700'))&amp;_a=(columns:!('Message%20ID',Summary),filters:!(),index:'emp_*',interval:auto,query:(query_string:(analyze_wildcard:!t,query:'%22rtdc.l.rtdc.4041%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879</v>
      </c>
      <c r="B153" s="7">
        <v>4064</v>
      </c>
      <c r="C153" s="21" t="s">
        <v>192</v>
      </c>
      <c r="D153" s="21" t="s">
        <v>979</v>
      </c>
      <c r="E153" s="13">
        <v>43046.972129629627</v>
      </c>
      <c r="F153" s="13">
        <v>43046.979421296295</v>
      </c>
      <c r="G153" s="7">
        <v>119</v>
      </c>
      <c r="H153" s="21" t="s">
        <v>928</v>
      </c>
      <c r="I153" s="13">
        <v>43047.00440972222</v>
      </c>
      <c r="J153" s="7">
        <v>0</v>
      </c>
      <c r="K153" s="89" t="str">
        <f>IF(ISEVEN(B153),(B153-1)&amp;"/"&amp;B153,B153&amp;"/"&amp;(B153+1))</f>
        <v>4063/4064</v>
      </c>
      <c r="L153" s="185" t="str">
        <f>VLOOKUP(A153,'Trips&amp;Operators'!$C$1:$G$99911,5,FALSE)</f>
        <v>LOZA FIDEL</v>
      </c>
      <c r="M153" s="6">
        <f>I153-F153</f>
        <v>2.4988425924675539E-2</v>
      </c>
      <c r="N153" s="7">
        <f>24*60*SUM($M153:$M153)</f>
        <v>35.983333331532776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-07T22:19:52-0700',mode:absolute,to:'2017-11-08T01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5.7500000000000002E-2</v>
      </c>
      <c r="Z153" s="204">
        <f>RIGHT(H153,LEN(H153)-4)/10000</f>
        <v>23.314</v>
      </c>
      <c r="AA153" s="204">
        <f>ABS(Z153-Y153)</f>
        <v>23.256499999999999</v>
      </c>
      <c r="AB153" s="54" t="e">
        <f>VLOOKUP(A153,Enforcements!$C$7:$K$10,8,0)</f>
        <v>#N/A</v>
      </c>
      <c r="AC153" s="51" t="e">
        <f>VLOOKUP(A153,Enforcements!$C$7:$E$10,3,0)</f>
        <v>#N/A</v>
      </c>
      <c r="AD153" s="179">
        <f>VALUE(LEFT(A153,LEN(A153)-3))</f>
        <v>239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 &amp; 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/stypes="app*4064*20171108*" /stext=" 07:.+((SYSTEM_STATE.+slice.+state.+changed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64"/>
        <v>"%USERPROFILE%\Documents\GitHub\eaglep3\Utilities\RefineRTDCRunTimes.py" --tripid 239-07 --locoid 4064 --swversion DE.1.0.9.0 --startMP 204:575 --initTime 2017-11-07T23:19:52 --startdatetime 2017-11-07T23:30:22 --delay 119 --endMP 204:233140 --enddatetime 2017-11-08T00:06:21 --enforcementcount 0 &gt;&gt;%USERPROFILE%\Documents\GitHub\eaglep3-reporting\EC\2017-11-07-refined-times.txt</v>
      </c>
      <c r="AI153" s="96" t="str">
        <f t="shared" si="65"/>
        <v>echo {"issue":{"subject":"","project_id":79,"tracker_id":40,"status_id":1,"priority_id":2,"assigned_to_id":338,"start_date":"2017-11-08","description":"","custom_fields":[{"id":1,"name":"Subdivision","value":"EC"},{"id":4,"name":"Milepost","value":"23.314"},{"id":17,"name":"Train ID","value":"239-07"},{"id":16,"name":"Locomotive ID","value":"4064"},{"id":130,"name":"Impact","value":""},{"id":150,"name":"Time of Event (Mountain Time)","value":"00:06:21"},{"id":151,"name":"Denver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66"/>
        <v>start /low /b %USERPROFILE%\Documents\GitHub\eaglep3\Utilities\DownloadLogsFromS3.py --loco 4064 --day 2017-11-07</v>
      </c>
      <c r="AN153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07:06:21"},{"id":29,"name":"Sharepoint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68"/>
        <v>https://d0f6bd738d7f1b3e5a7ca70fe4ff75f0.us-east-1.aws.found.io/app/kibana#/discover/Steve-Slow-Train-Analysis-(2080s-and-2083s)?_g=(refreshInterval:(display:Off,pause:!f,section:0,value:0),time:(from:'2017-11-07T22:19:52-0700',mode:absolute,to:'2017-11-08T01:06:21-0700'))&amp;_a=(columns:!('Message%20ID',Summary),filters:!(),index:'emp_*',interval:auto,query:(query_string:(analyze_wildcard:!t,query:'%22rtdc.l.rtdc.4064%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671</v>
      </c>
      <c r="B154" s="7">
        <v>4063</v>
      </c>
      <c r="C154" s="21" t="s">
        <v>192</v>
      </c>
      <c r="D154" s="21" t="s">
        <v>604</v>
      </c>
      <c r="E154" s="13">
        <v>43047.015717592592</v>
      </c>
      <c r="F154" s="13">
        <v>43047.018935185188</v>
      </c>
      <c r="G154" s="7">
        <v>63</v>
      </c>
      <c r="H154" s="21" t="s">
        <v>980</v>
      </c>
      <c r="I154" s="13">
        <v>43047.046342592592</v>
      </c>
      <c r="J154" s="7">
        <v>0</v>
      </c>
      <c r="K154" s="89" t="str">
        <f>IF(ISEVEN(B154),(B154-1)&amp;"/"&amp;B154,B154&amp;"/"&amp;(B154+1))</f>
        <v>4063/4064</v>
      </c>
      <c r="L154" s="185" t="str">
        <f>VLOOKUP(A154,'Trips&amp;Operators'!$C$1:$G$99911,5,FALSE)</f>
        <v>LOZA FIDEL</v>
      </c>
      <c r="M154" s="6">
        <f>I154-F154</f>
        <v>2.7407407404098194E-2</v>
      </c>
      <c r="N154" s="7">
        <f>24*60*SUM($M154:$M154)</f>
        <v>39.466666661901399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-07T23:22:38-0700',mode:absolute,to:'2017-11-08T02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23.2925</v>
      </c>
      <c r="Z154" s="204">
        <f>RIGHT(H154,LEN(H154)-4)/10000</f>
        <v>2.58E-2</v>
      </c>
      <c r="AA154" s="204">
        <f>ABS(Z154-Y154)</f>
        <v>23.2667</v>
      </c>
      <c r="AB154" s="54" t="str">
        <f>VLOOKUP(A154,Enforcements!$C$7:$K$10,8,0)</f>
        <v>Bulletin (2)</v>
      </c>
      <c r="AC154" s="51" t="str">
        <f>VLOOKUP(A154,Enforcements!$C$7:$E$10,3,0)</f>
        <v>GRADE CROSSING</v>
      </c>
      <c r="AD154" s="179">
        <f>VALUE(LEFT(A154,LEN(A154)-3))</f>
        <v>240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 &amp; 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/stypes="app*4063*20171108*" /stext=" 08:.+((SYSTEM_STATE.+slice.+state.+changed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64"/>
        <v>"%USERPROFILE%\Documents\GitHub\eaglep3\Utilities\RefineRTDCRunTimes.py" --tripid 240-07 --locoid 4063 --swversion DE.1.0.9.0 --startMP 204:232925 --initTime 2017-11-08T00:22:38 --startdatetime 2017-11-08T00:27:16 --delay 63 --endMP 204:258 --enddatetime 2017-11-08T01:06:44 --enforcementcount 0 &gt;&gt;%USERPROFILE%\Documents\GitHub\eaglep3-reporting\EC\2017-11-07-refined-times.txt</v>
      </c>
      <c r="AI154" s="96" t="str">
        <f t="shared" si="65"/>
        <v>echo {"issue":{"subject":"","project_id":79,"tracker_id":40,"status_id":1,"priority_id":2,"assigned_to_id":338,"start_date":"2017-11-08","description":"","custom_fields":[{"id":1,"name":"Subdivision","value":"EC"},{"id":4,"name":"Milepost","value":"0.0258"},{"id":17,"name":"Train ID","value":"240-07"},{"id":16,"name":"Locomotive ID","value":"4063"},{"id":130,"name":"Impact","value":""},{"id":150,"name":"Time of Event (Mountain Time)","value":"01:06:44"},{"id":151,"name":"Denver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66"/>
        <v>start /low /b %USERPROFILE%\Documents\GitHub\eaglep3\Utilities\DownloadLogsFromS3.py --loco 4063 --day 2017-11-08</v>
      </c>
      <c r="AN154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08:06:44"},{"id":29,"name":"Sharepoint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68"/>
        <v>https://d0f6bd738d7f1b3e5a7ca70fe4ff75f0.us-east-1.aws.found.io/app/kibana#/discover/Steve-Slow-Train-Analysis-(2080s-and-2083s)?_g=(refreshInterval:(display:Off,pause:!f,section:0,value:0),time:(from:'2017-11-07T23:22:38-0700',mode:absolute,to:'2017-11-08T02:06:44-0700'))&amp;_a=(columns:!('Message%20ID',Summary),filters:!(),index:'emp_*',interval:auto,query:(query_string:(analyze_wildcard:!t,query:'%22rtdc.l.rtdc.4063%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882</v>
      </c>
      <c r="B155" s="7">
        <v>4008</v>
      </c>
      <c r="C155" s="21" t="s">
        <v>192</v>
      </c>
      <c r="D155" s="21" t="s">
        <v>602</v>
      </c>
      <c r="E155" s="13">
        <v>43046.991608796299</v>
      </c>
      <c r="F155" s="13">
        <v>43047.000289351854</v>
      </c>
      <c r="G155" s="7">
        <v>90</v>
      </c>
      <c r="H155" s="21" t="s">
        <v>912</v>
      </c>
      <c r="I155" s="13">
        <v>43047.026192129626</v>
      </c>
      <c r="J155" s="7">
        <v>0</v>
      </c>
      <c r="K155" s="89" t="str">
        <f>IF(ISEVEN(B155),(B155-1)&amp;"/"&amp;B155,B155&amp;"/"&amp;(B155+1))</f>
        <v>4007/4008</v>
      </c>
      <c r="L155" s="185" t="str">
        <f>VLOOKUP(A155,'Trips&amp;Operators'!$C$1:$G$99911,5,FALSE)</f>
        <v>NICHOLSON WESLEY</v>
      </c>
      <c r="M155" s="6">
        <f>I155-F155</f>
        <v>2.5902777771989349E-2</v>
      </c>
      <c r="N155" s="7">
        <f>24*60*SUM($M155:$M155)</f>
        <v>37.299999991664663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-07T22:47:55-0700',mode:absolute,to:'2017-11-08T01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5.6800000000000003E-2</v>
      </c>
      <c r="Z155" s="204">
        <f>RIGHT(H155,LEN(H155)-4)/10000</f>
        <v>23.330400000000001</v>
      </c>
      <c r="AA155" s="204">
        <f>ABS(Z155-Y155)</f>
        <v>23.273600000000002</v>
      </c>
      <c r="AB155" s="54" t="e">
        <f>VLOOKUP(A155,Enforcements!$C$7:$K$10,8,0)</f>
        <v>#N/A</v>
      </c>
      <c r="AC155" s="51" t="e">
        <f>VLOOKUP(A155,Enforcements!$C$7:$E$10,3,0)</f>
        <v>#N/A</v>
      </c>
      <c r="AD155" s="179">
        <f>VALUE(LEFT(A155,LEN(A155)-3))</f>
        <v>241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 &amp; aws s3 cp s3://rtdc.mdm.uploadarchive.raw/RTDC4008/ "%USERPROFILE%\AppData\Local\Temp\OnboardLogs"\RTDC4008\2017-11-09 --exclude "*" --recursive --include "*20171109*" &amp; "%USERPROFILE%\Documents\GitHub\mrs-test-scripts\Headless Mode &amp; Sideloading\WalkAndUnGZ.bat" "%USERPROFILE%\AppData\Local\Temp\OnboardLogs"\RTDC4008\2017-11-09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/stypes="app*4008*20171108*"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64"/>
        <v>"%USERPROFILE%\Documents\GitHub\eaglep3\Utilities\RefineRTDCRunTimes.py" --tripid 241-07 --locoid 4008 --swversion DE.1.0.9.0 --startMP 204:568 --initTime 2017-11-07T23:47:55 --startdatetime 2017-11-08T00:00:25 --delay 90 --endMP 204:233304 --enddatetime 2017-11-08T00:37:43 --enforcementcount 0 &gt;&gt;%USERPROFILE%\Documents\GitHub\eaglep3-reporting\EC\2017-11-07-refined-times.txt</v>
      </c>
      <c r="AI155" s="96" t="str">
        <f t="shared" si="65"/>
        <v>echo {"issue":{"subject":"","project_id":79,"tracker_id":40,"status_id":1,"priority_id":2,"assigned_to_id":338,"start_date":"2017-11-08","description":"","custom_fields":[{"id":1,"name":"Subdivision","value":"EC"},{"id":4,"name":"Milepost","value":"23.3304"},{"id":17,"name":"Train ID","value":"241-07"},{"id":16,"name":"Locomotive ID","value":"4008"},{"id":130,"name":"Impact","value":""},{"id":150,"name":"Time of Event (Mountain Time)","value":"00:37:43"},{"id":151,"name":"Denver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66"/>
        <v>start /low /b %USERPROFILE%\Documents\GitHub\eaglep3\Utilities\DownloadLogsFromS3.py --loco 4008 --day 2017-11-08</v>
      </c>
      <c r="AN155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07:37:43"},{"id":29,"name":"Sharepoint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68"/>
        <v>https://d0f6bd738d7f1b3e5a7ca70fe4ff75f0.us-east-1.aws.found.io/app/kibana#/discover/Steve-Slow-Train-Analysis-(2080s-and-2083s)?_g=(refreshInterval:(display:Off,pause:!f,section:0,value:0),time:(from:'2017-11-07T22:47:55-0700',mode:absolute,to:'2017-11-08T01:37:43-0700'))&amp;_a=(columns:!('Message%20ID',Summary),filters:!(),index:'emp_*',interval:auto,query:(query_string:(analyze_wildcard:!t,query:'%22rtdc.l.rtdc.4008%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672</v>
      </c>
      <c r="B156" s="7">
        <v>4007</v>
      </c>
      <c r="C156" s="21" t="s">
        <v>192</v>
      </c>
      <c r="D156" s="21" t="s">
        <v>602</v>
      </c>
      <c r="E156" s="13">
        <v>43046.991608796299</v>
      </c>
      <c r="F156" s="13">
        <v>43047.039907407408</v>
      </c>
      <c r="G156" s="7">
        <v>90</v>
      </c>
      <c r="H156" s="21" t="s">
        <v>912</v>
      </c>
      <c r="I156" s="13">
        <v>43047.067789351851</v>
      </c>
      <c r="J156" s="7">
        <v>0</v>
      </c>
      <c r="K156" s="89" t="str">
        <f>IF(ISEVEN(B156),(B156-1)&amp;"/"&amp;B156,B156&amp;"/"&amp;(B156+1))</f>
        <v>4007/4008</v>
      </c>
      <c r="L156" s="185" t="str">
        <f>VLOOKUP(A156,'Trips&amp;Operators'!$C$1:$G$99911,5,FALSE)</f>
        <v>NICHOLSON WESLEY</v>
      </c>
      <c r="M156" s="6">
        <f>I156-F156</f>
        <v>2.7881944442924578E-2</v>
      </c>
      <c r="N156" s="7">
        <f>24*60*SUM($M156:$M156)</f>
        <v>40.149999997811392</v>
      </c>
      <c r="O156" s="7"/>
      <c r="P156" s="7"/>
      <c r="Q156" s="22"/>
      <c r="R156" s="174" t="s">
        <v>1090</v>
      </c>
      <c r="S156" s="221">
        <f>1/IF(AG156="EC",12,1)*SUM(U156:U156)</f>
        <v>1</v>
      </c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-07T22:47:55-0700',mode:absolute,to:'2017-11-08T02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v>23.2925</v>
      </c>
      <c r="Z156" s="204">
        <v>2.58E-2</v>
      </c>
      <c r="AA156" s="204">
        <f>ABS(Z156-Y156)</f>
        <v>23.2667</v>
      </c>
      <c r="AB156" s="54" t="e">
        <f>VLOOKUP(A156,Enforcements!$C$7:$K$10,8,0)</f>
        <v>#N/A</v>
      </c>
      <c r="AC156" s="51" t="e">
        <f>VLOOKUP(A156,Enforcements!$C$7:$E$10,3,0)</f>
        <v>#N/A</v>
      </c>
      <c r="AD156" s="179">
        <f>VALUE(LEFT(A156,LEN(A156)-3))</f>
        <v>242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 &amp; aws s3 cp s3://rtdc.mdm.uploadarchive.raw/RTDC4007/ "%USERPROFILE%\AppData\Local\Temp\OnboardLogs"\RTDC4007\2017-11-09 --exclude "*" --recursive --include "*20171109*" &amp; "%USERPROFILE%\Documents\GitHub\mrs-test-scripts\Headless Mode &amp; Sideloading\WalkAndUnGZ.bat" "%USERPROFILE%\AppData\Local\Temp\OnboardLogs"\RTDC4007\2017-11-09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/stypes="app*4007*20171108*" /stext=" 08:.+((SYSTEM_STATE.+slice.+state.+changed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ref="AH156" si="69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242-07 --locoid 4007 --swversion DE.1.0.9.0 --startMP 204:568 --initTime 2017-11-07T23:47:55 --startdatetime 2017-11-08T00:57:28 --delay 90 --endMP 204:233304 --enddatetime 2017-11-08T01:37:37 --enforcementcount 0 &gt;&gt;%USERPROFILE%\Documents\GitHub\eaglep3-reporting\EC\2017-11-07-refined-times.txt</v>
      </c>
      <c r="AI156" s="96" t="str">
        <f t="shared" ref="AI156" si="70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{"issue":{"subject":"Overspeed enforcement","project_id":79,"tracker_id":40,"status_id":1,"priority_id":2,"assigned_to_id":338,"start_date":"2017-11-08","description":"","custom_fields":[{"id":1,"name":"Subdivision","value":"EC"},{"id":4,"name":"Milepost","value":"0.0258"},{"id":17,"name":"Train ID","value":"242-07"},{"id":16,"name":"Locomotive ID","value":"4007"},{"id":130,"name":"Impact","value":""},{"id":150,"name":"Time of Event (Mountain Time)","value":"01:37:37"},{"id":151,"name":"Denver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" si="71">"start /low /b "&amp;dls3logs&amp;" --loco "&amp;B156&amp;" --day "&amp;TEXT(F156,"YYYY-MM-DD")</f>
        <v>start /low /b %USERPROFILE%\Documents\GitHub\eaglep3\Utilities\DownloadLogsFromS3.py --loco 4007 --day 2017-11-08</v>
      </c>
      <c r="AN156" s="151" t="str">
        <f t="shared" ref="AN156" si="72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{"issue":{"subject":"Overspeed enforcement","project_id":30,"tracker_id":4,"status_id":1,"priority_id":1,"assigned_to_id":10,"start_date":"2017-11-08","description":"","custom_fields":[{"id":30,"name":"Category","value":"Issue"},{"id":3,"name":"Functional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08:37:37"},{"id":29,"name":"Sharepoint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" si="73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-07T22:47:55-0700',mode:absolute,to:'2017-11-08T02:37:37-0700'))&amp;_a=(columns:!('Message%20ID',Summary),filters:!(),index:'emp_*',interval:auto,query:(query_string:(analyze_wildcard:!t,query:'%22rtdc.l.rtdc.4007%22')),sort:!(Time.ISO8601,asc))</v>
      </c>
    </row>
    <row r="157" spans="1:91" s="20" customFormat="1" x14ac:dyDescent="0.3">
      <c r="A157" s="32" t="s">
        <v>883</v>
      </c>
      <c r="B157" s="7">
        <v>4022</v>
      </c>
      <c r="C157" s="21" t="s">
        <v>192</v>
      </c>
      <c r="D157" s="21" t="s">
        <v>981</v>
      </c>
      <c r="E157" s="13">
        <v>43047.011134259257</v>
      </c>
      <c r="F157" s="13">
        <v>43047.021064814813</v>
      </c>
      <c r="G157" s="7">
        <v>58</v>
      </c>
      <c r="H157" s="21" t="s">
        <v>955</v>
      </c>
      <c r="I157" s="13">
        <v>43047.046203703707</v>
      </c>
      <c r="J157" s="7">
        <v>0</v>
      </c>
      <c r="K157" s="89" t="str">
        <f>IF(ISEVEN(B157),(B157-1)&amp;"/"&amp;B157,B157&amp;"/"&amp;(B157+1))</f>
        <v>4021/4022</v>
      </c>
      <c r="L157" s="185" t="str">
        <f>VLOOKUP(A157,'Trips&amp;Operators'!$C$1:$G$99911,5,FALSE)</f>
        <v>AUSTIN THOMPSON</v>
      </c>
      <c r="M157" s="6">
        <f>I157-F157</f>
        <v>2.513888889370719E-2</v>
      </c>
      <c r="N157" s="7">
        <f>24*60*SUM($M157:$M157)</f>
        <v>36.200000006938353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-07T23:16:02-0700',mode:absolute,to:'2017-11-08T02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7" s="204" t="str">
        <f>IF(AA157&lt;VLOOKUP(AG157,Variables!$AC$3:$AD$8,2,FALSE),"Y","N")</f>
        <v>N</v>
      </c>
      <c r="X157" s="204">
        <f t="shared" ref="X157:X160" si="74">VALUE(LEFT(AD157,4))-VALUE(LEFT(AD156,4))</f>
        <v>1</v>
      </c>
      <c r="Y157" s="204">
        <f>RIGHT(D157,LEN(D157)-4)/10000</f>
        <v>6.0999999999999999E-2</v>
      </c>
      <c r="Z157" s="204">
        <f>RIGHT(H157,LEN(H157)-4)/10000</f>
        <v>23.321000000000002</v>
      </c>
      <c r="AA157" s="204">
        <f>ABS(Z157-Y157)</f>
        <v>23.26</v>
      </c>
      <c r="AB157" s="54" t="e">
        <f>VLOOKUP(A157,Enforcements!$C$7:$K$10,8,0)</f>
        <v>#N/A</v>
      </c>
      <c r="AC157" s="51" t="e">
        <f>VLOOKUP(A157,Enforcements!$C$7:$E$10,3,0)</f>
        <v>#N/A</v>
      </c>
      <c r="AD157" s="179">
        <f>VALUE(LEFT(A157,LEN(A157)-3))</f>
        <v>243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s3://rtdc.mdm.uploadarchive.raw/RTDC4022/ "%USERPROFILE%\AppData\Local\Temp\OnboardLogs"\RTDC4022\2017-11-08 --exclude "*" --recursive --include "*20171108*" &amp; "%USERPROFILE%\Documents\GitHub\mrs-test-scripts\Headless Mode &amp; Sideloading\WalkAndUnGZ.bat" "%USERPROFILE%\AppData\Local\Temp\OnboardLogs"\RTDC4022\2017-11-08 &amp; 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/stypes="app*4022*20171108*" /stext=" 08:.+((SYSTEM_STATE.+slice.+state.+changed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64"/>
        <v>"%USERPROFILE%\Documents\GitHub\eaglep3\Utilities\RefineRTDCRunTimes.py" --tripid 243-07 --locoid 4022 --swversion DE.1.0.9.0 --startMP 204:610 --initTime 2017-11-08T00:16:02 --startdatetime 2017-11-08T00:30:20 --delay 58 --endMP 204:233210 --enddatetime 2017-11-08T01:06:32 --enforcementcount 0 &gt;&gt;%USERPROFILE%\Documents\GitHub\eaglep3-reporting\EC\2017-11-07-refined-times.txt</v>
      </c>
      <c r="AI157" s="96" t="str">
        <f t="shared" si="65"/>
        <v>echo {"issue":{"subject":"","project_id":79,"tracker_id":40,"status_id":1,"priority_id":2,"assigned_to_id":338,"start_date":"2017-11-08","description":"","custom_fields":[{"id":1,"name":"Subdivision","value":"EC"},{"id":4,"name":"Milepost","value":"23.321"},{"id":17,"name":"Train ID","value":"243-07"},{"id":16,"name":"Locomotive ID","value":"4022"},{"id":130,"name":"Impact","value":""},{"id":150,"name":"Time of Event (Mountain Time)","value":"01:06:32"},{"id":151,"name":"Denver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66"/>
        <v>start /low /b %USERPROFILE%\Documents\GitHub\eaglep3\Utilities\DownloadLogsFromS3.py --loco 4022 --day 2017-11-08</v>
      </c>
      <c r="AN157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08:06:32"},{"id":29,"name":"Sharepoint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68"/>
        <v>https://d0f6bd738d7f1b3e5a7ca70fe4ff75f0.us-east-1.aws.found.io/app/kibana#/discover/Steve-Slow-Train-Analysis-(2080s-and-2083s)?_g=(refreshInterval:(display:Off,pause:!f,section:0,value:0),time:(from:'2017-11-07T23:16:02-0700',mode:absolute,to:'2017-11-08T02:06:32-0700'))&amp;_a=(columns:!('Message%20ID',Summary),filters:!(),index:'emp_*',interval:auto,query:(query_string:(analyze_wildcard:!t,query:'%22rtdc.l.rtdc.4022%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1086</v>
      </c>
      <c r="B158" s="7">
        <v>4021</v>
      </c>
      <c r="C158" s="21" t="s">
        <v>192</v>
      </c>
      <c r="D158" s="21" t="s">
        <v>981</v>
      </c>
      <c r="E158" s="13">
        <v>43047.011134259257</v>
      </c>
      <c r="F158" s="13">
        <v>43047.060648148145</v>
      </c>
      <c r="G158" s="7">
        <v>58</v>
      </c>
      <c r="H158" s="21" t="s">
        <v>955</v>
      </c>
      <c r="I158" s="13">
        <v>43047.061481481483</v>
      </c>
      <c r="J158" s="7">
        <v>0</v>
      </c>
      <c r="K158" s="89" t="str">
        <f>IF(ISEVEN(B158),(B158-1)&amp;"/"&amp;B158,B158&amp;"/"&amp;(B158+1))</f>
        <v>4021/4022</v>
      </c>
      <c r="L158" s="185" t="s">
        <v>1087</v>
      </c>
      <c r="M158" s="6">
        <f>I158-F158</f>
        <v>8.3333333896007389E-4</v>
      </c>
      <c r="N158" s="7"/>
      <c r="O158" s="7"/>
      <c r="P158" s="7">
        <f>24*60*SUM($M158:$M158)</f>
        <v>1.2000000081025064</v>
      </c>
      <c r="Q158" s="22"/>
      <c r="R158" s="174" t="s">
        <v>1091</v>
      </c>
      <c r="S158" s="221">
        <f>1/IF(AG158="EC",12,1)*SUM(U158:U158)</f>
        <v>0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-07T23:16:02-0700',mode:absolute,to:'2017-11-08T02:28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8" s="204" t="str">
        <f>IF(AA158&lt;VLOOKUP(AG158,Variables!$AC$3:$AD$8,2,FALSE),"Y","N")</f>
        <v>Y</v>
      </c>
      <c r="X158" s="204">
        <f t="shared" si="74"/>
        <v>1</v>
      </c>
      <c r="Y158" s="204">
        <v>0</v>
      </c>
      <c r="Z158" s="204">
        <v>0</v>
      </c>
      <c r="AA158" s="204">
        <f>ABS(Z158-Y158)</f>
        <v>0</v>
      </c>
      <c r="AB158" s="54" t="e">
        <f>VLOOKUP(A158,Enforcements!$C$7:$K$10,8,0)</f>
        <v>#N/A</v>
      </c>
      <c r="AC158" s="51" t="e">
        <f>VLOOKUP(A158,Enforcements!$C$7:$E$10,3,0)</f>
        <v>#N/A</v>
      </c>
      <c r="AD158" s="179">
        <f>VALUE(LEFT(A158,LEN(A158)-3))</f>
        <v>244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s3://rtdc.mdm.uploadarchive.raw/RTDC4021/ "%USERPROFILE%\AppData\Local\Temp\OnboardLogs"\RTDC4021\2017-11-08 --exclude "*" --recursive --include "*20171108*" &amp; "%USERPROFILE%\Documents\GitHub\mrs-test-scripts\Headless Mode &amp; Sideloading\WalkAndUnGZ.bat" "%USERPROFILE%\AppData\Local\Temp\OnboardLogs"\RTDC4021\2017-11-08 &amp; 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/stypes="app*4021*20171108*" /stext=" 08:.+((SYSTEM_STATE.+slice.+state.+changed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ref="AH158" si="75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244-07 --locoid 4021 --swversion DE.1.0.9.0 --startMP 204:610 --initTime 2017-11-08T00:16:02 --startdatetime 2017-11-08T01:27:20 --delay 58 --endMP 204:233210 --enddatetime 2017-11-08T01:28:32 --enforcementcount 0 &gt;&gt;%USERPROFILE%\Documents\GitHub\eaglep3-reporting\EC\2017-11-07-refined-times.txt</v>
      </c>
      <c r="AI158" s="96" t="str">
        <f t="shared" ref="AI158" si="76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{"issue":{"subject":"Did not init due to CCROC/Crew/Equipment mismatch","project_id":79,"tracker_id":40,"status_id":1,"priority_id":2,"assigned_to_id":338,"start_date":"2017-11-08","description":"","custom_fields":[{"id":1,"name":"Subdivision","value":"EC"},{"id":4,"name":"Milepost","value":"0"},{"id":17,"name":"Train ID","value":"244-07"},{"id":16,"name":"Locomotive ID","value":"4021"},{"id":130,"name":"Impact","value":""},{"id":150,"name":"Time of Event (Mountain Time)","value":"01:28:32"},{"id":151,"name":"Denver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ref="AM158" si="77">"start /low /b "&amp;dls3logs&amp;" --loco "&amp;B158&amp;" --day "&amp;TEXT(F158,"YYYY-MM-DD")</f>
        <v>start /low /b %USERPROFILE%\Documents\GitHub\eaglep3\Utilities\DownloadLogsFromS3.py --loco 4021 --day 2017-11-08</v>
      </c>
      <c r="AN158" s="151" t="str">
        <f t="shared" ref="AN158" si="78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CCROC/Crew/Equipment mismatch","project_id":30,"tracker_id":4,"status_id":1,"priority_id":1,"assigned_to_id":10,"start_date":"2017-11-08","description":"","custom_fields":[{"id":30,"name":"Category","value":"Issue"},{"id":3,"name":"Functional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08:28:32"},{"id":29,"name":"Sharepoint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ref="AO158" si="79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-07T23:16:02-0700',mode:absolute,to:'2017-11-08T02:28:32-0700'))&amp;_a=(columns:!('Message%20ID',Summary),filters:!(),index:'emp_*',interval:auto,query:(query_string:(analyze_wildcard:!t,query:'%22rtdc.l.rtdc.4021%22')),sort:!(Time.ISO8601,asc))</v>
      </c>
    </row>
    <row r="159" spans="1:91" s="20" customFormat="1" x14ac:dyDescent="0.3">
      <c r="A159" s="32" t="s">
        <v>698</v>
      </c>
      <c r="B159" s="7">
        <v>4001</v>
      </c>
      <c r="C159" s="21" t="s">
        <v>192</v>
      </c>
      <c r="D159" s="21" t="s">
        <v>631</v>
      </c>
      <c r="E159" s="13">
        <v>43046.218124999999</v>
      </c>
      <c r="F159" s="13">
        <v>43046.220243055555</v>
      </c>
      <c r="G159" s="7">
        <v>123</v>
      </c>
      <c r="H159" s="21" t="s">
        <v>1012</v>
      </c>
      <c r="I159" s="13">
        <v>43046.230370370373</v>
      </c>
      <c r="J159" s="7">
        <v>0</v>
      </c>
      <c r="K159" s="89" t="str">
        <f>IF(ISEVEN(B159),(B159-1)&amp;"/"&amp;B159,B159&amp;"/"&amp;(B159+1))</f>
        <v>4001/4002</v>
      </c>
      <c r="L159" s="185" t="str">
        <f>VLOOKUP(A159,'Trips&amp;Operators'!$C$1:$G$99911,5,FALSE)</f>
        <v>BROWN JACOB</v>
      </c>
      <c r="M159" s="6">
        <f>I159-F159</f>
        <v>1.0127314817509614E-2</v>
      </c>
      <c r="N159" s="7">
        <f>24*60*SUM($M159:$M159)</f>
        <v>14.583333337213844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-07T04:14:06-0700',mode:absolute,to:'2017-11-07T06:31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204" t="str">
        <f>IF(AA159&lt;VLOOKUP(AG159,Variables!$AC$3:$AD$8,2,FALSE),"Y","N")</f>
        <v>N</v>
      </c>
      <c r="X159" s="204">
        <f t="shared" si="74"/>
        <v>556</v>
      </c>
      <c r="Y159" s="204">
        <f>RIGHT(D159,LEN(D159)-4)/10000</f>
        <v>5.8615000000000004</v>
      </c>
      <c r="Z159" s="204">
        <f>RIGHT(H159,LEN(H159)-4)/10000</f>
        <v>7.9899999999999999E-2</v>
      </c>
      <c r="AA159" s="204">
        <f>ABS(Z159-Y159)</f>
        <v>5.7816000000000001</v>
      </c>
      <c r="AB159" s="54" t="e">
        <f>VLOOKUP(A159,Enforcements!$C$7:$K$10,8,0)</f>
        <v>#N/A</v>
      </c>
      <c r="AC159" s="51" t="e">
        <f>VLOOKUP(A159,Enforcements!$C$7:$E$10,3,0)</f>
        <v>#N/A</v>
      </c>
      <c r="AD159" s="179">
        <f>VALUE(LEFT(A159,LEN(A159)-3))</f>
        <v>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/stypes="app*4001*20171107*" /stext=" 12:.+((SYSTEM_STATE.+slice.+state.+changed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64"/>
        <v>"%USERPROFILE%\Documents\GitHub\eaglep3\Utilities\RefineRTDCRunTimes.py" --tripid 800-07 --locoid 4001 --swversion DE.1.0.9.0 --startMP 300:58615 --initTime 2017-11-07T05:14:06 --startdatetime 2017-11-07T05:17:09 --delay 123 --endMP 204:799 --enddatetime 2017-11-07T05:31:44 --enforcementcount 0 &gt;&gt;%USERPROFILE%\Documents\GitHub\eaglep3-reporting\EC\2017-11-07-refined-times.txt</v>
      </c>
      <c r="AI159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{"issue":{"subject":"","project_id":79,"tracker_id":40,"status_id":1,"priority_id":2,"assigned_to_id":338,"start_date":"2017-11-07","description":"","custom_fields":[{"id":1,"name":"Subdivision","value":"NW"},{"id":4,"name":"Milepost","value":"0.0799"},{"id":17,"name":"Train ID","value":"800-07"},{"id":16,"name":"Locomotive ID","value":"4001"},{"id":130,"name":"Impact","value":""},{"id":150,"name":"Time of Event (Mountain Time)","value":"05:31:44"},{"id":151,"name":"Denver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66"/>
        <v>start /low /b %USERPROFILE%\Documents\GitHub\eaglep3\Utilities\DownloadLogsFromS3.py --loco 4001 --day 2017-11-07</v>
      </c>
      <c r="AN159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12:31:44"},{"id":29,"name":"Sharepoint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68"/>
        <v>https://d0f6bd738d7f1b3e5a7ca70fe4ff75f0.us-east-1.aws.found.io/app/kibana#/discover/Steve-Slow-Train-Analysis-(2080s-and-2083s)?_g=(refreshInterval:(display:Off,pause:!f,section:0,value:0),time:(from:'2017-11-07T04:14:06-0700',mode:absolute,to:'2017-11-07T06:31:44-0700'))&amp;_a=(columns:!('Message%20ID',Summary),filters:!(),index:'emp_*',interval:auto,query:(query_string:(analyze_wildcard:!t,query:'%22rtdc.l.rtdc.4001%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701</v>
      </c>
      <c r="B160" s="7">
        <v>4002</v>
      </c>
      <c r="C160" s="21" t="s">
        <v>192</v>
      </c>
      <c r="D160" s="21" t="s">
        <v>1013</v>
      </c>
      <c r="E160" s="13">
        <v>43046.231574074074</v>
      </c>
      <c r="F160" s="13">
        <v>43046.236226851855</v>
      </c>
      <c r="G160" s="7">
        <v>53</v>
      </c>
      <c r="H160" s="21" t="s">
        <v>1014</v>
      </c>
      <c r="I160" s="13">
        <v>43046.246053240742</v>
      </c>
      <c r="J160" s="7">
        <v>0</v>
      </c>
      <c r="K160" s="89" t="str">
        <f>IF(ISEVEN(B160),(B160-1)&amp;"/"&amp;B160,B160&amp;"/"&amp;(B160+1))</f>
        <v>4001/4002</v>
      </c>
      <c r="L160" s="185" t="str">
        <f>VLOOKUP(A160,'Trips&amp;Operators'!$C$1:$G$99911,5,FALSE)</f>
        <v>BROWN JACOB</v>
      </c>
      <c r="M160" s="6">
        <f>I160-F160</f>
        <v>9.8263888867222704E-3</v>
      </c>
      <c r="N160" s="7">
        <f>24*60*SUM($M160:$M160)</f>
        <v>14.149999996880069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-07T04:33:28-0700',mode:absolute,to:'2017-11-07T06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0" s="204" t="str">
        <f>IF(AA160&lt;VLOOKUP(AG160,Variables!$AC$3:$AD$8,2,FALSE),"Y","N")</f>
        <v>N</v>
      </c>
      <c r="X160" s="204">
        <f t="shared" si="74"/>
        <v>1</v>
      </c>
      <c r="Y160" s="204">
        <f>RIGHT(D160,LEN(D160)-4)/10000</f>
        <v>0.10829999999999999</v>
      </c>
      <c r="Z160" s="204">
        <f>RIGHT(H160,LEN(H160)-4)/10000</f>
        <v>5.8936999999999999</v>
      </c>
      <c r="AA160" s="204">
        <f>ABS(Z160-Y160)</f>
        <v>5.7854000000000001</v>
      </c>
      <c r="AB160" s="54" t="e">
        <f>VLOOKUP(A160,Enforcements!$C$7:$K$10,8,0)</f>
        <v>#N/A</v>
      </c>
      <c r="AC160" s="51" t="e">
        <f>VLOOKUP(A160,Enforcements!$C$7:$E$10,3,0)</f>
        <v>#N/A</v>
      </c>
      <c r="AD160" s="179">
        <f>VALUE(LEFT(A160,LEN(A160)-3))</f>
        <v>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s3://rtdc.mdm.uploadarchive.raw/RTDC4002/ "%USERPROFILE%\AppData\Local\Temp\OnboardLogs"\RTDC4002\2017-11-07 --exclude "*" --recursive --include "*20171107*" &amp; "%USERPROFILE%\Documents\GitHub\mrs-test-scripts\Headless Mode &amp; Sideloading\WalkAndUnGZ.bat" "%USERPROFILE%\AppData\Local\Temp\OnboardLogs"\RTDC4002\2017-11-07 &amp; 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/stypes="app*4002*20171107*"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64"/>
        <v>"%USERPROFILE%\Documents\GitHub\eaglep3\Utilities\RefineRTDCRunTimes.py" --tripid 801-07 --locoid 4002 --swversion DE.1.0.9.0 --startMP 204:1083 --initTime 2017-11-07T05:33:28 --startdatetime 2017-11-07T05:40:10 --delay 53 --endMP 300:58937 --enddatetime 2017-11-07T05:54:19 --enforcementcount 0 &gt;&gt;%USERPROFILE%\Documents\GitHub\eaglep3-reporting\EC\2017-11-07-refined-times.txt</v>
      </c>
      <c r="AI160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{"issue":{"subject":"","project_id":79,"tracker_id":40,"status_id":1,"priority_id":2,"assigned_to_id":338,"start_date":"2017-11-07","description":"","custom_fields":[{"id":1,"name":"Subdivision","value":"NW"},{"id":4,"name":"Milepost","value":"5.8937"},{"id":17,"name":"Train ID","value":"801-07"},{"id":16,"name":"Locomotive ID","value":"4002"},{"id":130,"name":"Impact","value":""},{"id":150,"name":"Time of Event (Mountain Time)","value":"05:54:19"},{"id":151,"name":"Denver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66"/>
        <v>start /low /b %USERPROFILE%\Documents\GitHub\eaglep3\Utilities\DownloadLogsFromS3.py --loco 4002 --day 2017-11-07</v>
      </c>
      <c r="AN160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68"/>
        <v>https://d0f6bd738d7f1b3e5a7ca70fe4ff75f0.us-east-1.aws.found.io/app/kibana#/discover/Steve-Slow-Train-Analysis-(2080s-and-2083s)?_g=(refreshInterval:(display:Off,pause:!f,section:0,value:0),time:(from:'2017-11-07T04:33:28-0700',mode:absolute,to:'2017-11-07T06:54:19-0700'))&amp;_a=(columns:!('Message%20ID',Summary),filters:!(),index:'emp_*',interval:auto,query:(query_string:(analyze_wildcard:!t,query:'%22rtdc.l.rtdc.4002%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710</v>
      </c>
      <c r="B161" s="7">
        <v>4001</v>
      </c>
      <c r="C161" s="21" t="s">
        <v>192</v>
      </c>
      <c r="D161" s="21" t="s">
        <v>624</v>
      </c>
      <c r="E161" s="13">
        <v>43046.247407407405</v>
      </c>
      <c r="F161" s="13">
        <v>43046.258877314816</v>
      </c>
      <c r="G161" s="7">
        <v>56</v>
      </c>
      <c r="H161" s="21" t="s">
        <v>1015</v>
      </c>
      <c r="I161" s="13">
        <v>43046.267951388887</v>
      </c>
      <c r="J161" s="7">
        <v>0</v>
      </c>
      <c r="K161" s="89" t="str">
        <f>IF(ISEVEN(B161),(B161-1)&amp;"/"&amp;B161,B161&amp;"/"&amp;(B161+1))</f>
        <v>4001/4002</v>
      </c>
      <c r="L161" s="185" t="str">
        <f>VLOOKUP(A161,'Trips&amp;Operators'!$C$1:$G$99911,5,FALSE)</f>
        <v>BROWN JACOB</v>
      </c>
      <c r="M161" s="6">
        <f>I161-F161</f>
        <v>9.074074070667848E-3</v>
      </c>
      <c r="N161" s="7">
        <f>24*60*SUM($M161:$M161)</f>
        <v>13.066666661761701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-07T04:56:16-0700',mode:absolute,to:'2017-11-07T07:25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5.8623000000000003</v>
      </c>
      <c r="Z161" s="204">
        <f>RIGHT(H161,LEN(H161)-4)/10000</f>
        <v>7.4800000000000005E-2</v>
      </c>
      <c r="AA161" s="204">
        <f>ABS(Z161-Y161)</f>
        <v>5.7875000000000005</v>
      </c>
      <c r="AB161" s="54" t="e">
        <f>VLOOKUP(A161,Enforcements!$C$7:$K$10,8,0)</f>
        <v>#N/A</v>
      </c>
      <c r="AC161" s="51" t="e">
        <f>VLOOKUP(A161,Enforcements!$C$7:$E$10,3,0)</f>
        <v>#N/A</v>
      </c>
      <c r="AD161" s="179">
        <f>VALUE(LEFT(A161,LEN(A161)-3))</f>
        <v>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/stypes="app*4001*20171107*" /stext=" 13:.+((SYSTEM_STATE.+slice.+state.+changed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64"/>
        <v>"%USERPROFILE%\Documents\GitHub\eaglep3\Utilities\RefineRTDCRunTimes.py" --tripid 802-07 --locoid 4001 --swversion DE.1.0.9.0 --startMP 300:58623 --initTime 2017-11-07T05:56:16 --startdatetime 2017-11-07T06:12:47 --delay 56 --endMP 204:748 --enddatetime 2017-11-07T06:25:51 --enforcementcount 0 &gt;&gt;%USERPROFILE%\Documents\GitHub\eaglep3-reporting\EC\2017-11-07-refined-times.txt</v>
      </c>
      <c r="AI161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{"issue":{"subject":"","project_id":79,"tracker_id":40,"status_id":1,"priority_id":2,"assigned_to_id":338,"start_date":"2017-11-07","description":"","custom_fields":[{"id":1,"name":"Subdivision","value":"NW"},{"id":4,"name":"Milepost","value":"0.0748"},{"id":17,"name":"Train ID","value":"802-07"},{"id":16,"name":"Locomotive ID","value":"4001"},{"id":130,"name":"Impact","value":""},{"id":150,"name":"Time of Event (Mountain Time)","value":"06:25:51"},{"id":151,"name":"Denver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66"/>
        <v>start /low /b %USERPROFILE%\Documents\GitHub\eaglep3\Utilities\DownloadLogsFromS3.py --loco 4001 --day 2017-11-07</v>
      </c>
      <c r="AN161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68"/>
        <v>https://d0f6bd738d7f1b3e5a7ca70fe4ff75f0.us-east-1.aws.found.io/app/kibana#/discover/Steve-Slow-Train-Analysis-(2080s-and-2083s)?_g=(refreshInterval:(display:Off,pause:!f,section:0,value:0),time:(from:'2017-11-07T04:56:16-0700',mode:absolute,to:'2017-11-07T07:25:51-0700'))&amp;_a=(columns:!('Message%20ID',Summary),filters:!(),index:'emp_*',interval:auto,query:(query_string:(analyze_wildcard:!t,query:'%22rtdc.l.rtdc.4001%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711</v>
      </c>
      <c r="B162" s="7">
        <v>4020</v>
      </c>
      <c r="C162" s="21" t="s">
        <v>192</v>
      </c>
      <c r="D162" s="21" t="s">
        <v>1016</v>
      </c>
      <c r="E162" s="13">
        <v>43046.249305555553</v>
      </c>
      <c r="F162" s="13">
        <v>43046.256469907406</v>
      </c>
      <c r="G162" s="7">
        <v>68</v>
      </c>
      <c r="H162" s="21" t="s">
        <v>629</v>
      </c>
      <c r="I162" s="13">
        <v>43046.266701388886</v>
      </c>
      <c r="J162" s="7">
        <v>0</v>
      </c>
      <c r="K162" s="89" t="str">
        <f>IF(ISEVEN(B162),(B162-1)&amp;"/"&amp;B162,B162&amp;"/"&amp;(B162+1))</f>
        <v>4019/4020</v>
      </c>
      <c r="L162" s="185" t="str">
        <f>VLOOKUP(A162,'Trips&amp;Operators'!$C$1:$G$99911,5,FALSE)</f>
        <v>FORTUNATO FRANK</v>
      </c>
      <c r="M162" s="6">
        <f>I162-F162</f>
        <v>1.0231481479422655E-2</v>
      </c>
      <c r="N162" s="7">
        <f>24*60*SUM($M162:$M162)</f>
        <v>14.733333330368623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-07T04:59:00-0700',mode:absolute,to:'2017-11-07T07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0.1116</v>
      </c>
      <c r="Z162" s="204">
        <f>RIGHT(H162,LEN(H162)-4)/10000</f>
        <v>5.8952</v>
      </c>
      <c r="AA162" s="204">
        <f>ABS(Z162-Y162)</f>
        <v>5.7835999999999999</v>
      </c>
      <c r="AB162" s="54" t="e">
        <f>VLOOKUP(A162,Enforcements!$C$7:$K$10,8,0)</f>
        <v>#N/A</v>
      </c>
      <c r="AC162" s="51" t="e">
        <f>VLOOKUP(A162,Enforcements!$C$7:$E$10,3,0)</f>
        <v>#N/A</v>
      </c>
      <c r="AD162" s="179">
        <f>VALUE(LEFT(A162,LEN(A162)-3))</f>
        <v>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/stypes="app*4020*20171107*" /stext=" 13:.+((SYSTEM_STATE.+slice.+state.+changed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64"/>
        <v>"%USERPROFILE%\Documents\GitHub\eaglep3\Utilities\RefineRTDCRunTimes.py" --tripid 803-07 --locoid 4020 --swversion DE.1.0.9.0 --startMP 204:1116 --initTime 2017-11-07T05:59:00 --startdatetime 2017-11-07T06:09:19 --delay 68 --endMP 300:58952 --enddatetime 2017-11-07T06:24:03 --enforcementcount 0 &gt;&gt;%USERPROFILE%\Documents\GitHub\eaglep3-reporting\EC\2017-11-07-refined-times.txt</v>
      </c>
      <c r="AI162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{"issue":{"subject":"","project_id":79,"tracker_id":40,"status_id":1,"priority_id":2,"assigned_to_id":338,"start_date":"2017-11-07","description":"","custom_fields":[{"id":1,"name":"Subdivision","value":"NW"},{"id":4,"name":"Milepost","value":"5.8952"},{"id":17,"name":"Train ID","value":"803-07"},{"id":16,"name":"Locomotive ID","value":"4020"},{"id":130,"name":"Impact","value":""},{"id":150,"name":"Time of Event (Mountain Time)","value":"06:24:03"},{"id":151,"name":"Denver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66"/>
        <v>start /low /b %USERPROFILE%\Documents\GitHub\eaglep3\Utilities\DownloadLogsFromS3.py --loco 4020 --day 2017-11-07</v>
      </c>
      <c r="AN162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68"/>
        <v>https://d0f6bd738d7f1b3e5a7ca70fe4ff75f0.us-east-1.aws.found.io/app/kibana#/discover/Steve-Slow-Train-Analysis-(2080s-and-2083s)?_g=(refreshInterval:(display:Off,pause:!f,section:0,value:0),time:(from:'2017-11-07T04:59:00-0700',mode:absolute,to:'2017-11-07T07:24:03-0700'))&amp;_a=(columns:!('Message%20ID',Summary),filters:!(),index:'emp_*',interval:auto,query:(query_string:(analyze_wildcard:!t,query:'%22rtdc.l.rtdc.4020%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715</v>
      </c>
      <c r="B163" s="7">
        <v>4019</v>
      </c>
      <c r="C163" s="21" t="s">
        <v>192</v>
      </c>
      <c r="D163" s="21" t="s">
        <v>1017</v>
      </c>
      <c r="E163" s="13">
        <v>43046.268009259256</v>
      </c>
      <c r="F163" s="13">
        <v>43046.279907407406</v>
      </c>
      <c r="G163" s="7">
        <v>47</v>
      </c>
      <c r="H163" s="21" t="s">
        <v>1018</v>
      </c>
      <c r="I163" s="13">
        <v>43046.288576388892</v>
      </c>
      <c r="J163" s="7">
        <v>0</v>
      </c>
      <c r="K163" s="89" t="str">
        <f>IF(ISEVEN(B163),(B163-1)&amp;"/"&amp;B163,B163&amp;"/"&amp;(B163+1))</f>
        <v>4019/4020</v>
      </c>
      <c r="L163" s="185" t="str">
        <f>VLOOKUP(A163,'Trips&amp;Operators'!$C$1:$G$99911,5,FALSE)</f>
        <v>FORTUNATO FRANK</v>
      </c>
      <c r="M163" s="6">
        <f>I163-F163</f>
        <v>8.668981485243421E-3</v>
      </c>
      <c r="N163" s="7">
        <f>24*60*SUM($M163:$M163)</f>
        <v>12.483333338750526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-07T05:25:56-0700',mode:absolute,to:'2017-11-07T07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5.8639999999999999</v>
      </c>
      <c r="Z163" s="204">
        <f>RIGHT(H163,LEN(H163)-4)/10000</f>
        <v>8.3400000000000002E-2</v>
      </c>
      <c r="AA163" s="204">
        <f>ABS(Z163-Y163)</f>
        <v>5.7805999999999997</v>
      </c>
      <c r="AB163" s="54" t="e">
        <f>VLOOKUP(A163,Enforcements!$C$7:$K$10,8,0)</f>
        <v>#N/A</v>
      </c>
      <c r="AC163" s="51" t="e">
        <f>VLOOKUP(A163,Enforcements!$C$7:$E$10,3,0)</f>
        <v>#N/A</v>
      </c>
      <c r="AD163" s="179">
        <f>VALUE(LEFT(A163,LEN(A163)-3))</f>
        <v>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/stypes="app*4019*20171107*" /stext=" 13:.+((SYSTEM_STATE.+slice.+state.+changed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64"/>
        <v>"%USERPROFILE%\Documents\GitHub\eaglep3\Utilities\RefineRTDCRunTimes.py" --tripid 804-07 --locoid 4019 --swversion DE.1.0.9.0 --startMP 300:58640 --initTime 2017-11-07T06:25:56 --startdatetime 2017-11-07T06:43:04 --delay 47 --endMP 204:834 --enddatetime 2017-11-07T06:55:33 --enforcementcount 0 &gt;&gt;%USERPROFILE%\Documents\GitHub\eaglep3-reporting\EC\2017-11-07-refined-times.txt</v>
      </c>
      <c r="AI163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{"issue":{"subject":"","project_id":79,"tracker_id":40,"status_id":1,"priority_id":2,"assigned_to_id":338,"start_date":"2017-11-07","description":"","custom_fields":[{"id":1,"name":"Subdivision","value":"NW"},{"id":4,"name":"Milepost","value":"0.0834"},{"id":17,"name":"Train ID","value":"804-07"},{"id":16,"name":"Locomotive ID","value":"4019"},{"id":130,"name":"Impact","value":""},{"id":150,"name":"Time of Event (Mountain Time)","value":"06:55:33"},{"id":151,"name":"Denver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66"/>
        <v>start /low /b %USERPROFILE%\Documents\GitHub\eaglep3\Utilities\DownloadLogsFromS3.py --loco 4019 --day 2017-11-07</v>
      </c>
      <c r="AN163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68"/>
        <v>https://d0f6bd738d7f1b3e5a7ca70fe4ff75f0.us-east-1.aws.found.io/app/kibana#/discover/Steve-Slow-Train-Analysis-(2080s-and-2083s)?_g=(refreshInterval:(display:Off,pause:!f,section:0,value:0),time:(from:'2017-11-07T05:25:56-0700',mode:absolute,to:'2017-11-07T07:55:33-0700'))&amp;_a=(columns:!('Message%20ID',Summary),filters:!(),index:'emp_*',interval:auto,query:(query_string:(analyze_wildcard:!t,query:'%22rtdc.l.rtdc.4019%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716</v>
      </c>
      <c r="B164" s="7">
        <v>4002</v>
      </c>
      <c r="C164" s="21" t="s">
        <v>192</v>
      </c>
      <c r="D164" s="21" t="s">
        <v>633</v>
      </c>
      <c r="E164" s="13">
        <v>43046.269166666665</v>
      </c>
      <c r="F164" s="13">
        <v>43046.277245370373</v>
      </c>
      <c r="G164" s="7">
        <v>52</v>
      </c>
      <c r="H164" s="21" t="s">
        <v>1019</v>
      </c>
      <c r="I164" s="13">
        <v>43046.287141203706</v>
      </c>
      <c r="J164" s="7">
        <v>0</v>
      </c>
      <c r="K164" s="89" t="str">
        <f>IF(ISEVEN(B164),(B164-1)&amp;"/"&amp;B164,B164&amp;"/"&amp;(B164+1))</f>
        <v>4001/4002</v>
      </c>
      <c r="L164" s="185" t="str">
        <f>VLOOKUP(A164,'Trips&amp;Operators'!$C$1:$G$99911,5,FALSE)</f>
        <v>BROWN JACOB</v>
      </c>
      <c r="M164" s="6">
        <f>I164-F164</f>
        <v>9.8958333328482695E-3</v>
      </c>
      <c r="N164" s="7">
        <f>24*60*SUM($M164:$M164)</f>
        <v>14.249999999301508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-07T05:27:36-0700',mode:absolute,to:'2017-11-07T07:53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0.10440000000000001</v>
      </c>
      <c r="Z164" s="204">
        <f>RIGHT(H164,LEN(H164)-4)/10000</f>
        <v>5.8930999999999996</v>
      </c>
      <c r="AA164" s="204">
        <f>ABS(Z164-Y164)</f>
        <v>5.7886999999999995</v>
      </c>
      <c r="AB164" s="54" t="e">
        <f>VLOOKUP(A164,Enforcements!$C$7:$K$10,8,0)</f>
        <v>#N/A</v>
      </c>
      <c r="AC164" s="51" t="e">
        <f>VLOOKUP(A164,Enforcements!$C$7:$E$10,3,0)</f>
        <v>#N/A</v>
      </c>
      <c r="AD164" s="179">
        <f>VALUE(LEFT(A164,LEN(A164)-3))</f>
        <v>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s3://rtdc.mdm.uploadarchive.raw/RTDC4002/ "%USERPROFILE%\AppData\Local\Temp\OnboardLogs"\RTDC4002\2017-11-07 --exclude "*" --recursive --include "*20171107*" &amp; "%USERPROFILE%\Documents\GitHub\mrs-test-scripts\Headless Mode &amp; Sideloading\WalkAndUnGZ.bat" "%USERPROFILE%\AppData\Local\Temp\OnboardLogs"\RTDC4002\2017-11-07 &amp; 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/stypes="app*4002*20171107*" /stext=" 13:.+((SYSTEM_STATE.+slice.+state.+changed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64"/>
        <v>"%USERPROFILE%\Documents\GitHub\eaglep3\Utilities\RefineRTDCRunTimes.py" --tripid 805-07 --locoid 4002 --swversion DE.1.0.9.0 --startMP 204:1044 --initTime 2017-11-07T06:27:36 --startdatetime 2017-11-07T06:39:14 --delay 52 --endMP 300:58931 --enddatetime 2017-11-07T06:53:29 --enforcementcount 0 &gt;&gt;%USERPROFILE%\Documents\GitHub\eaglep3-reporting\EC\2017-11-07-refined-times.txt</v>
      </c>
      <c r="AI164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{"issue":{"subject":"","project_id":79,"tracker_id":40,"status_id":1,"priority_id":2,"assigned_to_id":338,"start_date":"2017-11-07","description":"","custom_fields":[{"id":1,"name":"Subdivision","value":"NW"},{"id":4,"name":"Milepost","value":"5.8931"},{"id":17,"name":"Train ID","value":"805-07"},{"id":16,"name":"Locomotive ID","value":"4002"},{"id":130,"name":"Impact","value":""},{"id":150,"name":"Time of Event (Mountain Time)","value":"06:53:29"},{"id":151,"name":"Denver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66"/>
        <v>start /low /b %USERPROFILE%\Documents\GitHub\eaglep3\Utilities\DownloadLogsFromS3.py --loco 4002 --day 2017-11-07</v>
      </c>
      <c r="AN164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13:53:29"},{"id":29,"name":"Sharepoint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68"/>
        <v>https://d0f6bd738d7f1b3e5a7ca70fe4ff75f0.us-east-1.aws.found.io/app/kibana#/discover/Steve-Slow-Train-Analysis-(2080s-and-2083s)?_g=(refreshInterval:(display:Off,pause:!f,section:0,value:0),time:(from:'2017-11-07T05:27:36-0700',mode:absolute,to:'2017-11-07T07:53:29-0700'))&amp;_a=(columns:!('Message%20ID',Summary),filters:!(),index:'emp_*',interval:auto,query:(query_string:(analyze_wildcard:!t,query:'%22rtdc.l.rtdc.4002%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721</v>
      </c>
      <c r="B165" s="7">
        <v>4001</v>
      </c>
      <c r="C165" s="21" t="s">
        <v>192</v>
      </c>
      <c r="D165" s="21" t="s">
        <v>620</v>
      </c>
      <c r="E165" s="13">
        <v>43046.288032407407</v>
      </c>
      <c r="F165" s="13">
        <v>43046.300254629627</v>
      </c>
      <c r="G165" s="7">
        <v>71</v>
      </c>
      <c r="H165" s="21" t="s">
        <v>1020</v>
      </c>
      <c r="I165" s="13">
        <v>43046.309270833335</v>
      </c>
      <c r="J165" s="7">
        <v>0</v>
      </c>
      <c r="K165" s="89" t="str">
        <f>IF(ISEVEN(B165),(B165-1)&amp;"/"&amp;B165,B165&amp;"/"&amp;(B165+1))</f>
        <v>4001/4002</v>
      </c>
      <c r="L165" s="185" t="str">
        <f>VLOOKUP(A165,'Trips&amp;Operators'!$C$1:$G$99911,5,FALSE)</f>
        <v>BROWN JACOB</v>
      </c>
      <c r="M165" s="6">
        <f>I165-F165</f>
        <v>9.0162037085974589E-3</v>
      </c>
      <c r="N165" s="7">
        <f>24*60*SUM($M165:$M165)</f>
        <v>12.983333340380341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-07T05:54:46-0700',mode:absolute,to:'2017-11-07T08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5.8619000000000003</v>
      </c>
      <c r="Z165" s="204">
        <f>RIGHT(H165,LEN(H165)-4)/10000</f>
        <v>7.6799999999999993E-2</v>
      </c>
      <c r="AA165" s="204">
        <f>ABS(Z165-Y165)</f>
        <v>5.7850999999999999</v>
      </c>
      <c r="AB165" s="54" t="e">
        <f>VLOOKUP(A165,Enforcements!$C$7:$K$10,8,0)</f>
        <v>#N/A</v>
      </c>
      <c r="AC165" s="51" t="e">
        <f>VLOOKUP(A165,Enforcements!$C$7:$E$10,3,0)</f>
        <v>#N/A</v>
      </c>
      <c r="AD165" s="179">
        <f>VALUE(LEFT(A165,LEN(A165)-3))</f>
        <v>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/stypes="app*4001*20171107*" /stext=" 14:.+((SYSTEM_STATE.+slice.+state.+changed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64"/>
        <v>"%USERPROFILE%\Documents\GitHub\eaglep3\Utilities\RefineRTDCRunTimes.py" --tripid 806-07 --locoid 4001 --swversion DE.1.0.9.0 --startMP 300:58619 --initTime 2017-11-07T06:54:46 --startdatetime 2017-11-07T07:12:22 --delay 71 --endMP 204:768 --enddatetime 2017-11-07T07:25:21 --enforcementcount 0 &gt;&gt;%USERPROFILE%\Documents\GitHub\eaglep3-reporting\EC\2017-11-07-refined-times.txt</v>
      </c>
      <c r="AI165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{"issue":{"subject":"","project_id":79,"tracker_id":40,"status_id":1,"priority_id":2,"assigned_to_id":338,"start_date":"2017-11-07","description":"","custom_fields":[{"id":1,"name":"Subdivision","value":"NW"},{"id":4,"name":"Milepost","value":"0.0768"},{"id":17,"name":"Train ID","value":"806-07"},{"id":16,"name":"Locomotive ID","value":"4001"},{"id":130,"name":"Impact","value":""},{"id":150,"name":"Time of Event (Mountain Time)","value":"07:25:21"},{"id":151,"name":"Denver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66"/>
        <v>start /low /b %USERPROFILE%\Documents\GitHub\eaglep3\Utilities\DownloadLogsFromS3.py --loco 4001 --day 2017-11-07</v>
      </c>
      <c r="AN165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68"/>
        <v>https://d0f6bd738d7f1b3e5a7ca70fe4ff75f0.us-east-1.aws.found.io/app/kibana#/discover/Steve-Slow-Train-Analysis-(2080s-and-2083s)?_g=(refreshInterval:(display:Off,pause:!f,section:0,value:0),time:(from:'2017-11-07T05:54:46-0700',mode:absolute,to:'2017-11-07T08:25:21-0700'))&amp;_a=(columns:!('Message%20ID',Summary),filters:!(),index:'emp_*',interval:auto,query:(query_string:(analyze_wildcard:!t,query:'%22rtdc.l.rtdc.4001%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722</v>
      </c>
      <c r="B166" s="7">
        <v>4020</v>
      </c>
      <c r="C166" s="21" t="s">
        <v>192</v>
      </c>
      <c r="D166" s="21" t="s">
        <v>1021</v>
      </c>
      <c r="E166" s="13">
        <v>43046.290289351855</v>
      </c>
      <c r="F166" s="13">
        <v>43046.298113425924</v>
      </c>
      <c r="G166" s="7">
        <v>59</v>
      </c>
      <c r="H166" s="21" t="s">
        <v>1022</v>
      </c>
      <c r="I166" s="13">
        <v>43046.30914351852</v>
      </c>
      <c r="J166" s="7">
        <v>0</v>
      </c>
      <c r="K166" s="89" t="str">
        <f>IF(ISEVEN(B166),(B166-1)&amp;"/"&amp;B166,B166&amp;"/"&amp;(B166+1))</f>
        <v>4019/4020</v>
      </c>
      <c r="L166" s="185" t="str">
        <f>VLOOKUP(A166,'Trips&amp;Operators'!$C$1:$G$99911,5,FALSE)</f>
        <v>FORTUNATO FRANK</v>
      </c>
      <c r="M166" s="6">
        <f>I166-F166</f>
        <v>1.1030092595319729E-2</v>
      </c>
      <c r="N166" s="7">
        <f>24*60*SUM($M166:$M166)</f>
        <v>15.88333333726041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-07T05:58:01-0700',mode:absolute,to:'2017-11-07T08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0.1114</v>
      </c>
      <c r="Z166" s="204">
        <f>RIGHT(H166,LEN(H166)-4)/10000</f>
        <v>5.8968999999999996</v>
      </c>
      <c r="AA166" s="204">
        <f>ABS(Z166-Y166)</f>
        <v>5.7854999999999999</v>
      </c>
      <c r="AB166" s="54" t="e">
        <f>VLOOKUP(A166,Enforcements!$C$7:$K$10,8,0)</f>
        <v>#N/A</v>
      </c>
      <c r="AC166" s="51" t="e">
        <f>VLOOKUP(A166,Enforcements!$C$7:$E$10,3,0)</f>
        <v>#N/A</v>
      </c>
      <c r="AD166" s="179">
        <f>VALUE(LEFT(A166,LEN(A166)-3))</f>
        <v>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/stypes="app*4020*20171107*" /stext=" 14:.+((SYSTEM_STATE.+slice.+state.+changed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64"/>
        <v>"%USERPROFILE%\Documents\GitHub\eaglep3\Utilities\RefineRTDCRunTimes.py" --tripid 807-07 --locoid 4020 --swversion DE.1.0.9.0 --startMP 204:1114 --initTime 2017-11-07T06:58:01 --startdatetime 2017-11-07T07:09:17 --delay 59 --endMP 300:58969 --enddatetime 2017-11-07T07:25:10 --enforcementcount 0 &gt;&gt;%USERPROFILE%\Documents\GitHub\eaglep3-reporting\EC\2017-11-07-refined-times.txt</v>
      </c>
      <c r="AI166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{"issue":{"subject":"","project_id":79,"tracker_id":40,"status_id":1,"priority_id":2,"assigned_to_id":338,"start_date":"2017-11-07","description":"","custom_fields":[{"id":1,"name":"Subdivision","value":"NW"},{"id":4,"name":"Milepost","value":"5.8969"},{"id":17,"name":"Train ID","value":"807-07"},{"id":16,"name":"Locomotive ID","value":"4020"},{"id":130,"name":"Impact","value":""},{"id":150,"name":"Time of Event (Mountain Time)","value":"07:25:10"},{"id":151,"name":"Denver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66"/>
        <v>start /low /b %USERPROFILE%\Documents\GitHub\eaglep3\Utilities\DownloadLogsFromS3.py --loco 4020 --day 2017-11-07</v>
      </c>
      <c r="AN166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68"/>
        <v>https://d0f6bd738d7f1b3e5a7ca70fe4ff75f0.us-east-1.aws.found.io/app/kibana#/discover/Steve-Slow-Train-Analysis-(2080s-and-2083s)?_g=(refreshInterval:(display:Off,pause:!f,section:0,value:0),time:(from:'2017-11-07T05:58:01-0700',mode:absolute,to:'2017-11-07T08:25:10-0700'))&amp;_a=(columns:!('Message%20ID',Summary),filters:!(),index:'emp_*',interval:auto,query:(query_string:(analyze_wildcard:!t,query:'%22rtdc.l.rtdc.4020%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726</v>
      </c>
      <c r="B167" s="7">
        <v>4019</v>
      </c>
      <c r="C167" s="21" t="s">
        <v>192</v>
      </c>
      <c r="D167" s="21" t="s">
        <v>1023</v>
      </c>
      <c r="E167" s="13">
        <v>43046.31013888889</v>
      </c>
      <c r="F167" s="13">
        <v>43046.321770833332</v>
      </c>
      <c r="G167" s="7">
        <v>61</v>
      </c>
      <c r="H167" s="21" t="s">
        <v>1018</v>
      </c>
      <c r="I167" s="13">
        <v>43046.33079861111</v>
      </c>
      <c r="J167" s="7">
        <v>0</v>
      </c>
      <c r="K167" s="89" t="str">
        <f>IF(ISEVEN(B167),(B167-1)&amp;"/"&amp;B167,B167&amp;"/"&amp;(B167+1))</f>
        <v>4019/4020</v>
      </c>
      <c r="L167" s="185" t="str">
        <f>VLOOKUP(A167,'Trips&amp;Operators'!$C$1:$G$99911,5,FALSE)</f>
        <v>FORTUNATO FRANK</v>
      </c>
      <c r="M167" s="6">
        <f>I167-F167</f>
        <v>9.0277777781011537E-3</v>
      </c>
      <c r="N167" s="7">
        <f>24*60*SUM($M167:$M167)</f>
        <v>13.000000000465661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-07T06:26:36-0700',mode:absolute,to:'2017-11-07T08:56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5.8638000000000003</v>
      </c>
      <c r="Z167" s="204">
        <f>RIGHT(H167,LEN(H167)-4)/10000</f>
        <v>8.3400000000000002E-2</v>
      </c>
      <c r="AA167" s="204">
        <f>ABS(Z167-Y167)</f>
        <v>5.7804000000000002</v>
      </c>
      <c r="AB167" s="54" t="e">
        <f>VLOOKUP(A167,Enforcements!$C$7:$K$10,8,0)</f>
        <v>#N/A</v>
      </c>
      <c r="AC167" s="51" t="e">
        <f>VLOOKUP(A167,Enforcements!$C$7:$E$10,3,0)</f>
        <v>#N/A</v>
      </c>
      <c r="AD167" s="179">
        <f>VALUE(LEFT(A167,LEN(A167)-3))</f>
        <v>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/stypes="app*4019*20171107*" /stext=" 14:.+((SYSTEM_STATE.+slice.+state.+changed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64"/>
        <v>"%USERPROFILE%\Documents\GitHub\eaglep3\Utilities\RefineRTDCRunTimes.py" --tripid 808-07 --locoid 4019 --swversion DE.1.0.9.0 --startMP 300:58638 --initTime 2017-11-07T07:26:36 --startdatetime 2017-11-07T07:43:21 --delay 61 --endMP 204:834 --enddatetime 2017-11-07T07:56:21 --enforcementcount 0 &gt;&gt;%USERPROFILE%\Documents\GitHub\eaglep3-reporting\EC\2017-11-07-refined-times.txt</v>
      </c>
      <c r="AI167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{"issue":{"subject":"","project_id":79,"tracker_id":40,"status_id":1,"priority_id":2,"assigned_to_id":338,"start_date":"2017-11-07","description":"","custom_fields":[{"id":1,"name":"Subdivision","value":"NW"},{"id":4,"name":"Milepost","value":"0.0834"},{"id":17,"name":"Train ID","value":"808-07"},{"id":16,"name":"Locomotive ID","value":"4019"},{"id":130,"name":"Impact","value":""},{"id":150,"name":"Time of Event (Mountain Time)","value":"07:56:21"},{"id":151,"name":"Denver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66"/>
        <v>start /low /b %USERPROFILE%\Documents\GitHub\eaglep3\Utilities\DownloadLogsFromS3.py --loco 4019 --day 2017-11-07</v>
      </c>
      <c r="AN167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68"/>
        <v>https://d0f6bd738d7f1b3e5a7ca70fe4ff75f0.us-east-1.aws.found.io/app/kibana#/discover/Steve-Slow-Train-Analysis-(2080s-and-2083s)?_g=(refreshInterval:(display:Off,pause:!f,section:0,value:0),time:(from:'2017-11-07T06:26:36-0700',mode:absolute,to:'2017-11-07T08:56:21-0700'))&amp;_a=(columns:!('Message%20ID',Summary),filters:!(),index:'emp_*',interval:auto,query:(query_string:(analyze_wildcard:!t,query:'%22rtdc.l.rtdc.4019%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727</v>
      </c>
      <c r="B168" s="7">
        <v>4002</v>
      </c>
      <c r="C168" s="21" t="s">
        <v>192</v>
      </c>
      <c r="D168" s="21" t="s">
        <v>1024</v>
      </c>
      <c r="E168" s="13">
        <v>43046.314826388887</v>
      </c>
      <c r="F168" s="13">
        <v>43046.31958333333</v>
      </c>
      <c r="G168" s="7">
        <v>79</v>
      </c>
      <c r="H168" s="21" t="s">
        <v>1025</v>
      </c>
      <c r="I168" s="13">
        <v>43046.329155092593</v>
      </c>
      <c r="J168" s="7">
        <v>0</v>
      </c>
      <c r="K168" s="89" t="str">
        <f>IF(ISEVEN(B168),(B168-1)&amp;"/"&amp;B168,B168&amp;"/"&amp;(B168+1))</f>
        <v>4001/4002</v>
      </c>
      <c r="L168" s="185" t="str">
        <f>VLOOKUP(A168,'Trips&amp;Operators'!$C$1:$G$99911,5,FALSE)</f>
        <v>BROWN JACOB</v>
      </c>
      <c r="M168" s="6">
        <f>I168-F168</f>
        <v>9.5717592630535364E-3</v>
      </c>
      <c r="N168" s="7">
        <f>24*60*SUM($M168:$M168)</f>
        <v>13.783333338797092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-07T06:33:21-0700',mode:absolute,to:'2017-11-07T08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0.1055</v>
      </c>
      <c r="Z168" s="204">
        <f>RIGHT(H168,LEN(H168)-4)/10000</f>
        <v>5.8944000000000001</v>
      </c>
      <c r="AA168" s="204">
        <f>ABS(Z168-Y168)</f>
        <v>5.7888999999999999</v>
      </c>
      <c r="AB168" s="54" t="e">
        <f>VLOOKUP(A168,Enforcements!$C$7:$K$10,8,0)</f>
        <v>#N/A</v>
      </c>
      <c r="AC168" s="51" t="e">
        <f>VLOOKUP(A168,Enforcements!$C$7:$E$10,3,0)</f>
        <v>#N/A</v>
      </c>
      <c r="AD168" s="179">
        <f>VALUE(LEFT(A168,LEN(A168)-3))</f>
        <v>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s3://rtdc.mdm.uploadarchive.raw/RTDC4002/ "%USERPROFILE%\AppData\Local\Temp\OnboardLogs"\RTDC4002\2017-11-07 --exclude "*" --recursive --include "*20171107*" &amp; "%USERPROFILE%\Documents\GitHub\mrs-test-scripts\Headless Mode &amp; Sideloading\WalkAndUnGZ.bat" "%USERPROFILE%\AppData\Local\Temp\OnboardLogs"\RTDC4002\2017-11-07 &amp; 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/stypes="app*4002*20171107*" /stext=" 14:.+((SYSTEM_STATE.+slice.+state.+changed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64"/>
        <v>"%USERPROFILE%\Documents\GitHub\eaglep3\Utilities\RefineRTDCRunTimes.py" --tripid 809-07 --locoid 4002 --swversion DE.1.0.9.0 --startMP 204:1055 --initTime 2017-11-07T07:33:21 --startdatetime 2017-11-07T07:40:12 --delay 79 --endMP 300:58944 --enddatetime 2017-11-07T07:53:59 --enforcementcount 0 &gt;&gt;%USERPROFILE%\Documents\GitHub\eaglep3-reporting\EC\2017-11-07-refined-times.txt</v>
      </c>
      <c r="AI168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{"issue":{"subject":"","project_id":79,"tracker_id":40,"status_id":1,"priority_id":2,"assigned_to_id":338,"start_date":"2017-11-07","description":"","custom_fields":[{"id":1,"name":"Subdivision","value":"NW"},{"id":4,"name":"Milepost","value":"5.8944"},{"id":17,"name":"Train ID","value":"809-07"},{"id":16,"name":"Locomotive ID","value":"4002"},{"id":130,"name":"Impact","value":""},{"id":150,"name":"Time of Event (Mountain Time)","value":"07:53:59"},{"id":151,"name":"Denver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66"/>
        <v>start /low /b %USERPROFILE%\Documents\GitHub\eaglep3\Utilities\DownloadLogsFromS3.py --loco 4002 --day 2017-11-07</v>
      </c>
      <c r="AN168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14:53:59"},{"id":29,"name":"Sharepoint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68"/>
        <v>https://d0f6bd738d7f1b3e5a7ca70fe4ff75f0.us-east-1.aws.found.io/app/kibana#/discover/Steve-Slow-Train-Analysis-(2080s-and-2083s)?_g=(refreshInterval:(display:Off,pause:!f,section:0,value:0),time:(from:'2017-11-07T06:33:21-0700',mode:absolute,to:'2017-11-07T08:53:59-0700'))&amp;_a=(columns:!('Message%20ID',Summary),filters:!(),index:'emp_*',interval:auto,query:(query_string:(analyze_wildcard:!t,query:'%22rtdc.l.rtdc.4002%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731</v>
      </c>
      <c r="B169" s="7">
        <v>4001</v>
      </c>
      <c r="C169" s="21" t="s">
        <v>192</v>
      </c>
      <c r="D169" s="21" t="s">
        <v>635</v>
      </c>
      <c r="E169" s="13">
        <v>43046.330370370371</v>
      </c>
      <c r="F169" s="13">
        <v>43046.341851851852</v>
      </c>
      <c r="G169" s="7">
        <v>50</v>
      </c>
      <c r="H169" s="21" t="s">
        <v>1026</v>
      </c>
      <c r="I169" s="13">
        <v>43046.351099537038</v>
      </c>
      <c r="J169" s="7">
        <v>0</v>
      </c>
      <c r="K169" s="89" t="str">
        <f>IF(ISEVEN(B169),(B169-1)&amp;"/"&amp;B169,B169&amp;"/"&amp;(B169+1))</f>
        <v>4001/4002</v>
      </c>
      <c r="L169" s="185" t="str">
        <f>VLOOKUP(A169,'Trips&amp;Operators'!$C$1:$G$99911,5,FALSE)</f>
        <v>BROWN JACOB</v>
      </c>
      <c r="M169" s="6">
        <f>I169-F169</f>
        <v>9.2476851859828457E-3</v>
      </c>
      <c r="N169" s="7">
        <f>24*60*SUM($M169:$M169)</f>
        <v>13.316666667815298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-07T06:55:44-0700',mode:absolute,to:'2017-11-07T09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5.8624000000000001</v>
      </c>
      <c r="Z169" s="204">
        <f>RIGHT(H169,LEN(H169)-4)/10000</f>
        <v>7.9200000000000007E-2</v>
      </c>
      <c r="AA169" s="204">
        <f>ABS(Z169-Y169)</f>
        <v>5.7831999999999999</v>
      </c>
      <c r="AB169" s="54" t="e">
        <f>VLOOKUP(A169,Enforcements!$C$7:$K$10,8,0)</f>
        <v>#N/A</v>
      </c>
      <c r="AC169" s="51" t="e">
        <f>VLOOKUP(A169,Enforcements!$C$7:$E$10,3,0)</f>
        <v>#N/A</v>
      </c>
      <c r="AD169" s="179">
        <f>VALUE(LEFT(A169,LEN(A169)-3))</f>
        <v>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/stypes="app*4001*20171107*" /stext=" 15:.+((SYSTEM_STATE.+slice.+state.+changed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64"/>
        <v>"%USERPROFILE%\Documents\GitHub\eaglep3\Utilities\RefineRTDCRunTimes.py" --tripid 810-07 --locoid 4001 --swversion DE.1.0.9.0 --startMP 300:58624 --initTime 2017-11-07T07:55:44 --startdatetime 2017-11-07T08:12:16 --delay 50 --endMP 204:792 --enddatetime 2017-11-07T08:25:35 --enforcementcount 0 &gt;&gt;%USERPROFILE%\Documents\GitHub\eaglep3-reporting\EC\2017-11-07-refined-times.txt</v>
      </c>
      <c r="AI169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{"issue":{"subject":"","project_id":79,"tracker_id":40,"status_id":1,"priority_id":2,"assigned_to_id":338,"start_date":"2017-11-07","description":"","custom_fields":[{"id":1,"name":"Subdivision","value":"NW"},{"id":4,"name":"Milepost","value":"0.0792"},{"id":17,"name":"Train ID","value":"810-07"},{"id":16,"name":"Locomotive ID","value":"4001"},{"id":130,"name":"Impact","value":""},{"id":150,"name":"Time of Event (Mountain Time)","value":"08:25:35"},{"id":151,"name":"Denver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66"/>
        <v>start /low /b %USERPROFILE%\Documents\GitHub\eaglep3\Utilities\DownloadLogsFromS3.py --loco 4001 --day 2017-11-07</v>
      </c>
      <c r="AN169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68"/>
        <v>https://d0f6bd738d7f1b3e5a7ca70fe4ff75f0.us-east-1.aws.found.io/app/kibana#/discover/Steve-Slow-Train-Analysis-(2080s-and-2083s)?_g=(refreshInterval:(display:Off,pause:!f,section:0,value:0),time:(from:'2017-11-07T06:55:44-0700',mode:absolute,to:'2017-11-07T09:25:35-0700'))&amp;_a=(columns:!('Message%20ID',Summary),filters:!(),index:'emp_*',interval:auto,query:(query_string:(analyze_wildcard:!t,query:'%22rtdc.l.rtdc.4001%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732</v>
      </c>
      <c r="B170" s="7">
        <v>4020</v>
      </c>
      <c r="C170" s="21" t="s">
        <v>192</v>
      </c>
      <c r="D170" s="21" t="s">
        <v>1027</v>
      </c>
      <c r="E170" s="13">
        <v>43046.334236111114</v>
      </c>
      <c r="F170" s="13">
        <v>43046.339756944442</v>
      </c>
      <c r="G170" s="7">
        <v>57</v>
      </c>
      <c r="H170" s="21" t="s">
        <v>1028</v>
      </c>
      <c r="I170" s="13">
        <v>43046.350057870368</v>
      </c>
      <c r="J170" s="7">
        <v>0</v>
      </c>
      <c r="K170" s="89" t="str">
        <f>IF(ISEVEN(B170),(B170-1)&amp;"/"&amp;B170,B170&amp;"/"&amp;(B170+1))</f>
        <v>4019/4020</v>
      </c>
      <c r="L170" s="185" t="str">
        <f>VLOOKUP(A170,'Trips&amp;Operators'!$C$1:$G$99911,5,FALSE)</f>
        <v>FORTUNATO FRANK</v>
      </c>
      <c r="M170" s="6">
        <f>I170-F170</f>
        <v>1.0300925925548654E-2</v>
      </c>
      <c r="N170" s="7">
        <f>24*60*SUM($M170:$M170)</f>
        <v>14.833333332790062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-07T07:01:18-0700',mode:absolute,to:'2017-11-07T09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0.1091</v>
      </c>
      <c r="Z170" s="204">
        <f>RIGHT(H170,LEN(H170)-4)/10000</f>
        <v>5.8987999999999996</v>
      </c>
      <c r="AA170" s="204">
        <f>ABS(Z170-Y170)</f>
        <v>5.7896999999999998</v>
      </c>
      <c r="AB170" s="54" t="e">
        <f>VLOOKUP(A170,Enforcements!$C$7:$K$10,8,0)</f>
        <v>#N/A</v>
      </c>
      <c r="AC170" s="51" t="e">
        <f>VLOOKUP(A170,Enforcements!$C$7:$E$10,3,0)</f>
        <v>#N/A</v>
      </c>
      <c r="AD170" s="179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/stypes="app*4020*20171107*" /stext=" 15:.+((SYSTEM_STATE.+slice.+state.+changed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64"/>
        <v>"%USERPROFILE%\Documents\GitHub\eaglep3\Utilities\RefineRTDCRunTimes.py" --tripid 811-07 --locoid 4020 --swversion DE.1.0.9.0 --startMP 204:1091 --initTime 2017-11-07T08:01:18 --startdatetime 2017-11-07T08:09:15 --delay 57 --endMP 300:58988 --enddatetime 2017-11-07T08:24:05 --enforcementcount 0 &gt;&gt;%USERPROFILE%\Documents\GitHub\eaglep3-reporting\EC\2017-11-07-refined-times.txt</v>
      </c>
      <c r="AI170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{"issue":{"subject":"","project_id":79,"tracker_id":40,"status_id":1,"priority_id":2,"assigned_to_id":338,"start_date":"2017-11-07","description":"","custom_fields":[{"id":1,"name":"Subdivision","value":"NW"},{"id":4,"name":"Milepost","value":"5.8988"},{"id":17,"name":"Train ID","value":"811-07"},{"id":16,"name":"Locomotive ID","value":"4020"},{"id":130,"name":"Impact","value":""},{"id":150,"name":"Time of Event (Mountain Time)","value":"08:24:05"},{"id":151,"name":"Denver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66"/>
        <v>start /low /b %USERPROFILE%\Documents\GitHub\eaglep3\Utilities\DownloadLogsFromS3.py --loco 4020 --day 2017-11-07</v>
      </c>
      <c r="AN170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68"/>
        <v>https://d0f6bd738d7f1b3e5a7ca70fe4ff75f0.us-east-1.aws.found.io/app/kibana#/discover/Steve-Slow-Train-Analysis-(2080s-and-2083s)?_g=(refreshInterval:(display:Off,pause:!f,section:0,value:0),time:(from:'2017-11-07T07:01:18-0700',mode:absolute,to:'2017-11-07T09:24:05-0700'))&amp;_a=(columns:!('Message%20ID',Summary),filters:!(),index:'emp_*',interval:auto,query:(query_string:(analyze_wildcard:!t,query:'%22rtdc.l.rtdc.4020%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648</v>
      </c>
      <c r="B171" s="7">
        <v>4019</v>
      </c>
      <c r="C171" s="21" t="s">
        <v>192</v>
      </c>
      <c r="D171" s="21" t="s">
        <v>1029</v>
      </c>
      <c r="E171" s="13">
        <v>43046.3518287037</v>
      </c>
      <c r="F171" s="13">
        <v>43046.363240740742</v>
      </c>
      <c r="G171" s="7">
        <v>58</v>
      </c>
      <c r="H171" s="21" t="s">
        <v>1030</v>
      </c>
      <c r="I171" s="13">
        <v>43046.37054398148</v>
      </c>
      <c r="J171" s="7">
        <v>0</v>
      </c>
      <c r="K171" s="89" t="str">
        <f>IF(ISEVEN(B171),(B171-1)&amp;"/"&amp;B171,B171&amp;"/"&amp;(B171+1))</f>
        <v>4019/4020</v>
      </c>
      <c r="L171" s="185" t="str">
        <f>VLOOKUP(A171,'Trips&amp;Operators'!$C$1:$G$99911,5,FALSE)</f>
        <v>FORTUNATO FRANK</v>
      </c>
      <c r="M171" s="6">
        <f>I171-F171</f>
        <v>7.3032407381106168E-3</v>
      </c>
      <c r="N171" s="7">
        <f>24*60*SUM($M171:$M171)</f>
        <v>10.516666662879288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-07T07:26:38-0700',mode:absolute,to:'2017-11-07T09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204" t="str">
        <f>IF(AA171&lt;VLOOKUP(AG171,Variables!$AC$3:$AD$8,2,FALSE),"Y","N")</f>
        <v>Y</v>
      </c>
      <c r="X171" s="204">
        <f>VALUE(LEFT(AD171,4))-VALUE(LEFT(AD170,4))</f>
        <v>1</v>
      </c>
      <c r="Y171" s="204">
        <f>RIGHT(D171,LEN(D171)-4)/10000</f>
        <v>5.8659999999999997</v>
      </c>
      <c r="Z171" s="204">
        <f>RIGHT(H171,LEN(H171)-4)/10000</f>
        <v>0.45219999999999999</v>
      </c>
      <c r="AA171" s="204">
        <f>ABS(Z171-Y171)</f>
        <v>5.4137999999999993</v>
      </c>
      <c r="AB171" s="54" t="e">
        <f>VLOOKUP(A171,Enforcements!$C$7:$K$10,8,0)</f>
        <v>#N/A</v>
      </c>
      <c r="AC171" s="51" t="e">
        <f>VLOOKUP(A171,Enforcements!$C$7:$E$10,3,0)</f>
        <v>#N/A</v>
      </c>
      <c r="AD171" s="179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/stypes="app*4019*20171107*" /stext=" 15:.+((SYSTEM_STATE.+slice.+state.+changed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64"/>
        <v>"%USERPROFILE%\Documents\GitHub\eaglep3\Utilities\RefineRTDCRunTimes.py" --tripid 812-07 --locoid 4019 --swversion DE.1.0.9.0 --startMP 300:58660 --initTime 2017-11-07T08:26:38 --startdatetime 2017-11-07T08:43:04 --delay 58 --endMP 204:4522 --enddatetime 2017-11-07T08:53:35 --enforcementcount 0 &gt;&gt;%USERPROFILE%\Documents\GitHub\eaglep3-reporting\EC\2017-11-07-refined-times.txt</v>
      </c>
      <c r="AI171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{"issue":{"subject":"","project_id":79,"tracker_id":40,"status_id":1,"priority_id":2,"assigned_to_id":338,"start_date":"2017-11-07","description":"","custom_fields":[{"id":1,"name":"Subdivision","value":"NW"},{"id":4,"name":"Milepost","value":"0.4522"},{"id":17,"name":"Train ID","value":"812-07"},{"id":16,"name":"Locomotive ID","value":"4019"},{"id":130,"name":"Impact","value":""},{"id":150,"name":"Time of Event (Mountain Time)","value":"08:53:35"},{"id":151,"name":"Denver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66"/>
        <v>start /low /b %USERPROFILE%\Documents\GitHub\eaglep3\Utilities\DownloadLogsFromS3.py --loco 4019 --day 2017-11-07</v>
      </c>
      <c r="AN171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68"/>
        <v>https://d0f6bd738d7f1b3e5a7ca70fe4ff75f0.us-east-1.aws.found.io/app/kibana#/discover/Steve-Slow-Train-Analysis-(2080s-and-2083s)?_g=(refreshInterval:(display:Off,pause:!f,section:0,value:0),time:(from:'2017-11-07T07:26:38-0700',mode:absolute,to:'2017-11-07T09:53:35-0700'))&amp;_a=(columns:!('Message%20ID',Summary),filters:!(),index:'emp_*',interval:auto,query:(query_string:(analyze_wildcard:!t,query:'%22rtdc.l.rtdc.4019%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741</v>
      </c>
      <c r="B172" s="7">
        <v>4020</v>
      </c>
      <c r="C172" s="21" t="s">
        <v>192</v>
      </c>
      <c r="D172" s="21" t="s">
        <v>1021</v>
      </c>
      <c r="E172" s="13">
        <v>43046.374374999999</v>
      </c>
      <c r="F172" s="13">
        <v>43046.381458333337</v>
      </c>
      <c r="G172" s="7">
        <v>50</v>
      </c>
      <c r="H172" s="21" t="s">
        <v>638</v>
      </c>
      <c r="I172" s="13">
        <v>43046.391562500001</v>
      </c>
      <c r="J172" s="7">
        <v>0</v>
      </c>
      <c r="K172" s="89" t="str">
        <f>IF(ISEVEN(B172),(B172-1)&amp;"/"&amp;B172,B172&amp;"/"&amp;(B172+1))</f>
        <v>4019/4020</v>
      </c>
      <c r="L172" s="185" t="str">
        <f>VLOOKUP(A172,'Trips&amp;Operators'!$C$1:$G$99911,5,FALSE)</f>
        <v>FORTUNATO FRANK</v>
      </c>
      <c r="M172" s="6">
        <f>I172-F172</f>
        <v>1.0104166663950309E-2</v>
      </c>
      <c r="N172" s="7">
        <f>24*60*SUM($M172:$M172)</f>
        <v>14.549999996088445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-07T07:59:06-0700',mode:absolute,to:'2017-11-07T10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0.1114</v>
      </c>
      <c r="Z172" s="204">
        <f>RIGHT(H172,LEN(H172)-4)/10000</f>
        <v>5.8964999999999996</v>
      </c>
      <c r="AA172" s="204">
        <f>ABS(Z172-Y172)</f>
        <v>5.7850999999999999</v>
      </c>
      <c r="AB172" s="54" t="e">
        <f>VLOOKUP(A172,Enforcements!$C$7:$K$10,8,0)</f>
        <v>#N/A</v>
      </c>
      <c r="AC172" s="51" t="e">
        <f>VLOOKUP(A172,Enforcements!$C$7:$E$10,3,0)</f>
        <v>#N/A</v>
      </c>
      <c r="AD172" s="179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/stypes="app*4020*20171107*" /stext=" 16:.+((SYSTEM_STATE.+slice.+state.+changed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64"/>
        <v>"%USERPROFILE%\Documents\GitHub\eaglep3\Utilities\RefineRTDCRunTimes.py" --tripid 813-07 --locoid 4020 --swversion DE.1.0.9.0 --startMP 204:1114 --initTime 2017-11-07T08:59:06 --startdatetime 2017-11-07T09:09:18 --delay 50 --endMP 300:58965 --enddatetime 2017-11-07T09:23:51 --enforcementcount 0 &gt;&gt;%USERPROFILE%\Documents\GitHub\eaglep3-reporting\EC\2017-11-07-refined-times.txt</v>
      </c>
      <c r="AI172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{"issue":{"subject":"","project_id":79,"tracker_id":40,"status_id":1,"priority_id":2,"assigned_to_id":338,"start_date":"2017-11-07","description":"","custom_fields":[{"id":1,"name":"Subdivision","value":"NW"},{"id":4,"name":"Milepost","value":"5.8965"},{"id":17,"name":"Train ID","value":"813-07"},{"id":16,"name":"Locomotive ID","value":"4020"},{"id":130,"name":"Impact","value":""},{"id":150,"name":"Time of Event (Mountain Time)","value":"09:23:51"},{"id":151,"name":"Denver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66"/>
        <v>start /low /b %USERPROFILE%\Documents\GitHub\eaglep3\Utilities\DownloadLogsFromS3.py --loco 4020 --day 2017-11-07</v>
      </c>
      <c r="AN172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16:23:51"},{"id":29,"name":"Sharepoint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68"/>
        <v>https://d0f6bd738d7f1b3e5a7ca70fe4ff75f0.us-east-1.aws.found.io/app/kibana#/discover/Steve-Slow-Train-Analysis-(2080s-and-2083s)?_g=(refreshInterval:(display:Off,pause:!f,section:0,value:0),time:(from:'2017-11-07T07:59:06-0700',mode:absolute,to:'2017-11-07T10:23:51-0700'))&amp;_a=(columns:!('Message%20ID',Summary),filters:!(),index:'emp_*',interval:auto,query:(query_string:(analyze_wildcard:!t,query:'%22rtdc.l.rtdc.4020%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747</v>
      </c>
      <c r="B173" s="7">
        <v>4019</v>
      </c>
      <c r="C173" s="21" t="s">
        <v>192</v>
      </c>
      <c r="D173" s="21" t="s">
        <v>630</v>
      </c>
      <c r="E173" s="13">
        <v>43046.392731481479</v>
      </c>
      <c r="F173" s="13">
        <v>43046.404641203706</v>
      </c>
      <c r="G173" s="7">
        <v>60</v>
      </c>
      <c r="H173" s="21" t="s">
        <v>1031</v>
      </c>
      <c r="I173" s="13">
        <v>43046.413715277777</v>
      </c>
      <c r="J173" s="7">
        <v>0</v>
      </c>
      <c r="K173" s="89" t="str">
        <f>IF(ISEVEN(B173),(B173-1)&amp;"/"&amp;B173,B173&amp;"/"&amp;(B173+1))</f>
        <v>4019/4020</v>
      </c>
      <c r="L173" s="185" t="str">
        <f>VLOOKUP(A173,'Trips&amp;Operators'!$C$1:$G$99911,5,FALSE)</f>
        <v>FORTUNATO FRANK</v>
      </c>
      <c r="M173" s="6">
        <f>I173-F173</f>
        <v>9.074074070667848E-3</v>
      </c>
      <c r="N173" s="7">
        <f>24*60*SUM($M173:$M173)</f>
        <v>13.066666661761701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-07T08:25:32-0700',mode:absolute,to:'2017-11-07T10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5.8640999999999996</v>
      </c>
      <c r="Z173" s="204">
        <f>RIGHT(H173,LEN(H173)-4)/10000</f>
        <v>8.3199999999999996E-2</v>
      </c>
      <c r="AA173" s="204">
        <f>ABS(Z173-Y173)</f>
        <v>5.7808999999999999</v>
      </c>
      <c r="AB173" s="54" t="e">
        <f>VLOOKUP(A173,Enforcements!$C$7:$K$10,8,0)</f>
        <v>#N/A</v>
      </c>
      <c r="AC173" s="51" t="e">
        <f>VLOOKUP(A173,Enforcements!$C$7:$E$10,3,0)</f>
        <v>#N/A</v>
      </c>
      <c r="AD173" s="179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/stypes="app*4019*20171107*" /stext=" 16:.+((SYSTEM_STATE.+slice.+state.+changed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64"/>
        <v>"%USERPROFILE%\Documents\GitHub\eaglep3\Utilities\RefineRTDCRunTimes.py" --tripid 814-07 --locoid 4019 --swversion DE.1.0.9.0 --startMP 300:58641 --initTime 2017-11-07T09:25:32 --startdatetime 2017-11-07T09:42:41 --delay 60 --endMP 204:832 --enddatetime 2017-11-07T09:55:45 --enforcementcount 0 &gt;&gt;%USERPROFILE%\Documents\GitHub\eaglep3-reporting\EC\2017-11-07-refined-times.txt</v>
      </c>
      <c r="AI173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{"issue":{"subject":"","project_id":79,"tracker_id":40,"status_id":1,"priority_id":2,"assigned_to_id":338,"start_date":"2017-11-07","description":"","custom_fields":[{"id":1,"name":"Subdivision","value":"NW"},{"id":4,"name":"Milepost","value":"0.0832"},{"id":17,"name":"Train ID","value":"814-07"},{"id":16,"name":"Locomotive ID","value":"4019"},{"id":130,"name":"Impact","value":""},{"id":150,"name":"Time of Event (Mountain Time)","value":"09:55:45"},{"id":151,"name":"Denver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66"/>
        <v>start /low /b %USERPROFILE%\Documents\GitHub\eaglep3\Utilities\DownloadLogsFromS3.py --loco 4019 --day 2017-11-07</v>
      </c>
      <c r="AN173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16:55:45"},{"id":29,"name":"Sharepoint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68"/>
        <v>https://d0f6bd738d7f1b3e5a7ca70fe4ff75f0.us-east-1.aws.found.io/app/kibana#/discover/Steve-Slow-Train-Analysis-(2080s-and-2083s)?_g=(refreshInterval:(display:Off,pause:!f,section:0,value:0),time:(from:'2017-11-07T08:25:32-0700',mode:absolute,to:'2017-11-07T10:55:45-0700'))&amp;_a=(columns:!('Message%20ID',Summary),filters:!(),index:'emp_*',interval:auto,query:(query_string:(analyze_wildcard:!t,query:'%22rtdc.l.rtdc.4019%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750</v>
      </c>
      <c r="B174" s="7">
        <v>4020</v>
      </c>
      <c r="C174" s="21" t="s">
        <v>192</v>
      </c>
      <c r="D174" s="21" t="s">
        <v>625</v>
      </c>
      <c r="E174" s="13">
        <v>43046.415208333332</v>
      </c>
      <c r="F174" s="13">
        <v>43046.423194444447</v>
      </c>
      <c r="G174" s="7">
        <v>54</v>
      </c>
      <c r="H174" s="21" t="s">
        <v>551</v>
      </c>
      <c r="I174" s="13">
        <v>43046.43346064815</v>
      </c>
      <c r="J174" s="7">
        <v>0</v>
      </c>
      <c r="K174" s="89" t="str">
        <f>IF(ISEVEN(B174),(B174-1)&amp;"/"&amp;B174,B174&amp;"/"&amp;(B174+1))</f>
        <v>4019/4020</v>
      </c>
      <c r="L174" s="185" t="str">
        <f>VLOOKUP(A174,'Trips&amp;Operators'!$C$1:$G$99911,5,FALSE)</f>
        <v>FORTUNATO FRANK</v>
      </c>
      <c r="M174" s="6">
        <f>I174-F174</f>
        <v>1.0266203702485655E-2</v>
      </c>
      <c r="N174" s="7">
        <f>24*60*SUM($M174:$M174)</f>
        <v>14.783333331579342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-07T08:57:54-0700',mode:absolute,to:'2017-11-07T11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0.1137</v>
      </c>
      <c r="Z174" s="204">
        <f>RIGHT(H174,LEN(H174)-4)/10000</f>
        <v>5.8979999999999997</v>
      </c>
      <c r="AA174" s="204">
        <f>ABS(Z174-Y174)</f>
        <v>5.7843</v>
      </c>
      <c r="AB174" s="54" t="e">
        <f>VLOOKUP(A174,Enforcements!$C$7:$K$10,8,0)</f>
        <v>#N/A</v>
      </c>
      <c r="AC174" s="51" t="e">
        <f>VLOOKUP(A174,Enforcements!$C$7:$E$10,3,0)</f>
        <v>#N/A</v>
      </c>
      <c r="AD174" s="179">
        <f>VALUE(LEFT(A174,LEN(A174)-3))</f>
        <v>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/stypes="app*4020*20171107*" /stext=" 17:.+((SYSTEM_STATE.+slice.+state.+changed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64"/>
        <v>"%USERPROFILE%\Documents\GitHub\eaglep3\Utilities\RefineRTDCRunTimes.py" --tripid 815-07 --locoid 4020 --swversion DE.1.0.9.0 --startMP 204:1137 --initTime 2017-11-07T09:57:54 --startdatetime 2017-11-07T10:09:24 --delay 54 --endMP 300:58980 --enddatetime 2017-11-07T10:24:11 --enforcementcount 0 &gt;&gt;%USERPROFILE%\Documents\GitHub\eaglep3-reporting\EC\2017-11-07-refined-times.txt</v>
      </c>
      <c r="AI174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{"issue":{"subject":"","project_id":79,"tracker_id":40,"status_id":1,"priority_id":2,"assigned_to_id":338,"start_date":"2017-11-07","description":"","custom_fields":[{"id":1,"name":"Subdivision","value":"NW"},{"id":4,"name":"Milepost","value":"5.898"},{"id":17,"name":"Train ID","value":"815-07"},{"id":16,"name":"Locomotive ID","value":"4020"},{"id":130,"name":"Impact","value":""},{"id":150,"name":"Time of Event (Mountain Time)","value":"10:24:11"},{"id":151,"name":"Denver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66"/>
        <v>start /low /b %USERPROFILE%\Documents\GitHub\eaglep3\Utilities\DownloadLogsFromS3.py --loco 4020 --day 2017-11-07</v>
      </c>
      <c r="AN174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17:24:11"},{"id":29,"name":"Sharepoint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68"/>
        <v>https://d0f6bd738d7f1b3e5a7ca70fe4ff75f0.us-east-1.aws.found.io/app/kibana#/discover/Steve-Slow-Train-Analysis-(2080s-and-2083s)?_g=(refreshInterval:(display:Off,pause:!f,section:0,value:0),time:(from:'2017-11-07T08:57:54-0700',mode:absolute,to:'2017-11-07T11:24:11-0700'))&amp;_a=(columns:!('Message%20ID',Summary),filters:!(),index:'emp_*',interval:auto,query:(query_string:(analyze_wildcard:!t,query:'%22rtdc.l.rtdc.4020%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755</v>
      </c>
      <c r="B175" s="7">
        <v>4019</v>
      </c>
      <c r="C175" s="21" t="s">
        <v>192</v>
      </c>
      <c r="D175" s="21" t="s">
        <v>1032</v>
      </c>
      <c r="E175" s="13">
        <v>43046.43472222222</v>
      </c>
      <c r="F175" s="13">
        <v>43046.446493055555</v>
      </c>
      <c r="G175" s="7">
        <v>61</v>
      </c>
      <c r="H175" s="21" t="s">
        <v>1033</v>
      </c>
      <c r="I175" s="13">
        <v>43046.455231481479</v>
      </c>
      <c r="J175" s="7">
        <v>0</v>
      </c>
      <c r="K175" s="89" t="str">
        <f>IF(ISEVEN(B175),(B175-1)&amp;"/"&amp;B175,B175&amp;"/"&amp;(B175+1))</f>
        <v>4019/4020</v>
      </c>
      <c r="L175" s="185" t="str">
        <f>VLOOKUP(A175,'Trips&amp;Operators'!$C$1:$G$99911,5,FALSE)</f>
        <v>FORTUNATO FRANK</v>
      </c>
      <c r="M175" s="6">
        <f>I175-F175</f>
        <v>8.7384259240934625E-3</v>
      </c>
      <c r="N175" s="7">
        <f>24*60*SUM($M175:$M175)</f>
        <v>12.583333330694586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-07T09:26:00-0700',mode:absolute,to:'2017-11-07T11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5.8655999999999997</v>
      </c>
      <c r="Z175" s="204">
        <f>RIGHT(H175,LEN(H175)-4)/10000</f>
        <v>8.4099999999999994E-2</v>
      </c>
      <c r="AA175" s="204">
        <f>ABS(Z175-Y175)</f>
        <v>5.7814999999999994</v>
      </c>
      <c r="AB175" s="54" t="e">
        <f>VLOOKUP(A175,Enforcements!$C$7:$K$10,8,0)</f>
        <v>#N/A</v>
      </c>
      <c r="AC175" s="51" t="e">
        <f>VLOOKUP(A175,Enforcements!$C$7:$E$10,3,0)</f>
        <v>#N/A</v>
      </c>
      <c r="AD175" s="179">
        <f>VALUE(LEFT(A175,LEN(A175)-3))</f>
        <v>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/stypes="app*4019*20171107*" /stext=" 17:.+((SYSTEM_STATE.+slice.+state.+changed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64"/>
        <v>"%USERPROFILE%\Documents\GitHub\eaglep3\Utilities\RefineRTDCRunTimes.py" --tripid 816-07 --locoid 4019 --swversion DE.1.0.9.0 --startMP 300:58656 --initTime 2017-11-07T10:26:00 --startdatetime 2017-11-07T10:42:57 --delay 61 --endMP 204:841 --enddatetime 2017-11-07T10:55:32 --enforcementcount 0 &gt;&gt;%USERPROFILE%\Documents\GitHub\eaglep3-reporting\EC\2017-11-07-refined-times.txt</v>
      </c>
      <c r="AI175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{"issue":{"subject":"","project_id":79,"tracker_id":40,"status_id":1,"priority_id":2,"assigned_to_id":338,"start_date":"2017-11-07","description":"","custom_fields":[{"id":1,"name":"Subdivision","value":"NW"},{"id":4,"name":"Milepost","value":"0.0841"},{"id":17,"name":"Train ID","value":"816-07"},{"id":16,"name":"Locomotive ID","value":"4019"},{"id":130,"name":"Impact","value":""},{"id":150,"name":"Time of Event (Mountain Time)","value":"10:55:32"},{"id":151,"name":"Denver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66"/>
        <v>start /low /b %USERPROFILE%\Documents\GitHub\eaglep3\Utilities\DownloadLogsFromS3.py --loco 4019 --day 2017-11-07</v>
      </c>
      <c r="AN175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68"/>
        <v>https://d0f6bd738d7f1b3e5a7ca70fe4ff75f0.us-east-1.aws.found.io/app/kibana#/discover/Steve-Slow-Train-Analysis-(2080s-and-2083s)?_g=(refreshInterval:(display:Off,pause:!f,section:0,value:0),time:(from:'2017-11-07T09:26:00-0700',mode:absolute,to:'2017-11-07T11:55:32-0700'))&amp;_a=(columns:!('Message%20ID',Summary),filters:!(),index:'emp_*',interval:auto,query:(query_string:(analyze_wildcard:!t,query:'%22rtdc.l.rtdc.4019%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760</v>
      </c>
      <c r="B176" s="7">
        <v>4020</v>
      </c>
      <c r="C176" s="21" t="s">
        <v>192</v>
      </c>
      <c r="D176" s="21" t="s">
        <v>1034</v>
      </c>
      <c r="E176" s="13">
        <v>43046.457615740743</v>
      </c>
      <c r="F176" s="13">
        <v>43046.464907407404</v>
      </c>
      <c r="G176" s="7">
        <v>58</v>
      </c>
      <c r="H176" s="21" t="s">
        <v>1035</v>
      </c>
      <c r="I176" s="13">
        <v>43046.475266203706</v>
      </c>
      <c r="J176" s="7">
        <v>0</v>
      </c>
      <c r="K176" s="89" t="str">
        <f>IF(ISEVEN(B176),(B176-1)&amp;"/"&amp;B176,B176&amp;"/"&amp;(B176+1))</f>
        <v>4019/4020</v>
      </c>
      <c r="L176" s="185" t="str">
        <f>VLOOKUP(A176,'Trips&amp;Operators'!$C$1:$G$99911,5,FALSE)</f>
        <v>FORTUNATO FRANK</v>
      </c>
      <c r="M176" s="6">
        <f>I176-F176</f>
        <v>1.0358796302170958E-2</v>
      </c>
      <c r="N176" s="7">
        <f>24*60*SUM($M176:$M176)</f>
        <v>14.91666667512618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-07T09:58:58-0700',mode:absolute,to:'2017-11-07T12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0.1128</v>
      </c>
      <c r="Z176" s="204">
        <f>RIGHT(H176,LEN(H176)-4)/10000</f>
        <v>5.8986000000000001</v>
      </c>
      <c r="AA176" s="204">
        <f>ABS(Z176-Y176)</f>
        <v>5.7858000000000001</v>
      </c>
      <c r="AB176" s="54" t="e">
        <f>VLOOKUP(A176,Enforcements!$C$7:$K$10,8,0)</f>
        <v>#N/A</v>
      </c>
      <c r="AC176" s="51" t="e">
        <f>VLOOKUP(A176,Enforcements!$C$7:$E$10,3,0)</f>
        <v>#N/A</v>
      </c>
      <c r="AD176" s="179">
        <f>VALUE(LEFT(A176,LEN(A176)-3))</f>
        <v>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/stypes="app*4020*20171107*" /stext=" 18:.+((SYSTEM_STATE.+slice.+state.+changed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64"/>
        <v>"%USERPROFILE%\Documents\GitHub\eaglep3\Utilities\RefineRTDCRunTimes.py" --tripid 817-07 --locoid 4020 --swversion DE.1.0.9.0 --startMP 204:1128 --initTime 2017-11-07T10:58:58 --startdatetime 2017-11-07T11:09:28 --delay 58 --endMP 300:58986 --enddatetime 2017-11-07T11:24:23 --enforcementcount 0 &gt;&gt;%USERPROFILE%\Documents\GitHub\eaglep3-reporting\EC\2017-11-07-refined-times.txt</v>
      </c>
      <c r="AI176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{"issue":{"subject":"","project_id":79,"tracker_id":40,"status_id":1,"priority_id":2,"assigned_to_id":338,"start_date":"2017-11-07","description":"","custom_fields":[{"id":1,"name":"Subdivision","value":"NW"},{"id":4,"name":"Milepost","value":"5.8986"},{"id":17,"name":"Train ID","value":"817-07"},{"id":16,"name":"Locomotive ID","value":"4020"},{"id":130,"name":"Impact","value":""},{"id":150,"name":"Time of Event (Mountain Time)","value":"11:24:23"},{"id":151,"name":"Denver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66"/>
        <v>start /low /b %USERPROFILE%\Documents\GitHub\eaglep3\Utilities\DownloadLogsFromS3.py --loco 4020 --day 2017-11-07</v>
      </c>
      <c r="AN176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68"/>
        <v>https://d0f6bd738d7f1b3e5a7ca70fe4ff75f0.us-east-1.aws.found.io/app/kibana#/discover/Steve-Slow-Train-Analysis-(2080s-and-2083s)?_g=(refreshInterval:(display:Off,pause:!f,section:0,value:0),time:(from:'2017-11-07T09:58:58-0700',mode:absolute,to:'2017-11-07T12:24:23-0700'))&amp;_a=(columns:!('Message%20ID',Summary),filters:!(),index:'emp_*',interval:auto,query:(query_string:(analyze_wildcard:!t,query:'%22rtdc.l.rtdc.4020%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767</v>
      </c>
      <c r="B177" s="7">
        <v>4019</v>
      </c>
      <c r="C177" s="21" t="s">
        <v>192</v>
      </c>
      <c r="D177" s="21" t="s">
        <v>1036</v>
      </c>
      <c r="E177" s="13">
        <v>43046.476782407408</v>
      </c>
      <c r="F177" s="13">
        <v>43046.488425925927</v>
      </c>
      <c r="G177" s="7">
        <v>51</v>
      </c>
      <c r="H177" s="21" t="s">
        <v>1037</v>
      </c>
      <c r="I177" s="13">
        <v>43046.497337962966</v>
      </c>
      <c r="J177" s="7">
        <v>0</v>
      </c>
      <c r="K177" s="89" t="str">
        <f>IF(ISEVEN(B177),(B177-1)&amp;"/"&amp;B177,B177&amp;"/"&amp;(B177+1))</f>
        <v>4019/4020</v>
      </c>
      <c r="L177" s="185" t="str">
        <f>VLOOKUP(A177,'Trips&amp;Operators'!$C$1:$G$99911,5,FALSE)</f>
        <v>FORTUNATO FRANK</v>
      </c>
      <c r="M177" s="6">
        <f>I177-F177</f>
        <v>8.9120370394084603E-3</v>
      </c>
      <c r="N177" s="7">
        <f>24*60*SUM($M177:$M177)</f>
        <v>12.833333336748183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-07T10:26:34-0700',mode:absolute,to:'2017-11-07T12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5.8673000000000002</v>
      </c>
      <c r="Z177" s="204">
        <f>RIGHT(H177,LEN(H177)-4)/10000</f>
        <v>8.2500000000000004E-2</v>
      </c>
      <c r="AA177" s="204">
        <f>ABS(Z177-Y177)</f>
        <v>5.7848000000000006</v>
      </c>
      <c r="AB177" s="54" t="e">
        <f>VLOOKUP(A177,Enforcements!$C$7:$K$10,8,0)</f>
        <v>#N/A</v>
      </c>
      <c r="AC177" s="51" t="e">
        <f>VLOOKUP(A177,Enforcements!$C$7:$E$10,3,0)</f>
        <v>#N/A</v>
      </c>
      <c r="AD177" s="179">
        <f>VALUE(LEFT(A177,LEN(A177)-3))</f>
        <v>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/stypes="app*4019*20171107*" /stext=" 18:.+((SYSTEM_STATE.+slice.+state.+changed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64"/>
        <v>"%USERPROFILE%\Documents\GitHub\eaglep3\Utilities\RefineRTDCRunTimes.py" --tripid 818-07 --locoid 4019 --swversion DE.1.0.9.0 --startMP 300:58673 --initTime 2017-11-07T11:26:34 --startdatetime 2017-11-07T11:43:20 --delay 51 --endMP 204:825 --enddatetime 2017-11-07T11:56:10 --enforcementcount 0 &gt;&gt;%USERPROFILE%\Documents\GitHub\eaglep3-reporting\EC\2017-11-07-refined-times.txt</v>
      </c>
      <c r="AI177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{"issue":{"subject":"","project_id":79,"tracker_id":40,"status_id":1,"priority_id":2,"assigned_to_id":338,"start_date":"2017-11-07","description":"","custom_fields":[{"id":1,"name":"Subdivision","value":"NW"},{"id":4,"name":"Milepost","value":"0.0825"},{"id":17,"name":"Train ID","value":"818-07"},{"id":16,"name":"Locomotive ID","value":"4019"},{"id":130,"name":"Impact","value":""},{"id":150,"name":"Time of Event (Mountain Time)","value":"11:56:10"},{"id":151,"name":"Denver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66"/>
        <v>start /low /b %USERPROFILE%\Documents\GitHub\eaglep3\Utilities\DownloadLogsFromS3.py --loco 4019 --day 2017-11-07</v>
      </c>
      <c r="AN177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68"/>
        <v>https://d0f6bd738d7f1b3e5a7ca70fe4ff75f0.us-east-1.aws.found.io/app/kibana#/discover/Steve-Slow-Train-Analysis-(2080s-and-2083s)?_g=(refreshInterval:(display:Off,pause:!f,section:0,value:0),time:(from:'2017-11-07T10:26:34-0700',mode:absolute,to:'2017-11-07T12:56:10-0700'))&amp;_a=(columns:!('Message%20ID',Summary),filters:!(),index:'emp_*',interval:auto,query:(query_string:(analyze_wildcard:!t,query:'%22rtdc.l.rtdc.4019%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656</v>
      </c>
      <c r="B178" s="7">
        <v>4020</v>
      </c>
      <c r="C178" s="21" t="s">
        <v>192</v>
      </c>
      <c r="D178" s="21" t="s">
        <v>1036</v>
      </c>
      <c r="E178" s="13">
        <v>43046.476782407408</v>
      </c>
      <c r="F178" s="13">
        <v>43046.506412037037</v>
      </c>
      <c r="G178" s="7">
        <v>51</v>
      </c>
      <c r="H178" s="21" t="s">
        <v>1037</v>
      </c>
      <c r="I178" s="13">
        <v>43046.516562500001</v>
      </c>
      <c r="J178" s="7">
        <v>0</v>
      </c>
      <c r="K178" s="89" t="str">
        <f>IF(ISEVEN(B178),(B178-1)&amp;"/"&amp;B178,B178&amp;"/"&amp;(B178+1))</f>
        <v>4019/4020</v>
      </c>
      <c r="L178" s="185" t="str">
        <f>VLOOKUP(A178,'Trips&amp;Operators'!$C$1:$G$99911,5,FALSE)</f>
        <v>FORTUNATO FRANK</v>
      </c>
      <c r="M178" s="6">
        <f>I178-F178</f>
        <v>1.0150462963792961E-2</v>
      </c>
      <c r="N178" s="7">
        <f>24*60*SUM($M178:$M178)</f>
        <v>14.616666667861864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-07T10:26:34-0700',mode:absolute,to:'2017-11-07T13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v>0.1128</v>
      </c>
      <c r="Z178" s="204">
        <v>5.8986000000000001</v>
      </c>
      <c r="AA178" s="204">
        <f>ABS(Z178-Y178)</f>
        <v>5.7858000000000001</v>
      </c>
      <c r="AB178" s="54" t="e">
        <f>VLOOKUP(A178,Enforcements!$C$7:$K$10,8,0)</f>
        <v>#N/A</v>
      </c>
      <c r="AC178" s="51" t="e">
        <f>VLOOKUP(A178,Enforcements!$C$7:$E$10,3,0)</f>
        <v>#N/A</v>
      </c>
      <c r="AD178" s="179">
        <f>VALUE(LEFT(A178,LEN(A178)-3))</f>
        <v>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/stypes="app*4020*20171107*" /stext=" 19:.+((SYSTEM_STATE.+slice.+state.+changed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ref="AH178" si="80">refinertdcruntimes&amp;" --tripid "&amp;A178&amp;" --locoid "&amp;B178&amp;" --swversion "&amp;C178&amp;" --startMP "&amp;D178&amp;" --initTime "&amp;TEXT(E178,"yyyy-mm-ddTHH:MM:SS")&amp;" --startdatetime "&amp;TEXT(F178,"yyyy-mm-ddTHH:MM:SS")&amp;" --delay "&amp;G178&amp;" --endMP "&amp;H178&amp;" --enddatetime "&amp;TEXT(I178,"yyyy-mm-ddTHH:MM:SS")&amp;" --enforcementcount "&amp;J178&amp;IF(outputrefinedruntimes," &gt;&gt;"&amp;RefinedRTDCRunTimesOutputFile,"")</f>
        <v>"%USERPROFILE%\Documents\GitHub\eaglep3\Utilities\RefineRTDCRunTimes.py" --tripid 819-07 --locoid 4020 --swversion DE.1.0.9.0 --startMP 300:58673 --initTime 2017-11-07T11:26:34 --startdatetime 2017-11-07T12:09:14 --delay 51 --endMP 204:825 --enddatetime 2017-11-07T12:23:51 --enforcementcount 0 &gt;&gt;%USERPROFILE%\Documents\GitHub\eaglep3-reporting\EC\2017-11-07-refined-times.txt</v>
      </c>
      <c r="AI178" s="96" t="str">
        <f t="shared" ref="AI178" si="81">"echo {""issue"":{""subject"":"""&amp;R178&amp;""",""project_id"":79,""tracker_id"":40,""status_id"":"&amp;redmine_status&amp;",""priority_id"":"&amp;redmine_priority&amp;",""assigned_to_id"":"&amp;redmine_assignee&amp;",""start_date"":"""&amp;TEXT(I178,"YYYY-mm-dd")&amp;""",""description"":"""&amp;AJ178&amp;""",""custom_fields"":[{""id"":1,""name"":""Subdivision"",""value"":"""&amp;AG178&amp;"""},{""id"":4,""name"":""Milepost"",""value"":"""&amp;Z178&amp;"""},{""id"":17,""name"":""Train ID"",""value"":"""&amp;A178&amp;"""},{""id"":16,""name"":""Locomotive ID"",""value"":"""&amp;B178&amp;"""},{""id"":130,""name"":""Impact"",""value"":"""&amp;AK178&amp;"""},{""id"":150,""name"":""Time of Event (Mountain Time)"",""value"":"""&amp;TEXT(I178,"hh:mm:ss")&amp;"""},{""id"":151,""name"":""Denver Issue ID"",""value"":"""&amp;"""},{""id"":178,""name"":""Operational Impact"",""value"":"""&amp;redmine_op_impact&amp;"""},{""id"":179,""name"":""Denver Segment Assigned"",""value"":"""&amp;AL178&amp;"""}]}}"&amp;"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{"issue":{"subject":"","project_id":79,"tracker_id":40,"status_id":1,"priority_id":2,"assigned_to_id":338,"start_date":"2017-11-07","description":"","custom_fields":[{"id":1,"name":"Subdivision","value":"NW"},{"id":4,"name":"Milepost","value":"5.8986"},{"id":17,"name":"Train ID","value":"819-07"},{"id":16,"name":"Locomotive ID","value":"4020"},{"id":130,"name":"Impact","value":""},{"id":150,"name":"Time of Event (Mountain Time)","value":"12:23:51"},{"id":151,"name":"Denver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ref="AM178" si="82">"start /low /b "&amp;dls3logs&amp;" --loco "&amp;B178&amp;" --day "&amp;TEXT(F178,"YYYY-MM-DD")</f>
        <v>start /low /b %USERPROFILE%\Documents\GitHub\eaglep3\Utilities\DownloadLogsFromS3.py --loco 4020 --day 2017-11-07</v>
      </c>
      <c r="AN178" s="151" t="str">
        <f t="shared" ref="AN178" si="83">"echo {""issue"":{""subject"":"""&amp;R178&amp;""",""project_id"":30,""tracker_id"":4,""status_id"":"&amp;redmine_status_wcr&amp;",""priority_id"":"&amp;redmine_priority_wcr&amp;",""assigned_to_id"":"&amp;redmine_assignee_wcr&amp;",""start_date"":"""&amp;TEXT(I178-utc_offset/24,"YYYY-mm-dd")&amp;""",""description"":"""&amp;AJ178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ref="AO178" si="84"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Message%20ID',Summary),filters:!(),index:'emp_*',interval:auto,query:"&amp;"(query_string:(analyze_wildcard:!t,query:'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-07T10:26:34-0700',mode:absolute,to:'2017-11-07T13:23:51-0700'))&amp;_a=(columns:!('Message%20ID',Summary),filters:!(),index:'emp_*',interval:auto,query:(query_string:(analyze_wildcard:!t,query:'%22rtdc.l.rtdc.4020%22')),sort:!(Time.ISO8601,asc))</v>
      </c>
    </row>
    <row r="179" spans="1:91" s="20" customFormat="1" x14ac:dyDescent="0.3">
      <c r="A179" s="32" t="s">
        <v>657</v>
      </c>
      <c r="B179" s="7">
        <v>4019</v>
      </c>
      <c r="C179" s="21" t="s">
        <v>192</v>
      </c>
      <c r="D179" s="21" t="s">
        <v>1038</v>
      </c>
      <c r="E179" s="13">
        <v>43046.517939814818</v>
      </c>
      <c r="F179" s="13">
        <v>43046.529895833337</v>
      </c>
      <c r="G179" s="7">
        <v>78</v>
      </c>
      <c r="H179" s="21" t="s">
        <v>1039</v>
      </c>
      <c r="I179" s="13">
        <v>43046.537268518521</v>
      </c>
      <c r="J179" s="7">
        <v>0</v>
      </c>
      <c r="K179" s="89" t="str">
        <f>IF(ISEVEN(B179),(B179-1)&amp;"/"&amp;B179,B179&amp;"/"&amp;(B179+1))</f>
        <v>4019/4020</v>
      </c>
      <c r="L179" s="185" t="str">
        <f>VLOOKUP(A179,'Trips&amp;Operators'!$C$1:$G$99911,5,FALSE)</f>
        <v>FORTUNATO FRANK</v>
      </c>
      <c r="M179" s="6">
        <f>I179-F179</f>
        <v>7.3726851842366159E-3</v>
      </c>
      <c r="N179" s="7">
        <f>24*60*SUM($M179:$M179)</f>
        <v>10.616666665300727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-07T11:25:50-0700',mode:absolute,to:'2017-11-07T13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204" t="str">
        <f>IF(AA179&lt;VLOOKUP(AG179,Variables!$AC$3:$AD$8,2,FALSE),"Y","N")</f>
        <v>Y</v>
      </c>
      <c r="X179" s="204">
        <f t="shared" ref="X179:X180" si="85">VALUE(LEFT(AD179,4))-VALUE(LEFT(AD178,4))</f>
        <v>1</v>
      </c>
      <c r="Y179" s="204">
        <f>RIGHT(D179,LEN(D179)-4)/10000</f>
        <v>5.8634000000000004</v>
      </c>
      <c r="Z179" s="204">
        <f>RIGHT(H179,LEN(H179)-4)/10000</f>
        <v>0.45669999999999999</v>
      </c>
      <c r="AA179" s="204">
        <f>ABS(Z179-Y179)</f>
        <v>5.4067000000000007</v>
      </c>
      <c r="AB179" s="54" t="e">
        <f>VLOOKUP(A179,Enforcements!$C$7:$K$10,8,0)</f>
        <v>#N/A</v>
      </c>
      <c r="AC179" s="51" t="e">
        <f>VLOOKUP(A179,Enforcements!$C$7:$E$10,3,0)</f>
        <v>#N/A</v>
      </c>
      <c r="AD179" s="179">
        <f>VALUE(LEFT(A179,LEN(A179)-3))</f>
        <v>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/stypes="app*4019*20171107*" /stext=" 19:.+((SYSTEM_STATE.+slice.+state.+changed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64"/>
        <v>"%USERPROFILE%\Documents\GitHub\eaglep3\Utilities\RefineRTDCRunTimes.py" --tripid 820-07 --locoid 4019 --swversion DE.1.0.9.0 --startMP 300:58634 --initTime 2017-11-07T12:25:50 --startdatetime 2017-11-07T12:43:03 --delay 78 --endMP 204:4567 --enddatetime 2017-11-07T12:53:40 --enforcementcount 0 &gt;&gt;%USERPROFILE%\Documents\GitHub\eaglep3-reporting\EC\2017-11-07-refined-times.txt</v>
      </c>
      <c r="AI179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{"issue":{"subject":"","project_id":79,"tracker_id":40,"status_id":1,"priority_id":2,"assigned_to_id":338,"start_date":"2017-11-07","description":"","custom_fields":[{"id":1,"name":"Subdivision","value":"NW"},{"id":4,"name":"Milepost","value":"0.4567"},{"id":17,"name":"Train ID","value":"820-07"},{"id":16,"name":"Locomotive ID","value":"4019"},{"id":130,"name":"Impact","value":""},{"id":150,"name":"Time of Event (Mountain Time)","value":"12:53:40"},{"id":151,"name":"Denver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66"/>
        <v>start /low /b %USERPROFILE%\Documents\GitHub\eaglep3\Utilities\DownloadLogsFromS3.py --loco 4019 --day 2017-11-07</v>
      </c>
      <c r="AN179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19:53:40"},{"id":29,"name":"Sharepoint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68"/>
        <v>https://d0f6bd738d7f1b3e5a7ca70fe4ff75f0.us-east-1.aws.found.io/app/kibana#/discover/Steve-Slow-Train-Analysis-(2080s-and-2083s)?_g=(refreshInterval:(display:Off,pause:!f,section:0,value:0),time:(from:'2017-11-07T11:25:50-0700',mode:absolute,to:'2017-11-07T13:53:40-0700'))&amp;_a=(columns:!('Message%20ID',Summary),filters:!(),index:'emp_*',interval:auto,query:(query_string:(analyze_wildcard:!t,query:'%22rtdc.l.rtdc.4019%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781</v>
      </c>
      <c r="B180" s="7">
        <v>4020</v>
      </c>
      <c r="C180" s="21" t="s">
        <v>192</v>
      </c>
      <c r="D180" s="21" t="s">
        <v>1040</v>
      </c>
      <c r="E180" s="13">
        <v>43046.542500000003</v>
      </c>
      <c r="F180" s="13">
        <v>43046.548090277778</v>
      </c>
      <c r="G180" s="7">
        <v>81</v>
      </c>
      <c r="H180" s="21" t="s">
        <v>1041</v>
      </c>
      <c r="I180" s="13">
        <v>43046.557581018518</v>
      </c>
      <c r="J180" s="7">
        <v>0</v>
      </c>
      <c r="K180" s="89" t="str">
        <f>IF(ISEVEN(B180),(B180-1)&amp;"/"&amp;B180,B180&amp;"/"&amp;(B180+1))</f>
        <v>4019/4020</v>
      </c>
      <c r="L180" s="185" t="str">
        <f>VLOOKUP(A180,'Trips&amp;Operators'!$C$1:$G$99911,5,FALSE)</f>
        <v>GUZMAN DANNY</v>
      </c>
      <c r="M180" s="6">
        <f>I180-F180</f>
        <v>9.4907407401478849E-3</v>
      </c>
      <c r="N180" s="7">
        <f>24*60*SUM($M180:$M180)</f>
        <v>13.666666665812954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-07T12:01:12-0700',mode:absolute,to:'2017-11-07T14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204" t="str">
        <f>IF(AA180&lt;VLOOKUP(AG180,Variables!$AC$3:$AD$8,2,FALSE),"Y","N")</f>
        <v>N</v>
      </c>
      <c r="X180" s="204">
        <f t="shared" si="85"/>
        <v>1</v>
      </c>
      <c r="Y180" s="204">
        <f>RIGHT(D180,LEN(D180)-4)/10000</f>
        <v>0.1109</v>
      </c>
      <c r="Z180" s="204">
        <f>RIGHT(H180,LEN(H180)-4)/10000</f>
        <v>5.8928000000000003</v>
      </c>
      <c r="AA180" s="204">
        <f>ABS(Z180-Y180)</f>
        <v>5.7819000000000003</v>
      </c>
      <c r="AB180" s="54" t="e">
        <f>VLOOKUP(A180,Enforcements!$C$7:$K$10,8,0)</f>
        <v>#N/A</v>
      </c>
      <c r="AC180" s="51" t="e">
        <f>VLOOKUP(A180,Enforcements!$C$7:$E$10,3,0)</f>
        <v>#N/A</v>
      </c>
      <c r="AD180" s="179">
        <f>VALUE(LEFT(A180,LEN(A180)-3))</f>
        <v>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/stypes="app*4020*20171107*" /stext=" 20:.+((SYSTEM_STATE.+slice.+state.+changed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64"/>
        <v>"%USERPROFILE%\Documents\GitHub\eaglep3\Utilities\RefineRTDCRunTimes.py" --tripid 821-07 --locoid 4020 --swversion DE.1.0.9.0 --startMP 204:1109 --initTime 2017-11-07T13:01:12 --startdatetime 2017-11-07T13:09:15 --delay 81 --endMP 300:58928 --enddatetime 2017-11-07T13:22:55 --enforcementcount 0 &gt;&gt;%USERPROFILE%\Documents\GitHub\eaglep3-reporting\EC\2017-11-07-refined-times.txt</v>
      </c>
      <c r="AI180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{"issue":{"subject":"","project_id":79,"tracker_id":40,"status_id":1,"priority_id":2,"assigned_to_id":338,"start_date":"2017-11-07","description":"","custom_fields":[{"id":1,"name":"Subdivision","value":"NW"},{"id":4,"name":"Milepost","value":"5.8928"},{"id":17,"name":"Train ID","value":"821-07"},{"id":16,"name":"Locomotive ID","value":"4020"},{"id":130,"name":"Impact","value":""},{"id":150,"name":"Time of Event (Mountain Time)","value":"13:22:55"},{"id":151,"name":"Denver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66"/>
        <v>start /low /b %USERPROFILE%\Documents\GitHub\eaglep3\Utilities\DownloadLogsFromS3.py --loco 4020 --day 2017-11-07</v>
      </c>
      <c r="AN180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20:22:55"},{"id":29,"name":"Sharepoint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68"/>
        <v>https://d0f6bd738d7f1b3e5a7ca70fe4ff75f0.us-east-1.aws.found.io/app/kibana#/discover/Steve-Slow-Train-Analysis-(2080s-and-2083s)?_g=(refreshInterval:(display:Off,pause:!f,section:0,value:0),time:(from:'2017-11-07T12:01:12-0700',mode:absolute,to:'2017-11-07T14:22:55-0700'))&amp;_a=(columns:!('Message%20ID',Summary),filters:!(),index:'emp_*',interval:auto,query:(query_string:(analyze_wildcard:!t,query:'%22rtdc.l.rtdc.4020%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786</v>
      </c>
      <c r="B181" s="7">
        <v>4019</v>
      </c>
      <c r="C181" s="21" t="s">
        <v>192</v>
      </c>
      <c r="D181" s="21" t="s">
        <v>1042</v>
      </c>
      <c r="E181" s="13">
        <v>43046.560254629629</v>
      </c>
      <c r="F181" s="13">
        <v>43046.571585648147</v>
      </c>
      <c r="G181" s="7">
        <v>62</v>
      </c>
      <c r="H181" s="21" t="s">
        <v>1043</v>
      </c>
      <c r="I181" s="13">
        <v>43046.579756944448</v>
      </c>
      <c r="J181" s="7">
        <v>0</v>
      </c>
      <c r="K181" s="89" t="str">
        <f>IF(ISEVEN(B181),(B181-1)&amp;"/"&amp;B181,B181&amp;"/"&amp;(B181+1))</f>
        <v>4019/4020</v>
      </c>
      <c r="L181" s="185" t="str">
        <f>VLOOKUP(A181,'Trips&amp;Operators'!$C$1:$G$99911,5,FALSE)</f>
        <v>GUZMAN DANNY</v>
      </c>
      <c r="M181" s="6">
        <f>I181-F181</f>
        <v>8.1712963001336902E-3</v>
      </c>
      <c r="N181" s="7">
        <f>24*60*SUM($M181:$M181)</f>
        <v>11.766666672192514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-07T12:26:46-0700',mode:absolute,to:'2017-11-07T14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5.8620999999999999</v>
      </c>
      <c r="Z181" s="204">
        <f>RIGHT(H181,LEN(H181)-4)/10000</f>
        <v>8.0100000000000005E-2</v>
      </c>
      <c r="AA181" s="204">
        <f>ABS(Z181-Y181)</f>
        <v>5.782</v>
      </c>
      <c r="AB181" s="54" t="e">
        <f>VLOOKUP(A181,Enforcements!$C$7:$K$10,8,0)</f>
        <v>#N/A</v>
      </c>
      <c r="AC181" s="51" t="e">
        <f>VLOOKUP(A181,Enforcements!$C$7:$E$10,3,0)</f>
        <v>#N/A</v>
      </c>
      <c r="AD181" s="179">
        <f>VALUE(LEFT(A181,LEN(A181)-3))</f>
        <v>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/stypes="app*4019*20171107*" /stext=" 20:.+((SYSTEM_STATE.+slice.+state.+changed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64"/>
        <v>"%USERPROFILE%\Documents\GitHub\eaglep3\Utilities\RefineRTDCRunTimes.py" --tripid 822-07 --locoid 4019 --swversion DE.1.0.9.0 --startMP 300:58621 --initTime 2017-11-07T13:26:46 --startdatetime 2017-11-07T13:43:05 --delay 62 --endMP 204:801 --enddatetime 2017-11-07T13:54:51 --enforcementcount 0 &gt;&gt;%USERPROFILE%\Documents\GitHub\eaglep3-reporting\EC\2017-11-07-refined-times.txt</v>
      </c>
      <c r="AI181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{"issue":{"subject":"","project_id":79,"tracker_id":40,"status_id":1,"priority_id":2,"assigned_to_id":338,"start_date":"2017-11-07","description":"","custom_fields":[{"id":1,"name":"Subdivision","value":"NW"},{"id":4,"name":"Milepost","value":"0.0801"},{"id":17,"name":"Train ID","value":"822-07"},{"id":16,"name":"Locomotive ID","value":"4019"},{"id":130,"name":"Impact","value":""},{"id":150,"name":"Time of Event (Mountain Time)","value":"13:54:51"},{"id":151,"name":"Denver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66"/>
        <v>start /low /b %USERPROFILE%\Documents\GitHub\eaglep3\Utilities\DownloadLogsFromS3.py --loco 4019 --day 2017-11-07</v>
      </c>
      <c r="AN181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20:54:51"},{"id":29,"name":"Sharepoint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68"/>
        <v>https://d0f6bd738d7f1b3e5a7ca70fe4ff75f0.us-east-1.aws.found.io/app/kibana#/discover/Steve-Slow-Train-Analysis-(2080s-and-2083s)?_g=(refreshInterval:(display:Off,pause:!f,section:0,value:0),time:(from:'2017-11-07T12:26:46-0700',mode:absolute,to:'2017-11-07T14:54:51-0700'))&amp;_a=(columns:!('Message%20ID',Summary),filters:!(),index:'emp_*',interval:auto,query:(query_string:(analyze_wildcard:!t,query:'%22rtdc.l.rtdc.4019%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789</v>
      </c>
      <c r="B182" s="7">
        <v>4020</v>
      </c>
      <c r="C182" s="21" t="s">
        <v>192</v>
      </c>
      <c r="D182" s="21" t="s">
        <v>1044</v>
      </c>
      <c r="E182" s="13">
        <v>43046.587256944447</v>
      </c>
      <c r="F182" s="13">
        <v>43046.589756944442</v>
      </c>
      <c r="G182" s="7">
        <v>51</v>
      </c>
      <c r="H182" s="21" t="s">
        <v>1019</v>
      </c>
      <c r="I182" s="13">
        <v>43046.599421296298</v>
      </c>
      <c r="J182" s="7">
        <v>0</v>
      </c>
      <c r="K182" s="89" t="str">
        <f>IF(ISEVEN(B182),(B182-1)&amp;"/"&amp;B182,B182&amp;"/"&amp;(B182+1))</f>
        <v>4019/4020</v>
      </c>
      <c r="L182" s="185" t="str">
        <f>VLOOKUP(A182,'Trips&amp;Operators'!$C$1:$G$99911,5,FALSE)</f>
        <v>GUZMAN DANNY</v>
      </c>
      <c r="M182" s="6">
        <f>I182-F182</f>
        <v>9.6643518554628827E-3</v>
      </c>
      <c r="N182" s="7">
        <f>24*60*SUM($M182:$M182)</f>
        <v>13.916666671866551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-07T13:05:39-0700',mode:absolute,to:'2017-11-07T15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0.10970000000000001</v>
      </c>
      <c r="Z182" s="204">
        <f>RIGHT(H182,LEN(H182)-4)/10000</f>
        <v>5.8930999999999996</v>
      </c>
      <c r="AA182" s="204">
        <f>ABS(Z182-Y182)</f>
        <v>5.7833999999999994</v>
      </c>
      <c r="AB182" s="54" t="e">
        <f>VLOOKUP(A182,Enforcements!$C$7:$K$10,8,0)</f>
        <v>#N/A</v>
      </c>
      <c r="AC182" s="51" t="e">
        <f>VLOOKUP(A182,Enforcements!$C$7:$E$10,3,0)</f>
        <v>#N/A</v>
      </c>
      <c r="AD182" s="179">
        <f>VALUE(LEFT(A182,LEN(A182)-3))</f>
        <v>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/stypes="app*4020*20171107*" /stext=" 21:.+((SYSTEM_STATE.+slice.+state.+changed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64"/>
        <v>"%USERPROFILE%\Documents\GitHub\eaglep3\Utilities\RefineRTDCRunTimes.py" --tripid 823-07 --locoid 4020 --swversion DE.1.0.9.0 --startMP 204:1097 --initTime 2017-11-07T14:05:39 --startdatetime 2017-11-07T14:09:15 --delay 51 --endMP 300:58931 --enddatetime 2017-11-07T14:23:10 --enforcementcount 0 &gt;&gt;%USERPROFILE%\Documents\GitHub\eaglep3-reporting\EC\2017-11-07-refined-times.txt</v>
      </c>
      <c r="AI182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{"issue":{"subject":"","project_id":79,"tracker_id":40,"status_id":1,"priority_id":2,"assigned_to_id":338,"start_date":"2017-11-07","description":"","custom_fields":[{"id":1,"name":"Subdivision","value":"NW"},{"id":4,"name":"Milepost","value":"5.8931"},{"id":17,"name":"Train ID","value":"823-07"},{"id":16,"name":"Locomotive ID","value":"4020"},{"id":130,"name":"Impact","value":""},{"id":150,"name":"Time of Event (Mountain Time)","value":"14:23:10"},{"id":151,"name":"Denver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66"/>
        <v>start /low /b %USERPROFILE%\Documents\GitHub\eaglep3\Utilities\DownloadLogsFromS3.py --loco 4020 --day 2017-11-07</v>
      </c>
      <c r="AN182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68"/>
        <v>https://d0f6bd738d7f1b3e5a7ca70fe4ff75f0.us-east-1.aws.found.io/app/kibana#/discover/Steve-Slow-Train-Analysis-(2080s-and-2083s)?_g=(refreshInterval:(display:Off,pause:!f,section:0,value:0),time:(from:'2017-11-07T13:05:39-0700',mode:absolute,to:'2017-11-07T15:23:10-0700'))&amp;_a=(columns:!('Message%20ID',Summary),filters:!(),index:'emp_*',interval:auto,query:(query_string:(analyze_wildcard:!t,query:'%22rtdc.l.rtdc.4020%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792</v>
      </c>
      <c r="B183" s="7">
        <v>4019</v>
      </c>
      <c r="C183" s="21" t="s">
        <v>192</v>
      </c>
      <c r="D183" s="21" t="s">
        <v>548</v>
      </c>
      <c r="E183" s="13">
        <v>43046.600335648145</v>
      </c>
      <c r="F183" s="13">
        <v>43046.613275462965</v>
      </c>
      <c r="G183" s="7">
        <v>49</v>
      </c>
      <c r="H183" s="21" t="s">
        <v>1045</v>
      </c>
      <c r="I183" s="13">
        <v>43046.62164351852</v>
      </c>
      <c r="J183" s="7">
        <v>0</v>
      </c>
      <c r="K183" s="89" t="str">
        <f>IF(ISEVEN(B183),(B183-1)&amp;"/"&amp;B183,B183&amp;"/"&amp;(B183+1))</f>
        <v>4019/4020</v>
      </c>
      <c r="L183" s="185" t="str">
        <f>VLOOKUP(A183,'Trips&amp;Operators'!$C$1:$G$99911,5,FALSE)</f>
        <v>GUZMAN DANNY</v>
      </c>
      <c r="M183" s="6">
        <f>I183-F183</f>
        <v>8.3680555544560775E-3</v>
      </c>
      <c r="N183" s="7">
        <f>24*60*SUM($M183:$M183)</f>
        <v>12.049999998416752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-07T13:24:29-0700',mode:absolute,to:'2017-11-07T15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5.8613</v>
      </c>
      <c r="Z183" s="204">
        <f>RIGHT(H183,LEN(H183)-4)/10000</f>
        <v>8.1699999999999995E-2</v>
      </c>
      <c r="AA183" s="204">
        <f>ABS(Z183-Y183)</f>
        <v>5.7796000000000003</v>
      </c>
      <c r="AB183" s="54" t="e">
        <f>VLOOKUP(A183,Enforcements!$C$7:$K$10,8,0)</f>
        <v>#N/A</v>
      </c>
      <c r="AC183" s="51" t="e">
        <f>VLOOKUP(A183,Enforcements!$C$7:$E$10,3,0)</f>
        <v>#N/A</v>
      </c>
      <c r="AD183" s="179">
        <f>VALUE(LEFT(A183,LEN(A183)-3))</f>
        <v>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/stypes="app*4019*20171107*" /stext=" 21:.+((SYSTEM_STATE.+slice.+state.+changed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64"/>
        <v>"%USERPROFILE%\Documents\GitHub\eaglep3\Utilities\RefineRTDCRunTimes.py" --tripid 824-07 --locoid 4019 --swversion DE.1.0.9.0 --startMP 300:58613 --initTime 2017-11-07T14:24:29 --startdatetime 2017-11-07T14:43:07 --delay 49 --endMP 204:817 --enddatetime 2017-11-07T14:55:10 --enforcementcount 0 &gt;&gt;%USERPROFILE%\Documents\GitHub\eaglep3-reporting\EC\2017-11-07-refined-times.txt</v>
      </c>
      <c r="AI183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{"issue":{"subject":"","project_id":79,"tracker_id":40,"status_id":1,"priority_id":2,"assigned_to_id":338,"start_date":"2017-11-07","description":"","custom_fields":[{"id":1,"name":"Subdivision","value":"NW"},{"id":4,"name":"Milepost","value":"0.0817"},{"id":17,"name":"Train ID","value":"824-07"},{"id":16,"name":"Locomotive ID","value":"4019"},{"id":130,"name":"Impact","value":""},{"id":150,"name":"Time of Event (Mountain Time)","value":"14:55:10"},{"id":151,"name":"Denver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66"/>
        <v>start /low /b %USERPROFILE%\Documents\GitHub\eaglep3\Utilities\DownloadLogsFromS3.py --loco 4019 --day 2017-11-07</v>
      </c>
      <c r="AN183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68"/>
        <v>https://d0f6bd738d7f1b3e5a7ca70fe4ff75f0.us-east-1.aws.found.io/app/kibana#/discover/Steve-Slow-Train-Analysis-(2080s-and-2083s)?_g=(refreshInterval:(display:Off,pause:!f,section:0,value:0),time:(from:'2017-11-07T13:24:29-0700',mode:absolute,to:'2017-11-07T15:55:10-0700'))&amp;_a=(columns:!('Message%20ID',Summary),filters:!(),index:'emp_*',interval:auto,query:(query_string:(analyze_wildcard:!t,query:'%22rtdc.l.rtdc.4019%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798</v>
      </c>
      <c r="B184" s="7">
        <v>4020</v>
      </c>
      <c r="C184" s="21" t="s">
        <v>192</v>
      </c>
      <c r="D184" s="21" t="s">
        <v>626</v>
      </c>
      <c r="E184" s="13">
        <v>43046.622928240744</v>
      </c>
      <c r="F184" s="13">
        <v>43046.631423611114</v>
      </c>
      <c r="G184" s="7">
        <v>49</v>
      </c>
      <c r="H184" s="21" t="s">
        <v>1046</v>
      </c>
      <c r="I184" s="13">
        <v>43046.641655092593</v>
      </c>
      <c r="J184" s="7">
        <v>0</v>
      </c>
      <c r="K184" s="89" t="str">
        <f>IF(ISEVEN(B184),(B184-1)&amp;"/"&amp;B184,B184&amp;"/"&amp;(B184+1))</f>
        <v>4019/4020</v>
      </c>
      <c r="L184" s="185" t="str">
        <f>VLOOKUP(A184,'Trips&amp;Operators'!$C$1:$G$99911,5,FALSE)</f>
        <v>GUZMAN DANNY</v>
      </c>
      <c r="M184" s="6">
        <f>I184-F184</f>
        <v>1.0231481479422655E-2</v>
      </c>
      <c r="N184" s="7">
        <f>24*60*SUM($M184:$M184)</f>
        <v>14.733333330368623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-07T13:57:01-0700',mode:absolute,to:'2017-11-07T16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0.1086</v>
      </c>
      <c r="Z184" s="204">
        <f>RIGHT(H184,LEN(H184)-4)/10000</f>
        <v>5.8939000000000004</v>
      </c>
      <c r="AA184" s="204">
        <f>ABS(Z184-Y184)</f>
        <v>5.7853000000000003</v>
      </c>
      <c r="AB184" s="54" t="e">
        <f>VLOOKUP(A184,Enforcements!$C$7:$K$10,8,0)</f>
        <v>#N/A</v>
      </c>
      <c r="AC184" s="51" t="e">
        <f>VLOOKUP(A184,Enforcements!$C$7:$E$10,3,0)</f>
        <v>#N/A</v>
      </c>
      <c r="AD184" s="179">
        <f>VALUE(LEFT(A184,LEN(A184)-3))</f>
        <v>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/stypes="app*4020*20171107*" /stext=" 22:.+((SYSTEM_STATE.+slice.+state.+changed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64"/>
        <v>"%USERPROFILE%\Documents\GitHub\eaglep3\Utilities\RefineRTDCRunTimes.py" --tripid 825-07 --locoid 4020 --swversion DE.1.0.9.0 --startMP 204:1086 --initTime 2017-11-07T14:57:01 --startdatetime 2017-11-07T15:09:15 --delay 49 --endMP 300:58939 --enddatetime 2017-11-07T15:23:59 --enforcementcount 0 &gt;&gt;%USERPROFILE%\Documents\GitHub\eaglep3-reporting\EC\2017-11-07-refined-times.txt</v>
      </c>
      <c r="AI184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{"issue":{"subject":"","project_id":79,"tracker_id":40,"status_id":1,"priority_id":2,"assigned_to_id":338,"start_date":"2017-11-07","description":"","custom_fields":[{"id":1,"name":"Subdivision","value":"NW"},{"id":4,"name":"Milepost","value":"5.8939"},{"id":17,"name":"Train ID","value":"825-07"},{"id":16,"name":"Locomotive ID","value":"4020"},{"id":130,"name":"Impact","value":""},{"id":150,"name":"Time of Event (Mountain Time)","value":"15:23:59"},{"id":151,"name":"Denver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66"/>
        <v>start /low /b %USERPROFILE%\Documents\GitHub\eaglep3\Utilities\DownloadLogsFromS3.py --loco 4020 --day 2017-11-07</v>
      </c>
      <c r="AN184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68"/>
        <v>https://d0f6bd738d7f1b3e5a7ca70fe4ff75f0.us-east-1.aws.found.io/app/kibana#/discover/Steve-Slow-Train-Analysis-(2080s-and-2083s)?_g=(refreshInterval:(display:Off,pause:!f,section:0,value:0),time:(from:'2017-11-07T13:57:01-0700',mode:absolute,to:'2017-11-07T16:23:59-0700'))&amp;_a=(columns:!('Message%20ID',Summary),filters:!(),index:'emp_*',interval:auto,query:(query_string:(analyze_wildcard:!t,query:'%22rtdc.l.rtdc.4020%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805</v>
      </c>
      <c r="B185" s="7">
        <v>4019</v>
      </c>
      <c r="C185" s="21" t="s">
        <v>192</v>
      </c>
      <c r="D185" s="21" t="s">
        <v>1047</v>
      </c>
      <c r="E185" s="13">
        <v>43046.642824074072</v>
      </c>
      <c r="F185" s="13">
        <v>43046.654976851853</v>
      </c>
      <c r="G185" s="7">
        <v>85</v>
      </c>
      <c r="H185" s="21" t="s">
        <v>627</v>
      </c>
      <c r="I185" s="13">
        <v>43046.663032407407</v>
      </c>
      <c r="J185" s="7">
        <v>0</v>
      </c>
      <c r="K185" s="89" t="str">
        <f>IF(ISEVEN(B185),(B185-1)&amp;"/"&amp;B185,B185&amp;"/"&amp;(B185+1))</f>
        <v>4019/4020</v>
      </c>
      <c r="L185" s="185" t="str">
        <f>VLOOKUP(A185,'Trips&amp;Operators'!$C$1:$G$99911,5,FALSE)</f>
        <v>DE LA ROSA ALEX</v>
      </c>
      <c r="M185" s="6">
        <f>I185-F185</f>
        <v>8.0555555541650392E-3</v>
      </c>
      <c r="N185" s="7">
        <f>24*60*SUM($M185:$M185)</f>
        <v>11.599999997997656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-07T14:25:40-0700',mode:absolute,to:'2017-11-07T16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5.8625999999999996</v>
      </c>
      <c r="Z185" s="204">
        <f>RIGHT(H185,LEN(H185)-4)/10000</f>
        <v>8.2000000000000003E-2</v>
      </c>
      <c r="AA185" s="204">
        <f>ABS(Z185-Y185)</f>
        <v>5.7805999999999997</v>
      </c>
      <c r="AB185" s="54" t="e">
        <f>VLOOKUP(A185,Enforcements!$C$7:$K$10,8,0)</f>
        <v>#N/A</v>
      </c>
      <c r="AC185" s="51" t="e">
        <f>VLOOKUP(A185,Enforcements!$C$7:$E$10,3,0)</f>
        <v>#N/A</v>
      </c>
      <c r="AD185" s="179">
        <f>VALUE(LEFT(A185,LEN(A185)-3))</f>
        <v>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/stypes="app*4019*20171107*" /stext=" 22:.+((SYSTEM_STATE.+slice.+state.+changed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64"/>
        <v>"%USERPROFILE%\Documents\GitHub\eaglep3\Utilities\RefineRTDCRunTimes.py" --tripid 826-07 --locoid 4019 --swversion DE.1.0.9.0 --startMP 300:58626 --initTime 2017-11-07T15:25:40 --startdatetime 2017-11-07T15:43:10 --delay 85 --endMP 204:820 --enddatetime 2017-11-07T15:54:46 --enforcementcount 0 &gt;&gt;%USERPROFILE%\Documents\GitHub\eaglep3-reporting\EC\2017-11-07-refined-times.txt</v>
      </c>
      <c r="AI185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{"issue":{"subject":"","project_id":79,"tracker_id":40,"status_id":1,"priority_id":2,"assigned_to_id":338,"start_date":"2017-11-07","description":"","custom_fields":[{"id":1,"name":"Subdivision","value":"NW"},{"id":4,"name":"Milepost","value":"0.082"},{"id":17,"name":"Train ID","value":"826-07"},{"id":16,"name":"Locomotive ID","value":"4019"},{"id":130,"name":"Impact","value":""},{"id":150,"name":"Time of Event (Mountain Time)","value":"15:54:46"},{"id":151,"name":"Denver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66"/>
        <v>start /low /b %USERPROFILE%\Documents\GitHub\eaglep3\Utilities\DownloadLogsFromS3.py --loco 4019 --day 2017-11-07</v>
      </c>
      <c r="AN185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68"/>
        <v>https://d0f6bd738d7f1b3e5a7ca70fe4ff75f0.us-east-1.aws.found.io/app/kibana#/discover/Steve-Slow-Train-Analysis-(2080s-and-2083s)?_g=(refreshInterval:(display:Off,pause:!f,section:0,value:0),time:(from:'2017-11-07T14:25:40-0700',mode:absolute,to:'2017-11-07T16:54:46-0700'))&amp;_a=(columns:!('Message%20ID',Summary),filters:!(),index:'emp_*',interval:auto,query:(query_string:(analyze_wildcard:!t,query:'%22rtdc.l.rtdc.4019%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807</v>
      </c>
      <c r="B186" s="7">
        <v>4002</v>
      </c>
      <c r="C186" s="21" t="s">
        <v>192</v>
      </c>
      <c r="D186" s="21" t="s">
        <v>1048</v>
      </c>
      <c r="E186" s="13">
        <v>43046.650231481479</v>
      </c>
      <c r="F186" s="13">
        <v>43046.652372685188</v>
      </c>
      <c r="G186" s="7">
        <v>75</v>
      </c>
      <c r="H186" s="21" t="s">
        <v>1014</v>
      </c>
      <c r="I186" s="13">
        <v>43046.662291666667</v>
      </c>
      <c r="J186" s="7">
        <v>0</v>
      </c>
      <c r="K186" s="89" t="str">
        <f>IF(ISEVEN(B186),(B186-1)&amp;"/"&amp;B186,B186&amp;"/"&amp;(B186+1))</f>
        <v>4001/4002</v>
      </c>
      <c r="L186" s="185" t="str">
        <f>VLOOKUP(A186,'Trips&amp;Operators'!$C$1:$G$99911,5,FALSE)</f>
        <v>STAMBAUGH JAMES</v>
      </c>
      <c r="M186" s="6">
        <f>I186-F186</f>
        <v>9.9189814791316167E-3</v>
      </c>
      <c r="N186" s="7">
        <f>24*60*SUM($M186:$M186)</f>
        <v>14.283333329949528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-07T14:36:20-0700',mode:absolute,to:'2017-11-07T16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9.6000000000000002E-2</v>
      </c>
      <c r="Z186" s="204">
        <f>RIGHT(H186,LEN(H186)-4)/10000</f>
        <v>5.8936999999999999</v>
      </c>
      <c r="AA186" s="204">
        <f>ABS(Z186-Y186)</f>
        <v>5.7976999999999999</v>
      </c>
      <c r="AB186" s="54" t="e">
        <f>VLOOKUP(A186,Enforcements!$C$7:$K$10,8,0)</f>
        <v>#N/A</v>
      </c>
      <c r="AC186" s="51" t="e">
        <f>VLOOKUP(A186,Enforcements!$C$7:$E$10,3,0)</f>
        <v>#N/A</v>
      </c>
      <c r="AD186" s="179">
        <f>VALUE(LEFT(A186,LEN(A186)-3))</f>
        <v>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s3://rtdc.mdm.uploadarchive.raw/RTDC4002/ "%USERPROFILE%\AppData\Local\Temp\OnboardLogs"\RTDC4002\2017-11-07 --exclude "*" --recursive --include "*20171107*" &amp; "%USERPROFILE%\Documents\GitHub\mrs-test-scripts\Headless Mode &amp; Sideloading\WalkAndUnGZ.bat" "%USERPROFILE%\AppData\Local\Temp\OnboardLogs"\RTDC4002\2017-11-07 &amp; 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/stypes="app*4002*20171107*" /stext=" 22:.+((SYSTEM_STATE.+slice.+state.+changed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64"/>
        <v>"%USERPROFILE%\Documents\GitHub\eaglep3\Utilities\RefineRTDCRunTimes.py" --tripid 827-07 --locoid 4002 --swversion DE.1.0.9.0 --startMP 204:960 --initTime 2017-11-07T15:36:20 --startdatetime 2017-11-07T15:39:25 --delay 75 --endMP 300:58937 --enddatetime 2017-11-07T15:53:42 --enforcementcount 0 &gt;&gt;%USERPROFILE%\Documents\GitHub\eaglep3-reporting\EC\2017-11-07-refined-times.txt</v>
      </c>
      <c r="AI186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{"issue":{"subject":"","project_id":79,"tracker_id":40,"status_id":1,"priority_id":2,"assigned_to_id":338,"start_date":"2017-11-07","description":"","custom_fields":[{"id":1,"name":"Subdivision","value":"NW"},{"id":4,"name":"Milepost","value":"5.8937"},{"id":17,"name":"Train ID","value":"827-07"},{"id":16,"name":"Locomotive ID","value":"4002"},{"id":130,"name":"Impact","value":""},{"id":150,"name":"Time of Event (Mountain Time)","value":"15:53:42"},{"id":151,"name":"Denver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66"/>
        <v>start /low /b %USERPROFILE%\Documents\GitHub\eaglep3\Utilities\DownloadLogsFromS3.py --loco 4002 --day 2017-11-07</v>
      </c>
      <c r="AN186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68"/>
        <v>https://d0f6bd738d7f1b3e5a7ca70fe4ff75f0.us-east-1.aws.found.io/app/kibana#/discover/Steve-Slow-Train-Analysis-(2080s-and-2083s)?_g=(refreshInterval:(display:Off,pause:!f,section:0,value:0),time:(from:'2017-11-07T14:36:20-0700',mode:absolute,to:'2017-11-07T16:53:42-0700'))&amp;_a=(columns:!('Message%20ID',Summary),filters:!(),index:'emp_*',interval:auto,query:(query_string:(analyze_wildcard:!t,query:'%22rtdc.l.rtdc.4002%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811</v>
      </c>
      <c r="B187" s="7">
        <v>4001</v>
      </c>
      <c r="C187" s="21" t="s">
        <v>192</v>
      </c>
      <c r="D187" s="21" t="s">
        <v>635</v>
      </c>
      <c r="E187" s="13">
        <v>43046.663182870368</v>
      </c>
      <c r="F187" s="13">
        <v>43046.675081018519</v>
      </c>
      <c r="G187" s="7">
        <v>52</v>
      </c>
      <c r="H187" s="21" t="s">
        <v>1049</v>
      </c>
      <c r="I187" s="13">
        <v>43046.683229166665</v>
      </c>
      <c r="J187" s="7">
        <v>0</v>
      </c>
      <c r="K187" s="89" t="str">
        <f>IF(ISEVEN(B187),(B187-1)&amp;"/"&amp;B187,B187&amp;"/"&amp;(B187+1))</f>
        <v>4001/4002</v>
      </c>
      <c r="L187" s="185" t="str">
        <f>VLOOKUP(A187,'Trips&amp;Operators'!$C$1:$G$99911,5,FALSE)</f>
        <v>STAMBAUGH JAMES</v>
      </c>
      <c r="M187" s="6">
        <f>I187-F187</f>
        <v>8.1481481465743855E-3</v>
      </c>
      <c r="N187" s="7">
        <f>24*60*SUM($M187:$M187)</f>
        <v>11.733333331067115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-07T14:54:59-0700',mode:absolute,to:'2017-11-07T17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5.8624000000000001</v>
      </c>
      <c r="Z187" s="204">
        <f>RIGHT(H187,LEN(H187)-4)/10000</f>
        <v>6.7100000000000007E-2</v>
      </c>
      <c r="AA187" s="204">
        <f>ABS(Z187-Y187)</f>
        <v>5.7953000000000001</v>
      </c>
      <c r="AB187" s="54" t="e">
        <f>VLOOKUP(A187,Enforcements!$C$7:$K$10,8,0)</f>
        <v>#N/A</v>
      </c>
      <c r="AC187" s="51" t="e">
        <f>VLOOKUP(A187,Enforcements!$C$7:$E$10,3,0)</f>
        <v>#N/A</v>
      </c>
      <c r="AD187" s="179">
        <f>VALUE(LEFT(A187,LEN(A187)-3))</f>
        <v>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/stypes="app*4001*20171107*" /stext=" 23:.+((SYSTEM_STATE.+slice.+state.+changed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64"/>
        <v>"%USERPROFILE%\Documents\GitHub\eaglep3\Utilities\RefineRTDCRunTimes.py" --tripid 828-07 --locoid 4001 --swversion DE.1.0.9.0 --startMP 300:58624 --initTime 2017-11-07T15:54:59 --startdatetime 2017-11-07T16:12:07 --delay 52 --endMP 204:671 --enddatetime 2017-11-07T16:23:51 --enforcementcount 0 &gt;&gt;%USERPROFILE%\Documents\GitHub\eaglep3-reporting\EC\2017-11-07-refined-times.txt</v>
      </c>
      <c r="AI187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{"issue":{"subject":"","project_id":79,"tracker_id":40,"status_id":1,"priority_id":2,"assigned_to_id":338,"start_date":"2017-11-07","description":"","custom_fields":[{"id":1,"name":"Subdivision","value":"NW"},{"id":4,"name":"Milepost","value":"0.0671"},{"id":17,"name":"Train ID","value":"828-07"},{"id":16,"name":"Locomotive ID","value":"4001"},{"id":130,"name":"Impact","value":""},{"id":150,"name":"Time of Event (Mountain Time)","value":"16:23:51"},{"id":151,"name":"Denver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66"/>
        <v>start /low /b %USERPROFILE%\Documents\GitHub\eaglep3\Utilities\DownloadLogsFromS3.py --loco 4001 --day 2017-11-07</v>
      </c>
      <c r="AN187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68"/>
        <v>https://d0f6bd738d7f1b3e5a7ca70fe4ff75f0.us-east-1.aws.found.io/app/kibana#/discover/Steve-Slow-Train-Analysis-(2080s-and-2083s)?_g=(refreshInterval:(display:Off,pause:!f,section:0,value:0),time:(from:'2017-11-07T14:54:59-0700',mode:absolute,to:'2017-11-07T17:23:51-0700'))&amp;_a=(columns:!('Message%20ID',Summary),filters:!(),index:'emp_*',interval:auto,query:(query_string:(analyze_wildcard:!t,query:'%22rtdc.l.rtdc.4001%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812</v>
      </c>
      <c r="B188" s="7">
        <v>4020</v>
      </c>
      <c r="C188" s="21" t="s">
        <v>192</v>
      </c>
      <c r="D188" s="21" t="s">
        <v>635</v>
      </c>
      <c r="E188" s="13">
        <v>43046.663182870368</v>
      </c>
      <c r="F188" s="13">
        <v>43046.673090277778</v>
      </c>
      <c r="G188" s="7">
        <v>52</v>
      </c>
      <c r="H188" s="21" t="s">
        <v>1049</v>
      </c>
      <c r="I188" s="13">
        <v>43046.683287037034</v>
      </c>
      <c r="J188" s="7">
        <v>0</v>
      </c>
      <c r="K188" s="89" t="str">
        <f>IF(ISEVEN(B188),(B188-1)&amp;"/"&amp;B188,B188&amp;"/"&amp;(B188+1))</f>
        <v>4019/4020</v>
      </c>
      <c r="L188" s="185" t="str">
        <f>VLOOKUP(A188,'Trips&amp;Operators'!$C$1:$G$99911,5,FALSE)</f>
        <v>GUZMAN DANNY</v>
      </c>
      <c r="M188" s="6">
        <f>I188-F188</f>
        <v>1.0196759256359655E-2</v>
      </c>
      <c r="N188" s="7">
        <f>24*60*SUM($M188:$M188)</f>
        <v>14.683333329157904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-07T14:54:59-0700',mode:absolute,to:'2017-11-07T17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v>9.6000000000000002E-2</v>
      </c>
      <c r="Z188" s="204">
        <v>5.8936999999999999</v>
      </c>
      <c r="AA188" s="204">
        <f>ABS(Z188-Y188)</f>
        <v>5.7976999999999999</v>
      </c>
      <c r="AB188" s="54" t="e">
        <f>VLOOKUP(A188,Enforcements!$C$7:$K$10,8,0)</f>
        <v>#N/A</v>
      </c>
      <c r="AC188" s="51" t="e">
        <f>VLOOKUP(A188,Enforcements!$C$7:$E$10,3,0)</f>
        <v>#N/A</v>
      </c>
      <c r="AD188" s="179">
        <f>VALUE(LEFT(A188,LEN(A188)-3))</f>
        <v>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/stypes="app*4020*20171107*" /stext=" 23:.+((SYSTEM_STATE.+slice.+state.+changed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ref="AH188" si="86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829-07 --locoid 4020 --swversion DE.1.0.9.0 --startMP 300:58624 --initTime 2017-11-07T15:54:59 --startdatetime 2017-11-07T16:09:15 --delay 52 --endMP 204:671 --enddatetime 2017-11-07T16:23:56 --enforcementcount 0 &gt;&gt;%USERPROFILE%\Documents\GitHub\eaglep3-reporting\EC\2017-11-07-refined-times.txt</v>
      </c>
      <c r="AI188" s="96" t="str">
        <f t="shared" ref="AI188" si="87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{"issue":{"subject":"","project_id":79,"tracker_id":40,"status_id":1,"priority_id":2,"assigned_to_id":338,"start_date":"2017-11-07","description":"","custom_fields":[{"id":1,"name":"Subdivision","value":"NW"},{"id":4,"name":"Milepost","value":"5.8937"},{"id":17,"name":"Train ID","value":"829-07"},{"id":16,"name":"Locomotive ID","value":"4020"},{"id":130,"name":"Impact","value":""},{"id":150,"name":"Time of Event (Mountain Time)","value":"16:23:56"},{"id":151,"name":"Denver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ref="AM188" si="88">"start /low /b "&amp;dls3logs&amp;" --loco "&amp;B188&amp;" --day "&amp;TEXT(F188,"YYYY-MM-DD")</f>
        <v>start /low /b %USERPROFILE%\Documents\GitHub\eaglep3\Utilities\DownloadLogsFromS3.py --loco 4020 --day 2017-11-07</v>
      </c>
      <c r="AN188" s="151" t="str">
        <f t="shared" ref="AN188" si="89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ref="AO188" si="90"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-07T14:54:59-0700',mode:absolute,to:'2017-11-07T17:23:56-0700'))&amp;_a=(columns:!('Message%20ID',Summary),filters:!(),index:'emp_*',interval:auto,query:(query_string:(analyze_wildcard:!t,query:'%22rtdc.l.rtdc.4020%22')),sort:!(Time.ISO8601,asc))</v>
      </c>
    </row>
    <row r="189" spans="1:91" s="20" customFormat="1" x14ac:dyDescent="0.3">
      <c r="A189" s="32" t="s">
        <v>818</v>
      </c>
      <c r="B189" s="7">
        <v>4019</v>
      </c>
      <c r="C189" s="21" t="s">
        <v>192</v>
      </c>
      <c r="D189" s="21" t="s">
        <v>1050</v>
      </c>
      <c r="E189" s="13">
        <v>43046.684212962966</v>
      </c>
      <c r="F189" s="13">
        <v>43046.696585648147</v>
      </c>
      <c r="G189" s="7">
        <v>61</v>
      </c>
      <c r="H189" s="21" t="s">
        <v>1043</v>
      </c>
      <c r="I189" s="13">
        <v>43046.705046296294</v>
      </c>
      <c r="J189" s="7">
        <v>0</v>
      </c>
      <c r="K189" s="89" t="str">
        <f>IF(ISEVEN(B189),(B189-1)&amp;"/"&amp;B189,B189&amp;"/"&amp;(B189+1))</f>
        <v>4019/4020</v>
      </c>
      <c r="L189" s="185" t="str">
        <f>VLOOKUP(A189,'Trips&amp;Operators'!$C$1:$G$99911,5,FALSE)</f>
        <v>GUZMAN DANNY</v>
      </c>
      <c r="M189" s="6">
        <f>I189-F189</f>
        <v>8.4606481468654238E-3</v>
      </c>
      <c r="N189" s="7">
        <f>24*60*SUM($M189:$M189)</f>
        <v>12.18333333148621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-07T15:25:16-0700',mode:absolute,to:'2017-11-07T17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204" t="str">
        <f>IF(AA189&lt;VLOOKUP(AG189,Variables!$AC$3:$AD$8,2,FALSE),"Y","N")</f>
        <v>N</v>
      </c>
      <c r="X189" s="204">
        <f t="shared" ref="X189:X190" si="91">VALUE(LEFT(AD189,4))-VALUE(LEFT(AD188,4))</f>
        <v>1</v>
      </c>
      <c r="Y189" s="204">
        <f>RIGHT(D189,LEN(D189)-4)/10000</f>
        <v>5.8616999999999999</v>
      </c>
      <c r="Z189" s="204">
        <f>RIGHT(H189,LEN(H189)-4)/10000</f>
        <v>8.0100000000000005E-2</v>
      </c>
      <c r="AA189" s="204">
        <f>ABS(Z189-Y189)</f>
        <v>5.7816000000000001</v>
      </c>
      <c r="AB189" s="54" t="e">
        <f>VLOOKUP(A189,Enforcements!$C$7:$K$10,8,0)</f>
        <v>#N/A</v>
      </c>
      <c r="AC189" s="51" t="e">
        <f>VLOOKUP(A189,Enforcements!$C$7:$E$10,3,0)</f>
        <v>#N/A</v>
      </c>
      <c r="AD189" s="179">
        <f>VALUE(LEFT(A189,LEN(A189)-3))</f>
        <v>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/stypes="app*4019*20171107*" /stext=" 23:.+((SYSTEM_STATE.+slice.+state.+changed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64"/>
        <v>"%USERPROFILE%\Documents\GitHub\eaglep3\Utilities\RefineRTDCRunTimes.py" --tripid 830-07 --locoid 4019 --swversion DE.1.0.9.0 --startMP 300:58617 --initTime 2017-11-07T16:25:16 --startdatetime 2017-11-07T16:43:05 --delay 61 --endMP 204:801 --enddatetime 2017-11-07T16:55:16 --enforcementcount 0 &gt;&gt;%USERPROFILE%\Documents\GitHub\eaglep3-reporting\EC\2017-11-07-refined-times.txt</v>
      </c>
      <c r="AI189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{"issue":{"subject":"","project_id":79,"tracker_id":40,"status_id":1,"priority_id":2,"assigned_to_id":338,"start_date":"2017-11-07","description":"","custom_fields":[{"id":1,"name":"Subdivision","value":"NW"},{"id":4,"name":"Milepost","value":"0.0801"},{"id":17,"name":"Train ID","value":"830-07"},{"id":16,"name":"Locomotive ID","value":"4019"},{"id":130,"name":"Impact","value":""},{"id":150,"name":"Time of Event (Mountain Time)","value":"16:55:16"},{"id":151,"name":"Denver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66"/>
        <v>start /low /b %USERPROFILE%\Documents\GitHub\eaglep3\Utilities\DownloadLogsFromS3.py --loco 4019 --day 2017-11-07</v>
      </c>
      <c r="AN189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68"/>
        <v>https://d0f6bd738d7f1b3e5a7ca70fe4ff75f0.us-east-1.aws.found.io/app/kibana#/discover/Steve-Slow-Train-Analysis-(2080s-and-2083s)?_g=(refreshInterval:(display:Off,pause:!f,section:0,value:0),time:(from:'2017-11-07T15:25:16-0700',mode:absolute,to:'2017-11-07T17:55:16-0700'))&amp;_a=(columns:!('Message%20ID',Summary),filters:!(),index:'emp_*',interval:auto,query:(query_string:(analyze_wildcard:!t,query:'%22rtdc.l.rtdc.4019%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820</v>
      </c>
      <c r="B190" s="7">
        <v>4002</v>
      </c>
      <c r="C190" s="21" t="s">
        <v>192</v>
      </c>
      <c r="D190" s="21" t="s">
        <v>474</v>
      </c>
      <c r="E190" s="13">
        <v>43046.691736111112</v>
      </c>
      <c r="F190" s="13">
        <v>43046.694039351853</v>
      </c>
      <c r="G190" s="7">
        <v>63</v>
      </c>
      <c r="H190" s="21" t="s">
        <v>623</v>
      </c>
      <c r="I190" s="13">
        <v>43046.703993055555</v>
      </c>
      <c r="J190" s="7">
        <v>0</v>
      </c>
      <c r="K190" s="89" t="str">
        <f>IF(ISEVEN(B190),(B190-1)&amp;"/"&amp;B190,B190&amp;"/"&amp;(B190+1))</f>
        <v>4001/4002</v>
      </c>
      <c r="L190" s="185" t="str">
        <f>VLOOKUP(A190,'Trips&amp;Operators'!$C$1:$G$99911,5,FALSE)</f>
        <v>STAMBAUGH JAMES</v>
      </c>
      <c r="M190" s="6">
        <f>I190-F190</f>
        <v>9.9537037021946162E-3</v>
      </c>
      <c r="N190" s="7">
        <f>24*60*SUM($M190:$M190)</f>
        <v>14.333333331160247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-07T15:36:06-0700',mode:absolute,to:'2017-11-07T17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0" s="204" t="str">
        <f>IF(AA190&lt;VLOOKUP(AG190,Variables!$AC$3:$AD$8,2,FALSE),"Y","N")</f>
        <v>N</v>
      </c>
      <c r="X190" s="204">
        <f t="shared" si="91"/>
        <v>1</v>
      </c>
      <c r="Y190" s="204">
        <f>RIGHT(D190,LEN(D190)-4)/10000</f>
        <v>9.7600000000000006E-2</v>
      </c>
      <c r="Z190" s="204">
        <f>RIGHT(H190,LEN(H190)-4)/10000</f>
        <v>5.8935000000000004</v>
      </c>
      <c r="AA190" s="204">
        <f>ABS(Z190-Y190)</f>
        <v>5.7959000000000005</v>
      </c>
      <c r="AB190" s="54" t="e">
        <f>VLOOKUP(A190,Enforcements!$C$7:$K$10,8,0)</f>
        <v>#N/A</v>
      </c>
      <c r="AC190" s="51" t="e">
        <f>VLOOKUP(A190,Enforcements!$C$7:$E$10,3,0)</f>
        <v>#N/A</v>
      </c>
      <c r="AD190" s="179">
        <f>VALUE(LEFT(A190,LEN(A190)-3))</f>
        <v>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s3://rtdc.mdm.uploadarchive.raw/RTDC4002/ "%USERPROFILE%\AppData\Local\Temp\OnboardLogs"\RTDC4002\2017-11-07 --exclude "*" --recursive --include "*20171107*" &amp; "%USERPROFILE%\Documents\GitHub\mrs-test-scripts\Headless Mode &amp; Sideloading\WalkAndUnGZ.bat" "%USERPROFILE%\AppData\Local\Temp\OnboardLogs"\RTDC4002\2017-11-07 &amp; 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/stypes="app*4002*20171107*" /stext=" 23:.+((SYSTEM_STATE.+slice.+state.+changed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64"/>
        <v>"%USERPROFILE%\Documents\GitHub\eaglep3\Utilities\RefineRTDCRunTimes.py" --tripid 831-07 --locoid 4002 --swversion DE.1.0.9.0 --startMP 204:976 --initTime 2017-11-07T16:36:06 --startdatetime 2017-11-07T16:39:25 --delay 63 --endMP 300:58935 --enddatetime 2017-11-07T16:53:45 --enforcementcount 0 &gt;&gt;%USERPROFILE%\Documents\GitHub\eaglep3-reporting\EC\2017-11-07-refined-times.txt</v>
      </c>
      <c r="AI190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{"issue":{"subject":"","project_id":79,"tracker_id":40,"status_id":1,"priority_id":2,"assigned_to_id":338,"start_date":"2017-11-07","description":"","custom_fields":[{"id":1,"name":"Subdivision","value":"NW"},{"id":4,"name":"Milepost","value":"5.8935"},{"id":17,"name":"Train ID","value":"831-07"},{"id":16,"name":"Locomotive ID","value":"4002"},{"id":130,"name":"Impact","value":""},{"id":150,"name":"Time of Event (Mountain Time)","value":"16:53:45"},{"id":151,"name":"Denver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66"/>
        <v>start /low /b %USERPROFILE%\Documents\GitHub\eaglep3\Utilities\DownloadLogsFromS3.py --loco 4002 --day 2017-11-07</v>
      </c>
      <c r="AN190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68"/>
        <v>https://d0f6bd738d7f1b3e5a7ca70fe4ff75f0.us-east-1.aws.found.io/app/kibana#/discover/Steve-Slow-Train-Analysis-(2080s-and-2083s)?_g=(refreshInterval:(display:Off,pause:!f,section:0,value:0),time:(from:'2017-11-07T15:36:06-0700',mode:absolute,to:'2017-11-07T17:53:45-0700'))&amp;_a=(columns:!('Message%20ID',Summary),filters:!(),index:'emp_*',interval:auto,query:(query_string:(analyze_wildcard:!t,query:'%22rtdc.l.rtdc.4002%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825</v>
      </c>
      <c r="B191" s="7">
        <v>4001</v>
      </c>
      <c r="C191" s="21" t="s">
        <v>192</v>
      </c>
      <c r="D191" s="21" t="s">
        <v>635</v>
      </c>
      <c r="E191" s="13">
        <v>43046.705069444448</v>
      </c>
      <c r="F191" s="13">
        <v>43046.717094907406</v>
      </c>
      <c r="G191" s="7">
        <v>61</v>
      </c>
      <c r="H191" s="21" t="s">
        <v>634</v>
      </c>
      <c r="I191" s="13">
        <v>43046.725381944445</v>
      </c>
      <c r="J191" s="7">
        <v>0</v>
      </c>
      <c r="K191" s="89" t="str">
        <f>IF(ISEVEN(B191),(B191-1)&amp;"/"&amp;B191,B191&amp;"/"&amp;(B191+1))</f>
        <v>4001/4002</v>
      </c>
      <c r="L191" s="185" t="str">
        <f>VLOOKUP(A191,'Trips&amp;Operators'!$C$1:$G$99911,5,FALSE)</f>
        <v>STAMBAUGH JAMES</v>
      </c>
      <c r="M191" s="6">
        <f>I191-F191</f>
        <v>8.2870370388263837E-3</v>
      </c>
      <c r="N191" s="7">
        <f>24*60*SUM($M191:$M191)</f>
        <v>11.933333335909992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-07T15:55:18-0700',mode:absolute,to:'2017-11-07T18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5.8624000000000001</v>
      </c>
      <c r="Z191" s="204">
        <f>RIGHT(H191,LEN(H191)-4)/10000</f>
        <v>7.0300000000000001E-2</v>
      </c>
      <c r="AA191" s="204">
        <f>ABS(Z191-Y191)</f>
        <v>5.7921000000000005</v>
      </c>
      <c r="AB191" s="54" t="e">
        <f>VLOOKUP(A191,Enforcements!$C$7:$K$10,8,0)</f>
        <v>#N/A</v>
      </c>
      <c r="AC191" s="51" t="e">
        <f>VLOOKUP(A191,Enforcements!$C$7:$E$10,3,0)</f>
        <v>#N/A</v>
      </c>
      <c r="AD191" s="179">
        <f>VALUE(LEFT(A191,LEN(A191)-3))</f>
        <v>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/stypes="app*4001*20171108*" /stext=" 00:.+((SYSTEM_STATE.+slice.+state.+changed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64"/>
        <v>"%USERPROFILE%\Documents\GitHub\eaglep3\Utilities\RefineRTDCRunTimes.py" --tripid 832-07 --locoid 4001 --swversion DE.1.0.9.0 --startMP 300:58624 --initTime 2017-11-07T16:55:18 --startdatetime 2017-11-07T17:12:37 --delay 61 --endMP 204:703 --enddatetime 2017-11-07T17:24:33 --enforcementcount 0 &gt;&gt;%USERPROFILE%\Documents\GitHub\eaglep3-reporting\EC\2017-11-07-refined-times.txt</v>
      </c>
      <c r="AI191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{"issue":{"subject":"","project_id":79,"tracker_id":40,"status_id":1,"priority_id":2,"assigned_to_id":338,"start_date":"2017-11-07","description":"","custom_fields":[{"id":1,"name":"Subdivision","value":"NW"},{"id":4,"name":"Milepost","value":"0.0703"},{"id":17,"name":"Train ID","value":"832-07"},{"id":16,"name":"Locomotive ID","value":"4001"},{"id":130,"name":"Impact","value":""},{"id":150,"name":"Time of Event (Mountain Time)","value":"17:24:33"},{"id":151,"name":"Denver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66"/>
        <v>start /low /b %USERPROFILE%\Documents\GitHub\eaglep3\Utilities\DownloadLogsFromS3.py --loco 4001 --day 2017-11-07</v>
      </c>
      <c r="AN191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68"/>
        <v>https://d0f6bd738d7f1b3e5a7ca70fe4ff75f0.us-east-1.aws.found.io/app/kibana#/discover/Steve-Slow-Train-Analysis-(2080s-and-2083s)?_g=(refreshInterval:(display:Off,pause:!f,section:0,value:0),time:(from:'2017-11-07T15:55:18-0700',mode:absolute,to:'2017-11-07T18:24:33-0700'))&amp;_a=(columns:!('Message%20ID',Summary),filters:!(),index:'emp_*',interval:auto,query:(query_string:(analyze_wildcard:!t,query:'%22rtdc.l.rtdc.4001%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826</v>
      </c>
      <c r="B192" s="7">
        <v>4020</v>
      </c>
      <c r="C192" s="21" t="s">
        <v>192</v>
      </c>
      <c r="D192" s="21" t="s">
        <v>639</v>
      </c>
      <c r="E192" s="13">
        <v>43046.706689814811</v>
      </c>
      <c r="F192" s="13">
        <v>43046.714826388888</v>
      </c>
      <c r="G192" s="7">
        <v>51</v>
      </c>
      <c r="H192" s="21" t="s">
        <v>1014</v>
      </c>
      <c r="I192" s="13">
        <v>43046.725231481483</v>
      </c>
      <c r="J192" s="7">
        <v>0</v>
      </c>
      <c r="K192" s="89" t="str">
        <f>IF(ISEVEN(B192),(B192-1)&amp;"/"&amp;B192,B192&amp;"/"&amp;(B192+1))</f>
        <v>4019/4020</v>
      </c>
      <c r="L192" s="185" t="str">
        <f>VLOOKUP(A192,'Trips&amp;Operators'!$C$1:$G$99911,5,FALSE)</f>
        <v>GUZMAN DANNY</v>
      </c>
      <c r="M192" s="6">
        <f>I192-F192</f>
        <v>1.0405092594737653E-2</v>
      </c>
      <c r="N192" s="7">
        <f>24*60*SUM($M192:$M192)</f>
        <v>14.98333333642222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-07T15:57:38-0700',mode:absolute,to:'2017-11-07T18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0.1095</v>
      </c>
      <c r="Z192" s="204">
        <f>RIGHT(H192,LEN(H192)-4)/10000</f>
        <v>5.8936999999999999</v>
      </c>
      <c r="AA192" s="204">
        <f>ABS(Z192-Y192)</f>
        <v>5.7842000000000002</v>
      </c>
      <c r="AB192" s="54" t="e">
        <f>VLOOKUP(A192,Enforcements!$C$7:$K$10,8,0)</f>
        <v>#N/A</v>
      </c>
      <c r="AC192" s="51" t="e">
        <f>VLOOKUP(A192,Enforcements!$C$7:$E$10,3,0)</f>
        <v>#N/A</v>
      </c>
      <c r="AD192" s="179">
        <f>VALUE(LEFT(A192,LEN(A192)-3))</f>
        <v>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/stypes="app*4020*20171108*" /stext=" 00:.+((SYSTEM_STATE.+slice.+state.+changed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64"/>
        <v>"%USERPROFILE%\Documents\GitHub\eaglep3\Utilities\RefineRTDCRunTimes.py" --tripid 833-07 --locoid 4020 --swversion DE.1.0.9.0 --startMP 204:1095 --initTime 2017-11-07T16:57:38 --startdatetime 2017-11-07T17:09:21 --delay 51 --endMP 300:58937 --enddatetime 2017-11-07T17:24:20 --enforcementcount 0 &gt;&gt;%USERPROFILE%\Documents\GitHub\eaglep3-reporting\EC\2017-11-07-refined-times.txt</v>
      </c>
      <c r="AI192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{"issue":{"subject":"","project_id":79,"tracker_id":40,"status_id":1,"priority_id":2,"assigned_to_id":338,"start_date":"2017-11-07","description":"","custom_fields":[{"id":1,"name":"Subdivision","value":"NW"},{"id":4,"name":"Milepost","value":"5.8937"},{"id":17,"name":"Train ID","value":"833-07"},{"id":16,"name":"Locomotive ID","value":"4020"},{"id":130,"name":"Impact","value":""},{"id":150,"name":"Time of Event (Mountain Time)","value":"17:24:20"},{"id":151,"name":"Denver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66"/>
        <v>start /low /b %USERPROFILE%\Documents\GitHub\eaglep3\Utilities\DownloadLogsFromS3.py --loco 4020 --day 2017-11-07</v>
      </c>
      <c r="AN192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68"/>
        <v>https://d0f6bd738d7f1b3e5a7ca70fe4ff75f0.us-east-1.aws.found.io/app/kibana#/discover/Steve-Slow-Train-Analysis-(2080s-and-2083s)?_g=(refreshInterval:(display:Off,pause:!f,section:0,value:0),time:(from:'2017-11-07T15:57:38-0700',mode:absolute,to:'2017-11-07T18:24:20-0700'))&amp;_a=(columns:!('Message%20ID',Summary),filters:!(),index:'emp_*',interval:auto,query:(query_string:(analyze_wildcard:!t,query:'%22rtdc.l.rtdc.4020%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832</v>
      </c>
      <c r="B193" s="7">
        <v>4019</v>
      </c>
      <c r="C193" s="21" t="s">
        <v>192</v>
      </c>
      <c r="D193" s="21" t="s">
        <v>548</v>
      </c>
      <c r="E193" s="13">
        <v>43046.726145833331</v>
      </c>
      <c r="F193" s="13">
        <v>43046.738252314812</v>
      </c>
      <c r="G193" s="7">
        <v>46</v>
      </c>
      <c r="H193" s="21" t="s">
        <v>1018</v>
      </c>
      <c r="I193" s="13">
        <v>43046.747187499997</v>
      </c>
      <c r="J193" s="7">
        <v>0</v>
      </c>
      <c r="K193" s="89" t="str">
        <f>IF(ISEVEN(B193),(B193-1)&amp;"/"&amp;B193,B193&amp;"/"&amp;(B193+1))</f>
        <v>4019/4020</v>
      </c>
      <c r="L193" s="185" t="str">
        <f>VLOOKUP(A193,'Trips&amp;Operators'!$C$1:$G$99911,5,FALSE)</f>
        <v>GUZMAN DANNY</v>
      </c>
      <c r="M193" s="6">
        <f>I193-F193</f>
        <v>8.9351851856918074E-3</v>
      </c>
      <c r="N193" s="7">
        <f>24*60*SUM($M193:$M193)</f>
        <v>12.866666667396203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-07T16:25:39-0700',mode:absolute,to:'2017-11-07T18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5.8613</v>
      </c>
      <c r="Z193" s="204">
        <f>RIGHT(H193,LEN(H193)-4)/10000</f>
        <v>8.3400000000000002E-2</v>
      </c>
      <c r="AA193" s="204">
        <f>ABS(Z193-Y193)</f>
        <v>5.7778999999999998</v>
      </c>
      <c r="AB193" s="54" t="e">
        <f>VLOOKUP(A193,Enforcements!$C$7:$K$10,8,0)</f>
        <v>#N/A</v>
      </c>
      <c r="AC193" s="51" t="e">
        <f>VLOOKUP(A193,Enforcements!$C$7:$E$10,3,0)</f>
        <v>#N/A</v>
      </c>
      <c r="AD193" s="179">
        <f>VALUE(LEFT(A193,LEN(A193)-3))</f>
        <v>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/stypes="app*4019*20171108*" /stext=" 00:.+((SYSTEM_STATE.+slice.+state.+changed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64"/>
        <v>"%USERPROFILE%\Documents\GitHub\eaglep3\Utilities\RefineRTDCRunTimes.py" --tripid 834-07 --locoid 4019 --swversion DE.1.0.9.0 --startMP 300:58613 --initTime 2017-11-07T17:25:39 --startdatetime 2017-11-07T17:43:05 --delay 46 --endMP 204:834 --enddatetime 2017-11-07T17:55:57 --enforcementcount 0 &gt;&gt;%USERPROFILE%\Documents\GitHub\eaglep3-reporting\EC\2017-11-07-refined-times.txt</v>
      </c>
      <c r="AI193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{"issue":{"subject":"","project_id":79,"tracker_id":40,"status_id":1,"priority_id":2,"assigned_to_id":338,"start_date":"2017-11-07","description":"","custom_fields":[{"id":1,"name":"Subdivision","value":"NW"},{"id":4,"name":"Milepost","value":"0.0834"},{"id":17,"name":"Train ID","value":"834-07"},{"id":16,"name":"Locomotive ID","value":"4019"},{"id":130,"name":"Impact","value":""},{"id":150,"name":"Time of Event (Mountain Time)","value":"17:55:57"},{"id":151,"name":"Denver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66"/>
        <v>start /low /b %USERPROFILE%\Documents\GitHub\eaglep3\Utilities\DownloadLogsFromS3.py --loco 4019 --day 2017-11-07</v>
      </c>
      <c r="AN193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68"/>
        <v>https://d0f6bd738d7f1b3e5a7ca70fe4ff75f0.us-east-1.aws.found.io/app/kibana#/discover/Steve-Slow-Train-Analysis-(2080s-and-2083s)?_g=(refreshInterval:(display:Off,pause:!f,section:0,value:0),time:(from:'2017-11-07T16:25:39-0700',mode:absolute,to:'2017-11-07T18:55:57-0700'))&amp;_a=(columns:!('Message%20ID',Summary),filters:!(),index:'emp_*',interval:auto,query:(query_string:(analyze_wildcard:!t,query:'%22rtdc.l.rtdc.4019%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833</v>
      </c>
      <c r="B194" s="7">
        <v>4002</v>
      </c>
      <c r="C194" s="21" t="s">
        <v>192</v>
      </c>
      <c r="D194" s="21" t="s">
        <v>1051</v>
      </c>
      <c r="E194" s="13">
        <v>43046.730856481481</v>
      </c>
      <c r="F194" s="13">
        <v>43046.73578703704</v>
      </c>
      <c r="G194" s="7">
        <v>63</v>
      </c>
      <c r="H194" s="21" t="s">
        <v>1014</v>
      </c>
      <c r="I194" s="13">
        <v>43046.745740740742</v>
      </c>
      <c r="J194" s="7">
        <v>0</v>
      </c>
      <c r="K194" s="89" t="str">
        <f>IF(ISEVEN(B194),(B194-1)&amp;"/"&amp;B194,B194&amp;"/"&amp;(B194+1))</f>
        <v>4001/4002</v>
      </c>
      <c r="L194" s="185" t="str">
        <f>VLOOKUP(A194,'Trips&amp;Operators'!$C$1:$G$99911,5,FALSE)</f>
        <v>STAMBAUGH JAMES</v>
      </c>
      <c r="M194" s="6">
        <f>I194-F194</f>
        <v>9.9537037021946162E-3</v>
      </c>
      <c r="N194" s="7">
        <f>24*60*SUM($M194:$M194)</f>
        <v>14.333333331160247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-07T16:32:26-0700',mode:absolute,to:'2017-11-07T18:53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9.9199999999999997E-2</v>
      </c>
      <c r="Z194" s="204">
        <f>RIGHT(H194,LEN(H194)-4)/10000</f>
        <v>5.8936999999999999</v>
      </c>
      <c r="AA194" s="204">
        <f>ABS(Z194-Y194)</f>
        <v>5.7945000000000002</v>
      </c>
      <c r="AB194" s="54" t="e">
        <f>VLOOKUP(A194,Enforcements!$C$7:$K$10,8,0)</f>
        <v>#N/A</v>
      </c>
      <c r="AC194" s="51" t="e">
        <f>VLOOKUP(A194,Enforcements!$C$7:$E$10,3,0)</f>
        <v>#N/A</v>
      </c>
      <c r="AD194" s="179">
        <f>VALUE(LEFT(A194,LEN(A194)-3))</f>
        <v>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s3://rtdc.mdm.uploadarchive.raw/RTDC4002/ "%USERPROFILE%\AppData\Local\Temp\OnboardLogs"\RTDC4002\2017-11-07 --exclude "*" --recursive --include "*20171107*" &amp; "%USERPROFILE%\Documents\GitHub\mrs-test-scripts\Headless Mode &amp; Sideloading\WalkAndUnGZ.bat" "%USERPROFILE%\AppData\Local\Temp\OnboardLogs"\RTDC4002\2017-11-07 &amp; 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/stypes="app*4002*20171108*" /stext=" 00:.+((SYSTEM_STATE.+slice.+state.+changed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64"/>
        <v>"%USERPROFILE%\Documents\GitHub\eaglep3\Utilities\RefineRTDCRunTimes.py" --tripid 835-07 --locoid 4002 --swversion DE.1.0.9.0 --startMP 204:992 --initTime 2017-11-07T17:32:26 --startdatetime 2017-11-07T17:39:32 --delay 63 --endMP 300:58937 --enddatetime 2017-11-07T17:53:52 --enforcementcount 0 &gt;&gt;%USERPROFILE%\Documents\GitHub\eaglep3-reporting\EC\2017-11-07-refined-times.txt</v>
      </c>
      <c r="AI194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{"issue":{"subject":"","project_id":79,"tracker_id":40,"status_id":1,"priority_id":2,"assigned_to_id":338,"start_date":"2017-11-07","description":"","custom_fields":[{"id":1,"name":"Subdivision","value":"NW"},{"id":4,"name":"Milepost","value":"5.8937"},{"id":17,"name":"Train ID","value":"835-07"},{"id":16,"name":"Locomotive ID","value":"4002"},{"id":130,"name":"Impact","value":""},{"id":150,"name":"Time of Event (Mountain Time)","value":"17:53:52"},{"id":151,"name":"Denver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66"/>
        <v>start /low /b %USERPROFILE%\Documents\GitHub\eaglep3\Utilities\DownloadLogsFromS3.py --loco 4002 --day 2017-11-07</v>
      </c>
      <c r="AN194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68"/>
        <v>https://d0f6bd738d7f1b3e5a7ca70fe4ff75f0.us-east-1.aws.found.io/app/kibana#/discover/Steve-Slow-Train-Analysis-(2080s-and-2083s)?_g=(refreshInterval:(display:Off,pause:!f,section:0,value:0),time:(from:'2017-11-07T16:32:26-0700',mode:absolute,to:'2017-11-07T18:53:52-0700'))&amp;_a=(columns:!('Message%20ID',Summary),filters:!(),index:'emp_*',interval:auto,query:(query_string:(analyze_wildcard:!t,query:'%22rtdc.l.rtdc.4002%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665</v>
      </c>
      <c r="B195" s="7">
        <v>4001</v>
      </c>
      <c r="C195" s="21" t="s">
        <v>192</v>
      </c>
      <c r="D195" s="21" t="s">
        <v>548</v>
      </c>
      <c r="E195" s="13">
        <v>43046.746712962966</v>
      </c>
      <c r="F195" s="13">
        <v>43046.758738425924</v>
      </c>
      <c r="G195" s="7">
        <v>61</v>
      </c>
      <c r="H195" s="21" t="s">
        <v>621</v>
      </c>
      <c r="I195" s="13">
        <v>43046.767048611109</v>
      </c>
      <c r="J195" s="7">
        <v>0</v>
      </c>
      <c r="K195" s="89" t="str">
        <f>IF(ISEVEN(B195),(B195-1)&amp;"/"&amp;B195,B195&amp;"/"&amp;(B195+1))</f>
        <v>4001/4002</v>
      </c>
      <c r="L195" s="185" t="str">
        <f>VLOOKUP(A195,'Trips&amp;Operators'!$C$1:$G$99911,5,FALSE)</f>
        <v>STAMBAUGH JAMES</v>
      </c>
      <c r="M195" s="6">
        <f>I195-F195</f>
        <v>8.3101851851097308E-3</v>
      </c>
      <c r="N195" s="7">
        <f>24*60*SUM($M195:$M195)</f>
        <v>11.966666666558012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-07T16:55:16-0700',mode:absolute,to:'2017-11-07T19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5.8613</v>
      </c>
      <c r="Z195" s="204">
        <f>RIGHT(H195,LEN(H195)-4)/10000</f>
        <v>6.8400000000000002E-2</v>
      </c>
      <c r="AA195" s="204">
        <f>ABS(Z195-Y195)</f>
        <v>5.7929000000000004</v>
      </c>
      <c r="AB195" s="54" t="e">
        <f>VLOOKUP(A195,Enforcements!$C$7:$K$10,8,0)</f>
        <v>#N/A</v>
      </c>
      <c r="AC195" s="51" t="e">
        <f>VLOOKUP(A195,Enforcements!$C$7:$E$10,3,0)</f>
        <v>#N/A</v>
      </c>
      <c r="AD195" s="179">
        <f>VALUE(LEFT(A195,LEN(A195)-3))</f>
        <v>836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/stypes="app*4001*20171108*" /stext=" 01:.+((SYSTEM_STATE.+slice.+state.+changed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64"/>
        <v>"%USERPROFILE%\Documents\GitHub\eaglep3\Utilities\RefineRTDCRunTimes.py" --tripid 836-07 --locoid 4001 --swversion DE.1.0.9.0 --startMP 300:58613 --initTime 2017-11-07T17:55:16 --startdatetime 2017-11-07T18:12:35 --delay 61 --endMP 204:684 --enddatetime 2017-11-07T18:24:33 --enforcementcount 0 &gt;&gt;%USERPROFILE%\Documents\GitHub\eaglep3-reporting\EC\2017-11-07-refined-times.txt</v>
      </c>
      <c r="AI195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{"issue":{"subject":"","project_id":79,"tracker_id":40,"status_id":1,"priority_id":2,"assigned_to_id":338,"start_date":"2017-11-07","description":"","custom_fields":[{"id":1,"name":"Subdivision","value":"NW"},{"id":4,"name":"Milepost","value":"0.0684"},{"id":17,"name":"Train ID","value":"836-07"},{"id":16,"name":"Locomotive ID","value":"4001"},{"id":130,"name":"Impact","value":""},{"id":150,"name":"Time of Event (Mountain Time)","value":"18:24:33"},{"id":151,"name":"Denver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66"/>
        <v>start /low /b %USERPROFILE%\Documents\GitHub\eaglep3\Utilities\DownloadLogsFromS3.py --loco 4001 --day 2017-11-07</v>
      </c>
      <c r="AN195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68"/>
        <v>https://d0f6bd738d7f1b3e5a7ca70fe4ff75f0.us-east-1.aws.found.io/app/kibana#/discover/Steve-Slow-Train-Analysis-(2080s-and-2083s)?_g=(refreshInterval:(display:Off,pause:!f,section:0,value:0),time:(from:'2017-11-07T16:55:16-0700',mode:absolute,to:'2017-11-07T19:24:33-0700'))&amp;_a=(columns:!('Message%20ID',Summary),filters:!(),index:'emp_*',interval:auto,query:(query_string:(analyze_wildcard:!t,query:'%22rtdc.l.rtdc.4001%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838</v>
      </c>
      <c r="B196" s="7">
        <v>4020</v>
      </c>
      <c r="C196" s="21" t="s">
        <v>192</v>
      </c>
      <c r="D196" s="21" t="s">
        <v>548</v>
      </c>
      <c r="E196" s="13">
        <v>43046.746712962966</v>
      </c>
      <c r="F196" s="13">
        <v>43046.756423611114</v>
      </c>
      <c r="G196" s="7">
        <v>61</v>
      </c>
      <c r="H196" s="21" t="s">
        <v>621</v>
      </c>
      <c r="I196" s="13">
        <v>43046.767280092594</v>
      </c>
      <c r="J196" s="7">
        <v>0</v>
      </c>
      <c r="K196" s="89" t="str">
        <f>IF(ISEVEN(B196),(B196-1)&amp;"/"&amp;B196,B196&amp;"/"&amp;(B196+1))</f>
        <v>4019/4020</v>
      </c>
      <c r="L196" s="185" t="str">
        <f>VLOOKUP(A196,'Trips&amp;Operators'!$C$1:$G$99911,5,FALSE)</f>
        <v>GUZMAN DANNY</v>
      </c>
      <c r="M196" s="6">
        <f>I196-F196</f>
        <v>1.0856481480004732E-2</v>
      </c>
      <c r="N196" s="7">
        <f>24*60*SUM($M196:$M196)</f>
        <v>15.633333331206813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-07T16:55:16-0700',mode:absolute,to:'2017-11-07T19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v>9.9199999999999997E-2</v>
      </c>
      <c r="Z196" s="204">
        <v>5.8936999999999999</v>
      </c>
      <c r="AA196" s="204">
        <f>ABS(Z196-Y196)</f>
        <v>5.7945000000000002</v>
      </c>
      <c r="AB196" s="54" t="e">
        <f>VLOOKUP(A196,Enforcements!$C$7:$K$10,8,0)</f>
        <v>#N/A</v>
      </c>
      <c r="AC196" s="51" t="e">
        <f>VLOOKUP(A196,Enforcements!$C$7:$E$10,3,0)</f>
        <v>#N/A</v>
      </c>
      <c r="AD196" s="179">
        <f>VALUE(LEFT(A196,LEN(A196)-3))</f>
        <v>837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/stypes="app*4020*20171108*" /stext=" 01:.+((SYSTEM_STATE.+slice.+state.+changed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ref="AH196" si="92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837-07 --locoid 4020 --swversion DE.1.0.9.0 --startMP 300:58613 --initTime 2017-11-07T17:55:16 --startdatetime 2017-11-07T18:09:15 --delay 61 --endMP 204:684 --enddatetime 2017-11-07T18:24:53 --enforcementcount 0 &gt;&gt;%USERPROFILE%\Documents\GitHub\eaglep3-reporting\EC\2017-11-07-refined-times.txt</v>
      </c>
      <c r="AI196" s="96" t="str">
        <f t="shared" ref="AI196" si="93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{"issue":{"subject":"","project_id":79,"tracker_id":40,"status_id":1,"priority_id":2,"assigned_to_id":338,"start_date":"2017-11-07","description":"","custom_fields":[{"id":1,"name":"Subdivision","value":"NW"},{"id":4,"name":"Milepost","value":"5.8937"},{"id":17,"name":"Train ID","value":"837-07"},{"id":16,"name":"Locomotive ID","value":"4020"},{"id":130,"name":"Impact","value":""},{"id":150,"name":"Time of Event (Mountain Time)","value":"18:24:53"},{"id":151,"name":"Denver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ref="AM196" si="94">"start /low /b "&amp;dls3logs&amp;" --loco "&amp;B196&amp;" --day "&amp;TEXT(F196,"YYYY-MM-DD")</f>
        <v>start /low /b %USERPROFILE%\Documents\GitHub\eaglep3\Utilities\DownloadLogsFromS3.py --loco 4020 --day 2017-11-07</v>
      </c>
      <c r="AN196" s="151" t="str">
        <f t="shared" ref="AN196" si="95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ref="AO196" si="96"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-07T16:55:16-0700',mode:absolute,to:'2017-11-07T19:24:53-0700'))&amp;_a=(columns:!('Message%20ID',Summary),filters:!(),index:'emp_*',interval:auto,query:(query_string:(analyze_wildcard:!t,query:'%22rtdc.l.rtdc.4020%22')),sort:!(Time.ISO8601,asc))</v>
      </c>
    </row>
    <row r="197" spans="1:91" s="20" customFormat="1" x14ac:dyDescent="0.3">
      <c r="A197" s="32" t="s">
        <v>842</v>
      </c>
      <c r="B197" s="7">
        <v>4019</v>
      </c>
      <c r="C197" s="21" t="s">
        <v>192</v>
      </c>
      <c r="D197" s="21" t="s">
        <v>628</v>
      </c>
      <c r="E197" s="13">
        <v>43046.768113425926</v>
      </c>
      <c r="F197" s="13">
        <v>43046.779918981483</v>
      </c>
      <c r="G197" s="7">
        <v>48</v>
      </c>
      <c r="H197" s="21" t="s">
        <v>1052</v>
      </c>
      <c r="I197" s="13">
        <v>43046.790127314816</v>
      </c>
      <c r="J197" s="7">
        <v>0</v>
      </c>
      <c r="K197" s="89" t="str">
        <f>IF(ISEVEN(B197),(B197-1)&amp;"/"&amp;B197,B197&amp;"/"&amp;(B197+1))</f>
        <v>4019/4020</v>
      </c>
      <c r="L197" s="185" t="str">
        <f>VLOOKUP(A197,'Trips&amp;Operators'!$C$1:$G$99911,5,FALSE)</f>
        <v>GUZMAN DANNY</v>
      </c>
      <c r="M197" s="6">
        <f>I197-F197</f>
        <v>1.0208333333139308E-2</v>
      </c>
      <c r="N197" s="7">
        <f>24*60*SUM($M197:$M197)</f>
        <v>14.699999999720603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-07T17:26:05-0700',mode:absolute,to:'2017-11-07T19:57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204" t="str">
        <f>IF(AA197&lt;VLOOKUP(AG197,Variables!$AC$3:$AD$8,2,FALSE),"Y","N")</f>
        <v>N</v>
      </c>
      <c r="X197" s="204">
        <f t="shared" ref="X197:X198" si="97">VALUE(LEFT(AD197,4))-VALUE(LEFT(AD196,4))</f>
        <v>1</v>
      </c>
      <c r="Y197" s="204">
        <f>RIGHT(D197,LEN(D197)-4)/10000</f>
        <v>5.8605999999999998</v>
      </c>
      <c r="Z197" s="204">
        <f>RIGHT(H197,LEN(H197)-4)/10000</f>
        <v>7.7499999999999999E-2</v>
      </c>
      <c r="AA197" s="204">
        <f>ABS(Z197-Y197)</f>
        <v>5.7831000000000001</v>
      </c>
      <c r="AB197" s="54" t="e">
        <f>VLOOKUP(A197,Enforcements!$C$7:$K$10,8,0)</f>
        <v>#N/A</v>
      </c>
      <c r="AC197" s="51" t="e">
        <f>VLOOKUP(A197,Enforcements!$C$7:$E$10,3,0)</f>
        <v>#N/A</v>
      </c>
      <c r="AD197" s="179">
        <f>VALUE(LEFT(A197,LEN(A197)-3))</f>
        <v>838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/stypes="app*4019*20171108*" /stext=" 01:.+((SYSTEM_STATE.+slice.+state.+changed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64"/>
        <v>"%USERPROFILE%\Documents\GitHub\eaglep3\Utilities\RefineRTDCRunTimes.py" --tripid 838-07 --locoid 4019 --swversion DE.1.0.9.0 --startMP 300:58606 --initTime 2017-11-07T18:26:05 --startdatetime 2017-11-07T18:43:05 --delay 48 --endMP 204:775 --enddatetime 2017-11-07T18:57:47 --enforcementcount 0 &gt;&gt;%USERPROFILE%\Documents\GitHub\eaglep3-reporting\EC\2017-11-07-refined-times.txt</v>
      </c>
      <c r="AI197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{"issue":{"subject":"","project_id":79,"tracker_id":40,"status_id":1,"priority_id":2,"assigned_to_id":338,"start_date":"2017-11-07","description":"","custom_fields":[{"id":1,"name":"Subdivision","value":"NW"},{"id":4,"name":"Milepost","value":"0.0775"},{"id":17,"name":"Train ID","value":"838-07"},{"id":16,"name":"Locomotive ID","value":"4019"},{"id":130,"name":"Impact","value":""},{"id":150,"name":"Time of Event (Mountain Time)","value":"18:57:47"},{"id":151,"name":"Denver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66"/>
        <v>start /low /b %USERPROFILE%\Documents\GitHub\eaglep3\Utilities\DownloadLogsFromS3.py --loco 4019 --day 2017-11-07</v>
      </c>
      <c r="AN197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68"/>
        <v>https://d0f6bd738d7f1b3e5a7ca70fe4ff75f0.us-east-1.aws.found.io/app/kibana#/discover/Steve-Slow-Train-Analysis-(2080s-and-2083s)?_g=(refreshInterval:(display:Off,pause:!f,section:0,value:0),time:(from:'2017-11-07T17:26:05-0700',mode:absolute,to:'2017-11-07T19:57:47-0700'))&amp;_a=(columns:!('Message%20ID',Summary),filters:!(),index:'emp_*',interval:auto,query:(query_string:(analyze_wildcard:!t,query:'%22rtdc.l.rtdc.4019%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843</v>
      </c>
      <c r="B198" s="7">
        <v>4002</v>
      </c>
      <c r="C198" s="21" t="s">
        <v>192</v>
      </c>
      <c r="D198" s="21" t="s">
        <v>474</v>
      </c>
      <c r="E198" s="13">
        <v>43046.768541666665</v>
      </c>
      <c r="F198" s="13">
        <v>43046.777291666665</v>
      </c>
      <c r="G198" s="7">
        <v>48</v>
      </c>
      <c r="H198" s="21" t="s">
        <v>549</v>
      </c>
      <c r="I198" s="13">
        <v>43046.787627314814</v>
      </c>
      <c r="J198" s="7">
        <v>0</v>
      </c>
      <c r="K198" s="89" t="str">
        <f>IF(ISEVEN(B198),(B198-1)&amp;"/"&amp;B198,B198&amp;"/"&amp;(B198+1))</f>
        <v>4001/4002</v>
      </c>
      <c r="L198" s="185" t="str">
        <f>VLOOKUP(A198,'Trips&amp;Operators'!$C$1:$G$99911,5,FALSE)</f>
        <v>STAMBAUGH JAMES</v>
      </c>
      <c r="M198" s="6">
        <f>I198-F198</f>
        <v>1.0335648148611654E-2</v>
      </c>
      <c r="N198" s="7">
        <f>24*60*SUM($M198:$M198)</f>
        <v>14.883333334000781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-07T17:26:42-0700',mode:absolute,to:'2017-11-07T19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8" s="204" t="str">
        <f>IF(AA198&lt;VLOOKUP(AG198,Variables!$AC$3:$AD$8,2,FALSE),"Y","N")</f>
        <v>N</v>
      </c>
      <c r="X198" s="204">
        <f t="shared" si="97"/>
        <v>1</v>
      </c>
      <c r="Y198" s="204">
        <f>RIGHT(D198,LEN(D198)-4)/10000</f>
        <v>9.7600000000000006E-2</v>
      </c>
      <c r="Z198" s="204">
        <f>RIGHT(H198,LEN(H198)-4)/10000</f>
        <v>5.8933</v>
      </c>
      <c r="AA198" s="204">
        <f>ABS(Z198-Y198)</f>
        <v>5.7957000000000001</v>
      </c>
      <c r="AB198" s="54" t="e">
        <f>VLOOKUP(A198,Enforcements!$C$7:$K$10,8,0)</f>
        <v>#N/A</v>
      </c>
      <c r="AC198" s="51" t="e">
        <f>VLOOKUP(A198,Enforcements!$C$7:$E$10,3,0)</f>
        <v>#N/A</v>
      </c>
      <c r="AD198" s="179">
        <f>VALUE(LEFT(A198,LEN(A198)-3))</f>
        <v>839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s3://rtdc.mdm.uploadarchive.raw/RTDC4002/ "%USERPROFILE%\AppData\Local\Temp\OnboardLogs"\RTDC4002\2017-11-07 --exclude "*" --recursive --include "*20171107*" &amp; "%USERPROFILE%\Documents\GitHub\mrs-test-scripts\Headless Mode &amp; Sideloading\WalkAndUnGZ.bat" "%USERPROFILE%\AppData\Local\Temp\OnboardLogs"\RTDC4002\2017-11-07 &amp; 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/stypes="app*4002*20171108*" /stext=" 01:.+((SYSTEM_STATE.+slice.+state.+changed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64"/>
        <v>"%USERPROFILE%\Documents\GitHub\eaglep3\Utilities\RefineRTDCRunTimes.py" --tripid 839-07 --locoid 4002 --swversion DE.1.0.9.0 --startMP 204:976 --initTime 2017-11-07T18:26:42 --startdatetime 2017-11-07T18:39:18 --delay 48 --endMP 300:58933 --enddatetime 2017-11-07T18:54:11 --enforcementcount 0 &gt;&gt;%USERPROFILE%\Documents\GitHub\eaglep3-reporting\EC\2017-11-07-refined-times.txt</v>
      </c>
      <c r="AI198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{"issue":{"subject":"","project_id":79,"tracker_id":40,"status_id":1,"priority_id":2,"assigned_to_id":338,"start_date":"2017-11-07","description":"","custom_fields":[{"id":1,"name":"Subdivision","value":"NW"},{"id":4,"name":"Milepost","value":"5.8933"},{"id":17,"name":"Train ID","value":"839-07"},{"id":16,"name":"Locomotive ID","value":"4002"},{"id":130,"name":"Impact","value":""},{"id":150,"name":"Time of Event (Mountain Time)","value":"18:54:11"},{"id":151,"name":"Denver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66"/>
        <v>start /low /b %USERPROFILE%\Documents\GitHub\eaglep3\Utilities\DownloadLogsFromS3.py --loco 4002 --day 2017-11-07</v>
      </c>
      <c r="AN198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68"/>
        <v>https://d0f6bd738d7f1b3e5a7ca70fe4ff75f0.us-east-1.aws.found.io/app/kibana#/discover/Steve-Slow-Train-Analysis-(2080s-and-2083s)?_g=(refreshInterval:(display:Off,pause:!f,section:0,value:0),time:(from:'2017-11-07T17:26:42-0700',mode:absolute,to:'2017-11-07T19:54:11-0700'))&amp;_a=(columns:!('Message%20ID',Summary),filters:!(),index:'emp_*',interval:auto,query:(query_string:(analyze_wildcard:!t,query:'%22rtdc.l.rtdc.4002%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857</v>
      </c>
      <c r="B199" s="7">
        <v>4019</v>
      </c>
      <c r="C199" s="21" t="s">
        <v>192</v>
      </c>
      <c r="D199" s="21" t="s">
        <v>631</v>
      </c>
      <c r="E199" s="13">
        <v>43046.808865740742</v>
      </c>
      <c r="F199" s="13">
        <v>43046.821585648147</v>
      </c>
      <c r="G199" s="7">
        <v>49</v>
      </c>
      <c r="H199" s="21" t="s">
        <v>1018</v>
      </c>
      <c r="I199" s="13">
        <v>43046.830451388887</v>
      </c>
      <c r="J199" s="7">
        <v>0</v>
      </c>
      <c r="K199" s="89" t="str">
        <f>IF(ISEVEN(B199),(B199-1)&amp;"/"&amp;B199,B199&amp;"/"&amp;(B199+1))</f>
        <v>4019/4020</v>
      </c>
      <c r="L199" s="185" t="str">
        <f>VLOOKUP(A199,'Trips&amp;Operators'!$C$1:$G$99911,5,FALSE)</f>
        <v>GUZMAN DANNY</v>
      </c>
      <c r="M199" s="6">
        <f>I199-F199</f>
        <v>8.8657407395658083E-3</v>
      </c>
      <c r="N199" s="7">
        <f>24*60*SUM($M199:$M199)</f>
        <v>12.766666664974764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-07T18:24:46-0700',mode:absolute,to:'2017-11-07T20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5.8615000000000004</v>
      </c>
      <c r="Z199" s="204">
        <f>RIGHT(H199,LEN(H199)-4)/10000</f>
        <v>8.3400000000000002E-2</v>
      </c>
      <c r="AA199" s="204">
        <f>ABS(Z199-Y199)</f>
        <v>5.7781000000000002</v>
      </c>
      <c r="AB199" s="54" t="e">
        <f>VLOOKUP(A199,Enforcements!$C$7:$K$10,8,0)</f>
        <v>#N/A</v>
      </c>
      <c r="AC199" s="51" t="e">
        <f>VLOOKUP(A199,Enforcements!$C$7:$E$10,3,0)</f>
        <v>#N/A</v>
      </c>
      <c r="AD199" s="179">
        <f>VALUE(LEFT(A199,LEN(A199)-3))</f>
        <v>840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/stypes="app*4019*20171108*" /stext=" 02:.+((SYSTEM_STATE.+slice.+state.+changed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64"/>
        <v>"%USERPROFILE%\Documents\GitHub\eaglep3\Utilities\RefineRTDCRunTimes.py" --tripid 840-07 --locoid 4019 --swversion DE.1.0.9.0 --startMP 300:58615 --initTime 2017-11-07T19:24:46 --startdatetime 2017-11-07T19:43:05 --delay 49 --endMP 204:834 --enddatetime 2017-11-07T19:55:51 --enforcementcount 0 &gt;&gt;%USERPROFILE%\Documents\GitHub\eaglep3-reporting\EC\2017-11-07-refined-times.txt</v>
      </c>
      <c r="AI199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{"issue":{"subject":"","project_id":79,"tracker_id":40,"status_id":1,"priority_id":2,"assigned_to_id":338,"start_date":"2017-11-07","description":"","custom_fields":[{"id":1,"name":"Subdivision","value":"NW"},{"id":4,"name":"Milepost","value":"0.0834"},{"id":17,"name":"Train ID","value":"840-07"},{"id":16,"name":"Locomotive ID","value":"4019"},{"id":130,"name":"Impact","value":""},{"id":150,"name":"Time of Event (Mountain Time)","value":"19:55:51"},{"id":151,"name":"Denver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66"/>
        <v>start /low /b %USERPROFILE%\Documents\GitHub\eaglep3\Utilities\DownloadLogsFromS3.py --loco 4019 --day 2017-11-07</v>
      </c>
      <c r="AN199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68"/>
        <v>https://d0f6bd738d7f1b3e5a7ca70fe4ff75f0.us-east-1.aws.found.io/app/kibana#/discover/Steve-Slow-Train-Analysis-(2080s-and-2083s)?_g=(refreshInterval:(display:Off,pause:!f,section:0,value:0),time:(from:'2017-11-07T18:24:46-0700',mode:absolute,to:'2017-11-07T20:55:51-0700'))&amp;_a=(columns:!('Message%20ID',Summary),filters:!(),index:'emp_*',interval:auto,query:(query_string:(analyze_wildcard:!t,query:'%22rtdc.l.rtdc.4019%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853</v>
      </c>
      <c r="B200" s="7">
        <v>4020</v>
      </c>
      <c r="C200" s="21" t="s">
        <v>192</v>
      </c>
      <c r="D200" s="21" t="s">
        <v>1053</v>
      </c>
      <c r="E200" s="13">
        <v>43046.795798611114</v>
      </c>
      <c r="F200" s="13">
        <v>43046.798344907409</v>
      </c>
      <c r="G200" s="7">
        <v>52</v>
      </c>
      <c r="H200" s="21" t="s">
        <v>622</v>
      </c>
      <c r="I200" s="13">
        <v>43046.807986111111</v>
      </c>
      <c r="J200" s="7">
        <v>0</v>
      </c>
      <c r="K200" s="89" t="str">
        <f>IF(ISEVEN(B200),(B200-1)&amp;"/"&amp;B200,B200&amp;"/"&amp;(B200+1))</f>
        <v>4019/4020</v>
      </c>
      <c r="L200" s="185" t="str">
        <f>VLOOKUP(A200,'Trips&amp;Operators'!$C$1:$G$99911,5,FALSE)</f>
        <v>GUZMAN DANNY</v>
      </c>
      <c r="M200" s="6">
        <f>I200-F200</f>
        <v>9.6412037019035779E-3</v>
      </c>
      <c r="N200" s="7">
        <f>24*60*SUM($M200:$M200)</f>
        <v>13.883333330741152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-07T18:05:57-0700',mode:absolute,to:'2017-11-07T20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0.1079</v>
      </c>
      <c r="Z200" s="204">
        <f>RIGHT(H200,LEN(H200)-4)/10000</f>
        <v>5.8925999999999998</v>
      </c>
      <c r="AA200" s="204">
        <f>ABS(Z200-Y200)</f>
        <v>5.7847</v>
      </c>
      <c r="AB200" s="54" t="e">
        <f>VLOOKUP(A200,Enforcements!$C$7:$K$10,8,0)</f>
        <v>#N/A</v>
      </c>
      <c r="AC200" s="51" t="e">
        <f>VLOOKUP(A200,Enforcements!$C$7:$E$10,3,0)</f>
        <v>#N/A</v>
      </c>
      <c r="AD200" s="179">
        <f>VALUE(LEFT(A200,LEN(A200)-3))</f>
        <v>841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/stypes="app*4020*20171108*" /stext=" 02:.+((SYSTEM_STATE.+slice.+state.+changed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64"/>
        <v>"%USERPROFILE%\Documents\GitHub\eaglep3\Utilities\RefineRTDCRunTimes.py" --tripid 841-07 --locoid 4020 --swversion DE.1.0.9.0 --startMP 204:1079 --initTime 2017-11-07T19:05:57 --startdatetime 2017-11-07T19:09:37 --delay 52 --endMP 300:58926 --enddatetime 2017-11-07T19:23:30 --enforcementcount 0 &gt;&gt;%USERPROFILE%\Documents\GitHub\eaglep3-reporting\EC\2017-11-07-refined-times.txt</v>
      </c>
      <c r="AI200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{"issue":{"subject":"","project_id":79,"tracker_id":40,"status_id":1,"priority_id":2,"assigned_to_id":338,"start_date":"2017-11-07","description":"","custom_fields":[{"id":1,"name":"Subdivision","value":"NW"},{"id":4,"name":"Milepost","value":"5.8926"},{"id":17,"name":"Train ID","value":"841-07"},{"id":16,"name":"Locomotive ID","value":"4020"},{"id":130,"name":"Impact","value":""},{"id":150,"name":"Time of Event (Mountain Time)","value":"19:23:30"},{"id":151,"name":"Denver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66"/>
        <v>start /low /b %USERPROFILE%\Documents\GitHub\eaglep3\Utilities\DownloadLogsFromS3.py --loco 4020 --day 2017-11-07</v>
      </c>
      <c r="AN200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68"/>
        <v>https://d0f6bd738d7f1b3e5a7ca70fe4ff75f0.us-east-1.aws.found.io/app/kibana#/discover/Steve-Slow-Train-Analysis-(2080s-and-2083s)?_g=(refreshInterval:(display:Off,pause:!f,section:0,value:0),time:(from:'2017-11-07T18:05:57-0700',mode:absolute,to:'2017-11-07T20:23:30-0700'))&amp;_a=(columns:!('Message%20ID',Summary),filters:!(),index:'emp_*',interval:auto,query:(query_string:(analyze_wildcard:!t,query:'%22rtdc.l.rtdc.4020%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866</v>
      </c>
      <c r="B201" s="7">
        <v>4019</v>
      </c>
      <c r="C201" s="21" t="s">
        <v>192</v>
      </c>
      <c r="D201" s="21" t="s">
        <v>1029</v>
      </c>
      <c r="E201" s="13">
        <v>43046.851064814815</v>
      </c>
      <c r="F201" s="13">
        <v>43046.863263888888</v>
      </c>
      <c r="G201" s="7">
        <v>93</v>
      </c>
      <c r="H201" s="21" t="s">
        <v>1054</v>
      </c>
      <c r="I201" s="13">
        <v>43046.871516203704</v>
      </c>
      <c r="J201" s="7">
        <v>0</v>
      </c>
      <c r="K201" s="89" t="str">
        <f>IF(ISEVEN(B201),(B201-1)&amp;"/"&amp;B201,B201&amp;"/"&amp;(B201+1))</f>
        <v>4019/4020</v>
      </c>
      <c r="L201" s="185" t="str">
        <f>VLOOKUP(A201,'Trips&amp;Operators'!$C$1:$G$99911,5,FALSE)</f>
        <v>ZEWDU DEREJE</v>
      </c>
      <c r="M201" s="6">
        <f>I201-F201</f>
        <v>8.2523148157633841E-3</v>
      </c>
      <c r="N201" s="7">
        <f>24*60*SUM($M201:$M201)</f>
        <v>11.883333334699273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-07T19:25:32-0700',mode:absolute,to:'2017-11-07T21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5.8659999999999997</v>
      </c>
      <c r="Z201" s="204">
        <f>RIGHT(H201,LEN(H201)-4)/10000</f>
        <v>7.2599999999999998E-2</v>
      </c>
      <c r="AA201" s="204">
        <f>ABS(Z201-Y201)</f>
        <v>5.7934000000000001</v>
      </c>
      <c r="AB201" s="54" t="e">
        <f>VLOOKUP(A201,Enforcements!$C$7:$K$10,8,0)</f>
        <v>#N/A</v>
      </c>
      <c r="AC201" s="51" t="e">
        <f>VLOOKUP(A201,Enforcements!$C$7:$E$10,3,0)</f>
        <v>#N/A</v>
      </c>
      <c r="AD201" s="179">
        <f>VALUE(LEFT(A201,LEN(A201)-3))</f>
        <v>842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/stypes="app*4019*20171108*" /stext=" 03:.+((SYSTEM_STATE.+slice.+state.+changed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64"/>
        <v>"%USERPROFILE%\Documents\GitHub\eaglep3\Utilities\RefineRTDCRunTimes.py" --tripid 842-07 --locoid 4019 --swversion DE.1.0.9.0 --startMP 300:58660 --initTime 2017-11-07T20:25:32 --startdatetime 2017-11-07T20:43:06 --delay 93 --endMP 204:726 --enddatetime 2017-11-07T20:54:59 --enforcementcount 0 &gt;&gt;%USERPROFILE%\Documents\GitHub\eaglep3-reporting\EC\2017-11-07-refined-times.txt</v>
      </c>
      <c r="AI201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{"issue":{"subject":"","project_id":79,"tracker_id":40,"status_id":1,"priority_id":2,"assigned_to_id":338,"start_date":"2017-11-07","description":"","custom_fields":[{"id":1,"name":"Subdivision","value":"NW"},{"id":4,"name":"Milepost","value":"0.0726"},{"id":17,"name":"Train ID","value":"842-07"},{"id":16,"name":"Locomotive ID","value":"4019"},{"id":130,"name":"Impact","value":""},{"id":150,"name":"Time of Event (Mountain Time)","value":"20:54:59"},{"id":151,"name":"Denver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66"/>
        <v>start /low /b %USERPROFILE%\Documents\GitHub\eaglep3\Utilities\DownloadLogsFromS3.py --loco 4019 --day 2017-11-07</v>
      </c>
      <c r="AN201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68"/>
        <v>https://d0f6bd738d7f1b3e5a7ca70fe4ff75f0.us-east-1.aws.found.io/app/kibana#/discover/Steve-Slow-Train-Analysis-(2080s-and-2083s)?_g=(refreshInterval:(display:Off,pause:!f,section:0,value:0),time:(from:'2017-11-07T19:25:32-0700',mode:absolute,to:'2017-11-07T21:54:59-0700'))&amp;_a=(columns:!('Message%20ID',Summary),filters:!(),index:'emp_*',interval:auto,query:(query_string:(analyze_wildcard:!t,query:'%22rtdc.l.rtdc.4019%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861</v>
      </c>
      <c r="B202" s="7">
        <v>4020</v>
      </c>
      <c r="C202" s="21" t="s">
        <v>192</v>
      </c>
      <c r="D202" s="21" t="s">
        <v>1029</v>
      </c>
      <c r="E202" s="13">
        <v>43046.851064814815</v>
      </c>
      <c r="F202" s="13">
        <v>43046.839988425927</v>
      </c>
      <c r="G202" s="7">
        <v>93</v>
      </c>
      <c r="H202" s="21" t="s">
        <v>1054</v>
      </c>
      <c r="I202" s="13">
        <v>43046.849791666667</v>
      </c>
      <c r="J202" s="7">
        <v>0</v>
      </c>
      <c r="K202" s="89" t="str">
        <f>IF(ISEVEN(B202),(B202-1)&amp;"/"&amp;B202,B202&amp;"/"&amp;(B202+1))</f>
        <v>4019/4020</v>
      </c>
      <c r="L202" s="185" t="str">
        <f>VLOOKUP(A202,'Trips&amp;Operators'!$C$1:$G$99911,5,FALSE)</f>
        <v>ZEWDU DEREJE</v>
      </c>
      <c r="M202" s="6">
        <f>I202-F202</f>
        <v>9.8032407404389232E-3</v>
      </c>
      <c r="N202" s="7">
        <f>24*60*SUM($M202:$M202)</f>
        <v>14.116666666232049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-07T19:25:32-0700',mode:absolute,to:'2017-11-07T21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v>0.1079</v>
      </c>
      <c r="Z202" s="204">
        <v>5.8925999999999998</v>
      </c>
      <c r="AA202" s="204">
        <f>ABS(Z202-Y202)</f>
        <v>5.7847</v>
      </c>
      <c r="AB202" s="54" t="e">
        <f>VLOOKUP(A202,Enforcements!$C$7:$K$10,8,0)</f>
        <v>#N/A</v>
      </c>
      <c r="AC202" s="51" t="e">
        <f>VLOOKUP(A202,Enforcements!$C$7:$E$10,3,0)</f>
        <v>#N/A</v>
      </c>
      <c r="AD202" s="179">
        <f>VALUE(LEFT(A202,LEN(A202)-3))</f>
        <v>843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/stypes="app*4020*20171108*" /stext=" 03:.+((SYSTEM_STATE.+slice.+state.+changed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ref="AH202" si="98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843-07 --locoid 4020 --swversion DE.1.0.9.0 --startMP 300:58660 --initTime 2017-11-07T20:25:32 --startdatetime 2017-11-07T20:09:35 --delay 93 --endMP 204:726 --enddatetime 2017-11-07T20:23:42 --enforcementcount 0 &gt;&gt;%USERPROFILE%\Documents\GitHub\eaglep3-reporting\EC\2017-11-07-refined-times.txt</v>
      </c>
      <c r="AI202" s="96" t="str">
        <f t="shared" ref="AI202" si="99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{"issue":{"subject":"","project_id":79,"tracker_id":40,"status_id":1,"priority_id":2,"assigned_to_id":338,"start_date":"2017-11-07","description":"","custom_fields":[{"id":1,"name":"Subdivision","value":"NW"},{"id":4,"name":"Milepost","value":"5.8926"},{"id":17,"name":"Train ID","value":"843-07"},{"id":16,"name":"Locomotive ID","value":"4020"},{"id":130,"name":"Impact","value":""},{"id":150,"name":"Time of Event (Mountain Time)","value":"20:23:42"},{"id":151,"name":"Denver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ref="AM202" si="100">"start /low /b "&amp;dls3logs&amp;" --loco "&amp;B202&amp;" --day "&amp;TEXT(F202,"YYYY-MM-DD")</f>
        <v>start /low /b %USERPROFILE%\Documents\GitHub\eaglep3\Utilities\DownloadLogsFromS3.py --loco 4020 --day 2017-11-07</v>
      </c>
      <c r="AN202" s="151" t="str">
        <f t="shared" ref="AN202" si="101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03:23:42"},{"id":29,"name":"Sharepoint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ref="AO202" si="102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Message%20ID',Summary),filters:!(),index:'emp_*',interval:auto,query:"&amp;"(query_string:(analyze_wildcard:!t,query:'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-07T19:25:32-0700',mode:absolute,to:'2017-11-07T21:23:42-0700'))&amp;_a=(columns:!('Message%20ID',Summary),filters:!(),index:'emp_*',interval:auto,query:(query_string:(analyze_wildcard:!t,query:'%22rtdc.l.rtdc.4020%22')),sort:!(Time.ISO8601,asc))</v>
      </c>
    </row>
    <row r="203" spans="1:91" s="20" customFormat="1" x14ac:dyDescent="0.3">
      <c r="A203" s="32" t="s">
        <v>667</v>
      </c>
      <c r="B203" s="7">
        <v>4019</v>
      </c>
      <c r="C203" s="21" t="s">
        <v>192</v>
      </c>
      <c r="D203" s="21" t="s">
        <v>1023</v>
      </c>
      <c r="E203" s="13">
        <v>43046.89162037037</v>
      </c>
      <c r="F203" s="13">
        <v>43046.904988425929</v>
      </c>
      <c r="G203" s="7">
        <v>60</v>
      </c>
      <c r="H203" s="21" t="s">
        <v>634</v>
      </c>
      <c r="I203" s="13">
        <v>43046.91333333333</v>
      </c>
      <c r="J203" s="7">
        <v>0</v>
      </c>
      <c r="K203" s="89" t="str">
        <f>IF(ISEVEN(B203),(B203-1)&amp;"/"&amp;B203,B203&amp;"/"&amp;(B203+1))</f>
        <v>4019/4020</v>
      </c>
      <c r="L203" s="185" t="str">
        <f>VLOOKUP(A203,'Trips&amp;Operators'!$C$1:$G$99911,5,FALSE)</f>
        <v>STAMBAUGH JAMES</v>
      </c>
      <c r="M203" s="6">
        <f>I203-F203</f>
        <v>8.3449074008967727E-3</v>
      </c>
      <c r="N203" s="7">
        <f>24*60*SUM($M203:$M203)</f>
        <v>12.016666657291353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-07T20:23:56-0700',mode:absolute,to:'2017-11-07T22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204" t="str">
        <f>IF(AA203&lt;VLOOKUP(AG203,Variables!$AC$3:$AD$8,2,FALSE),"Y","N")</f>
        <v>N</v>
      </c>
      <c r="X203" s="204">
        <f t="shared" ref="X203:X204" si="103">VALUE(LEFT(AD203,4))-VALUE(LEFT(AD202,4))</f>
        <v>1</v>
      </c>
      <c r="Y203" s="204">
        <f>RIGHT(D203,LEN(D203)-4)/10000</f>
        <v>5.8638000000000003</v>
      </c>
      <c r="Z203" s="204">
        <f>RIGHT(H203,LEN(H203)-4)/10000</f>
        <v>7.0300000000000001E-2</v>
      </c>
      <c r="AA203" s="204">
        <f>ABS(Z203-Y203)</f>
        <v>5.7935000000000008</v>
      </c>
      <c r="AB203" s="54" t="e">
        <f>VLOOKUP(A203,Enforcements!$C$7:$K$10,8,0)</f>
        <v>#N/A</v>
      </c>
      <c r="AC203" s="51" t="e">
        <f>VLOOKUP(A203,Enforcements!$C$7:$E$10,3,0)</f>
        <v>#N/A</v>
      </c>
      <c r="AD203" s="179">
        <f>VALUE(LEFT(A203,LEN(A203)-3))</f>
        <v>844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/stypes="app*4019*20171108*" /stext=" 04:.+((SYSTEM_STATE.+slice.+state.+changed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64"/>
        <v>"%USERPROFILE%\Documents\GitHub\eaglep3\Utilities\RefineRTDCRunTimes.py" --tripid 844-07 --locoid 4019 --swversion DE.1.0.9.0 --startMP 300:58638 --initTime 2017-11-07T21:23:56 --startdatetime 2017-11-07T21:43:11 --delay 60 --endMP 204:703 --enddatetime 2017-11-07T21:55:12 --enforcementcount 0 &gt;&gt;%USERPROFILE%\Documents\GitHub\eaglep3-reporting\EC\2017-11-07-refined-times.txt</v>
      </c>
      <c r="AI203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{"issue":{"subject":"","project_id":79,"tracker_id":40,"status_id":1,"priority_id":2,"assigned_to_id":338,"start_date":"2017-11-07","description":"","custom_fields":[{"id":1,"name":"Subdivision","value":"NW"},{"id":4,"name":"Milepost","value":"0.0703"},{"id":17,"name":"Train ID","value":"844-07"},{"id":16,"name":"Locomotive ID","value":"4019"},{"id":130,"name":"Impact","value":""},{"id":150,"name":"Time of Event (Mountain Time)","value":"21:55:12"},{"id":151,"name":"Denver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66"/>
        <v>start /low /b %USERPROFILE%\Documents\GitHub\eaglep3\Utilities\DownloadLogsFromS3.py --loco 4019 --day 2017-11-07</v>
      </c>
      <c r="AN203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04:55:12"},{"id":29,"name":"Sharepoint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68"/>
        <v>https://d0f6bd738d7f1b3e5a7ca70fe4ff75f0.us-east-1.aws.found.io/app/kibana#/discover/Steve-Slow-Train-Analysis-(2080s-and-2083s)?_g=(refreshInterval:(display:Off,pause:!f,section:0,value:0),time:(from:'2017-11-07T20:23:56-0700',mode:absolute,to:'2017-11-07T22:55:12-0700'))&amp;_a=(columns:!('Message%20ID',Summary),filters:!(),index:'emp_*',interval:auto,query:(query_string:(analyze_wildcard:!t,query:'%22rtdc.l.rtdc.4019%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666</v>
      </c>
      <c r="B204" s="7">
        <v>4020</v>
      </c>
      <c r="C204" s="21" t="s">
        <v>192</v>
      </c>
      <c r="D204" s="21" t="s">
        <v>1055</v>
      </c>
      <c r="E204" s="13">
        <v>43046.877754629626</v>
      </c>
      <c r="F204" s="13">
        <v>43046.881539351853</v>
      </c>
      <c r="G204" s="7">
        <v>107</v>
      </c>
      <c r="H204" s="21" t="s">
        <v>1056</v>
      </c>
      <c r="I204" s="13">
        <v>43046.890532407408</v>
      </c>
      <c r="J204" s="7">
        <v>0</v>
      </c>
      <c r="K204" s="89" t="str">
        <f>IF(ISEVEN(B204),(B204-1)&amp;"/"&amp;B204,B204&amp;"/"&amp;(B204+1))</f>
        <v>4019/4020</v>
      </c>
      <c r="L204" s="185" t="str">
        <f>VLOOKUP(A204,'Trips&amp;Operators'!$C$1:$G$99911,5,FALSE)</f>
        <v>STAMBAUGH JAMES</v>
      </c>
      <c r="M204" s="6">
        <f>I204-F204</f>
        <v>8.9930555550381541E-3</v>
      </c>
      <c r="N204" s="7">
        <f>24*60*SUM($M204:$M204)</f>
        <v>12.949999999254942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-07T20:03:58-0700',mode:absolute,to:'2017-11-07T22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204" t="str">
        <f>IF(AA204&lt;VLOOKUP(AG204,Variables!$AC$3:$AD$8,2,FALSE),"Y","N")</f>
        <v>N</v>
      </c>
      <c r="X204" s="204">
        <f t="shared" si="103"/>
        <v>1</v>
      </c>
      <c r="Y204" s="204">
        <f>RIGHT(D204,LEN(D204)-4)/10000</f>
        <v>0.10249999999999999</v>
      </c>
      <c r="Z204" s="204">
        <f>RIGHT(H204,LEN(H204)-4)/10000</f>
        <v>5.8956</v>
      </c>
      <c r="AA204" s="204">
        <f>ABS(Z204-Y204)</f>
        <v>5.7930999999999999</v>
      </c>
      <c r="AB204" s="54" t="e">
        <f>VLOOKUP(A204,Enforcements!$C$7:$K$10,8,0)</f>
        <v>#N/A</v>
      </c>
      <c r="AC204" s="51" t="e">
        <f>VLOOKUP(A204,Enforcements!$C$7:$E$10,3,0)</f>
        <v>#N/A</v>
      </c>
      <c r="AD204" s="179">
        <f>VALUE(LEFT(A204,LEN(A204)-3))</f>
        <v>845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/stypes="app*4020*20171108*" /stext=" 04:.+((SYSTEM_STATE.+slice.+state.+changed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64"/>
        <v>"%USERPROFILE%\Documents\GitHub\eaglep3\Utilities\RefineRTDCRunTimes.py" --tripid 845-07 --locoid 4020 --swversion DE.1.0.9.0 --startMP 204:1025 --initTime 2017-11-07T21:03:58 --startdatetime 2017-11-07T21:09:25 --delay 107 --endMP 300:58956 --enddatetime 2017-11-07T21:22:22 --enforcementcount 0 &gt;&gt;%USERPROFILE%\Documents\GitHub\eaglep3-reporting\EC\2017-11-07-refined-times.txt</v>
      </c>
      <c r="AI204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{"issue":{"subject":"","project_id":79,"tracker_id":40,"status_id":1,"priority_id":2,"assigned_to_id":338,"start_date":"2017-11-07","description":"","custom_fields":[{"id":1,"name":"Subdivision","value":"NW"},{"id":4,"name":"Milepost","value":"5.8956"},{"id":17,"name":"Train ID","value":"845-07"},{"id":16,"name":"Locomotive ID","value":"4020"},{"id":130,"name":"Impact","value":""},{"id":150,"name":"Time of Event (Mountain Time)","value":"21:22:22"},{"id":151,"name":"Denver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66"/>
        <v>start /low /b %USERPROFILE%\Documents\GitHub\eaglep3\Utilities\DownloadLogsFromS3.py --loco 4020 --day 2017-11-07</v>
      </c>
      <c r="AN204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04:22:22"},{"id":29,"name":"Sharepoint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68"/>
        <v>https://d0f6bd738d7f1b3e5a7ca70fe4ff75f0.us-east-1.aws.found.io/app/kibana#/discover/Steve-Slow-Train-Analysis-(2080s-and-2083s)?_g=(refreshInterval:(display:Off,pause:!f,section:0,value:0),time:(from:'2017-11-07T20:03:58-0700',mode:absolute,to:'2017-11-07T22:22:22-0700'))&amp;_a=(columns:!('Message%20ID',Summary),filters:!(),index:'emp_*',interval:auto,query:(query_string:(analyze_wildcard:!t,query:'%22rtdc.l.rtdc.4020%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874</v>
      </c>
      <c r="B205" s="7">
        <v>4019</v>
      </c>
      <c r="C205" s="21" t="s">
        <v>192</v>
      </c>
      <c r="D205" s="21" t="s">
        <v>624</v>
      </c>
      <c r="E205" s="13">
        <v>43046.933483796296</v>
      </c>
      <c r="F205" s="13">
        <v>43046.946597222224</v>
      </c>
      <c r="G205" s="7">
        <v>59</v>
      </c>
      <c r="H205" s="21" t="s">
        <v>1057</v>
      </c>
      <c r="I205" s="13">
        <v>43046.954479166663</v>
      </c>
      <c r="J205" s="7">
        <v>0</v>
      </c>
      <c r="K205" s="89" t="str">
        <f>IF(ISEVEN(B205),(B205-1)&amp;"/"&amp;B205,B205&amp;"/"&amp;(B205+1))</f>
        <v>4019/4020</v>
      </c>
      <c r="L205" s="185" t="str">
        <f>VLOOKUP(A205,'Trips&amp;Operators'!$C$1:$G$99911,5,FALSE)</f>
        <v>STAMBAUGH JAMES</v>
      </c>
      <c r="M205" s="6">
        <f>I205-F205</f>
        <v>7.8819444388500415E-3</v>
      </c>
      <c r="N205" s="7">
        <f>24*60*SUM($M205:$M205)</f>
        <v>11.34999999194406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-07T21:24:13-0700',mode:absolute,to:'2017-11-07T23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5.8623000000000003</v>
      </c>
      <c r="Z205" s="204">
        <f>RIGHT(H205,LEN(H205)-4)/10000</f>
        <v>6.8000000000000005E-2</v>
      </c>
      <c r="AA205" s="204">
        <f>ABS(Z205-Y205)</f>
        <v>5.7943000000000007</v>
      </c>
      <c r="AB205" s="54" t="e">
        <f>VLOOKUP(A205,Enforcements!$C$7:$K$10,8,0)</f>
        <v>#N/A</v>
      </c>
      <c r="AC205" s="51" t="e">
        <f>VLOOKUP(A205,Enforcements!$C$7:$E$10,3,0)</f>
        <v>#N/A</v>
      </c>
      <c r="AD205" s="179">
        <f>VALUE(LEFT(A205,LEN(A205)-3))</f>
        <v>846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/stypes="app*4019*20171108*" /stext=" 05:.+((SYSTEM_STATE.+slice.+state.+changed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64"/>
        <v>"%USERPROFILE%\Documents\GitHub\eaglep3\Utilities\RefineRTDCRunTimes.py" --tripid 846-07 --locoid 4019 --swversion DE.1.0.9.0 --startMP 300:58623 --initTime 2017-11-07T22:24:13 --startdatetime 2017-11-07T22:43:06 --delay 59 --endMP 204:680 --enddatetime 2017-11-07T22:54:27 --enforcementcount 0 &gt;&gt;%USERPROFILE%\Documents\GitHub\eaglep3-reporting\EC\2017-11-07-refined-times.txt</v>
      </c>
      <c r="AI205" s="96" t="str">
        <f t="shared" si="65"/>
        <v>echo {"issue":{"subject":"","project_id":79,"tracker_id":40,"status_id":1,"priority_id":2,"assigned_to_id":338,"start_date":"2017-11-07","description":"","custom_fields":[{"id":1,"name":"Subdivision","value":"NW"},{"id":4,"name":"Milepost","value":"0.068"},{"id":17,"name":"Train ID","value":"846-07"},{"id":16,"name":"Locomotive ID","value":"4019"},{"id":130,"name":"Impact","value":""},{"id":150,"name":"Time of Event (Mountain Time)","value":"22:54:27"},{"id":151,"name":"Denver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66"/>
        <v>start /low /b %USERPROFILE%\Documents\GitHub\eaglep3\Utilities\DownloadLogsFromS3.py --loco 4019 --day 2017-11-07</v>
      </c>
      <c r="AN205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05:54:27"},{"id":29,"name":"Sharepoint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68"/>
        <v>https://d0f6bd738d7f1b3e5a7ca70fe4ff75f0.us-east-1.aws.found.io/app/kibana#/discover/Steve-Slow-Train-Analysis-(2080s-and-2083s)?_g=(refreshInterval:(display:Off,pause:!f,section:0,value:0),time:(from:'2017-11-07T21:24:13-0700',mode:absolute,to:'2017-11-07T23:54:27-0700'))&amp;_a=(columns:!('Message%20ID',Summary),filters:!(),index:'emp_*',interval:auto,query:(query_string:(analyze_wildcard:!t,query:'%22rtdc.l.rtdc.4019%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668</v>
      </c>
      <c r="B206" s="7">
        <v>4020</v>
      </c>
      <c r="C206" s="21" t="s">
        <v>192</v>
      </c>
      <c r="D206" s="21" t="s">
        <v>624</v>
      </c>
      <c r="E206" s="13">
        <v>43046.933483796296</v>
      </c>
      <c r="F206" s="13">
        <v>43046.923414351855</v>
      </c>
      <c r="G206" s="7">
        <v>59</v>
      </c>
      <c r="H206" s="21" t="s">
        <v>1057</v>
      </c>
      <c r="I206" s="13">
        <v>43046.93273148148</v>
      </c>
      <c r="J206" s="7">
        <v>0</v>
      </c>
      <c r="K206" s="89" t="str">
        <f>IF(ISEVEN(B206),(B206-1)&amp;"/"&amp;B206,B206&amp;"/"&amp;(B206+1))</f>
        <v>4019/4020</v>
      </c>
      <c r="L206" s="185" t="str">
        <f>VLOOKUP(A206,'Trips&amp;Operators'!$C$1:$G$99911,5,FALSE)</f>
        <v>STAMBAUGH JAMES</v>
      </c>
      <c r="M206" s="6">
        <f>I206-F206</f>
        <v>9.3171296248328872E-3</v>
      </c>
      <c r="N206" s="7">
        <f>24*60*SUM($M206:$M206)</f>
        <v>13.416666659759358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-07T21:24:13-0700',mode:absolute,to:'2017-11-07T23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v>0.10249999999999999</v>
      </c>
      <c r="Z206" s="204">
        <v>5.8956</v>
      </c>
      <c r="AA206" s="204">
        <f>ABS(Z206-Y206)</f>
        <v>5.7930999999999999</v>
      </c>
      <c r="AB206" s="54" t="e">
        <f>VLOOKUP(A206,Enforcements!$C$7:$K$10,8,0)</f>
        <v>#N/A</v>
      </c>
      <c r="AC206" s="51" t="e">
        <f>VLOOKUP(A206,Enforcements!$C$7:$E$10,3,0)</f>
        <v>#N/A</v>
      </c>
      <c r="AD206" s="179">
        <f>VALUE(LEFT(A206,LEN(A206)-3))</f>
        <v>847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/stypes="app*4020*20171108*" /stext=" 05:.+((SYSTEM_STATE.+slice.+state.+changed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ref="AH206" si="10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847-07 --locoid 4020 --swversion DE.1.0.9.0 --startMP 300:58623 --initTime 2017-11-07T22:24:13 --startdatetime 2017-11-07T22:09:43 --delay 59 --endMP 204:680 --enddatetime 2017-11-07T22:23:08 --enforcementcount 0 &gt;&gt;%USERPROFILE%\Documents\GitHub\eaglep3-reporting\EC\2017-11-07-refined-times.txt</v>
      </c>
      <c r="AI206" s="96" t="str">
        <f t="shared" ref="AI206" si="10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{"issue":{"subject":"","project_id":79,"tracker_id":40,"status_id":1,"priority_id":2,"assigned_to_id":338,"start_date":"2017-11-07","description":"","custom_fields":[{"id":1,"name":"Subdivision","value":"NW"},{"id":4,"name":"Milepost","value":"5.8956"},{"id":17,"name":"Train ID","value":"847-07"},{"id":16,"name":"Locomotive ID","value":"4020"},{"id":130,"name":"Impact","value":""},{"id":150,"name":"Time of Event (Mountain Time)","value":"22:23:08"},{"id":151,"name":"Denver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ref="AM206" si="106">"start /low /b "&amp;dls3logs&amp;" --loco "&amp;B206&amp;" --day "&amp;TEXT(F206,"YYYY-MM-DD")</f>
        <v>start /low /b %USERPROFILE%\Documents\GitHub\eaglep3\Utilities\DownloadLogsFromS3.py --loco 4020 --day 2017-11-07</v>
      </c>
      <c r="AN206" s="151" t="str">
        <f t="shared" ref="AN206" si="107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05:23:08"},{"id":29,"name":"Sharepoint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ref="AO206" si="108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-07T21:24:13-0700',mode:absolute,to:'2017-11-07T23:23:08-0700'))&amp;_a=(columns:!('Message%20ID',Summary),filters:!(),index:'emp_*',interval:auto,query:(query_string:(analyze_wildcard:!t,query:'%22rtdc.l.rtdc.4020%22')),sort:!(Time.ISO8601,asc))</v>
      </c>
    </row>
    <row r="207" spans="1:91" s="20" customFormat="1" x14ac:dyDescent="0.3">
      <c r="A207" s="32" t="s">
        <v>878</v>
      </c>
      <c r="B207" s="7">
        <v>4020</v>
      </c>
      <c r="C207" s="21" t="s">
        <v>192</v>
      </c>
      <c r="D207" s="21" t="s">
        <v>1058</v>
      </c>
      <c r="E207" s="13">
        <v>43046.958391203705</v>
      </c>
      <c r="F207" s="13">
        <v>43046.966828703706</v>
      </c>
      <c r="G207" s="7">
        <v>98</v>
      </c>
      <c r="H207" s="21" t="s">
        <v>637</v>
      </c>
      <c r="I207" s="13">
        <v>43046.976655092592</v>
      </c>
      <c r="J207" s="7">
        <v>0</v>
      </c>
      <c r="K207" s="89" t="str">
        <f>IF(ISEVEN(B207),(B207-1)&amp;"/"&amp;B207,B207&amp;"/"&amp;(B207+1))</f>
        <v>4019/4020</v>
      </c>
      <c r="L207" s="185" t="str">
        <f>VLOOKUP(A207,'Trips&amp;Operators'!$C$1:$G$99911,5,FALSE)</f>
        <v>ZEWDU DEREJE</v>
      </c>
      <c r="M207" s="6">
        <f>I207-F207</f>
        <v>9.8263888867222704E-3</v>
      </c>
      <c r="N207" s="7">
        <f>24*60*SUM($M207:$M207)</f>
        <v>14.149999996880069</v>
      </c>
      <c r="O207" s="7"/>
      <c r="P207" s="7"/>
      <c r="Q207" s="22"/>
      <c r="R207" s="174" t="s">
        <v>641</v>
      </c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-07T22:00:05-0700',mode:absolute,to:'2017-11-08T00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204" t="str">
        <f>IF(AA207&lt;VLOOKUP(AG207,Variables!$AC$3:$AD$8,2,FALSE),"Y","N")</f>
        <v>N</v>
      </c>
      <c r="X207" s="204">
        <f>VALUE(LEFT(AD207,4))-VALUE(LEFT(AD206,4))</f>
        <v>2</v>
      </c>
      <c r="Y207" s="204">
        <v>0.16300000000000001</v>
      </c>
      <c r="Z207" s="204">
        <v>5.8986000000000001</v>
      </c>
      <c r="AA207" s="204">
        <f>ABS(Z207-Y207)</f>
        <v>5.7355999999999998</v>
      </c>
      <c r="AB207" s="54" t="e">
        <f>VLOOKUP(A207,Enforcements!$C$7:$K$10,8,0)</f>
        <v>#N/A</v>
      </c>
      <c r="AC207" s="51" t="e">
        <f>VLOOKUP(A207,Enforcements!$C$7:$E$10,3,0)</f>
        <v>#N/A</v>
      </c>
      <c r="AD207" s="179">
        <f>VALUE(LEFT(A207,LEN(A207)-3))</f>
        <v>849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/stypes="app*4020*20171108*" /stext=" 06:.+((SYSTEM_STATE.+slice.+state.+changed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si="64"/>
        <v>"%USERPROFILE%\Documents\GitHub\eaglep3\Utilities\RefineRTDCRunTimes.py" --tripid 849-07 --locoid 4020 --swversion DE.1.0.9.0 --startMP 204:985 --initTime 2017-11-07T23:00:05 --startdatetime 2017-11-07T23:12:14 --delay 98 --endMP 204:971 --enddatetime 2017-11-07T23:26:23 --enforcementcount 0 &gt;&gt;%USERPROFILE%\Documents\GitHub\eaglep3-reporting\EC\2017-11-07-refined-times.txt</v>
      </c>
      <c r="AI207" s="96" t="str">
        <f t="shared" si="65"/>
        <v>echo {"issue":{"subject":"Observed poor GPS at DUS, no PTC issues","project_id":79,"tracker_id":40,"status_id":1,"priority_id":2,"assigned_to_id":338,"start_date":"2017-11-07","description":"","custom_fields":[{"id":1,"name":"Subdivision","value":"NW"},{"id":4,"name":"Milepost","value":"5.8986"},{"id":17,"name":"Train ID","value":"849-07"},{"id":16,"name":"Locomotive ID","value":"4020"},{"id":130,"name":"Impact","value":""},{"id":150,"name":"Time of Event (Mountain Time)","value":"23:26:23"},{"id":151,"name":"Denver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66"/>
        <v>start /low /b %USERPROFILE%\Documents\GitHub\eaglep3\Utilities\DownloadLogsFromS3.py --loco 4020 --day 2017-11-07</v>
      </c>
      <c r="AN207" s="151" t="str">
        <f t="shared" si="67"/>
        <v>echo {"issue":{"subject":"Observed poor GPS at DUS, no PTC issues","project_id":30,"tracker_id":4,"status_id":1,"priority_id":1,"assigned_to_id":10,"start_date":"2017-11-08","description":"","custom_fields":[{"id":30,"name":"Category","value":"Issue"},{"id":3,"name":"Functional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06:26:23"},{"id":29,"name":"Sharepoint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68"/>
        <v>https://d0f6bd738d7f1b3e5a7ca70fe4ff75f0.us-east-1.aws.found.io/app/kibana#/discover/Steve-Slow-Train-Analysis-(2080s-and-2083s)?_g=(refreshInterval:(display:Off,pause:!f,section:0,value:0),time:(from:'2017-11-07T22:00:05-0700',mode:absolute,to:'2017-11-08T00:26:23-0700'))&amp;_a=(columns:!('Message%20ID',Summary),filters:!(),index:'emp_*',interval:auto,query:(query_string:(analyze_wildcard:!t,query:'%22rtdc.l.rtdc.4020%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848</v>
      </c>
      <c r="B208" s="7">
        <v>4026</v>
      </c>
      <c r="C208" s="21" t="s">
        <v>192</v>
      </c>
      <c r="D208" s="21" t="s">
        <v>908</v>
      </c>
      <c r="E208" s="13">
        <v>43046.777060185188</v>
      </c>
      <c r="F208" s="13">
        <v>43046.778680555559</v>
      </c>
      <c r="G208" s="7">
        <v>59</v>
      </c>
      <c r="H208" s="21" t="s">
        <v>615</v>
      </c>
      <c r="I208" s="13">
        <v>43046.785914351851</v>
      </c>
      <c r="J208" s="7">
        <v>0</v>
      </c>
      <c r="K208" s="89" t="str">
        <f>IF(ISEVEN(B208),(B208-1)&amp;"/"&amp;B208,B208&amp;"/"&amp;(B208+1))</f>
        <v>4025/4026</v>
      </c>
      <c r="L208" s="185" t="str">
        <f>VLOOKUP(A208,'Trips&amp;Operators'!$C$1:$G$99911,5,FALSE)</f>
        <v>LEVIN SCOTT</v>
      </c>
      <c r="M208" s="6">
        <f>I208-F208</f>
        <v>7.2337962919846177E-3</v>
      </c>
      <c r="N208" s="7">
        <f>24*60*SUM($M208:$M208)</f>
        <v>10.41666666045785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-07T17:38:58-0700',mode:absolute,to:'2017-11-07T19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-548</v>
      </c>
      <c r="Y208" s="204">
        <f>RIGHT(D208,LEN(D208)-4)/10000</f>
        <v>4.8599999999999997E-2</v>
      </c>
      <c r="Z208" s="204">
        <f>RIGHT(H208,LEN(H208)-4)/10000</f>
        <v>2.3306</v>
      </c>
      <c r="AA208" s="204">
        <f>ABS(Z208-Y208)</f>
        <v>2.282</v>
      </c>
      <c r="AB208" s="54" t="e">
        <f>VLOOKUP(A208,Enforcements!$C$7:$K$10,8,0)</f>
        <v>#N/A</v>
      </c>
      <c r="AC208" s="51" t="e">
        <f>VLOOKUP(A208,Enforcements!$C$7:$E$10,3,0)</f>
        <v>#N/A</v>
      </c>
      <c r="AD208" s="179">
        <f>VALUE(LEFT(A208,LEN(A208)-3))</f>
        <v>301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s3://rtdc.mdm.uploadarchive.raw/RTDC4026/ "%USERPROFILE%\AppData\Local\Temp\OnboardLogs"\RTDC4026\2017-11-07 --exclude "*" --recursive --include "*20171107*" &amp; "%USERPROFILE%\Documents\GitHub\mrs-test-scripts\Headless Mode &amp; Sideloading\WalkAndUnGZ.bat" "%USERPROFILE%\AppData\Local\Temp\OnboardLogs"\RTDC4026\2017-11-07 &amp; aws s3 cp s3://rtdc.mdm.uploadarchive.raw/RTDC4026/ "%USERPROFILE%\AppData\Local\Temp\OnboardLogs"\RTDC4026\2017-11-08 --exclude "*" --recursive --include "*20171108*" &amp; "%USERPROFILE%\Documents\GitHub\mrs-test-scripts\Headless Mode &amp; Sideloading\WalkAndUnGZ.bat" "%USERPROFILE%\AppData\Local\Temp\OnboardLogs"\RTDC4026\2017-11-08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/stypes="app*4026*20171108*" /stext=" 01:.+((SYSTEM_STATE.+slice.+state.+changed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64"/>
        <v>"%USERPROFILE%\Documents\GitHub\eaglep3\Utilities\RefineRTDCRunTimes.py" --tripid 301-07 --locoid 4026 --swversion DE.1.0.9.0 --startMP 204:486 --initTime 2017-11-07T18:38:58 --startdatetime 2017-11-07T18:41:18 --delay 59 --endMP 300:23306 --enddatetime 2017-11-07T18:51:43 --enforcementcount 0 &gt;&gt;%USERPROFILE%\Documents\GitHub\eaglep3-reporting\EC\2017-11-07-refined-times.txt</v>
      </c>
      <c r="AI208" s="96" t="str">
        <f t="shared" si="65"/>
        <v>echo {"issue":{"subject":"","project_id":79,"tracker_id":40,"status_id":1,"priority_id":2,"assigned_to_id":338,"start_date":"2017-11-07","description":"","custom_fields":[{"id":1,"name":"Subdivision","value":"Other"},{"id":4,"name":"Milepost","value":"2.3306"},{"id":17,"name":"Train ID","value":"301-07"},{"id":16,"name":"Locomotive ID","value":"4026"},{"id":130,"name":"Impact","value":""},{"id":150,"name":"Time of Event (Mountain Time)","value":"18:51:43"},{"id":151,"name":"Denver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66"/>
        <v>start /low /b %USERPROFILE%\Documents\GitHub\eaglep3\Utilities\DownloadLogsFromS3.py --loco 4026 --day 2017-11-07</v>
      </c>
      <c r="AN208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01:51:43"},{"id":29,"name":"Sharepoint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68"/>
        <v>https://d0f6bd738d7f1b3e5a7ca70fe4ff75f0.us-east-1.aws.found.io/app/kibana#/discover/Steve-Slow-Train-Analysis-(2080s-and-2083s)?_g=(refreshInterval:(display:Off,pause:!f,section:0,value:0),time:(from:'2017-11-07T17:38:58-0700',mode:absolute,to:'2017-11-07T19:51:43-0700'))&amp;_a=(columns:!('Message%20ID',Summary),filters:!(),index:'emp_*',interval:auto,query:(query_string:(analyze_wildcard:!t,query:'%22rtdc.l.rtdc.4026%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677</v>
      </c>
      <c r="B209" s="7">
        <v>4063</v>
      </c>
      <c r="C209" s="21" t="s">
        <v>192</v>
      </c>
      <c r="D209" s="21" t="s">
        <v>982</v>
      </c>
      <c r="E209" s="13">
        <v>43046.140023148146</v>
      </c>
      <c r="F209" s="13">
        <v>43046.143252314818</v>
      </c>
      <c r="G209" s="7">
        <v>72</v>
      </c>
      <c r="H209" s="21" t="s">
        <v>501</v>
      </c>
      <c r="I209" s="13">
        <v>43046.148599537039</v>
      </c>
      <c r="J209" s="7">
        <v>0</v>
      </c>
      <c r="K209" s="89" t="str">
        <f>IF(ISEVEN(B209),(B209-1)&amp;"/"&amp;B209,B209&amp;"/"&amp;(B209+1))</f>
        <v>4063/4064</v>
      </c>
      <c r="L209" s="185" t="str">
        <f>VLOOKUP(A209,'Trips&amp;Operators'!$C$1:$G$99911,5,FALSE)</f>
        <v>BONDS REYNALDO</v>
      </c>
      <c r="M209" s="6">
        <f>I209-F209</f>
        <v>5.3472222207346931E-3</v>
      </c>
      <c r="N209" s="7">
        <f>24*60*SUM($M209:$M209)</f>
        <v>7.6999999978579581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-07T02:21:38-0700',mode:absolute,to:'2017-11-07T04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2.3428</v>
      </c>
      <c r="Z209" s="204">
        <f>RIGHT(H209,LEN(H209)-4)/10000</f>
        <v>2.0500000000000001E-2</v>
      </c>
      <c r="AA209" s="204">
        <f>ABS(Z209-Y209)</f>
        <v>2.3222999999999998</v>
      </c>
      <c r="AB209" s="54" t="e">
        <f>VLOOKUP(A209,Enforcements!$C$7:$K$10,8,0)</f>
        <v>#N/A</v>
      </c>
      <c r="AC209" s="51" t="e">
        <f>VLOOKUP(A209,Enforcements!$C$7:$E$10,3,0)</f>
        <v>#N/A</v>
      </c>
      <c r="AD209" s="179">
        <f>VALUE(LEFT(A209,LEN(A209)-3))</f>
        <v>302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 &amp; 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/stypes="app*4063*20171107*" /stext=" 10:.+((SYSTEM_STATE.+slice.+state.+changed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si="64"/>
        <v>"%USERPROFILE%\Documents\GitHub\eaglep3\Utilities\RefineRTDCRunTimes.py" --tripid 302-07 --locoid 4063 --swversion DE.1.0.9.0 --startMP 300:23428 --initTime 2017-11-07T03:21:38 --startdatetime 2017-11-07T03:26:17 --delay 72 --endMP 204:205 --enddatetime 2017-11-07T03:33:59 --enforcementcount 0 &gt;&gt;%USERPROFILE%\Documents\GitHub\eaglep3-reporting\EC\2017-11-07-refined-times.txt</v>
      </c>
      <c r="AI209" s="96" t="str">
        <f t="shared" si="65"/>
        <v>echo {"issue":{"subject":"","project_id":79,"tracker_id":40,"status_id":1,"priority_id":2,"assigned_to_id":338,"start_date":"2017-11-07","description":"","custom_fields":[{"id":1,"name":"Subdivision","value":"Other"},{"id":4,"name":"Milepost","value":"0.0205"},{"id":17,"name":"Train ID","value":"302-07"},{"id":16,"name":"Locomotive ID","value":"4063"},{"id":130,"name":"Impact","value":""},{"id":150,"name":"Time of Event (Mountain Time)","value":"03:33:59"},{"id":151,"name":"Denver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66"/>
        <v>start /low /b %USERPROFILE%\Documents\GitHub\eaglep3\Utilities\DownloadLogsFromS3.py --loco 4063 --day 2017-11-07</v>
      </c>
      <c r="AN209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10:33:59"},{"id":29,"name":"Sharepoint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68"/>
        <v>https://d0f6bd738d7f1b3e5a7ca70fe4ff75f0.us-east-1.aws.found.io/app/kibana#/discover/Steve-Slow-Train-Analysis-(2080s-and-2083s)?_g=(refreshInterval:(display:Off,pause:!f,section:0,value:0),time:(from:'2017-11-07T02:21:38-0700',mode:absolute,to:'2017-11-07T04:33:59-0700'))&amp;_a=(columns:!('Message%20ID',Summary),filters:!(),index:'emp_*',interval:auto,query:(query_string:(analyze_wildcard:!t,query:'%22rtdc.l.rtdc.4063%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854</v>
      </c>
      <c r="B210" s="7">
        <v>4058</v>
      </c>
      <c r="C210" s="21" t="s">
        <v>192</v>
      </c>
      <c r="D210" s="21" t="s">
        <v>533</v>
      </c>
      <c r="E210" s="13">
        <v>43046.79755787037</v>
      </c>
      <c r="F210" s="13">
        <v>43046.801701388889</v>
      </c>
      <c r="G210" s="7">
        <v>63</v>
      </c>
      <c r="H210" s="21" t="s">
        <v>983</v>
      </c>
      <c r="I210" s="13">
        <v>43046.809513888889</v>
      </c>
      <c r="J210" s="7">
        <v>0</v>
      </c>
      <c r="K210" s="89" t="str">
        <f>IF(ISEVEN(B210),(B210-1)&amp;"/"&amp;B210,B210&amp;"/"&amp;(B210+1))</f>
        <v>4057/4058</v>
      </c>
      <c r="L210" s="185" t="str">
        <f>VLOOKUP(A210,'Trips&amp;Operators'!$C$1:$G$99911,5,FALSE)</f>
        <v>SAFIEF AEIMEN</v>
      </c>
      <c r="M210" s="6">
        <f>I210-F210</f>
        <v>7.8125E-3</v>
      </c>
      <c r="N210" s="7">
        <f>24*60*SUM($M210:$M210)</f>
        <v>11.25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-07T18:08:29-0700',mode:absolute,to:'2017-11-07T20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4.9500000000000002E-2</v>
      </c>
      <c r="Z210" s="204">
        <f>RIGHT(H210,LEN(H210)-4)/10000</f>
        <v>2.3267000000000002</v>
      </c>
      <c r="AA210" s="204">
        <f>ABS(Z210-Y210)</f>
        <v>2.2772000000000001</v>
      </c>
      <c r="AB210" s="54" t="e">
        <f>VLOOKUP(A210,Enforcements!$C$7:$K$10,8,0)</f>
        <v>#N/A</v>
      </c>
      <c r="AC210" s="51" t="e">
        <f>VLOOKUP(A210,Enforcements!$C$7:$E$10,3,0)</f>
        <v>#N/A</v>
      </c>
      <c r="AD210" s="179">
        <f>VALUE(LEFT(A210,LEN(A210)-3))</f>
        <v>303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s3://rtdc.mdm.uploadarchive.raw/RTDC4058/ "%USERPROFILE%\AppData\Local\Temp\OnboardLogs"\RTDC4058\2017-11-07 --exclude "*" --recursive --include "*20171107*" &amp; "%USERPROFILE%\Documents\GitHub\mrs-test-scripts\Headless Mode &amp; Sideloading\WalkAndUnGZ.bat" "%USERPROFILE%\AppData\Local\Temp\OnboardLogs"\RTDC4058\2017-11-07 &amp; aws s3 cp s3://rtdc.mdm.uploadarchive.raw/RTDC4058/ "%USERPROFILE%\AppData\Local\Temp\OnboardLogs"\RTDC4058\2017-11-08 --exclude "*" --recursive --include "*20171108*" &amp; "%USERPROFILE%\Documents\GitHub\mrs-test-scripts\Headless Mode &amp; Sideloading\WalkAndUnGZ.bat" "%USERPROFILE%\AppData\Local\Temp\OnboardLogs"\RTDC4058\2017-11-08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/stypes="app*4058*20171108*" /stext=" 02:.+((SYSTEM_STATE.+slice.+state.+changed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64"/>
        <v>"%USERPROFILE%\Documents\GitHub\eaglep3\Utilities\RefineRTDCRunTimes.py" --tripid 303-07 --locoid 4058 --swversion DE.1.0.9.0 --startMP 204:495 --initTime 2017-11-07T19:08:29 --startdatetime 2017-11-07T19:14:27 --delay 63 --endMP 300:23267 --enddatetime 2017-11-07T19:25:42 --enforcementcount 0 &gt;&gt;%USERPROFILE%\Documents\GitHub\eaglep3-reporting\EC\2017-11-07-refined-times.txt</v>
      </c>
      <c r="AI210" s="96" t="str">
        <f t="shared" si="65"/>
        <v>echo {"issue":{"subject":"","project_id":79,"tracker_id":40,"status_id":1,"priority_id":2,"assigned_to_id":338,"start_date":"2017-11-07","description":"","custom_fields":[{"id":1,"name":"Subdivision","value":"Other"},{"id":4,"name":"Milepost","value":"2.3267"},{"id":17,"name":"Train ID","value":"303-07"},{"id":16,"name":"Locomotive ID","value":"4058"},{"id":130,"name":"Impact","value":""},{"id":150,"name":"Time of Event (Mountain Time)","value":"19:25:42"},{"id":151,"name":"Denver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66"/>
        <v>start /low /b %USERPROFILE%\Documents\GitHub\eaglep3\Utilities\DownloadLogsFromS3.py --loco 4058 --day 2017-11-07</v>
      </c>
      <c r="AN210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68"/>
        <v>https://d0f6bd738d7f1b3e5a7ca70fe4ff75f0.us-east-1.aws.found.io/app/kibana#/discover/Steve-Slow-Train-Analysis-(2080s-and-2083s)?_g=(refreshInterval:(display:Off,pause:!f,section:0,value:0),time:(from:'2017-11-07T18:08:29-0700',mode:absolute,to:'2017-11-07T20:25:42-0700'))&amp;_a=(columns:!('Message%20ID',Summary),filters:!(),index:'emp_*',interval:auto,query:(query_string:(analyze_wildcard:!t,query:'%22rtdc.l.rtdc.4058%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679</v>
      </c>
      <c r="B211" s="7">
        <v>4007</v>
      </c>
      <c r="C211" s="21" t="s">
        <v>192</v>
      </c>
      <c r="D211" s="21" t="s">
        <v>984</v>
      </c>
      <c r="E211" s="13">
        <v>43046.161747685182</v>
      </c>
      <c r="F211" s="13">
        <v>43046.16642361111</v>
      </c>
      <c r="G211" s="7">
        <v>100</v>
      </c>
      <c r="H211" s="21" t="s">
        <v>985</v>
      </c>
      <c r="I211" s="13">
        <v>43046.172083333331</v>
      </c>
      <c r="J211" s="7">
        <v>0</v>
      </c>
      <c r="K211" s="89" t="str">
        <f>IF(ISEVEN(B211),(B211-1)&amp;"/"&amp;B211,B211&amp;"/"&amp;(B211+1))</f>
        <v>4007/4008</v>
      </c>
      <c r="L211" s="185" t="str">
        <f>VLOOKUP(A211,'Trips&amp;Operators'!$C$1:$G$99911,5,FALSE)</f>
        <v>LANGERAK WILLIAM</v>
      </c>
      <c r="M211" s="6">
        <f>I211-F211</f>
        <v>5.6597222210257314E-3</v>
      </c>
      <c r="N211" s="7">
        <f>24*60*SUM($M211:$M211)</f>
        <v>8.1499999982770532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-07T02:52:55-0700',mode:absolute,to:'2017-11-07T05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2.2722000000000002</v>
      </c>
      <c r="Z211" s="204">
        <f>RIGHT(H211,LEN(H211)-4)/10000</f>
        <v>1.34E-2</v>
      </c>
      <c r="AA211" s="204">
        <f>ABS(Z211-Y211)</f>
        <v>2.2588000000000004</v>
      </c>
      <c r="AB211" s="54" t="e">
        <f>VLOOKUP(A211,Enforcements!$C$7:$K$10,8,0)</f>
        <v>#N/A</v>
      </c>
      <c r="AC211" s="51" t="e">
        <f>VLOOKUP(A211,Enforcements!$C$7:$E$10,3,0)</f>
        <v>#N/A</v>
      </c>
      <c r="AD211" s="179">
        <f>VALUE(LEFT(A211,LEN(A211)-3))</f>
        <v>304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/stypes="app*4007*20171107*" /stext=" 11:.+((SYSTEM_STATE.+slice.+state.+changed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64"/>
        <v>"%USERPROFILE%\Documents\GitHub\eaglep3\Utilities\RefineRTDCRunTimes.py" --tripid 304-07 --locoid 4007 --swversion DE.1.0.9.0 --startMP 300:22722 --initTime 2017-11-07T03:52:55 --startdatetime 2017-11-07T03:59:39 --delay 100 --endMP 204:134 --enddatetime 2017-11-07T04:07:48 --enforcementcount 0 &gt;&gt;%USERPROFILE%\Documents\GitHub\eaglep3-reporting\EC\2017-11-07-refined-times.txt</v>
      </c>
      <c r="AI211" s="96" t="str">
        <f t="shared" si="65"/>
        <v>echo {"issue":{"subject":"","project_id":79,"tracker_id":40,"status_id":1,"priority_id":2,"assigned_to_id":338,"start_date":"2017-11-07","description":"","custom_fields":[{"id":1,"name":"Subdivision","value":"Other"},{"id":4,"name":"Milepost","value":"0.0134"},{"id":17,"name":"Train ID","value":"304-07"},{"id":16,"name":"Locomotive ID","value":"4007"},{"id":130,"name":"Impact","value":""},{"id":150,"name":"Time of Event (Mountain Time)","value":"04:07:48"},{"id":151,"name":"Denver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66"/>
        <v>start /low /b %USERPROFILE%\Documents\GitHub\eaglep3\Utilities\DownloadLogsFromS3.py --loco 4007 --day 2017-11-07</v>
      </c>
      <c r="AN211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11:07:48"},{"id":29,"name":"Sharepoint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68"/>
        <v>https://d0f6bd738d7f1b3e5a7ca70fe4ff75f0.us-east-1.aws.found.io/app/kibana#/discover/Steve-Slow-Train-Analysis-(2080s-and-2083s)?_g=(refreshInterval:(display:Off,pause:!f,section:0,value:0),time:(from:'2017-11-07T02:52:55-0700',mode:absolute,to:'2017-11-07T05:07:48-0700'))&amp;_a=(columns:!('Message%20ID',Summary),filters:!(),index:'emp_*',interval:auto,query:(query_string:(analyze_wildcard:!t,query:'%22rtdc.l.rtdc.4007%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858</v>
      </c>
      <c r="B212" s="7">
        <v>4040</v>
      </c>
      <c r="C212" s="21" t="s">
        <v>192</v>
      </c>
      <c r="D212" s="21" t="s">
        <v>531</v>
      </c>
      <c r="E212" s="13">
        <v>43046.818495370368</v>
      </c>
      <c r="F212" s="13">
        <v>43046.820208333331</v>
      </c>
      <c r="G212" s="7">
        <v>60</v>
      </c>
      <c r="H212" s="21" t="s">
        <v>986</v>
      </c>
      <c r="I212" s="13">
        <v>43046.827615740738</v>
      </c>
      <c r="J212" s="7">
        <v>0</v>
      </c>
      <c r="K212" s="89" t="str">
        <f>IF(ISEVEN(B212),(B212-1)&amp;"/"&amp;B212,B212&amp;"/"&amp;(B212+1))</f>
        <v>4039/4040</v>
      </c>
      <c r="L212" s="185" t="str">
        <f>VLOOKUP(A212,'Trips&amp;Operators'!$C$1:$G$99911,5,FALSE)</f>
        <v>SMITH MICHAEL</v>
      </c>
      <c r="M212" s="6">
        <f>I212-F212</f>
        <v>7.4074074072996154E-3</v>
      </c>
      <c r="N212" s="7">
        <f>24*60*SUM($M212:$M212)</f>
        <v>10.666666666511446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-07T18:38:38-0700',mode:absolute,to:'2017-11-07T20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5.7299999999999997E-2</v>
      </c>
      <c r="Z212" s="204">
        <f>RIGHT(H212,LEN(H212)-4)/10000</f>
        <v>2.3182999999999998</v>
      </c>
      <c r="AA212" s="204">
        <f>ABS(Z212-Y212)</f>
        <v>2.2609999999999997</v>
      </c>
      <c r="AB212" s="54" t="e">
        <f>VLOOKUP(A212,Enforcements!$C$7:$K$10,8,0)</f>
        <v>#N/A</v>
      </c>
      <c r="AC212" s="51" t="e">
        <f>VLOOKUP(A212,Enforcements!$C$7:$E$10,3,0)</f>
        <v>#N/A</v>
      </c>
      <c r="AD212" s="179">
        <f>VALUE(LEFT(A212,LEN(A212)-3))</f>
        <v>305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s3://rtdc.mdm.uploadarchive.raw/RTDC4040/ "%USERPROFILE%\AppData\Local\Temp\OnboardLogs"\RTDC4040\2017-11-07 --exclude "*" --recursive --include "*20171107*" &amp; "%USERPROFILE%\Documents\GitHub\mrs-test-scripts\Headless Mode &amp; Sideloading\WalkAndUnGZ.bat" "%USERPROFILE%\AppData\Local\Temp\OnboardLogs"\RTDC4040\2017-11-07 &amp; aws s3 cp s3://rtdc.mdm.uploadarchive.raw/RTDC4040/ "%USERPROFILE%\AppData\Local\Temp\OnboardLogs"\RTDC4040\2017-11-08 --exclude "*" --recursive --include "*20171108*" &amp; "%USERPROFILE%\Documents\GitHub\mrs-test-scripts\Headless Mode &amp; Sideloading\WalkAndUnGZ.bat" "%USERPROFILE%\AppData\Local\Temp\OnboardLogs"\RTDC4040\2017-11-08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/stypes="app*4040*20171108*" /stext=" 02:.+((SYSTEM_STATE.+slice.+state.+changed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64"/>
        <v>"%USERPROFILE%\Documents\GitHub\eaglep3\Utilities\RefineRTDCRunTimes.py" --tripid 305-07 --locoid 4040 --swversion DE.1.0.9.0 --startMP 204:573 --initTime 2017-11-07T19:38:38 --startdatetime 2017-11-07T19:41:06 --delay 60 --endMP 300:23183 --enddatetime 2017-11-07T19:51:46 --enforcementcount 0 &gt;&gt;%USERPROFILE%\Documents\GitHub\eaglep3-reporting\EC\2017-11-07-refined-times.txt</v>
      </c>
      <c r="AI212" s="96" t="str">
        <f t="shared" si="65"/>
        <v>echo {"issue":{"subject":"","project_id":79,"tracker_id":40,"status_id":1,"priority_id":2,"assigned_to_id":338,"start_date":"2017-11-07","description":"","custom_fields":[{"id":1,"name":"Subdivision","value":"Other"},{"id":4,"name":"Milepost","value":"2.3183"},{"id":17,"name":"Train ID","value":"305-07"},{"id":16,"name":"Locomotive ID","value":"4040"},{"id":130,"name":"Impact","value":""},{"id":150,"name":"Time of Event (Mountain Time)","value":"19:51:46"},{"id":151,"name":"Denver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66"/>
        <v>start /low /b %USERPROFILE%\Documents\GitHub\eaglep3\Utilities\DownloadLogsFromS3.py --loco 4040 --day 2017-11-07</v>
      </c>
      <c r="AN212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68"/>
        <v>https://d0f6bd738d7f1b3e5a7ca70fe4ff75f0.us-east-1.aws.found.io/app/kibana#/discover/Steve-Slow-Train-Analysis-(2080s-and-2083s)?_g=(refreshInterval:(display:Off,pause:!f,section:0,value:0),time:(from:'2017-11-07T18:38:38-0700',mode:absolute,to:'2017-11-07T20:51:46-0700'))&amp;_a=(columns:!('Message%20ID',Summary),filters:!(),index:'emp_*',interval:auto,query:(query_string:(analyze_wildcard:!t,query:'%22rtdc.l.rtdc.4040%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642</v>
      </c>
      <c r="B213" s="7">
        <v>4065</v>
      </c>
      <c r="C213" s="21" t="s">
        <v>192</v>
      </c>
      <c r="D213" s="21" t="s">
        <v>987</v>
      </c>
      <c r="E213" s="13">
        <v>43046.17150462963</v>
      </c>
      <c r="F213" s="13">
        <v>43046.176064814812</v>
      </c>
      <c r="G213" s="7">
        <v>93</v>
      </c>
      <c r="H213" s="21" t="s">
        <v>988</v>
      </c>
      <c r="I213" s="13">
        <v>43046.176215277781</v>
      </c>
      <c r="J213" s="7">
        <v>0</v>
      </c>
      <c r="K213" s="89" t="str">
        <f>IF(ISEVEN(B213),(B213-1)&amp;"/"&amp;B213,B213&amp;"/"&amp;(B213+1))</f>
        <v>4065/4066</v>
      </c>
      <c r="L213" s="185" t="str">
        <f>VLOOKUP(A213,'Trips&amp;Operators'!$C$1:$G$99911,5,FALSE)</f>
        <v>BARRON PERLA</v>
      </c>
      <c r="M213" s="6">
        <f>I213-F213</f>
        <v>1.5046296903165057E-4</v>
      </c>
      <c r="N213" s="7">
        <f>24*60*SUM($M213:$M213)</f>
        <v>0.21666667540557683</v>
      </c>
      <c r="O213" s="7"/>
      <c r="P213" s="7"/>
      <c r="Q213" s="22"/>
      <c r="R213" s="174" t="s">
        <v>1089</v>
      </c>
      <c r="S213" s="221">
        <f>1/IF(AG213="EC",12,1)*SUM(U213:U213)</f>
        <v>0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-07T03:06:58-0700',mode:absolute,to:'2017-11-07T05:13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2.3774999999999999</v>
      </c>
      <c r="Z213" s="204">
        <f>RIGHT(H213,LEN(H213)-4)/10000</f>
        <v>2.3176999999999999</v>
      </c>
      <c r="AA213" s="204">
        <f>ABS(Z213-Y213)</f>
        <v>5.9800000000000075E-2</v>
      </c>
      <c r="AB213" s="54" t="e">
        <f>VLOOKUP(A213,Enforcements!$C$7:$K$10,8,0)</f>
        <v>#N/A</v>
      </c>
      <c r="AC213" s="51" t="e">
        <f>VLOOKUP(A213,Enforcements!$C$7:$E$10,3,0)</f>
        <v>#N/A</v>
      </c>
      <c r="AD213" s="179">
        <f>VALUE(LEFT(A213,LEN(A213)-3))</f>
        <v>306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 &amp; aws s3 cp s3://rtdc.mdm.uploadarchive.raw/RTDC4065/ "%USERPROFILE%\AppData\Local\Temp\OnboardLogs"\RTDC4065\2017-11-08 --exclude "*" --recursive --include "*20171108*" &amp; "%USERPROFILE%\Documents\GitHub\mrs-test-scripts\Headless Mode &amp; Sideloading\WalkAndUnGZ.bat" "%USERPROFILE%\AppData\Local\Temp\OnboardLogs"\RTDC4065\2017-11-08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/stypes="app*4065*20171107*" /stext=" 11:.+((SYSTEM_STATE.+slice.+state.+changed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64"/>
        <v>"%USERPROFILE%\Documents\GitHub\eaglep3\Utilities\RefineRTDCRunTimes.py" --tripid 306-07 --locoid 4065 --swversion DE.1.0.9.0 --startMP 300:23775 --initTime 2017-11-07T04:06:58 --startdatetime 2017-11-07T04:13:32 --delay 93 --endMP 300:23177 --enddatetime 2017-11-07T04:13:45 --enforcementcount 0 &gt;&gt;%USERPROFILE%\Documents\GitHub\eaglep3-reporting\EC\2017-11-07-refined-times.txt</v>
      </c>
      <c r="AI213" s="96" t="str">
        <f t="shared" si="65"/>
        <v>echo {"issue":{"subject":"Mid-block init","project_id":79,"tracker_id":40,"status_id":1,"priority_id":2,"assigned_to_id":338,"start_date":"2017-11-07","description":"","custom_fields":[{"id":1,"name":"Subdivision","value":"Other"},{"id":4,"name":"Milepost","value":"2.3177"},{"id":17,"name":"Train ID","value":"306-07"},{"id":16,"name":"Locomotive ID","value":"4065"},{"id":130,"name":"Impact","value":""},{"id":150,"name":"Time of Event (Mountain Time)","value":"04:13:45"},{"id":151,"name":"Denver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66"/>
        <v>start /low /b %USERPROFILE%\Documents\GitHub\eaglep3\Utilities\DownloadLogsFromS3.py --loco 4065 --day 2017-11-07</v>
      </c>
      <c r="AN213" s="151" t="str">
        <f t="shared" si="67"/>
        <v>echo {"issue":{"subject":"Mid-block init","project_id":30,"tracker_id":4,"status_id":1,"priority_id":1,"assigned_to_id":10,"start_date":"2017-11-07","description":"","custom_fields":[{"id":30,"name":"Category","value":"Issue"},{"id":3,"name":"Functional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11:13:45"},{"id":29,"name":"Sharepoint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68"/>
        <v>https://d0f6bd738d7f1b3e5a7ca70fe4ff75f0.us-east-1.aws.found.io/app/kibana#/discover/Steve-Slow-Train-Analysis-(2080s-and-2083s)?_g=(refreshInterval:(display:Off,pause:!f,section:0,value:0),time:(from:'2017-11-07T03:06:58-0700',mode:absolute,to:'2017-11-07T05:13:45-0700'))&amp;_a=(columns:!('Message%20ID',Summary),filters:!(),index:'emp_*',interval:auto,query:(query_string:(analyze_wildcard:!t,query:'%22rtdc.l.rtdc.4065%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885</v>
      </c>
      <c r="B214" s="7">
        <v>4064</v>
      </c>
      <c r="C214" s="21" t="s">
        <v>192</v>
      </c>
      <c r="D214" s="21" t="s">
        <v>979</v>
      </c>
      <c r="E214" s="13">
        <v>43047.048587962963</v>
      </c>
      <c r="F214" s="13">
        <v>43047.051261574074</v>
      </c>
      <c r="G214" s="7">
        <v>57</v>
      </c>
      <c r="H214" s="21" t="s">
        <v>989</v>
      </c>
      <c r="I214" s="13">
        <v>43047.05909722222</v>
      </c>
      <c r="J214" s="7">
        <v>0</v>
      </c>
      <c r="K214" s="89" t="str">
        <f>IF(ISEVEN(B214),(B214-1)&amp;"/"&amp;B214,B214&amp;"/"&amp;(B214+1))</f>
        <v>4063/4064</v>
      </c>
      <c r="L214" s="185" t="str">
        <f>VLOOKUP(A214,'Trips&amp;Operators'!$C$1:$G$99911,5,FALSE)</f>
        <v>LOZA FIDEL</v>
      </c>
      <c r="M214" s="6">
        <f>I214-F214</f>
        <v>7.8356481462833472E-3</v>
      </c>
      <c r="N214" s="7">
        <f>24*60*SUM($M214:$M214)</f>
        <v>11.28333333064802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-08T00:09:58-0700',mode:absolute,to:'2017-11-08T02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5.7500000000000002E-2</v>
      </c>
      <c r="Z214" s="204">
        <f>RIGHT(H214,LEN(H214)-4)/10000</f>
        <v>2.3109000000000002</v>
      </c>
      <c r="AA214" s="204">
        <f>ABS(Z214-Y214)</f>
        <v>2.2534000000000001</v>
      </c>
      <c r="AB214" s="54" t="e">
        <f>VLOOKUP(A214,Enforcements!$C$7:$K$10,8,0)</f>
        <v>#N/A</v>
      </c>
      <c r="AC214" s="51" t="e">
        <f>VLOOKUP(A214,Enforcements!$C$7:$E$10,3,0)</f>
        <v>#N/A</v>
      </c>
      <c r="AD214" s="179">
        <f>VALUE(LEFT(A214,LEN(A214)-3))</f>
        <v>307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s3://rtdc.mdm.uploadarchive.raw/RTDC4064/ "%USERPROFILE%\AppData\Local\Temp\OnboardLogs"\RTDC4064\2017-11-08 --exclude "*" --recursive --include "*20171108*" &amp; "%USERPROFILE%\Documents\GitHub\mrs-test-scripts\Headless Mode &amp; Sideloading\WalkAndUnGZ.bat" "%USERPROFILE%\AppData\Local\Temp\OnboardLogs"\RTDC4064\2017-11-08 &amp; aws s3 cp s3://rtdc.mdm.uploadarchive.raw/RTDC4064/ "%USERPROFILE%\AppData\Local\Temp\OnboardLogs"\RTDC4064\2017-11-09 --exclude "*" --recursive --include "*20171109*" &amp; "%USERPROFILE%\Documents\GitHub\mrs-test-scripts\Headless Mode &amp; Sideloading\WalkAndUnGZ.bat" "%USERPROFILE%\AppData\Local\Temp\OnboardLogs"\RTDC4064\2017-11-09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/stypes="app*4064*20171108*" /stext=" 08:.+((SYSTEM_STATE.+slice.+state.+changed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64"/>
        <v>"%USERPROFILE%\Documents\GitHub\eaglep3\Utilities\RefineRTDCRunTimes.py" --tripid 307-07 --locoid 4064 --swversion DE.1.0.9.0 --startMP 204:575 --initTime 2017-11-08T01:09:58 --startdatetime 2017-11-08T01:13:49 --delay 57 --endMP 300:23109 --enddatetime 2017-11-08T01:25:06 --enforcementcount 0 &gt;&gt;%USERPROFILE%\Documents\GitHub\eaglep3-reporting\EC\2017-11-07-refined-times.txt</v>
      </c>
      <c r="AI214" s="96" t="str">
        <f t="shared" si="65"/>
        <v>echo {"issue":{"subject":"","project_id":79,"tracker_id":40,"status_id":1,"priority_id":2,"assigned_to_id":338,"start_date":"2017-11-08","description":"","custom_fields":[{"id":1,"name":"Subdivision","value":"Other"},{"id":4,"name":"Milepost","value":"2.3109"},{"id":17,"name":"Train ID","value":"307-07"},{"id":16,"name":"Locomotive ID","value":"4064"},{"id":130,"name":"Impact","value":""},{"id":150,"name":"Time of Event (Mountain Time)","value":"01:25:06"},{"id":151,"name":"Denver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66"/>
        <v>start /low /b %USERPROFILE%\Documents\GitHub\eaglep3\Utilities\DownloadLogsFromS3.py --loco 4064 --day 2017-11-08</v>
      </c>
      <c r="AN214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08:25:06"},{"id":29,"name":"Sharepoint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68"/>
        <v>https://d0f6bd738d7f1b3e5a7ca70fe4ff75f0.us-east-1.aws.found.io/app/kibana#/discover/Steve-Slow-Train-Analysis-(2080s-and-2083s)?_g=(refreshInterval:(display:Off,pause:!f,section:0,value:0),time:(from:'2017-11-08T00:09:58-0700',mode:absolute,to:'2017-11-08T02:25:06-0700'))&amp;_a=(columns:!('Message%20ID',Summary),filters:!(),index:'emp_*',interval:auto,query:(query_string:(analyze_wildcard:!t,query:'%22rtdc.l.rtdc.4064%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684</v>
      </c>
      <c r="B215" s="7">
        <v>4025</v>
      </c>
      <c r="C215" s="21" t="s">
        <v>192</v>
      </c>
      <c r="D215" s="21" t="s">
        <v>990</v>
      </c>
      <c r="E215" s="13">
        <v>43046.181516203702</v>
      </c>
      <c r="F215" s="13">
        <v>43046.18546296296</v>
      </c>
      <c r="G215" s="7">
        <v>91</v>
      </c>
      <c r="H215" s="21" t="s">
        <v>502</v>
      </c>
      <c r="I215" s="13">
        <v>43046.19059027778</v>
      </c>
      <c r="J215" s="7">
        <v>0</v>
      </c>
      <c r="K215" s="89" t="str">
        <f>IF(ISEVEN(B215),(B215-1)&amp;"/"&amp;B215,B215&amp;"/"&amp;(B215+1))</f>
        <v>4025/4026</v>
      </c>
      <c r="L215" s="185" t="str">
        <f>VLOOKUP(A215,'Trips&amp;Operators'!$C$1:$G$99911,5,FALSE)</f>
        <v>LAMAR NEKESHA</v>
      </c>
      <c r="M215" s="6">
        <f>I215-F215</f>
        <v>5.1273148201289587E-3</v>
      </c>
      <c r="N215" s="7">
        <f>24*60*SUM($M215:$M215)</f>
        <v>7.3833333409857005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-07T03:21:23-0700',mode:absolute,to:'2017-11-07T05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2.2458999999999998</v>
      </c>
      <c r="Z215" s="204">
        <f>RIGHT(H215,LEN(H215)-4)/10000</f>
        <v>1.6500000000000001E-2</v>
      </c>
      <c r="AA215" s="204">
        <f>ABS(Z215-Y215)</f>
        <v>2.2293999999999996</v>
      </c>
      <c r="AB215" s="54" t="e">
        <f>VLOOKUP(A215,Enforcements!$C$7:$K$10,8,0)</f>
        <v>#N/A</v>
      </c>
      <c r="AC215" s="51" t="e">
        <f>VLOOKUP(A215,Enforcements!$C$7:$E$10,3,0)</f>
        <v>#N/A</v>
      </c>
      <c r="AD215" s="179">
        <f>VALUE(LEFT(A215,LEN(A215)-3))</f>
        <v>308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s3://rtdc.mdm.uploadarchive.raw/RTDC4025/ "%USERPROFILE%\AppData\Local\Temp\OnboardLogs"\RTDC4025\2017-11-07 --exclude "*" --recursive --include "*20171107*" &amp; "%USERPROFILE%\Documents\GitHub\mrs-test-scripts\Headless Mode &amp; Sideloading\WalkAndUnGZ.bat" "%USERPROFILE%\AppData\Local\Temp\OnboardLogs"\RTDC4025\2017-11-07 &amp; aws s3 cp s3://rtdc.mdm.uploadarchive.raw/RTDC4025/ "%USERPROFILE%\AppData\Local\Temp\OnboardLogs"\RTDC4025\2017-11-08 --exclude "*" --recursive --include "*20171108*" &amp; "%USERPROFILE%\Documents\GitHub\mrs-test-scripts\Headless Mode &amp; Sideloading\WalkAndUnGZ.bat" "%USERPROFILE%\AppData\Local\Temp\OnboardLogs"\RTDC4025\2017-11-08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/stypes="app*4025*20171107*" /stext=" 11:.+((SYSTEM_STATE.+slice.+state.+changed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64"/>
        <v>"%USERPROFILE%\Documents\GitHub\eaglep3\Utilities\RefineRTDCRunTimes.py" --tripid 308-07 --locoid 4025 --swversion DE.1.0.9.0 --startMP 300:22459 --initTime 2017-11-07T04:21:23 --startdatetime 2017-11-07T04:27:04 --delay 91 --endMP 204:165 --enddatetime 2017-11-07T04:34:27 --enforcementcount 0 &gt;&gt;%USERPROFILE%\Documents\GitHub\eaglep3-reporting\EC\2017-11-07-refined-times.txt</v>
      </c>
      <c r="AI215" s="96" t="str">
        <f t="shared" si="65"/>
        <v>echo {"issue":{"subject":"","project_id":79,"tracker_id":40,"status_id":1,"priority_id":2,"assigned_to_id":338,"start_date":"2017-11-07","description":"","custom_fields":[{"id":1,"name":"Subdivision","value":"Other"},{"id":4,"name":"Milepost","value":"0.0165"},{"id":17,"name":"Train ID","value":"308-07"},{"id":16,"name":"Locomotive ID","value":"4025"},{"id":130,"name":"Impact","value":""},{"id":150,"name":"Time of Event (Mountain Time)","value":"04:34:27"},{"id":151,"name":"Denver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66"/>
        <v>start /low /b %USERPROFILE%\Documents\GitHub\eaglep3\Utilities\DownloadLogsFromS3.py --loco 4025 --day 2017-11-07</v>
      </c>
      <c r="AN215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11:34:27"},{"id":29,"name":"Sharepoint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68"/>
        <v>https://d0f6bd738d7f1b3e5a7ca70fe4ff75f0.us-east-1.aws.found.io/app/kibana#/discover/Steve-Slow-Train-Analysis-(2080s-and-2083s)?_g=(refreshInterval:(display:Off,pause:!f,section:0,value:0),time:(from:'2017-11-07T03:21:23-0700',mode:absolute,to:'2017-11-07T05:34:27-0700'))&amp;_a=(columns:!('Message%20ID',Summary),filters:!(),index:'emp_*',interval:auto,query:(query_string:(analyze_wildcard:!t,query:'%22rtdc.l.rtdc.4025%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886</v>
      </c>
      <c r="B216" s="7">
        <v>4008</v>
      </c>
      <c r="C216" s="21" t="s">
        <v>192</v>
      </c>
      <c r="D216" s="21" t="s">
        <v>991</v>
      </c>
      <c r="E216" s="13">
        <v>43047.070543981485</v>
      </c>
      <c r="F216" s="13">
        <v>43047.072268518517</v>
      </c>
      <c r="G216" s="7">
        <v>63</v>
      </c>
      <c r="H216" s="21" t="s">
        <v>617</v>
      </c>
      <c r="I216" s="13">
        <v>43047.080543981479</v>
      </c>
      <c r="J216" s="7">
        <v>0</v>
      </c>
      <c r="K216" s="89" t="str">
        <f>IF(ISEVEN(B216),(B216-1)&amp;"/"&amp;B216,B216&amp;"/"&amp;(B216+1))</f>
        <v>4007/4008</v>
      </c>
      <c r="L216" s="185" t="str">
        <f>VLOOKUP(A216,'Trips&amp;Operators'!$C$1:$G$99911,5,FALSE)</f>
        <v>NICHOLSON WESLEY</v>
      </c>
      <c r="M216" s="6">
        <f>I216-F216</f>
        <v>8.2754629620467313E-3</v>
      </c>
      <c r="N216" s="7">
        <f>24*60*SUM($M216:$M216)</f>
        <v>11.916666665347293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-08T00:41:35-0700',mode:absolute,to:'2017-11-08T02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5.7700000000000001E-2</v>
      </c>
      <c r="Z216" s="204">
        <f>RIGHT(H216,LEN(H216)-4)/10000</f>
        <v>2.3311999999999999</v>
      </c>
      <c r="AA216" s="204">
        <f>ABS(Z216-Y216)</f>
        <v>2.2734999999999999</v>
      </c>
      <c r="AB216" s="54" t="e">
        <f>VLOOKUP(A216,Enforcements!$C$7:$K$10,8,0)</f>
        <v>#N/A</v>
      </c>
      <c r="AC216" s="51" t="e">
        <f>VLOOKUP(A216,Enforcements!$C$7:$E$10,3,0)</f>
        <v>#N/A</v>
      </c>
      <c r="AD216" s="179">
        <f>VALUE(LEFT(A216,LEN(A216)-3))</f>
        <v>309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s3://rtdc.mdm.uploadarchive.raw/RTDC4008/ "%USERPROFILE%\AppData\Local\Temp\OnboardLogs"\RTDC4008\2017-11-08 --exclude "*" --recursive --include "*20171108*" &amp; "%USERPROFILE%\Documents\GitHub\mrs-test-scripts\Headless Mode &amp; Sideloading\WalkAndUnGZ.bat" "%USERPROFILE%\AppData\Local\Temp\OnboardLogs"\RTDC4008\2017-11-08 &amp; aws s3 cp s3://rtdc.mdm.uploadarchive.raw/RTDC4008/ "%USERPROFILE%\AppData\Local\Temp\OnboardLogs"\RTDC4008\2017-11-09 --exclude "*" --recursive --include "*20171109*" &amp; "%USERPROFILE%\Documents\GitHub\mrs-test-scripts\Headless Mode &amp; Sideloading\WalkAndUnGZ.bat" "%USERPROFILE%\AppData\Local\Temp\OnboardLogs"\RTDC4008\2017-11-09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/stypes="app*4008*20171108*" /stext=" 08:.+((SYSTEM_STATE.+slice.+state.+changed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64"/>
        <v>"%USERPROFILE%\Documents\GitHub\eaglep3\Utilities\RefineRTDCRunTimes.py" --tripid 309-07 --locoid 4008 --swversion DE.1.0.9.0 --startMP 204:577 --initTime 2017-11-08T01:41:35 --startdatetime 2017-11-08T01:44:04 --delay 63 --endMP 300:23312 --enddatetime 2017-11-08T01:55:59 --enforcementcount 0 &gt;&gt;%USERPROFILE%\Documents\GitHub\eaglep3-reporting\EC\2017-11-07-refined-times.txt</v>
      </c>
      <c r="AI216" s="96" t="str">
        <f t="shared" si="65"/>
        <v>echo {"issue":{"subject":"","project_id":79,"tracker_id":40,"status_id":1,"priority_id":2,"assigned_to_id":338,"start_date":"2017-11-08","description":"","custom_fields":[{"id":1,"name":"Subdivision","value":"Other"},{"id":4,"name":"Milepost","value":"2.3312"},{"id":17,"name":"Train ID","value":"309-07"},{"id":16,"name":"Locomotive ID","value":"4008"},{"id":130,"name":"Impact","value":""},{"id":150,"name":"Time of Event (Mountain Time)","value":"01:55:59"},{"id":151,"name":"Denver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66"/>
        <v>start /low /b %USERPROFILE%\Documents\GitHub\eaglep3\Utilities\DownloadLogsFromS3.py --loco 4008 --day 2017-11-08</v>
      </c>
      <c r="AN216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08:55:59"},{"id":29,"name":"Sharepoint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68"/>
        <v>https://d0f6bd738d7f1b3e5a7ca70fe4ff75f0.us-east-1.aws.found.io/app/kibana#/discover/Steve-Slow-Train-Analysis-(2080s-and-2083s)?_g=(refreshInterval:(display:Off,pause:!f,section:0,value:0),time:(from:'2017-11-08T00:41:35-0700',mode:absolute,to:'2017-11-08T02:55:59-0700'))&amp;_a=(columns:!('Message%20ID',Summary),filters:!(),index:'emp_*',interval:auto,query:(query_string:(analyze_wildcard:!t,query:'%22rtdc.l.rtdc.4008%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689</v>
      </c>
      <c r="B217" s="7">
        <v>4057</v>
      </c>
      <c r="C217" s="21" t="s">
        <v>192</v>
      </c>
      <c r="D217" s="21" t="s">
        <v>992</v>
      </c>
      <c r="E217" s="13">
        <v>43046.194479166668</v>
      </c>
      <c r="F217" s="13">
        <v>43046.196863425925</v>
      </c>
      <c r="G217" s="7">
        <v>82</v>
      </c>
      <c r="H217" s="21" t="s">
        <v>618</v>
      </c>
      <c r="I217" s="13">
        <v>43046.202708333331</v>
      </c>
      <c r="J217" s="7">
        <v>0</v>
      </c>
      <c r="K217" s="89" t="str">
        <f>IF(ISEVEN(B217),(B217-1)&amp;"/"&amp;B217,B217&amp;"/"&amp;(B217+1))</f>
        <v>4057/4058</v>
      </c>
      <c r="L217" s="185" t="str">
        <f>VLOOKUP(A217,'Trips&amp;Operators'!$C$1:$G$99911,5,FALSE)</f>
        <v>YANAI IAN</v>
      </c>
      <c r="M217" s="6">
        <f>I217-F217</f>
        <v>5.8449074058444239E-3</v>
      </c>
      <c r="N217" s="7">
        <f>24*60*SUM($M217:$M217)</f>
        <v>8.4166666644159704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-07T03:40:03-0700',mode:absolute,to:'2017-11-07T05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2.3696999999999999</v>
      </c>
      <c r="Z217" s="204">
        <f>RIGHT(H217,LEN(H217)-4)/10000</f>
        <v>1.47E-2</v>
      </c>
      <c r="AA217" s="204">
        <f>ABS(Z217-Y217)</f>
        <v>2.355</v>
      </c>
      <c r="AB217" s="54" t="e">
        <f>VLOOKUP(A217,Enforcements!$C$7:$K$10,8,0)</f>
        <v>#N/A</v>
      </c>
      <c r="AC217" s="51" t="e">
        <f>VLOOKUP(A217,Enforcements!$C$7:$E$10,3,0)</f>
        <v>#N/A</v>
      </c>
      <c r="AD217" s="179">
        <f>VALUE(LEFT(A217,LEN(A217)-3))</f>
        <v>310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s3://rtdc.mdm.uploadarchive.raw/RTDC4057/ "%USERPROFILE%\AppData\Local\Temp\OnboardLogs"\RTDC4057\2017-11-07 --exclude "*" --recursive --include "*20171107*" &amp; "%USERPROFILE%\Documents\GitHub\mrs-test-scripts\Headless Mode &amp; Sideloading\WalkAndUnGZ.bat" "%USERPROFILE%\AppData\Local\Temp\OnboardLogs"\RTDC4057\2017-11-07 &amp; aws s3 cp s3://rtdc.mdm.uploadarchive.raw/RTDC4057/ "%USERPROFILE%\AppData\Local\Temp\OnboardLogs"\RTDC4057\2017-11-08 --exclude "*" --recursive --include "*20171108*" &amp; "%USERPROFILE%\Documents\GitHub\mrs-test-scripts\Headless Mode &amp; Sideloading\WalkAndUnGZ.bat" "%USERPROFILE%\AppData\Local\Temp\OnboardLogs"\RTDC4057\2017-11-08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/stypes="app*4057*20171107*" /stext=" 11:.+((SYSTEM_STATE.+slice.+state.+changed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64"/>
        <v>"%USERPROFILE%\Documents\GitHub\eaglep3\Utilities\RefineRTDCRunTimes.py" --tripid 310-07 --locoid 4057 --swversion DE.1.0.9.0 --startMP 300:23697 --initTime 2017-11-07T04:40:03 --startdatetime 2017-11-07T04:43:29 --delay 82 --endMP 204:147 --enddatetime 2017-11-07T04:51:54 --enforcementcount 0 &gt;&gt;%USERPROFILE%\Documents\GitHub\eaglep3-reporting\EC\2017-11-07-refined-times.txt</v>
      </c>
      <c r="AI217" s="96" t="str">
        <f t="shared" si="65"/>
        <v>echo {"issue":{"subject":"","project_id":79,"tracker_id":40,"status_id":1,"priority_id":2,"assigned_to_id":338,"start_date":"2017-11-07","description":"","custom_fields":[{"id":1,"name":"Subdivision","value":"Other"},{"id":4,"name":"Milepost","value":"0.0147"},{"id":17,"name":"Train ID","value":"310-07"},{"id":16,"name":"Locomotive ID","value":"4057"},{"id":130,"name":"Impact","value":""},{"id":150,"name":"Time of Event (Mountain Time)","value":"04:51:54"},{"id":151,"name":"Denver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66"/>
        <v>start /low /b %USERPROFILE%\Documents\GitHub\eaglep3\Utilities\DownloadLogsFromS3.py --loco 4057 --day 2017-11-07</v>
      </c>
      <c r="AN217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11:51:54"},{"id":29,"name":"Sharepoint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68"/>
        <v>https://d0f6bd738d7f1b3e5a7ca70fe4ff75f0.us-east-1.aws.found.io/app/kibana#/discover/Steve-Slow-Train-Analysis-(2080s-and-2083s)?_g=(refreshInterval:(display:Off,pause:!f,section:0,value:0),time:(from:'2017-11-07T03:40:03-0700',mode:absolute,to:'2017-11-07T05:51:54-0700'))&amp;_a=(columns:!('Message%20ID',Summary),filters:!(),index:'emp_*',interval:auto,query:(query_string:(analyze_wildcard:!t,query:'%22rtdc.l.rtdc.4057%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700</v>
      </c>
      <c r="B218" s="7">
        <v>4039</v>
      </c>
      <c r="C218" s="21" t="s">
        <v>192</v>
      </c>
      <c r="D218" s="21" t="s">
        <v>993</v>
      </c>
      <c r="E218" s="13">
        <v>43046.226273148146</v>
      </c>
      <c r="F218" s="13">
        <v>43046.229791666665</v>
      </c>
      <c r="G218" s="7">
        <v>70</v>
      </c>
      <c r="H218" s="21" t="s">
        <v>559</v>
      </c>
      <c r="I218" s="13">
        <v>43046.235648148147</v>
      </c>
      <c r="J218" s="7">
        <v>0</v>
      </c>
      <c r="K218" s="89" t="str">
        <f>IF(ISEVEN(B218),(B218-1)&amp;"/"&amp;B218,B218&amp;"/"&amp;(B218+1))</f>
        <v>4039/4040</v>
      </c>
      <c r="L218" s="185" t="str">
        <f>VLOOKUP(A218,'Trips&amp;Operators'!$C$1:$G$99911,5,FALSE)</f>
        <v>MACDONALD THOMAS</v>
      </c>
      <c r="M218" s="6">
        <f>I218-F218</f>
        <v>5.8564814826240763E-3</v>
      </c>
      <c r="N218" s="7">
        <f>24*60*SUM($M218:$M218)</f>
        <v>8.4333333349786699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-07T04:25:50-0700',mode:absolute,to:'2017-11-07T06:39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2</v>
      </c>
      <c r="Y218" s="204">
        <f>RIGHT(D218,LEN(D218)-4)/10000</f>
        <v>2.2343999999999999</v>
      </c>
      <c r="Z218" s="204">
        <f>RIGHT(H218,LEN(H218)-4)/10000</f>
        <v>2.8000000000000001E-2</v>
      </c>
      <c r="AA218" s="204">
        <f>ABS(Z218-Y218)</f>
        <v>2.2063999999999999</v>
      </c>
      <c r="AB218" s="54" t="e">
        <f>VLOOKUP(A218,Enforcements!$C$7:$K$10,8,0)</f>
        <v>#N/A</v>
      </c>
      <c r="AC218" s="51" t="e">
        <f>VLOOKUP(A218,Enforcements!$C$7:$E$10,3,0)</f>
        <v>#N/A</v>
      </c>
      <c r="AD218" s="179">
        <f>VALUE(LEFT(A218,LEN(A218)-3))</f>
        <v>312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s3://rtdc.mdm.uploadarchive.raw/RTDC4039/ "%USERPROFILE%\AppData\Local\Temp\OnboardLogs"\RTDC4039\2017-11-07 --exclude "*" --recursive --include "*20171107*" &amp; "%USERPROFILE%\Documents\GitHub\mrs-test-scripts\Headless Mode &amp; Sideloading\WalkAndUnGZ.bat" "%USERPROFILE%\AppData\Local\Temp\OnboardLogs"\RTDC4039\2017-11-07 &amp; aws s3 cp s3://rtdc.mdm.uploadarchive.raw/RTDC4039/ "%USERPROFILE%\AppData\Local\Temp\OnboardLogs"\RTDC4039\2017-11-08 --exclude "*" --recursive --include "*20171108*" &amp; "%USERPROFILE%\Documents\GitHub\mrs-test-scripts\Headless Mode &amp; Sideloading\WalkAndUnGZ.bat" "%USERPROFILE%\AppData\Local\Temp\OnboardLogs"\RTDC4039\2017-11-08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/stypes="app*4039*20171107*" /stext=" 12:.+((SYSTEM_STATE.+slice.+state.+changed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64"/>
        <v>"%USERPROFILE%\Documents\GitHub\eaglep3\Utilities\RefineRTDCRunTimes.py" --tripid 312-07 --locoid 4039 --swversion DE.1.0.9.0 --startMP 300:22344 --initTime 2017-11-07T05:25:50 --startdatetime 2017-11-07T05:30:54 --delay 70 --endMP 204:280 --enddatetime 2017-11-07T05:39:20 --enforcementcount 0 &gt;&gt;%USERPROFILE%\Documents\GitHub\eaglep3-reporting\EC\2017-11-07-refined-times.txt</v>
      </c>
      <c r="AI218" s="96" t="str">
        <f t="shared" si="65"/>
        <v>echo {"issue":{"subject":"","project_id":79,"tracker_id":40,"status_id":1,"priority_id":2,"assigned_to_id":338,"start_date":"2017-11-07","description":"","custom_fields":[{"id":1,"name":"Subdivision","value":"Other"},{"id":4,"name":"Milepost","value":"0.028"},{"id":17,"name":"Train ID","value":"312-07"},{"id":16,"name":"Locomotive ID","value":"4039"},{"id":130,"name":"Impact","value":""},{"id":150,"name":"Time of Event (Mountain Time)","value":"05:39:20"},{"id":151,"name":"Denver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66"/>
        <v>start /low /b %USERPROFILE%\Documents\GitHub\eaglep3\Utilities\DownloadLogsFromS3.py --loco 4039 --day 2017-11-07</v>
      </c>
      <c r="AN218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12:39:20"},{"id":29,"name":"Sharepoint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68"/>
        <v>https://d0f6bd738d7f1b3e5a7ca70fe4ff75f0.us-east-1.aws.found.io/app/kibana#/discover/Steve-Slow-Train-Analysis-(2080s-and-2083s)?_g=(refreshInterval:(display:Off,pause:!f,section:0,value:0),time:(from:'2017-11-07T04:25:50-0700',mode:absolute,to:'2017-11-07T06:39:20-0700'))&amp;_a=(columns:!('Message%20ID',Summary),filters:!(),index:'emp_*',interval:auto,query:(query_string:(analyze_wildcard:!t,query:'%22rtdc.l.rtdc.4039%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884</v>
      </c>
      <c r="B219" s="7">
        <v>4042</v>
      </c>
      <c r="C219" s="21" t="s">
        <v>192</v>
      </c>
      <c r="D219" s="21" t="s">
        <v>588</v>
      </c>
      <c r="E219" s="13">
        <v>43047.027395833335</v>
      </c>
      <c r="F219" s="13">
        <v>43047.028657407405</v>
      </c>
      <c r="G219" s="7">
        <v>53</v>
      </c>
      <c r="H219" s="21" t="s">
        <v>994</v>
      </c>
      <c r="I219" s="13">
        <v>43047.036504629628</v>
      </c>
      <c r="J219" s="7">
        <v>0</v>
      </c>
      <c r="K219" s="89" t="str">
        <f>IF(ISEVEN(B219),(B219-1)&amp;"/"&amp;B219,B219&amp;"/"&amp;(B219+1))</f>
        <v>4041/4042</v>
      </c>
      <c r="L219" s="185" t="str">
        <f>VLOOKUP(A219,'Trips&amp;Operators'!$C$1:$G$99911,5,FALSE)</f>
        <v>GUNTHIER ERIC</v>
      </c>
      <c r="M219" s="6">
        <f>I219-F219</f>
        <v>7.8472222230629995E-3</v>
      </c>
      <c r="N219" s="7">
        <f>24*60*SUM($M219:$M219)</f>
        <v>11.300000001210719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-07T23:39:27-0700',mode:absolute,to:'2017-11-08T01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4.7500000000000001E-2</v>
      </c>
      <c r="Z219" s="204">
        <f>RIGHT(H219,LEN(H219)-4)/10000</f>
        <v>2.3159000000000001</v>
      </c>
      <c r="AA219" s="204">
        <f>ABS(Z219-Y219)</f>
        <v>2.2684000000000002</v>
      </c>
      <c r="AB219" s="54" t="e">
        <f>VLOOKUP(A219,Enforcements!$C$7:$K$10,8,0)</f>
        <v>#N/A</v>
      </c>
      <c r="AC219" s="51" t="e">
        <f>VLOOKUP(A219,Enforcements!$C$7:$E$10,3,0)</f>
        <v>#N/A</v>
      </c>
      <c r="AD219" s="179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 &amp; aws s3 cp s3://rtdc.mdm.uploadarchive.raw/RTDC4042/ "%USERPROFILE%\AppData\Local\Temp\OnboardLogs"\RTDC4042\2017-11-09 --exclude "*" --recursive --include "*20171109*" &amp; "%USERPROFILE%\Documents\GitHub\mrs-test-scripts\Headless Mode &amp; Sideloading\WalkAndUnGZ.bat" "%USERPROFILE%\AppData\Local\Temp\OnboardLogs"\RTDC4042\2017-11-09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/stypes="app*4042*20171108*" /stext=" 07:.+((SYSTEM_STATE.+slice.+state.+changed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64"/>
        <v>"%USERPROFILE%\Documents\GitHub\eaglep3\Utilities\RefineRTDCRunTimes.py" --tripid 313-07 --locoid 4042 --swversion DE.1.0.9.0 --startMP 204:475 --initTime 2017-11-08T00:39:27 --startdatetime 2017-11-08T00:41:16 --delay 53 --endMP 300:23159 --enddatetime 2017-11-08T00:52:34 --enforcementcount 0 &gt;&gt;%USERPROFILE%\Documents\GitHub\eaglep3-reporting\EC\2017-11-07-refined-times.txt</v>
      </c>
      <c r="AI219" s="96" t="str">
        <f t="shared" si="65"/>
        <v>echo {"issue":{"subject":"","project_id":79,"tracker_id":40,"status_id":1,"priority_id":2,"assigned_to_id":338,"start_date":"2017-11-08","description":"","custom_fields":[{"id":1,"name":"Subdivision","value":"Other"},{"id":4,"name":"Milepost","value":"2.3159"},{"id":17,"name":"Train ID","value":"313-07"},{"id":16,"name":"Locomotive ID","value":"4042"},{"id":130,"name":"Impact","value":""},{"id":150,"name":"Time of Event (Mountain Time)","value":"00:52:34"},{"id":151,"name":"Denver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66"/>
        <v>start /low /b %USERPROFILE%\Documents\GitHub\eaglep3\Utilities\DownloadLogsFromS3.py --loco 4042 --day 2017-11-08</v>
      </c>
      <c r="AN219" s="151" t="str">
        <f t="shared" si="6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07:52:34"},{"id":29,"name":"Sharepoint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68"/>
        <v>https://d0f6bd738d7f1b3e5a7ca70fe4ff75f0.us-east-1.aws.found.io/app/kibana#/discover/Steve-Slow-Train-Analysis-(2080s-and-2083s)?_g=(refreshInterval:(display:Off,pause:!f,section:0,value:0),time:(from:'2017-11-07T23:39:27-0700',mode:absolute,to:'2017-11-08T01:52:34-0700'))&amp;_a=(columns:!('Message%20ID',Summary),filters:!(),index:'emp_*',interval:auto,query:(query_string:(analyze_wildcard:!t,query:'%22rtdc.l.rtdc.4042%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694</v>
      </c>
      <c r="B220" s="7">
        <v>4002</v>
      </c>
      <c r="C220" s="21" t="s">
        <v>192</v>
      </c>
      <c r="D220" s="21" t="s">
        <v>1059</v>
      </c>
      <c r="E220" s="13">
        <v>43046.20653935185</v>
      </c>
      <c r="F220" s="13">
        <v>43046.210949074077</v>
      </c>
      <c r="G220" s="7">
        <v>71</v>
      </c>
      <c r="H220" s="21" t="s">
        <v>1060</v>
      </c>
      <c r="I220" s="13">
        <v>43046.217372685183</v>
      </c>
      <c r="J220" s="7">
        <v>0</v>
      </c>
      <c r="K220" s="89" t="str">
        <f>IF(ISEVEN(B220),(B220-1)&amp;"/"&amp;B220,B220&amp;"/"&amp;(B220+1))</f>
        <v>4001/4002</v>
      </c>
      <c r="L220" s="185" t="str">
        <f>VLOOKUP(A220,'Trips&amp;Operators'!$C$1:$G$99911,5,FALSE)</f>
        <v>BROWN JACOB</v>
      </c>
      <c r="M220" s="6">
        <f>I220-F220</f>
        <v>6.4236111065838486E-3</v>
      </c>
      <c r="N220" s="7">
        <f>24*60*SUM($M220:$M220)</f>
        <v>9.249999993480742</v>
      </c>
      <c r="O220" s="7"/>
      <c r="P220" s="7"/>
      <c r="Q220" s="22"/>
      <c r="R220" s="174"/>
      <c r="S220" s="221">
        <f>1/IF(AG220="EC",12,1)*SUM(U220:U220)</f>
        <v>0</v>
      </c>
      <c r="T220" s="174" t="str">
        <f>IF(ISEVEN(LEFT(AD220,4)),"Southbound","NorthBound")</f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-11-07T03:57:25-0700',mode:absolute,to:'2017-11-07T06:13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588</v>
      </c>
      <c r="Y220" s="204">
        <f>RIGHT(D220,LEN(D220)-4)/10000</f>
        <v>2.9767000000000001</v>
      </c>
      <c r="Z220" s="204">
        <f>RIGHT(H220,LEN(H220)-4)/10000</f>
        <v>5.8945999999999996</v>
      </c>
      <c r="AA220" s="204">
        <f>ABS(Z220-Y220)</f>
        <v>2.9178999999999995</v>
      </c>
      <c r="AB220" s="54" t="e">
        <f>VLOOKUP(A220,Enforcements!$C$7:$K$10,8,0)</f>
        <v>#N/A</v>
      </c>
      <c r="AC220" s="51" t="e">
        <f>VLOOKUP(A220,Enforcements!$C$7:$E$10,3,0)</f>
        <v>#N/A</v>
      </c>
      <c r="AD220" s="179">
        <f>VALUE(LEFT(A220,LEN(A220)-3))</f>
        <v>901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s3://rtdc.mdm.uploadarchive.raw/RTDC4002/ "%USERPROFILE%\AppData\Local\Temp\OnboardLogs"\RTDC4002\2017-11-07 --exclude "*" --recursive --include "*20171107*" &amp; "%USERPROFILE%\Documents\GitHub\mrs-test-scripts\Headless Mode &amp; Sideloading\WalkAndUnGZ.bat" "%USERPROFILE%\AppData\Local\Temp\OnboardLogs"\RTDC4002\2017-11-07 &amp; 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/stypes="app*4002*20171107*" /stext=" 12:.+((SYSTEM_STATE.+slice.+state.+changed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64"/>
        <v>"%USERPROFILE%\Documents\GitHub\eaglep3\Utilities\RefineRTDCRunTimes.py" --tripid 901-07 --locoid 4002 --swversion DE.1.0.9.0 --startMP 300:29767 --initTime 2017-11-07T04:57:25 --startdatetime 2017-11-07T05:03:46 --delay 71 --endMP 300:58946 --enddatetime 2017-11-07T05:13:01 --enforcementcount 0 &gt;&gt;%USERPROFILE%\Documents\GitHub\eaglep3-reporting\EC\2017-11-07-refined-times.txt</v>
      </c>
      <c r="AI220" s="96" t="str">
        <f t="shared" si="65"/>
        <v>echo {"issue":{"subject":"","project_id":79,"tracker_id":40,"status_id":1,"priority_id":2,"assigned_to_id":338,"start_date":"2017-11-07","description":"","custom_fields":[{"id":1,"name":"Subdivision","value":"Other"},{"id":4,"name":"Milepost","value":"5.8946"},{"id":17,"name":"Train ID","value":"901-07"},{"id":16,"name":"Locomotive ID","value":"4002"},{"id":130,"name":"Impact","value":""},{"id":150,"name":"Time of Event (Mountain Time)","value":"05:13:01"},{"id":151,"name":"Denver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66"/>
        <v>start /low /b %USERPROFILE%\Documents\GitHub\eaglep3\Utilities\DownloadLogsFromS3.py --loco 4002 --day 2017-11-07</v>
      </c>
      <c r="AN220" s="151" t="str">
        <f t="shared" si="67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12:13:01"},{"id":29,"name":"Sharepoint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68"/>
        <v>https://d0f6bd738d7f1b3e5a7ca70fe4ff75f0.us-east-1.aws.found.io/app/kibana#/discover/Steve-Slow-Train-Analysis-(2080s-and-2083s)?_g=(refreshInterval:(display:Off,pause:!f,section:0,value:0),time:(from:'2017-11-07T03:57:25-0700',mode:absolute,to:'2017-11-07T06:13:01-0700'))&amp;_a=(columns:!('Message%20ID',Summary),filters:!(),index:'emp_*',interval:auto,query:(query_string:(analyze_wildcard:!t,query:'%22rtdc.l.rtdc.4002%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704</v>
      </c>
      <c r="B221" s="7">
        <v>4019</v>
      </c>
      <c r="C221" s="21" t="s">
        <v>192</v>
      </c>
      <c r="D221" s="21" t="s">
        <v>1061</v>
      </c>
      <c r="E221" s="13">
        <v>43046.237685185188</v>
      </c>
      <c r="F221" s="13">
        <v>43046.241087962961</v>
      </c>
      <c r="G221" s="7">
        <v>103</v>
      </c>
      <c r="H221" s="21" t="s">
        <v>1062</v>
      </c>
      <c r="I221" s="13">
        <v>43046.247511574074</v>
      </c>
      <c r="J221" s="7">
        <v>0</v>
      </c>
      <c r="K221" s="89" t="str">
        <f>IF(ISEVEN(B221),(B221-1)&amp;"/"&amp;B221,B221&amp;"/"&amp;(B221+1))</f>
        <v>4019/4020</v>
      </c>
      <c r="L221" s="185" t="str">
        <f>VLOOKUP(A221,'Trips&amp;Operators'!$C$1:$G$99911,5,FALSE)</f>
        <v>FORTUNATO FRANK</v>
      </c>
      <c r="M221" s="6">
        <f>I221-F221</f>
        <v>6.4236111138598062E-3</v>
      </c>
      <c r="N221" s="7">
        <f>24*60*SUM($M221:$M221)</f>
        <v>9.2500000039581209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-07T04:42:16-0700',mode:absolute,to:'2017-11-07T06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2.3618000000000001</v>
      </c>
      <c r="Z221" s="204">
        <f>RIGHT(H221,LEN(H221)-4)/10000</f>
        <v>8.4599999999999995E-2</v>
      </c>
      <c r="AA221" s="204">
        <f>ABS(Z221-Y221)</f>
        <v>2.2772000000000001</v>
      </c>
      <c r="AB221" s="54" t="e">
        <f>VLOOKUP(A221,Enforcements!$C$7:$K$10,8,0)</f>
        <v>#N/A</v>
      </c>
      <c r="AC221" s="51" t="e">
        <f>VLOOKUP(A221,Enforcements!$C$7:$E$10,3,0)</f>
        <v>#N/A</v>
      </c>
      <c r="AD221" s="179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/stypes="app*4019*20171107*" /stext=" 12:.+((SYSTEM_STATE.+slice.+state.+changed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ref="AH221:AH234" si="109">refinertdcruntimes&amp;" --tripid "&amp;A221&amp;" --locoid "&amp;B221&amp;" --swversion "&amp;C221&amp;" --startMP "&amp;D221&amp;" --initTime "&amp;TEXT(E221,"yyyy-mm-ddTHH:MM:SS")&amp;" --startdatetime "&amp;TEXT(F221,"yyyy-mm-ddTHH:MM:SS")&amp;" --delay "&amp;G221&amp;" --endMP "&amp;H221&amp;" --enddatetime "&amp;TEXT(I221,"yyyy-mm-ddTHH:MM:SS")&amp;" --enforcementcount "&amp;J221&amp;IF(outputrefinedruntimes," &gt;&gt;"&amp;RefinedRTDCRunTimesOutputFile,"")</f>
        <v>"%USERPROFILE%\Documents\GitHub\eaglep3\Utilities\RefineRTDCRunTimes.py" --tripid 902-07 --locoid 4019 --swversion DE.1.0.9.0 --startMP 300:23618 --initTime 2017-11-07T05:42:16 --startdatetime 2017-11-07T05:47:10 --delay 103 --endMP 204:846 --enddatetime 2017-11-07T05:56:25 --enforcementcount 0 &gt;&gt;%USERPROFILE%\Documents\GitHub\eaglep3-reporting\EC\2017-11-07-refined-times.txt</v>
      </c>
      <c r="AI221" s="96" t="str">
        <f t="shared" ref="AI221:AI234" si="110">"echo {""issue"":{""subject"":"""&amp;R221&amp;""",""project_id"":79,""tracker_id"":40,""status_id"":"&amp;redmine_status&amp;",""priority_id"":"&amp;redmine_priority&amp;",""assigned_to_id"":"&amp;redmine_assignee&amp;",""start_date"":"""&amp;TEXT(I221,"YYYY-mm-dd")&amp;""",""description"":"""&amp;AJ221&amp;""",""custom_fields"":[{""id"":1,""name"":""Subdivision"",""value"":"""&amp;AG221&amp;"""},{""id"":4,""name"":""Milepost"",""value"":"""&amp;Z221&amp;"""},{""id"":17,""name"":""Train ID"",""value"":"""&amp;A221&amp;"""},{""id"":16,""name"":""Locomotive ID"",""value"":"""&amp;B221&amp;"""},{""id"":130,""name"":""Impact"",""value"":"""&amp;AK221&amp;"""},{""id"":150,""name"":""Time of Event (Mountain Time)"",""value"":"""&amp;TEXT(I221,"hh:mm:ss")&amp;"""},{""id"":151,""name"":""Denver Issue ID"",""value"":"""&amp;"""},{""id"":178,""name"":""Operational Impact"",""value"":"""&amp;redmine_op_impact&amp;"""},{""id"":179,""name"":""Denver Segment Assigned"",""value"":"""&amp;AL221&amp;"""}]}}"&amp;"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{"issue":{"subject":"","project_id":79,"tracker_id":40,"status_id":1,"priority_id":2,"assigned_to_id":338,"start_date":"2017-11-07","description":"","custom_fields":[{"id":1,"name":"Subdivision","value":"Other"},{"id":4,"name":"Milepost","value":"0.0846"},{"id":17,"name":"Train ID","value":"902-07"},{"id":16,"name":"Locomotive ID","value":"4019"},{"id":130,"name":"Impact","value":""},{"id":150,"name":"Time of Event (Mountain Time)","value":"05:56:25"},{"id":151,"name":"Denver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ref="AM221:AM234" si="111">"start /low /b "&amp;dls3logs&amp;" --loco "&amp;B221&amp;" --day "&amp;TEXT(F221,"YYYY-MM-DD")</f>
        <v>start /low /b %USERPROFILE%\Documents\GitHub\eaglep3\Utilities\DownloadLogsFromS3.py --loco 4019 --day 2017-11-07</v>
      </c>
      <c r="AN221" s="151" t="str">
        <f t="shared" ref="AN221:AN234" si="112">"echo {""issue"":{""subject"":"""&amp;R221&amp;""",""project_id"":30,""tracker_id"":4,""status_id"":"&amp;redmine_status_wcr&amp;",""priority_id"":"&amp;redmine_priority_wcr&amp;",""assigned_to_id"":"&amp;redmine_assignee_wcr&amp;",""start_date"":"""&amp;TEXT(I221-utc_offset/24,"YYYY-mm-dd")&amp;""",""description"":"""&amp;AJ221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12:56:25"},{"id":29,"name":"Sharepoint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ref="AO221:AO234" si="113"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Message%20ID',Summary),filters:!(),index:'emp_*',interval:auto,query:"&amp;"(query_string:(analyze_wildcard:!t,query:'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-07T04:42:16-0700',mode:absolute,to:'2017-11-07T06:56:25-0700'))&amp;_a=(columns:!('Message%20ID',Summary),filters:!(),index:'emp_*',interval:auto,query:(query_string:(analyze_wildcard:!t,query:'%22rtdc.l.rtdc.4019%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738</v>
      </c>
      <c r="B222" s="7">
        <v>4002</v>
      </c>
      <c r="C222" s="21" t="s">
        <v>192</v>
      </c>
      <c r="D222" s="21" t="s">
        <v>632</v>
      </c>
      <c r="E222" s="13">
        <v>43046.353252314817</v>
      </c>
      <c r="F222" s="13">
        <v>43046.355567129627</v>
      </c>
      <c r="G222" s="7">
        <v>57</v>
      </c>
      <c r="H222" s="21" t="s">
        <v>1063</v>
      </c>
      <c r="I222" s="13">
        <v>43046.362199074072</v>
      </c>
      <c r="J222" s="7">
        <v>0</v>
      </c>
      <c r="K222" s="89" t="str">
        <f>IF(ISEVEN(B222),(B222-1)&amp;"/"&amp;B222,B222&amp;"/"&amp;(B222+1))</f>
        <v>4001/4002</v>
      </c>
      <c r="L222" s="185" t="str">
        <f>VLOOKUP(A222,'Trips&amp;Operators'!$C$1:$G$99911,5,FALSE)</f>
        <v>BROWN JACOB</v>
      </c>
      <c r="M222" s="6">
        <f>I222-F222</f>
        <v>6.6319444449618459E-3</v>
      </c>
      <c r="N222" s="7">
        <f>24*60*SUM($M222:$M222)</f>
        <v>9.5500000007450581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-11-07T07:28:41-0700',mode:absolute,to:'2017-11-07T09:41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0.1081</v>
      </c>
      <c r="Z222" s="204">
        <f>RIGHT(H222,LEN(H222)-4)/10000</f>
        <v>2.4214000000000002</v>
      </c>
      <c r="AA222" s="204">
        <f>ABS(Z222-Y222)</f>
        <v>2.3133000000000004</v>
      </c>
      <c r="AB222" s="54" t="e">
        <f>VLOOKUP(A222,Enforcements!$C$7:$K$10,8,0)</f>
        <v>#N/A</v>
      </c>
      <c r="AC222" s="51" t="e">
        <f>VLOOKUP(A222,Enforcements!$C$7:$E$10,3,0)</f>
        <v>#N/A</v>
      </c>
      <c r="AD222" s="179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s3://rtdc.mdm.uploadarchive.raw/RTDC4002/ "%USERPROFILE%\AppData\Local\Temp\OnboardLogs"\RTDC4002\2017-11-07 --exclude "*" --recursive --include "*20171107*" &amp; "%USERPROFILE%\Documents\GitHub\mrs-test-scripts\Headless Mode &amp; Sideloading\WalkAndUnGZ.bat" "%USERPROFILE%\AppData\Local\Temp\OnboardLogs"\RTDC4002\2017-11-07 &amp; 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/stypes="app*4002*20171107*" /stext=" 15:.+((SYSTEM_STATE.+slice.+state.+changed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109"/>
        <v>"%USERPROFILE%\Documents\GitHub\eaglep3\Utilities\RefineRTDCRunTimes.py" --tripid 903-07 --locoid 4002 --swversion DE.1.0.9.0 --startMP 204:1081 --initTime 2017-11-07T08:28:41 --startdatetime 2017-11-07T08:32:01 --delay 57 --endMP 300:24214 --enddatetime 2017-11-07T08:41:34 --enforcementcount 0 &gt;&gt;%USERPROFILE%\Documents\GitHub\eaglep3-reporting\EC\2017-11-07-refined-times.txt</v>
      </c>
      <c r="AI222" s="96" t="str">
        <f t="shared" si="110"/>
        <v>echo {"issue":{"subject":"","project_id":79,"tracker_id":40,"status_id":1,"priority_id":2,"assigned_to_id":338,"start_date":"2017-11-07","description":"","custom_fields":[{"id":1,"name":"Subdivision","value":"Other"},{"id":4,"name":"Milepost","value":"2.4214"},{"id":17,"name":"Train ID","value":"903-07"},{"id":16,"name":"Locomotive ID","value":"4002"},{"id":130,"name":"Impact","value":""},{"id":150,"name":"Time of Event (Mountain Time)","value":"08:41:34"},{"id":151,"name":"Denver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11"/>
        <v>start /low /b %USERPROFILE%\Documents\GitHub\eaglep3\Utilities\DownloadLogsFromS3.py --loco 4002 --day 2017-11-07</v>
      </c>
      <c r="AN222" s="151" t="str">
        <f t="shared" si="112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15:41:34"},{"id":29,"name":"Sharepoint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13"/>
        <v>https://d0f6bd738d7f1b3e5a7ca70fe4ff75f0.us-east-1.aws.found.io/app/kibana#/discover/Steve-Slow-Train-Analysis-(2080s-and-2083s)?_g=(refreshInterval:(display:Off,pause:!f,section:0,value:0),time:(from:'2017-11-07T07:28:41-0700',mode:absolute,to:'2017-11-07T09:41:34-0700'))&amp;_a=(columns:!('Message%20ID',Summary),filters:!(),index:'emp_*',interval:auto,query:(query_string:(analyze_wildcard:!t,query:'%22rtdc.l.rtdc.4002%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802</v>
      </c>
      <c r="B223" s="7">
        <v>4001</v>
      </c>
      <c r="C223" s="21" t="s">
        <v>192</v>
      </c>
      <c r="D223" s="21" t="s">
        <v>1064</v>
      </c>
      <c r="E223" s="13">
        <v>43046.633460648147</v>
      </c>
      <c r="F223" s="13">
        <v>43046.63795138889</v>
      </c>
      <c r="G223" s="7">
        <v>108</v>
      </c>
      <c r="H223" s="21" t="s">
        <v>636</v>
      </c>
      <c r="I223" s="13">
        <v>43046.64267361111</v>
      </c>
      <c r="J223" s="7">
        <v>0</v>
      </c>
      <c r="K223" s="89" t="str">
        <f>IF(ISEVEN(B223),(B223-1)&amp;"/"&amp;B223,B223&amp;"/"&amp;(B223+1))</f>
        <v>4001/4002</v>
      </c>
      <c r="L223" s="185" t="str">
        <f>VLOOKUP(A223,'Trips&amp;Operators'!$C$1:$G$99911,5,FALSE)</f>
        <v>STAMBAUGH JAMES</v>
      </c>
      <c r="M223" s="6">
        <f>I223-F223</f>
        <v>4.7222222201526165E-3</v>
      </c>
      <c r="N223" s="7">
        <f>24*60*SUM($M223:$M223)</f>
        <v>6.7999999970197678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-11-07T14:12:11-0700',mode:absolute,to:'2017-11-07T16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2.3586</v>
      </c>
      <c r="Z223" s="204">
        <f>RIGHT(H223,LEN(H223)-4)/10000</f>
        <v>6.7699999999999996E-2</v>
      </c>
      <c r="AA223" s="204">
        <f>ABS(Z223-Y223)</f>
        <v>2.2909000000000002</v>
      </c>
      <c r="AB223" s="54" t="e">
        <f>VLOOKUP(A223,Enforcements!$C$7:$K$10,8,0)</f>
        <v>#N/A</v>
      </c>
      <c r="AC223" s="51" t="e">
        <f>VLOOKUP(A223,Enforcements!$C$7:$E$10,3,0)</f>
        <v>#N/A</v>
      </c>
      <c r="AD223" s="179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/stypes="app*4001*20171107*" /stext=" 22:.+((SYSTEM_STATE.+slice.+state.+changed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109"/>
        <v>"%USERPROFILE%\Documents\GitHub\eaglep3\Utilities\RefineRTDCRunTimes.py" --tripid 904-07 --locoid 4001 --swversion DE.1.0.9.0 --startMP 300:23586 --initTime 2017-11-07T15:12:11 --startdatetime 2017-11-07T15:18:39 --delay 108 --endMP 204:677 --enddatetime 2017-11-07T15:25:27 --enforcementcount 0 &gt;&gt;%USERPROFILE%\Documents\GitHub\eaglep3-reporting\EC\2017-11-07-refined-times.txt</v>
      </c>
      <c r="AI223" s="96" t="str">
        <f t="shared" si="110"/>
        <v>echo {"issue":{"subject":"","project_id":79,"tracker_id":40,"status_id":1,"priority_id":2,"assigned_to_id":338,"start_date":"2017-11-07","description":"","custom_fields":[{"id":1,"name":"Subdivision","value":"Other"},{"id":4,"name":"Milepost","value":"0.0677"},{"id":17,"name":"Train ID","value":"904-07"},{"id":16,"name":"Locomotive ID","value":"4001"},{"id":130,"name":"Impact","value":""},{"id":150,"name":"Time of Event (Mountain Time)","value":"15:25:27"},{"id":151,"name":"Denver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11"/>
        <v>start /low /b %USERPROFILE%\Documents\GitHub\eaglep3\Utilities\DownloadLogsFromS3.py --loco 4001 --day 2017-11-07</v>
      </c>
      <c r="AN223" s="151" t="str">
        <f t="shared" si="112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22:25:27"},{"id":29,"name":"Sharepoint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13"/>
        <v>https://d0f6bd738d7f1b3e5a7ca70fe4ff75f0.us-east-1.aws.found.io/app/kibana#/discover/Steve-Slow-Train-Analysis-(2080s-and-2083s)?_g=(refreshInterval:(display:Off,pause:!f,section:0,value:0),time:(from:'2017-11-07T14:12:11-0700',mode:absolute,to:'2017-11-07T16:25:27-0700'))&amp;_a=(columns:!('Message%20ID',Summary),filters:!(),index:'emp_*',interval:auto,query:(query_string:(analyze_wildcard:!t,query:'%22rtdc.l.rtdc.4001%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850</v>
      </c>
      <c r="B224" s="7">
        <v>4001</v>
      </c>
      <c r="C224" s="21" t="s">
        <v>192</v>
      </c>
      <c r="D224" s="21" t="s">
        <v>1050</v>
      </c>
      <c r="E224" s="13">
        <v>43046.788344907407</v>
      </c>
      <c r="F224" s="13">
        <v>43046.789456018516</v>
      </c>
      <c r="G224" s="7">
        <v>62</v>
      </c>
      <c r="H224" s="21" t="s">
        <v>1065</v>
      </c>
      <c r="I224" s="13">
        <v>43046.795624999999</v>
      </c>
      <c r="J224" s="7">
        <v>0</v>
      </c>
      <c r="K224" s="89" t="str">
        <f>IF(ISEVEN(B224),(B224-1)&amp;"/"&amp;B224,B224&amp;"/"&amp;(B224+1))</f>
        <v>4001/4002</v>
      </c>
      <c r="L224" s="185" t="str">
        <f>VLOOKUP(A224,'Trips&amp;Operators'!$C$1:$G$99911,5,FALSE)</f>
        <v>STAMBAUGH JAMES</v>
      </c>
      <c r="M224" s="6">
        <f>I224-F224</f>
        <v>6.1689814829151146E-3</v>
      </c>
      <c r="N224" s="7">
        <f>24*60*SUM($M224:$M224)</f>
        <v>8.883333335397765</v>
      </c>
      <c r="O224" s="7"/>
      <c r="P224" s="7"/>
      <c r="Q224" s="22"/>
      <c r="R224" s="174"/>
      <c r="S224" s="221">
        <f>1/IF(AG224="EC",12,1)*SUM(U224:U224)</f>
        <v>0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-11-07T17:55:13-0700',mode:absolute,to:'2017-11-07T20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2</v>
      </c>
      <c r="Y224" s="204">
        <f>RIGHT(D224,LEN(D224)-4)/10000</f>
        <v>5.8616999999999999</v>
      </c>
      <c r="Z224" s="204">
        <f>RIGHT(H224,LEN(H224)-4)/10000</f>
        <v>2.8765000000000001</v>
      </c>
      <c r="AA224" s="204">
        <f>ABS(Z224-Y224)</f>
        <v>2.9851999999999999</v>
      </c>
      <c r="AB224" s="54" t="e">
        <f>VLOOKUP(A224,Enforcements!$C$7:$K$10,8,0)</f>
        <v>#N/A</v>
      </c>
      <c r="AC224" s="51" t="e">
        <f>VLOOKUP(A224,Enforcements!$C$7:$E$10,3,0)</f>
        <v>#N/A</v>
      </c>
      <c r="AD224" s="179">
        <f>VALUE(LEFT(A224,LEN(A224)-3))</f>
        <v>906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/stypes="app*4001*20171108*" /stext=" 02:.+((SYSTEM_STATE.+slice.+state.+changed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109"/>
        <v>"%USERPROFILE%\Documents\GitHub\eaglep3\Utilities\RefineRTDCRunTimes.py" --tripid 906-07 --locoid 4001 --swversion DE.1.0.9.0 --startMP 300:58617 --initTime 2017-11-07T18:55:13 --startdatetime 2017-11-07T18:56:49 --delay 62 --endMP 300:28765 --enddatetime 2017-11-07T19:05:42 --enforcementcount 0 &gt;&gt;%USERPROFILE%\Documents\GitHub\eaglep3-reporting\EC\2017-11-07-refined-times.txt</v>
      </c>
      <c r="AI224" s="96" t="str">
        <f t="shared" si="110"/>
        <v>echo {"issue":{"subject":"","project_id":79,"tracker_id":40,"status_id":1,"priority_id":2,"assigned_to_id":338,"start_date":"2017-11-07","description":"","custom_fields":[{"id":1,"name":"Subdivision","value":"Other"},{"id":4,"name":"Milepost","value":"2.8765"},{"id":17,"name":"Train ID","value":"906-07"},{"id":16,"name":"Locomotive ID","value":"4001"},{"id":130,"name":"Impact","value":""},{"id":150,"name":"Time of Event (Mountain Time)","value":"19:05:42"},{"id":151,"name":"Denver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11"/>
        <v>start /low /b %USERPROFILE%\Documents\GitHub\eaglep3\Utilities\DownloadLogsFromS3.py --loco 4001 --day 2017-11-07</v>
      </c>
      <c r="AN224" s="151" t="str">
        <f t="shared" si="11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13"/>
        <v>https://d0f6bd738d7f1b3e5a7ca70fe4ff75f0.us-east-1.aws.found.io/app/kibana#/discover/Steve-Slow-Train-Analysis-(2080s-and-2083s)?_g=(refreshInterval:(display:Off,pause:!f,section:0,value:0),time:(from:'2017-11-07T17:55:13-0700',mode:absolute,to:'2017-11-07T20:05:42-0700'))&amp;_a=(columns:!('Message%20ID',Summary),filters:!(),index:'emp_*',interval:auto,query:(query_string:(analyze_wildcard:!t,query:'%22rtdc.l.rtdc.4001%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880</v>
      </c>
      <c r="B225" s="7">
        <v>4019</v>
      </c>
      <c r="C225" s="21" t="s">
        <v>192</v>
      </c>
      <c r="D225" s="21" t="s">
        <v>1066</v>
      </c>
      <c r="E225" s="13">
        <v>43046.977777777778</v>
      </c>
      <c r="F225" s="13">
        <v>43046.979872685188</v>
      </c>
      <c r="G225" s="7">
        <v>70</v>
      </c>
      <c r="H225" s="21" t="s">
        <v>1067</v>
      </c>
      <c r="I225" s="13">
        <v>43046.989490740743</v>
      </c>
      <c r="J225" s="7">
        <v>0</v>
      </c>
      <c r="K225" s="89" t="str">
        <f>IF(ISEVEN(B225),(B225-1)&amp;"/"&amp;B225,B225&amp;"/"&amp;(B225+1))</f>
        <v>4019/4020</v>
      </c>
      <c r="L225" s="185" t="str">
        <f>VLOOKUP(A225,'Trips&amp;Operators'!$C$1:$G$99911,5,FALSE)</f>
        <v>ZEWDU DEREJE</v>
      </c>
      <c r="M225" s="6">
        <f>I225-F225</f>
        <v>9.6180555556202307E-3</v>
      </c>
      <c r="N225" s="7">
        <f>24*60*SUM($M225:$M225)</f>
        <v>13.850000000093132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-11-07T22:28:00-0700',mode:absolute,to:'2017-11-08T00:44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2</v>
      </c>
      <c r="Y225" s="204">
        <f>RIGHT(D225,LEN(D225)-4)/10000</f>
        <v>5.8666</v>
      </c>
      <c r="Z225" s="204">
        <f>RIGHT(H225,LEN(H225)-4)/10000</f>
        <v>2.8795000000000002</v>
      </c>
      <c r="AA225" s="204">
        <f>ABS(Z225-Y225)</f>
        <v>2.9870999999999999</v>
      </c>
      <c r="AB225" s="54" t="e">
        <f>VLOOKUP(A225,Enforcements!$C$7:$K$10,8,0)</f>
        <v>#N/A</v>
      </c>
      <c r="AC225" s="51" t="e">
        <f>VLOOKUP(A225,Enforcements!$C$7:$E$10,3,0)</f>
        <v>#N/A</v>
      </c>
      <c r="AD225" s="179">
        <f>VALUE(LEFT(A225,LEN(A225)-3))</f>
        <v>908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/stypes="app*4019*20171108*" /stext=" 06:.+((SYSTEM_STATE.+slice.+state.+changed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109"/>
        <v>"%USERPROFILE%\Documents\GitHub\eaglep3\Utilities\RefineRTDCRunTimes.py" --tripid 908-07 --locoid 4019 --swversion DE.1.0.9.0 --startMP 300:58666 --initTime 2017-11-07T23:28:00 --startdatetime 2017-11-07T23:31:01 --delay 70 --endMP 300:28795 --enddatetime 2017-11-07T23:44:52 --enforcementcount 0 &gt;&gt;%USERPROFILE%\Documents\GitHub\eaglep3-reporting\EC\2017-11-07-refined-times.txt</v>
      </c>
      <c r="AI225" s="96" t="str">
        <f t="shared" si="110"/>
        <v>echo {"issue":{"subject":"","project_id":79,"tracker_id":40,"status_id":1,"priority_id":2,"assigned_to_id":338,"start_date":"2017-11-07","description":"","custom_fields":[{"id":1,"name":"Subdivision","value":"Other"},{"id":4,"name":"Milepost","value":"2.8795"},{"id":17,"name":"Train ID","value":"908-07"},{"id":16,"name":"Locomotive ID","value":"4019"},{"id":130,"name":"Impact","value":""},{"id":150,"name":"Time of Event (Mountain Time)","value":"23:44:52"},{"id":151,"name":"Denver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11"/>
        <v>start /low /b %USERPROFILE%\Documents\GitHub\eaglep3\Utilities\DownloadLogsFromS3.py --loco 4019 --day 2017-11-07</v>
      </c>
      <c r="AN225" s="151" t="str">
        <f t="shared" si="11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06:44:52"},{"id":29,"name":"Sharepoint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13"/>
        <v>https://d0f6bd738d7f1b3e5a7ca70fe4ff75f0.us-east-1.aws.found.io/app/kibana#/discover/Steve-Slow-Train-Analysis-(2080s-and-2083s)?_g=(refreshInterval:(display:Off,pause:!f,section:0,value:0),time:(from:'2017-11-07T22:28:00-0700',mode:absolute,to:'2017-11-08T00:44:52-0700'))&amp;_a=(columns:!('Message%20ID',Summary),filters:!(),index:'emp_*',interval:auto,query:(query_string:(analyze_wildcard:!t,query:'%22rtdc.l.rtdc.4019%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673</v>
      </c>
      <c r="B226" s="7">
        <v>4022</v>
      </c>
      <c r="C226" s="21" t="s">
        <v>192</v>
      </c>
      <c r="D226" s="21" t="s">
        <v>995</v>
      </c>
      <c r="E226" s="13">
        <v>43046.126250000001</v>
      </c>
      <c r="F226" s="13">
        <v>43046.13722222222</v>
      </c>
      <c r="G226" s="7">
        <v>88</v>
      </c>
      <c r="H226" s="21" t="s">
        <v>996</v>
      </c>
      <c r="I226" s="13">
        <v>43046.138275462959</v>
      </c>
      <c r="J226" s="7">
        <v>0</v>
      </c>
      <c r="K226" s="89" t="str">
        <f>IF(ISEVEN(B226),(B226-1)&amp;"/"&amp;B226,B226&amp;"/"&amp;(B226+1))</f>
        <v>4021/4022</v>
      </c>
      <c r="L226" s="185" t="str">
        <f>VLOOKUP(A226,'Trips&amp;Operators'!$C$1:$G$99911,5,FALSE)</f>
        <v>SPECTOR MICHAEL</v>
      </c>
      <c r="M226" s="6">
        <f>I226-F226</f>
        <v>1.0532407395658083E-3</v>
      </c>
      <c r="N226" s="7">
        <f>24*60*SUM($M226:$M226)</f>
        <v>1.516666664974764</v>
      </c>
      <c r="O226" s="7"/>
      <c r="P226" s="7"/>
      <c r="Q226" s="22"/>
      <c r="R226" s="174"/>
      <c r="S226" s="221">
        <f>1/IF(AG226="EC",12,1)*SUM(U226:U226)</f>
        <v>0</v>
      </c>
      <c r="T226" s="174" t="str">
        <f>IF(ISEVEN(LEFT(AD226,4)),"Southbound","NorthBound")</f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-11-07T02:01:48-0700',mode:absolute,to:'2017-11-07T04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-857</v>
      </c>
      <c r="Y226" s="204">
        <f>RIGHT(D226,LEN(D226)-4)/10000</f>
        <v>4.3499999999999997E-2</v>
      </c>
      <c r="Z226" s="204">
        <f>RIGHT(H226,LEN(H226)-4)/10000</f>
        <v>0.3538</v>
      </c>
      <c r="AA226" s="204">
        <f>ABS(Z226-Y226)</f>
        <v>0.31030000000000002</v>
      </c>
      <c r="AB226" s="54" t="e">
        <f>VLOOKUP(A226,Enforcements!$C$7:$K$10,8,0)</f>
        <v>#N/A</v>
      </c>
      <c r="AC226" s="51" t="e">
        <f>VLOOKUP(A226,Enforcements!$C$7:$E$10,3,0)</f>
        <v>#N/A</v>
      </c>
      <c r="AD226" s="179">
        <f>VALUE(LEFT(A226,LEN(A226)-3))</f>
        <v>51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s3://rtdc.mdm.uploadarchive.raw/RTDC4022/ "%USERPROFILE%\AppData\Local\Temp\OnboardLogs"\RTDC4022\2017-11-07 --exclude "*" --recursive --include "*20171107*" &amp; "%USERPROFILE%\Documents\GitHub\mrs-test-scripts\Headless Mode &amp; Sideloading\WalkAndUnGZ.bat" "%USERPROFILE%\AppData\Local\Temp\OnboardLogs"\RTDC4022\2017-11-07 &amp; aws s3 cp s3://rtdc.mdm.uploadarchive.raw/RTDC4022/ "%USERPROFILE%\AppData\Local\Temp\OnboardLogs"\RTDC4022\2017-11-08 --exclude "*" --recursive --include "*20171108*" &amp; "%USERPROFILE%\Documents\GitHub\mrs-test-scripts\Headless Mode &amp; Sideloading\WalkAndUnGZ.bat" "%USERPROFILE%\AppData\Local\Temp\OnboardLogs"\RTDC4022\2017-11-08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/stypes="app*4022*20171107*" /stext=" 10:.+((SYSTEM_STATE.+slice.+state.+changed )|(ment ac)|(multiple cpu faults)|(system.+state.+changed )|(\[timeout)|(PRM\|1\|D)|(kpr)|(kdp)|(train st.+moving)|(\|lc)|(penalty))"</v>
      </c>
      <c r="AG226" s="182" t="str">
        <f>DetSubdiv(A226)</f>
        <v>Shuttle/Test</v>
      </c>
      <c r="AH226" s="78" t="str">
        <f t="shared" si="109"/>
        <v>"%USERPROFILE%\Documents\GitHub\eaglep3\Utilities\RefineRTDCRunTimes.py" --tripid 51-07 --locoid 4022 --swversion DE.1.0.9.0 --startMP 204:435 --initTime 2017-11-07T03:01:48 --startdatetime 2017-11-07T03:17:36 --delay 88 --endMP 204:3538 --enddatetime 2017-11-07T03:19:07 --enforcementcount 0 &gt;&gt;%USERPROFILE%\Documents\GitHub\eaglep3-reporting\EC\2017-11-07-refined-times.txt</v>
      </c>
      <c r="AI226" s="96" t="str">
        <f t="shared" si="110"/>
        <v>echo {"issue":{"subject":"","project_id":79,"tracker_id":40,"status_id":1,"priority_id":2,"assigned_to_id":338,"start_date":"2017-11-07","description":"","custom_fields":[{"id":1,"name":"Subdivision","value":"Shuttle/Test"},{"id":4,"name":"Milepost","value":"0.3538"},{"id":17,"name":"Train ID","value":"51-07"},{"id":16,"name":"Locomotive ID","value":"4022"},{"id":130,"name":"Impact","value":""},{"id":150,"name":"Time of Event (Mountain Time)","value":"03:19:07"},{"id":151,"name":"Denver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11"/>
        <v>start /low /b %USERPROFILE%\Documents\GitHub\eaglep3\Utilities\DownloadLogsFromS3.py --loco 4022 --day 2017-11-07</v>
      </c>
      <c r="AN226" s="151" t="str">
        <f t="shared" si="112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10:19:07"},{"id":29,"name":"Sharepoint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13"/>
        <v>https://d0f6bd738d7f1b3e5a7ca70fe4ff75f0.us-east-1.aws.found.io/app/kibana#/discover/Steve-Slow-Train-Analysis-(2080s-and-2083s)?_g=(refreshInterval:(display:Off,pause:!f,section:0,value:0),time:(from:'2017-11-07T02:01:48-0700',mode:absolute,to:'2017-11-07T04:19:07-0700'))&amp;_a=(columns:!('Message%20ID',Summary),filters:!(),index:'emp_*',interval:auto,query:(query_string:(analyze_wildcard:!t,query:'%22rtdc.l.rtdc.4022%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676</v>
      </c>
      <c r="B227" s="7">
        <v>4021</v>
      </c>
      <c r="C227" s="21" t="s">
        <v>192</v>
      </c>
      <c r="D227" s="21" t="s">
        <v>997</v>
      </c>
      <c r="E227" s="13">
        <v>43046.139421296299</v>
      </c>
      <c r="F227" s="13">
        <v>43046.140983796293</v>
      </c>
      <c r="G227" s="7">
        <v>80</v>
      </c>
      <c r="H227" s="21" t="s">
        <v>998</v>
      </c>
      <c r="I227" s="13">
        <v>43046.142071759263</v>
      </c>
      <c r="J227" s="7">
        <v>0</v>
      </c>
      <c r="K227" s="89" t="str">
        <f>IF(ISEVEN(B227),(B227-1)&amp;"/"&amp;B227,B227&amp;"/"&amp;(B227+1))</f>
        <v>4021/4022</v>
      </c>
      <c r="L227" s="185" t="str">
        <f>VLOOKUP(A227,'Trips&amp;Operators'!$C$1:$G$99911,5,FALSE)</f>
        <v>SPECTOR MICHAEL</v>
      </c>
      <c r="M227" s="6">
        <f>I227-F227</f>
        <v>1.0879629699047655E-3</v>
      </c>
      <c r="N227" s="7">
        <f>24*60*SUM($M227:$M227)</f>
        <v>1.5666666766628623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-11-07T02:20:46-0700',mode:absolute,to:'2017-11-07T04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1</v>
      </c>
      <c r="Y227" s="204">
        <f>RIGHT(D227,LEN(D227)-4)/10000</f>
        <v>0.32379999999999998</v>
      </c>
      <c r="Z227" s="204">
        <f>RIGHT(H227,LEN(H227)-4)/10000</f>
        <v>0.1188</v>
      </c>
      <c r="AA227" s="204">
        <f>ABS(Z227-Y227)</f>
        <v>0.20499999999999996</v>
      </c>
      <c r="AB227" s="54" t="e">
        <f>VLOOKUP(A227,Enforcements!$C$7:$K$10,8,0)</f>
        <v>#N/A</v>
      </c>
      <c r="AC227" s="51" t="e">
        <f>VLOOKUP(A227,Enforcements!$C$7:$E$10,3,0)</f>
        <v>#N/A</v>
      </c>
      <c r="AD227" s="179">
        <f>VALUE(LEFT(A227,LEN(A227)-3))</f>
        <v>52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s3://rtdc.mdm.uploadarchive.raw/RTDC4021/ "%USERPROFILE%\AppData\Local\Temp\OnboardLogs"\RTDC4021\2017-11-07 --exclude "*" --recursive --include "*20171107*" &amp; "%USERPROFILE%\Documents\GitHub\mrs-test-scripts\Headless Mode &amp; Sideloading\WalkAndUnGZ.bat" "%USERPROFILE%\AppData\Local\Temp\OnboardLogs"\RTDC4021\2017-11-07 &amp; aws s3 cp s3://rtdc.mdm.uploadarchive.raw/RTDC4021/ "%USERPROFILE%\AppData\Local\Temp\OnboardLogs"\RTDC4021\2017-11-08 --exclude "*" --recursive --include "*20171108*" &amp; "%USERPROFILE%\Documents\GitHub\mrs-test-scripts\Headless Mode &amp; Sideloading\WalkAndUnGZ.bat" "%USERPROFILE%\AppData\Local\Temp\OnboardLogs"\RTDC4021\2017-11-08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/stypes="app*4021*20171107*" /stext=" 10:.+((SYSTEM_STATE.+slice.+state.+changed )|(ment ac)|(multiple cpu faults)|(system.+state.+changed )|(\[timeout)|(PRM\|1\|D)|(kpr)|(kdp)|(train st.+moving)|(\|lc)|(penalty))"</v>
      </c>
      <c r="AG227" s="182" t="str">
        <f>DetSubdiv(A227)</f>
        <v>Shuttle/Test</v>
      </c>
      <c r="AH227" s="78" t="str">
        <f t="shared" si="109"/>
        <v>"%USERPROFILE%\Documents\GitHub\eaglep3\Utilities\RefineRTDCRunTimes.py" --tripid 52-07 --locoid 4021 --swversion DE.1.0.9.0 --startMP 204:3238 --initTime 2017-11-07T03:20:46 --startdatetime 2017-11-07T03:23:01 --delay 80 --endMP 204:1188 --enddatetime 2017-11-07T03:24:35 --enforcementcount 0 &gt;&gt;%USERPROFILE%\Documents\GitHub\eaglep3-reporting\EC\2017-11-07-refined-times.txt</v>
      </c>
      <c r="AI227" s="96" t="str">
        <f t="shared" si="110"/>
        <v>echo {"issue":{"subject":"","project_id":79,"tracker_id":40,"status_id":1,"priority_id":2,"assigned_to_id":338,"start_date":"2017-11-07","description":"","custom_fields":[{"id":1,"name":"Subdivision","value":"Shuttle/Test"},{"id":4,"name":"Milepost","value":"0.1188"},{"id":17,"name":"Train ID","value":"52-07"},{"id":16,"name":"Locomotive ID","value":"4021"},{"id":130,"name":"Impact","value":""},{"id":150,"name":"Time of Event (Mountain Time)","value":"03:24:35"},{"id":151,"name":"Denver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11"/>
        <v>start /low /b %USERPROFILE%\Documents\GitHub\eaglep3\Utilities\DownloadLogsFromS3.py --loco 4021 --day 2017-11-07</v>
      </c>
      <c r="AN227" s="151" t="str">
        <f t="shared" si="112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10:24:35"},{"id":29,"name":"Sharepoint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13"/>
        <v>https://d0f6bd738d7f1b3e5a7ca70fe4ff75f0.us-east-1.aws.found.io/app/kibana#/discover/Steve-Slow-Train-Analysis-(2080s-and-2083s)?_g=(refreshInterval:(display:Off,pause:!f,section:0,value:0),time:(from:'2017-11-07T02:20:46-0700',mode:absolute,to:'2017-11-07T04:24:35-0700'))&amp;_a=(columns:!('Message%20ID',Summary),filters:!(),index:'emp_*',interval:auto,query:(query_string:(analyze_wildcard:!t,query:'%22rtdc.l.rtdc.4021%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757</v>
      </c>
      <c r="B228" s="7">
        <v>4035</v>
      </c>
      <c r="C228" s="21" t="s">
        <v>192</v>
      </c>
      <c r="D228" s="21" t="s">
        <v>999</v>
      </c>
      <c r="E228" s="13">
        <v>43046.449872685182</v>
      </c>
      <c r="F228" s="13">
        <v>43046.453506944446</v>
      </c>
      <c r="G228" s="7">
        <v>66</v>
      </c>
      <c r="H228" s="21" t="s">
        <v>1000</v>
      </c>
      <c r="I228" s="13">
        <v>43046.459479166668</v>
      </c>
      <c r="J228" s="7">
        <v>0</v>
      </c>
      <c r="K228" s="89" t="str">
        <f>IF(ISEVEN(B228),(B228-1)&amp;"/"&amp;B228,B228&amp;"/"&amp;(B228+1))</f>
        <v>4035/4036</v>
      </c>
      <c r="L228" s="185" t="str">
        <f>VLOOKUP(A228,'Trips&amp;Operators'!$C$1:$G$99911,5,FALSE)</f>
        <v>MOSES BRADLEY</v>
      </c>
      <c r="M228" s="6">
        <f>I228-F228</f>
        <v>5.9722222213167697E-3</v>
      </c>
      <c r="N228" s="7">
        <f>24*60*SUM($M228:$M228)</f>
        <v>8.5999999986961484</v>
      </c>
      <c r="O228" s="7"/>
      <c r="P228" s="7"/>
      <c r="Q228" s="22"/>
      <c r="R228" s="174"/>
      <c r="S228" s="221">
        <f>1/IF(AG228="EC",12,1)*SUM(U228:U228)</f>
        <v>1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-11-07T09:47:49-0700',mode:absolute,to:'2017-11-07T12:01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4</v>
      </c>
      <c r="Y228" s="204">
        <f>RIGHT(D228,LEN(D228)-4)/10000</f>
        <v>2.2221000000000002</v>
      </c>
      <c r="Z228" s="204">
        <f>RIGHT(H228,LEN(H228)-4)/10000</f>
        <v>9.1700000000000004E-2</v>
      </c>
      <c r="AA228" s="204">
        <f>ABS(Z228-Y228)</f>
        <v>2.1304000000000003</v>
      </c>
      <c r="AB228" s="54" t="e">
        <f>VLOOKUP(A228,Enforcements!$C$7:$K$10,8,0)</f>
        <v>#N/A</v>
      </c>
      <c r="AC228" s="51" t="e">
        <f>VLOOKUP(A228,Enforcements!$C$7:$E$10,3,0)</f>
        <v>#N/A</v>
      </c>
      <c r="AD228" s="179">
        <f>VALUE(LEFT(A228,LEN(A228)-3))</f>
        <v>56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s3://rtdc.mdm.uploadarchive.raw/RTDC4035/ "%USERPROFILE%\AppData\Local\Temp\OnboardLogs"\RTDC4035\2017-11-07 --exclude "*" --recursive --include "*20171107*" &amp; "%USERPROFILE%\Documents\GitHub\mrs-test-scripts\Headless Mode &amp; Sideloading\WalkAndUnGZ.bat" "%USERPROFILE%\AppData\Local\Temp\OnboardLogs"\RTDC4035\2017-11-07 &amp; aws s3 cp s3://rtdc.mdm.uploadarchive.raw/RTDC4035/ "%USERPROFILE%\AppData\Local\Temp\OnboardLogs"\RTDC4035\2017-11-08 --exclude "*" --recursive --include "*20171108*" &amp; "%USERPROFILE%\Documents\GitHub\mrs-test-scripts\Headless Mode &amp; Sideloading\WalkAndUnGZ.bat" "%USERPROFILE%\AppData\Local\Temp\OnboardLogs"\RTDC4035\2017-11-08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/stypes="app*4035*20171107*" /stext=" 18:.+((SYSTEM_STATE.+slice.+state.+changed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109"/>
        <v>"%USERPROFILE%\Documents\GitHub\eaglep3\Utilities\RefineRTDCRunTimes.py" --tripid 56-07 --locoid 4035 --swversion DE.1.0.9.0 --startMP 300:22221 --initTime 2017-11-07T10:47:49 --startdatetime 2017-11-07T10:53:03 --delay 66 --endMP 204:917 --enddatetime 2017-11-07T11:01:39 --enforcementcount 0 &gt;&gt;%USERPROFILE%\Documents\GitHub\eaglep3-reporting\EC\2017-11-07-refined-times.txt</v>
      </c>
      <c r="AI228" s="96" t="str">
        <f t="shared" si="110"/>
        <v>echo {"issue":{"subject":"","project_id":79,"tracker_id":40,"status_id":1,"priority_id":2,"assigned_to_id":338,"start_date":"2017-11-07","description":"","custom_fields":[{"id":1,"name":"Subdivision","value":"Shuttle/Test"},{"id":4,"name":"Milepost","value":"0.0917"},{"id":17,"name":"Train ID","value":"56-07"},{"id":16,"name":"Locomotive ID","value":"4035"},{"id":130,"name":"Impact","value":""},{"id":150,"name":"Time of Event (Mountain Time)","value":"11:01:39"},{"id":151,"name":"Denver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11"/>
        <v>start /low /b %USERPROFILE%\Documents\GitHub\eaglep3\Utilities\DownloadLogsFromS3.py --loco 4035 --day 2017-11-07</v>
      </c>
      <c r="AN228" s="151" t="str">
        <f t="shared" si="112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18:01:39"},{"id":29,"name":"Sharepoint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13"/>
        <v>https://d0f6bd738d7f1b3e5a7ca70fe4ff75f0.us-east-1.aws.found.io/app/kibana#/discover/Steve-Slow-Train-Analysis-(2080s-and-2083s)?_g=(refreshInterval:(display:Off,pause:!f,section:0,value:0),time:(from:'2017-11-07T09:47:49-0700',mode:absolute,to:'2017-11-07T12:01:39-0700'))&amp;_a=(columns:!('Message%20ID',Summary),filters:!(),index:'emp_*',interval:auto,query:(query_string:(analyze_wildcard:!t,query:'%22rtdc.l.rtdc.4035%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768</v>
      </c>
      <c r="B229" s="7">
        <v>4036</v>
      </c>
      <c r="C229" s="21" t="s">
        <v>192</v>
      </c>
      <c r="D229" s="21" t="s">
        <v>1001</v>
      </c>
      <c r="E229" s="13">
        <v>43046.479166666664</v>
      </c>
      <c r="F229" s="13">
        <v>43046.481134259258</v>
      </c>
      <c r="G229" s="7">
        <v>117</v>
      </c>
      <c r="H229" s="21" t="s">
        <v>1002</v>
      </c>
      <c r="I229" s="13">
        <v>43046.488043981481</v>
      </c>
      <c r="J229" s="7">
        <v>0</v>
      </c>
      <c r="K229" s="89" t="str">
        <f>IF(ISEVEN(B229),(B229-1)&amp;"/"&amp;B229,B229&amp;"/"&amp;(B229+1))</f>
        <v>4035/4036</v>
      </c>
      <c r="L229" s="185" t="str">
        <f>VLOOKUP(A229,'Trips&amp;Operators'!$C$1:$G$99911,5,FALSE)</f>
        <v>BARRON PERLA</v>
      </c>
      <c r="M229" s="6">
        <f>I229-F229</f>
        <v>6.9097222221898846E-3</v>
      </c>
      <c r="N229" s="7">
        <f>24*60*SUM($M229:$M229)</f>
        <v>9.9499999999534339</v>
      </c>
      <c r="O229" s="7"/>
      <c r="P229" s="7"/>
      <c r="Q229" s="22"/>
      <c r="R229" s="174"/>
      <c r="S229" s="221">
        <f>1/IF(AG229="EC",12,1)*SUM(U229:U229)</f>
        <v>1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-11-07T10:30:00-0700',mode:absolute,to:'2017-11-07T12:42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0.124</v>
      </c>
      <c r="Z229" s="204">
        <f>RIGHT(H229,LEN(H229)-4)/10000</f>
        <v>2.4262000000000001</v>
      </c>
      <c r="AA229" s="204">
        <f>ABS(Z229-Y229)</f>
        <v>2.3022</v>
      </c>
      <c r="AB229" s="54" t="e">
        <f>VLOOKUP(A229,Enforcements!$C$7:$K$10,8,0)</f>
        <v>#N/A</v>
      </c>
      <c r="AC229" s="51" t="e">
        <f>VLOOKUP(A229,Enforcements!$C$7:$E$10,3,0)</f>
        <v>#N/A</v>
      </c>
      <c r="AD229" s="179">
        <f>VALUE(LEFT(A229,LEN(A229)-3))</f>
        <v>57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 &amp; aws s3 cp s3://rtdc.mdm.uploadarchive.raw/RTDC4036/ "%USERPROFILE%\AppData\Local\Temp\OnboardLogs"\RTDC4036\2017-11-08 --exclude "*" --recursive --include "*20171108*" &amp; "%USERPROFILE%\Documents\GitHub\mrs-test-scripts\Headless Mode &amp; Sideloading\WalkAndUnGZ.bat" "%USERPROFILE%\AppData\Local\Temp\OnboardLogs"\RTDC4036\2017-11-08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/stypes="app*4036*20171107*" /stext=" 18:.+((SYSTEM_STATE.+slice.+state.+changed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109"/>
        <v>"%USERPROFILE%\Documents\GitHub\eaglep3\Utilities\RefineRTDCRunTimes.py" --tripid 57-07 --locoid 4036 --swversion DE.1.0.9.0 --startMP 204:1240 --initTime 2017-11-07T11:30:00 --startdatetime 2017-11-07T11:32:50 --delay 117 --endMP 300:24262 --enddatetime 2017-11-07T11:42:47 --enforcementcount 0 &gt;&gt;%USERPROFILE%\Documents\GitHub\eaglep3-reporting\EC\2017-11-07-refined-times.txt</v>
      </c>
      <c r="AI229" s="96" t="str">
        <f t="shared" si="110"/>
        <v>echo {"issue":{"subject":"","project_id":79,"tracker_id":40,"status_id":1,"priority_id":2,"assigned_to_id":338,"start_date":"2017-11-07","description":"","custom_fields":[{"id":1,"name":"Subdivision","value":"Shuttle/Test"},{"id":4,"name":"Milepost","value":"2.4262"},{"id":17,"name":"Train ID","value":"57-07"},{"id":16,"name":"Locomotive ID","value":"4036"},{"id":130,"name":"Impact","value":""},{"id":150,"name":"Time of Event (Mountain Time)","value":"11:42:47"},{"id":151,"name":"Denver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11"/>
        <v>start /low /b %USERPROFILE%\Documents\GitHub\eaglep3\Utilities\DownloadLogsFromS3.py --loco 4036 --day 2017-11-07</v>
      </c>
      <c r="AN229" s="151" t="str">
        <f t="shared" si="112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18:42:47"},{"id":29,"name":"Sharepoint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13"/>
        <v>https://d0f6bd738d7f1b3e5a7ca70fe4ff75f0.us-east-1.aws.found.io/app/kibana#/discover/Steve-Slow-Train-Analysis-(2080s-and-2083s)?_g=(refreshInterval:(display:Off,pause:!f,section:0,value:0),time:(from:'2017-11-07T10:30:00-0700',mode:absolute,to:'2017-11-07T12:42:47-0700'))&amp;_a=(columns:!('Message%20ID',Summary),filters:!(),index:'emp_*',interval:auto,query:(query_string:(analyze_wildcard:!t,query:'%22rtdc.l.rtdc.4036%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794</v>
      </c>
      <c r="B230" s="7">
        <v>4021</v>
      </c>
      <c r="C230" s="21" t="s">
        <v>192</v>
      </c>
      <c r="D230" s="21" t="s">
        <v>1003</v>
      </c>
      <c r="E230" s="13">
        <v>43046.612025462964</v>
      </c>
      <c r="F230" s="13">
        <v>43046.613379629627</v>
      </c>
      <c r="G230" s="7">
        <v>55</v>
      </c>
      <c r="H230" s="21" t="s">
        <v>978</v>
      </c>
      <c r="I230" s="13">
        <v>43046.614479166667</v>
      </c>
      <c r="J230" s="7">
        <v>0</v>
      </c>
      <c r="K230" s="89" t="str">
        <f>IF(ISEVEN(B230),(B230-1)&amp;"/"&amp;B230,B230&amp;"/"&amp;(B230+1))</f>
        <v>4021/4022</v>
      </c>
      <c r="L230" s="185" t="str">
        <f>VLOOKUP(A230,'Trips&amp;Operators'!$C$1:$G$99911,5,FALSE)</f>
        <v>NEWELL JAMES</v>
      </c>
      <c r="M230" s="6">
        <f>I230-F230</f>
        <v>1.0995370394084603E-3</v>
      </c>
      <c r="N230" s="7">
        <f>24*60*SUM($M230:$M230)</f>
        <v>1.5833333367481828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-11-07T13:41:19-0700',mode:absolute,to:'2017-11-07T15:44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13</v>
      </c>
      <c r="Y230" s="204">
        <f>RIGHT(D230,LEN(D230)-4)/10000</f>
        <v>0.31359999999999999</v>
      </c>
      <c r="Z230" s="204">
        <f>RIGHT(H230,LEN(H230)-4)/10000</f>
        <v>2.7300000000000001E-2</v>
      </c>
      <c r="AA230" s="204">
        <f>ABS(Z230-Y230)</f>
        <v>0.2863</v>
      </c>
      <c r="AB230" s="54" t="e">
        <f>VLOOKUP(A230,Enforcements!$C$7:$K$10,8,0)</f>
        <v>#N/A</v>
      </c>
      <c r="AC230" s="51" t="e">
        <f>VLOOKUP(A230,Enforcements!$C$7:$E$10,3,0)</f>
        <v>#N/A</v>
      </c>
      <c r="AD230" s="179">
        <f>VALUE(LEFT(A230,LEN(A230)-3))</f>
        <v>70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s3://rtdc.mdm.uploadarchive.raw/RTDC4021/ "%USERPROFILE%\AppData\Local\Temp\OnboardLogs"\RTDC4021\2017-11-07 --exclude "*" --recursive --include "*20171107*" &amp; "%USERPROFILE%\Documents\GitHub\mrs-test-scripts\Headless Mode &amp; Sideloading\WalkAndUnGZ.bat" "%USERPROFILE%\AppData\Local\Temp\OnboardLogs"\RTDC4021\2017-11-07 &amp; aws s3 cp s3://rtdc.mdm.uploadarchive.raw/RTDC4021/ "%USERPROFILE%\AppData\Local\Temp\OnboardLogs"\RTDC4021\2017-11-08 --exclude "*" --recursive --include "*20171108*" &amp; "%USERPROFILE%\Documents\GitHub\mrs-test-scripts\Headless Mode &amp; Sideloading\WalkAndUnGZ.bat" "%USERPROFILE%\AppData\Local\Temp\OnboardLogs"\RTDC4021\2017-11-08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/stypes="app*4021*20171107*" /stext=" 21:.+((SYSTEM_STATE.+slice.+state.+changed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109"/>
        <v>"%USERPROFILE%\Documents\GitHub\eaglep3\Utilities\RefineRTDCRunTimes.py" --tripid 70-07 --locoid 4021 --swversion DE.1.0.9.0 --startMP 204:3136 --initTime 2017-11-07T14:41:19 --startdatetime 2017-11-07T14:43:16 --delay 55 --endMP 204:273 --enddatetime 2017-11-07T14:44:51 --enforcementcount 0 &gt;&gt;%USERPROFILE%\Documents\GitHub\eaglep3-reporting\EC\2017-11-07-refined-times.txt</v>
      </c>
      <c r="AI230" s="96" t="str">
        <f t="shared" si="110"/>
        <v>echo {"issue":{"subject":"","project_id":79,"tracker_id":40,"status_id":1,"priority_id":2,"assigned_to_id":338,"start_date":"2017-11-07","description":"","custom_fields":[{"id":1,"name":"Subdivision","value":"Shuttle/Test"},{"id":4,"name":"Milepost","value":"0.0273"},{"id":17,"name":"Train ID","value":"70-07"},{"id":16,"name":"Locomotive ID","value":"4021"},{"id":130,"name":"Impact","value":""},{"id":150,"name":"Time of Event (Mountain Time)","value":"14:44:51"},{"id":151,"name":"Denver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11"/>
        <v>start /low /b %USERPROFILE%\Documents\GitHub\eaglep3\Utilities\DownloadLogsFromS3.py --loco 4021 --day 2017-11-07</v>
      </c>
      <c r="AN230" s="151" t="str">
        <f t="shared" si="112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21:44:51"},{"id":29,"name":"Sharepoint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13"/>
        <v>https://d0f6bd738d7f1b3e5a7ca70fe4ff75f0.us-east-1.aws.found.io/app/kibana#/discover/Steve-Slow-Train-Analysis-(2080s-and-2083s)?_g=(refreshInterval:(display:Off,pause:!f,section:0,value:0),time:(from:'2017-11-07T13:41:19-0700',mode:absolute,to:'2017-11-07T15:44:51-0700'))&amp;_a=(columns:!('Message%20ID',Summary),filters:!(),index:'emp_*',interval:auto,query:(query_string:(analyze_wildcard:!t,query:'%22rtdc.l.rtdc.4021%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794</v>
      </c>
      <c r="B231" s="7">
        <v>4022</v>
      </c>
      <c r="C231" s="21" t="s">
        <v>192</v>
      </c>
      <c r="D231" s="21" t="s">
        <v>1004</v>
      </c>
      <c r="E231" s="13">
        <v>43046.608194444445</v>
      </c>
      <c r="F231" s="13">
        <v>43046.613379629627</v>
      </c>
      <c r="G231" s="7">
        <v>70</v>
      </c>
      <c r="H231" s="21" t="s">
        <v>1005</v>
      </c>
      <c r="I231" s="13">
        <v>43046.614479166667</v>
      </c>
      <c r="J231" s="7">
        <v>0</v>
      </c>
      <c r="K231" s="89" t="str">
        <f>IF(ISEVEN(B231),(B231-1)&amp;"/"&amp;B231,B231&amp;"/"&amp;(B231+1))</f>
        <v>4021/4022</v>
      </c>
      <c r="L231" s="185" t="str">
        <f>VLOOKUP(A231,'Trips&amp;Operators'!$C$1:$G$99911,5,FALSE)</f>
        <v>NEWELL JAMES</v>
      </c>
      <c r="M231" s="6">
        <f>I231-F231</f>
        <v>1.0995370394084603E-3</v>
      </c>
      <c r="N231" s="7">
        <f>24*60*SUM($M231:$M231)</f>
        <v>1.5833333367481828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-11-07T13:35:48-0700',mode:absolute,to:'2017-11-07T15:44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0</v>
      </c>
      <c r="Y231" s="204">
        <f>RIGHT(D231,LEN(D231)-4)/10000</f>
        <v>0.14899999999999999</v>
      </c>
      <c r="Z231" s="204">
        <f>RIGHT(H231,LEN(H231)-4)/10000</f>
        <v>0.34370000000000001</v>
      </c>
      <c r="AA231" s="204">
        <f>ABS(Z231-Y231)</f>
        <v>0.19470000000000001</v>
      </c>
      <c r="AB231" s="54" t="e">
        <f>VLOOKUP(A231,Enforcements!$C$7:$K$10,8,0)</f>
        <v>#N/A</v>
      </c>
      <c r="AC231" s="51" t="e">
        <f>VLOOKUP(A231,Enforcements!$C$7:$E$10,3,0)</f>
        <v>#N/A</v>
      </c>
      <c r="AD231" s="179">
        <f>VALUE(LEFT(A231,LEN(A231)-3))</f>
        <v>70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s3://rtdc.mdm.uploadarchive.raw/RTDC4022/ "%USERPROFILE%\AppData\Local\Temp\OnboardLogs"\RTDC4022\2017-11-07 --exclude "*" --recursive --include "*20171107*" &amp; "%USERPROFILE%\Documents\GitHub\mrs-test-scripts\Headless Mode &amp; Sideloading\WalkAndUnGZ.bat" "%USERPROFILE%\AppData\Local\Temp\OnboardLogs"\RTDC4022\2017-11-07 &amp; aws s3 cp s3://rtdc.mdm.uploadarchive.raw/RTDC4022/ "%USERPROFILE%\AppData\Local\Temp\OnboardLogs"\RTDC4022\2017-11-08 --exclude "*" --recursive --include "*20171108*" &amp; "%USERPROFILE%\Documents\GitHub\mrs-test-scripts\Headless Mode &amp; Sideloading\WalkAndUnGZ.bat" "%USERPROFILE%\AppData\Local\Temp\OnboardLogs"\RTDC4022\2017-11-08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/stypes="app*4022*20171107*" /stext=" 21:.+((SYSTEM_STATE.+slice.+state.+changed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109"/>
        <v>"%USERPROFILE%\Documents\GitHub\eaglep3\Utilities\RefineRTDCRunTimes.py" --tripid 70-07 --locoid 4022 --swversion DE.1.0.9.0 --startMP 204:1490 --initTime 2017-11-07T14:35:48 --startdatetime 2017-11-07T14:43:16 --delay 70 --endMP 204:3437 --enddatetime 2017-11-07T14:44:51 --enforcementcount 0 &gt;&gt;%USERPROFILE%\Documents\GitHub\eaglep3-reporting\EC\2017-11-07-refined-times.txt</v>
      </c>
      <c r="AI231" s="96" t="str">
        <f t="shared" si="110"/>
        <v>echo {"issue":{"subject":"","project_id":79,"tracker_id":40,"status_id":1,"priority_id":2,"assigned_to_id":338,"start_date":"2017-11-07","description":"","custom_fields":[{"id":1,"name":"Subdivision","value":"Shuttle/Test"},{"id":4,"name":"Milepost","value":"0.3437"},{"id":17,"name":"Train ID","value":"70-07"},{"id":16,"name":"Locomotive ID","value":"4022"},{"id":130,"name":"Impact","value":""},{"id":150,"name":"Time of Event (Mountain Time)","value":"14:44:51"},{"id":151,"name":"Denver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11"/>
        <v>start /low /b %USERPROFILE%\Documents\GitHub\eaglep3\Utilities\DownloadLogsFromS3.py --loco 4022 --day 2017-11-07</v>
      </c>
      <c r="AN231" s="151" t="str">
        <f t="shared" si="112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21:44:51"},{"id":29,"name":"Sharepoint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13"/>
        <v>https://d0f6bd738d7f1b3e5a7ca70fe4ff75f0.us-east-1.aws.found.io/app/kibana#/discover/Steve-Slow-Train-Analysis-(2080s-and-2083s)?_g=(refreshInterval:(display:Off,pause:!f,section:0,value:0),time:(from:'2017-11-07T13:35:48-0700',mode:absolute,to:'2017-11-07T15:44:51-0700'))&amp;_a=(columns:!('Message%20ID',Summary),filters:!(),index:'emp_*',interval:auto,query:(query_string:(analyze_wildcard:!t,query:'%22rtdc.l.rtdc.4022%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794</v>
      </c>
      <c r="B232" s="7">
        <v>4015</v>
      </c>
      <c r="C232" s="21" t="s">
        <v>192</v>
      </c>
      <c r="D232" s="21" t="s">
        <v>1006</v>
      </c>
      <c r="E232" s="13">
        <v>43046.73537037037</v>
      </c>
      <c r="F232" s="13">
        <v>43046.737222222226</v>
      </c>
      <c r="G232" s="7">
        <v>66</v>
      </c>
      <c r="H232" s="21" t="s">
        <v>1007</v>
      </c>
      <c r="I232" s="13">
        <v>43046.747430555559</v>
      </c>
      <c r="J232" s="7">
        <v>0</v>
      </c>
      <c r="K232" s="89" t="str">
        <f>IF(ISEVEN(B232),(B232-1)&amp;"/"&amp;B232,B232&amp;"/"&amp;(B232+1))</f>
        <v>4015/4016</v>
      </c>
      <c r="L232" s="185" t="str">
        <f>VLOOKUP(A232,'Trips&amp;Operators'!$C$1:$G$99911,5,FALSE)</f>
        <v>NEWELL JAMES</v>
      </c>
      <c r="M232" s="6">
        <f>I232-F232</f>
        <v>1.0208333333139308E-2</v>
      </c>
      <c r="N232" s="7">
        <f>24*60*SUM($M232:$M232)</f>
        <v>14.699999999720603</v>
      </c>
      <c r="O232" s="7"/>
      <c r="P232" s="7"/>
      <c r="Q232" s="22"/>
      <c r="R232" s="174"/>
      <c r="S232" s="221">
        <f>1/IF(AG232="EC",12,1)*SUM(U232:U232)</f>
        <v>1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-11-07T16:38:56-0700',mode:absolute,to:'2017-11-07T18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0</v>
      </c>
      <c r="Y232" s="204">
        <f>RIGHT(D232,LEN(D232)-4)/10000</f>
        <v>2.3473999999999999</v>
      </c>
      <c r="Z232" s="204">
        <f>RIGHT(H232,LEN(H232)-4)/10000</f>
        <v>0.1111</v>
      </c>
      <c r="AA232" s="204">
        <f>ABS(Z232-Y232)</f>
        <v>2.2363</v>
      </c>
      <c r="AB232" s="54" t="e">
        <f>VLOOKUP(A232,Enforcements!$C$7:$K$10,8,0)</f>
        <v>#N/A</v>
      </c>
      <c r="AC232" s="51" t="e">
        <f>VLOOKUP(A232,Enforcements!$C$7:$E$10,3,0)</f>
        <v>#N/A</v>
      </c>
      <c r="AD232" s="179">
        <f>VALUE(LEFT(A232,LEN(A232)-3))</f>
        <v>70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s3://rtdc.mdm.uploadarchive.raw/RTDC4015/ "%USERPROFILE%\AppData\Local\Temp\OnboardLogs"\RTDC4015\2017-11-07 --exclude "*" --recursive --include "*20171107*" &amp; "%USERPROFILE%\Documents\GitHub\mrs-test-scripts\Headless Mode &amp; Sideloading\WalkAndUnGZ.bat" "%USERPROFILE%\AppData\Local\Temp\OnboardLogs"\RTDC4015\2017-11-07 &amp; aws s3 cp s3://rtdc.mdm.uploadarchive.raw/RTDC4015/ "%USERPROFILE%\AppData\Local\Temp\OnboardLogs"\RTDC4015\2017-11-08 --exclude "*" --recursive --include "*20171108*" &amp; "%USERPROFILE%\Documents\GitHub\mrs-test-scripts\Headless Mode &amp; Sideloading\WalkAndUnGZ.bat" "%USERPROFILE%\AppData\Local\Temp\OnboardLogs"\RTDC4015\2017-11-08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/stypes="app*4015*20171108*" /stext=" 00:.+((SYSTEM_STATE.+slice.+state.+changed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109"/>
        <v>"%USERPROFILE%\Documents\GitHub\eaglep3\Utilities\RefineRTDCRunTimes.py" --tripid 70-07 --locoid 4015 --swversion DE.1.0.9.0 --startMP 300:23474 --initTime 2017-11-07T17:38:56 --startdatetime 2017-11-07T17:41:36 --delay 66 --endMP 204:1111 --enddatetime 2017-11-07T17:56:18 --enforcementcount 0 &gt;&gt;%USERPROFILE%\Documents\GitHub\eaglep3-reporting\EC\2017-11-07-refined-times.txt</v>
      </c>
      <c r="AI232" s="96" t="str">
        <f t="shared" si="110"/>
        <v>echo {"issue":{"subject":"","project_id":79,"tracker_id":40,"status_id":1,"priority_id":2,"assigned_to_id":338,"start_date":"2017-11-07","description":"","custom_fields":[{"id":1,"name":"Subdivision","value":"Shuttle/Test"},{"id":4,"name":"Milepost","value":"0.1111"},{"id":17,"name":"Train ID","value":"70-07"},{"id":16,"name":"Locomotive ID","value":"4015"},{"id":130,"name":"Impact","value":""},{"id":150,"name":"Time of Event (Mountain Time)","value":"17:56:18"},{"id":151,"name":"Denver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11"/>
        <v>start /low /b %USERPROFILE%\Documents\GitHub\eaglep3\Utilities\DownloadLogsFromS3.py --loco 4015 --day 2017-11-07</v>
      </c>
      <c r="AN232" s="151" t="str">
        <f t="shared" si="11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13"/>
        <v>https://d0f6bd738d7f1b3e5a7ca70fe4ff75f0.us-east-1.aws.found.io/app/kibana#/discover/Steve-Slow-Train-Analysis-(2080s-and-2083s)?_g=(refreshInterval:(display:Off,pause:!f,section:0,value:0),time:(from:'2017-11-07T16:38:56-0700',mode:absolute,to:'2017-11-07T18:56:18-0700'))&amp;_a=(columns:!('Message%20ID',Summary),filters:!(),index:'emp_*',interval:auto,query:(query_string:(analyze_wildcard:!t,query:'%22rtdc.l.rtdc.4015%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828</v>
      </c>
      <c r="B233" s="7">
        <v>4014</v>
      </c>
      <c r="C233" s="21" t="s">
        <v>192</v>
      </c>
      <c r="D233" s="21" t="s">
        <v>1008</v>
      </c>
      <c r="E233" s="13">
        <v>43046.712569444448</v>
      </c>
      <c r="F233" s="13">
        <v>43046.722766203704</v>
      </c>
      <c r="G233" s="7">
        <v>209</v>
      </c>
      <c r="H233" s="21" t="s">
        <v>1009</v>
      </c>
      <c r="I233" s="13">
        <v>43046.727592592593</v>
      </c>
      <c r="J233" s="7">
        <v>0</v>
      </c>
      <c r="K233" s="89" t="str">
        <f>IF(ISEVEN(B233),(B233-1)&amp;"/"&amp;B233,B233&amp;"/"&amp;(B233+1))</f>
        <v>4013/4014</v>
      </c>
      <c r="L233" s="185" t="str">
        <f>VLOOKUP(A233,'Trips&amp;Operators'!$C$1:$G$99911,5,FALSE)</f>
        <v>ROBINSON KADDIBA</v>
      </c>
      <c r="M233" s="6">
        <f>I233-F233</f>
        <v>4.8263888893416151E-3</v>
      </c>
      <c r="N233" s="7">
        <f>24*60*SUM($M233:$M233)</f>
        <v>6.9500000006519258</v>
      </c>
      <c r="O233" s="7"/>
      <c r="P233" s="7"/>
      <c r="Q233" s="22"/>
      <c r="R233" s="174"/>
      <c r="S233" s="221">
        <f>1/IF(AG233="EC",12,1)*SUM(U233:U233)</f>
        <v>1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-11-07T16:06:06-0700',mode:absolute,to:'2017-11-07T18:27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5</v>
      </c>
      <c r="Y233" s="204">
        <f>RIGHT(D233,LEN(D233)-4)/10000</f>
        <v>0.1154</v>
      </c>
      <c r="Z233" s="204">
        <f>RIGHT(H233,LEN(H233)-4)/10000</f>
        <v>2.331</v>
      </c>
      <c r="AA233" s="204">
        <f>ABS(Z233-Y233)</f>
        <v>2.2155999999999998</v>
      </c>
      <c r="AB233" s="54" t="e">
        <f>VLOOKUP(A233,Enforcements!$C$7:$K$10,8,0)</f>
        <v>#N/A</v>
      </c>
      <c r="AC233" s="51" t="e">
        <f>VLOOKUP(A233,Enforcements!$C$7:$E$10,3,0)</f>
        <v>#N/A</v>
      </c>
      <c r="AD233" s="179">
        <f>VALUE(LEFT(A233,LEN(A233)-3))</f>
        <v>75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s3://rtdc.mdm.uploadarchive.raw/RTDC4014/ "%USERPROFILE%\AppData\Local\Temp\OnboardLogs"\RTDC4014\2017-11-07 --exclude "*" --recursive --include "*20171107*" &amp; "%USERPROFILE%\Documents\GitHub\mrs-test-scripts\Headless Mode &amp; Sideloading\WalkAndUnGZ.bat" "%USERPROFILE%\AppData\Local\Temp\OnboardLogs"\RTDC4014\2017-11-07 &amp; aws s3 cp s3://rtdc.mdm.uploadarchive.raw/RTDC4014/ "%USERPROFILE%\AppData\Local\Temp\OnboardLogs"\RTDC4014\2017-11-08 --exclude "*" --recursive --include "*20171108*" &amp; "%USERPROFILE%\Documents\GitHub\mrs-test-scripts\Headless Mode &amp; Sideloading\WalkAndUnGZ.bat" "%USERPROFILE%\AppData\Local\Temp\OnboardLogs"\RTDC4014\2017-11-08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/stypes="app*4014*20171108*" /stext=" 00:.+((SYSTEM_STATE.+slice.+state.+changed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109"/>
        <v>"%USERPROFILE%\Documents\GitHub\eaglep3\Utilities\RefineRTDCRunTimes.py" --tripid 75-07 --locoid 4014 --swversion DE.1.0.9.0 --startMP 204:1154 --initTime 2017-11-07T17:06:06 --startdatetime 2017-11-07T17:20:47 --delay 209 --endMP 300:23310 --enddatetime 2017-11-07T17:27:44 --enforcementcount 0 &gt;&gt;%USERPROFILE%\Documents\GitHub\eaglep3-reporting\EC\2017-11-07-refined-times.txt</v>
      </c>
      <c r="AI233" s="96" t="str">
        <f t="shared" si="110"/>
        <v>echo {"issue":{"subject":"","project_id":79,"tracker_id":40,"status_id":1,"priority_id":2,"assigned_to_id":338,"start_date":"2017-11-07","description":"","custom_fields":[{"id":1,"name":"Subdivision","value":"Shuttle/Test"},{"id":4,"name":"Milepost","value":"2.331"},{"id":17,"name":"Train ID","value":"75-07"},{"id":16,"name":"Locomotive ID","value":"4014"},{"id":130,"name":"Impact","value":""},{"id":150,"name":"Time of Event (Mountain Time)","value":"17:27:44"},{"id":151,"name":"Denver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11"/>
        <v>start /low /b %USERPROFILE%\Documents\GitHub\eaglep3\Utilities\DownloadLogsFromS3.py --loco 4014 --day 2017-11-07</v>
      </c>
      <c r="AN233" s="151" t="str">
        <f t="shared" si="11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00:27:44"},{"id":29,"name":"Sharepoint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13"/>
        <v>https://d0f6bd738d7f1b3e5a7ca70fe4ff75f0.us-east-1.aws.found.io/app/kibana#/discover/Steve-Slow-Train-Analysis-(2080s-and-2083s)?_g=(refreshInterval:(display:Off,pause:!f,section:0,value:0),time:(from:'2017-11-07T16:06:06-0700',mode:absolute,to:'2017-11-07T18:27:44-0700'))&amp;_a=(columns:!('Message%20ID',Summary),filters:!(),index:'emp_*',interval:auto,query:(query_string:(analyze_wildcard:!t,query:'%22rtdc.l.rtdc.4014%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821</v>
      </c>
      <c r="B234" s="7">
        <v>4066</v>
      </c>
      <c r="C234" s="21" t="s">
        <v>192</v>
      </c>
      <c r="D234" s="21" t="s">
        <v>1010</v>
      </c>
      <c r="E234" s="13">
        <v>43046.68787037037</v>
      </c>
      <c r="F234" s="13">
        <v>43046.697164351855</v>
      </c>
      <c r="G234" s="7">
        <v>587</v>
      </c>
      <c r="H234" s="21" t="s">
        <v>1011</v>
      </c>
      <c r="I234" s="13">
        <v>43046.704074074078</v>
      </c>
      <c r="J234" s="7">
        <v>0</v>
      </c>
      <c r="K234" s="89" t="str">
        <f>IF(ISEVEN(B234),(B234-1)&amp;"/"&amp;B234,B234&amp;"/"&amp;(B234+1))</f>
        <v>4065/4066</v>
      </c>
      <c r="L234" s="185" t="str">
        <f>VLOOKUP(A234,'Trips&amp;Operators'!$C$1:$G$99911,5,FALSE)</f>
        <v>DE LA ROSA ALEX</v>
      </c>
      <c r="M234" s="6">
        <f>I234-F234</f>
        <v>6.9097222221898846E-3</v>
      </c>
      <c r="N234" s="7">
        <f>24*60*SUM($M234:$M234)</f>
        <v>9.9499999999534339</v>
      </c>
      <c r="O234" s="7"/>
      <c r="P234" s="7"/>
      <c r="Q234" s="22"/>
      <c r="R234" s="174"/>
      <c r="S234" s="221">
        <f>1/IF(AG234="EC",12,1)*SUM(U234:U234)</f>
        <v>1</v>
      </c>
      <c r="T234" s="174" t="str">
        <f>IF(ISEVEN(LEFT(AD234,4)),"Southbound","NorthBound")</f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-11-07T15:30:32-0700',mode:absolute,to:'2017-11-07T17:53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2</v>
      </c>
      <c r="Y234" s="204">
        <f>RIGHT(D234,LEN(D234)-4)/10000</f>
        <v>0.1157</v>
      </c>
      <c r="Z234" s="204">
        <f>RIGHT(H234,LEN(H234)-4)/10000</f>
        <v>2.3315999999999999</v>
      </c>
      <c r="AA234" s="204">
        <f>ABS(Z234-Y234)</f>
        <v>2.2159</v>
      </c>
      <c r="AB234" s="54" t="e">
        <f>VLOOKUP(A234,Enforcements!$C$7:$K$10,8,0)</f>
        <v>#N/A</v>
      </c>
      <c r="AC234" s="51" t="e">
        <f>VLOOKUP(A234,Enforcements!$C$7:$E$10,3,0)</f>
        <v>#N/A</v>
      </c>
      <c r="AD234" s="179">
        <f>VALUE(LEFT(A234,LEN(A234)-3))</f>
        <v>77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 &amp; aws s3 cp s3://rtdc.mdm.uploadarchive.raw/RTDC4066/ "%USERPROFILE%\AppData\Local\Temp\OnboardLogs"\RTDC4066\2017-11-08 --exclude "*" --recursive --include "*20171108*" &amp; "%USERPROFILE%\Documents\GitHub\mrs-test-scripts\Headless Mode &amp; Sideloading\WalkAndUnGZ.bat" "%USERPROFILE%\AppData\Local\Temp\OnboardLogs"\RTDC4066\2017-11-08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/stypes="app*4066*20171107*" /stext=" 23:.+((SYSTEM_STATE.+slice.+state.+changed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109"/>
        <v>"%USERPROFILE%\Documents\GitHub\eaglep3\Utilities\RefineRTDCRunTimes.py" --tripid 77-07 --locoid 4066 --swversion DE.1.0.9.0 --startMP 204:1157 --initTime 2017-11-07T16:30:32 --startdatetime 2017-11-07T16:43:55 --delay 587 --endMP 300:23316 --enddatetime 2017-11-07T16:53:52 --enforcementcount 0 &gt;&gt;%USERPROFILE%\Documents\GitHub\eaglep3-reporting\EC\2017-11-07-refined-times.txt</v>
      </c>
      <c r="AI234" s="96" t="str">
        <f t="shared" si="110"/>
        <v>echo {"issue":{"subject":"","project_id":79,"tracker_id":40,"status_id":1,"priority_id":2,"assigned_to_id":338,"start_date":"2017-11-07","description":"","custom_fields":[{"id":1,"name":"Subdivision","value":"Shuttle/Test"},{"id":4,"name":"Milepost","value":"2.3316"},{"id":17,"name":"Train ID","value":"77-07"},{"id":16,"name":"Locomotive ID","value":"4066"},{"id":130,"name":"Impact","value":""},{"id":150,"name":"Time of Event (Mountain Time)","value":"16:53:52"},{"id":151,"name":"Denver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111"/>
        <v>start /low /b %USERPROFILE%\Documents\GitHub\eaglep3\Utilities\DownloadLogsFromS3.py --loco 4066 --day 2017-11-07</v>
      </c>
      <c r="AN234" s="151" t="str">
        <f t="shared" si="112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23:53:52"},{"id":29,"name":"Sharepoint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13"/>
        <v>https://d0f6bd738d7f1b3e5a7ca70fe4ff75f0.us-east-1.aws.found.io/app/kibana#/discover/Steve-Slow-Train-Analysis-(2080s-and-2083s)?_g=(refreshInterval:(display:Off,pause:!f,section:0,value:0),time:(from:'2017-11-07T15:30:32-0700',mode:absolute,to:'2017-11-07T17:53:52-0700'))&amp;_a=(columns:!('Message%20ID',Summary),filters:!(),index:'emp_*',interval:auto,query:(query_string:(analyze_wildcard:!t,query:'%22rtdc.l.rtdc.4066%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4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4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4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4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4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4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4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4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4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</sheetData>
  <autoFilter ref="A12:AG468">
    <sortState ref="A13:AG468">
      <sortCondition ref="AG13:AG234"/>
      <sortCondition ref="AD13:AD234"/>
    </sortState>
  </autoFilter>
  <sortState ref="A13:AN373">
    <sortCondition ref="AG13:AG373"/>
    <sortCondition ref="AD13:AD373"/>
  </sortState>
  <mergeCells count="1">
    <mergeCell ref="A11:P11"/>
  </mergeCells>
  <conditionalFormatting sqref="W11:W12 W474:X1048576 W13:X234">
    <cfRule type="cellIs" dxfId="10" priority="465" operator="equal">
      <formula>"Y"</formula>
    </cfRule>
  </conditionalFormatting>
  <conditionalFormatting sqref="X474:X1048576 X13:X234">
    <cfRule type="cellIs" dxfId="9" priority="448" operator="greaterThan">
      <formula>1</formula>
    </cfRule>
  </conditionalFormatting>
  <conditionalFormatting sqref="X474:X1048576 X12:X234">
    <cfRule type="cellIs" dxfId="8" priority="445" operator="equal">
      <formula>0</formula>
    </cfRule>
  </conditionalFormatting>
  <conditionalFormatting sqref="A13:S234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5"/>
  <sheetViews>
    <sheetView topLeftCell="A5" zoomScaleNormal="100" workbookViewId="0">
      <selection activeCell="O28" sqref="O28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COUNTIF($O$7:$O$229,"=Y")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COUNTA($O$7:$O$229)-O2</f>
        <v>17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- 2017-11-07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3">
      <c r="A7" s="31">
        <v>43046.275254629632</v>
      </c>
      <c r="B7" s="30" t="s">
        <v>643</v>
      </c>
      <c r="C7" s="30" t="s">
        <v>644</v>
      </c>
      <c r="D7" s="30" t="s">
        <v>49</v>
      </c>
      <c r="E7" s="30" t="s">
        <v>183</v>
      </c>
      <c r="F7" s="42">
        <v>0</v>
      </c>
      <c r="G7" s="42">
        <v>212</v>
      </c>
      <c r="H7" s="42">
        <v>27002</v>
      </c>
      <c r="I7" s="42">
        <v>27217</v>
      </c>
      <c r="J7" s="30" t="s">
        <v>184</v>
      </c>
      <c r="K7" s="42">
        <v>27053</v>
      </c>
      <c r="L7" s="131" t="s">
        <v>50</v>
      </c>
      <c r="M7" s="132">
        <f>CONVERT((I7-K7)/10000,"mi","ft")*IF(L7="Increasing Mileposts (1)",-1,1)</f>
        <v>-86.592000000000013</v>
      </c>
      <c r="N7" s="133" t="str">
        <f>VLOOKUP(C7,'Trips&amp;Operators'!$C$1:$G$99911,5,FALSE)</f>
        <v>LAMAR NEKESHA</v>
      </c>
      <c r="O7" s="176" t="s">
        <v>178</v>
      </c>
      <c r="P7" s="134" t="s">
        <v>344</v>
      </c>
      <c r="Q7" s="30"/>
      <c r="R7" s="81" t="str">
        <f>VLOOKUP(C7,'Train Runs'!$A$13:$AE$10127,31,0)</f>
        <v>aws s3 cp s3://rtdc.mdm.uploadarchive.raw/RTDC4026/ "%USERPROFILE%\AppData\Local\Temp\OnboardLogs"\RTDC4026\2017-11-07 --exclude "*" --recursive --include "*20171107*" &amp; "%USERPROFILE%\Documents\GitHub\mrs-test-scripts\Headless Mode &amp; Sideloading\WalkAndUnGZ.bat" "%USERPROFILE%\AppData\Local\Temp\OnboardLogs"\RTDC4026\2017-11-07 &amp; aws s3 cp s3://rtdc.mdm.uploadarchive.raw/RTDC4026/ "%USERPROFILE%\AppData\Local\Temp\OnboardLogs"\RTDC4026\2017-11-08 --exclude "*" --recursive --include "*20171108*" &amp; "%USERPROFILE%\Documents\GitHub\mrs-test-scripts\Headless Mode &amp; Sideloading\WalkAndUnGZ.bat" "%USERPROFILE%\AppData\Local\Temp\OnboardLogs"\RTDC4026\2017-11-08</v>
      </c>
      <c r="S7" s="84" t="str">
        <f>VLOOKUP(C7,'Train Runs'!$A$13:$AE$10127,22,0)</f>
        <v>https://d0f6bd738d7f1b3e5a7ca70fe4ff75f0.us-east-1.aws.found.io/app/kibana#/discover/Steve-Slow-Train-Analysis-(2080s-and-2083s)?_g=(refreshInterval:(display:Off,pause:!f,section:0,value:0),time:(from:'2017-11-07T05:23:22-0700',mode:absolute,to:'2017-11-07T08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/stypes="*4026*201711071*" /stext=" 13:.+((SYSTEM_STATE.+slice.+state.+changed )|(ment ac)|(multiple cpu faults)|(system.+state.+changed )|(\[timeout)|(PRM\|1\|D)|(kpr)|(kdp)|(train st.+moving)|(\|lc)|(penalty))"</v>
      </c>
      <c r="U7" s="9" t="str">
        <f>MID(B7,13,4)</f>
        <v>4026</v>
      </c>
      <c r="V7" s="31">
        <f>A7-utc_offset/24</f>
        <v>43046.566921296297</v>
      </c>
      <c r="W7" s="45" t="str">
        <f>DetSubdiv(C7)</f>
        <v>EC</v>
      </c>
      <c r="X7" s="22">
        <f>VALUE(LEFT(C7,LEN(C7)-3))</f>
        <v>123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Arrival","project_id":79,"tracker_id":40,"status_id":1,"priority_id":2,"assigned_to_id":338,"start_date":"2017-11-07","description":"","custom_fields":[{"id":1,"name":"Subdivision","value":"EC"},{"id":4,"name":"Milepost","value":"2.7053"},{"id":17,"name":"Train ID","value":"123-07"},{"id":16,"name":"Locomotive ID","value":"4026"},{"id":130,"name":"Impact","value":""},{"id":150,"name":"Time of Event (Mountain Time)","value":"06:36:22"},{"id":151,"name":"Denver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/c/Users/stu/AppData/Local/Temp/OnboardLogs/RTDC4026 --include="*4026*201711071*"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"%USERPROFILE%\AppData\Local\Temp\OnboardLogs"\RTDC4026\*4026*201711071* &gt;&gt; 2017-11-07-SliceDisagreementCheck.txt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4026 --day 2017-11-07</v>
      </c>
    </row>
    <row r="8" spans="1:32" s="1" customFormat="1" x14ac:dyDescent="0.3">
      <c r="A8" s="31">
        <v>43047.036354166667</v>
      </c>
      <c r="B8" s="30" t="s">
        <v>670</v>
      </c>
      <c r="C8" s="30" t="s">
        <v>671</v>
      </c>
      <c r="D8" s="30" t="s">
        <v>49</v>
      </c>
      <c r="E8" s="30" t="s">
        <v>183</v>
      </c>
      <c r="F8" s="42">
        <v>120</v>
      </c>
      <c r="G8" s="42">
        <v>285</v>
      </c>
      <c r="H8" s="42">
        <v>58904</v>
      </c>
      <c r="I8" s="42">
        <v>58541</v>
      </c>
      <c r="J8" s="30" t="s">
        <v>184</v>
      </c>
      <c r="K8" s="42">
        <v>58301</v>
      </c>
      <c r="L8" s="131" t="s">
        <v>51</v>
      </c>
      <c r="M8" s="132">
        <f>CONVERT((I8-K8)/10000,"mi","ft")*IF(L8="Increasing Mileposts (1)",-1,1)</f>
        <v>126.72</v>
      </c>
      <c r="N8" s="133" t="str">
        <f>VLOOKUP(C8,'Trips&amp;Operators'!$C$1:$G$99911,5,FALSE)</f>
        <v>LOZA FIDEL</v>
      </c>
      <c r="O8" s="176" t="s">
        <v>178</v>
      </c>
      <c r="P8" s="134" t="s">
        <v>344</v>
      </c>
      <c r="Q8" s="30"/>
      <c r="R8" s="81" t="str">
        <f>VLOOKUP(C8,'Train Runs'!$A$13:$AE$10127,31,0)</f>
        <v>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 &amp; 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</v>
      </c>
      <c r="S8" s="84" t="str">
        <f>VLOOKUP(C8,'Train Runs'!$A$13:$AE$10127,22,0)</f>
        <v>https://d0f6bd738d7f1b3e5a7ca70fe4ff75f0.us-east-1.aws.found.io/app/kibana#/discover/Steve-Slow-Train-Analysis-(2080s-and-2083s)?_g=(refreshInterval:(display:Off,pause:!f,section:0,value:0),time:(from:'2017-11-07T23:22:38-0700',mode:absolute,to:'2017-11-08T02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/stypes="*4063*201711080*" /stext=" 07:.+((SYSTEM_STATE.+slice.+state.+changed )|(ment ac)|(multiple cpu faults)|(system.+state.+changed )|(\[timeout)|(PRM\|1\|D)|(kpr)|(kdp)|(train st.+moving)|(\|lc)|(penalty))"</v>
      </c>
      <c r="U8" s="9" t="str">
        <f>MID(B8,13,4)</f>
        <v>4063</v>
      </c>
      <c r="V8" s="31">
        <f>A8-utc_offset/24</f>
        <v>43047.328020833331</v>
      </c>
      <c r="W8" s="45" t="str">
        <f>DetSubdiv(C8)</f>
        <v>EC</v>
      </c>
      <c r="X8" s="22">
        <f>VALUE(LEFT(C8,LEN(C8)-3))</f>
        <v>240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Arrival","project_id":79,"tracker_id":40,"status_id":1,"priority_id":2,"assigned_to_id":338,"start_date":"2017-11-08","description":"","custom_fields":[{"id":1,"name":"Subdivision","value":"EC"},{"id":4,"name":"Milepost","value":"5.8301"},{"id":17,"name":"Train ID","value":"240-07"},{"id":16,"name":"Locomotive ID","value":"4063"},{"id":130,"name":"Impact","value":""},{"id":150,"name":"Time of Event (Mountain Time)","value":"00:52:21"},{"id":151,"name":"Denver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/c/Users/stu/AppData/Local/Temp/OnboardLogs/RTDC4063 --include="*4063*201711080*"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"%USERPROFILE%\AppData\Local\Temp\OnboardLogs"\RTDC4063\*4063*201711080* &gt;&gt; 2017-11-07-SliceDisagreementCheck.txt</v>
      </c>
      <c r="AE8" s="145" t="str">
        <f t="shared" ref="AE8:AE26" si="1">"start /low /b "&amp;dls3logs&amp;" --loco "&amp;U8&amp;" --day "&amp;TEXT(V8,"YYYY-MM-DD")</f>
        <v>start /low /b %USERPROFILE%\Documents\GitHub\eaglep3\Utilities\DownloadLogsFromS3.py --loco 4063 --day 2017-11-08</v>
      </c>
    </row>
    <row r="9" spans="1:32" s="1" customFormat="1" x14ac:dyDescent="0.3">
      <c r="A9" s="31">
        <v>43047.037037037036</v>
      </c>
      <c r="B9" s="30" t="s">
        <v>670</v>
      </c>
      <c r="C9" s="30" t="s">
        <v>671</v>
      </c>
      <c r="D9" s="30" t="s">
        <v>49</v>
      </c>
      <c r="E9" s="30" t="s">
        <v>183</v>
      </c>
      <c r="F9" s="42">
        <v>120</v>
      </c>
      <c r="G9" s="42">
        <v>285</v>
      </c>
      <c r="H9" s="42">
        <v>58904</v>
      </c>
      <c r="I9" s="42">
        <v>55591</v>
      </c>
      <c r="J9" s="30" t="s">
        <v>184</v>
      </c>
      <c r="K9" s="42">
        <v>58301</v>
      </c>
      <c r="L9" s="131" t="s">
        <v>51</v>
      </c>
      <c r="M9" s="132">
        <f>CONVERT((I9-K9)/10000,"mi","ft")*IF(L9="Increasing Mileposts (1)",-1,1)</f>
        <v>-1430.88</v>
      </c>
      <c r="N9" s="133" t="str">
        <f>VLOOKUP(C9,'Trips&amp;Operators'!$C$1:$G$99911,5,FALSE)</f>
        <v>LOZA FIDEL</v>
      </c>
      <c r="O9" s="176" t="s">
        <v>178</v>
      </c>
      <c r="P9" s="134" t="s">
        <v>344</v>
      </c>
      <c r="Q9" s="30"/>
      <c r="R9" s="81" t="str">
        <f>VLOOKUP(C9,'Train Runs'!$A$13:$AE$10127,31,0)</f>
        <v>aws s3 cp s3://rtdc.mdm.uploadarchive.raw/RTDC4063/ "%USERPROFILE%\AppData\Local\Temp\OnboardLogs"\RTDC4063\2017-11-08 --exclude "*" --recursive --include "*20171108*" &amp; "%USERPROFILE%\Documents\GitHub\mrs-test-scripts\Headless Mode &amp; Sideloading\WalkAndUnGZ.bat" "%USERPROFILE%\AppData\Local\Temp\OnboardLogs"\RTDC4063\2017-11-08 &amp; 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</v>
      </c>
      <c r="S9" s="84" t="str">
        <f>VLOOKUP(C9,'Train Runs'!$A$13:$AE$10127,22,0)</f>
        <v>https://d0f6bd738d7f1b3e5a7ca70fe4ff75f0.us-east-1.aws.found.io/app/kibana#/discover/Steve-Slow-Train-Analysis-(2080s-and-2083s)?_g=(refreshInterval:(display:Off,pause:!f,section:0,value:0),time:(from:'2017-11-07T23:22:38-0700',mode:absolute,to:'2017-11-08T02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/stypes="*4063*201711080*" /stext=" 07:.+((SYSTEM_STATE.+slice.+state.+changed )|(ment ac)|(multiple cpu faults)|(system.+state.+changed )|(\[timeout)|(PRM\|1\|D)|(kpr)|(kdp)|(train st.+moving)|(\|lc)|(penalty))"</v>
      </c>
      <c r="U9" s="9" t="str">
        <f>MID(B9,13,4)</f>
        <v>4063</v>
      </c>
      <c r="V9" s="31">
        <f>A9-utc_offset/24</f>
        <v>43047.328703703701</v>
      </c>
      <c r="W9" s="45" t="str">
        <f>DetSubdiv(C9)</f>
        <v>EC</v>
      </c>
      <c r="X9" s="22">
        <f>VALUE(LEFT(C9,LEN(C9)-3))</f>
        <v>240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Arrival","project_id":79,"tracker_id":40,"status_id":1,"priority_id":2,"assigned_to_id":338,"start_date":"2017-11-08","description":"","custom_fields":[{"id":1,"name":"Subdivision","value":"EC"},{"id":4,"name":"Milepost","value":"5.8301"},{"id":17,"name":"Train ID","value":"240-07"},{"id":16,"name":"Locomotive ID","value":"4063"},{"id":130,"name":"Impact","value":""},{"id":150,"name":"Time of Event (Mountain Time)","value":"00:53:20"},{"id":151,"name":"Denver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/c/Users/stu/AppData/Local/Temp/OnboardLogs/RTDC4063 --include="*4063*201711080*"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"%USERPROFILE%\AppData\Local\Temp\OnboardLogs"\RTDC4063\*4063*201711080* &gt;&gt; 2017-11-07-SliceDisagreementCheck.txt</v>
      </c>
      <c r="AE9" s="145" t="str">
        <f t="shared" si="1"/>
        <v>start /low /b %USERPROFILE%\Documents\GitHub\eaglep3\Utilities\DownloadLogsFromS3.py --loco 4063 --day 2017-11-08</v>
      </c>
    </row>
    <row r="10" spans="1:32" s="1" customFormat="1" x14ac:dyDescent="0.3">
      <c r="A10" s="31">
        <v>43046.62228009259</v>
      </c>
      <c r="B10" s="30" t="s">
        <v>661</v>
      </c>
      <c r="C10" s="30" t="s">
        <v>662</v>
      </c>
      <c r="D10" s="30" t="s">
        <v>49</v>
      </c>
      <c r="E10" s="30" t="s">
        <v>183</v>
      </c>
      <c r="F10" s="42">
        <v>230</v>
      </c>
      <c r="G10" s="42">
        <v>299</v>
      </c>
      <c r="H10" s="42">
        <v>59060</v>
      </c>
      <c r="I10" s="42">
        <v>58304</v>
      </c>
      <c r="J10" s="30" t="s">
        <v>184</v>
      </c>
      <c r="K10" s="42">
        <v>58301</v>
      </c>
      <c r="L10" s="131" t="s">
        <v>51</v>
      </c>
      <c r="M10" s="132">
        <f>CONVERT((I10-K10)/10000,"mi","ft")*IF(L10="Increasing Mileposts (1)",-1,1)</f>
        <v>1.5840000000000001</v>
      </c>
      <c r="N10" s="133" t="str">
        <f>VLOOKUP(C10,'Trips&amp;Operators'!$C$1:$G$99911,5,FALSE)</f>
        <v>LEVIN SCOTT</v>
      </c>
      <c r="O10" s="176" t="s">
        <v>178</v>
      </c>
      <c r="P10" s="134" t="s">
        <v>344</v>
      </c>
      <c r="Q10" s="30"/>
      <c r="R10" s="81" t="str">
        <f>VLOOKUP(C10,'Train Runs'!$A$13:$AE$10127,31,0)</f>
        <v>aws s3 cp s3://rtdc.mdm.uploadarchive.raw/RTDC4025/ "%USERPROFILE%\AppData\Local\Temp\OnboardLogs"\RTDC4025\2017-11-07 --exclude "*" --recursive --include "*20171107*" &amp; "%USERPROFILE%\Documents\GitHub\mrs-test-scripts\Headless Mode &amp; Sideloading\WalkAndUnGZ.bat" "%USERPROFILE%\AppData\Local\Temp\OnboardLogs"\RTDC4025\2017-11-07 &amp; aws s3 cp s3://rtdc.mdm.uploadarchive.raw/RTDC4025/ "%USERPROFILE%\AppData\Local\Temp\OnboardLogs"\RTDC4025\2017-11-08 --exclude "*" --recursive --include "*20171108*" &amp; "%USERPROFILE%\Documents\GitHub\mrs-test-scripts\Headless Mode &amp; Sideloading\WalkAndUnGZ.bat" "%USERPROFILE%\AppData\Local\Temp\OnboardLogs"\RTDC4025\2017-11-08</v>
      </c>
      <c r="S10" s="84" t="str">
        <f>VLOOKUP(C10,'Train Runs'!$A$13:$AE$10127,22,0)</f>
        <v>https://d0f6bd738d7f1b3e5a7ca70fe4ff75f0.us-east-1.aws.found.io/app/kibana#/discover/Steve-Slow-Train-Analysis-(2080s-and-2083s)?_g=(refreshInterval:(display:Off,pause:!f,section:0,value:0),time:(from:'2017-11-07T13:19:44-0700',mode:absolute,to:'2017-11-07T16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/stypes="*4025*201711072*" /stext=" 21:.+((SYSTEM_STATE.+slice.+state.+changed )|(ment ac)|(multiple cpu faults)|(system.+state.+changed )|(\[timeout)|(PRM\|1\|D)|(kpr)|(kdp)|(train st.+moving)|(\|lc)|(penalty))"</v>
      </c>
      <c r="U10" s="9" t="str">
        <f>MID(B10,13,4)</f>
        <v>4025</v>
      </c>
      <c r="V10" s="31">
        <f>A10-utc_offset/24</f>
        <v>43046.913946759254</v>
      </c>
      <c r="W10" s="45" t="str">
        <f>DetSubdiv(C10)</f>
        <v>EC</v>
      </c>
      <c r="X10" s="22">
        <f>VALUE(LEFT(C10,LEN(C10)-3))</f>
        <v>180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Arrival","project_id":79,"tracker_id":40,"status_id":1,"priority_id":2,"assigned_to_id":338,"start_date":"2017-11-07","description":"","custom_fields":[{"id":1,"name":"Subdivision","value":"EC"},{"id":4,"name":"Milepost","value":"5.8301"},{"id":17,"name":"Train ID","value":"180-07"},{"id":16,"name":"Locomotive ID","value":"4025"},{"id":130,"name":"Impact","value":""},{"id":150,"name":"Time of Event (Mountain Time)","value":"14:56:05"},{"id":151,"name":"Denver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/c/Users/stu/AppData/Local/Temp/OnboardLogs/RTDC4025 --include="*4025*201711072*"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"%USERPROFILE%\AppData\Local\Temp\OnboardLogs"\RTDC4025\*4025*201711072* &gt;&gt; 2017-11-07-SliceDisagreementCheck.txt</v>
      </c>
      <c r="AE10" s="145" t="str">
        <f t="shared" si="1"/>
        <v>start /low /b %USERPROFILE%\Documents\GitHub\eaglep3\Utilities\DownloadLogsFromS3.py --loco 4025 --day 2017-11-07</v>
      </c>
    </row>
    <row r="11" spans="1:32" x14ac:dyDescent="0.3">
      <c r="A11" s="31">
        <v>43046.442083333335</v>
      </c>
      <c r="B11" s="30" t="s">
        <v>653</v>
      </c>
      <c r="C11" s="30" t="s">
        <v>654</v>
      </c>
      <c r="D11" s="30" t="s">
        <v>95</v>
      </c>
      <c r="E11" s="30" t="s">
        <v>183</v>
      </c>
      <c r="F11" s="42">
        <v>0</v>
      </c>
      <c r="G11" s="42">
        <v>117</v>
      </c>
      <c r="H11" s="42">
        <v>63300</v>
      </c>
      <c r="I11" s="42">
        <v>63190</v>
      </c>
      <c r="J11" s="30" t="s">
        <v>184</v>
      </c>
      <c r="K11" s="42">
        <v>63309</v>
      </c>
      <c r="L11" s="131" t="s">
        <v>51</v>
      </c>
      <c r="M11" s="132">
        <f>CONVERT((I11-K11)/10000,"mi","ft")*IF(L11="Increasing Mileposts (1)",-1,1)</f>
        <v>-62.832000000000001</v>
      </c>
      <c r="N11" s="133" t="str">
        <f>VLOOKUP(C11,'Trips&amp;Operators'!$C$1:$G$99911,5,FALSE)</f>
        <v>MACDONALD THOMAS</v>
      </c>
      <c r="O11" s="176" t="s">
        <v>178</v>
      </c>
      <c r="P11" s="134" t="s">
        <v>344</v>
      </c>
      <c r="Q11" s="30"/>
      <c r="R11" s="81" t="str">
        <f>VLOOKUP(C11,'Train Runs'!$A$13:$AE$10127,31,0)</f>
        <v>aws s3 cp s3://rtdc.mdm.uploadarchive.raw/RTDC4039/ "%USERPROFILE%\AppData\Local\Temp\OnboardLogs"\RTDC4039\2017-11-07 --exclude "*" --recursive --include "*20171107*" &amp; "%USERPROFILE%\Documents\GitHub\mrs-test-scripts\Headless Mode &amp; Sideloading\WalkAndUnGZ.bat" "%USERPROFILE%\AppData\Local\Temp\OnboardLogs"\RTDC4039\2017-11-07 &amp; aws s3 cp s3://rtdc.mdm.uploadarchive.raw/RTDC4039/ "%USERPROFILE%\AppData\Local\Temp\OnboardLogs"\RTDC4039\2017-11-08 --exclude "*" --recursive --include "*20171108*" &amp; "%USERPROFILE%\Documents\GitHub\mrs-test-scripts\Headless Mode &amp; Sideloading\WalkAndUnGZ.bat" "%USERPROFILE%\AppData\Local\Temp\OnboardLogs"\RTDC4039\2017-11-08</v>
      </c>
      <c r="S11" s="84" t="str">
        <f>VLOOKUP(C11,'Train Runs'!$A$13:$AE$10127,22,0)</f>
        <v>https://d0f6bd738d7f1b3e5a7ca70fe4ff75f0.us-east-1.aws.found.io/app/kibana#/discover/Steve-Slow-Train-Analysis-(2080s-and-2083s)?_g=(refreshInterval:(display:Off,pause:!f,section:0,value:0),time:(from:'2017-11-07T08:52:28-0700',mode:absolute,to:'2017-11-07T11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/stypes="*4039*201711071*" /stext=" 17:.+((SYSTEM_STATE.+slice.+state.+changed )|(ment ac)|(multiple cpu faults)|(system.+state.+changed )|(\[timeout)|(PRM\|1\|D)|(kpr)|(kdp)|(train st.+moving)|(\|lc)|(penalty))"</v>
      </c>
      <c r="U11" s="9" t="str">
        <f>MID(B11,13,4)</f>
        <v>4039</v>
      </c>
      <c r="V11" s="31">
        <f>A11-utc_offset/24</f>
        <v>43046.733749999999</v>
      </c>
      <c r="W11" s="45" t="str">
        <f>DetSubdiv(C11)</f>
        <v>EC</v>
      </c>
      <c r="X11" s="22">
        <f>VALUE(LEFT(C11,LEN(C11)-3))</f>
        <v>146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Arrival","project_id":79,"tracker_id":40,"status_id":1,"priority_id":2,"assigned_to_id":338,"start_date":"2017-11-07","description":"","custom_fields":[{"id":1,"name":"Subdivision","value":"EC"},{"id":4,"name":"Milepost","value":"6.3309"},{"id":17,"name":"Train ID","value":"146-07"},{"id":16,"name":"Locomotive ID","value":"4039"},{"id":130,"name":"Impact","value":""},{"id":150,"name":"Time of Event (Mountain Time)","value":"10:36:36"},{"id":151,"name":"Denver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/c/Users/stu/AppData/Local/Temp/OnboardLogs/RTDC4039 --include="*4039*201711071*"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"%USERPROFILE%\AppData\Local\Temp\OnboardLogs"\RTDC4039\*4039*201711071* &gt;&gt; 2017-11-07-SliceDisagreementCheck.txt</v>
      </c>
      <c r="AE11" s="145" t="str">
        <f t="shared" si="1"/>
        <v>start /low /b %USERPROFILE%\Documents\GitHub\eaglep3\Utilities\DownloadLogsFromS3.py --loco 4039 --day 2017-11-07</v>
      </c>
      <c r="AF11" s="1"/>
    </row>
    <row r="12" spans="1:32" x14ac:dyDescent="0.3">
      <c r="A12" s="31">
        <v>43046.988368055558</v>
      </c>
      <c r="B12" s="30" t="s">
        <v>399</v>
      </c>
      <c r="C12" s="30" t="s">
        <v>669</v>
      </c>
      <c r="D12" s="30" t="s">
        <v>49</v>
      </c>
      <c r="E12" s="30" t="s">
        <v>183</v>
      </c>
      <c r="F12" s="42">
        <v>0</v>
      </c>
      <c r="G12" s="42">
        <v>354</v>
      </c>
      <c r="H12" s="42">
        <v>109229</v>
      </c>
      <c r="I12" s="42">
        <v>108400</v>
      </c>
      <c r="J12" s="30" t="s">
        <v>184</v>
      </c>
      <c r="K12" s="42">
        <v>109135</v>
      </c>
      <c r="L12" s="131" t="s">
        <v>51</v>
      </c>
      <c r="M12" s="132">
        <f>CONVERT((I12-K12)/10000,"mi","ft")*IF(L12="Increasing Mileposts (1)",-1,1)</f>
        <v>-388.08</v>
      </c>
      <c r="N12" s="133" t="str">
        <f>VLOOKUP(C12,'Trips&amp;Operators'!$C$1:$G$99911,5,FALSE)</f>
        <v>ANDERS STEVEN</v>
      </c>
      <c r="O12" s="176" t="s">
        <v>178</v>
      </c>
      <c r="P12" s="134" t="s">
        <v>344</v>
      </c>
      <c r="Q12" s="30"/>
      <c r="R12" s="81" t="str">
        <f>VLOOKUP(C12,'Train Runs'!$A$13:$AE$10127,31,0)</f>
        <v>aws s3 cp s3://rtdc.mdm.uploadarchive.raw/RTDC4021/ "%USERPROFILE%\AppData\Local\Temp\OnboardLogs"\RTDC4021\2017-11-07 --exclude "*" --recursive --include "*20171107*" &amp; "%USERPROFILE%\Documents\GitHub\mrs-test-scripts\Headless Mode &amp; Sideloading\WalkAndUnGZ.bat" "%USERPROFILE%\AppData\Local\Temp\OnboardLogs"\RTDC4021\2017-11-07 &amp; aws s3 cp s3://rtdc.mdm.uploadarchive.raw/RTDC4021/ "%USERPROFILE%\AppData\Local\Temp\OnboardLogs"\RTDC4021\2017-11-08 --exclude "*" --recursive --include "*20171108*" &amp; "%USERPROFILE%\Documents\GitHub\mrs-test-scripts\Headless Mode &amp; Sideloading\WalkAndUnGZ.bat" "%USERPROFILE%\AppData\Local\Temp\OnboardLogs"\RTDC4021\2017-11-08</v>
      </c>
      <c r="S12" s="84" t="str">
        <f>VLOOKUP(C12,'Train Runs'!$A$13:$AE$10127,22,0)</f>
        <v>https://d0f6bd738d7f1b3e5a7ca70fe4ff75f0.us-east-1.aws.found.io/app/kibana#/discover/Steve-Slow-Train-Analysis-(2080s-and-2083s)?_g=(refreshInterval:(display:Off,pause:!f,section:0,value:0),time:(from:'2017-11-07T22:24:41-0700',mode:absolute,to:'2017-11-08T01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/stypes="*4021*201711080*" /stext=" 06:.+((SYSTEM_STATE.+slice.+state.+changed )|(ment ac)|(multiple cpu faults)|(system.+state.+changed )|(\[timeout)|(PRM\|1\|D)|(kpr)|(kdp)|(train st.+moving)|(\|lc)|(penalty))"</v>
      </c>
      <c r="U12" s="9" t="str">
        <f>MID(B12,13,4)</f>
        <v>4021</v>
      </c>
      <c r="V12" s="31">
        <f>A12-utc_offset/24</f>
        <v>43047.280034722222</v>
      </c>
      <c r="W12" s="45" t="str">
        <f>DetSubdiv(C12)</f>
        <v>EC</v>
      </c>
      <c r="X12" s="22">
        <f>VALUE(LEFT(C12,LEN(C12)-3))</f>
        <v>236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Arrival","project_id":79,"tracker_id":40,"status_id":1,"priority_id":2,"assigned_to_id":338,"start_date":"2017-11-07","description":"","custom_fields":[{"id":1,"name":"Subdivision","value":"EC"},{"id":4,"name":"Milepost","value":"10.9135"},{"id":17,"name":"Train ID","value":"236-07"},{"id":16,"name":"Locomotive ID","value":"4021"},{"id":130,"name":"Impact","value":""},{"id":150,"name":"Time of Event (Mountain Time)","value":"23:43:15"},{"id":151,"name":"Denver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/c/Users/stu/AppData/Local/Temp/OnboardLogs/RTDC4021 --include="*4021*201711080*"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"%USERPROFILE%\AppData\Local\Temp\OnboardLogs"\RTDC4021\*4021*201711080* &gt;&gt; 2017-11-07-SliceDisagreementCheck.txt</v>
      </c>
      <c r="AE12" s="145" t="str">
        <f t="shared" si="1"/>
        <v>start /low /b %USERPROFILE%\Documents\GitHub\eaglep3\Utilities\DownloadLogsFromS3.py --loco 4021 --day 2017-11-08</v>
      </c>
      <c r="AF12" s="1"/>
    </row>
    <row r="13" spans="1:32" x14ac:dyDescent="0.3">
      <c r="A13" s="31">
        <v>43046.313888888886</v>
      </c>
      <c r="B13" s="30" t="s">
        <v>645</v>
      </c>
      <c r="C13" s="30" t="s">
        <v>646</v>
      </c>
      <c r="D13" s="30" t="s">
        <v>95</v>
      </c>
      <c r="E13" s="30" t="s">
        <v>190</v>
      </c>
      <c r="F13" s="42">
        <v>150</v>
      </c>
      <c r="G13" s="42">
        <v>203</v>
      </c>
      <c r="H13" s="42">
        <v>3219</v>
      </c>
      <c r="I13" s="42">
        <v>3576</v>
      </c>
      <c r="J13" s="30" t="s">
        <v>191</v>
      </c>
      <c r="K13" s="42">
        <v>0</v>
      </c>
      <c r="L13" s="131" t="s">
        <v>50</v>
      </c>
      <c r="M13" s="132">
        <f>CONVERT((I13-K13)/10000,"mi","ft")*IF(L13="Increasing Mileposts (1)",-1,1)</f>
        <v>-1888.1279999999999</v>
      </c>
      <c r="N13" s="133" t="str">
        <f>VLOOKUP(C13,'Trips&amp;Operators'!$C$1:$G$99911,5,FALSE)</f>
        <v>MACDONALD THOMAS</v>
      </c>
      <c r="O13" s="176" t="s">
        <v>178</v>
      </c>
      <c r="P13" s="134"/>
      <c r="Q13" s="30"/>
      <c r="R13" s="81" t="str">
        <f>VLOOKUP(C13,'Train Runs'!$A$13:$AE$10127,31,0)</f>
        <v>aws s3 cp s3://rtdc.mdm.uploadarchive.raw/RTDC4040/ "%USERPROFILE%\AppData\Local\Temp\OnboardLogs"\RTDC4040\2017-11-07 --exclude "*" --recursive --include "*20171107*" &amp; "%USERPROFILE%\Documents\GitHub\mrs-test-scripts\Headless Mode &amp; Sideloading\WalkAndUnGZ.bat" "%USERPROFILE%\AppData\Local\Temp\OnboardLogs"\RTDC4040\2017-11-07 &amp; aws s3 cp s3://rtdc.mdm.uploadarchive.raw/RTDC4040/ "%USERPROFILE%\AppData\Local\Temp\OnboardLogs"\RTDC4040\2017-11-08 --exclude "*" --recursive --include "*20171108*" &amp; "%USERPROFILE%\Documents\GitHub\mrs-test-scripts\Headless Mode &amp; Sideloading\WalkAndUnGZ.bat" "%USERPROFILE%\AppData\Local\Temp\OnboardLogs"\RTDC4040\2017-11-08</v>
      </c>
      <c r="S13" s="84" t="str">
        <f>VLOOKUP(C13,'Train Runs'!$A$13:$AE$10127,22,0)</f>
        <v>https://d0f6bd738d7f1b3e5a7ca70fe4ff75f0.us-east-1.aws.found.io/app/kibana#/discover/Steve-Slow-Train-Analysis-(2080s-and-2083s)?_g=(refreshInterval:(display:Off,pause:!f,section:0,value:0),time:(from:'2017-11-07T06:25:45-0700',mode:absolute,to:'2017-11-07T09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/stypes="*4040*201711071*" /stext=" 14:.+((SYSTEM_STATE.+slice.+state.+changed )|(ment ac)|(multiple cpu faults)|(system.+state.+changed )|(\[timeout)|(PRM\|1\|D)|(kpr)|(kdp)|(train st.+moving)|(\|lc)|(penalty))"</v>
      </c>
      <c r="U13" s="9" t="str">
        <f>MID(B13,13,4)</f>
        <v>4040</v>
      </c>
      <c r="V13" s="31">
        <f>A13-utc_offset/24</f>
        <v>43046.60555555555</v>
      </c>
      <c r="W13" s="45" t="str">
        <f>DetSubdiv(C13)</f>
        <v>EC</v>
      </c>
      <c r="X13" s="22">
        <f>VALUE(LEFT(C13,LEN(C13)-3))</f>
        <v>131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{"issue":{"subject":"","project_id":79,"tracker_id":40,"status_id":1,"priority_id":2,"assigned_to_id":338,"start_date":"2017-11-07","description":"","custom_fields":[{"id":1,"name":"Subdivision","value":"EC"},{"id":4,"name":"Milepost","value":"0"},{"id":17,"name":"Train ID","value":"131-07"},{"id":16,"name":"Locomotive ID","value":"4040"},{"id":130,"name":"Impact","value":""},{"id":150,"name":"Time of Event (Mountain Time)","value":"07:32:00"},{"id":151,"name":"Denver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/c/Users/stu/AppData/Local/Temp/OnboardLogs/RTDC4040 --include="*4040*201711071*"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"%USERPROFILE%\AppData\Local\Temp\OnboardLogs"\RTDC4040\*4040*201711071* &gt;&gt; 2017-11-07-SliceDisagreementCheck.txt</v>
      </c>
      <c r="AE13" s="145" t="str">
        <f t="shared" si="1"/>
        <v>start /low /b %USERPROFILE%\Documents\GitHub\eaglep3\Utilities\DownloadLogsFromS3.py --loco 4040 --day 2017-11-07</v>
      </c>
      <c r="AF13" s="1"/>
    </row>
    <row r="14" spans="1:32" x14ac:dyDescent="0.3">
      <c r="A14" s="31">
        <v>43046.40896990741</v>
      </c>
      <c r="B14" s="30" t="s">
        <v>569</v>
      </c>
      <c r="C14" s="30" t="s">
        <v>652</v>
      </c>
      <c r="D14" s="30" t="s">
        <v>49</v>
      </c>
      <c r="E14" s="30" t="s">
        <v>190</v>
      </c>
      <c r="F14" s="42">
        <v>400</v>
      </c>
      <c r="G14" s="42">
        <v>488</v>
      </c>
      <c r="H14" s="42">
        <v>17218</v>
      </c>
      <c r="I14" s="42">
        <v>17925</v>
      </c>
      <c r="J14" s="30" t="s">
        <v>191</v>
      </c>
      <c r="K14" s="42">
        <v>17867</v>
      </c>
      <c r="L14" s="131" t="s">
        <v>50</v>
      </c>
      <c r="M14" s="132">
        <f>CONVERT((I14-K14)/10000,"mi","ft")*IF(L14="Increasing Mileposts (1)",-1,1)</f>
        <v>-30.623999999999999</v>
      </c>
      <c r="N14" s="133" t="str">
        <f>VLOOKUP(C14,'Trips&amp;Operators'!$C$1:$G$99911,5,FALSE)</f>
        <v>BARRON PERLA</v>
      </c>
      <c r="O14" s="176" t="s">
        <v>178</v>
      </c>
      <c r="P14" s="134"/>
      <c r="Q14" s="30"/>
      <c r="R14" s="81" t="str">
        <f>VLOOKUP(C14,'Train Runs'!$A$13:$AE$10127,31,0)</f>
        <v>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 &amp; aws s3 cp s3://rtdc.mdm.uploadarchive.raw/RTDC4066/ "%USERPROFILE%\AppData\Local\Temp\OnboardLogs"\RTDC4066\2017-11-08 --exclude "*" --recursive --include "*20171108*" &amp; "%USERPROFILE%\Documents\GitHub\mrs-test-scripts\Headless Mode &amp; Sideloading\WalkAndUnGZ.bat" "%USERPROFILE%\AppData\Local\Temp\OnboardLogs"\RTDC4066\2017-11-08</v>
      </c>
      <c r="S14" s="84" t="str">
        <f>VLOOKUP(C14,'Train Runs'!$A$13:$AE$10127,22,0)</f>
        <v>https://d0f6bd738d7f1b3e5a7ca70fe4ff75f0.us-east-1.aws.found.io/app/kibana#/discover/Steve-Slow-Train-Analysis-(2080s-and-2083s)?_g=(refreshInterval:(display:Off,pause:!f,section:0,value:0),time:(from:'2017-11-07T08:39:24-0700',mode:absolute,to:'2017-11-07T11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/stypes="*4066*201711071*" /stext=" 16:.+((SYSTEM_STATE.+slice.+state.+changed )|(ment ac)|(multiple cpu faults)|(system.+state.+changed )|(\[timeout)|(PRM\|1\|D)|(kpr)|(kdp)|(train st.+moving)|(\|lc)|(penalty))"</v>
      </c>
      <c r="U14" s="9" t="str">
        <f>MID(B14,13,4)</f>
        <v>4066</v>
      </c>
      <c r="V14" s="31">
        <f>A14-utc_offset/24</f>
        <v>43046.700636574074</v>
      </c>
      <c r="W14" s="45" t="str">
        <f>DetSubdiv(C14)</f>
        <v>EC</v>
      </c>
      <c r="X14" s="22">
        <f>VALUE(LEFT(C14,LEN(C14)-3))</f>
        <v>149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{"issue":{"subject":"","project_id":79,"tracker_id":40,"status_id":1,"priority_id":2,"assigned_to_id":338,"start_date":"2017-11-07","description":"","custom_fields":[{"id":1,"name":"Subdivision","value":"EC"},{"id":4,"name":"Milepost","value":"1.7867"},{"id":17,"name":"Train ID","value":"149-07"},{"id":16,"name":"Locomotive ID","value":"4066"},{"id":130,"name":"Impact","value":""},{"id":150,"name":"Time of Event (Mountain Time)","value":"09:48:55"},{"id":151,"name":"Denver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/c/Users/stu/AppData/Local/Temp/OnboardLogs/RTDC4066 --include="*4066*201711071*"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"%USERPROFILE%\AppData\Local\Temp\OnboardLogs"\RTDC4066\*4066*201711071* &gt;&gt; 2017-11-07-SliceDisagreementCheck.txt</v>
      </c>
      <c r="AE14" s="145" t="str">
        <f t="shared" si="1"/>
        <v>start /low /b %USERPROFILE%\Documents\GitHub\eaglep3\Utilities\DownloadLogsFromS3.py --loco 4066 --day 2017-11-07</v>
      </c>
      <c r="AF14" s="1"/>
    </row>
    <row r="15" spans="1:32" x14ac:dyDescent="0.3">
      <c r="A15" s="31">
        <v>43046.628807870373</v>
      </c>
      <c r="B15" s="30" t="s">
        <v>395</v>
      </c>
      <c r="C15" s="30" t="s">
        <v>663</v>
      </c>
      <c r="D15" s="30" t="s">
        <v>95</v>
      </c>
      <c r="E15" s="30" t="s">
        <v>190</v>
      </c>
      <c r="F15" s="42">
        <v>300</v>
      </c>
      <c r="G15" s="42">
        <v>351</v>
      </c>
      <c r="H15" s="42">
        <v>20356</v>
      </c>
      <c r="I15" s="42">
        <v>21150</v>
      </c>
      <c r="J15" s="30" t="s">
        <v>191</v>
      </c>
      <c r="K15" s="42">
        <v>20338</v>
      </c>
      <c r="L15" s="131" t="s">
        <v>50</v>
      </c>
      <c r="M15" s="132">
        <f>CONVERT((I15-K15)/10000,"mi","ft")*IF(L15="Increasing Mileposts (1)",-1,1)</f>
        <v>-428.73599999999999</v>
      </c>
      <c r="N15" s="133" t="str">
        <f>VLOOKUP(C15,'Trips&amp;Operators'!$C$1:$G$99911,5,FALSE)</f>
        <v>NEWELL JAMES</v>
      </c>
      <c r="O15" s="176" t="s">
        <v>178</v>
      </c>
      <c r="P15" s="134"/>
      <c r="Q15" s="30"/>
      <c r="R15" s="81" t="str">
        <f>VLOOKUP(C15,'Train Runs'!$A$13:$AE$10127,31,0)</f>
        <v>aws s3 cp s3://rtdc.mdm.uploadarchive.raw/RTDC4022/ "%USERPROFILE%\AppData\Local\Temp\OnboardLogs"\RTDC4022\2017-11-07 --exclude "*" --recursive --include "*20171107*" &amp; "%USERPROFILE%\Documents\GitHub\mrs-test-scripts\Headless Mode &amp; Sideloading\WalkAndUnGZ.bat" "%USERPROFILE%\AppData\Local\Temp\OnboardLogs"\RTDC4022\2017-11-07 &amp; aws s3 cp s3://rtdc.mdm.uploadarchive.raw/RTDC4022/ "%USERPROFILE%\AppData\Local\Temp\OnboardLogs"\RTDC4022\2017-11-08 --exclude "*" --recursive --include "*20171108*" &amp; "%USERPROFILE%\Documents\GitHub\mrs-test-scripts\Headless Mode &amp; Sideloading\WalkAndUnGZ.bat" "%USERPROFILE%\AppData\Local\Temp\OnboardLogs"\RTDC4022\2017-11-08</v>
      </c>
      <c r="S15" s="84" t="str">
        <f>VLOOKUP(C15,'Train Runs'!$A$13:$AE$10127,22,0)</f>
        <v>https://d0f6bd738d7f1b3e5a7ca70fe4ff75f0.us-east-1.aws.found.io/app/kibana#/discover/Steve-Slow-Train-Analysis-(2080s-and-2083s)?_g=(refreshInterval:(display:Off,pause:!f,section:0,value:0),time:(from:'2017-11-07T13:47:43-0700',mode:absolute,to:'2017-11-07T16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/stypes="*4022*201711072*" /stext=" 22:.+((SYSTEM_STATE.+slice.+state.+changed )|(ment ac)|(multiple cpu faults)|(system.+state.+changed )|(\[timeout)|(PRM\|1\|D)|(kpr)|(kdp)|(train st.+moving)|(\|lc)|(penalty))"</v>
      </c>
      <c r="U15" s="9" t="str">
        <f>MID(B15,13,4)</f>
        <v>4022</v>
      </c>
      <c r="V15" s="31">
        <f>A15-utc_offset/24</f>
        <v>43046.920474537037</v>
      </c>
      <c r="W15" s="45" t="str">
        <f>DetSubdiv(C15)</f>
        <v>EC</v>
      </c>
      <c r="X15" s="22">
        <f>VALUE(LEFT(C15,LEN(C15)-3))</f>
        <v>191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{"issue":{"subject":"","project_id":79,"tracker_id":40,"status_id":1,"priority_id":2,"assigned_to_id":338,"start_date":"2017-11-07","description":"","custom_fields":[{"id":1,"name":"Subdivision","value":"EC"},{"id":4,"name":"Milepost","value":"2.0338"},{"id":17,"name":"Train ID","value":"191-07"},{"id":16,"name":"Locomotive ID","value":"4022"},{"id":130,"name":"Impact","value":""},{"id":150,"name":"Time of Event (Mountain Time)","value":"15:05:29"},{"id":151,"name":"Denver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/c/Users/stu/AppData/Local/Temp/OnboardLogs/RTDC4022 --include="*4022*201711072*"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"%USERPROFILE%\AppData\Local\Temp\OnboardLogs"\RTDC4022\*4022*201711072* &gt;&gt; 2017-11-07-SliceDisagreementCheck.txt</v>
      </c>
      <c r="AE15" s="145" t="str">
        <f t="shared" si="1"/>
        <v>start /low /b %USERPROFILE%\Documents\GitHub\eaglep3\Utilities\DownloadLogsFromS3.py --loco 4022 --day 2017-11-07</v>
      </c>
      <c r="AF15" s="1"/>
    </row>
    <row r="16" spans="1:32" x14ac:dyDescent="0.3">
      <c r="A16" s="31">
        <v>43046.603715277779</v>
      </c>
      <c r="B16" s="30" t="s">
        <v>363</v>
      </c>
      <c r="C16" s="30" t="s">
        <v>659</v>
      </c>
      <c r="D16" s="30" t="s">
        <v>49</v>
      </c>
      <c r="E16" s="30" t="s">
        <v>190</v>
      </c>
      <c r="F16" s="42">
        <v>300</v>
      </c>
      <c r="G16" s="42">
        <v>384</v>
      </c>
      <c r="H16" s="42">
        <v>23193</v>
      </c>
      <c r="I16" s="42">
        <v>22228</v>
      </c>
      <c r="J16" s="30" t="s">
        <v>191</v>
      </c>
      <c r="K16" s="42">
        <v>21848</v>
      </c>
      <c r="L16" s="131" t="s">
        <v>51</v>
      </c>
      <c r="M16" s="132">
        <f>CONVERT((I16-K16)/10000,"mi","ft")*IF(L16="Increasing Mileposts (1)",-1,1)</f>
        <v>200.64</v>
      </c>
      <c r="N16" s="133" t="str">
        <f>VLOOKUP(C16,'Trips&amp;Operators'!$C$1:$G$99911,5,FALSE)</f>
        <v>BRUDER RICHARD</v>
      </c>
      <c r="O16" s="176" t="s">
        <v>178</v>
      </c>
      <c r="P16" s="134"/>
      <c r="Q16" s="30"/>
      <c r="R16" s="81" t="str">
        <f>VLOOKUP(C16,'Train Runs'!$A$13:$AE$10127,31,0)</f>
        <v>aws s3 cp s3://rtdc.mdm.uploadarchive.raw/RTDC4007/ "%USERPROFILE%\AppData\Local\Temp\OnboardLogs"\RTDC4007\2017-11-07 --exclude "*" --recursive --include "*20171107*" &amp; "%USERPROFILE%\Documents\GitHub\mrs-test-scripts\Headless Mode &amp; Sideloading\WalkAndUnGZ.bat" "%USERPROFILE%\AppData\Local\Temp\OnboardLogs"\RTDC4007\2017-11-07 &amp; 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</v>
      </c>
      <c r="S16" s="84" t="str">
        <f>VLOOKUP(C16,'Train Runs'!$A$13:$AE$10127,22,0)</f>
        <v>https://d0f6bd738d7f1b3e5a7ca70fe4ff75f0.us-east-1.aws.found.io/app/kibana#/discover/Steve-Slow-Train-Analysis-(2080s-and-2083s)?_g=(refreshInterval:(display:Off,pause:!f,section:0,value:0),time:(from:'2017-11-07T11:53:26-0700',mode:absolute,to:'2017-11-07T15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/stypes="*4007*201711072*" /stext=" 21:.+((SYSTEM_STATE.+slice.+state.+changed )|(ment ac)|(multiple cpu faults)|(system.+state.+changed )|(\[timeout)|(PRM\|1\|D)|(kpr)|(kdp)|(train st.+moving)|(\|lc)|(penalty))"</v>
      </c>
      <c r="U16" s="9" t="str">
        <f>MID(B16,13,4)</f>
        <v>4007</v>
      </c>
      <c r="V16" s="31">
        <f>A16-utc_offset/24</f>
        <v>43046.895381944443</v>
      </c>
      <c r="W16" s="45" t="str">
        <f>DetSubdiv(C16)</f>
        <v>EC</v>
      </c>
      <c r="X16" s="22">
        <f>VALUE(LEFT(C16,LEN(C16)-3))</f>
        <v>176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{"issue":{"subject":"","project_id":79,"tracker_id":40,"status_id":1,"priority_id":2,"assigned_to_id":338,"start_date":"2017-11-07","description":"","custom_fields":[{"id":1,"name":"Subdivision","value":"EC"},{"id":4,"name":"Milepost","value":"2.1848"},{"id":17,"name":"Train ID","value":"176-07"},{"id":16,"name":"Locomotive ID","value":"4007"},{"id":130,"name":"Impact","value":""},{"id":150,"name":"Time of Event (Mountain Time)","value":"14:29:21"},{"id":151,"name":"Denver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/c/Users/stu/AppData/Local/Temp/OnboardLogs/RTDC4007 --include="*4007*201711072*"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"%USERPROFILE%\AppData\Local\Temp\OnboardLogs"\RTDC4007\*4007*201711072* &gt;&gt; 2017-11-07-SliceDisagreementCheck.txt</v>
      </c>
      <c r="AE16" s="145" t="str">
        <f t="shared" si="1"/>
        <v>start /low /b %USERPROFILE%\Documents\GitHub\eaglep3\Utilities\DownloadLogsFromS3.py --loco 4007 --day 2017-11-07</v>
      </c>
      <c r="AF16" s="1"/>
    </row>
    <row r="17" spans="1:32" x14ac:dyDescent="0.3">
      <c r="A17" s="31">
        <v>43047.050509259258</v>
      </c>
      <c r="B17" s="30" t="s">
        <v>363</v>
      </c>
      <c r="C17" s="30" t="s">
        <v>672</v>
      </c>
      <c r="D17" s="30" t="s">
        <v>49</v>
      </c>
      <c r="E17" s="30" t="s">
        <v>190</v>
      </c>
      <c r="F17" s="42">
        <v>400</v>
      </c>
      <c r="G17" s="42">
        <v>499</v>
      </c>
      <c r="H17" s="42">
        <v>121209</v>
      </c>
      <c r="I17" s="42">
        <v>119521</v>
      </c>
      <c r="J17" s="30" t="s">
        <v>191</v>
      </c>
      <c r="K17" s="42">
        <v>119716</v>
      </c>
      <c r="L17" s="131" t="s">
        <v>51</v>
      </c>
      <c r="M17" s="132">
        <f>CONVERT((I17-K17)/10000,"mi","ft")*IF(L17="Increasing Mileposts (1)",-1,1)</f>
        <v>-102.96</v>
      </c>
      <c r="N17" s="133" t="str">
        <f>VLOOKUP(C17,'Trips&amp;Operators'!$C$1:$G$99911,5,FALSE)</f>
        <v>NICHOLSON WESLEY</v>
      </c>
      <c r="O17" s="176" t="s">
        <v>178</v>
      </c>
      <c r="P17" s="134"/>
      <c r="Q17" s="30"/>
      <c r="R17" s="81" t="str">
        <f>VLOOKUP(C17,'Train Runs'!$A$13:$AE$10127,31,0)</f>
        <v>aws s3 cp s3://rtdc.mdm.uploadarchive.raw/RTDC4007/ "%USERPROFILE%\AppData\Local\Temp\OnboardLogs"\RTDC4007\2017-11-08 --exclude "*" --recursive --include "*20171108*" &amp; "%USERPROFILE%\Documents\GitHub\mrs-test-scripts\Headless Mode &amp; Sideloading\WalkAndUnGZ.bat" "%USERPROFILE%\AppData\Local\Temp\OnboardLogs"\RTDC4007\2017-11-08 &amp; aws s3 cp s3://rtdc.mdm.uploadarchive.raw/RTDC4007/ "%USERPROFILE%\AppData\Local\Temp\OnboardLogs"\RTDC4007\2017-11-09 --exclude "*" --recursive --include "*20171109*" &amp; "%USERPROFILE%\Documents\GitHub\mrs-test-scripts\Headless Mode &amp; Sideloading\WalkAndUnGZ.bat" "%USERPROFILE%\AppData\Local\Temp\OnboardLogs"\RTDC4007\2017-11-09</v>
      </c>
      <c r="S17" s="84" t="str">
        <f>VLOOKUP(C17,'Train Runs'!$A$13:$AE$10127,22,0)</f>
        <v>https://d0f6bd738d7f1b3e5a7ca70fe4ff75f0.us-east-1.aws.found.io/app/kibana#/discover/Steve-Slow-Train-Analysis-(2080s-and-2083s)?_g=(refreshInterval:(display:Off,pause:!f,section:0,value:0),time:(from:'2017-11-07T22:47:55-0700',mode:absolute,to:'2017-11-08T02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/stypes="*4007*201711080*" /stext=" 08:.+((SYSTEM_STATE.+slice.+state.+changed )|(ment ac)|(multiple cpu faults)|(system.+state.+changed )|(\[timeout)|(PRM\|1\|D)|(kpr)|(kdp)|(train st.+moving)|(\|lc)|(penalty))"</v>
      </c>
      <c r="U17" s="9" t="str">
        <f>MID(B17,13,4)</f>
        <v>4007</v>
      </c>
      <c r="V17" s="31">
        <f>A17-utc_offset/24</f>
        <v>43047.342175925922</v>
      </c>
      <c r="W17" s="45" t="str">
        <f>DetSubdiv(C17)</f>
        <v>EC</v>
      </c>
      <c r="X17" s="22">
        <f>VALUE(LEFT(C17,LEN(C17)-3))</f>
        <v>242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{"issue":{"subject":"","project_id":79,"tracker_id":40,"status_id":1,"priority_id":2,"assigned_to_id":338,"start_date":"2017-11-08","description":"","custom_fields":[{"id":1,"name":"Subdivision","value":"EC"},{"id":4,"name":"Milepost","value":"11.9716"},{"id":17,"name":"Train ID","value":"242-07"},{"id":16,"name":"Locomotive ID","value":"4007"},{"id":130,"name":"Impact","value":""},{"id":150,"name":"Time of Event (Mountain Time)","value":"01:12:44"},{"id":151,"name":"Denver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/c/Users/stu/AppData/Local/Temp/OnboardLogs/RTDC4007 --include="*4007*201711080*"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"%USERPROFILE%\AppData\Local\Temp\OnboardLogs"\RTDC4007\*4007*201711080* &gt;&gt; 2017-11-07-SliceDisagreementCheck.txt</v>
      </c>
      <c r="AE17" s="145" t="str">
        <f t="shared" si="1"/>
        <v>start /low /b %USERPROFILE%\Documents\GitHub\eaglep3\Utilities\DownloadLogsFromS3.py --loco 4007 --day 2017-11-08</v>
      </c>
      <c r="AF17" s="1"/>
    </row>
    <row r="18" spans="1:32" x14ac:dyDescent="0.3">
      <c r="A18" s="31">
        <v>43046.621863425928</v>
      </c>
      <c r="B18" s="30" t="s">
        <v>475</v>
      </c>
      <c r="C18" s="30" t="s">
        <v>660</v>
      </c>
      <c r="D18" s="30" t="s">
        <v>95</v>
      </c>
      <c r="E18" s="30" t="s">
        <v>190</v>
      </c>
      <c r="F18" s="42">
        <v>600</v>
      </c>
      <c r="G18" s="42">
        <v>658</v>
      </c>
      <c r="H18" s="42">
        <v>184270</v>
      </c>
      <c r="I18" s="42">
        <v>180938</v>
      </c>
      <c r="J18" s="30" t="s">
        <v>191</v>
      </c>
      <c r="K18" s="42">
        <v>190834</v>
      </c>
      <c r="L18" s="131" t="s">
        <v>51</v>
      </c>
      <c r="M18" s="132">
        <f>CONVERT((I18-K18)/10000,"mi","ft")*IF(L18="Increasing Mileposts (1)",-1,1)</f>
        <v>-5225.0879999999997</v>
      </c>
      <c r="N18" s="133" t="str">
        <f>VLOOKUP(C18,'Trips&amp;Operators'!$C$1:$G$99911,5,FALSE)</f>
        <v>ANDREA WILLIAMS</v>
      </c>
      <c r="O18" s="176" t="s">
        <v>178</v>
      </c>
      <c r="P18" s="134"/>
      <c r="Q18" s="30"/>
      <c r="R18" s="81" t="str">
        <f>VLOOKUP(C18,'Train Runs'!$A$13:$AE$10127,31,0)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S18" s="84" t="str">
        <f>VLOOKUP(C18,'Train Runs'!$A$13:$AE$10127,22,0)</f>
        <v>https://d0f6bd738d7f1b3e5a7ca70fe4ff75f0.us-east-1.aws.found.io/app/kibana#/discover/Steve-Slow-Train-Analysis-(2080s-and-2083s)?_g=(refreshInterval:(display:Off,pause:!f,section:0,value:0),time:(from:'2017-11-07T13:34:39-0700',mode:absolute,to:'2017-11-07T16:28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/stypes="*4041*201711072*" /stext=" 21:.+((SYSTEM_STATE.+slice.+state.+changed )|(ment ac)|(multiple cpu faults)|(system.+state.+changed )|(\[timeout)|(PRM\|1\|D)|(kpr)|(kdp)|(train st.+moving)|(\|lc)|(penalty))"</v>
      </c>
      <c r="U18" s="9" t="str">
        <f>MID(B18,13,4)</f>
        <v>4041</v>
      </c>
      <c r="V18" s="31">
        <f>A18-utc_offset/24</f>
        <v>43046.913530092592</v>
      </c>
      <c r="W18" s="45" t="str">
        <f>DetSubdiv(C18)</f>
        <v>EC</v>
      </c>
      <c r="X18" s="22">
        <f>VALUE(LEFT(C18,LEN(C18)-3))</f>
        <v>182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{"issue":{"subject":"","project_id":79,"tracker_id":40,"status_id":1,"priority_id":2,"assigned_to_id":338,"start_date":"2017-11-07","description":"","custom_fields":[{"id":1,"name":"Subdivision","value":"EC"},{"id":4,"name":"Milepost","value":"19.0834"},{"id":17,"name":"Train ID","value":"182-07"},{"id":16,"name":"Locomotive ID","value":"4041"},{"id":130,"name":"Impact","value":""},{"id":150,"name":"Time of Event (Mountain Time)","value":"14:55:29"},{"id":151,"name":"Denver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/c/Users/stu/AppData/Local/Temp/OnboardLogs/RTDC4041 --include="*4041*201711072*"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"%USERPROFILE%\AppData\Local\Temp\OnboardLogs"\RTDC4041\*4041*201711072* &gt;&gt; 2017-11-07-SliceDisagreementCheck.txt</v>
      </c>
      <c r="AE18" s="145" t="str">
        <f t="shared" si="1"/>
        <v>start /low /b %USERPROFILE%\Documents\GitHub\eaglep3\Utilities\DownloadLogsFromS3.py --loco 4041 --day 2017-11-07</v>
      </c>
      <c r="AF18" s="1"/>
    </row>
    <row r="19" spans="1:32" x14ac:dyDescent="0.3">
      <c r="A19" s="31">
        <v>43046.548634259256</v>
      </c>
      <c r="B19" s="30" t="s">
        <v>475</v>
      </c>
      <c r="C19" s="30" t="s">
        <v>658</v>
      </c>
      <c r="D19" s="30" t="s">
        <v>49</v>
      </c>
      <c r="E19" s="30" t="s">
        <v>356</v>
      </c>
      <c r="F19" s="42">
        <v>0</v>
      </c>
      <c r="G19" s="42">
        <v>599</v>
      </c>
      <c r="H19" s="42">
        <v>133895</v>
      </c>
      <c r="I19" s="42">
        <v>131781</v>
      </c>
      <c r="J19" s="30" t="s">
        <v>357</v>
      </c>
      <c r="K19" s="42">
        <v>133166</v>
      </c>
      <c r="L19" s="131" t="s">
        <v>51</v>
      </c>
      <c r="M19" s="132">
        <f>CONVERT((I19-K19)/10000,"mi","ft")*IF(L19="Increasing Mileposts (1)",-1,1)</f>
        <v>-731.28</v>
      </c>
      <c r="N19" s="133" t="str">
        <f>VLOOKUP(C19,'Trips&amp;Operators'!$C$1:$G$99911,5,FALSE)</f>
        <v>ANDREA WILLIAMS</v>
      </c>
      <c r="O19" s="176" t="s">
        <v>350</v>
      </c>
      <c r="P19" s="134" t="s">
        <v>562</v>
      </c>
      <c r="Q19" s="30"/>
      <c r="R19" s="81" t="str">
        <f>VLOOKUP(C19,'Train Runs'!$A$13:$AE$10127,31,0)</f>
        <v>aws s3 cp s3://rtdc.mdm.uploadarchive.raw/RTDC4041/ "%USERPROFILE%\AppData\Local\Temp\OnboardLogs"\RTDC4041\2017-11-07 --exclude "*" --recursive --include "*20171107*" &amp; "%USERPROFILE%\Documents\GitHub\mrs-test-scripts\Headless Mode &amp; Sideloading\WalkAndUnGZ.bat" "%USERPROFILE%\AppData\Local\Temp\OnboardLogs"\RTDC4041\2017-11-07 &amp; 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</v>
      </c>
      <c r="S19" s="84" t="str">
        <f>VLOOKUP(C19,'Train Runs'!$A$13:$AE$10127,22,0)</f>
        <v>https://d0f6bd738d7f1b3e5a7ca70fe4ff75f0.us-east-1.aws.found.io/app/kibana#/discover/Steve-Slow-Train-Analysis-(2080s-and-2083s)?_g=(refreshInterval:(display:Off,pause:!f,section:0,value:0),time:(from:'2017-11-07T11:46:47-0700',mode:absolute,to:'2017-11-07T14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/stypes="*4041*201711072*" /stext=" 20:.+((SYSTEM_STATE.+slice.+state.+changed )|(ment ac)|(multiple cpu faults)|(system.+state.+changed )|(\[timeout)|(PRM\|1\|D)|(kpr)|(kdp)|(train st.+moving)|(\|lc)|(penalty))"</v>
      </c>
      <c r="U19" s="9" t="str">
        <f>MID(B19,13,4)</f>
        <v>4041</v>
      </c>
      <c r="V19" s="31">
        <f>A19-utc_offset/24</f>
        <v>43046.84030092592</v>
      </c>
      <c r="W19" s="45" t="str">
        <f>DetSubdiv(C19)</f>
        <v>EC</v>
      </c>
      <c r="X19" s="22">
        <f>VALUE(LEFT(C19,LEN(C19)-3))</f>
        <v>168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drop","project_id":79,"tracker_id":40,"status_id":1,"priority_id":2,"assigned_to_id":338,"start_date":"2017-11-07","description":"","custom_fields":[{"id":1,"name":"Subdivision","value":"EC"},{"id":4,"name":"Milepost","value":"13.3166"},{"id":17,"name":"Train ID","value":"168-07"},{"id":16,"name":"Locomotive ID","value":"4041"},{"id":130,"name":"Impact","value":""},{"id":150,"name":"Time of Event (Mountain Time)","value":"13:10:02"},{"id":151,"name":"Denver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/c/Users/stu/AppData/Local/Temp/OnboardLogs/RTDC4041 --include="*4041*201711072*"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"%USERPROFILE%\AppData\Local\Temp\OnboardLogs"\RTDC4041\*4041*201711072* &gt;&gt; 2017-11-07-SliceDisagreementCheck.txt</v>
      </c>
      <c r="AE19" s="145" t="str">
        <f t="shared" si="1"/>
        <v>start /low /b %USERPROFILE%\Documents\GitHub\eaglep3\Utilities\DownloadLogsFromS3.py --loco 4041 --day 2017-11-07</v>
      </c>
      <c r="AF19" s="1"/>
    </row>
    <row r="20" spans="1:32" x14ac:dyDescent="0.3">
      <c r="A20" s="31">
        <v>43046.764074074075</v>
      </c>
      <c r="B20" s="30" t="s">
        <v>664</v>
      </c>
      <c r="C20" s="30" t="s">
        <v>665</v>
      </c>
      <c r="D20" s="30" t="s">
        <v>49</v>
      </c>
      <c r="E20" s="30" t="s">
        <v>183</v>
      </c>
      <c r="F20" s="42">
        <v>360</v>
      </c>
      <c r="G20" s="42">
        <v>577</v>
      </c>
      <c r="H20" s="42">
        <v>14338</v>
      </c>
      <c r="I20" s="42">
        <v>12148</v>
      </c>
      <c r="J20" s="30" t="s">
        <v>184</v>
      </c>
      <c r="K20" s="42">
        <v>10988</v>
      </c>
      <c r="L20" s="131" t="s">
        <v>51</v>
      </c>
      <c r="M20" s="132">
        <f>CONVERT((I20-K20)/10000,"mi","ft")*IF(L20="Increasing Mileposts (1)",-1,1)</f>
        <v>612.48</v>
      </c>
      <c r="N20" s="133" t="str">
        <f>VLOOKUP(C20,'Trips&amp;Operators'!$C$1:$G$99911,5,FALSE)</f>
        <v>STAMBAUGH JAMES</v>
      </c>
      <c r="O20" s="176" t="s">
        <v>178</v>
      </c>
      <c r="P20" s="134" t="s">
        <v>344</v>
      </c>
      <c r="Q20" s="30"/>
      <c r="R20" s="81" t="str">
        <f>VLOOKUP(C20,'Train Runs'!$A$13:$AE$10127,31,0)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S20" s="84" t="str">
        <f>VLOOKUP(C20,'Train Runs'!$A$13:$AE$10127,22,0)</f>
        <v>https://d0f6bd738d7f1b3e5a7ca70fe4ff75f0.us-east-1.aws.found.io/app/kibana#/discover/Steve-Slow-Train-Analysis-(2080s-and-2083s)?_g=(refreshInterval:(display:Off,pause:!f,section:0,value:0),time:(from:'2017-11-07T16:55:16-0700',mode:absolute,to:'2017-11-07T19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/stypes="*4001*201711080*" /stext=" 01:.+((SYSTEM_STATE.+slice.+state.+changed )|(ment ac)|(multiple cpu faults)|(system.+state.+changed )|(\[timeout)|(PRM\|1\|D)|(kpr)|(kdp)|(train st.+moving)|(\|lc)|(penalty))"</v>
      </c>
      <c r="U20" s="9" t="str">
        <f>MID(B20,13,4)</f>
        <v>4001</v>
      </c>
      <c r="V20" s="31">
        <f>A20-utc_offset/24</f>
        <v>43047.05574074074</v>
      </c>
      <c r="W20" s="45" t="str">
        <f>DetSubdiv(C20)</f>
        <v>NW</v>
      </c>
      <c r="X20" s="22">
        <f>VALUE(LEFT(C20,LEN(C20)-3))</f>
        <v>836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Arrival","project_id":79,"tracker_id":40,"status_id":1,"priority_id":2,"assigned_to_id":338,"start_date":"2017-11-07","description":"","custom_fields":[{"id":1,"name":"Subdivision","value":"NW"},{"id":4,"name":"Milepost","value":"1.0988"},{"id":17,"name":"Train ID","value":"836-07"},{"id":16,"name":"Locomotive ID","value":"4001"},{"id":130,"name":"Impact","value":""},{"id":150,"name":"Time of Event (Mountain Time)","value":"18:20:16"},{"id":151,"name":"Denver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/c/Users/stu/AppData/Local/Temp/OnboardLogs/RTDC4001 --include="*4001*201711080*"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"%USERPROFILE%\AppData\Local\Temp\OnboardLogs"\RTDC4001\*4001*201711080* &gt;&gt; 2017-11-07-SliceDisagreementCheck.txt</v>
      </c>
      <c r="AE20" s="145" t="str">
        <f t="shared" si="1"/>
        <v>start /low /b %USERPROFILE%\Documents\GitHub\eaglep3\Utilities\DownloadLogsFromS3.py --loco 4001 --day 2017-11-08</v>
      </c>
      <c r="AF20" s="1"/>
    </row>
    <row r="21" spans="1:32" x14ac:dyDescent="0.3">
      <c r="A21" s="31">
        <v>43046.909085648149</v>
      </c>
      <c r="B21" s="30" t="s">
        <v>647</v>
      </c>
      <c r="C21" s="30" t="s">
        <v>667</v>
      </c>
      <c r="D21" s="30" t="s">
        <v>95</v>
      </c>
      <c r="E21" s="30" t="s">
        <v>190</v>
      </c>
      <c r="F21" s="42">
        <v>300</v>
      </c>
      <c r="G21" s="42">
        <v>354</v>
      </c>
      <c r="H21" s="42">
        <v>20998</v>
      </c>
      <c r="I21" s="42">
        <v>20222</v>
      </c>
      <c r="J21" s="30" t="s">
        <v>191</v>
      </c>
      <c r="K21" s="42">
        <v>23561</v>
      </c>
      <c r="L21" s="131" t="s">
        <v>51</v>
      </c>
      <c r="M21" s="132">
        <f>CONVERT((I21-K21)/10000,"mi","ft")*IF(L21="Increasing Mileposts (1)",-1,1)</f>
        <v>-1762.992</v>
      </c>
      <c r="N21" s="133" t="str">
        <f>VLOOKUP(C21,'Trips&amp;Operators'!$C$1:$G$99911,5,FALSE)</f>
        <v>STAMBAUGH JAMES</v>
      </c>
      <c r="O21" s="176" t="s">
        <v>178</v>
      </c>
      <c r="P21" s="134"/>
      <c r="Q21" s="30"/>
      <c r="R21" s="81" t="str">
        <f>VLOOKUP(C21,'Train Runs'!$A$13:$AE$10127,31,0)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S21" s="84" t="str">
        <f>VLOOKUP(C21,'Train Runs'!$A$13:$AE$10127,22,0)</f>
        <v>https://d0f6bd738d7f1b3e5a7ca70fe4ff75f0.us-east-1.aws.found.io/app/kibana#/discover/Steve-Slow-Train-Analysis-(2080s-and-2083s)?_g=(refreshInterval:(display:Off,pause:!f,section:0,value:0),time:(from:'2017-11-07T20:23:56-0700',mode:absolute,to:'2017-11-07T22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/stypes="*4019*201711080*" /stext=" 04:.+((SYSTEM_STATE.+slice.+state.+changed )|(ment ac)|(multiple cpu faults)|(system.+state.+changed )|(\[timeout)|(PRM\|1\|D)|(kpr)|(kdp)|(train st.+moving)|(\|lc)|(penalty))"</v>
      </c>
      <c r="U21" s="9" t="str">
        <f>MID(B21,13,4)</f>
        <v>4019</v>
      </c>
      <c r="V21" s="31">
        <f>A21-utc_offset/24</f>
        <v>43047.200752314813</v>
      </c>
      <c r="W21" s="45" t="str">
        <f>DetSubdiv(C21)</f>
        <v>NW</v>
      </c>
      <c r="X21" s="22">
        <f>VALUE(LEFT(C21,LEN(C21)-3))</f>
        <v>844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{"issue":{"subject":"","project_id":79,"tracker_id":40,"status_id":1,"priority_id":2,"assigned_to_id":338,"start_date":"2017-11-07","description":"","custom_fields":[{"id":1,"name":"Subdivision","value":"NW"},{"id":4,"name":"Milepost","value":"2.3561"},{"id":17,"name":"Train ID","value":"844-07"},{"id":16,"name":"Locomotive ID","value":"4019"},{"id":130,"name":"Impact","value":""},{"id":150,"name":"Time of Event (Mountain Time)","value":"21:49:05"},{"id":151,"name":"Denver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/c/Users/stu/AppData/Local/Temp/OnboardLogs/RTDC4019 --include="*4019*201711080*"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"%USERPROFILE%\AppData\Local\Temp\OnboardLogs"\RTDC4019\*4019*201711080* &gt;&gt; 2017-11-07-SliceDisagreementCheck.txt</v>
      </c>
      <c r="AE21" s="145" t="str">
        <f t="shared" si="1"/>
        <v>start /low /b %USERPROFILE%\Documents\GitHub\eaglep3\Utilities\DownloadLogsFromS3.py --loco 4019 --day 2017-11-08</v>
      </c>
      <c r="AF21" s="1"/>
    </row>
    <row r="22" spans="1:32" x14ac:dyDescent="0.3">
      <c r="A22" s="31">
        <v>43046.37054398148</v>
      </c>
      <c r="B22" s="30" t="s">
        <v>647</v>
      </c>
      <c r="C22" s="30" t="s">
        <v>648</v>
      </c>
      <c r="D22" s="30" t="s">
        <v>49</v>
      </c>
      <c r="E22" s="30" t="s">
        <v>356</v>
      </c>
      <c r="F22" s="42">
        <v>0</v>
      </c>
      <c r="G22" s="42">
        <v>87</v>
      </c>
      <c r="H22" s="42">
        <v>4830</v>
      </c>
      <c r="I22" s="42">
        <v>4666</v>
      </c>
      <c r="J22" s="30" t="s">
        <v>357</v>
      </c>
      <c r="K22" s="42">
        <v>4798</v>
      </c>
      <c r="L22" s="131" t="s">
        <v>51</v>
      </c>
      <c r="M22" s="132">
        <f>CONVERT((I22-K22)/10000,"mi","ft")*IF(L22="Increasing Mileposts (1)",-1,1)</f>
        <v>-69.695999999999998</v>
      </c>
      <c r="N22" s="133" t="str">
        <f>VLOOKUP(C22,'Trips&amp;Operators'!$C$1:$G$99911,5,FALSE)</f>
        <v>FORTUNATO FRANK</v>
      </c>
      <c r="O22" s="176" t="s">
        <v>350</v>
      </c>
      <c r="P22" s="134" t="s">
        <v>640</v>
      </c>
      <c r="Q22" s="30"/>
      <c r="R22" s="81" t="str">
        <f>VLOOKUP(C22,'Train Runs'!$A$13:$AE$10127,31,0)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S22" s="84" t="str">
        <f>VLOOKUP(C22,'Train Runs'!$A$13:$AE$10127,22,0)</f>
        <v>https://d0f6bd738d7f1b3e5a7ca70fe4ff75f0.us-east-1.aws.found.io/app/kibana#/discover/Steve-Slow-Train-Analysis-(2080s-and-2083s)?_g=(refreshInterval:(display:Off,pause:!f,section:0,value:0),time:(from:'2017-11-07T07:26:38-0700',mode:absolute,to:'2017-11-07T09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/stypes="*4019*201711071*" /stext=" 15:.+((SYSTEM_STATE.+slice.+state.+changed )|(ment ac)|(multiple cpu faults)|(system.+state.+changed )|(\[timeout)|(PRM\|1\|D)|(kpr)|(kdp)|(train st.+moving)|(\|lc)|(penalty))"</v>
      </c>
      <c r="U22" s="9" t="str">
        <f>MID(B22,13,4)</f>
        <v>4019</v>
      </c>
      <c r="V22" s="31">
        <f>A22-utc_offset/24</f>
        <v>43046.662210648145</v>
      </c>
      <c r="W22" s="45" t="str">
        <f>DetSubdiv(C22)</f>
        <v>NW</v>
      </c>
      <c r="X22" s="22">
        <f>VALUE(LEFT(C22,LEN(C22)-3))</f>
        <v>812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overpass","project_id":79,"tracker_id":40,"status_id":1,"priority_id":2,"assigned_to_id":338,"start_date":"2017-11-07","description":"","custom_fields":[{"id":1,"name":"Subdivision","value":"NW"},{"id":4,"name":"Milepost","value":"0.4798"},{"id":17,"name":"Train ID","value":"812-07"},{"id":16,"name":"Locomotive ID","value":"4019"},{"id":130,"name":"Impact","value":""},{"id":150,"name":"Time of Event (Mountain Time)","value":"08:53:35"},{"id":151,"name":"Denver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/c/Users/stu/AppData/Local/Temp/OnboardLogs/RTDC4019 --include="*4019*201711071*"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"%USERPROFILE%\AppData\Local\Temp\OnboardLogs"\RTDC4019\*4019*201711071* &gt;&gt; 2017-11-07-SliceDisagreementCheck.txt</v>
      </c>
      <c r="AE22" s="145" t="str">
        <f t="shared" si="1"/>
        <v>start /low /b %USERPROFILE%\Documents\GitHub\eaglep3\Utilities\DownloadLogsFromS3.py --loco 4019 --day 2017-11-07</v>
      </c>
      <c r="AF22" s="1"/>
    </row>
    <row r="23" spans="1:32" x14ac:dyDescent="0.3">
      <c r="A23" s="31">
        <v>43046.537268518521</v>
      </c>
      <c r="B23" s="30" t="s">
        <v>647</v>
      </c>
      <c r="C23" s="30" t="s">
        <v>657</v>
      </c>
      <c r="D23" s="30" t="s">
        <v>49</v>
      </c>
      <c r="E23" s="30" t="s">
        <v>356</v>
      </c>
      <c r="F23" s="42">
        <v>0</v>
      </c>
      <c r="G23" s="42">
        <v>81</v>
      </c>
      <c r="H23" s="42">
        <v>4813</v>
      </c>
      <c r="I23" s="42">
        <v>4714</v>
      </c>
      <c r="J23" s="30" t="s">
        <v>357</v>
      </c>
      <c r="K23" s="42">
        <v>4798</v>
      </c>
      <c r="L23" s="131" t="s">
        <v>51</v>
      </c>
      <c r="M23" s="132">
        <f>CONVERT((I23-K23)/10000,"mi","ft")*IF(L23="Increasing Mileposts (1)",-1,1)</f>
        <v>-44.351999999999997</v>
      </c>
      <c r="N23" s="133" t="str">
        <f>VLOOKUP(C23,'Trips&amp;Operators'!$C$1:$G$99911,5,FALSE)</f>
        <v>FORTUNATO FRANK</v>
      </c>
      <c r="O23" s="176" t="s">
        <v>350</v>
      </c>
      <c r="P23" s="134" t="s">
        <v>640</v>
      </c>
      <c r="Q23" s="30"/>
      <c r="R23" s="81" t="str">
        <f>VLOOKUP(C23,'Train Runs'!$A$13:$AE$10127,31,0)</f>
        <v>aws s3 cp s3://rtdc.mdm.uploadarchive.raw/RTDC4019/ "%USERPROFILE%\AppData\Local\Temp\OnboardLogs"\RTDC4019\2017-11-07 --exclude "*" --recursive --include "*20171107*" &amp; "%USERPROFILE%\Documents\GitHub\mrs-test-scripts\Headless Mode &amp; Sideloading\WalkAndUnGZ.bat" "%USERPROFILE%\AppData\Local\Temp\OnboardLogs"\RTDC4019\2017-11-07 &amp; 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</v>
      </c>
      <c r="S23" s="84" t="str">
        <f>VLOOKUP(C23,'Train Runs'!$A$13:$AE$10127,22,0)</f>
        <v>https://d0f6bd738d7f1b3e5a7ca70fe4ff75f0.us-east-1.aws.found.io/app/kibana#/discover/Steve-Slow-Train-Analysis-(2080s-and-2083s)?_g=(refreshInterval:(display:Off,pause:!f,section:0,value:0),time:(from:'2017-11-07T11:25:50-0700',mode:absolute,to:'2017-11-07T13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/stypes="*4019*201711071*" /stext=" 19:.+((SYSTEM_STATE.+slice.+state.+changed )|(ment ac)|(multiple cpu faults)|(system.+state.+changed )|(\[timeout)|(PRM\|1\|D)|(kpr)|(kdp)|(train st.+moving)|(\|lc)|(penalty))"</v>
      </c>
      <c r="U23" s="9" t="str">
        <f>MID(B23,13,4)</f>
        <v>4019</v>
      </c>
      <c r="V23" s="31">
        <f>A23-utc_offset/24</f>
        <v>43046.828935185185</v>
      </c>
      <c r="W23" s="45" t="str">
        <f>DetSubdiv(C23)</f>
        <v>NW</v>
      </c>
      <c r="X23" s="22">
        <f>VALUE(LEFT(C23,LEN(C23)-3))</f>
        <v>820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overpass","project_id":79,"tracker_id":40,"status_id":1,"priority_id":2,"assigned_to_id":338,"start_date":"2017-11-07","description":"","custom_fields":[{"id":1,"name":"Subdivision","value":"NW"},{"id":4,"name":"Milepost","value":"0.4798"},{"id":17,"name":"Train ID","value":"820-07"},{"id":16,"name":"Locomotive ID","value":"4019"},{"id":130,"name":"Impact","value":""},{"id":150,"name":"Time of Event (Mountain Time)","value":"12:53:40"},{"id":151,"name":"Denver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/c/Users/stu/AppData/Local/Temp/OnboardLogs/RTDC4019 --include="*4019*201711071*"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"%USERPROFILE%\AppData\Local\Temp\OnboardLogs"\RTDC4019\*4019*201711071* &gt;&gt; 2017-11-07-SliceDisagreementCheck.txt</v>
      </c>
      <c r="AE23" s="145" t="str">
        <f t="shared" si="1"/>
        <v>start /low /b %USERPROFILE%\Documents\GitHub\eaglep3\Utilities\DownloadLogsFromS3.py --loco 4019 --day 2017-11-07</v>
      </c>
      <c r="AF23" s="1"/>
    </row>
    <row r="24" spans="1:32" x14ac:dyDescent="0.3">
      <c r="A24" s="31">
        <v>43046.767048611109</v>
      </c>
      <c r="B24" s="30" t="s">
        <v>664</v>
      </c>
      <c r="C24" s="30" t="s">
        <v>665</v>
      </c>
      <c r="D24" s="30" t="s">
        <v>49</v>
      </c>
      <c r="E24" s="30" t="s">
        <v>650</v>
      </c>
      <c r="F24" s="42">
        <v>0</v>
      </c>
      <c r="G24" s="42">
        <v>155</v>
      </c>
      <c r="H24" s="42">
        <v>1286</v>
      </c>
      <c r="I24" s="42">
        <v>1079</v>
      </c>
      <c r="J24" s="30" t="s">
        <v>651</v>
      </c>
      <c r="K24" s="42">
        <v>575</v>
      </c>
      <c r="L24" s="131" t="s">
        <v>51</v>
      </c>
      <c r="M24" s="132">
        <f>CONVERT((I24-K24)/10000,"mi","ft")*IF(L24="Increasing Mileposts (1)",-1,1)</f>
        <v>266.11200000000002</v>
      </c>
      <c r="N24" s="133" t="str">
        <f>VLOOKUP(C24,'Trips&amp;Operators'!$C$1:$G$99911,5,FALSE)</f>
        <v>STAMBAUGH JAMES</v>
      </c>
      <c r="O24" s="176" t="s">
        <v>178</v>
      </c>
      <c r="P24" s="134"/>
      <c r="Q24" s="30"/>
      <c r="R24" s="81" t="str">
        <f>VLOOKUP(C24,'Train Runs'!$A$13:$AE$10127,31,0)</f>
        <v>aws s3 cp s3://rtdc.mdm.uploadarchive.raw/RTDC4001/ "%USERPROFILE%\AppData\Local\Temp\OnboardLogs"\RTDC4001\2017-11-07 --exclude "*" --recursive --include "*20171107*" &amp; "%USERPROFILE%\Documents\GitHub\mrs-test-scripts\Headless Mode &amp; Sideloading\WalkAndUnGZ.bat" "%USERPROFILE%\AppData\Local\Temp\OnboardLogs"\RTDC4001\2017-11-07 &amp; 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</v>
      </c>
      <c r="S24" s="84" t="str">
        <f>VLOOKUP(C24,'Train Runs'!$A$13:$AE$10127,22,0)</f>
        <v>https://d0f6bd738d7f1b3e5a7ca70fe4ff75f0.us-east-1.aws.found.io/app/kibana#/discover/Steve-Slow-Train-Analysis-(2080s-and-2083s)?_g=(refreshInterval:(display:Off,pause:!f,section:0,value:0),time:(from:'2017-11-07T16:55:16-0700',mode:absolute,to:'2017-11-07T19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/stypes="*4001*201711080*" /stext=" 01:.+((SYSTEM_STATE.+slice.+state.+changed )|(ment ac)|(multiple cpu faults)|(system.+state.+changed )|(\[timeout)|(PRM\|1\|D)|(kpr)|(kdp)|(train st.+moving)|(\|lc)|(penalty))"</v>
      </c>
      <c r="U24" s="9" t="str">
        <f>MID(B24,13,4)</f>
        <v>4001</v>
      </c>
      <c r="V24" s="31">
        <f>A24-utc_offset/24</f>
        <v>43047.058715277773</v>
      </c>
      <c r="W24" s="45" t="str">
        <f>DetSubdiv(C24)</f>
        <v>NW</v>
      </c>
      <c r="X24" s="22">
        <f>VALUE(LEFT(C24,LEN(C24)-3))</f>
        <v>836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{"issue":{"subject":"","project_id":79,"tracker_id":40,"status_id":1,"priority_id":2,"assigned_to_id":338,"start_date":"2017-11-07","description":"","custom_fields":[{"id":1,"name":"Subdivision","value":"NW"},{"id":4,"name":"Milepost","value":"0.0575"},{"id":17,"name":"Train ID","value":"836-07"},{"id":16,"name":"Locomotive ID","value":"4001"},{"id":130,"name":"Impact","value":""},{"id":150,"name":"Time of Event (Mountain Time)","value":"18:24:33"},{"id":151,"name":"Denver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/c/Users/stu/AppData/Local/Temp/OnboardLogs/RTDC4001 --include="*4001*201711080*"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"%USERPROFILE%\AppData\Local\Temp\OnboardLogs"\RTDC4001\*4001*201711080* &gt;&gt; 2017-11-07-SliceDisagreementCheck.txt</v>
      </c>
      <c r="AE24" s="145" t="str">
        <f t="shared" si="1"/>
        <v>start /low /b %USERPROFILE%\Documents\GitHub\eaglep3\Utilities\DownloadLogsFromS3.py --loco 4001 --day 2017-11-08</v>
      </c>
      <c r="AF24" s="1"/>
    </row>
    <row r="25" spans="1:32" x14ac:dyDescent="0.3">
      <c r="A25" s="31">
        <v>43046.932037037041</v>
      </c>
      <c r="B25" s="30" t="s">
        <v>655</v>
      </c>
      <c r="C25" s="30" t="s">
        <v>668</v>
      </c>
      <c r="D25" s="30" t="s">
        <v>49</v>
      </c>
      <c r="E25" s="30" t="s">
        <v>650</v>
      </c>
      <c r="F25" s="42">
        <v>0</v>
      </c>
      <c r="G25" s="42">
        <v>151</v>
      </c>
      <c r="H25" s="42">
        <v>58274</v>
      </c>
      <c r="I25" s="42">
        <v>58463</v>
      </c>
      <c r="J25" s="30" t="s">
        <v>651</v>
      </c>
      <c r="K25" s="42">
        <v>59048</v>
      </c>
      <c r="L25" s="131" t="s">
        <v>50</v>
      </c>
      <c r="M25" s="132">
        <f>CONVERT((I25-K25)/10000,"mi","ft")*IF(L25="Increasing Mileposts (1)",-1,1)</f>
        <v>308.88</v>
      </c>
      <c r="N25" s="133" t="str">
        <f>VLOOKUP(C25,'Trips&amp;Operators'!$C$1:$G$99911,5,FALSE)</f>
        <v>STAMBAUGH JAMES</v>
      </c>
      <c r="O25" s="176" t="s">
        <v>178</v>
      </c>
      <c r="P25" s="134"/>
      <c r="Q25" s="30"/>
      <c r="R25" s="81" t="str">
        <f>VLOOKUP(C25,'Train Runs'!$A$13:$AE$10127,31,0)</f>
        <v>aws s3 cp s3://rtdc.mdm.uploadarchive.raw/RTDC4020/ "%USERPROFILE%\AppData\Local\Temp\OnboardLogs"\RTDC4020\2017-11-07 --exclude "*" --recursive --include "*20171107*" &amp; "%USERPROFILE%\Documents\GitHub\mrs-test-scripts\Headless Mode &amp; Sideloading\WalkAndUnGZ.bat" "%USERPROFILE%\AppData\Local\Temp\OnboardLogs"\RTDC4020\2017-11-07 &amp; 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</v>
      </c>
      <c r="S25" s="84" t="str">
        <f>VLOOKUP(C25,'Train Runs'!$A$13:$AE$10127,22,0)</f>
        <v>https://d0f6bd738d7f1b3e5a7ca70fe4ff75f0.us-east-1.aws.found.io/app/kibana#/discover/Steve-Slow-Train-Analysis-(2080s-and-2083s)?_g=(refreshInterval:(display:Off,pause:!f,section:0,value:0),time:(from:'2017-11-07T21:24:13-0700',mode:absolute,to:'2017-11-07T23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/stypes="*4020*201711080*" /stext=" 05:.+((SYSTEM_STATE.+slice.+state.+changed )|(ment ac)|(multiple cpu faults)|(system.+state.+changed )|(\[timeout)|(PRM\|1\|D)|(kpr)|(kdp)|(train st.+moving)|(\|lc)|(penalty))"</v>
      </c>
      <c r="U25" s="9" t="str">
        <f>MID(B25,13,4)</f>
        <v>4020</v>
      </c>
      <c r="V25" s="31">
        <f>A25-utc_offset/24</f>
        <v>43047.223703703705</v>
      </c>
      <c r="W25" s="45" t="str">
        <f>DetSubdiv(C25)</f>
        <v>NW</v>
      </c>
      <c r="X25" s="22">
        <f>VALUE(LEFT(C25,LEN(C25)-3))</f>
        <v>847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{"issue":{"subject":"","project_id":79,"tracker_id":40,"status_id":1,"priority_id":2,"assigned_to_id":338,"start_date":"2017-11-07","description":"","custom_fields":[{"id":1,"name":"Subdivision","value":"NW"},{"id":4,"name":"Milepost","value":"5.9048"},{"id":17,"name":"Train ID","value":"847-07"},{"id":16,"name":"Locomotive ID","value":"4020"},{"id":130,"name":"Impact","value":""},{"id":150,"name":"Time of Event (Mountain Time)","value":"22:22:08"},{"id":151,"name":"Denver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/c/Users/stu/AppData/Local/Temp/OnboardLogs/RTDC4020 --include="*4020*201711080*"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"%USERPROFILE%\AppData\Local\Temp\OnboardLogs"\RTDC4020\*4020*201711080* &gt;&gt; 2017-11-07-SliceDisagreementCheck.txt</v>
      </c>
      <c r="AE25" s="145" t="str">
        <f t="shared" si="1"/>
        <v>start /low /b %USERPROFILE%\Documents\GitHub\eaglep3\Utilities\DownloadLogsFromS3.py --loco 4020 --day 2017-11-08</v>
      </c>
      <c r="AF25" s="1"/>
    </row>
    <row r="26" spans="1:32" x14ac:dyDescent="0.3">
      <c r="A26" s="31">
        <v>43046.176215277781</v>
      </c>
      <c r="B26" s="30" t="s">
        <v>486</v>
      </c>
      <c r="C26" s="30" t="s">
        <v>642</v>
      </c>
      <c r="D26" s="30" t="s">
        <v>95</v>
      </c>
      <c r="E26" s="30" t="s">
        <v>356</v>
      </c>
      <c r="F26" s="42">
        <v>0</v>
      </c>
      <c r="G26" s="42">
        <v>131</v>
      </c>
      <c r="H26" s="42">
        <v>23294</v>
      </c>
      <c r="I26" s="42">
        <v>23152</v>
      </c>
      <c r="J26" s="30" t="s">
        <v>357</v>
      </c>
      <c r="K26" s="42">
        <v>24161</v>
      </c>
      <c r="L26" s="131" t="s">
        <v>51</v>
      </c>
      <c r="M26" s="132">
        <f>CONVERT((I26-K26)/10000,"mi","ft")*IF(L26="Increasing Mileposts (1)",-1,1)</f>
        <v>-532.75199999999995</v>
      </c>
      <c r="N26" s="133" t="str">
        <f>VLOOKUP(C26,'Trips&amp;Operators'!$C$1:$G$99911,5,FALSE)</f>
        <v>BARRON PERLA</v>
      </c>
      <c r="O26" s="176" t="s">
        <v>1088</v>
      </c>
      <c r="P26" s="134"/>
      <c r="Q26" s="30"/>
      <c r="R26" s="81" t="str">
        <f>VLOOKUP(C26,'Train Runs'!$A$13:$AE$10127,31,0)</f>
        <v>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 &amp; aws s3 cp s3://rtdc.mdm.uploadarchive.raw/RTDC4065/ "%USERPROFILE%\AppData\Local\Temp\OnboardLogs"\RTDC4065\2017-11-08 --exclude "*" --recursive --include "*20171108*" &amp; "%USERPROFILE%\Documents\GitHub\mrs-test-scripts\Headless Mode &amp; Sideloading\WalkAndUnGZ.bat" "%USERPROFILE%\AppData\Local\Temp\OnboardLogs"\RTDC4065\2017-11-08</v>
      </c>
      <c r="S26" s="84" t="str">
        <f>VLOOKUP(C26,'Train Runs'!$A$13:$AE$10127,22,0)</f>
        <v>https://d0f6bd738d7f1b3e5a7ca70fe4ff75f0.us-east-1.aws.found.io/app/kibana#/discover/Steve-Slow-Train-Analysis-(2080s-and-2083s)?_g=(refreshInterval:(display:Off,pause:!f,section:0,value:0),time:(from:'2017-11-07T03:06:58-0700',mode:absolute,to:'2017-11-07T05:13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/stypes="*4065*201711071*" /stext=" 11:.+((SYSTEM_STATE.+slice.+state.+changed )|(ment ac)|(multiple cpu faults)|(system.+state.+changed )|(\[timeout)|(PRM\|1\|D)|(kpr)|(kdp)|(train st.+moving)|(\|lc)|(penalty))"</v>
      </c>
      <c r="U26" s="9" t="str">
        <f>MID(B26,13,4)</f>
        <v>4065</v>
      </c>
      <c r="V26" s="31">
        <f>A26-utc_offset/24</f>
        <v>43046.467881944445</v>
      </c>
      <c r="W26" s="45" t="str">
        <f>DetSubdiv(C26)</f>
        <v>Other</v>
      </c>
      <c r="X26" s="22">
        <f>VALUE(LEFT(C26,LEN(C26)-3))</f>
        <v>306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{"issue":{"subject":"","project_id":79,"tracker_id":40,"status_id":1,"priority_id":2,"assigned_to_id":338,"start_date":"2017-11-07","description":"","custom_fields":[{"id":1,"name":"Subdivision","value":"Other"},{"id":4,"name":"Milepost","value":"2.4161"},{"id":17,"name":"Train ID","value":"306-07"},{"id":16,"name":"Locomotive ID","value":"4065"},{"id":130,"name":"Impact","value":""},{"id":150,"name":"Time of Event (Mountain Time)","value":"04:13:45"},{"id":151,"name":"Denver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/c/Users/stu/AppData/Local/Temp/OnboardLogs/RTDC4065 --include="*4065*201711071*"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"%USERPROFILE%\AppData\Local\Temp\OnboardLogs"\RTDC4065\*4065*201711071* &gt;&gt; 2017-11-07-SliceDisagreementCheck.txt</v>
      </c>
      <c r="AE26" s="145" t="str">
        <f t="shared" si="1"/>
        <v>start /low /b %USERPROFILE%\Documents\GitHub\eaglep3\Utilities\DownloadLogsFromS3.py --loco 4065 --day 2017-11-07</v>
      </c>
      <c r="AF26" s="1"/>
    </row>
    <row r="27" spans="1:32" x14ac:dyDescent="0.3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3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</sheetData>
  <autoFilter ref="A6:AC28">
    <sortState ref="A7:AC28">
      <sortCondition ref="W7:W26"/>
      <sortCondition ref="E7:E26"/>
      <sortCondition ref="K7:K26"/>
      <sortCondition ref="F7:F26"/>
    </sortState>
  </autoFilter>
  <sortState ref="A7:AE21">
    <sortCondition ref="W7:W21"/>
    <sortCondition ref="E7:E21"/>
    <sortCondition ref="K7:K21"/>
    <sortCondition ref="C7:C21"/>
    <sortCondition ref="F7:F21"/>
  </sortState>
  <mergeCells count="1">
    <mergeCell ref="A5:O5"/>
  </mergeCells>
  <conditionalFormatting sqref="O6:P6 R6 O46:O1048576 O7:O2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6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AA7:AA26</xm:sqref>
        </x14:dataValidation>
        <x14:dataValidation type="list" allowBlank="1" showInputMessage="1" showErrorMessage="1">
          <x14:formula1>
            <xm:f>'Redmine List Values'!$C$2:$C$15</xm:f>
          </x14:formula1>
          <xm:sqref>AB7:AB26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2017-11-07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-07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" s="30" t="e">
        <f>VLOOKUP(B3,'Train Runs'!$A$13:$A$100124,1,FALSE)</f>
        <v>#N/A</v>
      </c>
    </row>
    <row r="4" spans="1:10" x14ac:dyDescent="0.3">
      <c r="A4" s="198"/>
      <c r="B4" s="42" t="str">
        <f>A4&amp;"-"&amp;IF(DAY(Variables!$A$2)&lt;10,0,"")&amp;DAY(Variables!$A$2)</f>
        <v>-07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Runs'!$A$13:$A$100124,1,FALSE)</f>
        <v>#N/A</v>
      </c>
    </row>
    <row r="5" spans="1:10" x14ac:dyDescent="0.3">
      <c r="A5" s="198"/>
      <c r="B5" s="42" t="str">
        <f>A5&amp;"-"&amp;IF(DAY(Variables!$A$2)&lt;10,0,"")&amp;DAY(Variables!$A$2)</f>
        <v>-07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Runs'!$A$13:$A$100124,1,FALSE)</f>
        <v>#N/A</v>
      </c>
    </row>
    <row r="6" spans="1:10" x14ac:dyDescent="0.3">
      <c r="A6" s="198"/>
      <c r="B6" s="42" t="str">
        <f>A6&amp;"-"&amp;IF(DAY(Variables!$A$2)&lt;10,0,"")&amp;DAY(Variables!$A$2)</f>
        <v>-07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Runs'!$A$13:$A$100124,1,FALSE)</f>
        <v>#N/A</v>
      </c>
    </row>
    <row r="7" spans="1:10" x14ac:dyDescent="0.3">
      <c r="A7" s="198"/>
      <c r="B7" s="42" t="str">
        <f>A7&amp;"-"&amp;IF(DAY(Variables!$A$2)&lt;10,0,"")&amp;DAY(Variables!$A$2)</f>
        <v>-07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Runs'!$A$13:$A$100124,1,FALSE)</f>
        <v>#N/A</v>
      </c>
    </row>
    <row r="8" spans="1:10" x14ac:dyDescent="0.3">
      <c r="A8" s="198"/>
      <c r="B8" s="42" t="str">
        <f>A8&amp;"-"&amp;IF(DAY(Variables!$A$2)&lt;10,0,"")&amp;DAY(Variables!$A$2)</f>
        <v>-07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Runs'!$A$13:$A$100124,1,FALSE)</f>
        <v>#N/A</v>
      </c>
    </row>
    <row r="9" spans="1:10" x14ac:dyDescent="0.3">
      <c r="A9" s="198"/>
      <c r="B9" s="42" t="str">
        <f>A9&amp;"-"&amp;IF(DAY(Variables!$A$2)&lt;10,0,"")&amp;DAY(Variables!$A$2)</f>
        <v>-07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Runs'!$A$13:$A$100124,1,FALSE)</f>
        <v>#N/A</v>
      </c>
    </row>
    <row r="10" spans="1:10" x14ac:dyDescent="0.3">
      <c r="A10" s="198"/>
      <c r="B10" s="42" t="str">
        <f>A10&amp;"-"&amp;IF(DAY(Variables!$A$2)&lt;10,0,"")&amp;DAY(Variables!$A$2)</f>
        <v>-07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Runs'!$A$13:$A$100124,1,FALSE)</f>
        <v>#N/A</v>
      </c>
    </row>
    <row r="11" spans="1:10" x14ac:dyDescent="0.3">
      <c r="A11" s="198"/>
      <c r="B11" s="42" t="str">
        <f>A11&amp;"-"&amp;IF(DAY(Variables!$A$2)&lt;10,0,"")&amp;DAY(Variables!$A$2)</f>
        <v>-07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Runs'!$A$13:$A$100124,1,FALSE)</f>
        <v>#N/A</v>
      </c>
    </row>
    <row r="12" spans="1:10" x14ac:dyDescent="0.3">
      <c r="A12" s="198"/>
      <c r="B12" s="42" t="str">
        <f>A12&amp;"-"&amp;IF(DAY(Variables!$A$2)&lt;10,0,"")&amp;DAY(Variables!$A$2)</f>
        <v>-07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Runs'!$A$13:$A$100124,1,FALSE)</f>
        <v>#N/A</v>
      </c>
    </row>
    <row r="13" spans="1:10" x14ac:dyDescent="0.3">
      <c r="A13" s="198"/>
      <c r="B13" s="42" t="str">
        <f>A13&amp;"-"&amp;IF(DAY(Variables!$A$2)&lt;10,0,"")&amp;DAY(Variables!$A$2)</f>
        <v>-07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Runs'!$A$13:$A$100124,1,FALSE)</f>
        <v>#N/A</v>
      </c>
    </row>
    <row r="14" spans="1:10" x14ac:dyDescent="0.3">
      <c r="A14" s="198"/>
      <c r="B14" s="42" t="str">
        <f>A14&amp;"-"&amp;IF(DAY(Variables!$A$2)&lt;10,0,"")&amp;DAY(Variables!$A$2)</f>
        <v>-07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Runs'!$A$13:$A$100124,1,FALSE)</f>
        <v>#N/A</v>
      </c>
    </row>
    <row r="15" spans="1:10" x14ac:dyDescent="0.3">
      <c r="A15" s="198"/>
      <c r="B15" s="42" t="str">
        <f>A15&amp;"-"&amp;IF(DAY(Variables!$A$2)&lt;10,0,"")&amp;DAY(Variables!$A$2)</f>
        <v>-07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Runs'!$A$13:$A$100124,1,FALSE)</f>
        <v>#N/A</v>
      </c>
    </row>
    <row r="16" spans="1:10" x14ac:dyDescent="0.3">
      <c r="A16" s="198"/>
      <c r="B16" s="42" t="str">
        <f>A16&amp;"-"&amp;IF(DAY(Variables!$A$2)&lt;10,0,"")&amp;DAY(Variables!$A$2)</f>
        <v>-07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Runs'!$A$13:$A$100124,1,FALSE)</f>
        <v>#N/A</v>
      </c>
    </row>
    <row r="17" spans="1:10" x14ac:dyDescent="0.3">
      <c r="A17" s="198"/>
      <c r="B17" s="42" t="str">
        <f>A17&amp;"-"&amp;IF(DAY(Variables!$A$2)&lt;10,0,"")&amp;DAY(Variables!$A$2)</f>
        <v>-07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Runs'!$A$13:$A$100124,1,FALSE)</f>
        <v>#N/A</v>
      </c>
    </row>
    <row r="18" spans="1:10" x14ac:dyDescent="0.3">
      <c r="A18" s="198"/>
      <c r="B18" s="42" t="str">
        <f>A18&amp;"-"&amp;IF(DAY(Variables!$A$2)&lt;10,0,"")&amp;DAY(Variables!$A$2)</f>
        <v>-07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Runs'!$A$13:$A$100124,1,FALSE)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5" workbookViewId="0">
      <selection activeCell="C119" sqref="C119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43046.036585648151</v>
      </c>
      <c r="B2" s="20" t="s">
        <v>519</v>
      </c>
      <c r="C2" s="20" t="s">
        <v>573</v>
      </c>
      <c r="D2" s="138">
        <v>3220000</v>
      </c>
      <c r="E2" s="20" t="s">
        <v>385</v>
      </c>
      <c r="F2" s="20" t="s">
        <v>386</v>
      </c>
      <c r="G2" s="8" t="str">
        <f>E2&amp;" "&amp;F2</f>
        <v>RESPASS AARON</v>
      </c>
      <c r="H2" t="str">
        <f>MID(B2,13,4)</f>
        <v>4009</v>
      </c>
    </row>
    <row r="3" spans="1:8" x14ac:dyDescent="0.3">
      <c r="A3" s="8">
        <v>43046.038437499999</v>
      </c>
      <c r="B3" s="20" t="s">
        <v>519</v>
      </c>
      <c r="C3" s="20" t="s">
        <v>573</v>
      </c>
      <c r="D3" s="138">
        <v>3220000</v>
      </c>
      <c r="E3" s="20" t="s">
        <v>385</v>
      </c>
      <c r="F3" s="20" t="s">
        <v>386</v>
      </c>
      <c r="G3" s="8" t="str">
        <f t="shared" ref="G3:G66" si="0">E3&amp;" "&amp;F3</f>
        <v>RESPASS AARON</v>
      </c>
      <c r="H3" s="20" t="str">
        <f t="shared" ref="H3:H66" si="1">MID(B3,13,4)</f>
        <v>4009</v>
      </c>
    </row>
    <row r="4" spans="1:8" x14ac:dyDescent="0.3">
      <c r="A4" s="8">
        <v>43046.048495370371</v>
      </c>
      <c r="B4" s="20" t="s">
        <v>477</v>
      </c>
      <c r="C4" s="20" t="s">
        <v>574</v>
      </c>
      <c r="D4" s="138">
        <v>890000</v>
      </c>
      <c r="E4" s="20" t="s">
        <v>345</v>
      </c>
      <c r="F4" s="20" t="s">
        <v>346</v>
      </c>
      <c r="G4" s="8" t="str">
        <f t="shared" si="0"/>
        <v>LOZA FIDEL</v>
      </c>
      <c r="H4" s="20" t="str">
        <f t="shared" si="1"/>
        <v>4032</v>
      </c>
    </row>
    <row r="5" spans="1:8" x14ac:dyDescent="0.3">
      <c r="A5" s="8">
        <v>43046.057152777779</v>
      </c>
      <c r="B5" s="20" t="s">
        <v>563</v>
      </c>
      <c r="C5" s="20" t="s">
        <v>575</v>
      </c>
      <c r="D5" s="138">
        <v>3040000</v>
      </c>
      <c r="E5" s="20" t="s">
        <v>371</v>
      </c>
      <c r="F5" s="20" t="s">
        <v>488</v>
      </c>
      <c r="G5" s="8" t="str">
        <f t="shared" si="0"/>
        <v>WILLIAMS DONTE</v>
      </c>
      <c r="H5" s="20" t="str">
        <f t="shared" si="1"/>
        <v>4049</v>
      </c>
    </row>
    <row r="6" spans="1:8" x14ac:dyDescent="0.3">
      <c r="A6" s="8">
        <v>43046.071620370371</v>
      </c>
      <c r="B6" s="20" t="s">
        <v>522</v>
      </c>
      <c r="C6" s="20" t="s">
        <v>576</v>
      </c>
      <c r="D6" s="138">
        <v>3220000</v>
      </c>
      <c r="E6" s="20" t="s">
        <v>385</v>
      </c>
      <c r="F6" s="20" t="s">
        <v>386</v>
      </c>
      <c r="G6" s="8" t="str">
        <f t="shared" si="0"/>
        <v>RESPASS AARON</v>
      </c>
      <c r="H6" s="20" t="str">
        <f t="shared" si="1"/>
        <v>4010</v>
      </c>
    </row>
    <row r="7" spans="1:8" x14ac:dyDescent="0.3">
      <c r="A7" s="8">
        <v>43046.091249999998</v>
      </c>
      <c r="B7" s="20" t="s">
        <v>564</v>
      </c>
      <c r="C7" s="20" t="s">
        <v>577</v>
      </c>
      <c r="D7" s="138">
        <v>3040000</v>
      </c>
      <c r="E7" s="20" t="s">
        <v>371</v>
      </c>
      <c r="F7" s="20" t="s">
        <v>488</v>
      </c>
      <c r="G7" s="8" t="str">
        <f t="shared" si="0"/>
        <v>WILLIAMS DONTE</v>
      </c>
      <c r="H7" s="20" t="str">
        <f t="shared" si="1"/>
        <v>4050</v>
      </c>
    </row>
    <row r="8" spans="1:8" x14ac:dyDescent="0.3">
      <c r="A8" s="8">
        <v>43046.114247685182</v>
      </c>
      <c r="B8" s="20" t="s">
        <v>399</v>
      </c>
      <c r="C8" s="20" t="s">
        <v>578</v>
      </c>
      <c r="D8" s="138">
        <v>1830000</v>
      </c>
      <c r="E8" s="20" t="s">
        <v>348</v>
      </c>
      <c r="F8" s="20" t="s">
        <v>349</v>
      </c>
      <c r="G8" s="8" t="str">
        <f t="shared" si="0"/>
        <v>YORK EDGAR</v>
      </c>
      <c r="H8" s="20" t="str">
        <f t="shared" si="1"/>
        <v>4021</v>
      </c>
    </row>
    <row r="9" spans="1:8" ht="15" thickBot="1" x14ac:dyDescent="0.35">
      <c r="A9" s="24">
        <v>43046.124305555553</v>
      </c>
      <c r="B9" s="20" t="s">
        <v>395</v>
      </c>
      <c r="C9" s="20" t="s">
        <v>673</v>
      </c>
      <c r="D9" s="138">
        <v>1090000</v>
      </c>
      <c r="E9" s="20" t="s">
        <v>389</v>
      </c>
      <c r="F9" s="20" t="s">
        <v>354</v>
      </c>
      <c r="G9" s="8" t="str">
        <f t="shared" si="0"/>
        <v>SPECTOR MICHAEL</v>
      </c>
      <c r="H9" s="20" t="str">
        <f t="shared" si="1"/>
        <v>4022</v>
      </c>
    </row>
    <row r="10" spans="1:8" x14ac:dyDescent="0.3">
      <c r="A10" s="8">
        <v>43046.125138888892</v>
      </c>
      <c r="B10" s="20" t="s">
        <v>395</v>
      </c>
      <c r="C10" s="20" t="s">
        <v>673</v>
      </c>
      <c r="D10" s="138">
        <v>1090000</v>
      </c>
      <c r="E10" s="20" t="s">
        <v>389</v>
      </c>
      <c r="F10" s="20" t="s">
        <v>354</v>
      </c>
      <c r="G10" s="8" t="str">
        <f t="shared" si="0"/>
        <v>SPECTOR MICHAEL</v>
      </c>
      <c r="H10" s="20" t="str">
        <f t="shared" si="1"/>
        <v>4022</v>
      </c>
    </row>
    <row r="11" spans="1:8" x14ac:dyDescent="0.3">
      <c r="A11" s="8">
        <v>43046.126296296294</v>
      </c>
      <c r="B11" s="20" t="s">
        <v>674</v>
      </c>
      <c r="C11" s="20" t="s">
        <v>675</v>
      </c>
      <c r="D11" s="138">
        <v>1830000</v>
      </c>
      <c r="E11" s="20" t="s">
        <v>348</v>
      </c>
      <c r="F11" s="20" t="s">
        <v>349</v>
      </c>
      <c r="G11" s="8" t="str">
        <f t="shared" si="0"/>
        <v>YORK EDGAR</v>
      </c>
      <c r="H11" s="20" t="str">
        <f t="shared" si="1"/>
        <v>4042</v>
      </c>
    </row>
    <row r="12" spans="1:8" x14ac:dyDescent="0.3">
      <c r="A12" s="8">
        <v>43046.126909722225</v>
      </c>
      <c r="B12" s="20" t="s">
        <v>395</v>
      </c>
      <c r="C12" s="20" t="s">
        <v>673</v>
      </c>
      <c r="D12" s="138">
        <v>1090000</v>
      </c>
      <c r="E12" s="20" t="s">
        <v>389</v>
      </c>
      <c r="F12" s="20" t="s">
        <v>354</v>
      </c>
      <c r="G12" s="8" t="str">
        <f t="shared" si="0"/>
        <v>SPECTOR MICHAEL</v>
      </c>
      <c r="H12" s="20" t="str">
        <f t="shared" si="1"/>
        <v>4022</v>
      </c>
    </row>
    <row r="13" spans="1:8" x14ac:dyDescent="0.3">
      <c r="A13" s="8">
        <v>43046.139907407407</v>
      </c>
      <c r="B13" s="20" t="s">
        <v>399</v>
      </c>
      <c r="C13" s="20" t="s">
        <v>676</v>
      </c>
      <c r="D13" s="138">
        <v>1090000</v>
      </c>
      <c r="E13" s="20" t="s">
        <v>389</v>
      </c>
      <c r="F13" s="20" t="s">
        <v>354</v>
      </c>
      <c r="G13" s="8" t="str">
        <f t="shared" si="0"/>
        <v>SPECTOR MICHAEL</v>
      </c>
      <c r="H13" s="20" t="str">
        <f t="shared" si="1"/>
        <v>4021</v>
      </c>
    </row>
    <row r="14" spans="1:8" x14ac:dyDescent="0.3">
      <c r="A14" s="8">
        <v>43046.140613425923</v>
      </c>
      <c r="B14" s="20" t="s">
        <v>670</v>
      </c>
      <c r="C14" s="20" t="s">
        <v>677</v>
      </c>
      <c r="D14" s="138">
        <v>940000</v>
      </c>
      <c r="E14" s="20" t="s">
        <v>565</v>
      </c>
      <c r="F14" s="20" t="s">
        <v>566</v>
      </c>
      <c r="G14" s="8" t="str">
        <f t="shared" si="0"/>
        <v>BONDS REYNALDO</v>
      </c>
      <c r="H14" s="20" t="str">
        <f t="shared" si="1"/>
        <v>4063</v>
      </c>
    </row>
    <row r="15" spans="1:8" x14ac:dyDescent="0.3">
      <c r="A15" s="8">
        <v>43046.151226851849</v>
      </c>
      <c r="B15" s="20" t="s">
        <v>476</v>
      </c>
      <c r="C15" s="20" t="s">
        <v>678</v>
      </c>
      <c r="D15" s="138">
        <v>940000</v>
      </c>
      <c r="E15" s="20" t="s">
        <v>565</v>
      </c>
      <c r="F15" s="20" t="s">
        <v>566</v>
      </c>
      <c r="G15" s="8" t="str">
        <f t="shared" si="0"/>
        <v>BONDS REYNALDO</v>
      </c>
      <c r="H15" s="20" t="str">
        <f t="shared" si="1"/>
        <v>4064</v>
      </c>
    </row>
    <row r="16" spans="1:8" x14ac:dyDescent="0.3">
      <c r="A16" s="8">
        <v>43046.161192129628</v>
      </c>
      <c r="B16" s="20" t="s">
        <v>363</v>
      </c>
      <c r="C16" s="20" t="s">
        <v>679</v>
      </c>
      <c r="D16" s="138">
        <v>3300000</v>
      </c>
      <c r="E16" s="20" t="s">
        <v>680</v>
      </c>
      <c r="F16" s="20" t="s">
        <v>681</v>
      </c>
      <c r="G16" s="8" t="str">
        <f t="shared" si="0"/>
        <v>LANGERAK WILLIAM</v>
      </c>
      <c r="H16" s="20" t="str">
        <f t="shared" si="1"/>
        <v>4007</v>
      </c>
    </row>
    <row r="17" spans="1:8" x14ac:dyDescent="0.3">
      <c r="A17" s="8">
        <v>43046.16128472222</v>
      </c>
      <c r="B17" s="20" t="s">
        <v>475</v>
      </c>
      <c r="C17" s="20" t="s">
        <v>682</v>
      </c>
      <c r="D17" s="138">
        <v>1830000</v>
      </c>
      <c r="E17" s="20" t="s">
        <v>348</v>
      </c>
      <c r="F17" s="20" t="s">
        <v>349</v>
      </c>
      <c r="G17" s="8" t="str">
        <f t="shared" si="0"/>
        <v>YORK EDGAR</v>
      </c>
      <c r="H17" s="20" t="str">
        <f t="shared" si="1"/>
        <v>4041</v>
      </c>
    </row>
    <row r="18" spans="1:8" x14ac:dyDescent="0.3">
      <c r="A18" s="8">
        <v>43046.162164351852</v>
      </c>
      <c r="B18" s="20" t="s">
        <v>363</v>
      </c>
      <c r="C18" s="20" t="s">
        <v>679</v>
      </c>
      <c r="D18" s="138">
        <v>3300000</v>
      </c>
      <c r="E18" s="20" t="s">
        <v>680</v>
      </c>
      <c r="F18" s="20" t="s">
        <v>681</v>
      </c>
      <c r="G18" s="8" t="str">
        <f t="shared" si="0"/>
        <v>LANGERAK WILLIAM</v>
      </c>
      <c r="H18" s="20" t="str">
        <f t="shared" si="1"/>
        <v>4007</v>
      </c>
    </row>
    <row r="19" spans="1:8" x14ac:dyDescent="0.3">
      <c r="A19" s="8">
        <v>43046.1641087963</v>
      </c>
      <c r="B19" s="20" t="s">
        <v>363</v>
      </c>
      <c r="C19" s="20" t="s">
        <v>679</v>
      </c>
      <c r="D19" s="138">
        <v>3300000</v>
      </c>
      <c r="E19" s="20" t="s">
        <v>680</v>
      </c>
      <c r="F19" s="20" t="s">
        <v>681</v>
      </c>
      <c r="G19" s="8" t="str">
        <f t="shared" si="0"/>
        <v>LANGERAK WILLIAM</v>
      </c>
      <c r="H19" s="20" t="str">
        <f t="shared" si="1"/>
        <v>4007</v>
      </c>
    </row>
    <row r="20" spans="1:8" x14ac:dyDescent="0.3">
      <c r="A20" s="8">
        <v>43046.172361111108</v>
      </c>
      <c r="B20" s="20" t="s">
        <v>486</v>
      </c>
      <c r="C20" s="20" t="s">
        <v>642</v>
      </c>
      <c r="D20" s="138">
        <v>3510000</v>
      </c>
      <c r="E20" s="20" t="s">
        <v>520</v>
      </c>
      <c r="F20" s="20" t="s">
        <v>521</v>
      </c>
      <c r="G20" s="8" t="str">
        <f t="shared" si="0"/>
        <v>BARRON PERLA</v>
      </c>
      <c r="H20" s="20" t="str">
        <f t="shared" si="1"/>
        <v>4065</v>
      </c>
    </row>
    <row r="21" spans="1:8" x14ac:dyDescent="0.3">
      <c r="A21" s="8">
        <v>43046.17459490741</v>
      </c>
      <c r="B21" s="20" t="s">
        <v>358</v>
      </c>
      <c r="C21" s="20" t="s">
        <v>683</v>
      </c>
      <c r="D21" s="138">
        <v>3300000</v>
      </c>
      <c r="E21" s="20" t="s">
        <v>680</v>
      </c>
      <c r="F21" s="20" t="s">
        <v>681</v>
      </c>
      <c r="G21" s="8" t="str">
        <f t="shared" si="0"/>
        <v>LANGERAK WILLIAM</v>
      </c>
      <c r="H21" s="20" t="str">
        <f t="shared" si="1"/>
        <v>4008</v>
      </c>
    </row>
    <row r="22" spans="1:8" x14ac:dyDescent="0.3">
      <c r="A22" s="26">
        <v>43046.182326388887</v>
      </c>
      <c r="B22" s="20" t="s">
        <v>661</v>
      </c>
      <c r="C22" s="20" t="s">
        <v>684</v>
      </c>
      <c r="D22" s="138">
        <v>3090000</v>
      </c>
      <c r="E22" s="20" t="s">
        <v>525</v>
      </c>
      <c r="F22" s="20" t="s">
        <v>526</v>
      </c>
      <c r="G22" s="8" t="str">
        <f t="shared" si="0"/>
        <v>LAMAR NEKESHA</v>
      </c>
      <c r="H22" s="20" t="str">
        <f t="shared" si="1"/>
        <v>4025</v>
      </c>
    </row>
    <row r="23" spans="1:8" x14ac:dyDescent="0.3">
      <c r="A23" s="8">
        <v>43046.185312499998</v>
      </c>
      <c r="B23" s="20" t="s">
        <v>569</v>
      </c>
      <c r="C23" s="20" t="s">
        <v>685</v>
      </c>
      <c r="D23" s="138">
        <v>3510000</v>
      </c>
      <c r="E23" s="20" t="s">
        <v>520</v>
      </c>
      <c r="F23" s="20" t="s">
        <v>521</v>
      </c>
      <c r="G23" s="8" t="str">
        <f t="shared" si="0"/>
        <v>BARRON PERLA</v>
      </c>
      <c r="H23" s="20" t="str">
        <f t="shared" si="1"/>
        <v>4066</v>
      </c>
    </row>
    <row r="24" spans="1:8" x14ac:dyDescent="0.3">
      <c r="A24" s="8">
        <v>43046.191365740742</v>
      </c>
      <c r="B24" s="20" t="s">
        <v>670</v>
      </c>
      <c r="C24" s="20" t="s">
        <v>686</v>
      </c>
      <c r="D24" s="138">
        <v>940000</v>
      </c>
      <c r="E24" s="20" t="s">
        <v>565</v>
      </c>
      <c r="F24" s="20" t="s">
        <v>566</v>
      </c>
      <c r="G24" s="8" t="str">
        <f t="shared" si="0"/>
        <v>BONDS REYNALDO</v>
      </c>
      <c r="H24" s="20" t="str">
        <f t="shared" si="1"/>
        <v>4063</v>
      </c>
    </row>
    <row r="25" spans="1:8" x14ac:dyDescent="0.3">
      <c r="A25" s="8">
        <v>43046.19494212963</v>
      </c>
      <c r="B25" s="20" t="s">
        <v>643</v>
      </c>
      <c r="C25" s="20" t="s">
        <v>687</v>
      </c>
      <c r="D25" s="138">
        <v>3090000</v>
      </c>
      <c r="E25" s="20" t="s">
        <v>525</v>
      </c>
      <c r="F25" s="20" t="s">
        <v>526</v>
      </c>
      <c r="G25" s="8" t="str">
        <f t="shared" si="0"/>
        <v>LAMAR NEKESHA</v>
      </c>
      <c r="H25" s="20" t="str">
        <f t="shared" si="1"/>
        <v>4026</v>
      </c>
    </row>
    <row r="26" spans="1:8" x14ac:dyDescent="0.3">
      <c r="A26" s="8">
        <v>43046.195196759261</v>
      </c>
      <c r="B26" s="20" t="s">
        <v>688</v>
      </c>
      <c r="C26" s="20" t="s">
        <v>689</v>
      </c>
      <c r="D26" s="138">
        <v>1230000</v>
      </c>
      <c r="E26" s="20" t="s">
        <v>567</v>
      </c>
      <c r="F26" s="20" t="s">
        <v>568</v>
      </c>
      <c r="G26" s="8" t="str">
        <f t="shared" si="0"/>
        <v>YANAI IAN</v>
      </c>
      <c r="H26" s="20" t="str">
        <f t="shared" si="1"/>
        <v>4057</v>
      </c>
    </row>
    <row r="27" spans="1:8" x14ac:dyDescent="0.3">
      <c r="A27" s="8">
        <v>43046.202928240738</v>
      </c>
      <c r="B27" s="20" t="s">
        <v>674</v>
      </c>
      <c r="C27" s="20" t="s">
        <v>690</v>
      </c>
      <c r="D27" s="138">
        <v>1830000</v>
      </c>
      <c r="E27" s="20" t="s">
        <v>348</v>
      </c>
      <c r="F27" s="20" t="s">
        <v>349</v>
      </c>
      <c r="G27" s="8" t="str">
        <f t="shared" si="0"/>
        <v>YORK EDGAR</v>
      </c>
      <c r="H27" s="20" t="str">
        <f t="shared" si="1"/>
        <v>4042</v>
      </c>
    </row>
    <row r="28" spans="1:8" x14ac:dyDescent="0.3">
      <c r="A28" s="8">
        <v>43046.204456018517</v>
      </c>
      <c r="B28" s="20" t="s">
        <v>485</v>
      </c>
      <c r="C28" s="20" t="s">
        <v>691</v>
      </c>
      <c r="D28" s="138">
        <v>1230000</v>
      </c>
      <c r="E28" s="20" t="s">
        <v>567</v>
      </c>
      <c r="F28" s="20" t="s">
        <v>568</v>
      </c>
      <c r="G28" s="8" t="str">
        <f t="shared" si="0"/>
        <v>YANAI IAN</v>
      </c>
      <c r="H28" s="20" t="str">
        <f t="shared" si="1"/>
        <v>4058</v>
      </c>
    </row>
    <row r="29" spans="1:8" x14ac:dyDescent="0.3">
      <c r="A29" s="8">
        <v>43046.206504629627</v>
      </c>
      <c r="B29" s="20" t="s">
        <v>363</v>
      </c>
      <c r="C29" s="20" t="s">
        <v>692</v>
      </c>
      <c r="D29" s="138">
        <v>3300000</v>
      </c>
      <c r="E29" s="20" t="s">
        <v>680</v>
      </c>
      <c r="F29" s="20" t="s">
        <v>681</v>
      </c>
      <c r="G29" s="8" t="str">
        <f t="shared" si="0"/>
        <v>LANGERAK WILLIAM</v>
      </c>
      <c r="H29" s="20" t="str">
        <f t="shared" si="1"/>
        <v>4007</v>
      </c>
    </row>
    <row r="30" spans="1:8" x14ac:dyDescent="0.3">
      <c r="A30" s="8">
        <v>43046.207141203704</v>
      </c>
      <c r="B30" s="20" t="s">
        <v>693</v>
      </c>
      <c r="C30" s="20" t="s">
        <v>694</v>
      </c>
      <c r="D30" s="138">
        <v>2270000</v>
      </c>
      <c r="E30" s="20" t="s">
        <v>695</v>
      </c>
      <c r="F30" s="20" t="s">
        <v>696</v>
      </c>
      <c r="G30" s="8" t="str">
        <f t="shared" si="0"/>
        <v>BROWN JACOB</v>
      </c>
      <c r="H30" s="20" t="str">
        <f t="shared" si="1"/>
        <v>4002</v>
      </c>
    </row>
    <row r="31" spans="1:8" x14ac:dyDescent="0.3">
      <c r="A31" s="8">
        <v>43046.216539351852</v>
      </c>
      <c r="B31" s="20" t="s">
        <v>486</v>
      </c>
      <c r="C31" s="20" t="s">
        <v>697</v>
      </c>
      <c r="D31" s="138">
        <v>3510000</v>
      </c>
      <c r="E31" s="20" t="s">
        <v>520</v>
      </c>
      <c r="F31" s="20" t="s">
        <v>521</v>
      </c>
      <c r="G31" s="8" t="str">
        <f t="shared" si="0"/>
        <v>BARRON PERLA</v>
      </c>
      <c r="H31" s="20" t="str">
        <f t="shared" si="1"/>
        <v>4065</v>
      </c>
    </row>
    <row r="32" spans="1:8" x14ac:dyDescent="0.3">
      <c r="A32" s="8">
        <v>43046.219328703701</v>
      </c>
      <c r="B32" s="20" t="s">
        <v>664</v>
      </c>
      <c r="C32" s="20" t="s">
        <v>698</v>
      </c>
      <c r="D32" s="138">
        <v>2270000</v>
      </c>
      <c r="E32" s="20" t="s">
        <v>695</v>
      </c>
      <c r="F32" s="20" t="s">
        <v>696</v>
      </c>
      <c r="G32" s="8" t="str">
        <f t="shared" si="0"/>
        <v>BROWN JACOB</v>
      </c>
      <c r="H32" s="20" t="str">
        <f t="shared" si="1"/>
        <v>4001</v>
      </c>
    </row>
    <row r="33" spans="1:8" x14ac:dyDescent="0.3">
      <c r="A33" s="8">
        <v>43046.225694444445</v>
      </c>
      <c r="B33" s="20" t="s">
        <v>476</v>
      </c>
      <c r="C33" s="20" t="s">
        <v>699</v>
      </c>
      <c r="D33" s="138">
        <v>940000</v>
      </c>
      <c r="E33" s="20" t="s">
        <v>565</v>
      </c>
      <c r="F33" s="20" t="s">
        <v>566</v>
      </c>
      <c r="G33" s="8" t="str">
        <f t="shared" si="0"/>
        <v>BONDS REYNALDO</v>
      </c>
      <c r="H33" s="20" t="str">
        <f t="shared" si="1"/>
        <v>4064</v>
      </c>
    </row>
    <row r="34" spans="1:8" x14ac:dyDescent="0.3">
      <c r="A34" s="8">
        <v>43046.226875</v>
      </c>
      <c r="B34" s="20" t="s">
        <v>653</v>
      </c>
      <c r="C34" s="20" t="s">
        <v>700</v>
      </c>
      <c r="D34" s="138">
        <v>2560000</v>
      </c>
      <c r="E34" s="20" t="s">
        <v>523</v>
      </c>
      <c r="F34" s="20" t="s">
        <v>524</v>
      </c>
      <c r="G34" s="8" t="str">
        <f t="shared" si="0"/>
        <v>MACDONALD THOMAS</v>
      </c>
      <c r="H34" s="20" t="str">
        <f t="shared" si="1"/>
        <v>4039</v>
      </c>
    </row>
    <row r="35" spans="1:8" x14ac:dyDescent="0.3">
      <c r="A35" s="8">
        <v>43046.231956018521</v>
      </c>
      <c r="B35" s="20" t="s">
        <v>693</v>
      </c>
      <c r="C35" s="20" t="s">
        <v>701</v>
      </c>
      <c r="D35" s="138">
        <v>2270000</v>
      </c>
      <c r="E35" s="20" t="s">
        <v>695</v>
      </c>
      <c r="F35" s="20" t="s">
        <v>696</v>
      </c>
      <c r="G35" s="8" t="str">
        <f t="shared" si="0"/>
        <v>BROWN JACOB</v>
      </c>
      <c r="H35" s="20" t="str">
        <f t="shared" si="1"/>
        <v>4002</v>
      </c>
    </row>
    <row r="36" spans="1:8" x14ac:dyDescent="0.3">
      <c r="A36" s="8">
        <v>43046.234259259261</v>
      </c>
      <c r="B36" s="20" t="s">
        <v>475</v>
      </c>
      <c r="C36" s="20" t="s">
        <v>702</v>
      </c>
      <c r="D36" s="138">
        <v>1830000</v>
      </c>
      <c r="E36" s="20" t="s">
        <v>348</v>
      </c>
      <c r="F36" s="20" t="s">
        <v>349</v>
      </c>
      <c r="G36" s="8" t="str">
        <f t="shared" si="0"/>
        <v>YORK EDGAR</v>
      </c>
      <c r="H36" s="20" t="str">
        <f t="shared" si="1"/>
        <v>4041</v>
      </c>
    </row>
    <row r="37" spans="1:8" x14ac:dyDescent="0.3">
      <c r="A37" s="8">
        <v>43046.235891203702</v>
      </c>
      <c r="B37" s="20" t="s">
        <v>661</v>
      </c>
      <c r="C37" s="20" t="s">
        <v>703</v>
      </c>
      <c r="D37" s="138">
        <v>3090000</v>
      </c>
      <c r="E37" s="20" t="s">
        <v>525</v>
      </c>
      <c r="F37" s="20" t="s">
        <v>526</v>
      </c>
      <c r="G37" s="8" t="str">
        <f t="shared" si="0"/>
        <v>LAMAR NEKESHA</v>
      </c>
      <c r="H37" s="20" t="str">
        <f t="shared" si="1"/>
        <v>4025</v>
      </c>
    </row>
    <row r="38" spans="1:8" x14ac:dyDescent="0.3">
      <c r="A38" s="8">
        <v>43046.238449074073</v>
      </c>
      <c r="B38" s="20" t="s">
        <v>647</v>
      </c>
      <c r="C38" s="20" t="s">
        <v>704</v>
      </c>
      <c r="D38" s="138">
        <v>3000000</v>
      </c>
      <c r="E38" s="20" t="s">
        <v>705</v>
      </c>
      <c r="F38" s="20" t="s">
        <v>706</v>
      </c>
      <c r="G38" s="8" t="str">
        <f t="shared" si="0"/>
        <v>FORTUNATO FRANK</v>
      </c>
      <c r="H38" s="20" t="str">
        <f t="shared" si="1"/>
        <v>4019</v>
      </c>
    </row>
    <row r="39" spans="1:8" x14ac:dyDescent="0.3">
      <c r="A39" s="8">
        <v>43046.238958333335</v>
      </c>
      <c r="B39" s="20" t="s">
        <v>645</v>
      </c>
      <c r="C39" s="20" t="s">
        <v>707</v>
      </c>
      <c r="D39" s="138">
        <v>2560000</v>
      </c>
      <c r="E39" s="20" t="s">
        <v>523</v>
      </c>
      <c r="F39" s="20" t="s">
        <v>524</v>
      </c>
      <c r="G39" s="8" t="str">
        <f t="shared" si="0"/>
        <v>MACDONALD THOMAS</v>
      </c>
      <c r="H39" s="20" t="str">
        <f t="shared" si="1"/>
        <v>4040</v>
      </c>
    </row>
    <row r="40" spans="1:8" x14ac:dyDescent="0.3">
      <c r="A40" s="8">
        <v>43046.24554398148</v>
      </c>
      <c r="B40" s="25" t="s">
        <v>688</v>
      </c>
      <c r="C40" s="20" t="s">
        <v>708</v>
      </c>
      <c r="D40" s="138">
        <v>1230000</v>
      </c>
      <c r="E40" s="20" t="s">
        <v>567</v>
      </c>
      <c r="F40" s="20" t="s">
        <v>568</v>
      </c>
      <c r="G40" s="8" t="str">
        <f t="shared" si="0"/>
        <v>YANAI IAN</v>
      </c>
      <c r="H40" s="20" t="str">
        <f t="shared" si="1"/>
        <v>4057</v>
      </c>
    </row>
    <row r="41" spans="1:8" x14ac:dyDescent="0.3">
      <c r="A41" s="8">
        <v>43046.246423611112</v>
      </c>
      <c r="B41" s="20" t="s">
        <v>358</v>
      </c>
      <c r="C41" s="20" t="s">
        <v>709</v>
      </c>
      <c r="D41" s="138">
        <v>3300000</v>
      </c>
      <c r="E41" s="20" t="s">
        <v>680</v>
      </c>
      <c r="F41" s="20" t="s">
        <v>681</v>
      </c>
      <c r="G41" s="8" t="str">
        <f t="shared" si="0"/>
        <v>LANGERAK WILLIAM</v>
      </c>
      <c r="H41" s="20" t="str">
        <f t="shared" si="1"/>
        <v>4008</v>
      </c>
    </row>
    <row r="42" spans="1:8" x14ac:dyDescent="0.3">
      <c r="A42" s="8">
        <v>43046.247824074075</v>
      </c>
      <c r="B42" s="20" t="s">
        <v>664</v>
      </c>
      <c r="C42" s="20" t="s">
        <v>710</v>
      </c>
      <c r="D42" s="138">
        <v>2270000</v>
      </c>
      <c r="E42" s="20" t="s">
        <v>695</v>
      </c>
      <c r="F42" s="20" t="s">
        <v>696</v>
      </c>
      <c r="G42" s="8" t="str">
        <f t="shared" si="0"/>
        <v>BROWN JACOB</v>
      </c>
      <c r="H42" s="20" t="str">
        <f t="shared" si="1"/>
        <v>4001</v>
      </c>
    </row>
    <row r="43" spans="1:8" x14ac:dyDescent="0.3">
      <c r="A43" s="8">
        <v>43046.249826388892</v>
      </c>
      <c r="B43" s="20" t="s">
        <v>655</v>
      </c>
      <c r="C43" s="20" t="s">
        <v>711</v>
      </c>
      <c r="D43" s="138">
        <v>3000000</v>
      </c>
      <c r="E43" s="20" t="s">
        <v>705</v>
      </c>
      <c r="F43" s="20" t="s">
        <v>706</v>
      </c>
      <c r="G43" s="8" t="str">
        <f t="shared" si="0"/>
        <v>FORTUNATO FRANK</v>
      </c>
      <c r="H43" s="20" t="str">
        <f t="shared" si="1"/>
        <v>4020</v>
      </c>
    </row>
    <row r="44" spans="1:8" x14ac:dyDescent="0.3">
      <c r="A44" s="8">
        <v>43046.257303240738</v>
      </c>
      <c r="B44" s="20" t="s">
        <v>569</v>
      </c>
      <c r="C44" s="20" t="s">
        <v>712</v>
      </c>
      <c r="D44" s="138">
        <v>3510000</v>
      </c>
      <c r="E44" s="20" t="s">
        <v>520</v>
      </c>
      <c r="F44" s="20" t="s">
        <v>521</v>
      </c>
      <c r="G44" s="8" t="str">
        <f t="shared" si="0"/>
        <v>BARRON PERLA</v>
      </c>
      <c r="H44" s="20" t="str">
        <f t="shared" si="1"/>
        <v>4066</v>
      </c>
    </row>
    <row r="45" spans="1:8" x14ac:dyDescent="0.3">
      <c r="A45" s="8">
        <v>43046.262094907404</v>
      </c>
      <c r="B45" s="20" t="s">
        <v>670</v>
      </c>
      <c r="C45" s="20" t="s">
        <v>713</v>
      </c>
      <c r="D45" s="138">
        <v>940000</v>
      </c>
      <c r="E45" s="20" t="s">
        <v>565</v>
      </c>
      <c r="F45" s="20" t="s">
        <v>566</v>
      </c>
      <c r="G45" s="8" t="str">
        <f t="shared" si="0"/>
        <v>BONDS REYNALDO</v>
      </c>
      <c r="H45" s="20" t="str">
        <f t="shared" si="1"/>
        <v>4063</v>
      </c>
    </row>
    <row r="46" spans="1:8" x14ac:dyDescent="0.3">
      <c r="A46" s="8">
        <v>43046.266608796293</v>
      </c>
      <c r="B46" s="20" t="s">
        <v>643</v>
      </c>
      <c r="C46" s="20" t="s">
        <v>644</v>
      </c>
      <c r="D46" s="138">
        <v>3090000</v>
      </c>
      <c r="E46" s="20" t="s">
        <v>525</v>
      </c>
      <c r="F46" s="20" t="s">
        <v>526</v>
      </c>
      <c r="G46" s="8" t="str">
        <f t="shared" si="0"/>
        <v>LAMAR NEKESHA</v>
      </c>
      <c r="H46" s="20" t="str">
        <f t="shared" si="1"/>
        <v>4026</v>
      </c>
    </row>
    <row r="47" spans="1:8" x14ac:dyDescent="0.3">
      <c r="A47" s="8">
        <v>43046.267685185187</v>
      </c>
      <c r="B47" s="20" t="s">
        <v>653</v>
      </c>
      <c r="C47" s="20" t="s">
        <v>714</v>
      </c>
      <c r="D47" s="138">
        <v>2560000</v>
      </c>
      <c r="E47" s="20" t="s">
        <v>523</v>
      </c>
      <c r="F47" s="20" t="s">
        <v>524</v>
      </c>
      <c r="G47" s="8" t="str">
        <f t="shared" si="0"/>
        <v>MACDONALD THOMAS</v>
      </c>
      <c r="H47" s="20" t="str">
        <f t="shared" si="1"/>
        <v>4039</v>
      </c>
    </row>
    <row r="48" spans="1:8" x14ac:dyDescent="0.3">
      <c r="A48" s="8">
        <v>43046.26835648148</v>
      </c>
      <c r="B48" s="20" t="s">
        <v>647</v>
      </c>
      <c r="C48" s="20" t="s">
        <v>715</v>
      </c>
      <c r="D48" s="138">
        <v>3000000</v>
      </c>
      <c r="E48" s="20" t="s">
        <v>705</v>
      </c>
      <c r="F48" s="20" t="s">
        <v>706</v>
      </c>
      <c r="G48" s="8" t="str">
        <f t="shared" si="0"/>
        <v>FORTUNATO FRANK</v>
      </c>
      <c r="H48" s="20" t="str">
        <f t="shared" si="1"/>
        <v>4019</v>
      </c>
    </row>
    <row r="49" spans="1:8" x14ac:dyDescent="0.3">
      <c r="A49" s="8">
        <v>43046.269560185188</v>
      </c>
      <c r="B49" s="20" t="s">
        <v>693</v>
      </c>
      <c r="C49" s="20" t="s">
        <v>716</v>
      </c>
      <c r="D49" s="138">
        <v>2270000</v>
      </c>
      <c r="E49" s="20" t="s">
        <v>695</v>
      </c>
      <c r="F49" s="20" t="s">
        <v>696</v>
      </c>
      <c r="G49" s="8" t="str">
        <f t="shared" si="0"/>
        <v>BROWN JACOB</v>
      </c>
      <c r="H49" s="20" t="str">
        <f t="shared" si="1"/>
        <v>4002</v>
      </c>
    </row>
    <row r="50" spans="1:8" x14ac:dyDescent="0.3">
      <c r="A50" s="8">
        <v>43046.276608796295</v>
      </c>
      <c r="B50" s="20" t="s">
        <v>674</v>
      </c>
      <c r="C50" s="20" t="s">
        <v>717</v>
      </c>
      <c r="D50" s="138">
        <v>1830000</v>
      </c>
      <c r="E50" s="20" t="s">
        <v>348</v>
      </c>
      <c r="F50" s="20" t="s">
        <v>349</v>
      </c>
      <c r="G50" s="8" t="str">
        <f t="shared" si="0"/>
        <v>YORK EDGAR</v>
      </c>
      <c r="H50" s="20" t="str">
        <f t="shared" si="1"/>
        <v>4042</v>
      </c>
    </row>
    <row r="51" spans="1:8" x14ac:dyDescent="0.3">
      <c r="A51" s="8">
        <v>43046.27783564815</v>
      </c>
      <c r="B51" s="20" t="s">
        <v>363</v>
      </c>
      <c r="C51" s="20" t="s">
        <v>718</v>
      </c>
      <c r="D51" s="138">
        <v>3300000</v>
      </c>
      <c r="E51" s="20" t="s">
        <v>680</v>
      </c>
      <c r="F51" s="20" t="s">
        <v>681</v>
      </c>
      <c r="G51" s="8" t="str">
        <f t="shared" si="0"/>
        <v>LANGERAK WILLIAM</v>
      </c>
      <c r="H51" s="20" t="str">
        <f t="shared" si="1"/>
        <v>4007</v>
      </c>
    </row>
    <row r="52" spans="1:8" x14ac:dyDescent="0.3">
      <c r="A52" s="8">
        <v>43046.286921296298</v>
      </c>
      <c r="B52" s="20" t="s">
        <v>485</v>
      </c>
      <c r="C52" s="20" t="s">
        <v>719</v>
      </c>
      <c r="D52" s="138">
        <v>1230000</v>
      </c>
      <c r="E52" s="20" t="s">
        <v>567</v>
      </c>
      <c r="F52" s="20" t="s">
        <v>568</v>
      </c>
      <c r="G52" s="8" t="str">
        <f t="shared" si="0"/>
        <v>YANAI IAN</v>
      </c>
      <c r="H52" s="20" t="str">
        <f t="shared" si="1"/>
        <v>4058</v>
      </c>
    </row>
    <row r="53" spans="1:8" x14ac:dyDescent="0.3">
      <c r="A53" s="8">
        <v>43046.288159722222</v>
      </c>
      <c r="B53" s="20" t="s">
        <v>486</v>
      </c>
      <c r="C53" s="20" t="s">
        <v>720</v>
      </c>
      <c r="D53" s="138">
        <v>3510000</v>
      </c>
      <c r="E53" s="20" t="s">
        <v>520</v>
      </c>
      <c r="F53" s="20" t="s">
        <v>521</v>
      </c>
      <c r="G53" s="8" t="str">
        <f t="shared" si="0"/>
        <v>BARRON PERLA</v>
      </c>
      <c r="H53" s="20" t="str">
        <f t="shared" si="1"/>
        <v>4065</v>
      </c>
    </row>
    <row r="54" spans="1:8" x14ac:dyDescent="0.3">
      <c r="A54" s="8">
        <v>43046.288472222222</v>
      </c>
      <c r="B54" s="20" t="s">
        <v>664</v>
      </c>
      <c r="C54" s="20" t="s">
        <v>721</v>
      </c>
      <c r="D54" s="138">
        <v>2270000</v>
      </c>
      <c r="E54" s="20" t="s">
        <v>695</v>
      </c>
      <c r="F54" s="20" t="s">
        <v>696</v>
      </c>
      <c r="G54" s="8" t="str">
        <f t="shared" si="0"/>
        <v>BROWN JACOB</v>
      </c>
      <c r="H54" s="20" t="str">
        <f t="shared" si="1"/>
        <v>4001</v>
      </c>
    </row>
    <row r="55" spans="1:8" x14ac:dyDescent="0.3">
      <c r="A55" s="8">
        <v>43046.290752314817</v>
      </c>
      <c r="B55" s="20" t="s">
        <v>655</v>
      </c>
      <c r="C55" s="20" t="s">
        <v>722</v>
      </c>
      <c r="D55" s="138">
        <v>3000000</v>
      </c>
      <c r="E55" s="20" t="s">
        <v>705</v>
      </c>
      <c r="F55" s="20" t="s">
        <v>706</v>
      </c>
      <c r="G55" s="8" t="str">
        <f t="shared" si="0"/>
        <v>FORTUNATO FRANK</v>
      </c>
      <c r="H55" s="20" t="str">
        <f t="shared" si="1"/>
        <v>4020</v>
      </c>
    </row>
    <row r="56" spans="1:8" x14ac:dyDescent="0.3">
      <c r="A56" s="8">
        <v>43046.29755787037</v>
      </c>
      <c r="B56" s="20" t="s">
        <v>476</v>
      </c>
      <c r="C56" s="20" t="s">
        <v>723</v>
      </c>
      <c r="D56" s="138">
        <v>940000</v>
      </c>
      <c r="E56" s="20" t="s">
        <v>565</v>
      </c>
      <c r="F56" s="20" t="s">
        <v>566</v>
      </c>
      <c r="G56" s="8" t="str">
        <f t="shared" si="0"/>
        <v>BONDS REYNALDO</v>
      </c>
      <c r="H56" s="20" t="str">
        <f t="shared" si="1"/>
        <v>4064</v>
      </c>
    </row>
    <row r="57" spans="1:8" x14ac:dyDescent="0.3">
      <c r="A57" s="8">
        <v>43046.306643518517</v>
      </c>
      <c r="B57" s="20" t="s">
        <v>475</v>
      </c>
      <c r="C57" s="20" t="s">
        <v>724</v>
      </c>
      <c r="D57" s="138">
        <v>1830000</v>
      </c>
      <c r="E57" s="20" t="s">
        <v>348</v>
      </c>
      <c r="F57" s="20" t="s">
        <v>349</v>
      </c>
      <c r="G57" s="8" t="str">
        <f t="shared" si="0"/>
        <v>YORK EDGAR</v>
      </c>
      <c r="H57" s="20" t="str">
        <f t="shared" si="1"/>
        <v>4041</v>
      </c>
    </row>
    <row r="58" spans="1:8" x14ac:dyDescent="0.3">
      <c r="A58" s="8">
        <v>43046.308217592596</v>
      </c>
      <c r="B58" s="20" t="s">
        <v>661</v>
      </c>
      <c r="C58" s="20" t="s">
        <v>725</v>
      </c>
      <c r="D58" s="138">
        <v>3090000</v>
      </c>
      <c r="E58" s="20" t="s">
        <v>525</v>
      </c>
      <c r="F58" s="20" t="s">
        <v>526</v>
      </c>
      <c r="G58" s="8" t="str">
        <f t="shared" si="0"/>
        <v>LAMAR NEKESHA</v>
      </c>
      <c r="H58" s="20" t="str">
        <f t="shared" si="1"/>
        <v>4025</v>
      </c>
    </row>
    <row r="59" spans="1:8" x14ac:dyDescent="0.3">
      <c r="A59" s="8">
        <v>43046.310046296298</v>
      </c>
      <c r="B59" s="20" t="s">
        <v>645</v>
      </c>
      <c r="C59" s="20" t="s">
        <v>646</v>
      </c>
      <c r="D59" s="138">
        <v>2560000</v>
      </c>
      <c r="E59" s="20" t="s">
        <v>523</v>
      </c>
      <c r="F59" s="20" t="s">
        <v>524</v>
      </c>
      <c r="G59" s="8" t="str">
        <f t="shared" si="0"/>
        <v>MACDONALD THOMAS</v>
      </c>
      <c r="H59" s="20" t="str">
        <f t="shared" si="1"/>
        <v>4040</v>
      </c>
    </row>
    <row r="60" spans="1:8" x14ac:dyDescent="0.3">
      <c r="A60" s="8">
        <v>43046.310636574075</v>
      </c>
      <c r="B60" s="20" t="s">
        <v>647</v>
      </c>
      <c r="C60" s="20" t="s">
        <v>726</v>
      </c>
      <c r="D60" s="138">
        <v>3000000</v>
      </c>
      <c r="E60" s="20" t="s">
        <v>705</v>
      </c>
      <c r="F60" s="20" t="s">
        <v>706</v>
      </c>
      <c r="G60" s="8" t="str">
        <f t="shared" si="0"/>
        <v>FORTUNATO FRANK</v>
      </c>
      <c r="H60" s="20" t="str">
        <f t="shared" si="1"/>
        <v>4019</v>
      </c>
    </row>
    <row r="61" spans="1:8" x14ac:dyDescent="0.3">
      <c r="A61" s="8">
        <v>43046.315196759257</v>
      </c>
      <c r="B61" s="20" t="s">
        <v>693</v>
      </c>
      <c r="C61" s="20" t="s">
        <v>727</v>
      </c>
      <c r="D61" s="138">
        <v>2270000</v>
      </c>
      <c r="E61" s="20" t="s">
        <v>695</v>
      </c>
      <c r="F61" s="20" t="s">
        <v>696</v>
      </c>
      <c r="G61" s="8" t="str">
        <f t="shared" si="0"/>
        <v>BROWN JACOB</v>
      </c>
      <c r="H61" s="20" t="str">
        <f t="shared" si="1"/>
        <v>4002</v>
      </c>
    </row>
    <row r="62" spans="1:8" x14ac:dyDescent="0.3">
      <c r="A62" s="8">
        <v>43046.318622685183</v>
      </c>
      <c r="B62" s="20" t="s">
        <v>688</v>
      </c>
      <c r="C62" s="20" t="s">
        <v>728</v>
      </c>
      <c r="D62" s="138">
        <v>1230000</v>
      </c>
      <c r="E62" s="20" t="s">
        <v>567</v>
      </c>
      <c r="F62" s="20" t="s">
        <v>568</v>
      </c>
      <c r="G62" s="8" t="str">
        <f t="shared" si="0"/>
        <v>YANAI IAN</v>
      </c>
      <c r="H62" s="20" t="str">
        <f t="shared" si="1"/>
        <v>4057</v>
      </c>
    </row>
    <row r="63" spans="1:8" x14ac:dyDescent="0.3">
      <c r="A63" s="8">
        <v>43046.320069444446</v>
      </c>
      <c r="B63" s="20" t="s">
        <v>358</v>
      </c>
      <c r="C63" s="20" t="s">
        <v>729</v>
      </c>
      <c r="D63" s="138">
        <v>3300000</v>
      </c>
      <c r="E63" s="20" t="s">
        <v>680</v>
      </c>
      <c r="F63" s="20" t="s">
        <v>681</v>
      </c>
      <c r="G63" s="8" t="str">
        <f t="shared" si="0"/>
        <v>LANGERAK WILLIAM</v>
      </c>
      <c r="H63" s="20" t="str">
        <f t="shared" si="1"/>
        <v>4008</v>
      </c>
    </row>
    <row r="64" spans="1:8" x14ac:dyDescent="0.3">
      <c r="A64" s="26">
        <v>43046.329837962963</v>
      </c>
      <c r="B64" s="20" t="s">
        <v>569</v>
      </c>
      <c r="C64" s="20" t="s">
        <v>730</v>
      </c>
      <c r="D64" s="138">
        <v>3510000</v>
      </c>
      <c r="E64" s="20" t="s">
        <v>520</v>
      </c>
      <c r="F64" s="20" t="s">
        <v>521</v>
      </c>
      <c r="G64" s="8" t="str">
        <f t="shared" si="0"/>
        <v>BARRON PERLA</v>
      </c>
      <c r="H64" s="20" t="str">
        <f t="shared" si="1"/>
        <v>4066</v>
      </c>
    </row>
    <row r="65" spans="1:8" x14ac:dyDescent="0.3">
      <c r="A65" s="8">
        <v>43046.330729166664</v>
      </c>
      <c r="B65" s="20" t="s">
        <v>664</v>
      </c>
      <c r="C65" s="20" t="s">
        <v>731</v>
      </c>
      <c r="D65" s="138">
        <v>2270000</v>
      </c>
      <c r="E65" s="20" t="s">
        <v>695</v>
      </c>
      <c r="F65" s="20" t="s">
        <v>696</v>
      </c>
      <c r="G65" s="8" t="str">
        <f t="shared" si="0"/>
        <v>BROWN JACOB</v>
      </c>
      <c r="H65" s="20" t="str">
        <f t="shared" si="1"/>
        <v>4001</v>
      </c>
    </row>
    <row r="66" spans="1:8" x14ac:dyDescent="0.3">
      <c r="A66" s="8">
        <v>43046.334664351853</v>
      </c>
      <c r="B66" s="20" t="s">
        <v>655</v>
      </c>
      <c r="C66" s="20" t="s">
        <v>732</v>
      </c>
      <c r="D66" s="138">
        <v>3000000</v>
      </c>
      <c r="E66" s="20" t="s">
        <v>705</v>
      </c>
      <c r="F66" s="20" t="s">
        <v>706</v>
      </c>
      <c r="G66" s="8" t="str">
        <f t="shared" si="0"/>
        <v>FORTUNATO FRANK</v>
      </c>
      <c r="H66" s="20" t="str">
        <f t="shared" si="1"/>
        <v>4020</v>
      </c>
    </row>
    <row r="67" spans="1:8" x14ac:dyDescent="0.3">
      <c r="A67" s="8">
        <v>43046.338865740741</v>
      </c>
      <c r="B67" s="20" t="s">
        <v>643</v>
      </c>
      <c r="C67" s="20" t="s">
        <v>733</v>
      </c>
      <c r="D67" s="138">
        <v>3090000</v>
      </c>
      <c r="E67" s="20" t="s">
        <v>525</v>
      </c>
      <c r="F67" s="20" t="s">
        <v>526</v>
      </c>
      <c r="G67" s="8" t="str">
        <f t="shared" ref="G67:G130" si="2">E67&amp;" "&amp;F67</f>
        <v>LAMAR NEKESHA</v>
      </c>
      <c r="H67" s="20" t="str">
        <f t="shared" ref="H67:H130" si="3">MID(B67,13,4)</f>
        <v>4026</v>
      </c>
    </row>
    <row r="68" spans="1:8" x14ac:dyDescent="0.3">
      <c r="A68" s="8">
        <v>43046.33971064815</v>
      </c>
      <c r="B68" s="20" t="s">
        <v>670</v>
      </c>
      <c r="C68" s="20" t="s">
        <v>734</v>
      </c>
      <c r="D68" s="138">
        <v>940000</v>
      </c>
      <c r="E68" s="20" t="s">
        <v>565</v>
      </c>
      <c r="F68" s="20" t="s">
        <v>566</v>
      </c>
      <c r="G68" s="8" t="str">
        <f t="shared" si="2"/>
        <v>BONDS REYNALDO</v>
      </c>
      <c r="H68" s="20" t="str">
        <f t="shared" si="3"/>
        <v>4063</v>
      </c>
    </row>
    <row r="69" spans="1:8" x14ac:dyDescent="0.3">
      <c r="A69" s="8">
        <v>43046.349062499998</v>
      </c>
      <c r="B69" s="20" t="s">
        <v>674</v>
      </c>
      <c r="C69" s="20" t="s">
        <v>735</v>
      </c>
      <c r="D69" s="138">
        <v>1830000</v>
      </c>
      <c r="E69" s="20" t="s">
        <v>348</v>
      </c>
      <c r="F69" s="20" t="s">
        <v>349</v>
      </c>
      <c r="G69" s="8" t="str">
        <f t="shared" si="2"/>
        <v>YORK EDGAR</v>
      </c>
      <c r="H69" s="20" t="str">
        <f t="shared" si="3"/>
        <v>4042</v>
      </c>
    </row>
    <row r="70" spans="1:8" x14ac:dyDescent="0.3">
      <c r="A70" s="8">
        <v>43046.350104166668</v>
      </c>
      <c r="B70" s="20" t="s">
        <v>653</v>
      </c>
      <c r="C70" s="20" t="s">
        <v>736</v>
      </c>
      <c r="D70" s="138">
        <v>2560000</v>
      </c>
      <c r="E70" s="20" t="s">
        <v>523</v>
      </c>
      <c r="F70" s="20" t="s">
        <v>524</v>
      </c>
      <c r="G70" s="8" t="str">
        <f t="shared" si="2"/>
        <v>MACDONALD THOMAS</v>
      </c>
      <c r="H70" s="20" t="str">
        <f t="shared" si="3"/>
        <v>4039</v>
      </c>
    </row>
    <row r="71" spans="1:8" x14ac:dyDescent="0.3">
      <c r="A71" s="8">
        <v>43046.350462962961</v>
      </c>
      <c r="B71" s="20" t="s">
        <v>363</v>
      </c>
      <c r="C71" s="20" t="s">
        <v>737</v>
      </c>
      <c r="D71" s="138">
        <v>3300000</v>
      </c>
      <c r="E71" s="20" t="s">
        <v>680</v>
      </c>
      <c r="F71" s="20" t="s">
        <v>681</v>
      </c>
      <c r="G71" s="8" t="str">
        <f t="shared" si="2"/>
        <v>LANGERAK WILLIAM</v>
      </c>
      <c r="H71" s="20" t="str">
        <f t="shared" si="3"/>
        <v>4007</v>
      </c>
    </row>
    <row r="72" spans="1:8" x14ac:dyDescent="0.3">
      <c r="A72" s="8">
        <v>43046.35229166667</v>
      </c>
      <c r="B72" s="20" t="s">
        <v>647</v>
      </c>
      <c r="C72" s="20" t="s">
        <v>648</v>
      </c>
      <c r="D72" s="138">
        <v>3000000</v>
      </c>
      <c r="E72" s="20" t="s">
        <v>705</v>
      </c>
      <c r="F72" s="20" t="s">
        <v>706</v>
      </c>
      <c r="G72" s="8" t="str">
        <f t="shared" si="2"/>
        <v>FORTUNATO FRANK</v>
      </c>
      <c r="H72" s="20" t="str">
        <f t="shared" si="3"/>
        <v>4019</v>
      </c>
    </row>
    <row r="73" spans="1:8" x14ac:dyDescent="0.3">
      <c r="A73" s="8">
        <v>43046.35359953704</v>
      </c>
      <c r="B73" s="20" t="s">
        <v>693</v>
      </c>
      <c r="C73" s="20" t="s">
        <v>738</v>
      </c>
      <c r="D73" s="138">
        <v>2270000</v>
      </c>
      <c r="E73" s="20" t="s">
        <v>695</v>
      </c>
      <c r="F73" s="20" t="s">
        <v>696</v>
      </c>
      <c r="G73" s="8" t="str">
        <f t="shared" si="2"/>
        <v>BROWN JACOB</v>
      </c>
      <c r="H73" s="20" t="str">
        <f t="shared" si="3"/>
        <v>4002</v>
      </c>
    </row>
    <row r="74" spans="1:8" x14ac:dyDescent="0.3">
      <c r="A74" s="8">
        <v>43046.359363425923</v>
      </c>
      <c r="B74" s="20" t="s">
        <v>485</v>
      </c>
      <c r="C74" s="20" t="s">
        <v>739</v>
      </c>
      <c r="D74" s="138">
        <v>1230000</v>
      </c>
      <c r="E74" s="20" t="s">
        <v>567</v>
      </c>
      <c r="F74" s="20" t="s">
        <v>568</v>
      </c>
      <c r="G74" s="8" t="str">
        <f t="shared" si="2"/>
        <v>YANAI IAN</v>
      </c>
      <c r="H74" s="20" t="str">
        <f t="shared" si="3"/>
        <v>4058</v>
      </c>
    </row>
    <row r="75" spans="1:8" x14ac:dyDescent="0.3">
      <c r="A75" s="8">
        <v>43046.361134259256</v>
      </c>
      <c r="B75" s="20" t="s">
        <v>486</v>
      </c>
      <c r="C75" s="20" t="s">
        <v>649</v>
      </c>
      <c r="D75" s="138">
        <v>3510000</v>
      </c>
      <c r="E75" s="20" t="s">
        <v>520</v>
      </c>
      <c r="F75" s="20" t="s">
        <v>521</v>
      </c>
      <c r="G75" s="8" t="str">
        <f t="shared" si="2"/>
        <v>BARRON PERLA</v>
      </c>
      <c r="H75" s="20" t="str">
        <f t="shared" si="3"/>
        <v>4065</v>
      </c>
    </row>
    <row r="76" spans="1:8" x14ac:dyDescent="0.3">
      <c r="A76" s="8">
        <v>43046.37096064815</v>
      </c>
      <c r="B76" s="20" t="s">
        <v>476</v>
      </c>
      <c r="C76" s="20" t="s">
        <v>740</v>
      </c>
      <c r="D76" s="138">
        <v>940000</v>
      </c>
      <c r="E76" s="20" t="s">
        <v>565</v>
      </c>
      <c r="F76" s="20" t="s">
        <v>566</v>
      </c>
      <c r="G76" s="8" t="str">
        <f t="shared" si="2"/>
        <v>BONDS REYNALDO</v>
      </c>
      <c r="H76" s="20" t="str">
        <f t="shared" si="3"/>
        <v>4064</v>
      </c>
    </row>
    <row r="77" spans="1:8" x14ac:dyDescent="0.3">
      <c r="A77" s="8">
        <v>43046.3747337963</v>
      </c>
      <c r="B77" s="20" t="s">
        <v>655</v>
      </c>
      <c r="C77" s="20" t="s">
        <v>741</v>
      </c>
      <c r="D77" s="138">
        <v>3000000</v>
      </c>
      <c r="E77" s="20" t="s">
        <v>705</v>
      </c>
      <c r="F77" s="20" t="s">
        <v>706</v>
      </c>
      <c r="G77" s="8" t="str">
        <f t="shared" si="2"/>
        <v>FORTUNATO FRANK</v>
      </c>
      <c r="H77" s="20" t="str">
        <f t="shared" si="3"/>
        <v>4020</v>
      </c>
    </row>
    <row r="78" spans="1:8" x14ac:dyDescent="0.3">
      <c r="A78" s="8">
        <v>43046.377824074072</v>
      </c>
      <c r="B78" s="20" t="s">
        <v>661</v>
      </c>
      <c r="C78" s="20" t="s">
        <v>742</v>
      </c>
      <c r="D78" s="138">
        <v>3090000</v>
      </c>
      <c r="E78" s="20" t="s">
        <v>525</v>
      </c>
      <c r="F78" s="20" t="s">
        <v>526</v>
      </c>
      <c r="G78" s="8" t="str">
        <f t="shared" si="2"/>
        <v>LAMAR NEKESHA</v>
      </c>
      <c r="H78" s="20" t="str">
        <f t="shared" si="3"/>
        <v>4025</v>
      </c>
    </row>
    <row r="79" spans="1:8" x14ac:dyDescent="0.3">
      <c r="A79" s="8">
        <v>43046.380729166667</v>
      </c>
      <c r="B79" s="20" t="s">
        <v>475</v>
      </c>
      <c r="C79" s="20" t="s">
        <v>743</v>
      </c>
      <c r="D79" s="138">
        <v>1830000</v>
      </c>
      <c r="E79" s="20" t="s">
        <v>348</v>
      </c>
      <c r="F79" s="20" t="s">
        <v>349</v>
      </c>
      <c r="G79" s="8" t="str">
        <f t="shared" si="2"/>
        <v>YORK EDGAR</v>
      </c>
      <c r="H79" s="20" t="str">
        <f t="shared" si="3"/>
        <v>4041</v>
      </c>
    </row>
    <row r="80" spans="1:8" x14ac:dyDescent="0.3">
      <c r="A80" s="8">
        <v>43046.384652777779</v>
      </c>
      <c r="B80" s="20" t="s">
        <v>645</v>
      </c>
      <c r="C80" s="20" t="s">
        <v>744</v>
      </c>
      <c r="D80" s="138">
        <v>2560000</v>
      </c>
      <c r="E80" s="20" t="s">
        <v>523</v>
      </c>
      <c r="F80" s="20" t="s">
        <v>524</v>
      </c>
      <c r="G80" s="8" t="str">
        <f t="shared" si="2"/>
        <v>MACDONALD THOMAS</v>
      </c>
      <c r="H80" s="20" t="str">
        <f t="shared" si="3"/>
        <v>4040</v>
      </c>
    </row>
    <row r="81" spans="1:8" x14ac:dyDescent="0.3">
      <c r="A81" s="8">
        <v>43046.39167824074</v>
      </c>
      <c r="B81" s="20" t="s">
        <v>358</v>
      </c>
      <c r="C81" s="20" t="s">
        <v>745</v>
      </c>
      <c r="D81" s="138">
        <v>3300000</v>
      </c>
      <c r="E81" s="20" t="s">
        <v>680</v>
      </c>
      <c r="F81" s="20" t="s">
        <v>681</v>
      </c>
      <c r="G81" s="8" t="str">
        <f t="shared" si="2"/>
        <v>LANGERAK WILLIAM</v>
      </c>
      <c r="H81" s="20" t="str">
        <f t="shared" si="3"/>
        <v>4008</v>
      </c>
    </row>
    <row r="82" spans="1:8" x14ac:dyDescent="0.3">
      <c r="A82" s="8">
        <v>43046.391759259262</v>
      </c>
      <c r="B82" s="20" t="s">
        <v>688</v>
      </c>
      <c r="C82" s="20" t="s">
        <v>746</v>
      </c>
      <c r="D82" s="138">
        <v>1230000</v>
      </c>
      <c r="E82" s="20" t="s">
        <v>567</v>
      </c>
      <c r="F82" s="20" t="s">
        <v>568</v>
      </c>
      <c r="G82" s="8" t="str">
        <f t="shared" si="2"/>
        <v>YANAI IAN</v>
      </c>
      <c r="H82" s="20" t="str">
        <f t="shared" si="3"/>
        <v>4057</v>
      </c>
    </row>
    <row r="83" spans="1:8" x14ac:dyDescent="0.3">
      <c r="A83" s="8">
        <v>43046.393090277779</v>
      </c>
      <c r="B83" s="20" t="s">
        <v>647</v>
      </c>
      <c r="C83" s="20" t="s">
        <v>747</v>
      </c>
      <c r="D83" s="138">
        <v>3000000</v>
      </c>
      <c r="E83" s="20" t="s">
        <v>705</v>
      </c>
      <c r="F83" s="20" t="s">
        <v>706</v>
      </c>
      <c r="G83" s="8" t="str">
        <f t="shared" si="2"/>
        <v>FORTUNATO FRANK</v>
      </c>
      <c r="H83" s="20" t="str">
        <f t="shared" si="3"/>
        <v>4019</v>
      </c>
    </row>
    <row r="84" spans="1:8" x14ac:dyDescent="0.3">
      <c r="A84" s="8">
        <v>43046.402905092589</v>
      </c>
      <c r="B84" s="20" t="s">
        <v>569</v>
      </c>
      <c r="C84" s="20" t="s">
        <v>652</v>
      </c>
      <c r="D84" s="138">
        <v>3510000</v>
      </c>
      <c r="E84" s="20" t="s">
        <v>520</v>
      </c>
      <c r="F84" s="20" t="s">
        <v>521</v>
      </c>
      <c r="G84" s="8" t="str">
        <f t="shared" si="2"/>
        <v>BARRON PERLA</v>
      </c>
      <c r="H84" s="20" t="str">
        <f t="shared" si="3"/>
        <v>4066</v>
      </c>
    </row>
    <row r="85" spans="1:8" x14ac:dyDescent="0.3">
      <c r="A85" s="8">
        <v>43046.41028935185</v>
      </c>
      <c r="B85" s="20" t="s">
        <v>670</v>
      </c>
      <c r="C85" s="20" t="s">
        <v>748</v>
      </c>
      <c r="D85" s="138">
        <v>940000</v>
      </c>
      <c r="E85" s="20" t="s">
        <v>565</v>
      </c>
      <c r="F85" s="20" t="s">
        <v>566</v>
      </c>
      <c r="G85" s="8" t="str">
        <f t="shared" si="2"/>
        <v>BONDS REYNALDO</v>
      </c>
      <c r="H85" s="20" t="str">
        <f t="shared" si="3"/>
        <v>4063</v>
      </c>
    </row>
    <row r="86" spans="1:8" x14ac:dyDescent="0.3">
      <c r="A86" s="8">
        <v>43046.413483796299</v>
      </c>
      <c r="B86" s="20" t="s">
        <v>643</v>
      </c>
      <c r="C86" s="20" t="s">
        <v>749</v>
      </c>
      <c r="D86" s="138">
        <v>3090000</v>
      </c>
      <c r="E86" s="20" t="s">
        <v>525</v>
      </c>
      <c r="F86" s="20" t="s">
        <v>526</v>
      </c>
      <c r="G86" s="8" t="str">
        <f t="shared" si="2"/>
        <v>LAMAR NEKESHA</v>
      </c>
      <c r="H86" s="20" t="str">
        <f t="shared" si="3"/>
        <v>4026</v>
      </c>
    </row>
    <row r="87" spans="1:8" x14ac:dyDescent="0.3">
      <c r="A87" s="8">
        <v>43046.415613425925</v>
      </c>
      <c r="B87" s="20" t="s">
        <v>655</v>
      </c>
      <c r="C87" s="20" t="s">
        <v>750</v>
      </c>
      <c r="D87" s="138">
        <v>3000000</v>
      </c>
      <c r="E87" s="20" t="s">
        <v>705</v>
      </c>
      <c r="F87" s="20" t="s">
        <v>706</v>
      </c>
      <c r="G87" s="8" t="str">
        <f t="shared" si="2"/>
        <v>FORTUNATO FRANK</v>
      </c>
      <c r="H87" s="20" t="str">
        <f t="shared" si="3"/>
        <v>4020</v>
      </c>
    </row>
    <row r="88" spans="1:8" x14ac:dyDescent="0.3">
      <c r="A88" s="8">
        <v>43046.421944444446</v>
      </c>
      <c r="B88" s="20" t="s">
        <v>674</v>
      </c>
      <c r="C88" s="20" t="s">
        <v>751</v>
      </c>
      <c r="D88" s="138">
        <v>2270000</v>
      </c>
      <c r="E88" s="20" t="s">
        <v>695</v>
      </c>
      <c r="F88" s="20" t="s">
        <v>696</v>
      </c>
      <c r="G88" s="8" t="str">
        <f t="shared" si="2"/>
        <v>BROWN JACOB</v>
      </c>
      <c r="H88" s="20" t="str">
        <f t="shared" si="3"/>
        <v>4042</v>
      </c>
    </row>
    <row r="89" spans="1:8" x14ac:dyDescent="0.3">
      <c r="A89" s="8">
        <v>43046.423425925925</v>
      </c>
      <c r="B89" s="20" t="s">
        <v>363</v>
      </c>
      <c r="C89" s="20" t="s">
        <v>752</v>
      </c>
      <c r="D89" s="138">
        <v>3300000</v>
      </c>
      <c r="E89" s="20" t="s">
        <v>680</v>
      </c>
      <c r="F89" s="20" t="s">
        <v>681</v>
      </c>
      <c r="G89" s="8" t="str">
        <f t="shared" si="2"/>
        <v>LANGERAK WILLIAM</v>
      </c>
      <c r="H89" s="20" t="str">
        <f t="shared" si="3"/>
        <v>4007</v>
      </c>
    </row>
    <row r="90" spans="1:8" x14ac:dyDescent="0.3">
      <c r="A90" s="8">
        <v>43046.42355324074</v>
      </c>
      <c r="B90" s="20" t="s">
        <v>653</v>
      </c>
      <c r="C90" s="20" t="s">
        <v>654</v>
      </c>
      <c r="D90" s="138">
        <v>2560000</v>
      </c>
      <c r="E90" s="20" t="s">
        <v>523</v>
      </c>
      <c r="F90" s="20" t="s">
        <v>524</v>
      </c>
      <c r="G90" s="8" t="str">
        <f t="shared" si="2"/>
        <v>MACDONALD THOMAS</v>
      </c>
      <c r="H90" s="20" t="str">
        <f t="shared" si="3"/>
        <v>4039</v>
      </c>
    </row>
    <row r="91" spans="1:8" x14ac:dyDescent="0.3">
      <c r="A91" s="8">
        <v>43046.431562500002</v>
      </c>
      <c r="B91" s="20" t="s">
        <v>485</v>
      </c>
      <c r="C91" s="20" t="s">
        <v>753</v>
      </c>
      <c r="D91" s="138">
        <v>1230000</v>
      </c>
      <c r="E91" s="20" t="s">
        <v>567</v>
      </c>
      <c r="F91" s="20" t="s">
        <v>568</v>
      </c>
      <c r="G91" s="8" t="str">
        <f t="shared" si="2"/>
        <v>YANAI IAN</v>
      </c>
      <c r="H91" s="20" t="str">
        <f t="shared" si="3"/>
        <v>4058</v>
      </c>
    </row>
    <row r="92" spans="1:8" x14ac:dyDescent="0.3">
      <c r="A92" s="8">
        <v>43046.434108796297</v>
      </c>
      <c r="B92" s="20" t="s">
        <v>486</v>
      </c>
      <c r="C92" s="20" t="s">
        <v>754</v>
      </c>
      <c r="D92" s="138">
        <v>3510000</v>
      </c>
      <c r="E92" s="20" t="s">
        <v>520</v>
      </c>
      <c r="F92" s="20" t="s">
        <v>521</v>
      </c>
      <c r="G92" s="8" t="str">
        <f t="shared" si="2"/>
        <v>BARRON PERLA</v>
      </c>
      <c r="H92" s="20" t="str">
        <f t="shared" si="3"/>
        <v>4065</v>
      </c>
    </row>
    <row r="93" spans="1:8" x14ac:dyDescent="0.3">
      <c r="A93" s="8">
        <v>43046.435219907406</v>
      </c>
      <c r="B93" s="20" t="s">
        <v>647</v>
      </c>
      <c r="C93" s="20" t="s">
        <v>755</v>
      </c>
      <c r="D93" s="138">
        <v>3000000</v>
      </c>
      <c r="E93" s="20" t="s">
        <v>705</v>
      </c>
      <c r="F93" s="20" t="s">
        <v>706</v>
      </c>
      <c r="G93" s="8" t="str">
        <f t="shared" si="2"/>
        <v>FORTUNATO FRANK</v>
      </c>
      <c r="H93" s="20" t="str">
        <f t="shared" si="3"/>
        <v>4019</v>
      </c>
    </row>
    <row r="94" spans="1:8" x14ac:dyDescent="0.3">
      <c r="A94" s="8">
        <v>43046.445196759261</v>
      </c>
      <c r="B94" s="20" t="s">
        <v>476</v>
      </c>
      <c r="C94" s="20" t="s">
        <v>756</v>
      </c>
      <c r="D94" s="138">
        <v>920000</v>
      </c>
      <c r="E94" s="20" t="s">
        <v>527</v>
      </c>
      <c r="F94" s="20" t="s">
        <v>354</v>
      </c>
      <c r="G94" s="8" t="str">
        <f t="shared" si="2"/>
        <v>DAVIS MICHAEL</v>
      </c>
      <c r="H94" s="20" t="str">
        <f t="shared" si="3"/>
        <v>4064</v>
      </c>
    </row>
    <row r="95" spans="1:8" x14ac:dyDescent="0.3">
      <c r="A95" s="8">
        <v>43046.450358796297</v>
      </c>
      <c r="B95" s="20" t="s">
        <v>369</v>
      </c>
      <c r="C95" s="20" t="s">
        <v>757</v>
      </c>
      <c r="D95" s="138">
        <v>2040000</v>
      </c>
      <c r="E95" s="20" t="s">
        <v>424</v>
      </c>
      <c r="F95" s="20" t="s">
        <v>425</v>
      </c>
      <c r="G95" s="8" t="str">
        <f t="shared" si="2"/>
        <v>MOSES BRADLEY</v>
      </c>
      <c r="H95" s="20" t="str">
        <f t="shared" si="3"/>
        <v>4035</v>
      </c>
    </row>
    <row r="96" spans="1:8" x14ac:dyDescent="0.3">
      <c r="A96" s="8">
        <v>43046.453645833331</v>
      </c>
      <c r="B96" s="20" t="s">
        <v>661</v>
      </c>
      <c r="C96" s="20" t="s">
        <v>758</v>
      </c>
      <c r="D96" s="138">
        <v>3090000</v>
      </c>
      <c r="E96" s="20" t="s">
        <v>525</v>
      </c>
      <c r="F96" s="20" t="s">
        <v>526</v>
      </c>
      <c r="G96" s="8" t="str">
        <f t="shared" si="2"/>
        <v>LAMAR NEKESHA</v>
      </c>
      <c r="H96" s="20" t="str">
        <f t="shared" si="3"/>
        <v>4025</v>
      </c>
    </row>
    <row r="97" spans="1:8" x14ac:dyDescent="0.3">
      <c r="A97" s="8">
        <v>43046.457719907405</v>
      </c>
      <c r="B97" s="20" t="s">
        <v>645</v>
      </c>
      <c r="C97" s="20" t="s">
        <v>759</v>
      </c>
      <c r="D97" s="138">
        <v>2560000</v>
      </c>
      <c r="E97" s="20" t="s">
        <v>523</v>
      </c>
      <c r="F97" s="20" t="s">
        <v>524</v>
      </c>
      <c r="G97" s="8" t="str">
        <f t="shared" si="2"/>
        <v>MACDONALD THOMAS</v>
      </c>
      <c r="H97" s="20" t="str">
        <f t="shared" si="3"/>
        <v>4040</v>
      </c>
    </row>
    <row r="98" spans="1:8" x14ac:dyDescent="0.3">
      <c r="A98" s="8">
        <v>43046.458020833335</v>
      </c>
      <c r="B98" s="20" t="s">
        <v>655</v>
      </c>
      <c r="C98" s="20" t="s">
        <v>760</v>
      </c>
      <c r="D98" s="138">
        <v>3000000</v>
      </c>
      <c r="E98" s="20" t="s">
        <v>705</v>
      </c>
      <c r="F98" s="20" t="s">
        <v>706</v>
      </c>
      <c r="G98" s="8" t="str">
        <f t="shared" si="2"/>
        <v>FORTUNATO FRANK</v>
      </c>
      <c r="H98" s="20" t="str">
        <f t="shared" si="3"/>
        <v>4020</v>
      </c>
    </row>
    <row r="99" spans="1:8" x14ac:dyDescent="0.3">
      <c r="A99" s="8">
        <v>43046.45884259259</v>
      </c>
      <c r="B99" s="20" t="s">
        <v>475</v>
      </c>
      <c r="C99" s="20" t="s">
        <v>761</v>
      </c>
      <c r="D99" s="138">
        <v>2270000</v>
      </c>
      <c r="E99" s="20" t="s">
        <v>695</v>
      </c>
      <c r="F99" s="20" t="s">
        <v>696</v>
      </c>
      <c r="G99" s="8" t="str">
        <f t="shared" si="2"/>
        <v>BROWN JACOB</v>
      </c>
      <c r="H99" s="20" t="str">
        <f t="shared" si="3"/>
        <v>4041</v>
      </c>
    </row>
    <row r="100" spans="1:8" x14ac:dyDescent="0.3">
      <c r="A100" s="8">
        <v>43046.464398148149</v>
      </c>
      <c r="B100" s="20" t="s">
        <v>688</v>
      </c>
      <c r="C100" s="20" t="s">
        <v>762</v>
      </c>
      <c r="D100" s="138">
        <v>1230000</v>
      </c>
      <c r="E100" s="20" t="s">
        <v>567</v>
      </c>
      <c r="F100" s="20" t="s">
        <v>568</v>
      </c>
      <c r="G100" s="8" t="str">
        <f t="shared" si="2"/>
        <v>YANAI IAN</v>
      </c>
      <c r="H100" s="20" t="str">
        <f t="shared" si="3"/>
        <v>4057</v>
      </c>
    </row>
    <row r="101" spans="1:8" x14ac:dyDescent="0.3">
      <c r="A101" s="8">
        <v>43046.467604166668</v>
      </c>
      <c r="B101" s="20" t="s">
        <v>358</v>
      </c>
      <c r="C101" s="20" t="s">
        <v>763</v>
      </c>
      <c r="D101" s="138">
        <v>1770000</v>
      </c>
      <c r="E101" s="20" t="s">
        <v>764</v>
      </c>
      <c r="F101" s="20" t="s">
        <v>765</v>
      </c>
      <c r="G101" s="8" t="str">
        <f t="shared" si="2"/>
        <v>BRUDER RICHARD</v>
      </c>
      <c r="H101" s="20" t="str">
        <f t="shared" si="3"/>
        <v>4008</v>
      </c>
    </row>
    <row r="102" spans="1:8" x14ac:dyDescent="0.3">
      <c r="A102" s="8">
        <v>43046.476099537038</v>
      </c>
      <c r="B102" s="20" t="s">
        <v>569</v>
      </c>
      <c r="C102" s="20" t="s">
        <v>766</v>
      </c>
      <c r="D102" s="138">
        <v>890000</v>
      </c>
      <c r="E102" s="20" t="s">
        <v>345</v>
      </c>
      <c r="F102" s="20" t="s">
        <v>346</v>
      </c>
      <c r="G102" s="8" t="str">
        <f t="shared" si="2"/>
        <v>LOZA FIDEL</v>
      </c>
      <c r="H102" s="20" t="str">
        <f t="shared" si="3"/>
        <v>4066</v>
      </c>
    </row>
    <row r="103" spans="1:8" x14ac:dyDescent="0.3">
      <c r="A103" s="8">
        <v>43046.477164351854</v>
      </c>
      <c r="B103" s="20" t="s">
        <v>647</v>
      </c>
      <c r="C103" s="20" t="s">
        <v>767</v>
      </c>
      <c r="D103" s="138">
        <v>3000000</v>
      </c>
      <c r="E103" s="20" t="s">
        <v>705</v>
      </c>
      <c r="F103" s="20" t="s">
        <v>706</v>
      </c>
      <c r="G103" s="8" t="str">
        <f t="shared" si="2"/>
        <v>FORTUNATO FRANK</v>
      </c>
      <c r="H103" s="20" t="str">
        <f t="shared" si="3"/>
        <v>4019</v>
      </c>
    </row>
    <row r="104" spans="1:8" x14ac:dyDescent="0.3">
      <c r="A104" s="8">
        <v>43046.480300925927</v>
      </c>
      <c r="B104" s="20" t="s">
        <v>368</v>
      </c>
      <c r="C104" s="20" t="s">
        <v>768</v>
      </c>
      <c r="D104" s="138">
        <v>3510000</v>
      </c>
      <c r="E104" s="20" t="s">
        <v>520</v>
      </c>
      <c r="F104" s="20" t="s">
        <v>521</v>
      </c>
      <c r="G104" s="8" t="str">
        <f t="shared" si="2"/>
        <v>BARRON PERLA</v>
      </c>
      <c r="H104" s="20" t="str">
        <f t="shared" si="3"/>
        <v>4036</v>
      </c>
    </row>
    <row r="105" spans="1:8" x14ac:dyDescent="0.3">
      <c r="A105" s="8">
        <v>43046.485474537039</v>
      </c>
      <c r="B105" s="20" t="s">
        <v>643</v>
      </c>
      <c r="C105" s="20" t="s">
        <v>769</v>
      </c>
      <c r="D105" s="138">
        <v>1300000</v>
      </c>
      <c r="E105" s="20" t="s">
        <v>360</v>
      </c>
      <c r="F105" s="20" t="s">
        <v>361</v>
      </c>
      <c r="G105" s="8" t="str">
        <f t="shared" si="2"/>
        <v>LEVIN SCOTT</v>
      </c>
      <c r="H105" s="20" t="str">
        <f t="shared" si="3"/>
        <v>4026</v>
      </c>
    </row>
    <row r="106" spans="1:8" x14ac:dyDescent="0.3">
      <c r="A106" s="8">
        <v>43046.486689814818</v>
      </c>
      <c r="B106" s="20" t="s">
        <v>670</v>
      </c>
      <c r="C106" s="20" t="s">
        <v>770</v>
      </c>
      <c r="D106" s="138">
        <v>920000</v>
      </c>
      <c r="E106" s="20" t="s">
        <v>527</v>
      </c>
      <c r="F106" s="20" t="s">
        <v>354</v>
      </c>
      <c r="G106" s="8" t="str">
        <f t="shared" si="2"/>
        <v>DAVIS MICHAEL</v>
      </c>
      <c r="H106" s="20" t="str">
        <f t="shared" si="3"/>
        <v>4063</v>
      </c>
    </row>
    <row r="107" spans="1:8" x14ac:dyDescent="0.3">
      <c r="A107" s="8">
        <v>43046.496944444443</v>
      </c>
      <c r="B107" s="20" t="s">
        <v>653</v>
      </c>
      <c r="C107" s="20" t="s">
        <v>771</v>
      </c>
      <c r="D107" s="138">
        <v>2560000</v>
      </c>
      <c r="E107" s="20" t="s">
        <v>523</v>
      </c>
      <c r="F107" s="20" t="s">
        <v>524</v>
      </c>
      <c r="G107" s="8" t="str">
        <f t="shared" si="2"/>
        <v>MACDONALD THOMAS</v>
      </c>
      <c r="H107" s="20" t="str">
        <f t="shared" si="3"/>
        <v>4039</v>
      </c>
    </row>
    <row r="108" spans="1:8" x14ac:dyDescent="0.3">
      <c r="A108" s="8">
        <v>43046.498460648145</v>
      </c>
      <c r="B108" s="20" t="s">
        <v>674</v>
      </c>
      <c r="C108" s="20" t="s">
        <v>772</v>
      </c>
      <c r="D108" s="138">
        <v>3670000</v>
      </c>
      <c r="E108" s="20" t="s">
        <v>393</v>
      </c>
      <c r="F108" s="20" t="s">
        <v>371</v>
      </c>
      <c r="G108" s="8" t="str">
        <f t="shared" si="2"/>
        <v>ANDREA WILLIAMS</v>
      </c>
      <c r="H108" s="20" t="str">
        <f t="shared" si="3"/>
        <v>4042</v>
      </c>
    </row>
    <row r="109" spans="1:8" x14ac:dyDescent="0.3">
      <c r="A109" s="8">
        <v>43046.499224537038</v>
      </c>
      <c r="B109" s="20" t="s">
        <v>655</v>
      </c>
      <c r="C109" s="20" t="s">
        <v>656</v>
      </c>
      <c r="D109" s="138">
        <v>3000000</v>
      </c>
      <c r="E109" s="20" t="s">
        <v>705</v>
      </c>
      <c r="F109" s="20" t="s">
        <v>706</v>
      </c>
      <c r="G109" s="8" t="str">
        <f t="shared" si="2"/>
        <v>FORTUNATO FRANK</v>
      </c>
      <c r="H109" s="20" t="str">
        <f t="shared" si="3"/>
        <v>4020</v>
      </c>
    </row>
    <row r="110" spans="1:8" x14ac:dyDescent="0.3">
      <c r="A110" s="8">
        <v>43046.506365740737</v>
      </c>
      <c r="B110" s="20" t="s">
        <v>363</v>
      </c>
      <c r="C110" s="20" t="s">
        <v>763</v>
      </c>
      <c r="D110" s="138">
        <v>1770000</v>
      </c>
      <c r="E110" s="20" t="s">
        <v>764</v>
      </c>
      <c r="F110" s="20" t="s">
        <v>765</v>
      </c>
      <c r="G110" s="8" t="str">
        <f t="shared" si="2"/>
        <v>BRUDER RICHARD</v>
      </c>
      <c r="H110" s="20" t="str">
        <f t="shared" si="3"/>
        <v>4007</v>
      </c>
    </row>
    <row r="111" spans="1:8" x14ac:dyDescent="0.3">
      <c r="A111" s="8">
        <v>43046.507280092592</v>
      </c>
      <c r="B111" s="20" t="s">
        <v>485</v>
      </c>
      <c r="C111" s="20" t="s">
        <v>773</v>
      </c>
      <c r="D111" s="138">
        <v>2630000</v>
      </c>
      <c r="E111" s="20" t="s">
        <v>379</v>
      </c>
      <c r="F111" s="20" t="s">
        <v>380</v>
      </c>
      <c r="G111" s="8" t="str">
        <f t="shared" si="2"/>
        <v>SAFIEF AEIMEN</v>
      </c>
      <c r="H111" s="20" t="str">
        <f t="shared" si="3"/>
        <v>4058</v>
      </c>
    </row>
    <row r="112" spans="1:8" x14ac:dyDescent="0.3">
      <c r="A112" s="8">
        <v>43046.507488425923</v>
      </c>
      <c r="B112" s="20" t="s">
        <v>363</v>
      </c>
      <c r="C112" s="20" t="s">
        <v>774</v>
      </c>
      <c r="D112" s="138">
        <v>1770000</v>
      </c>
      <c r="E112" s="20" t="s">
        <v>764</v>
      </c>
      <c r="F112" s="20" t="s">
        <v>765</v>
      </c>
      <c r="G112" s="8" t="str">
        <f t="shared" si="2"/>
        <v>BRUDER RICHARD</v>
      </c>
      <c r="H112" s="20" t="str">
        <f t="shared" si="3"/>
        <v>4007</v>
      </c>
    </row>
    <row r="113" spans="1:8" x14ac:dyDescent="0.3">
      <c r="A113" s="8">
        <v>43046.516041666669</v>
      </c>
      <c r="B113" s="20" t="s">
        <v>486</v>
      </c>
      <c r="C113" s="20" t="s">
        <v>775</v>
      </c>
      <c r="D113" s="138">
        <v>880000</v>
      </c>
      <c r="E113" s="20" t="s">
        <v>390</v>
      </c>
      <c r="F113" s="20" t="s">
        <v>354</v>
      </c>
      <c r="G113" s="8" t="str">
        <f t="shared" si="2"/>
        <v>STEWART MICHAEL</v>
      </c>
      <c r="H113" s="20" t="str">
        <f t="shared" si="3"/>
        <v>4065</v>
      </c>
    </row>
    <row r="114" spans="1:8" x14ac:dyDescent="0.3">
      <c r="A114" s="8">
        <v>43046.518634259257</v>
      </c>
      <c r="B114" s="20" t="s">
        <v>647</v>
      </c>
      <c r="C114" s="20" t="s">
        <v>657</v>
      </c>
      <c r="D114" s="138">
        <v>3000000</v>
      </c>
      <c r="E114" s="20" t="s">
        <v>705</v>
      </c>
      <c r="F114" s="20" t="s">
        <v>706</v>
      </c>
      <c r="G114" s="8" t="str">
        <f t="shared" si="2"/>
        <v>FORTUNATO FRANK</v>
      </c>
      <c r="H114" s="20" t="str">
        <f t="shared" si="3"/>
        <v>4019</v>
      </c>
    </row>
    <row r="115" spans="1:8" x14ac:dyDescent="0.3">
      <c r="A115" s="8">
        <v>43046.519432870373</v>
      </c>
      <c r="B115" s="20" t="s">
        <v>476</v>
      </c>
      <c r="C115" s="20" t="s">
        <v>776</v>
      </c>
      <c r="D115" s="138">
        <v>920000</v>
      </c>
      <c r="E115" s="20" t="s">
        <v>527</v>
      </c>
      <c r="F115" s="20" t="s">
        <v>354</v>
      </c>
      <c r="G115" s="8" t="str">
        <f t="shared" si="2"/>
        <v>DAVIS MICHAEL</v>
      </c>
      <c r="H115" s="20" t="str">
        <f t="shared" si="3"/>
        <v>4064</v>
      </c>
    </row>
    <row r="116" spans="1:8" x14ac:dyDescent="0.3">
      <c r="A116" s="8">
        <v>43046.525451388887</v>
      </c>
      <c r="B116" s="20" t="s">
        <v>661</v>
      </c>
      <c r="C116" s="20" t="s">
        <v>777</v>
      </c>
      <c r="D116" s="138">
        <v>1300000</v>
      </c>
      <c r="E116" s="20" t="s">
        <v>360</v>
      </c>
      <c r="F116" s="20" t="s">
        <v>361</v>
      </c>
      <c r="G116" s="8" t="str">
        <f t="shared" si="2"/>
        <v>LEVIN SCOTT</v>
      </c>
      <c r="H116" s="20" t="str">
        <f t="shared" si="3"/>
        <v>4025</v>
      </c>
    </row>
    <row r="117" spans="1:8" x14ac:dyDescent="0.3">
      <c r="A117" s="8">
        <v>43046.530555555553</v>
      </c>
      <c r="B117" s="20" t="s">
        <v>645</v>
      </c>
      <c r="C117" s="20" t="s">
        <v>778</v>
      </c>
      <c r="D117" s="138">
        <v>2040000</v>
      </c>
      <c r="E117" s="20" t="s">
        <v>424</v>
      </c>
      <c r="F117" s="20" t="s">
        <v>425</v>
      </c>
      <c r="G117" s="8" t="str">
        <f t="shared" si="2"/>
        <v>MOSES BRADLEY</v>
      </c>
      <c r="H117" s="20" t="str">
        <f t="shared" si="3"/>
        <v>4040</v>
      </c>
    </row>
    <row r="118" spans="1:8" x14ac:dyDescent="0.3">
      <c r="A118" s="8">
        <v>43046.533275462964</v>
      </c>
      <c r="B118" s="20" t="s">
        <v>475</v>
      </c>
      <c r="C118" s="20" t="s">
        <v>658</v>
      </c>
      <c r="D118" s="138">
        <v>3670000</v>
      </c>
      <c r="E118" s="20" t="s">
        <v>393</v>
      </c>
      <c r="F118" s="20" t="s">
        <v>371</v>
      </c>
      <c r="G118" s="8" t="str">
        <f t="shared" si="2"/>
        <v>ANDREA WILLIAMS</v>
      </c>
      <c r="H118" s="20" t="str">
        <f t="shared" si="3"/>
        <v>4041</v>
      </c>
    </row>
    <row r="119" spans="1:8" x14ac:dyDescent="0.3">
      <c r="A119" s="8">
        <v>43046.538113425922</v>
      </c>
      <c r="B119" s="20" t="s">
        <v>358</v>
      </c>
      <c r="C119" s="20" t="s">
        <v>779</v>
      </c>
      <c r="D119" s="138">
        <v>2140000</v>
      </c>
      <c r="E119" s="20" t="s">
        <v>570</v>
      </c>
      <c r="F119" s="20" t="s">
        <v>571</v>
      </c>
      <c r="G119" s="8" t="str">
        <f t="shared" si="2"/>
        <v>ROBINSON KADDIBA</v>
      </c>
      <c r="H119" s="20" t="str">
        <f t="shared" si="3"/>
        <v>4008</v>
      </c>
    </row>
    <row r="120" spans="1:8" x14ac:dyDescent="0.3">
      <c r="A120" s="8">
        <v>43046.538703703707</v>
      </c>
      <c r="B120" s="20" t="s">
        <v>688</v>
      </c>
      <c r="C120" s="20" t="s">
        <v>780</v>
      </c>
      <c r="D120" s="138">
        <v>2630000</v>
      </c>
      <c r="E120" s="20" t="s">
        <v>379</v>
      </c>
      <c r="F120" s="20" t="s">
        <v>380</v>
      </c>
      <c r="G120" s="8" t="str">
        <f t="shared" si="2"/>
        <v>SAFIEF AEIMEN</v>
      </c>
      <c r="H120" s="20" t="str">
        <f t="shared" si="3"/>
        <v>4057</v>
      </c>
    </row>
    <row r="121" spans="1:8" x14ac:dyDescent="0.3">
      <c r="A121" s="8">
        <v>43046.543194444443</v>
      </c>
      <c r="B121" s="20" t="s">
        <v>655</v>
      </c>
      <c r="C121" s="20" t="s">
        <v>781</v>
      </c>
      <c r="D121" s="138">
        <v>2970000</v>
      </c>
      <c r="E121" s="20" t="s">
        <v>381</v>
      </c>
      <c r="F121" s="20" t="s">
        <v>382</v>
      </c>
      <c r="G121" s="8" t="str">
        <f t="shared" si="2"/>
        <v>GUZMAN DANNY</v>
      </c>
      <c r="H121" s="20" t="str">
        <f t="shared" si="3"/>
        <v>4020</v>
      </c>
    </row>
    <row r="122" spans="1:8" x14ac:dyDescent="0.3">
      <c r="A122" s="8">
        <v>43046.548043981478</v>
      </c>
      <c r="B122" s="25" t="s">
        <v>569</v>
      </c>
      <c r="C122" s="20" t="s">
        <v>782</v>
      </c>
      <c r="D122" s="138">
        <v>890000</v>
      </c>
      <c r="E122" s="20" t="s">
        <v>345</v>
      </c>
      <c r="F122" s="20" t="s">
        <v>346</v>
      </c>
      <c r="G122" s="8" t="str">
        <f t="shared" si="2"/>
        <v>LOZA FIDEL</v>
      </c>
      <c r="H122" s="20" t="str">
        <f t="shared" si="3"/>
        <v>4066</v>
      </c>
    </row>
    <row r="123" spans="1:8" x14ac:dyDescent="0.3">
      <c r="A123" s="8">
        <v>43046.557881944442</v>
      </c>
      <c r="B123" s="20" t="s">
        <v>643</v>
      </c>
      <c r="C123" s="20" t="s">
        <v>783</v>
      </c>
      <c r="D123" s="138">
        <v>1300000</v>
      </c>
      <c r="E123" s="20" t="s">
        <v>360</v>
      </c>
      <c r="F123" s="20" t="s">
        <v>361</v>
      </c>
      <c r="G123" s="8" t="str">
        <f t="shared" si="2"/>
        <v>LEVIN SCOTT</v>
      </c>
      <c r="H123" s="20" t="str">
        <f t="shared" si="3"/>
        <v>4026</v>
      </c>
    </row>
    <row r="124" spans="1:8" x14ac:dyDescent="0.3">
      <c r="A124" s="8">
        <v>43046.558993055558</v>
      </c>
      <c r="B124" s="20" t="s">
        <v>670</v>
      </c>
      <c r="C124" s="20" t="s">
        <v>784</v>
      </c>
      <c r="D124" s="138">
        <v>920000</v>
      </c>
      <c r="E124" s="20" t="s">
        <v>527</v>
      </c>
      <c r="F124" s="20" t="s">
        <v>354</v>
      </c>
      <c r="G124" s="8" t="str">
        <f t="shared" si="2"/>
        <v>DAVIS MICHAEL</v>
      </c>
      <c r="H124" s="20" t="str">
        <f t="shared" si="3"/>
        <v>4063</v>
      </c>
    </row>
    <row r="125" spans="1:8" x14ac:dyDescent="0.3">
      <c r="A125" s="8">
        <v>43046.559074074074</v>
      </c>
      <c r="B125" s="20" t="s">
        <v>653</v>
      </c>
      <c r="C125" s="20" t="s">
        <v>785</v>
      </c>
      <c r="D125" s="138">
        <v>2040000</v>
      </c>
      <c r="E125" s="20" t="s">
        <v>424</v>
      </c>
      <c r="F125" s="20" t="s">
        <v>425</v>
      </c>
      <c r="G125" s="8" t="str">
        <f t="shared" si="2"/>
        <v>MOSES BRADLEY</v>
      </c>
      <c r="H125" s="20" t="str">
        <f t="shared" si="3"/>
        <v>4039</v>
      </c>
    </row>
    <row r="126" spans="1:8" x14ac:dyDescent="0.3">
      <c r="A126" s="8">
        <v>43046.560763888891</v>
      </c>
      <c r="B126" s="20" t="s">
        <v>647</v>
      </c>
      <c r="C126" s="20" t="s">
        <v>786</v>
      </c>
      <c r="D126" s="138">
        <v>2970000</v>
      </c>
      <c r="E126" s="20" t="s">
        <v>381</v>
      </c>
      <c r="F126" s="20" t="s">
        <v>382</v>
      </c>
      <c r="G126" s="8" t="str">
        <f t="shared" si="2"/>
        <v>GUZMAN DANNY</v>
      </c>
      <c r="H126" s="20" t="str">
        <f t="shared" si="3"/>
        <v>4019</v>
      </c>
    </row>
    <row r="127" spans="1:8" x14ac:dyDescent="0.3">
      <c r="A127" s="8">
        <v>43046.570543981485</v>
      </c>
      <c r="B127" s="20" t="s">
        <v>674</v>
      </c>
      <c r="C127" s="20" t="s">
        <v>787</v>
      </c>
      <c r="D127" s="138">
        <v>3670000</v>
      </c>
      <c r="E127" s="20" t="s">
        <v>393</v>
      </c>
      <c r="F127" s="20" t="s">
        <v>371</v>
      </c>
      <c r="G127" s="8" t="str">
        <f t="shared" si="2"/>
        <v>ANDREA WILLIAMS</v>
      </c>
      <c r="H127" s="20" t="str">
        <f t="shared" si="3"/>
        <v>4042</v>
      </c>
    </row>
    <row r="128" spans="1:8" x14ac:dyDescent="0.3">
      <c r="A128" s="8">
        <v>43046.577581018515</v>
      </c>
      <c r="B128" s="20" t="s">
        <v>363</v>
      </c>
      <c r="C128" s="20" t="s">
        <v>659</v>
      </c>
      <c r="D128" s="138">
        <v>1770000</v>
      </c>
      <c r="E128" s="20" t="s">
        <v>764</v>
      </c>
      <c r="F128" s="20" t="s">
        <v>765</v>
      </c>
      <c r="G128" s="8" t="str">
        <f t="shared" si="2"/>
        <v>BRUDER RICHARD</v>
      </c>
      <c r="H128" s="20" t="str">
        <f t="shared" si="3"/>
        <v>4007</v>
      </c>
    </row>
    <row r="129" spans="1:8" x14ac:dyDescent="0.3">
      <c r="A129" s="8">
        <v>43046.580682870372</v>
      </c>
      <c r="B129" s="20" t="s">
        <v>485</v>
      </c>
      <c r="C129" s="20" t="s">
        <v>788</v>
      </c>
      <c r="D129" s="138">
        <v>2630000</v>
      </c>
      <c r="E129" s="20" t="s">
        <v>379</v>
      </c>
      <c r="F129" s="20" t="s">
        <v>380</v>
      </c>
      <c r="G129" s="8" t="str">
        <f t="shared" si="2"/>
        <v>SAFIEF AEIMEN</v>
      </c>
      <c r="H129" s="20" t="str">
        <f t="shared" si="3"/>
        <v>4058</v>
      </c>
    </row>
    <row r="130" spans="1:8" x14ac:dyDescent="0.3">
      <c r="A130" s="8">
        <v>43046.587604166663</v>
      </c>
      <c r="B130" s="20" t="s">
        <v>655</v>
      </c>
      <c r="C130" s="20" t="s">
        <v>789</v>
      </c>
      <c r="D130" s="138">
        <v>2970000</v>
      </c>
      <c r="E130" s="20" t="s">
        <v>381</v>
      </c>
      <c r="F130" s="20" t="s">
        <v>382</v>
      </c>
      <c r="G130" s="8" t="str">
        <f t="shared" si="2"/>
        <v>GUZMAN DANNY</v>
      </c>
      <c r="H130" s="20" t="str">
        <f t="shared" si="3"/>
        <v>4020</v>
      </c>
    </row>
    <row r="131" spans="1:8" x14ac:dyDescent="0.3">
      <c r="A131" s="8">
        <v>43046.590057870373</v>
      </c>
      <c r="B131" s="20" t="s">
        <v>486</v>
      </c>
      <c r="C131" s="20" t="s">
        <v>790</v>
      </c>
      <c r="D131" s="138">
        <v>880000</v>
      </c>
      <c r="E131" s="20" t="s">
        <v>390</v>
      </c>
      <c r="F131" s="20" t="s">
        <v>354</v>
      </c>
      <c r="G131" s="8" t="str">
        <f t="shared" ref="G131:G194" si="4">E131&amp;" "&amp;F131</f>
        <v>STEWART MICHAEL</v>
      </c>
      <c r="H131" s="20" t="str">
        <f t="shared" ref="H131:H194" si="5">MID(B131,13,4)</f>
        <v>4065</v>
      </c>
    </row>
    <row r="132" spans="1:8" x14ac:dyDescent="0.3">
      <c r="A132" s="8">
        <v>43046.592743055553</v>
      </c>
      <c r="B132" s="20" t="s">
        <v>476</v>
      </c>
      <c r="C132" s="20" t="s">
        <v>791</v>
      </c>
      <c r="D132" s="138">
        <v>920000</v>
      </c>
      <c r="E132" s="20" t="s">
        <v>527</v>
      </c>
      <c r="F132" s="20" t="s">
        <v>354</v>
      </c>
      <c r="G132" s="8" t="str">
        <f t="shared" si="4"/>
        <v>DAVIS MICHAEL</v>
      </c>
      <c r="H132" s="20" t="str">
        <f t="shared" si="5"/>
        <v>4064</v>
      </c>
    </row>
    <row r="133" spans="1:8" x14ac:dyDescent="0.3">
      <c r="A133" s="8">
        <v>43046.597407407404</v>
      </c>
      <c r="B133" s="20" t="s">
        <v>661</v>
      </c>
      <c r="C133" s="20" t="s">
        <v>662</v>
      </c>
      <c r="D133" s="138">
        <v>1300000</v>
      </c>
      <c r="E133" s="20" t="s">
        <v>360</v>
      </c>
      <c r="F133" s="20" t="s">
        <v>361</v>
      </c>
      <c r="G133" s="8" t="str">
        <f t="shared" si="4"/>
        <v>LEVIN SCOTT</v>
      </c>
      <c r="H133" s="20" t="str">
        <f t="shared" si="5"/>
        <v>4025</v>
      </c>
    </row>
    <row r="134" spans="1:8" x14ac:dyDescent="0.3">
      <c r="A134" s="8">
        <v>43046.600694444445</v>
      </c>
      <c r="B134" s="20" t="s">
        <v>647</v>
      </c>
      <c r="C134" s="20" t="s">
        <v>792</v>
      </c>
      <c r="D134" s="138">
        <v>2970000</v>
      </c>
      <c r="E134" s="20" t="s">
        <v>381</v>
      </c>
      <c r="F134" s="20" t="s">
        <v>382</v>
      </c>
      <c r="G134" s="8" t="str">
        <f t="shared" si="4"/>
        <v>GUZMAN DANNY</v>
      </c>
      <c r="H134" s="20" t="str">
        <f t="shared" si="5"/>
        <v>4019</v>
      </c>
    </row>
    <row r="135" spans="1:8" x14ac:dyDescent="0.3">
      <c r="A135" s="8">
        <v>43046.601157407407</v>
      </c>
      <c r="B135" s="20" t="s">
        <v>645</v>
      </c>
      <c r="C135" s="20" t="s">
        <v>793</v>
      </c>
      <c r="D135" s="138">
        <v>2230000</v>
      </c>
      <c r="E135" s="20" t="s">
        <v>410</v>
      </c>
      <c r="F135" s="20" t="s">
        <v>354</v>
      </c>
      <c r="G135" s="8" t="str">
        <f t="shared" si="4"/>
        <v>SMITH MICHAEL</v>
      </c>
      <c r="H135" s="20" t="str">
        <f t="shared" si="5"/>
        <v>4040</v>
      </c>
    </row>
    <row r="136" spans="1:8" x14ac:dyDescent="0.3">
      <c r="A136" s="8">
        <v>43046.606562499997</v>
      </c>
      <c r="B136" s="20" t="s">
        <v>486</v>
      </c>
      <c r="C136" s="20" t="s">
        <v>790</v>
      </c>
      <c r="D136" s="138">
        <v>880000</v>
      </c>
      <c r="E136" s="20" t="s">
        <v>390</v>
      </c>
      <c r="F136" s="20" t="s">
        <v>354</v>
      </c>
      <c r="G136" s="8" t="str">
        <f t="shared" si="4"/>
        <v>STEWART MICHAEL</v>
      </c>
      <c r="H136" s="20" t="str">
        <f t="shared" si="5"/>
        <v>4065</v>
      </c>
    </row>
    <row r="137" spans="1:8" x14ac:dyDescent="0.3">
      <c r="A137" s="8">
        <v>43046.607928240737</v>
      </c>
      <c r="B137" s="20" t="s">
        <v>475</v>
      </c>
      <c r="C137" s="20" t="s">
        <v>660</v>
      </c>
      <c r="D137" s="138">
        <v>3670000</v>
      </c>
      <c r="E137" s="20" t="s">
        <v>393</v>
      </c>
      <c r="F137" s="20" t="s">
        <v>371</v>
      </c>
      <c r="G137" s="8" t="str">
        <f t="shared" si="4"/>
        <v>ANDREA WILLIAMS</v>
      </c>
      <c r="H137" s="20" t="str">
        <f t="shared" si="5"/>
        <v>4041</v>
      </c>
    </row>
    <row r="138" spans="1:8" x14ac:dyDescent="0.3">
      <c r="A138" s="8">
        <v>43046.608136574076</v>
      </c>
      <c r="B138" s="20" t="s">
        <v>486</v>
      </c>
      <c r="C138" s="20" t="s">
        <v>790</v>
      </c>
      <c r="D138" s="138">
        <v>880000</v>
      </c>
      <c r="E138" s="20" t="s">
        <v>390</v>
      </c>
      <c r="F138" s="20" t="s">
        <v>354</v>
      </c>
      <c r="G138" s="8" t="str">
        <f t="shared" si="4"/>
        <v>STEWART MICHAEL</v>
      </c>
      <c r="H138" s="20" t="str">
        <f t="shared" si="5"/>
        <v>4065</v>
      </c>
    </row>
    <row r="139" spans="1:8" x14ac:dyDescent="0.3">
      <c r="A139" s="8">
        <v>43046.608784722222</v>
      </c>
      <c r="B139" s="20" t="s">
        <v>395</v>
      </c>
      <c r="C139" s="20" t="s">
        <v>794</v>
      </c>
      <c r="D139" s="138">
        <v>1810000</v>
      </c>
      <c r="E139" s="20" t="s">
        <v>795</v>
      </c>
      <c r="F139" s="20" t="s">
        <v>412</v>
      </c>
      <c r="G139" s="8" t="str">
        <f t="shared" si="4"/>
        <v>NEWELL JAMES</v>
      </c>
      <c r="H139" s="20" t="str">
        <f t="shared" si="5"/>
        <v>4022</v>
      </c>
    </row>
    <row r="140" spans="1:8" x14ac:dyDescent="0.3">
      <c r="A140" s="8">
        <v>43046.610555555555</v>
      </c>
      <c r="B140" s="20" t="s">
        <v>358</v>
      </c>
      <c r="C140" s="20" t="s">
        <v>796</v>
      </c>
      <c r="D140" s="138">
        <v>1770000</v>
      </c>
      <c r="E140" s="20" t="s">
        <v>764</v>
      </c>
      <c r="F140" s="20" t="s">
        <v>765</v>
      </c>
      <c r="G140" s="8" t="str">
        <f t="shared" si="4"/>
        <v>BRUDER RICHARD</v>
      </c>
      <c r="H140" s="20" t="str">
        <f t="shared" si="5"/>
        <v>4008</v>
      </c>
    </row>
    <row r="141" spans="1:8" x14ac:dyDescent="0.3">
      <c r="A141" s="8">
        <v>43046.611388888887</v>
      </c>
      <c r="B141" s="20" t="s">
        <v>399</v>
      </c>
      <c r="C141" s="20" t="s">
        <v>794</v>
      </c>
      <c r="D141" s="138">
        <v>1810000</v>
      </c>
      <c r="E141" s="20" t="s">
        <v>795</v>
      </c>
      <c r="F141" s="20" t="s">
        <v>412</v>
      </c>
      <c r="G141" s="8" t="str">
        <f t="shared" si="4"/>
        <v>NEWELL JAMES</v>
      </c>
      <c r="H141" s="20" t="str">
        <f t="shared" si="5"/>
        <v>4021</v>
      </c>
    </row>
    <row r="142" spans="1:8" x14ac:dyDescent="0.3">
      <c r="A142" s="8">
        <v>43046.611921296295</v>
      </c>
      <c r="B142" s="20" t="s">
        <v>399</v>
      </c>
      <c r="C142" s="20" t="s">
        <v>794</v>
      </c>
      <c r="D142" s="138">
        <v>1810000</v>
      </c>
      <c r="E142" s="20" t="s">
        <v>795</v>
      </c>
      <c r="F142" s="20" t="s">
        <v>412</v>
      </c>
      <c r="G142" s="8" t="str">
        <f t="shared" si="4"/>
        <v>NEWELL JAMES</v>
      </c>
      <c r="H142" s="20" t="str">
        <f t="shared" si="5"/>
        <v>4021</v>
      </c>
    </row>
    <row r="143" spans="1:8" x14ac:dyDescent="0.3">
      <c r="A143" s="8">
        <v>43046.612453703703</v>
      </c>
      <c r="B143" s="20" t="s">
        <v>399</v>
      </c>
      <c r="C143" s="20" t="s">
        <v>794</v>
      </c>
      <c r="D143" s="138">
        <v>1810000</v>
      </c>
      <c r="E143" s="20" t="s">
        <v>795</v>
      </c>
      <c r="F143" s="20" t="s">
        <v>412</v>
      </c>
      <c r="G143" s="8" t="str">
        <f t="shared" si="4"/>
        <v>NEWELL JAMES</v>
      </c>
      <c r="H143" s="20" t="str">
        <f t="shared" si="5"/>
        <v>4021</v>
      </c>
    </row>
    <row r="144" spans="1:8" x14ac:dyDescent="0.3">
      <c r="A144" s="8">
        <v>43046.613275462965</v>
      </c>
      <c r="B144" s="20" t="s">
        <v>688</v>
      </c>
      <c r="C144" s="20" t="s">
        <v>797</v>
      </c>
      <c r="D144" s="138">
        <v>2630000</v>
      </c>
      <c r="E144" s="20" t="s">
        <v>379</v>
      </c>
      <c r="F144" s="20" t="s">
        <v>380</v>
      </c>
      <c r="G144" s="8" t="str">
        <f t="shared" si="4"/>
        <v>SAFIEF AEIMEN</v>
      </c>
      <c r="H144" s="20" t="str">
        <f t="shared" si="5"/>
        <v>4057</v>
      </c>
    </row>
    <row r="145" spans="1:8" x14ac:dyDescent="0.3">
      <c r="A145" s="8">
        <v>43046.616863425923</v>
      </c>
      <c r="B145" s="20" t="s">
        <v>395</v>
      </c>
      <c r="C145" s="20" t="s">
        <v>663</v>
      </c>
      <c r="D145" s="138">
        <v>1810000</v>
      </c>
      <c r="E145" s="20" t="s">
        <v>795</v>
      </c>
      <c r="F145" s="20" t="s">
        <v>412</v>
      </c>
      <c r="G145" s="8" t="str">
        <f t="shared" si="4"/>
        <v>NEWELL JAMES</v>
      </c>
      <c r="H145" s="20" t="str">
        <f t="shared" si="5"/>
        <v>4022</v>
      </c>
    </row>
    <row r="146" spans="1:8" x14ac:dyDescent="0.3">
      <c r="A146" s="8">
        <v>43046.623263888891</v>
      </c>
      <c r="B146" s="20" t="s">
        <v>655</v>
      </c>
      <c r="C146" s="20" t="s">
        <v>798</v>
      </c>
      <c r="D146" s="138">
        <v>2970000</v>
      </c>
      <c r="E146" s="20" t="s">
        <v>381</v>
      </c>
      <c r="F146" s="20" t="s">
        <v>382</v>
      </c>
      <c r="G146" s="8" t="str">
        <f t="shared" si="4"/>
        <v>GUZMAN DANNY</v>
      </c>
      <c r="H146" s="20" t="str">
        <f t="shared" si="5"/>
        <v>4020</v>
      </c>
    </row>
    <row r="147" spans="1:8" x14ac:dyDescent="0.3">
      <c r="A147" s="8">
        <v>43046.628807870373</v>
      </c>
      <c r="B147" s="20" t="s">
        <v>655</v>
      </c>
      <c r="C147" s="20" t="s">
        <v>798</v>
      </c>
      <c r="D147" s="138">
        <v>1780000</v>
      </c>
      <c r="E147" s="20" t="s">
        <v>799</v>
      </c>
      <c r="F147" s="20" t="s">
        <v>800</v>
      </c>
      <c r="G147" s="8" t="str">
        <f t="shared" si="4"/>
        <v>DE LA ROSA ALEX</v>
      </c>
      <c r="H147" s="20" t="str">
        <f t="shared" si="5"/>
        <v>4020</v>
      </c>
    </row>
    <row r="148" spans="1:8" x14ac:dyDescent="0.3">
      <c r="A148" s="8">
        <v>43046.632395833331</v>
      </c>
      <c r="B148" s="20" t="s">
        <v>670</v>
      </c>
      <c r="C148" s="20" t="s">
        <v>801</v>
      </c>
      <c r="D148" s="138">
        <v>920000</v>
      </c>
      <c r="E148" s="20" t="s">
        <v>527</v>
      </c>
      <c r="F148" s="20" t="s">
        <v>354</v>
      </c>
      <c r="G148" s="8" t="str">
        <f t="shared" si="4"/>
        <v>DAVIS MICHAEL</v>
      </c>
      <c r="H148" s="20" t="str">
        <f t="shared" si="5"/>
        <v>4063</v>
      </c>
    </row>
    <row r="149" spans="1:8" x14ac:dyDescent="0.3">
      <c r="A149" s="8">
        <v>43046.634467592594</v>
      </c>
      <c r="B149" s="20" t="s">
        <v>664</v>
      </c>
      <c r="C149" s="20" t="s">
        <v>802</v>
      </c>
      <c r="D149" s="138">
        <v>2000000</v>
      </c>
      <c r="E149" s="20" t="s">
        <v>411</v>
      </c>
      <c r="F149" s="20" t="s">
        <v>412</v>
      </c>
      <c r="G149" s="8" t="str">
        <f t="shared" si="4"/>
        <v>STAMBAUGH JAMES</v>
      </c>
      <c r="H149" s="20" t="str">
        <f t="shared" si="5"/>
        <v>4001</v>
      </c>
    </row>
    <row r="150" spans="1:8" x14ac:dyDescent="0.3">
      <c r="A150" s="8">
        <v>43046.635092592594</v>
      </c>
      <c r="B150" s="20" t="s">
        <v>643</v>
      </c>
      <c r="C150" s="20" t="s">
        <v>803</v>
      </c>
      <c r="D150" s="138">
        <v>1300000</v>
      </c>
      <c r="E150" s="20" t="s">
        <v>360</v>
      </c>
      <c r="F150" s="20" t="s">
        <v>361</v>
      </c>
      <c r="G150" s="8" t="str">
        <f t="shared" si="4"/>
        <v>LEVIN SCOTT</v>
      </c>
      <c r="H150" s="20" t="str">
        <f t="shared" si="5"/>
        <v>4026</v>
      </c>
    </row>
    <row r="151" spans="1:8" x14ac:dyDescent="0.3">
      <c r="A151" s="8">
        <v>43046.637638888889</v>
      </c>
      <c r="B151" s="20" t="s">
        <v>653</v>
      </c>
      <c r="C151" s="20" t="s">
        <v>804</v>
      </c>
      <c r="D151" s="138">
        <v>2230000</v>
      </c>
      <c r="E151" s="20" t="s">
        <v>410</v>
      </c>
      <c r="F151" s="20" t="s">
        <v>354</v>
      </c>
      <c r="G151" s="8" t="str">
        <f t="shared" si="4"/>
        <v>SMITH MICHAEL</v>
      </c>
      <c r="H151" s="20" t="str">
        <f t="shared" si="5"/>
        <v>4039</v>
      </c>
    </row>
    <row r="152" spans="1:8" x14ac:dyDescent="0.3">
      <c r="A152" s="8">
        <v>43046.643449074072</v>
      </c>
      <c r="B152" s="20" t="s">
        <v>647</v>
      </c>
      <c r="C152" s="20" t="s">
        <v>805</v>
      </c>
      <c r="D152" s="138">
        <v>1780000</v>
      </c>
      <c r="E152" s="20" t="s">
        <v>799</v>
      </c>
      <c r="F152" s="20" t="s">
        <v>800</v>
      </c>
      <c r="G152" s="8" t="str">
        <f t="shared" si="4"/>
        <v>DE LA ROSA ALEX</v>
      </c>
      <c r="H152" s="20" t="str">
        <f t="shared" si="5"/>
        <v>4019</v>
      </c>
    </row>
    <row r="153" spans="1:8" x14ac:dyDescent="0.3">
      <c r="A153" s="8">
        <v>43046.64640046296</v>
      </c>
      <c r="B153" s="20" t="s">
        <v>674</v>
      </c>
      <c r="C153" s="20" t="s">
        <v>806</v>
      </c>
      <c r="D153" s="138">
        <v>3670000</v>
      </c>
      <c r="E153" s="20" t="s">
        <v>393</v>
      </c>
      <c r="F153" s="20" t="s">
        <v>371</v>
      </c>
      <c r="G153" s="8" t="str">
        <f t="shared" si="4"/>
        <v>ANDREA WILLIAMS</v>
      </c>
      <c r="H153" s="20" t="str">
        <f t="shared" si="5"/>
        <v>4042</v>
      </c>
    </row>
    <row r="154" spans="1:8" x14ac:dyDescent="0.3">
      <c r="A154" s="8">
        <v>43046.65079861111</v>
      </c>
      <c r="B154" s="20" t="s">
        <v>693</v>
      </c>
      <c r="C154" s="20" t="s">
        <v>807</v>
      </c>
      <c r="D154" s="138">
        <v>2000000</v>
      </c>
      <c r="E154" s="20" t="s">
        <v>411</v>
      </c>
      <c r="F154" s="20" t="s">
        <v>412</v>
      </c>
      <c r="G154" s="8" t="str">
        <f t="shared" si="4"/>
        <v>STAMBAUGH JAMES</v>
      </c>
      <c r="H154" s="20" t="str">
        <f t="shared" si="5"/>
        <v>4002</v>
      </c>
    </row>
    <row r="155" spans="1:8" x14ac:dyDescent="0.3">
      <c r="A155" s="8">
        <v>43046.651400462964</v>
      </c>
      <c r="B155" s="20" t="s">
        <v>363</v>
      </c>
      <c r="C155" s="20" t="s">
        <v>808</v>
      </c>
      <c r="D155" s="138">
        <v>1770000</v>
      </c>
      <c r="E155" s="20" t="s">
        <v>764</v>
      </c>
      <c r="F155" s="20" t="s">
        <v>765</v>
      </c>
      <c r="G155" s="8" t="str">
        <f t="shared" si="4"/>
        <v>BRUDER RICHARD</v>
      </c>
      <c r="H155" s="20" t="str">
        <f t="shared" si="5"/>
        <v>4007</v>
      </c>
    </row>
    <row r="156" spans="1:8" x14ac:dyDescent="0.3">
      <c r="A156" s="8">
        <v>43046.654351851852</v>
      </c>
      <c r="B156" s="20" t="s">
        <v>485</v>
      </c>
      <c r="C156" s="20" t="s">
        <v>809</v>
      </c>
      <c r="D156" s="138">
        <v>2630000</v>
      </c>
      <c r="E156" s="20" t="s">
        <v>379</v>
      </c>
      <c r="F156" s="20" t="s">
        <v>380</v>
      </c>
      <c r="G156" s="8" t="str">
        <f t="shared" si="4"/>
        <v>SAFIEF AEIMEN</v>
      </c>
      <c r="H156" s="20" t="str">
        <f t="shared" si="5"/>
        <v>4058</v>
      </c>
    </row>
    <row r="157" spans="1:8" x14ac:dyDescent="0.3">
      <c r="A157" s="8">
        <v>43046.659895833334</v>
      </c>
      <c r="B157" s="20" t="s">
        <v>399</v>
      </c>
      <c r="C157" s="20" t="s">
        <v>810</v>
      </c>
      <c r="D157" s="138">
        <v>1810000</v>
      </c>
      <c r="E157" s="20" t="s">
        <v>795</v>
      </c>
      <c r="F157" s="20" t="s">
        <v>412</v>
      </c>
      <c r="G157" s="8" t="str">
        <f t="shared" si="4"/>
        <v>NEWELL JAMES</v>
      </c>
      <c r="H157" s="20" t="str">
        <f t="shared" si="5"/>
        <v>4021</v>
      </c>
    </row>
    <row r="158" spans="1:8" x14ac:dyDescent="0.3">
      <c r="A158" s="8">
        <v>43046.663564814815</v>
      </c>
      <c r="B158" s="20" t="s">
        <v>664</v>
      </c>
      <c r="C158" s="20" t="s">
        <v>811</v>
      </c>
      <c r="D158" s="138">
        <v>2000000</v>
      </c>
      <c r="E158" s="20" t="s">
        <v>411</v>
      </c>
      <c r="F158" s="20" t="s">
        <v>412</v>
      </c>
      <c r="G158" s="8" t="str">
        <f t="shared" si="4"/>
        <v>STAMBAUGH JAMES</v>
      </c>
      <c r="H158" s="20" t="str">
        <f t="shared" si="5"/>
        <v>4001</v>
      </c>
    </row>
    <row r="159" spans="1:8" x14ac:dyDescent="0.3">
      <c r="A159" s="8">
        <v>43046.665405092594</v>
      </c>
      <c r="B159" s="20" t="s">
        <v>655</v>
      </c>
      <c r="C159" s="20" t="s">
        <v>812</v>
      </c>
      <c r="D159" s="138">
        <v>2970000</v>
      </c>
      <c r="E159" s="20" t="s">
        <v>381</v>
      </c>
      <c r="F159" s="20" t="s">
        <v>382</v>
      </c>
      <c r="G159" s="8" t="str">
        <f t="shared" si="4"/>
        <v>GUZMAN DANNY</v>
      </c>
      <c r="H159" s="20" t="str">
        <f t="shared" si="5"/>
        <v>4020</v>
      </c>
    </row>
    <row r="160" spans="1:8" x14ac:dyDescent="0.3">
      <c r="A160" s="8">
        <v>43046.665706018517</v>
      </c>
      <c r="B160" s="20" t="s">
        <v>476</v>
      </c>
      <c r="C160" s="20" t="s">
        <v>813</v>
      </c>
      <c r="D160" s="138">
        <v>920000</v>
      </c>
      <c r="E160" s="20" t="s">
        <v>527</v>
      </c>
      <c r="F160" s="20" t="s">
        <v>354</v>
      </c>
      <c r="G160" s="8" t="str">
        <f t="shared" si="4"/>
        <v>DAVIS MICHAEL</v>
      </c>
      <c r="H160" s="20" t="str">
        <f t="shared" si="5"/>
        <v>4064</v>
      </c>
    </row>
    <row r="161" spans="1:8" x14ac:dyDescent="0.3">
      <c r="A161" s="8">
        <v>43046.670925925922</v>
      </c>
      <c r="B161" s="20" t="s">
        <v>661</v>
      </c>
      <c r="C161" s="20" t="s">
        <v>814</v>
      </c>
      <c r="D161" s="138">
        <v>1300000</v>
      </c>
      <c r="E161" s="20" t="s">
        <v>360</v>
      </c>
      <c r="F161" s="20" t="s">
        <v>361</v>
      </c>
      <c r="G161" s="8" t="str">
        <f t="shared" si="4"/>
        <v>LEVIN SCOTT</v>
      </c>
      <c r="H161" s="20" t="str">
        <f t="shared" si="5"/>
        <v>4025</v>
      </c>
    </row>
    <row r="162" spans="1:8" x14ac:dyDescent="0.3">
      <c r="A162" s="8">
        <v>43046.672511574077</v>
      </c>
      <c r="B162" s="20" t="s">
        <v>645</v>
      </c>
      <c r="C162" s="20" t="s">
        <v>815</v>
      </c>
      <c r="D162" s="138">
        <v>2230000</v>
      </c>
      <c r="E162" s="20" t="s">
        <v>410</v>
      </c>
      <c r="F162" s="20" t="s">
        <v>354</v>
      </c>
      <c r="G162" s="8" t="str">
        <f t="shared" si="4"/>
        <v>SMITH MICHAEL</v>
      </c>
      <c r="H162" s="20" t="str">
        <f t="shared" si="5"/>
        <v>4040</v>
      </c>
    </row>
    <row r="163" spans="1:8" x14ac:dyDescent="0.3">
      <c r="A163" s="8">
        <v>43046.680034722223</v>
      </c>
      <c r="B163" s="20" t="s">
        <v>475</v>
      </c>
      <c r="C163" s="20" t="s">
        <v>816</v>
      </c>
      <c r="D163" s="138">
        <v>3670000</v>
      </c>
      <c r="E163" s="20" t="s">
        <v>393</v>
      </c>
      <c r="F163" s="20" t="s">
        <v>371</v>
      </c>
      <c r="G163" s="8" t="str">
        <f t="shared" si="4"/>
        <v>ANDREA WILLIAMS</v>
      </c>
      <c r="H163" s="20" t="str">
        <f t="shared" si="5"/>
        <v>4041</v>
      </c>
    </row>
    <row r="164" spans="1:8" x14ac:dyDescent="0.3">
      <c r="A164" s="8">
        <v>43046.684189814812</v>
      </c>
      <c r="B164" s="20" t="s">
        <v>358</v>
      </c>
      <c r="C164" s="20" t="s">
        <v>817</v>
      </c>
      <c r="D164" s="138">
        <v>1770000</v>
      </c>
      <c r="E164" s="20" t="s">
        <v>764</v>
      </c>
      <c r="F164" s="20" t="s">
        <v>765</v>
      </c>
      <c r="G164" s="8" t="str">
        <f t="shared" si="4"/>
        <v>BRUDER RICHARD</v>
      </c>
      <c r="H164" s="20" t="str">
        <f t="shared" si="5"/>
        <v>4008</v>
      </c>
    </row>
    <row r="165" spans="1:8" x14ac:dyDescent="0.3">
      <c r="A165" s="8">
        <v>43046.684664351851</v>
      </c>
      <c r="B165" s="20" t="s">
        <v>647</v>
      </c>
      <c r="C165" s="20" t="s">
        <v>818</v>
      </c>
      <c r="D165" s="138">
        <v>2970000</v>
      </c>
      <c r="E165" s="20" t="s">
        <v>381</v>
      </c>
      <c r="F165" s="20" t="s">
        <v>382</v>
      </c>
      <c r="G165" s="8" t="str">
        <f t="shared" si="4"/>
        <v>GUZMAN DANNY</v>
      </c>
      <c r="H165" s="20" t="str">
        <f t="shared" si="5"/>
        <v>4019</v>
      </c>
    </row>
    <row r="166" spans="1:8" x14ac:dyDescent="0.3">
      <c r="A166" s="8">
        <v>43046.68613425926</v>
      </c>
      <c r="B166" s="20" t="s">
        <v>688</v>
      </c>
      <c r="C166" s="20" t="s">
        <v>819</v>
      </c>
      <c r="D166" s="138">
        <v>2630000</v>
      </c>
      <c r="E166" s="20" t="s">
        <v>379</v>
      </c>
      <c r="F166" s="20" t="s">
        <v>380</v>
      </c>
      <c r="G166" s="8" t="str">
        <f t="shared" si="4"/>
        <v>SAFIEF AEIMEN</v>
      </c>
      <c r="H166" s="20" t="str">
        <f t="shared" si="5"/>
        <v>4057</v>
      </c>
    </row>
    <row r="167" spans="1:8" x14ac:dyDescent="0.3">
      <c r="A167" s="8">
        <v>43046.692083333335</v>
      </c>
      <c r="B167" s="20" t="s">
        <v>693</v>
      </c>
      <c r="C167" s="20" t="s">
        <v>820</v>
      </c>
      <c r="D167" s="138">
        <v>2000000</v>
      </c>
      <c r="E167" s="20" t="s">
        <v>411</v>
      </c>
      <c r="F167" s="20" t="s">
        <v>412</v>
      </c>
      <c r="G167" s="8" t="str">
        <f t="shared" si="4"/>
        <v>STAMBAUGH JAMES</v>
      </c>
      <c r="H167" s="20" t="str">
        <f t="shared" si="5"/>
        <v>4002</v>
      </c>
    </row>
    <row r="168" spans="1:8" x14ac:dyDescent="0.3">
      <c r="A168" s="8">
        <v>43046.694432870368</v>
      </c>
      <c r="B168" s="20" t="s">
        <v>569</v>
      </c>
      <c r="C168" s="20" t="s">
        <v>821</v>
      </c>
      <c r="D168" s="138">
        <v>1780000</v>
      </c>
      <c r="E168" s="20" t="s">
        <v>799</v>
      </c>
      <c r="F168" s="20" t="s">
        <v>800</v>
      </c>
      <c r="G168" s="8" t="str">
        <f t="shared" si="4"/>
        <v>DE LA ROSA ALEX</v>
      </c>
      <c r="H168" s="20" t="str">
        <f t="shared" si="5"/>
        <v>4066</v>
      </c>
    </row>
    <row r="169" spans="1:8" x14ac:dyDescent="0.3">
      <c r="A169" s="8">
        <v>43046.696493055555</v>
      </c>
      <c r="B169" s="20" t="s">
        <v>395</v>
      </c>
      <c r="C169" s="20" t="s">
        <v>822</v>
      </c>
      <c r="D169" s="138">
        <v>880000</v>
      </c>
      <c r="E169" s="20" t="s">
        <v>390</v>
      </c>
      <c r="F169" s="20" t="s">
        <v>354</v>
      </c>
      <c r="G169" s="8" t="str">
        <f t="shared" si="4"/>
        <v>STEWART MICHAEL</v>
      </c>
      <c r="H169" s="20" t="str">
        <f t="shared" si="5"/>
        <v>4022</v>
      </c>
    </row>
    <row r="170" spans="1:8" x14ac:dyDescent="0.3">
      <c r="A170" s="8">
        <v>43046.697627314818</v>
      </c>
      <c r="B170" s="20" t="s">
        <v>475</v>
      </c>
      <c r="C170" s="20" t="s">
        <v>816</v>
      </c>
      <c r="D170" s="138">
        <v>3670000</v>
      </c>
      <c r="E170" s="20" t="s">
        <v>393</v>
      </c>
      <c r="F170" s="20" t="s">
        <v>371</v>
      </c>
      <c r="G170" s="8" t="str">
        <f t="shared" si="4"/>
        <v>ANDREA WILLIAMS</v>
      </c>
      <c r="H170" s="20" t="str">
        <f t="shared" si="5"/>
        <v>4041</v>
      </c>
    </row>
    <row r="171" spans="1:8" x14ac:dyDescent="0.3">
      <c r="A171" s="8">
        <v>43046.703553240739</v>
      </c>
      <c r="B171" s="20" t="s">
        <v>643</v>
      </c>
      <c r="C171" s="20" t="s">
        <v>823</v>
      </c>
      <c r="D171" s="138">
        <v>1300000</v>
      </c>
      <c r="E171" s="20" t="s">
        <v>360</v>
      </c>
      <c r="F171" s="20" t="s">
        <v>361</v>
      </c>
      <c r="G171" s="8" t="str">
        <f t="shared" si="4"/>
        <v>LEVIN SCOTT</v>
      </c>
      <c r="H171" s="20" t="str">
        <f t="shared" si="5"/>
        <v>4026</v>
      </c>
    </row>
    <row r="172" spans="1:8" x14ac:dyDescent="0.3">
      <c r="A172" s="8">
        <v>43046.704826388886</v>
      </c>
      <c r="B172" s="20" t="s">
        <v>670</v>
      </c>
      <c r="C172" s="20" t="s">
        <v>824</v>
      </c>
      <c r="D172" s="138">
        <v>920000</v>
      </c>
      <c r="E172" s="20" t="s">
        <v>527</v>
      </c>
      <c r="F172" s="20" t="s">
        <v>354</v>
      </c>
      <c r="G172" s="8" t="str">
        <f t="shared" si="4"/>
        <v>DAVIS MICHAEL</v>
      </c>
      <c r="H172" s="20" t="str">
        <f t="shared" si="5"/>
        <v>4063</v>
      </c>
    </row>
    <row r="173" spans="1:8" x14ac:dyDescent="0.3">
      <c r="A173" s="8">
        <v>43046.705543981479</v>
      </c>
      <c r="B173" s="20" t="s">
        <v>664</v>
      </c>
      <c r="C173" s="20" t="s">
        <v>825</v>
      </c>
      <c r="D173" s="138">
        <v>2000000</v>
      </c>
      <c r="E173" s="20" t="s">
        <v>411</v>
      </c>
      <c r="F173" s="20" t="s">
        <v>412</v>
      </c>
      <c r="G173" s="8" t="str">
        <f t="shared" si="4"/>
        <v>STAMBAUGH JAMES</v>
      </c>
      <c r="H173" s="20" t="str">
        <f t="shared" si="5"/>
        <v>4001</v>
      </c>
    </row>
    <row r="174" spans="1:8" x14ac:dyDescent="0.3">
      <c r="A174" s="8">
        <v>43046.707048611112</v>
      </c>
      <c r="B174" s="20" t="s">
        <v>655</v>
      </c>
      <c r="C174" s="20" t="s">
        <v>826</v>
      </c>
      <c r="D174" s="138">
        <v>2970000</v>
      </c>
      <c r="E174" s="20" t="s">
        <v>381</v>
      </c>
      <c r="F174" s="20" t="s">
        <v>382</v>
      </c>
      <c r="G174" s="8" t="str">
        <f t="shared" si="4"/>
        <v>GUZMAN DANNY</v>
      </c>
      <c r="H174" s="20" t="str">
        <f t="shared" si="5"/>
        <v>4020</v>
      </c>
    </row>
    <row r="175" spans="1:8" x14ac:dyDescent="0.3">
      <c r="A175" s="8">
        <v>43046.709537037037</v>
      </c>
      <c r="B175" s="20" t="s">
        <v>653</v>
      </c>
      <c r="C175" s="20" t="s">
        <v>827</v>
      </c>
      <c r="D175" s="138">
        <v>2230000</v>
      </c>
      <c r="E175" s="20" t="s">
        <v>410</v>
      </c>
      <c r="F175" s="20" t="s">
        <v>354</v>
      </c>
      <c r="G175" s="8" t="str">
        <f t="shared" si="4"/>
        <v>SMITH MICHAEL</v>
      </c>
      <c r="H175" s="20" t="str">
        <f t="shared" si="5"/>
        <v>4039</v>
      </c>
    </row>
    <row r="176" spans="1:8" x14ac:dyDescent="0.3">
      <c r="A176" s="8">
        <v>43046.714733796296</v>
      </c>
      <c r="B176" s="20" t="s">
        <v>528</v>
      </c>
      <c r="C176" s="20" t="s">
        <v>828</v>
      </c>
      <c r="D176" s="138">
        <v>2140000</v>
      </c>
      <c r="E176" s="20" t="s">
        <v>570</v>
      </c>
      <c r="F176" s="20" t="s">
        <v>571</v>
      </c>
      <c r="G176" s="8" t="str">
        <f t="shared" si="4"/>
        <v>ROBINSON KADDIBA</v>
      </c>
      <c r="H176" s="20" t="str">
        <f t="shared" si="5"/>
        <v>4014</v>
      </c>
    </row>
    <row r="177" spans="1:8" x14ac:dyDescent="0.3">
      <c r="A177" s="8">
        <v>43046.718900462962</v>
      </c>
      <c r="B177" s="20" t="s">
        <v>674</v>
      </c>
      <c r="C177" s="20" t="s">
        <v>829</v>
      </c>
      <c r="D177" s="138">
        <v>3670000</v>
      </c>
      <c r="E177" s="20" t="s">
        <v>393</v>
      </c>
      <c r="F177" s="20" t="s">
        <v>371</v>
      </c>
      <c r="G177" s="8" t="str">
        <f t="shared" si="4"/>
        <v>ANDREA WILLIAMS</v>
      </c>
      <c r="H177" s="20" t="str">
        <f t="shared" si="5"/>
        <v>4042</v>
      </c>
    </row>
    <row r="178" spans="1:8" x14ac:dyDescent="0.3">
      <c r="A178" s="8">
        <v>43046.724374999998</v>
      </c>
      <c r="B178" s="20" t="s">
        <v>363</v>
      </c>
      <c r="C178" s="20" t="s">
        <v>830</v>
      </c>
      <c r="D178" s="138">
        <v>1770000</v>
      </c>
      <c r="E178" s="20" t="s">
        <v>764</v>
      </c>
      <c r="F178" s="20" t="s">
        <v>765</v>
      </c>
      <c r="G178" s="8" t="str">
        <f t="shared" si="4"/>
        <v>BRUDER RICHARD</v>
      </c>
      <c r="H178" s="20" t="str">
        <f t="shared" si="5"/>
        <v>4007</v>
      </c>
    </row>
    <row r="179" spans="1:8" x14ac:dyDescent="0.3">
      <c r="A179" s="8">
        <v>43046.726284722223</v>
      </c>
      <c r="B179" s="20" t="s">
        <v>485</v>
      </c>
      <c r="C179" s="20" t="s">
        <v>831</v>
      </c>
      <c r="D179" s="138">
        <v>2630000</v>
      </c>
      <c r="E179" s="20" t="s">
        <v>379</v>
      </c>
      <c r="F179" s="20" t="s">
        <v>380</v>
      </c>
      <c r="G179" s="8" t="str">
        <f t="shared" si="4"/>
        <v>SAFIEF AEIMEN</v>
      </c>
      <c r="H179" s="20" t="str">
        <f t="shared" si="5"/>
        <v>4058</v>
      </c>
    </row>
    <row r="180" spans="1:8" x14ac:dyDescent="0.3">
      <c r="A180" s="8">
        <v>43046.726469907408</v>
      </c>
      <c r="B180" s="20" t="s">
        <v>647</v>
      </c>
      <c r="C180" s="20" t="s">
        <v>832</v>
      </c>
      <c r="D180" s="138">
        <v>2970000</v>
      </c>
      <c r="E180" s="20" t="s">
        <v>381</v>
      </c>
      <c r="F180" s="20" t="s">
        <v>382</v>
      </c>
      <c r="G180" s="8" t="str">
        <f t="shared" si="4"/>
        <v>GUZMAN DANNY</v>
      </c>
      <c r="H180" s="20" t="str">
        <f t="shared" si="5"/>
        <v>4019</v>
      </c>
    </row>
    <row r="181" spans="1:8" x14ac:dyDescent="0.3">
      <c r="A181" s="8">
        <v>43046.731354166666</v>
      </c>
      <c r="B181" s="20" t="s">
        <v>693</v>
      </c>
      <c r="C181" s="20" t="s">
        <v>833</v>
      </c>
      <c r="D181" s="138">
        <v>2000000</v>
      </c>
      <c r="E181" s="20" t="s">
        <v>411</v>
      </c>
      <c r="F181" s="20" t="s">
        <v>412</v>
      </c>
      <c r="G181" s="8" t="str">
        <f t="shared" si="4"/>
        <v>STAMBAUGH JAMES</v>
      </c>
      <c r="H181" s="20" t="str">
        <f t="shared" si="5"/>
        <v>4002</v>
      </c>
    </row>
    <row r="182" spans="1:8" x14ac:dyDescent="0.3">
      <c r="A182" s="8">
        <v>43046.735821759263</v>
      </c>
      <c r="B182" s="20" t="s">
        <v>487</v>
      </c>
      <c r="C182" s="20" t="s">
        <v>794</v>
      </c>
      <c r="D182" s="138">
        <v>3220000</v>
      </c>
      <c r="E182" s="20" t="s">
        <v>385</v>
      </c>
      <c r="F182" s="20" t="s">
        <v>386</v>
      </c>
      <c r="G182" s="8" t="str">
        <f t="shared" si="4"/>
        <v>RESPASS AARON</v>
      </c>
      <c r="H182" s="20" t="str">
        <f t="shared" si="5"/>
        <v>4015</v>
      </c>
    </row>
    <row r="183" spans="1:8" x14ac:dyDescent="0.3">
      <c r="A183" s="8">
        <v>43046.736932870372</v>
      </c>
      <c r="B183" s="20" t="s">
        <v>399</v>
      </c>
      <c r="C183" s="20" t="s">
        <v>834</v>
      </c>
      <c r="D183" s="138">
        <v>880000</v>
      </c>
      <c r="E183" s="20" t="s">
        <v>390</v>
      </c>
      <c r="F183" s="20" t="s">
        <v>354</v>
      </c>
      <c r="G183" s="8" t="str">
        <f t="shared" si="4"/>
        <v>STEWART MICHAEL</v>
      </c>
      <c r="H183" s="20" t="str">
        <f t="shared" si="5"/>
        <v>4021</v>
      </c>
    </row>
    <row r="184" spans="1:8" x14ac:dyDescent="0.3">
      <c r="A184" s="8">
        <v>43046.738761574074</v>
      </c>
      <c r="B184" s="20" t="s">
        <v>476</v>
      </c>
      <c r="C184" s="20" t="s">
        <v>835</v>
      </c>
      <c r="D184" s="138">
        <v>890000</v>
      </c>
      <c r="E184" s="20" t="s">
        <v>345</v>
      </c>
      <c r="F184" s="20" t="s">
        <v>346</v>
      </c>
      <c r="G184" s="8" t="str">
        <f t="shared" si="4"/>
        <v>LOZA FIDEL</v>
      </c>
      <c r="H184" s="20" t="str">
        <f t="shared" si="5"/>
        <v>4064</v>
      </c>
    </row>
    <row r="185" spans="1:8" x14ac:dyDescent="0.3">
      <c r="A185" s="8">
        <v>43046.740115740744</v>
      </c>
      <c r="B185" s="20" t="s">
        <v>661</v>
      </c>
      <c r="C185" s="20" t="s">
        <v>836</v>
      </c>
      <c r="D185" s="138">
        <v>1300000</v>
      </c>
      <c r="E185" s="20" t="s">
        <v>360</v>
      </c>
      <c r="F185" s="20" t="s">
        <v>361</v>
      </c>
      <c r="G185" s="8" t="str">
        <f t="shared" si="4"/>
        <v>LEVIN SCOTT</v>
      </c>
      <c r="H185" s="20" t="str">
        <f t="shared" si="5"/>
        <v>4025</v>
      </c>
    </row>
    <row r="186" spans="1:8" x14ac:dyDescent="0.3">
      <c r="A186" s="8">
        <v>43046.745694444442</v>
      </c>
      <c r="B186" s="20" t="s">
        <v>645</v>
      </c>
      <c r="C186" s="20" t="s">
        <v>837</v>
      </c>
      <c r="D186" s="138">
        <v>2230000</v>
      </c>
      <c r="E186" s="20" t="s">
        <v>410</v>
      </c>
      <c r="F186" s="20" t="s">
        <v>354</v>
      </c>
      <c r="G186" s="8" t="str">
        <f t="shared" si="4"/>
        <v>SMITH MICHAEL</v>
      </c>
      <c r="H186" s="20" t="str">
        <f t="shared" si="5"/>
        <v>4040</v>
      </c>
    </row>
    <row r="187" spans="1:8" x14ac:dyDescent="0.3">
      <c r="A187" s="8">
        <v>43046.747129629628</v>
      </c>
      <c r="B187" s="20" t="s">
        <v>664</v>
      </c>
      <c r="C187" s="20" t="s">
        <v>665</v>
      </c>
      <c r="D187" s="138">
        <v>2000000</v>
      </c>
      <c r="E187" s="20" t="s">
        <v>411</v>
      </c>
      <c r="F187" s="20" t="s">
        <v>412</v>
      </c>
      <c r="G187" s="8" t="str">
        <f t="shared" si="4"/>
        <v>STAMBAUGH JAMES</v>
      </c>
      <c r="H187" s="20" t="str">
        <f t="shared" si="5"/>
        <v>4001</v>
      </c>
    </row>
    <row r="188" spans="1:8" x14ac:dyDescent="0.3">
      <c r="A188" s="8">
        <v>43046.752141203702</v>
      </c>
      <c r="B188" s="20" t="s">
        <v>655</v>
      </c>
      <c r="C188" s="20" t="s">
        <v>838</v>
      </c>
      <c r="D188" s="138">
        <v>2970000</v>
      </c>
      <c r="E188" s="20" t="s">
        <v>381</v>
      </c>
      <c r="F188" s="20" t="s">
        <v>382</v>
      </c>
      <c r="G188" s="8" t="str">
        <f t="shared" si="4"/>
        <v>GUZMAN DANNY</v>
      </c>
      <c r="H188" s="20" t="str">
        <f t="shared" si="5"/>
        <v>4020</v>
      </c>
    </row>
    <row r="189" spans="1:8" x14ac:dyDescent="0.3">
      <c r="A189" s="8">
        <v>43046.754513888889</v>
      </c>
      <c r="B189" s="20" t="s">
        <v>475</v>
      </c>
      <c r="C189" s="20" t="s">
        <v>839</v>
      </c>
      <c r="D189" s="138">
        <v>3670000</v>
      </c>
      <c r="E189" s="20" t="s">
        <v>393</v>
      </c>
      <c r="F189" s="20" t="s">
        <v>371</v>
      </c>
      <c r="G189" s="8" t="str">
        <f t="shared" si="4"/>
        <v>ANDREA WILLIAMS</v>
      </c>
      <c r="H189" s="20" t="str">
        <f t="shared" si="5"/>
        <v>4041</v>
      </c>
    </row>
    <row r="190" spans="1:8" x14ac:dyDescent="0.3">
      <c r="A190" s="8">
        <v>43046.757511574076</v>
      </c>
      <c r="B190" s="20" t="s">
        <v>358</v>
      </c>
      <c r="C190" s="20" t="s">
        <v>840</v>
      </c>
      <c r="D190" s="138">
        <v>3320000</v>
      </c>
      <c r="E190" s="20" t="s">
        <v>365</v>
      </c>
      <c r="F190" s="20" t="s">
        <v>366</v>
      </c>
      <c r="G190" s="8" t="str">
        <f t="shared" si="4"/>
        <v>NICHOLSON WESLEY</v>
      </c>
      <c r="H190" s="20" t="str">
        <f t="shared" si="5"/>
        <v>4008</v>
      </c>
    </row>
    <row r="191" spans="1:8" x14ac:dyDescent="0.3">
      <c r="A191" s="8">
        <v>43046.759664351855</v>
      </c>
      <c r="B191" s="20" t="s">
        <v>688</v>
      </c>
      <c r="C191" s="20" t="s">
        <v>841</v>
      </c>
      <c r="D191" s="138">
        <v>2630000</v>
      </c>
      <c r="E191" s="20" t="s">
        <v>379</v>
      </c>
      <c r="F191" s="20" t="s">
        <v>380</v>
      </c>
      <c r="G191" s="8" t="str">
        <f t="shared" si="4"/>
        <v>SAFIEF AEIMEN</v>
      </c>
      <c r="H191" s="20" t="str">
        <f t="shared" si="5"/>
        <v>4057</v>
      </c>
    </row>
    <row r="192" spans="1:8" x14ac:dyDescent="0.3">
      <c r="A192" s="8">
        <v>43046.768460648149</v>
      </c>
      <c r="B192" s="20" t="s">
        <v>647</v>
      </c>
      <c r="C192" s="20" t="s">
        <v>842</v>
      </c>
      <c r="D192" s="138">
        <v>2970000</v>
      </c>
      <c r="E192" s="20" t="s">
        <v>381</v>
      </c>
      <c r="F192" s="20" t="s">
        <v>382</v>
      </c>
      <c r="G192" s="8" t="str">
        <f t="shared" si="4"/>
        <v>GUZMAN DANNY</v>
      </c>
      <c r="H192" s="20" t="str">
        <f t="shared" si="5"/>
        <v>4019</v>
      </c>
    </row>
    <row r="193" spans="1:8" x14ac:dyDescent="0.3">
      <c r="A193" s="8">
        <v>43046.768888888888</v>
      </c>
      <c r="B193" s="20" t="s">
        <v>693</v>
      </c>
      <c r="C193" s="20" t="s">
        <v>843</v>
      </c>
      <c r="D193" s="138">
        <v>2000000</v>
      </c>
      <c r="E193" s="20" t="s">
        <v>411</v>
      </c>
      <c r="F193" s="20" t="s">
        <v>412</v>
      </c>
      <c r="G193" s="8" t="str">
        <f t="shared" si="4"/>
        <v>STAMBAUGH JAMES</v>
      </c>
      <c r="H193" s="20" t="str">
        <f t="shared" si="5"/>
        <v>4002</v>
      </c>
    </row>
    <row r="194" spans="1:8" x14ac:dyDescent="0.3">
      <c r="A194" s="8">
        <v>43046.770787037036</v>
      </c>
      <c r="B194" s="20" t="s">
        <v>395</v>
      </c>
      <c r="C194" s="20" t="s">
        <v>844</v>
      </c>
      <c r="D194" s="138">
        <v>3310000</v>
      </c>
      <c r="E194" s="20" t="s">
        <v>845</v>
      </c>
      <c r="F194" s="20" t="s">
        <v>846</v>
      </c>
      <c r="G194" s="8" t="str">
        <f t="shared" si="4"/>
        <v>ANDERS STEVEN</v>
      </c>
      <c r="H194" s="20" t="str">
        <f t="shared" si="5"/>
        <v>4022</v>
      </c>
    </row>
    <row r="195" spans="1:8" x14ac:dyDescent="0.3">
      <c r="A195" s="8">
        <v>43046.774583333332</v>
      </c>
      <c r="B195" s="20" t="s">
        <v>670</v>
      </c>
      <c r="C195" s="20" t="s">
        <v>847</v>
      </c>
      <c r="D195" s="138">
        <v>890000</v>
      </c>
      <c r="E195" s="20" t="s">
        <v>345</v>
      </c>
      <c r="F195" s="20" t="s">
        <v>346</v>
      </c>
      <c r="G195" s="8" t="str">
        <f t="shared" ref="G195:G258" si="6">E195&amp;" "&amp;F195</f>
        <v>LOZA FIDEL</v>
      </c>
      <c r="H195" s="20" t="str">
        <f t="shared" ref="H195:H258" si="7">MID(B195,13,4)</f>
        <v>4063</v>
      </c>
    </row>
    <row r="196" spans="1:8" x14ac:dyDescent="0.3">
      <c r="A196" s="8">
        <v>43046.777546296296</v>
      </c>
      <c r="B196" s="20" t="s">
        <v>643</v>
      </c>
      <c r="C196" s="20" t="s">
        <v>848</v>
      </c>
      <c r="D196" s="138">
        <v>1300000</v>
      </c>
      <c r="E196" s="20" t="s">
        <v>360</v>
      </c>
      <c r="F196" s="20" t="s">
        <v>361</v>
      </c>
      <c r="G196" s="8" t="str">
        <f t="shared" si="6"/>
        <v>LEVIN SCOTT</v>
      </c>
      <c r="H196" s="20" t="str">
        <f t="shared" si="7"/>
        <v>4026</v>
      </c>
    </row>
    <row r="197" spans="1:8" x14ac:dyDescent="0.3">
      <c r="A197" s="8">
        <v>43046.783946759257</v>
      </c>
      <c r="B197" s="20" t="s">
        <v>653</v>
      </c>
      <c r="C197" s="20" t="s">
        <v>849</v>
      </c>
      <c r="D197" s="138">
        <v>2230000</v>
      </c>
      <c r="E197" s="20" t="s">
        <v>410</v>
      </c>
      <c r="F197" s="20" t="s">
        <v>354</v>
      </c>
      <c r="G197" s="8" t="str">
        <f t="shared" si="6"/>
        <v>SMITH MICHAEL</v>
      </c>
      <c r="H197" s="20" t="str">
        <f t="shared" si="7"/>
        <v>4039</v>
      </c>
    </row>
    <row r="198" spans="1:8" x14ac:dyDescent="0.3">
      <c r="A198" s="8">
        <v>43046.788842592592</v>
      </c>
      <c r="B198" s="20" t="s">
        <v>664</v>
      </c>
      <c r="C198" s="20" t="s">
        <v>850</v>
      </c>
      <c r="D198" s="138">
        <v>2000000</v>
      </c>
      <c r="E198" s="20" t="s">
        <v>411</v>
      </c>
      <c r="F198" s="20" t="s">
        <v>412</v>
      </c>
      <c r="G198" s="8" t="str">
        <f t="shared" si="6"/>
        <v>STAMBAUGH JAMES</v>
      </c>
      <c r="H198" s="20" t="str">
        <f t="shared" si="7"/>
        <v>4001</v>
      </c>
    </row>
    <row r="199" spans="1:8" x14ac:dyDescent="0.3">
      <c r="A199" s="8">
        <v>43046.79010416667</v>
      </c>
      <c r="B199" s="20" t="s">
        <v>674</v>
      </c>
      <c r="C199" s="20" t="s">
        <v>851</v>
      </c>
      <c r="D199" s="138">
        <v>3500000</v>
      </c>
      <c r="E199" s="20" t="s">
        <v>383</v>
      </c>
      <c r="F199" s="20" t="s">
        <v>384</v>
      </c>
      <c r="G199" s="8" t="str">
        <f t="shared" si="6"/>
        <v>GUNTHIER ERIC</v>
      </c>
      <c r="H199" s="20" t="str">
        <f t="shared" si="7"/>
        <v>4042</v>
      </c>
    </row>
    <row r="200" spans="1:8" x14ac:dyDescent="0.3">
      <c r="A200" s="8">
        <v>43046.791597222225</v>
      </c>
      <c r="B200" s="20" t="s">
        <v>363</v>
      </c>
      <c r="C200" s="20" t="s">
        <v>852</v>
      </c>
      <c r="D200" s="138">
        <v>3320000</v>
      </c>
      <c r="E200" s="20" t="s">
        <v>365</v>
      </c>
      <c r="F200" s="20" t="s">
        <v>366</v>
      </c>
      <c r="G200" s="8" t="str">
        <f t="shared" si="6"/>
        <v>NICHOLSON WESLEY</v>
      </c>
      <c r="H200" s="20" t="str">
        <f t="shared" si="7"/>
        <v>4007</v>
      </c>
    </row>
    <row r="201" spans="1:8" x14ac:dyDescent="0.3">
      <c r="A201" s="8">
        <v>43046.796180555553</v>
      </c>
      <c r="B201" s="20" t="s">
        <v>655</v>
      </c>
      <c r="C201" s="20" t="s">
        <v>853</v>
      </c>
      <c r="D201" s="138">
        <v>2970000</v>
      </c>
      <c r="E201" s="20" t="s">
        <v>381</v>
      </c>
      <c r="F201" s="20" t="s">
        <v>382</v>
      </c>
      <c r="G201" s="8" t="str">
        <f t="shared" si="6"/>
        <v>GUZMAN DANNY</v>
      </c>
      <c r="H201" s="20" t="str">
        <f t="shared" si="7"/>
        <v>4020</v>
      </c>
    </row>
    <row r="202" spans="1:8" x14ac:dyDescent="0.3">
      <c r="A202" s="26">
        <v>43046.797974537039</v>
      </c>
      <c r="B202" s="20" t="s">
        <v>485</v>
      </c>
      <c r="C202" s="20" t="s">
        <v>854</v>
      </c>
      <c r="D202" s="138">
        <v>2630000</v>
      </c>
      <c r="E202" s="20" t="s">
        <v>379</v>
      </c>
      <c r="F202" s="20" t="s">
        <v>380</v>
      </c>
      <c r="G202" s="8" t="str">
        <f t="shared" si="6"/>
        <v>SAFIEF AEIMEN</v>
      </c>
      <c r="H202" s="20" t="str">
        <f t="shared" si="7"/>
        <v>4058</v>
      </c>
    </row>
    <row r="203" spans="1:8" x14ac:dyDescent="0.3">
      <c r="A203" s="8">
        <v>43046.801932870374</v>
      </c>
      <c r="B203" s="20" t="s">
        <v>399</v>
      </c>
      <c r="C203" s="20" t="s">
        <v>855</v>
      </c>
      <c r="D203" s="138">
        <v>3310000</v>
      </c>
      <c r="E203" s="20" t="s">
        <v>845</v>
      </c>
      <c r="F203" s="20" t="s">
        <v>846</v>
      </c>
      <c r="G203" s="8" t="str">
        <f t="shared" si="6"/>
        <v>ANDERS STEVEN</v>
      </c>
      <c r="H203" s="20" t="str">
        <f t="shared" si="7"/>
        <v>4021</v>
      </c>
    </row>
    <row r="204" spans="1:8" x14ac:dyDescent="0.3">
      <c r="A204" s="8">
        <v>43046.808692129627</v>
      </c>
      <c r="B204" s="20" t="s">
        <v>476</v>
      </c>
      <c r="C204" s="20" t="s">
        <v>856</v>
      </c>
      <c r="D204" s="138">
        <v>890000</v>
      </c>
      <c r="E204" s="20" t="s">
        <v>345</v>
      </c>
      <c r="F204" s="20" t="s">
        <v>346</v>
      </c>
      <c r="G204" s="8" t="str">
        <f t="shared" si="6"/>
        <v>LOZA FIDEL</v>
      </c>
      <c r="H204" s="20" t="str">
        <f t="shared" si="7"/>
        <v>4064</v>
      </c>
    </row>
    <row r="205" spans="1:8" x14ac:dyDescent="0.3">
      <c r="A205" s="8">
        <v>43046.809189814812</v>
      </c>
      <c r="B205" s="20" t="s">
        <v>647</v>
      </c>
      <c r="C205" s="20" t="s">
        <v>857</v>
      </c>
      <c r="D205" s="138">
        <v>2970000</v>
      </c>
      <c r="E205" s="20" t="s">
        <v>381</v>
      </c>
      <c r="F205" s="20" t="s">
        <v>382</v>
      </c>
      <c r="G205" s="8" t="str">
        <f t="shared" si="6"/>
        <v>GUZMAN DANNY</v>
      </c>
      <c r="H205" s="20" t="str">
        <f t="shared" si="7"/>
        <v>4019</v>
      </c>
    </row>
    <row r="206" spans="1:8" x14ac:dyDescent="0.3">
      <c r="A206" s="8">
        <v>43046.818958333337</v>
      </c>
      <c r="B206" s="20" t="s">
        <v>645</v>
      </c>
      <c r="C206" s="20" t="s">
        <v>858</v>
      </c>
      <c r="D206" s="138">
        <v>2230000</v>
      </c>
      <c r="E206" s="20" t="s">
        <v>410</v>
      </c>
      <c r="F206" s="20" t="s">
        <v>354</v>
      </c>
      <c r="G206" s="8" t="str">
        <f t="shared" si="6"/>
        <v>SMITH MICHAEL</v>
      </c>
      <c r="H206" s="20" t="str">
        <f t="shared" si="7"/>
        <v>4040</v>
      </c>
    </row>
    <row r="207" spans="1:8" x14ac:dyDescent="0.3">
      <c r="A207" s="8">
        <v>43046.822048611109</v>
      </c>
      <c r="B207" s="20" t="s">
        <v>475</v>
      </c>
      <c r="C207" s="20" t="s">
        <v>859</v>
      </c>
      <c r="D207" s="138">
        <v>3500000</v>
      </c>
      <c r="E207" s="20" t="s">
        <v>383</v>
      </c>
      <c r="F207" s="20" t="s">
        <v>384</v>
      </c>
      <c r="G207" s="8" t="str">
        <f t="shared" si="6"/>
        <v>GUNTHIER ERIC</v>
      </c>
      <c r="H207" s="20" t="str">
        <f t="shared" si="7"/>
        <v>4041</v>
      </c>
    </row>
    <row r="208" spans="1:8" x14ac:dyDescent="0.3">
      <c r="A208" s="8">
        <v>43046.830590277779</v>
      </c>
      <c r="B208" s="20" t="s">
        <v>358</v>
      </c>
      <c r="C208" s="20" t="s">
        <v>860</v>
      </c>
      <c r="D208" s="138">
        <v>3320000</v>
      </c>
      <c r="E208" s="20" t="s">
        <v>365</v>
      </c>
      <c r="F208" s="20" t="s">
        <v>366</v>
      </c>
      <c r="G208" s="8" t="str">
        <f t="shared" si="6"/>
        <v>NICHOLSON WESLEY</v>
      </c>
      <c r="H208" s="20" t="str">
        <f t="shared" si="7"/>
        <v>4008</v>
      </c>
    </row>
    <row r="209" spans="1:8" x14ac:dyDescent="0.3">
      <c r="A209" s="8">
        <v>43046.837534722225</v>
      </c>
      <c r="B209" s="20" t="s">
        <v>655</v>
      </c>
      <c r="C209" s="20" t="s">
        <v>861</v>
      </c>
      <c r="D209" s="138">
        <v>3130000</v>
      </c>
      <c r="E209" s="20" t="s">
        <v>862</v>
      </c>
      <c r="F209" s="20" t="s">
        <v>863</v>
      </c>
      <c r="G209" s="8" t="str">
        <f t="shared" si="6"/>
        <v>ZEWDU DEREJE</v>
      </c>
      <c r="H209" s="20" t="str">
        <f t="shared" si="7"/>
        <v>4020</v>
      </c>
    </row>
    <row r="210" spans="1:8" x14ac:dyDescent="0.3">
      <c r="A210" s="8">
        <v>43046.841967592591</v>
      </c>
      <c r="B210" s="20" t="s">
        <v>395</v>
      </c>
      <c r="C210" s="20" t="s">
        <v>864</v>
      </c>
      <c r="D210" s="138">
        <v>3700000</v>
      </c>
      <c r="E210" s="20" t="s">
        <v>572</v>
      </c>
      <c r="F210" s="20" t="s">
        <v>376</v>
      </c>
      <c r="G210" s="8" t="str">
        <f t="shared" si="6"/>
        <v>AUSTIN THOMPSON</v>
      </c>
      <c r="H210" s="20" t="str">
        <f t="shared" si="7"/>
        <v>4022</v>
      </c>
    </row>
    <row r="211" spans="1:8" x14ac:dyDescent="0.3">
      <c r="A211" s="8">
        <v>43046.847337962965</v>
      </c>
      <c r="B211" s="20" t="s">
        <v>670</v>
      </c>
      <c r="C211" s="20" t="s">
        <v>865</v>
      </c>
      <c r="D211" s="138">
        <v>890000</v>
      </c>
      <c r="E211" s="20" t="s">
        <v>345</v>
      </c>
      <c r="F211" s="20" t="s">
        <v>346</v>
      </c>
      <c r="G211" s="8" t="str">
        <f t="shared" si="6"/>
        <v>LOZA FIDEL</v>
      </c>
      <c r="H211" s="20" t="str">
        <f t="shared" si="7"/>
        <v>4063</v>
      </c>
    </row>
    <row r="212" spans="1:8" x14ac:dyDescent="0.3">
      <c r="A212" s="8">
        <v>43046.851817129631</v>
      </c>
      <c r="B212" s="20" t="s">
        <v>647</v>
      </c>
      <c r="C212" s="20" t="s">
        <v>866</v>
      </c>
      <c r="D212" s="138">
        <v>3130000</v>
      </c>
      <c r="E212" s="20" t="s">
        <v>862</v>
      </c>
      <c r="F212" s="20" t="s">
        <v>863</v>
      </c>
      <c r="G212" s="8" t="str">
        <f t="shared" si="6"/>
        <v>ZEWDU DEREJE</v>
      </c>
      <c r="H212" s="20" t="str">
        <f t="shared" si="7"/>
        <v>4019</v>
      </c>
    </row>
    <row r="213" spans="1:8" x14ac:dyDescent="0.3">
      <c r="A213" s="8">
        <v>43046.864432870374</v>
      </c>
      <c r="B213" s="20" t="s">
        <v>674</v>
      </c>
      <c r="C213" s="20" t="s">
        <v>867</v>
      </c>
      <c r="D213" s="138">
        <v>3500000</v>
      </c>
      <c r="E213" s="20" t="s">
        <v>383</v>
      </c>
      <c r="F213" s="20" t="s">
        <v>384</v>
      </c>
      <c r="G213" s="8" t="str">
        <f t="shared" si="6"/>
        <v>GUNTHIER ERIC</v>
      </c>
      <c r="H213" s="20" t="str">
        <f t="shared" si="7"/>
        <v>4042</v>
      </c>
    </row>
    <row r="214" spans="1:8" x14ac:dyDescent="0.3">
      <c r="A214" s="8">
        <v>43046.865972222222</v>
      </c>
      <c r="B214" s="20" t="s">
        <v>363</v>
      </c>
      <c r="C214" s="20" t="s">
        <v>868</v>
      </c>
      <c r="D214" s="138">
        <v>3320000</v>
      </c>
      <c r="E214" s="20" t="s">
        <v>365</v>
      </c>
      <c r="F214" s="20" t="s">
        <v>366</v>
      </c>
      <c r="G214" s="8" t="str">
        <f t="shared" si="6"/>
        <v>NICHOLSON WESLEY</v>
      </c>
      <c r="H214" s="20" t="str">
        <f t="shared" si="7"/>
        <v>4007</v>
      </c>
    </row>
    <row r="215" spans="1:8" x14ac:dyDescent="0.3">
      <c r="A215" s="8">
        <v>43046.878761574073</v>
      </c>
      <c r="B215" s="20" t="s">
        <v>655</v>
      </c>
      <c r="C215" s="20" t="s">
        <v>666</v>
      </c>
      <c r="D215" s="138">
        <v>2000000</v>
      </c>
      <c r="E215" s="20" t="s">
        <v>411</v>
      </c>
      <c r="F215" s="20" t="s">
        <v>412</v>
      </c>
      <c r="G215" s="8" t="str">
        <f t="shared" si="6"/>
        <v>STAMBAUGH JAMES</v>
      </c>
      <c r="H215" s="20" t="str">
        <f t="shared" si="7"/>
        <v>4020</v>
      </c>
    </row>
    <row r="216" spans="1:8" x14ac:dyDescent="0.3">
      <c r="A216" s="8">
        <v>43046.883460648147</v>
      </c>
      <c r="B216" s="20" t="s">
        <v>476</v>
      </c>
      <c r="C216" s="20" t="s">
        <v>869</v>
      </c>
      <c r="D216" s="138">
        <v>890000</v>
      </c>
      <c r="E216" s="20" t="s">
        <v>345</v>
      </c>
      <c r="F216" s="20" t="s">
        <v>346</v>
      </c>
      <c r="G216" s="8" t="str">
        <f t="shared" si="6"/>
        <v>LOZA FIDEL</v>
      </c>
      <c r="H216" s="20" t="str">
        <f t="shared" si="7"/>
        <v>4064</v>
      </c>
    </row>
    <row r="217" spans="1:8" x14ac:dyDescent="0.3">
      <c r="A217" s="8">
        <v>43046.892106481479</v>
      </c>
      <c r="B217" s="20" t="s">
        <v>647</v>
      </c>
      <c r="C217" s="20" t="s">
        <v>667</v>
      </c>
      <c r="D217" s="138">
        <v>2000000</v>
      </c>
      <c r="E217" s="20" t="s">
        <v>411</v>
      </c>
      <c r="F217" s="20" t="s">
        <v>412</v>
      </c>
      <c r="G217" s="8" t="str">
        <f t="shared" si="6"/>
        <v>STAMBAUGH JAMES</v>
      </c>
      <c r="H217" s="20" t="str">
        <f t="shared" si="7"/>
        <v>4019</v>
      </c>
    </row>
    <row r="218" spans="1:8" x14ac:dyDescent="0.3">
      <c r="A218" s="8">
        <v>43046.892453703702</v>
      </c>
      <c r="B218" s="20" t="s">
        <v>399</v>
      </c>
      <c r="C218" s="20" t="s">
        <v>870</v>
      </c>
      <c r="D218" s="138">
        <v>3310000</v>
      </c>
      <c r="E218" s="20" t="s">
        <v>845</v>
      </c>
      <c r="F218" s="20" t="s">
        <v>846</v>
      </c>
      <c r="G218" s="8" t="str">
        <f t="shared" si="6"/>
        <v>ANDERS STEVEN</v>
      </c>
      <c r="H218" s="20" t="str">
        <f t="shared" si="7"/>
        <v>4021</v>
      </c>
    </row>
    <row r="219" spans="1:8" x14ac:dyDescent="0.3">
      <c r="A219" s="8">
        <v>43046.903761574074</v>
      </c>
      <c r="B219" s="20" t="s">
        <v>358</v>
      </c>
      <c r="C219" s="20" t="s">
        <v>871</v>
      </c>
      <c r="D219" s="138">
        <v>3320000</v>
      </c>
      <c r="E219" s="20" t="s">
        <v>365</v>
      </c>
      <c r="F219" s="20" t="s">
        <v>366</v>
      </c>
      <c r="G219" s="8" t="str">
        <f t="shared" si="6"/>
        <v>NICHOLSON WESLEY</v>
      </c>
      <c r="H219" s="20" t="str">
        <f t="shared" si="7"/>
        <v>4008</v>
      </c>
    </row>
    <row r="220" spans="1:8" x14ac:dyDescent="0.3">
      <c r="A220" s="8">
        <v>43046.908020833333</v>
      </c>
      <c r="B220" s="20" t="s">
        <v>475</v>
      </c>
      <c r="C220" s="20" t="s">
        <v>872</v>
      </c>
      <c r="D220" s="138">
        <v>3500000</v>
      </c>
      <c r="E220" s="20" t="s">
        <v>383</v>
      </c>
      <c r="F220" s="20" t="s">
        <v>384</v>
      </c>
      <c r="G220" s="8" t="str">
        <f t="shared" si="6"/>
        <v>GUNTHIER ERIC</v>
      </c>
      <c r="H220" s="20" t="str">
        <f t="shared" si="7"/>
        <v>4041</v>
      </c>
    </row>
    <row r="221" spans="1:8" x14ac:dyDescent="0.3">
      <c r="A221" s="8">
        <v>43046.919918981483</v>
      </c>
      <c r="B221" s="20" t="s">
        <v>655</v>
      </c>
      <c r="C221" s="20" t="s">
        <v>668</v>
      </c>
      <c r="D221" s="138">
        <v>2000000</v>
      </c>
      <c r="E221" s="20" t="s">
        <v>411</v>
      </c>
      <c r="F221" s="20" t="s">
        <v>412</v>
      </c>
      <c r="G221" s="8" t="str">
        <f t="shared" si="6"/>
        <v>STAMBAUGH JAMES</v>
      </c>
      <c r="H221" s="20" t="str">
        <f t="shared" si="7"/>
        <v>4020</v>
      </c>
    </row>
    <row r="222" spans="1:8" x14ac:dyDescent="0.3">
      <c r="A222" s="8">
        <v>43046.929907407408</v>
      </c>
      <c r="B222" s="20" t="s">
        <v>670</v>
      </c>
      <c r="C222" s="20" t="s">
        <v>873</v>
      </c>
      <c r="D222" s="138">
        <v>890000</v>
      </c>
      <c r="E222" s="20" t="s">
        <v>345</v>
      </c>
      <c r="F222" s="20" t="s">
        <v>346</v>
      </c>
      <c r="G222" s="8" t="str">
        <f t="shared" si="6"/>
        <v>LOZA FIDEL</v>
      </c>
      <c r="H222" s="20" t="str">
        <f t="shared" si="7"/>
        <v>4063</v>
      </c>
    </row>
    <row r="223" spans="1:8" x14ac:dyDescent="0.3">
      <c r="A223" s="8">
        <v>43046.933877314812</v>
      </c>
      <c r="B223" s="20" t="s">
        <v>647</v>
      </c>
      <c r="C223" s="20" t="s">
        <v>874</v>
      </c>
      <c r="D223" s="138">
        <v>2000000</v>
      </c>
      <c r="E223" s="20" t="s">
        <v>411</v>
      </c>
      <c r="F223" s="20" t="s">
        <v>412</v>
      </c>
      <c r="G223" s="8" t="str">
        <f t="shared" si="6"/>
        <v>STAMBAUGH JAMES</v>
      </c>
      <c r="H223" s="20" t="str">
        <f t="shared" si="7"/>
        <v>4019</v>
      </c>
    </row>
    <row r="224" spans="1:8" x14ac:dyDescent="0.3">
      <c r="A224" s="8">
        <v>43046.935208333336</v>
      </c>
      <c r="B224" t="s">
        <v>395</v>
      </c>
      <c r="C224" t="s">
        <v>875</v>
      </c>
      <c r="D224" s="138">
        <v>3700000</v>
      </c>
      <c r="E224" t="s">
        <v>572</v>
      </c>
      <c r="F224" s="20" t="s">
        <v>376</v>
      </c>
      <c r="G224" s="8" t="str">
        <f t="shared" si="6"/>
        <v>AUSTIN THOMPSON</v>
      </c>
      <c r="H224" s="20" t="str">
        <f t="shared" si="7"/>
        <v>4022</v>
      </c>
    </row>
    <row r="225" spans="1:8" x14ac:dyDescent="0.3">
      <c r="A225" s="8">
        <v>43046.947928240741</v>
      </c>
      <c r="B225" t="s">
        <v>674</v>
      </c>
      <c r="C225" t="s">
        <v>876</v>
      </c>
      <c r="D225" s="138">
        <v>3500000</v>
      </c>
      <c r="E225" t="s">
        <v>383</v>
      </c>
      <c r="F225" s="20" t="s">
        <v>384</v>
      </c>
      <c r="G225" s="8" t="str">
        <f t="shared" si="6"/>
        <v>GUNTHIER ERIC</v>
      </c>
      <c r="H225" s="20" t="str">
        <f t="shared" si="7"/>
        <v>4042</v>
      </c>
    </row>
    <row r="226" spans="1:8" x14ac:dyDescent="0.3">
      <c r="A226" s="8">
        <v>43046.949803240743</v>
      </c>
      <c r="B226" t="s">
        <v>363</v>
      </c>
      <c r="C226" t="s">
        <v>877</v>
      </c>
      <c r="D226" s="138">
        <v>3320000</v>
      </c>
      <c r="E226" t="s">
        <v>365</v>
      </c>
      <c r="F226" s="20" t="s">
        <v>366</v>
      </c>
      <c r="G226" s="8" t="str">
        <f t="shared" si="6"/>
        <v>NICHOLSON WESLEY</v>
      </c>
      <c r="H226" s="20" t="str">
        <f t="shared" si="7"/>
        <v>4007</v>
      </c>
    </row>
    <row r="227" spans="1:8" x14ac:dyDescent="0.3">
      <c r="A227" s="8">
        <v>43046.959236111114</v>
      </c>
      <c r="B227" t="s">
        <v>655</v>
      </c>
      <c r="C227" t="s">
        <v>878</v>
      </c>
      <c r="D227" s="138">
        <v>3130000</v>
      </c>
      <c r="E227" t="s">
        <v>862</v>
      </c>
      <c r="F227" s="20" t="s">
        <v>863</v>
      </c>
      <c r="G227" s="8" t="str">
        <f t="shared" si="6"/>
        <v>ZEWDU DEREJE</v>
      </c>
      <c r="H227" s="20" t="str">
        <f t="shared" si="7"/>
        <v>4020</v>
      </c>
    </row>
    <row r="228" spans="1:8" x14ac:dyDescent="0.3">
      <c r="A228" s="8">
        <v>43046.966134259259</v>
      </c>
      <c r="B228" t="s">
        <v>655</v>
      </c>
      <c r="C228" t="s">
        <v>878</v>
      </c>
      <c r="D228" s="138">
        <v>3130000</v>
      </c>
      <c r="E228" t="s">
        <v>862</v>
      </c>
      <c r="F228" s="20" t="s">
        <v>863</v>
      </c>
      <c r="G228" s="8" t="str">
        <f t="shared" si="6"/>
        <v>ZEWDU DEREJE</v>
      </c>
      <c r="H228" s="20" t="str">
        <f t="shared" si="7"/>
        <v>4020</v>
      </c>
    </row>
    <row r="229" spans="1:8" x14ac:dyDescent="0.3">
      <c r="A229" s="8">
        <v>43046.973275462966</v>
      </c>
      <c r="B229" t="s">
        <v>476</v>
      </c>
      <c r="C229" t="s">
        <v>879</v>
      </c>
      <c r="D229" s="138">
        <v>890000</v>
      </c>
      <c r="E229" t="s">
        <v>345</v>
      </c>
      <c r="F229" s="20" t="s">
        <v>346</v>
      </c>
      <c r="G229" s="8" t="str">
        <f t="shared" si="6"/>
        <v>LOZA FIDEL</v>
      </c>
      <c r="H229" s="20" t="str">
        <f t="shared" si="7"/>
        <v>4064</v>
      </c>
    </row>
    <row r="230" spans="1:8" x14ac:dyDescent="0.3">
      <c r="A230" s="8">
        <v>43046.974224537036</v>
      </c>
      <c r="B230" t="s">
        <v>399</v>
      </c>
      <c r="C230" t="s">
        <v>669</v>
      </c>
      <c r="D230" s="138">
        <v>3310000</v>
      </c>
      <c r="E230" t="s">
        <v>845</v>
      </c>
      <c r="F230" s="20" t="s">
        <v>846</v>
      </c>
      <c r="G230" s="8" t="str">
        <f t="shared" si="6"/>
        <v>ANDERS STEVEN</v>
      </c>
      <c r="H230" s="20" t="str">
        <f t="shared" si="7"/>
        <v>4021</v>
      </c>
    </row>
    <row r="231" spans="1:8" x14ac:dyDescent="0.3">
      <c r="A231" s="8">
        <v>43046.975914351853</v>
      </c>
      <c r="B231" t="s">
        <v>399</v>
      </c>
      <c r="C231" t="s">
        <v>669</v>
      </c>
      <c r="D231" s="138">
        <v>3310000</v>
      </c>
      <c r="E231" t="s">
        <v>845</v>
      </c>
      <c r="F231" s="20" t="s">
        <v>846</v>
      </c>
      <c r="G231" s="8" t="str">
        <f t="shared" si="6"/>
        <v>ANDERS STEVEN</v>
      </c>
      <c r="H231" s="20" t="str">
        <f t="shared" si="7"/>
        <v>4021</v>
      </c>
    </row>
    <row r="232" spans="1:8" x14ac:dyDescent="0.3">
      <c r="A232" s="8">
        <v>43046.978379629632</v>
      </c>
      <c r="B232" t="s">
        <v>647</v>
      </c>
      <c r="C232" t="s">
        <v>880</v>
      </c>
      <c r="D232" s="138">
        <v>3130000</v>
      </c>
      <c r="E232" t="s">
        <v>862</v>
      </c>
      <c r="F232" s="20" t="s">
        <v>863</v>
      </c>
      <c r="G232" s="8" t="str">
        <f t="shared" si="6"/>
        <v>ZEWDU DEREJE</v>
      </c>
      <c r="H232" s="20" t="str">
        <f t="shared" si="7"/>
        <v>4019</v>
      </c>
    </row>
    <row r="233" spans="1:8" x14ac:dyDescent="0.3">
      <c r="A233" s="8">
        <v>43046.98978009259</v>
      </c>
      <c r="B233" t="s">
        <v>475</v>
      </c>
      <c r="C233" t="s">
        <v>881</v>
      </c>
      <c r="D233" s="138">
        <v>3500000</v>
      </c>
      <c r="E233" t="s">
        <v>383</v>
      </c>
      <c r="F233" s="20" t="s">
        <v>384</v>
      </c>
      <c r="G233" s="8" t="str">
        <f t="shared" si="6"/>
        <v>GUNTHIER ERIC</v>
      </c>
      <c r="H233" s="20" t="str">
        <f t="shared" si="7"/>
        <v>4041</v>
      </c>
    </row>
    <row r="234" spans="1:8" x14ac:dyDescent="0.3">
      <c r="A234" s="8">
        <v>43046.992094907408</v>
      </c>
      <c r="B234" t="s">
        <v>358</v>
      </c>
      <c r="C234" t="s">
        <v>882</v>
      </c>
      <c r="D234" s="138">
        <v>3320000</v>
      </c>
      <c r="E234" t="s">
        <v>365</v>
      </c>
      <c r="F234" s="20" t="s">
        <v>366</v>
      </c>
      <c r="G234" s="8" t="str">
        <f t="shared" si="6"/>
        <v>NICHOLSON WESLEY</v>
      </c>
      <c r="H234" s="20" t="str">
        <f t="shared" si="7"/>
        <v>4008</v>
      </c>
    </row>
    <row r="235" spans="1:8" x14ac:dyDescent="0.3">
      <c r="A235" s="8">
        <v>43047.011574074073</v>
      </c>
      <c r="B235" t="s">
        <v>395</v>
      </c>
      <c r="C235" t="s">
        <v>883</v>
      </c>
      <c r="D235" s="138">
        <v>3700000</v>
      </c>
      <c r="E235" t="s">
        <v>572</v>
      </c>
      <c r="F235" s="20" t="s">
        <v>376</v>
      </c>
      <c r="G235" s="8" t="str">
        <f t="shared" si="6"/>
        <v>AUSTIN THOMPSON</v>
      </c>
      <c r="H235" s="20" t="str">
        <f t="shared" si="7"/>
        <v>4022</v>
      </c>
    </row>
    <row r="236" spans="1:8" x14ac:dyDescent="0.3">
      <c r="A236" s="8">
        <v>43047.016226851854</v>
      </c>
      <c r="B236" t="s">
        <v>670</v>
      </c>
      <c r="C236" t="s">
        <v>671</v>
      </c>
      <c r="D236" s="138">
        <v>890000</v>
      </c>
      <c r="E236" t="s">
        <v>345</v>
      </c>
      <c r="F236" s="20" t="s">
        <v>346</v>
      </c>
      <c r="G236" s="8" t="str">
        <f t="shared" si="6"/>
        <v>LOZA FIDEL</v>
      </c>
      <c r="H236" s="20" t="str">
        <f t="shared" si="7"/>
        <v>4063</v>
      </c>
    </row>
    <row r="237" spans="1:8" x14ac:dyDescent="0.3">
      <c r="A237" s="8">
        <v>43047.027766203704</v>
      </c>
      <c r="B237" t="s">
        <v>674</v>
      </c>
      <c r="C237" t="s">
        <v>884</v>
      </c>
      <c r="D237" s="138">
        <v>3500000</v>
      </c>
      <c r="E237" t="s">
        <v>383</v>
      </c>
      <c r="F237" s="20" t="s">
        <v>384</v>
      </c>
      <c r="G237" s="8" t="str">
        <f t="shared" si="6"/>
        <v>GUNTHIER ERIC</v>
      </c>
      <c r="H237" s="20" t="str">
        <f t="shared" si="7"/>
        <v>4042</v>
      </c>
    </row>
    <row r="238" spans="1:8" x14ac:dyDescent="0.3">
      <c r="A238" s="8">
        <v>43047.035185185188</v>
      </c>
      <c r="B238" t="s">
        <v>363</v>
      </c>
      <c r="C238" t="s">
        <v>672</v>
      </c>
      <c r="D238" s="138">
        <v>3320000</v>
      </c>
      <c r="E238" t="s">
        <v>365</v>
      </c>
      <c r="F238" s="20" t="s">
        <v>366</v>
      </c>
      <c r="G238" s="8" t="str">
        <f t="shared" si="6"/>
        <v>NICHOLSON WESLEY</v>
      </c>
      <c r="H238" s="20" t="str">
        <f t="shared" si="7"/>
        <v>4007</v>
      </c>
    </row>
    <row r="239" spans="1:8" x14ac:dyDescent="0.3">
      <c r="A239" s="8">
        <v>43047.049004629633</v>
      </c>
      <c r="B239" t="s">
        <v>476</v>
      </c>
      <c r="C239" t="s">
        <v>885</v>
      </c>
      <c r="D239" s="138">
        <v>890000</v>
      </c>
      <c r="E239" t="s">
        <v>345</v>
      </c>
      <c r="F239" s="20" t="s">
        <v>346</v>
      </c>
      <c r="G239" s="8" t="str">
        <f t="shared" si="6"/>
        <v>LOZA FIDEL</v>
      </c>
      <c r="H239" s="20" t="str">
        <f t="shared" si="7"/>
        <v>4064</v>
      </c>
    </row>
    <row r="240" spans="1:8" x14ac:dyDescent="0.3">
      <c r="A240" s="8">
        <v>43047.071030092593</v>
      </c>
      <c r="B240" t="s">
        <v>358</v>
      </c>
      <c r="C240" t="s">
        <v>886</v>
      </c>
      <c r="D240" s="138">
        <v>3320000</v>
      </c>
      <c r="E240" t="s">
        <v>365</v>
      </c>
      <c r="F240" s="20" t="s">
        <v>366</v>
      </c>
      <c r="G240" s="8" t="str">
        <f t="shared" si="6"/>
        <v>NICHOLSON WESLEY</v>
      </c>
      <c r="H240" s="20" t="str">
        <f t="shared" si="7"/>
        <v>4008</v>
      </c>
    </row>
    <row r="241" spans="1:8" x14ac:dyDescent="0.3">
      <c r="A241" s="8">
        <v>43046.038437499999</v>
      </c>
      <c r="B241" t="s">
        <v>519</v>
      </c>
      <c r="C241" t="s">
        <v>573</v>
      </c>
      <c r="D241" s="138">
        <v>3220000</v>
      </c>
      <c r="E241" t="s">
        <v>385</v>
      </c>
      <c r="F241" s="20" t="s">
        <v>386</v>
      </c>
      <c r="G241" s="8" t="str">
        <f t="shared" si="6"/>
        <v>RESPASS AARON</v>
      </c>
      <c r="H241" s="20" t="str">
        <f t="shared" si="7"/>
        <v>4009</v>
      </c>
    </row>
    <row r="242" spans="1:8" x14ac:dyDescent="0.3">
      <c r="A242" s="8">
        <v>43046.048495370371</v>
      </c>
      <c r="B242" t="s">
        <v>477</v>
      </c>
      <c r="C242" t="s">
        <v>574</v>
      </c>
      <c r="D242" s="138">
        <v>890000</v>
      </c>
      <c r="E242" t="s">
        <v>345</v>
      </c>
      <c r="F242" s="20" t="s">
        <v>346</v>
      </c>
      <c r="G242" s="8" t="str">
        <f t="shared" si="6"/>
        <v>LOZA FIDEL</v>
      </c>
      <c r="H242" s="20" t="str">
        <f t="shared" si="7"/>
        <v>4032</v>
      </c>
    </row>
    <row r="243" spans="1:8" x14ac:dyDescent="0.3">
      <c r="A243" s="8">
        <v>43046.057152777779</v>
      </c>
      <c r="B243" t="s">
        <v>563</v>
      </c>
      <c r="C243" t="s">
        <v>575</v>
      </c>
      <c r="D243" s="138">
        <v>3040000</v>
      </c>
      <c r="E243" t="s">
        <v>371</v>
      </c>
      <c r="F243" s="20" t="s">
        <v>488</v>
      </c>
      <c r="G243" s="8" t="str">
        <f t="shared" si="6"/>
        <v>WILLIAMS DONTE</v>
      </c>
      <c r="H243" s="20" t="str">
        <f t="shared" si="7"/>
        <v>4049</v>
      </c>
    </row>
    <row r="244" spans="1:8" x14ac:dyDescent="0.3">
      <c r="A244" s="8">
        <v>43046.071620370371</v>
      </c>
      <c r="B244" t="s">
        <v>522</v>
      </c>
      <c r="C244" t="s">
        <v>576</v>
      </c>
      <c r="D244" s="138">
        <v>3220000</v>
      </c>
      <c r="E244" t="s">
        <v>385</v>
      </c>
      <c r="F244" s="20" t="s">
        <v>386</v>
      </c>
      <c r="G244" s="8" t="str">
        <f t="shared" si="6"/>
        <v>RESPASS AARON</v>
      </c>
      <c r="H244" s="20" t="str">
        <f t="shared" si="7"/>
        <v>4010</v>
      </c>
    </row>
    <row r="245" spans="1:8" x14ac:dyDescent="0.3">
      <c r="A245" s="8">
        <v>43046.091249999998</v>
      </c>
      <c r="B245" t="s">
        <v>564</v>
      </c>
      <c r="C245" t="s">
        <v>577</v>
      </c>
      <c r="D245" s="138">
        <v>3040000</v>
      </c>
      <c r="E245" t="s">
        <v>371</v>
      </c>
      <c r="F245" s="20" t="s">
        <v>488</v>
      </c>
      <c r="G245" s="8" t="str">
        <f t="shared" si="6"/>
        <v>WILLIAMS DONTE</v>
      </c>
      <c r="H245" s="20" t="str">
        <f t="shared" si="7"/>
        <v>4050</v>
      </c>
    </row>
    <row r="246" spans="1:8" x14ac:dyDescent="0.3">
      <c r="A246" s="8">
        <v>43046.114247685182</v>
      </c>
      <c r="B246" t="s">
        <v>399</v>
      </c>
      <c r="C246" t="s">
        <v>578</v>
      </c>
      <c r="D246" s="138">
        <v>1830000</v>
      </c>
      <c r="E246" t="s">
        <v>348</v>
      </c>
      <c r="F246" s="20" t="s">
        <v>349</v>
      </c>
      <c r="G246" s="8" t="str">
        <f t="shared" si="6"/>
        <v>YORK EDGAR</v>
      </c>
      <c r="H246" s="20" t="str">
        <f t="shared" si="7"/>
        <v>4021</v>
      </c>
    </row>
    <row r="247" spans="1:8" x14ac:dyDescent="0.3">
      <c r="A247" s="8">
        <v>43042.068599537037</v>
      </c>
      <c r="B247" t="s">
        <v>368</v>
      </c>
      <c r="C247" t="s">
        <v>491</v>
      </c>
      <c r="D247" s="138">
        <v>3340000</v>
      </c>
      <c r="E247" t="s">
        <v>489</v>
      </c>
      <c r="F247" s="20" t="s">
        <v>490</v>
      </c>
      <c r="G247" s="8" t="str">
        <f t="shared" si="6"/>
        <v>ELBAUM MIKE</v>
      </c>
      <c r="H247" s="20" t="str">
        <f t="shared" si="7"/>
        <v>4036</v>
      </c>
    </row>
    <row r="248" spans="1:8" x14ac:dyDescent="0.3">
      <c r="A248" s="8">
        <v>43042.069988425923</v>
      </c>
      <c r="B248" t="s">
        <v>368</v>
      </c>
      <c r="C248" t="s">
        <v>491</v>
      </c>
      <c r="D248" s="138">
        <v>3340000</v>
      </c>
      <c r="E248" t="s">
        <v>489</v>
      </c>
      <c r="F248" s="20" t="s">
        <v>490</v>
      </c>
      <c r="G248" s="8" t="str">
        <f t="shared" si="6"/>
        <v>ELBAUM MIKE</v>
      </c>
      <c r="H248" s="20" t="str">
        <f t="shared" si="7"/>
        <v>4036</v>
      </c>
    </row>
    <row r="249" spans="1:8" x14ac:dyDescent="0.3">
      <c r="A249" s="8">
        <v>43042.092581018522</v>
      </c>
      <c r="B249" t="s">
        <v>477</v>
      </c>
      <c r="C249" t="s">
        <v>492</v>
      </c>
      <c r="D249" s="138">
        <v>3320000</v>
      </c>
      <c r="E249" t="s">
        <v>365</v>
      </c>
      <c r="F249" s="20" t="s">
        <v>366</v>
      </c>
      <c r="G249" s="8" t="str">
        <f t="shared" si="6"/>
        <v>NICHOLSON WESLEY</v>
      </c>
      <c r="H249" s="20" t="str">
        <f t="shared" si="7"/>
        <v>4032</v>
      </c>
    </row>
    <row r="250" spans="1:8" x14ac:dyDescent="0.3">
      <c r="A250" s="8">
        <v>43042.111006944448</v>
      </c>
      <c r="B250" t="s">
        <v>475</v>
      </c>
      <c r="C250" t="s">
        <v>493</v>
      </c>
      <c r="D250" s="138">
        <v>1090000</v>
      </c>
      <c r="E250" t="s">
        <v>389</v>
      </c>
      <c r="F250" s="20" t="s">
        <v>354</v>
      </c>
      <c r="G250" s="8" t="str">
        <f t="shared" si="6"/>
        <v>SPECTOR MICHAEL</v>
      </c>
      <c r="H250" s="20" t="str">
        <f t="shared" si="7"/>
        <v>4041</v>
      </c>
    </row>
    <row r="251" spans="1:8" x14ac:dyDescent="0.3">
      <c r="A251" s="8">
        <v>43042.114571759259</v>
      </c>
      <c r="B251" t="s">
        <v>353</v>
      </c>
      <c r="C251" t="s">
        <v>494</v>
      </c>
      <c r="D251" s="138">
        <v>1830000</v>
      </c>
      <c r="E251" t="s">
        <v>348</v>
      </c>
      <c r="F251" s="20" t="s">
        <v>349</v>
      </c>
      <c r="G251" s="8" t="str">
        <f t="shared" si="6"/>
        <v>YORK EDGAR</v>
      </c>
      <c r="H251" s="20" t="str">
        <f t="shared" si="7"/>
        <v>4055</v>
      </c>
    </row>
    <row r="252" spans="1:8" x14ac:dyDescent="0.3">
      <c r="A252" s="8">
        <v>43039.733553240738</v>
      </c>
      <c r="B252" t="s">
        <v>362</v>
      </c>
      <c r="C252" t="s">
        <v>413</v>
      </c>
      <c r="D252" s="138">
        <v>2000000</v>
      </c>
      <c r="E252" t="s">
        <v>411</v>
      </c>
      <c r="F252" s="20" t="s">
        <v>412</v>
      </c>
      <c r="G252" s="8" t="str">
        <f t="shared" si="6"/>
        <v>STAMBAUGH JAMES</v>
      </c>
      <c r="H252" s="20" t="str">
        <f t="shared" si="7"/>
        <v>4018</v>
      </c>
    </row>
    <row r="253" spans="1:8" x14ac:dyDescent="0.3">
      <c r="A253" s="8">
        <v>43039.734456018516</v>
      </c>
      <c r="B253" t="s">
        <v>369</v>
      </c>
      <c r="C253" t="s">
        <v>400</v>
      </c>
      <c r="D253" s="138">
        <v>880000</v>
      </c>
      <c r="E253" t="s">
        <v>390</v>
      </c>
      <c r="F253" s="20" t="s">
        <v>354</v>
      </c>
      <c r="G253" s="8" t="str">
        <f t="shared" si="6"/>
        <v>STEWART MICHAEL</v>
      </c>
      <c r="H253" s="20" t="str">
        <f t="shared" si="7"/>
        <v>4035</v>
      </c>
    </row>
    <row r="254" spans="1:8" x14ac:dyDescent="0.3">
      <c r="A254" s="8">
        <v>43039.735381944447</v>
      </c>
      <c r="B254" t="s">
        <v>407</v>
      </c>
      <c r="C254" t="s">
        <v>414</v>
      </c>
      <c r="D254" s="138">
        <v>3670000</v>
      </c>
      <c r="E254" t="s">
        <v>393</v>
      </c>
      <c r="F254" s="20" t="s">
        <v>371</v>
      </c>
      <c r="G254" s="8" t="str">
        <f t="shared" si="6"/>
        <v>ANDREA WILLIAMS</v>
      </c>
      <c r="H254" s="20" t="str">
        <f t="shared" si="7"/>
        <v>4030</v>
      </c>
    </row>
    <row r="255" spans="1:8" x14ac:dyDescent="0.3">
      <c r="A255" s="8">
        <v>43039.736122685186</v>
      </c>
      <c r="B255" t="s">
        <v>370</v>
      </c>
      <c r="C255" t="s">
        <v>415</v>
      </c>
      <c r="D255" s="138">
        <v>3220000</v>
      </c>
      <c r="E255" t="s">
        <v>385</v>
      </c>
      <c r="F255" s="20" t="s">
        <v>386</v>
      </c>
      <c r="G255" s="8" t="str">
        <f t="shared" si="6"/>
        <v>RESPASS AARON</v>
      </c>
      <c r="H255" s="20" t="str">
        <f t="shared" si="7"/>
        <v>4053</v>
      </c>
    </row>
    <row r="256" spans="1:8" x14ac:dyDescent="0.3">
      <c r="A256" s="8">
        <v>43039.737118055556</v>
      </c>
      <c r="B256" t="s">
        <v>399</v>
      </c>
      <c r="C256" t="s">
        <v>401</v>
      </c>
      <c r="D256" s="138">
        <v>1300000</v>
      </c>
      <c r="E256" t="s">
        <v>360</v>
      </c>
      <c r="F256" s="20" t="s">
        <v>361</v>
      </c>
      <c r="G256" s="8" t="str">
        <f t="shared" si="6"/>
        <v>LEVIN SCOTT</v>
      </c>
      <c r="H256" s="20" t="str">
        <f t="shared" si="7"/>
        <v>4021</v>
      </c>
    </row>
    <row r="257" spans="1:8" x14ac:dyDescent="0.3">
      <c r="A257" s="8">
        <v>43039.745717592596</v>
      </c>
      <c r="B257" t="s">
        <v>359</v>
      </c>
      <c r="C257" t="s">
        <v>416</v>
      </c>
      <c r="D257" s="138">
        <v>2230000</v>
      </c>
      <c r="E257" t="s">
        <v>410</v>
      </c>
      <c r="F257" s="20" t="s">
        <v>354</v>
      </c>
      <c r="G257" s="8" t="str">
        <f t="shared" si="6"/>
        <v>SMITH MICHAEL</v>
      </c>
      <c r="H257" s="20" t="str">
        <f t="shared" si="7"/>
        <v>4060</v>
      </c>
    </row>
    <row r="258" spans="1:8" x14ac:dyDescent="0.3">
      <c r="A258" s="8">
        <v>43039.747546296298</v>
      </c>
      <c r="B258" t="s">
        <v>364</v>
      </c>
      <c r="C258" t="s">
        <v>417</v>
      </c>
      <c r="D258" s="138">
        <v>2000000</v>
      </c>
      <c r="E258" t="s">
        <v>411</v>
      </c>
      <c r="F258" s="20" t="s">
        <v>412</v>
      </c>
      <c r="G258" s="8" t="str">
        <f t="shared" si="6"/>
        <v>STAMBAUGH JAMES</v>
      </c>
      <c r="H258" s="20" t="str">
        <f t="shared" si="7"/>
        <v>4017</v>
      </c>
    </row>
    <row r="259" spans="1:8" x14ac:dyDescent="0.3">
      <c r="A259" s="8">
        <v>43039.748310185183</v>
      </c>
      <c r="B259" t="s">
        <v>394</v>
      </c>
      <c r="C259" t="s">
        <v>418</v>
      </c>
      <c r="D259" s="138">
        <v>2970000</v>
      </c>
      <c r="E259" t="s">
        <v>381</v>
      </c>
      <c r="F259" s="20" t="s">
        <v>382</v>
      </c>
      <c r="G259" s="8" t="str">
        <f t="shared" ref="G259:G313" si="8">E259&amp;" "&amp;F259</f>
        <v>GUZMAN DANNY</v>
      </c>
      <c r="H259" s="20" t="str">
        <f t="shared" ref="H259:H313" si="9">MID(B259,13,4)</f>
        <v>4062</v>
      </c>
    </row>
    <row r="260" spans="1:8" x14ac:dyDescent="0.3">
      <c r="A260" s="8">
        <v>43039.754444444443</v>
      </c>
      <c r="B260" t="s">
        <v>363</v>
      </c>
      <c r="C260" t="s">
        <v>419</v>
      </c>
      <c r="D260" s="138">
        <v>3680000</v>
      </c>
      <c r="E260" t="s">
        <v>408</v>
      </c>
      <c r="F260" s="20" t="s">
        <v>409</v>
      </c>
      <c r="G260" s="8" t="str">
        <f t="shared" si="8"/>
        <v>HAMMOND JUSTYNN</v>
      </c>
      <c r="H260" s="20" t="str">
        <f t="shared" si="9"/>
        <v>4007</v>
      </c>
    </row>
    <row r="261" spans="1:8" x14ac:dyDescent="0.3">
      <c r="A261" s="8">
        <v>43039.756747685184</v>
      </c>
      <c r="B261" t="s">
        <v>377</v>
      </c>
      <c r="C261" t="s">
        <v>420</v>
      </c>
      <c r="D261" s="138">
        <v>3320000</v>
      </c>
      <c r="E261" t="s">
        <v>365</v>
      </c>
      <c r="F261" s="20" t="s">
        <v>366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43039.761863425927</v>
      </c>
      <c r="B262" t="s">
        <v>397</v>
      </c>
      <c r="C262" t="s">
        <v>421</v>
      </c>
      <c r="D262" s="138">
        <v>2630000</v>
      </c>
      <c r="E262" t="s">
        <v>379</v>
      </c>
      <c r="F262" s="20" t="s">
        <v>380</v>
      </c>
      <c r="G262" s="8" t="str">
        <f t="shared" si="8"/>
        <v>SAFIEF AEIMEN</v>
      </c>
      <c r="H262" s="20" t="str">
        <f t="shared" si="9"/>
        <v>4027</v>
      </c>
    </row>
    <row r="263" spans="1:8" x14ac:dyDescent="0.3">
      <c r="A263" s="8">
        <v>43039.768055555556</v>
      </c>
      <c r="B263" t="s">
        <v>396</v>
      </c>
      <c r="C263" t="s">
        <v>422</v>
      </c>
      <c r="D263" s="138">
        <v>2970000</v>
      </c>
      <c r="E263" t="s">
        <v>381</v>
      </c>
      <c r="F263" s="20" t="s">
        <v>382</v>
      </c>
      <c r="G263" s="8" t="str">
        <f t="shared" si="8"/>
        <v>GUZMAN DANNY</v>
      </c>
      <c r="H263" s="20" t="str">
        <f t="shared" si="9"/>
        <v>4061</v>
      </c>
    </row>
    <row r="264" spans="1:8" x14ac:dyDescent="0.3">
      <c r="A264" s="8">
        <v>43039.769641203704</v>
      </c>
      <c r="B264" t="s">
        <v>368</v>
      </c>
      <c r="C264" t="s">
        <v>423</v>
      </c>
      <c r="D264" s="138">
        <v>2040000</v>
      </c>
      <c r="E264" t="s">
        <v>424</v>
      </c>
      <c r="F264" s="20" t="s">
        <v>425</v>
      </c>
      <c r="G264" s="8" t="str">
        <f t="shared" si="8"/>
        <v>MOSES BRADLEY</v>
      </c>
      <c r="H264" s="20" t="str">
        <f t="shared" si="9"/>
        <v>4036</v>
      </c>
    </row>
    <row r="265" spans="1:8" x14ac:dyDescent="0.3">
      <c r="A265" s="8">
        <v>43039.772962962961</v>
      </c>
      <c r="B265" t="s">
        <v>398</v>
      </c>
      <c r="C265" t="s">
        <v>426</v>
      </c>
      <c r="D265" s="138">
        <v>3670000</v>
      </c>
      <c r="E265" t="s">
        <v>393</v>
      </c>
      <c r="F265" s="20" t="s">
        <v>371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362</v>
      </c>
      <c r="C266" t="s">
        <v>427</v>
      </c>
      <c r="D266" s="138">
        <v>2000000</v>
      </c>
      <c r="E266" t="s">
        <v>411</v>
      </c>
      <c r="F266" s="20" t="s">
        <v>412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395</v>
      </c>
      <c r="C267" t="s">
        <v>428</v>
      </c>
      <c r="D267" s="138">
        <v>1300000</v>
      </c>
      <c r="E267" t="s">
        <v>360</v>
      </c>
      <c r="F267" s="20" t="s">
        <v>361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405</v>
      </c>
      <c r="C268" t="s">
        <v>429</v>
      </c>
      <c r="D268" s="138">
        <v>2230000</v>
      </c>
      <c r="E268" t="s">
        <v>410</v>
      </c>
      <c r="F268" s="20" t="s">
        <v>354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364</v>
      </c>
      <c r="C269" t="s">
        <v>430</v>
      </c>
      <c r="D269" s="138">
        <v>2000000</v>
      </c>
      <c r="E269" t="s">
        <v>411</v>
      </c>
      <c r="F269" s="20" t="s">
        <v>412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358</v>
      </c>
      <c r="C270" t="s">
        <v>431</v>
      </c>
      <c r="D270" s="138">
        <v>3500000</v>
      </c>
      <c r="E270" t="s">
        <v>383</v>
      </c>
      <c r="F270" s="20" t="s">
        <v>384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378</v>
      </c>
      <c r="C271" t="s">
        <v>432</v>
      </c>
      <c r="D271" s="138">
        <v>3320000</v>
      </c>
      <c r="E271" t="s">
        <v>365</v>
      </c>
      <c r="F271" s="20" t="s">
        <v>366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394</v>
      </c>
      <c r="C272" t="s">
        <v>433</v>
      </c>
      <c r="D272" s="138">
        <v>2610000</v>
      </c>
      <c r="E272" t="s">
        <v>391</v>
      </c>
      <c r="F272" s="20" t="s">
        <v>392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406</v>
      </c>
      <c r="C273" t="s">
        <v>434</v>
      </c>
      <c r="D273" s="138">
        <v>2630000</v>
      </c>
      <c r="E273" t="s">
        <v>379</v>
      </c>
      <c r="F273" s="20" t="s">
        <v>380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407</v>
      </c>
      <c r="C274" t="s">
        <v>435</v>
      </c>
      <c r="D274" s="138">
        <v>3670000</v>
      </c>
      <c r="E274" t="s">
        <v>393</v>
      </c>
      <c r="F274" s="20" t="s">
        <v>371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369</v>
      </c>
      <c r="C275" t="s">
        <v>436</v>
      </c>
      <c r="D275" s="138">
        <v>2040000</v>
      </c>
      <c r="E275" t="s">
        <v>424</v>
      </c>
      <c r="F275" s="20" t="s">
        <v>425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396</v>
      </c>
      <c r="C276" t="s">
        <v>437</v>
      </c>
      <c r="D276" s="138">
        <v>2610000</v>
      </c>
      <c r="E276" t="s">
        <v>391</v>
      </c>
      <c r="F276" s="20" t="s">
        <v>392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359</v>
      </c>
      <c r="C277" t="s">
        <v>438</v>
      </c>
      <c r="D277" s="138">
        <v>2230000</v>
      </c>
      <c r="E277" t="s">
        <v>410</v>
      </c>
      <c r="F277" s="20" t="s">
        <v>354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363</v>
      </c>
      <c r="C278" t="s">
        <v>439</v>
      </c>
      <c r="D278" s="138">
        <v>3500000</v>
      </c>
      <c r="E278" t="s">
        <v>383</v>
      </c>
      <c r="F278" s="20" t="s">
        <v>384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394</v>
      </c>
      <c r="C279" t="s">
        <v>440</v>
      </c>
      <c r="D279" s="138">
        <v>2970000</v>
      </c>
      <c r="E279" t="s">
        <v>381</v>
      </c>
      <c r="F279" s="20" t="s">
        <v>382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377</v>
      </c>
      <c r="C280" t="s">
        <v>441</v>
      </c>
      <c r="D280" s="138">
        <v>3320000</v>
      </c>
      <c r="E280" t="s">
        <v>365</v>
      </c>
      <c r="F280" s="20" t="s">
        <v>366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398</v>
      </c>
      <c r="C281" t="s">
        <v>402</v>
      </c>
      <c r="D281" s="138">
        <v>3670000</v>
      </c>
      <c r="E281" t="s">
        <v>393</v>
      </c>
      <c r="F281" s="20" t="s">
        <v>371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396</v>
      </c>
      <c r="C282" t="s">
        <v>442</v>
      </c>
      <c r="D282" s="138">
        <v>2970000</v>
      </c>
      <c r="E282" t="s">
        <v>381</v>
      </c>
      <c r="F282" s="20" t="s">
        <v>382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368</v>
      </c>
      <c r="C283" t="s">
        <v>443</v>
      </c>
      <c r="D283" s="138">
        <v>2040000</v>
      </c>
      <c r="E283" t="s">
        <v>424</v>
      </c>
      <c r="F283" s="20" t="s">
        <v>425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358</v>
      </c>
      <c r="C284" t="s">
        <v>444</v>
      </c>
      <c r="D284" s="138">
        <v>3500000</v>
      </c>
      <c r="E284" t="s">
        <v>383</v>
      </c>
      <c r="F284" s="20" t="s">
        <v>384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378</v>
      </c>
      <c r="C285" t="s">
        <v>445</v>
      </c>
      <c r="D285" s="138">
        <v>3320000</v>
      </c>
      <c r="E285" t="s">
        <v>365</v>
      </c>
      <c r="F285" s="20" t="s">
        <v>366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394</v>
      </c>
      <c r="C286" t="s">
        <v>446</v>
      </c>
      <c r="D286" s="138">
        <v>2000000</v>
      </c>
      <c r="E286" t="s">
        <v>411</v>
      </c>
      <c r="F286" s="20" t="s">
        <v>412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394</v>
      </c>
      <c r="C287" t="s">
        <v>446</v>
      </c>
      <c r="D287" s="138">
        <v>2000000</v>
      </c>
      <c r="E287" t="s">
        <v>411</v>
      </c>
      <c r="F287" s="20" t="s">
        <v>412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407</v>
      </c>
      <c r="C288" t="s">
        <v>447</v>
      </c>
      <c r="D288" s="138">
        <v>3670000</v>
      </c>
      <c r="E288" t="s">
        <v>393</v>
      </c>
      <c r="F288" s="20" t="s">
        <v>371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369</v>
      </c>
      <c r="C289" t="s">
        <v>448</v>
      </c>
      <c r="D289" s="138">
        <v>2040000</v>
      </c>
      <c r="E289" t="s">
        <v>424</v>
      </c>
      <c r="F289" s="20" t="s">
        <v>425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396</v>
      </c>
      <c r="C290" t="s">
        <v>449</v>
      </c>
      <c r="D290" s="138">
        <v>2000000</v>
      </c>
      <c r="E290" t="s">
        <v>411</v>
      </c>
      <c r="F290" s="20" t="s">
        <v>412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377</v>
      </c>
      <c r="C291" t="s">
        <v>450</v>
      </c>
      <c r="D291" s="138">
        <v>3320000</v>
      </c>
      <c r="E291" t="s">
        <v>365</v>
      </c>
      <c r="F291" s="20" t="s">
        <v>366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363</v>
      </c>
      <c r="C292" t="s">
        <v>451</v>
      </c>
      <c r="D292" s="138">
        <v>3500000</v>
      </c>
      <c r="E292" t="s">
        <v>383</v>
      </c>
      <c r="F292" s="20" t="s">
        <v>384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394</v>
      </c>
      <c r="C293" t="s">
        <v>452</v>
      </c>
      <c r="D293" s="138">
        <v>3220000</v>
      </c>
      <c r="E293" t="s">
        <v>385</v>
      </c>
      <c r="F293" s="20" t="s">
        <v>386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398</v>
      </c>
      <c r="C294" t="s">
        <v>403</v>
      </c>
      <c r="D294" s="138">
        <v>3670000</v>
      </c>
      <c r="E294" t="s">
        <v>393</v>
      </c>
      <c r="F294" s="20" t="s">
        <v>371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368</v>
      </c>
      <c r="C295" t="s">
        <v>453</v>
      </c>
      <c r="D295" s="138">
        <v>2040000</v>
      </c>
      <c r="E295" t="s">
        <v>424</v>
      </c>
      <c r="F295" s="20" t="s">
        <v>425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396</v>
      </c>
      <c r="C296" t="s">
        <v>454</v>
      </c>
      <c r="D296" s="138">
        <v>3220000</v>
      </c>
      <c r="E296" t="s">
        <v>385</v>
      </c>
      <c r="F296" s="20" t="s">
        <v>386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358</v>
      </c>
      <c r="C297" t="s">
        <v>455</v>
      </c>
      <c r="D297" s="138">
        <v>3500000</v>
      </c>
      <c r="E297" t="s">
        <v>383</v>
      </c>
      <c r="F297" s="20" t="s">
        <v>384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378</v>
      </c>
      <c r="C298" t="s">
        <v>456</v>
      </c>
      <c r="D298" s="138">
        <v>3320000</v>
      </c>
      <c r="E298" t="s">
        <v>365</v>
      </c>
      <c r="F298" s="20" t="s">
        <v>366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394</v>
      </c>
      <c r="C299" t="s">
        <v>457</v>
      </c>
      <c r="D299" s="138">
        <v>2000000</v>
      </c>
      <c r="E299" t="s">
        <v>411</v>
      </c>
      <c r="F299" s="20" t="s">
        <v>412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407</v>
      </c>
      <c r="C300" t="s">
        <v>458</v>
      </c>
      <c r="D300" s="138">
        <v>3670000</v>
      </c>
      <c r="E300" t="s">
        <v>393</v>
      </c>
      <c r="F300" s="20" t="s">
        <v>371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369</v>
      </c>
      <c r="C301" t="s">
        <v>459</v>
      </c>
      <c r="D301" s="138">
        <v>2040000</v>
      </c>
      <c r="E301" t="s">
        <v>424</v>
      </c>
      <c r="F301" s="20" t="s">
        <v>425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396</v>
      </c>
      <c r="C302" t="s">
        <v>460</v>
      </c>
      <c r="D302" s="138">
        <v>2000000</v>
      </c>
      <c r="E302" t="s">
        <v>411</v>
      </c>
      <c r="F302" s="20" t="s">
        <v>412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363</v>
      </c>
      <c r="C303" t="s">
        <v>404</v>
      </c>
      <c r="D303" s="138">
        <v>3500000</v>
      </c>
      <c r="E303" t="s">
        <v>383</v>
      </c>
      <c r="F303" s="20" t="s">
        <v>384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377</v>
      </c>
      <c r="C304" t="s">
        <v>461</v>
      </c>
      <c r="D304" s="138">
        <v>3320000</v>
      </c>
      <c r="E304" t="s">
        <v>365</v>
      </c>
      <c r="F304" s="20" t="s">
        <v>366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398</v>
      </c>
      <c r="C305" t="s">
        <v>462</v>
      </c>
      <c r="D305" s="138">
        <v>3670000</v>
      </c>
      <c r="E305" t="s">
        <v>393</v>
      </c>
      <c r="F305" s="20" t="s">
        <v>371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368</v>
      </c>
      <c r="C306" t="s">
        <v>463</v>
      </c>
      <c r="D306" s="138">
        <v>2040000</v>
      </c>
      <c r="E306" t="s">
        <v>424</v>
      </c>
      <c r="F306" s="20" t="s">
        <v>425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358</v>
      </c>
      <c r="C307" t="s">
        <v>464</v>
      </c>
      <c r="D307" s="138">
        <v>3500000</v>
      </c>
      <c r="E307" t="s">
        <v>383</v>
      </c>
      <c r="F307" s="20" t="s">
        <v>384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378</v>
      </c>
      <c r="C308" t="s">
        <v>465</v>
      </c>
      <c r="D308" s="138">
        <v>3320000</v>
      </c>
      <c r="E308" t="s">
        <v>365</v>
      </c>
      <c r="F308" s="20" t="s">
        <v>366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407</v>
      </c>
      <c r="C309" t="s">
        <v>466</v>
      </c>
      <c r="D309" s="138">
        <v>3670000</v>
      </c>
      <c r="E309" t="s">
        <v>393</v>
      </c>
      <c r="F309" s="20" t="s">
        <v>371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369</v>
      </c>
      <c r="C310" t="s">
        <v>467</v>
      </c>
      <c r="D310" s="138">
        <v>2040000</v>
      </c>
      <c r="E310" t="s">
        <v>424</v>
      </c>
      <c r="F310" s="20" t="s">
        <v>425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377</v>
      </c>
      <c r="C311" t="s">
        <v>468</v>
      </c>
      <c r="D311" s="138">
        <v>3320000</v>
      </c>
      <c r="E311" t="s">
        <v>365</v>
      </c>
      <c r="F311" s="20" t="s">
        <v>366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368</v>
      </c>
      <c r="C312" t="s">
        <v>469</v>
      </c>
      <c r="D312" s="138">
        <v>2040000</v>
      </c>
      <c r="E312" t="s">
        <v>424</v>
      </c>
      <c r="F312" s="20" t="s">
        <v>425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353</v>
      </c>
      <c r="C313" t="s">
        <v>367</v>
      </c>
      <c r="D313" s="138">
        <v>1830000</v>
      </c>
      <c r="E313" t="s">
        <v>348</v>
      </c>
      <c r="F313" s="20" t="s">
        <v>349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579</v>
      </c>
      <c r="I1" s="218" t="s">
        <v>162</v>
      </c>
      <c r="J1" s="218" t="s">
        <v>163</v>
      </c>
      <c r="K1" s="218" t="s">
        <v>529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334</v>
      </c>
      <c r="Q1" s="218" t="s">
        <v>154</v>
      </c>
      <c r="R1" s="218" t="s">
        <v>161</v>
      </c>
      <c r="S1" s="218" t="s">
        <v>335</v>
      </c>
      <c r="T1" s="218" t="s">
        <v>158</v>
      </c>
    </row>
    <row r="2" spans="1:20" x14ac:dyDescent="0.3">
      <c r="A2" s="196">
        <v>35.6</v>
      </c>
      <c r="B2" s="196">
        <v>0.97</v>
      </c>
      <c r="C2" s="196">
        <v>31.62</v>
      </c>
      <c r="D2" s="8">
        <v>43046</v>
      </c>
      <c r="E2" s="196">
        <v>0.85</v>
      </c>
      <c r="F2" s="196" t="s">
        <v>582</v>
      </c>
      <c r="G2" s="196">
        <v>279.29000000000002</v>
      </c>
      <c r="H2" s="196"/>
      <c r="I2" s="196">
        <v>5.4999999999999997E-3</v>
      </c>
      <c r="J2" s="196">
        <v>0.21</v>
      </c>
      <c r="K2" s="196" t="s">
        <v>530</v>
      </c>
      <c r="L2" s="196">
        <v>1023.16</v>
      </c>
      <c r="M2" s="196" t="s">
        <v>583</v>
      </c>
      <c r="N2" s="196">
        <v>35.6</v>
      </c>
      <c r="O2" s="196">
        <v>1510038000</v>
      </c>
      <c r="P2" s="196">
        <v>0</v>
      </c>
      <c r="Q2" s="196">
        <v>2.56</v>
      </c>
      <c r="R2" s="196">
        <v>33</v>
      </c>
      <c r="S2" s="196">
        <v>4.9400000000000004</v>
      </c>
      <c r="T2" s="196">
        <v>1.99</v>
      </c>
    </row>
    <row r="3" spans="1:20" x14ac:dyDescent="0.3">
      <c r="A3" s="196">
        <v>34.06</v>
      </c>
      <c r="B3" s="196">
        <v>0.91</v>
      </c>
      <c r="C3" s="196">
        <v>31.41</v>
      </c>
      <c r="D3" s="8">
        <v>43046.041666666664</v>
      </c>
      <c r="E3" s="196">
        <v>0.9</v>
      </c>
      <c r="F3" s="196" t="s">
        <v>372</v>
      </c>
      <c r="G3" s="196">
        <v>279.29000000000002</v>
      </c>
      <c r="H3" s="196"/>
      <c r="I3" s="196">
        <v>3.3999999999999998E-3</v>
      </c>
      <c r="J3" s="196">
        <v>0.38</v>
      </c>
      <c r="K3" s="196" t="s">
        <v>530</v>
      </c>
      <c r="L3" s="196">
        <v>1024.1099999999999</v>
      </c>
      <c r="M3" s="196" t="s">
        <v>495</v>
      </c>
      <c r="N3" s="196">
        <v>34.06</v>
      </c>
      <c r="O3" s="196">
        <v>1510041600</v>
      </c>
      <c r="P3" s="196">
        <v>0</v>
      </c>
      <c r="Q3" s="196">
        <v>2.0299999999999998</v>
      </c>
      <c r="R3" s="196">
        <v>5</v>
      </c>
      <c r="S3" s="196">
        <v>5.92</v>
      </c>
      <c r="T3" s="196">
        <v>2.58</v>
      </c>
    </row>
    <row r="4" spans="1:20" x14ac:dyDescent="0.3">
      <c r="A4" s="196">
        <v>28.17</v>
      </c>
      <c r="B4" s="196">
        <v>0.98</v>
      </c>
      <c r="C4" s="196">
        <v>29.93</v>
      </c>
      <c r="D4" s="8">
        <v>43046.083333333336</v>
      </c>
      <c r="E4" s="196">
        <v>0.91</v>
      </c>
      <c r="F4" s="196" t="s">
        <v>580</v>
      </c>
      <c r="G4" s="196">
        <v>279.29000000000002</v>
      </c>
      <c r="H4" s="196">
        <v>5.1999999999999998E-2</v>
      </c>
      <c r="I4" s="196">
        <v>6.8999999999999999E-3</v>
      </c>
      <c r="J4" s="196">
        <v>0.55000000000000004</v>
      </c>
      <c r="K4" s="196" t="s">
        <v>584</v>
      </c>
      <c r="L4" s="196">
        <v>1024.4100000000001</v>
      </c>
      <c r="M4" s="196" t="s">
        <v>581</v>
      </c>
      <c r="N4" s="196">
        <v>32.29</v>
      </c>
      <c r="O4" s="196">
        <v>1510045200</v>
      </c>
      <c r="P4" s="196">
        <v>0</v>
      </c>
      <c r="Q4" s="196">
        <v>1.39</v>
      </c>
      <c r="R4" s="196">
        <v>359</v>
      </c>
      <c r="S4" s="196">
        <v>9.59</v>
      </c>
      <c r="T4" s="196">
        <v>4.2300000000000004</v>
      </c>
    </row>
    <row r="5" spans="1:20" x14ac:dyDescent="0.3">
      <c r="A5" s="196">
        <v>24.53</v>
      </c>
      <c r="B5" s="196">
        <v>0.92</v>
      </c>
      <c r="C5" s="196">
        <v>27.02</v>
      </c>
      <c r="D5" s="8">
        <v>43046.125</v>
      </c>
      <c r="E5" s="196">
        <v>0.91</v>
      </c>
      <c r="F5" s="196" t="s">
        <v>580</v>
      </c>
      <c r="G5" s="196">
        <v>279.77</v>
      </c>
      <c r="H5" s="196">
        <v>4.1000000000000002E-2</v>
      </c>
      <c r="I5" s="196">
        <v>4.4999999999999997E-3</v>
      </c>
      <c r="J5" s="196">
        <v>0.44</v>
      </c>
      <c r="K5" s="196" t="s">
        <v>584</v>
      </c>
      <c r="L5" s="196">
        <v>1025.51</v>
      </c>
      <c r="M5" s="196" t="s">
        <v>581</v>
      </c>
      <c r="N5" s="196">
        <v>29.4</v>
      </c>
      <c r="O5" s="196">
        <v>1510048800</v>
      </c>
      <c r="P5" s="196">
        <v>0</v>
      </c>
      <c r="Q5" s="196">
        <v>1.57</v>
      </c>
      <c r="R5" s="196">
        <v>0</v>
      </c>
      <c r="S5" s="196">
        <v>10.09</v>
      </c>
      <c r="T5" s="196">
        <v>4.5</v>
      </c>
    </row>
    <row r="6" spans="1:20" x14ac:dyDescent="0.3">
      <c r="A6" s="196">
        <v>23.79</v>
      </c>
      <c r="B6" s="196">
        <v>0.85</v>
      </c>
      <c r="C6" s="196">
        <v>25.66</v>
      </c>
      <c r="D6" s="8">
        <v>43046.166666666664</v>
      </c>
      <c r="E6" s="196">
        <v>0.91</v>
      </c>
      <c r="F6" s="196" t="s">
        <v>372</v>
      </c>
      <c r="G6" s="196">
        <v>280.36</v>
      </c>
      <c r="H6" s="196">
        <v>2.1000000000000001E-2</v>
      </c>
      <c r="I6" s="196">
        <v>2E-3</v>
      </c>
      <c r="J6" s="196">
        <v>0.2</v>
      </c>
      <c r="K6" s="196" t="s">
        <v>584</v>
      </c>
      <c r="L6" s="196">
        <v>1026.18</v>
      </c>
      <c r="M6" s="196" t="s">
        <v>495</v>
      </c>
      <c r="N6" s="196">
        <v>27.88</v>
      </c>
      <c r="O6" s="196">
        <v>1510052400</v>
      </c>
      <c r="P6" s="196">
        <v>0</v>
      </c>
      <c r="Q6" s="196">
        <v>2.25</v>
      </c>
      <c r="R6" s="196">
        <v>2</v>
      </c>
      <c r="S6" s="196">
        <v>7.56</v>
      </c>
      <c r="T6" s="196">
        <v>3.62</v>
      </c>
    </row>
    <row r="7" spans="1:20" x14ac:dyDescent="0.3">
      <c r="A7" s="196">
        <v>26.8</v>
      </c>
      <c r="B7" s="196">
        <v>0.68</v>
      </c>
      <c r="C7" s="196">
        <v>24.4</v>
      </c>
      <c r="D7" s="8">
        <v>43046.208333333336</v>
      </c>
      <c r="E7" s="196">
        <v>0.91</v>
      </c>
      <c r="F7" s="196" t="s">
        <v>372</v>
      </c>
      <c r="G7" s="196">
        <v>281.89</v>
      </c>
      <c r="H7" s="196">
        <v>6.0000000000000001E-3</v>
      </c>
      <c r="I7" s="196">
        <v>5.9999999999999995E-4</v>
      </c>
      <c r="J7" s="196">
        <v>0.06</v>
      </c>
      <c r="K7" s="196" t="s">
        <v>584</v>
      </c>
      <c r="L7" s="196">
        <v>1027.47</v>
      </c>
      <c r="M7" s="196" t="s">
        <v>495</v>
      </c>
      <c r="N7" s="196">
        <v>26.8</v>
      </c>
      <c r="O7" s="196">
        <v>1510056000</v>
      </c>
      <c r="P7" s="196">
        <v>0</v>
      </c>
      <c r="Q7" s="196">
        <v>2.69</v>
      </c>
      <c r="R7" s="196">
        <v>5</v>
      </c>
      <c r="S7" s="196">
        <v>5.91</v>
      </c>
      <c r="T7" s="196">
        <v>2.71</v>
      </c>
    </row>
    <row r="8" spans="1:20" x14ac:dyDescent="0.3">
      <c r="A8" s="196">
        <v>26.28</v>
      </c>
      <c r="B8" s="196">
        <v>0.87</v>
      </c>
      <c r="C8" s="196">
        <v>23.95</v>
      </c>
      <c r="D8" s="8">
        <v>43046.25</v>
      </c>
      <c r="E8" s="196">
        <v>0.91</v>
      </c>
      <c r="F8" s="196" t="s">
        <v>372</v>
      </c>
      <c r="G8" s="196">
        <v>283.27999999999997</v>
      </c>
      <c r="H8" s="196">
        <v>3.0000000000000001E-3</v>
      </c>
      <c r="I8" s="196">
        <v>2.9999999999999997E-4</v>
      </c>
      <c r="J8" s="196">
        <v>0.01</v>
      </c>
      <c r="K8" s="196" t="s">
        <v>584</v>
      </c>
      <c r="L8" s="196">
        <v>1028.3399999999999</v>
      </c>
      <c r="M8" s="196" t="s">
        <v>495</v>
      </c>
      <c r="N8" s="196">
        <v>26.28</v>
      </c>
      <c r="O8" s="196">
        <v>1510059600</v>
      </c>
      <c r="P8" s="196">
        <v>0</v>
      </c>
      <c r="Q8" s="196">
        <v>2.5499999999999998</v>
      </c>
      <c r="R8" s="196">
        <v>11</v>
      </c>
      <c r="S8" s="196">
        <v>3.87</v>
      </c>
      <c r="T8" s="196">
        <v>1.96</v>
      </c>
    </row>
    <row r="9" spans="1:20" x14ac:dyDescent="0.3">
      <c r="A9" s="196">
        <v>26.11</v>
      </c>
      <c r="B9" s="196">
        <v>0.91</v>
      </c>
      <c r="C9" s="196">
        <v>23.78</v>
      </c>
      <c r="D9" s="8">
        <v>43046.291666666664</v>
      </c>
      <c r="E9" s="196">
        <v>0.91</v>
      </c>
      <c r="F9" s="196" t="s">
        <v>496</v>
      </c>
      <c r="G9" s="196">
        <v>284.89</v>
      </c>
      <c r="H9" s="196">
        <v>2E-3</v>
      </c>
      <c r="I9" s="196">
        <v>2.0000000000000001E-4</v>
      </c>
      <c r="J9" s="196">
        <v>0.02</v>
      </c>
      <c r="K9" s="196" t="s">
        <v>584</v>
      </c>
      <c r="L9" s="196">
        <v>1028.33</v>
      </c>
      <c r="M9" s="196" t="s">
        <v>495</v>
      </c>
      <c r="N9" s="196">
        <v>26.11</v>
      </c>
      <c r="O9" s="196">
        <v>1510063200</v>
      </c>
      <c r="P9" s="196">
        <v>0</v>
      </c>
      <c r="Q9" s="196">
        <v>2.1</v>
      </c>
      <c r="R9" s="196">
        <v>35</v>
      </c>
      <c r="S9" s="196">
        <v>3.1</v>
      </c>
      <c r="T9" s="196">
        <v>1.29</v>
      </c>
    </row>
    <row r="10" spans="1:20" x14ac:dyDescent="0.3">
      <c r="A10" s="196">
        <v>26.52</v>
      </c>
      <c r="B10" s="196">
        <v>0.85</v>
      </c>
      <c r="C10" s="196">
        <v>24.18</v>
      </c>
      <c r="D10" s="8">
        <v>43046.333333333336</v>
      </c>
      <c r="E10" s="196">
        <v>0.91</v>
      </c>
      <c r="F10" s="196" t="s">
        <v>580</v>
      </c>
      <c r="G10" s="196">
        <v>286.02999999999997</v>
      </c>
      <c r="H10" s="196">
        <v>4.0000000000000001E-3</v>
      </c>
      <c r="I10" s="196">
        <v>2.9999999999999997E-4</v>
      </c>
      <c r="J10" s="196">
        <v>0.03</v>
      </c>
      <c r="K10" s="196" t="s">
        <v>584</v>
      </c>
      <c r="L10" s="196">
        <v>1029.32</v>
      </c>
      <c r="M10" s="196" t="s">
        <v>581</v>
      </c>
      <c r="N10" s="196">
        <v>26.52</v>
      </c>
      <c r="O10" s="196">
        <v>1510066800</v>
      </c>
      <c r="P10" s="196">
        <v>0</v>
      </c>
      <c r="Q10" s="196">
        <v>1.92</v>
      </c>
      <c r="R10" s="196">
        <v>58</v>
      </c>
      <c r="S10" s="196">
        <v>2.17</v>
      </c>
      <c r="T10" s="196">
        <v>0.77</v>
      </c>
    </row>
    <row r="11" spans="1:20" x14ac:dyDescent="0.3">
      <c r="A11" s="196">
        <v>28.1</v>
      </c>
      <c r="B11" s="196">
        <v>0.85</v>
      </c>
      <c r="C11" s="196">
        <v>25.91</v>
      </c>
      <c r="D11" s="8">
        <v>43046.375</v>
      </c>
      <c r="E11" s="196">
        <v>0.91</v>
      </c>
      <c r="F11" s="196" t="s">
        <v>496</v>
      </c>
      <c r="G11" s="196">
        <v>286.26</v>
      </c>
      <c r="H11" s="196">
        <v>2E-3</v>
      </c>
      <c r="I11" s="196">
        <v>2.0000000000000001E-4</v>
      </c>
      <c r="J11" s="196">
        <v>0.02</v>
      </c>
      <c r="K11" s="196" t="s">
        <v>584</v>
      </c>
      <c r="L11" s="196">
        <v>1029.1099999999999</v>
      </c>
      <c r="M11" s="196" t="s">
        <v>495</v>
      </c>
      <c r="N11" s="196">
        <v>28.1</v>
      </c>
      <c r="O11" s="196">
        <v>1510070400</v>
      </c>
      <c r="P11" s="196">
        <v>1</v>
      </c>
      <c r="Q11" s="196">
        <v>2.68</v>
      </c>
      <c r="R11" s="196">
        <v>88</v>
      </c>
      <c r="S11" s="196">
        <v>2.89</v>
      </c>
      <c r="T11" s="196">
        <v>0.81</v>
      </c>
    </row>
    <row r="12" spans="1:20" x14ac:dyDescent="0.3">
      <c r="A12" s="196">
        <v>29.5</v>
      </c>
      <c r="B12" s="196">
        <v>0.88</v>
      </c>
      <c r="C12" s="196">
        <v>26.78</v>
      </c>
      <c r="D12" s="8">
        <v>43046.416666666664</v>
      </c>
      <c r="E12" s="196">
        <v>0.89</v>
      </c>
      <c r="F12" s="196" t="s">
        <v>496</v>
      </c>
      <c r="G12" s="196">
        <v>286.14</v>
      </c>
      <c r="H12" s="196">
        <v>8.0000000000000002E-3</v>
      </c>
      <c r="I12" s="196">
        <v>8.0000000000000004E-4</v>
      </c>
      <c r="J12" s="196">
        <v>0.08</v>
      </c>
      <c r="K12" s="196" t="s">
        <v>584</v>
      </c>
      <c r="L12" s="196">
        <v>1027.73</v>
      </c>
      <c r="M12" s="196" t="s">
        <v>495</v>
      </c>
      <c r="N12" s="196">
        <v>29.5</v>
      </c>
      <c r="O12" s="196">
        <v>1510074000</v>
      </c>
      <c r="P12" s="196">
        <v>1</v>
      </c>
      <c r="Q12" s="196">
        <v>2.95</v>
      </c>
      <c r="R12" s="196">
        <v>92</v>
      </c>
      <c r="S12" s="196">
        <v>3.55</v>
      </c>
      <c r="T12" s="196">
        <v>1.03</v>
      </c>
    </row>
    <row r="13" spans="1:20" x14ac:dyDescent="0.3">
      <c r="A13" s="196">
        <v>30.76</v>
      </c>
      <c r="B13" s="196">
        <v>0.93</v>
      </c>
      <c r="C13" s="196">
        <v>27.51</v>
      </c>
      <c r="D13" s="8">
        <v>43046.458333333336</v>
      </c>
      <c r="E13" s="196">
        <v>0.88</v>
      </c>
      <c r="F13" s="196" t="s">
        <v>496</v>
      </c>
      <c r="G13" s="196">
        <v>280.07</v>
      </c>
      <c r="H13" s="196">
        <v>1.7999999999999999E-2</v>
      </c>
      <c r="I13" s="196">
        <v>2.0999999999999999E-3</v>
      </c>
      <c r="J13" s="196">
        <v>0.2</v>
      </c>
      <c r="K13" s="196" t="s">
        <v>584</v>
      </c>
      <c r="L13" s="196">
        <v>1027.26</v>
      </c>
      <c r="M13" s="196" t="s">
        <v>495</v>
      </c>
      <c r="N13" s="196">
        <v>30.76</v>
      </c>
      <c r="O13" s="196">
        <v>1510077600</v>
      </c>
      <c r="P13" s="196">
        <v>2</v>
      </c>
      <c r="Q13" s="196">
        <v>3.09</v>
      </c>
      <c r="R13" s="196">
        <v>60</v>
      </c>
      <c r="S13" s="196">
        <v>3.29</v>
      </c>
      <c r="T13" s="196">
        <v>0.85</v>
      </c>
    </row>
    <row r="14" spans="1:20" x14ac:dyDescent="0.3">
      <c r="A14" s="196">
        <v>31.33</v>
      </c>
      <c r="B14" s="196">
        <v>0.95</v>
      </c>
      <c r="C14" s="196">
        <v>27.79</v>
      </c>
      <c r="D14" s="8">
        <v>43046.5</v>
      </c>
      <c r="E14" s="196">
        <v>0.87</v>
      </c>
      <c r="F14" s="196" t="s">
        <v>582</v>
      </c>
      <c r="G14" s="196">
        <v>279.37</v>
      </c>
      <c r="H14" s="196">
        <v>3.5000000000000003E-2</v>
      </c>
      <c r="I14" s="196">
        <v>4.3E-3</v>
      </c>
      <c r="J14" s="196">
        <v>0.3</v>
      </c>
      <c r="K14" s="196" t="s">
        <v>584</v>
      </c>
      <c r="L14" s="196">
        <v>1026.0899999999999</v>
      </c>
      <c r="M14" s="196" t="s">
        <v>583</v>
      </c>
      <c r="N14" s="196">
        <v>31.33</v>
      </c>
      <c r="O14" s="196">
        <v>1510081200</v>
      </c>
      <c r="P14" s="196">
        <v>2</v>
      </c>
      <c r="Q14" s="196">
        <v>3.23</v>
      </c>
      <c r="R14" s="196">
        <v>10</v>
      </c>
      <c r="S14" s="196">
        <v>4.9400000000000004</v>
      </c>
      <c r="T14" s="196">
        <v>1.74</v>
      </c>
    </row>
    <row r="15" spans="1:20" x14ac:dyDescent="0.3">
      <c r="A15" s="196">
        <v>31.12</v>
      </c>
      <c r="B15" s="196">
        <v>0.95</v>
      </c>
      <c r="C15" s="196">
        <v>27.58</v>
      </c>
      <c r="D15" s="8">
        <v>43046.541666666664</v>
      </c>
      <c r="E15" s="196">
        <v>0.86</v>
      </c>
      <c r="F15" s="196" t="s">
        <v>582</v>
      </c>
      <c r="G15" s="196">
        <v>279.37</v>
      </c>
      <c r="H15" s="196">
        <v>1.9E-2</v>
      </c>
      <c r="I15" s="196">
        <v>2.3E-3</v>
      </c>
      <c r="J15" s="196">
        <v>0.24</v>
      </c>
      <c r="K15" s="196" t="s">
        <v>584</v>
      </c>
      <c r="L15" s="196">
        <v>1025.74</v>
      </c>
      <c r="M15" s="196" t="s">
        <v>583</v>
      </c>
      <c r="N15" s="196">
        <v>31.12</v>
      </c>
      <c r="O15" s="196">
        <v>1510084800</v>
      </c>
      <c r="P15" s="196">
        <v>2</v>
      </c>
      <c r="Q15" s="196">
        <v>3.09</v>
      </c>
      <c r="R15" s="196">
        <v>7</v>
      </c>
      <c r="S15" s="196">
        <v>5.93</v>
      </c>
      <c r="T15" s="196">
        <v>2.5299999999999998</v>
      </c>
    </row>
    <row r="16" spans="1:20" x14ac:dyDescent="0.3">
      <c r="A16" s="196">
        <v>30.64</v>
      </c>
      <c r="B16" s="196">
        <v>0.97</v>
      </c>
      <c r="C16" s="196">
        <v>27.26</v>
      </c>
      <c r="D16" s="8">
        <v>43046.583333333336</v>
      </c>
      <c r="E16" s="196">
        <v>0.87</v>
      </c>
      <c r="F16" s="196" t="s">
        <v>582</v>
      </c>
      <c r="G16" s="196">
        <v>279.37</v>
      </c>
      <c r="H16" s="196">
        <v>1.2999999999999999E-2</v>
      </c>
      <c r="I16" s="196">
        <v>1.6000000000000001E-3</v>
      </c>
      <c r="J16" s="196">
        <v>0.16</v>
      </c>
      <c r="K16" s="196" t="s">
        <v>584</v>
      </c>
      <c r="L16" s="196">
        <v>1025.6500000000001</v>
      </c>
      <c r="M16" s="196" t="s">
        <v>583</v>
      </c>
      <c r="N16" s="196">
        <v>30.64</v>
      </c>
      <c r="O16" s="196">
        <v>1510088400</v>
      </c>
      <c r="P16" s="196">
        <v>1</v>
      </c>
      <c r="Q16" s="196">
        <v>2.31</v>
      </c>
      <c r="R16" s="196">
        <v>9</v>
      </c>
      <c r="S16" s="196">
        <v>6.72</v>
      </c>
      <c r="T16" s="196">
        <v>2.99</v>
      </c>
    </row>
    <row r="17" spans="1:20" x14ac:dyDescent="0.3">
      <c r="A17" s="196">
        <v>26.84</v>
      </c>
      <c r="B17" s="196">
        <v>1</v>
      </c>
      <c r="C17" s="196">
        <v>26.91</v>
      </c>
      <c r="D17" s="8">
        <v>43046.625</v>
      </c>
      <c r="E17" s="196">
        <v>0.88</v>
      </c>
      <c r="F17" s="196" t="s">
        <v>580</v>
      </c>
      <c r="G17" s="196">
        <v>279.37</v>
      </c>
      <c r="H17" s="196">
        <v>5.0000000000000001E-3</v>
      </c>
      <c r="I17" s="196">
        <v>5.9999999999999995E-4</v>
      </c>
      <c r="J17" s="196">
        <v>7.0000000000000007E-2</v>
      </c>
      <c r="K17" s="196" t="s">
        <v>584</v>
      </c>
      <c r="L17" s="196">
        <v>1026.6199999999999</v>
      </c>
      <c r="M17" s="196" t="s">
        <v>581</v>
      </c>
      <c r="N17" s="196">
        <v>29.9</v>
      </c>
      <c r="O17" s="196">
        <v>1510092000</v>
      </c>
      <c r="P17" s="196">
        <v>1</v>
      </c>
      <c r="Q17" s="196">
        <v>1.59</v>
      </c>
      <c r="R17" s="196">
        <v>7</v>
      </c>
      <c r="S17" s="196">
        <v>7.3</v>
      </c>
      <c r="T17" s="196">
        <v>3.07</v>
      </c>
    </row>
    <row r="18" spans="1:20" x14ac:dyDescent="0.3">
      <c r="A18" s="196">
        <v>29.22</v>
      </c>
      <c r="B18" s="196">
        <v>0.91</v>
      </c>
      <c r="C18" s="196">
        <v>26.86</v>
      </c>
      <c r="D18" s="8">
        <v>43046.666666666664</v>
      </c>
      <c r="E18" s="196">
        <v>0.91</v>
      </c>
      <c r="F18" s="196" t="s">
        <v>580</v>
      </c>
      <c r="G18" s="196">
        <v>279.61</v>
      </c>
      <c r="H18" s="196">
        <v>3.0000000000000001E-3</v>
      </c>
      <c r="I18" s="196">
        <v>2.9999999999999997E-4</v>
      </c>
      <c r="J18" s="196">
        <v>0.06</v>
      </c>
      <c r="K18" s="196" t="s">
        <v>584</v>
      </c>
      <c r="L18" s="196">
        <v>1027.31</v>
      </c>
      <c r="M18" s="196" t="s">
        <v>581</v>
      </c>
      <c r="N18" s="196">
        <v>29.22</v>
      </c>
      <c r="O18" s="196">
        <v>1510095600</v>
      </c>
      <c r="P18" s="196">
        <v>0</v>
      </c>
      <c r="Q18" s="196">
        <v>1.79</v>
      </c>
      <c r="R18" s="196">
        <v>7</v>
      </c>
      <c r="S18" s="196">
        <v>5.41</v>
      </c>
      <c r="T18" s="196">
        <v>2.4300000000000002</v>
      </c>
    </row>
    <row r="19" spans="1:20" x14ac:dyDescent="0.3">
      <c r="A19" s="196">
        <v>29.01</v>
      </c>
      <c r="B19" s="196">
        <v>0.93</v>
      </c>
      <c r="C19" s="196">
        <v>26.78</v>
      </c>
      <c r="D19" s="8">
        <v>43046.708333333336</v>
      </c>
      <c r="E19" s="196">
        <v>0.91</v>
      </c>
      <c r="F19" s="196" t="s">
        <v>580</v>
      </c>
      <c r="G19" s="196">
        <v>276.88</v>
      </c>
      <c r="H19" s="196">
        <v>6.0000000000000001E-3</v>
      </c>
      <c r="I19" s="196">
        <v>6.9999999999999999E-4</v>
      </c>
      <c r="J19" s="196">
        <v>0.05</v>
      </c>
      <c r="K19" s="196" t="s">
        <v>584</v>
      </c>
      <c r="L19" s="196">
        <v>1028.23</v>
      </c>
      <c r="M19" s="196" t="s">
        <v>581</v>
      </c>
      <c r="N19" s="196">
        <v>29.01</v>
      </c>
      <c r="O19" s="196">
        <v>1510099200</v>
      </c>
      <c r="P19" s="196">
        <v>0</v>
      </c>
      <c r="Q19" s="196">
        <v>1.48</v>
      </c>
      <c r="R19" s="196">
        <v>9</v>
      </c>
      <c r="S19" s="196">
        <v>2.79</v>
      </c>
      <c r="T19" s="196">
        <v>1.0900000000000001</v>
      </c>
    </row>
    <row r="20" spans="1:20" x14ac:dyDescent="0.3">
      <c r="A20" s="196">
        <v>29.06</v>
      </c>
      <c r="B20" s="196">
        <v>0.82</v>
      </c>
      <c r="C20" s="196">
        <v>26.94</v>
      </c>
      <c r="D20" s="8">
        <v>43046.75</v>
      </c>
      <c r="E20" s="196">
        <v>0.92</v>
      </c>
      <c r="F20" s="196" t="s">
        <v>580</v>
      </c>
      <c r="G20" s="196">
        <v>278.19</v>
      </c>
      <c r="H20" s="196">
        <v>4.0000000000000001E-3</v>
      </c>
      <c r="I20" s="196">
        <v>4.0000000000000002E-4</v>
      </c>
      <c r="J20" s="196">
        <v>0.05</v>
      </c>
      <c r="K20" s="196" t="s">
        <v>584</v>
      </c>
      <c r="L20" s="196">
        <v>1028.72</v>
      </c>
      <c r="M20" s="196" t="s">
        <v>581</v>
      </c>
      <c r="N20" s="196">
        <v>29.06</v>
      </c>
      <c r="O20" s="196">
        <v>1510102800</v>
      </c>
      <c r="P20" s="196">
        <v>0</v>
      </c>
      <c r="Q20" s="196">
        <v>1.73</v>
      </c>
      <c r="R20" s="196">
        <v>4</v>
      </c>
      <c r="S20" s="196">
        <v>1.89</v>
      </c>
      <c r="T20" s="196">
        <v>0.65</v>
      </c>
    </row>
    <row r="21" spans="1:20" x14ac:dyDescent="0.3">
      <c r="A21" s="196">
        <v>29.22</v>
      </c>
      <c r="B21" s="196">
        <v>0.88</v>
      </c>
      <c r="C21" s="196">
        <v>27.09</v>
      </c>
      <c r="D21" s="8">
        <v>43046.791666666664</v>
      </c>
      <c r="E21" s="196">
        <v>0.92</v>
      </c>
      <c r="F21" s="196" t="s">
        <v>580</v>
      </c>
      <c r="G21" s="196">
        <v>280.31</v>
      </c>
      <c r="H21" s="196">
        <v>3.0000000000000001E-3</v>
      </c>
      <c r="I21" s="196">
        <v>2.9999999999999997E-4</v>
      </c>
      <c r="J21" s="196">
        <v>0.03</v>
      </c>
      <c r="K21" s="196" t="s">
        <v>584</v>
      </c>
      <c r="L21" s="196">
        <v>1029.21</v>
      </c>
      <c r="M21" s="196" t="s">
        <v>581</v>
      </c>
      <c r="N21" s="196">
        <v>29.22</v>
      </c>
      <c r="O21" s="196">
        <v>1510106400</v>
      </c>
      <c r="P21" s="196">
        <v>0</v>
      </c>
      <c r="Q21" s="196">
        <v>1.49</v>
      </c>
      <c r="R21" s="196">
        <v>14</v>
      </c>
      <c r="S21" s="196">
        <v>1.65</v>
      </c>
      <c r="T21" s="196">
        <v>0.62</v>
      </c>
    </row>
    <row r="22" spans="1:20" x14ac:dyDescent="0.3">
      <c r="A22" s="196">
        <v>29.19</v>
      </c>
      <c r="B22" s="196">
        <v>0.95</v>
      </c>
      <c r="C22" s="196">
        <v>26.88</v>
      </c>
      <c r="D22" s="8">
        <v>43046.833333333336</v>
      </c>
      <c r="E22" s="196">
        <v>0.91</v>
      </c>
      <c r="F22" s="196" t="s">
        <v>580</v>
      </c>
      <c r="G22" s="196">
        <v>282.19</v>
      </c>
      <c r="H22" s="196">
        <v>0.01</v>
      </c>
      <c r="I22" s="196">
        <v>1.1000000000000001E-3</v>
      </c>
      <c r="J22" s="196">
        <v>7.0000000000000007E-2</v>
      </c>
      <c r="K22" s="196" t="s">
        <v>584</v>
      </c>
      <c r="L22" s="196">
        <v>1029.17</v>
      </c>
      <c r="M22" s="196" t="s">
        <v>581</v>
      </c>
      <c r="N22" s="196">
        <v>29.19</v>
      </c>
      <c r="O22" s="196">
        <v>1510110000</v>
      </c>
      <c r="P22" s="196">
        <v>0</v>
      </c>
      <c r="Q22" s="196">
        <v>1.47</v>
      </c>
      <c r="R22" s="196">
        <v>14</v>
      </c>
      <c r="S22" s="196">
        <v>1.96</v>
      </c>
      <c r="T22" s="196">
        <v>0.67</v>
      </c>
    </row>
    <row r="23" spans="1:20" x14ac:dyDescent="0.3">
      <c r="A23" s="196">
        <v>29.25</v>
      </c>
      <c r="B23" s="196">
        <v>0.81</v>
      </c>
      <c r="C23" s="196">
        <v>26.96</v>
      </c>
      <c r="D23" s="8">
        <v>43046.875</v>
      </c>
      <c r="E23" s="196">
        <v>0.91</v>
      </c>
      <c r="F23" s="196" t="s">
        <v>372</v>
      </c>
      <c r="G23" s="196">
        <v>283.60000000000002</v>
      </c>
      <c r="H23" s="196">
        <v>8.0000000000000002E-3</v>
      </c>
      <c r="I23" s="196">
        <v>8.9999999999999998E-4</v>
      </c>
      <c r="J23" s="196">
        <v>7.0000000000000007E-2</v>
      </c>
      <c r="K23" s="196" t="s">
        <v>584</v>
      </c>
      <c r="L23" s="196">
        <v>1029.0899999999999</v>
      </c>
      <c r="M23" s="196" t="s">
        <v>495</v>
      </c>
      <c r="N23" s="196">
        <v>29.25</v>
      </c>
      <c r="O23" s="196">
        <v>1510113600</v>
      </c>
      <c r="P23" s="196">
        <v>0</v>
      </c>
      <c r="Q23" s="196">
        <v>2.23</v>
      </c>
      <c r="R23" s="196">
        <v>358</v>
      </c>
      <c r="S23" s="196">
        <v>1.1599999999999999</v>
      </c>
      <c r="T23" s="196">
        <v>0.3</v>
      </c>
    </row>
    <row r="24" spans="1:20" x14ac:dyDescent="0.3">
      <c r="A24" s="196">
        <v>29.33</v>
      </c>
      <c r="B24" s="196">
        <v>0.81</v>
      </c>
      <c r="C24" s="196">
        <v>27.15</v>
      </c>
      <c r="D24" s="8">
        <v>43046.916666666664</v>
      </c>
      <c r="E24" s="196">
        <v>0.91</v>
      </c>
      <c r="F24" s="196" t="s">
        <v>372</v>
      </c>
      <c r="G24" s="196">
        <v>284.66000000000003</v>
      </c>
      <c r="H24" s="196">
        <v>2E-3</v>
      </c>
      <c r="I24" s="196">
        <v>2.0000000000000001E-4</v>
      </c>
      <c r="J24" s="196">
        <v>0.02</v>
      </c>
      <c r="K24" s="196" t="s">
        <v>584</v>
      </c>
      <c r="L24" s="196">
        <v>1028.17</v>
      </c>
      <c r="M24" s="196" t="s">
        <v>495</v>
      </c>
      <c r="N24" s="196">
        <v>29.33</v>
      </c>
      <c r="O24" s="196">
        <v>1510117200</v>
      </c>
      <c r="P24" s="196">
        <v>0</v>
      </c>
      <c r="Q24" s="196">
        <v>2.52</v>
      </c>
      <c r="R24" s="196">
        <v>144</v>
      </c>
      <c r="S24" s="196">
        <v>2.3199999999999998</v>
      </c>
      <c r="T24" s="196">
        <v>0.68</v>
      </c>
    </row>
    <row r="25" spans="1:20" x14ac:dyDescent="0.3">
      <c r="A25" s="196">
        <v>29.47</v>
      </c>
      <c r="B25" s="196">
        <v>0.93</v>
      </c>
      <c r="C25" s="196">
        <v>27.17</v>
      </c>
      <c r="D25" s="8">
        <v>43046.958333333336</v>
      </c>
      <c r="E25" s="196">
        <v>0.91</v>
      </c>
      <c r="F25" s="196" t="s">
        <v>372</v>
      </c>
      <c r="G25" s="196">
        <v>285.24</v>
      </c>
      <c r="H25" s="196"/>
      <c r="I25" s="196">
        <v>0</v>
      </c>
      <c r="J25" s="196">
        <v>0</v>
      </c>
      <c r="K25" s="196"/>
      <c r="L25" s="196">
        <v>1027.8800000000001</v>
      </c>
      <c r="M25" s="196" t="s">
        <v>495</v>
      </c>
      <c r="N25" s="196">
        <v>29.47</v>
      </c>
      <c r="O25" s="196">
        <v>1510120800</v>
      </c>
      <c r="P25" s="196">
        <v>0</v>
      </c>
      <c r="Q25" s="196">
        <v>2.8</v>
      </c>
      <c r="R25" s="196">
        <v>124</v>
      </c>
      <c r="S25" s="196">
        <v>2.89</v>
      </c>
      <c r="T25" s="196">
        <v>0.82</v>
      </c>
    </row>
    <row r="26" spans="1:20" x14ac:dyDescent="0.3">
      <c r="A26" s="196">
        <v>29.13</v>
      </c>
      <c r="B26" s="196">
        <v>0.78</v>
      </c>
      <c r="C26" s="196">
        <v>26.66</v>
      </c>
      <c r="D26" s="8">
        <v>43047</v>
      </c>
      <c r="E26" s="196">
        <v>0.9</v>
      </c>
      <c r="F26" s="196" t="s">
        <v>372</v>
      </c>
      <c r="G26" s="196">
        <v>284.77</v>
      </c>
      <c r="H26" s="196"/>
      <c r="I26" s="196">
        <v>0</v>
      </c>
      <c r="J26" s="196">
        <v>0</v>
      </c>
      <c r="K26" s="196"/>
      <c r="L26" s="196">
        <v>1026.96</v>
      </c>
      <c r="M26" s="196" t="s">
        <v>495</v>
      </c>
      <c r="N26" s="196">
        <v>29.13</v>
      </c>
      <c r="O26" s="196">
        <v>1510124400</v>
      </c>
      <c r="P26" s="196">
        <v>0</v>
      </c>
      <c r="Q26" s="196">
        <v>2.65</v>
      </c>
      <c r="R26" s="196">
        <v>104</v>
      </c>
      <c r="S26" s="196">
        <v>2.4</v>
      </c>
      <c r="T26" s="196">
        <v>0.85</v>
      </c>
    </row>
    <row r="27" spans="1:20" x14ac:dyDescent="0.3">
      <c r="A27" s="196">
        <v>28.31</v>
      </c>
      <c r="B27" s="196">
        <v>0.69</v>
      </c>
      <c r="C27" s="196">
        <v>26.21</v>
      </c>
      <c r="D27" s="8">
        <v>43047.041666666664</v>
      </c>
      <c r="E27" s="196">
        <v>0.92</v>
      </c>
      <c r="F27" s="196" t="s">
        <v>372</v>
      </c>
      <c r="G27" s="196">
        <v>283.94</v>
      </c>
      <c r="H27" s="196"/>
      <c r="I27" s="196">
        <v>0</v>
      </c>
      <c r="J27" s="196">
        <v>0</v>
      </c>
      <c r="K27" s="196"/>
      <c r="L27" s="196">
        <v>1026.9000000000001</v>
      </c>
      <c r="M27" s="196" t="s">
        <v>495</v>
      </c>
      <c r="N27" s="196">
        <v>28.31</v>
      </c>
      <c r="O27" s="196">
        <v>1510128000</v>
      </c>
      <c r="P27" s="196">
        <v>0</v>
      </c>
      <c r="Q27" s="196">
        <v>2.4900000000000002</v>
      </c>
      <c r="R27" s="196">
        <v>359</v>
      </c>
      <c r="S27" s="196">
        <v>3.49</v>
      </c>
      <c r="T27" s="196">
        <v>0.95</v>
      </c>
    </row>
    <row r="28" spans="1:20" x14ac:dyDescent="0.3">
      <c r="A28" s="196">
        <v>28.34</v>
      </c>
      <c r="B28" s="196">
        <v>0.74</v>
      </c>
      <c r="C28" s="196">
        <v>26.2</v>
      </c>
      <c r="D28" s="8">
        <v>43047.083333333336</v>
      </c>
      <c r="E28" s="196">
        <v>0.92</v>
      </c>
      <c r="F28" s="196" t="s">
        <v>372</v>
      </c>
      <c r="G28" s="196">
        <v>283</v>
      </c>
      <c r="H28" s="196"/>
      <c r="I28" s="196">
        <v>0</v>
      </c>
      <c r="J28" s="196">
        <v>0</v>
      </c>
      <c r="K28" s="196"/>
      <c r="L28" s="196">
        <v>1026.82</v>
      </c>
      <c r="M28" s="196" t="s">
        <v>495</v>
      </c>
      <c r="N28" s="196">
        <v>28.34</v>
      </c>
      <c r="O28" s="196">
        <v>1510131600</v>
      </c>
      <c r="P28" s="196">
        <v>0</v>
      </c>
      <c r="Q28" s="196">
        <v>2.35</v>
      </c>
      <c r="R28" s="196">
        <v>351</v>
      </c>
      <c r="S28" s="196">
        <v>4.18</v>
      </c>
      <c r="T28" s="196">
        <v>1.5</v>
      </c>
    </row>
    <row r="29" spans="1:20" x14ac:dyDescent="0.3">
      <c r="A29" s="196">
        <v>27.22</v>
      </c>
      <c r="B29" s="196">
        <v>0.63</v>
      </c>
      <c r="C29" s="196">
        <v>25.19</v>
      </c>
      <c r="D29" s="8">
        <v>43047.125</v>
      </c>
      <c r="E29" s="196">
        <v>0.92</v>
      </c>
      <c r="F29" s="196" t="s">
        <v>372</v>
      </c>
      <c r="G29" s="196">
        <v>282.41000000000003</v>
      </c>
      <c r="H29" s="196"/>
      <c r="I29" s="196">
        <v>0</v>
      </c>
      <c r="J29" s="196">
        <v>0</v>
      </c>
      <c r="K29" s="196"/>
      <c r="L29" s="196">
        <v>1027.07</v>
      </c>
      <c r="M29" s="196" t="s">
        <v>495</v>
      </c>
      <c r="N29" s="196">
        <v>27.22</v>
      </c>
      <c r="O29" s="196">
        <v>1510135200</v>
      </c>
      <c r="P29" s="196">
        <v>0</v>
      </c>
      <c r="Q29" s="196">
        <v>4.29</v>
      </c>
      <c r="R29" s="196">
        <v>12</v>
      </c>
      <c r="S29" s="196">
        <v>4.07</v>
      </c>
      <c r="T29" s="196">
        <v>1.1599999999999999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1" t="s">
        <v>179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" thickBot="1" x14ac:dyDescent="0.35">
      <c r="A2" s="12">
        <v>43046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1068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1069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1070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3">
      <c r="C21" t="s">
        <v>1071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1072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1073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3">
      <c r="C24" t="s">
        <v>1074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1075</v>
      </c>
      <c r="J25" s="140" t="s">
        <v>144</v>
      </c>
      <c r="M25" s="154" t="b">
        <v>1</v>
      </c>
    </row>
    <row r="26" spans="3:24" x14ac:dyDescent="0.3">
      <c r="C26" t="s">
        <v>1076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%USERPROFILE%\Documents\GitHub\eaglep3-reporting\EC\2017-11-07-refined-times.txt</v>
      </c>
    </row>
    <row r="27" spans="3:24" x14ac:dyDescent="0.3">
      <c r="C27" t="s">
        <v>1077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%USERPROFILE%\Documents\GitHub\eaglep3-reporting\EC\2017-11-07-Enforcements.txt</v>
      </c>
    </row>
    <row r="28" spans="3:24" x14ac:dyDescent="0.3">
      <c r="C28" t="s">
        <v>1078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%USERPROFILE%\Documents\GitHub\eaglep3-reporting\EC\2017-11-07-Runs-refined.txt</v>
      </c>
    </row>
    <row r="29" spans="3:24" x14ac:dyDescent="0.3">
      <c r="C29" t="s">
        <v>1079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%USERPROFILE%\Documents\GitHub\eaglep3-reporting\EC\2017-11-07-Trips.txt</v>
      </c>
    </row>
    <row r="30" spans="3:24" x14ac:dyDescent="0.3">
      <c r="C30" t="s">
        <v>1080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%USERPROFILE%\Documents\GitHub\eaglep3-reporting\EC\2017-11-07-Weather.txt</v>
      </c>
    </row>
    <row r="31" spans="3:24" x14ac:dyDescent="0.3">
      <c r="C31" t="s">
        <v>1081</v>
      </c>
      <c r="J31" s="140" t="s">
        <v>188</v>
      </c>
      <c r="M31" s="154" t="s">
        <v>189</v>
      </c>
    </row>
    <row r="32" spans="3:24" x14ac:dyDescent="0.3">
      <c r="C32" t="s">
        <v>1082</v>
      </c>
    </row>
    <row r="33" spans="3:3" x14ac:dyDescent="0.3">
      <c r="C33" t="s">
        <v>1083</v>
      </c>
    </row>
    <row r="34" spans="3:3" x14ac:dyDescent="0.3">
      <c r="C34" t="s">
        <v>1084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355</v>
      </c>
      <c r="J1" s="168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2017-11-08T15:47:57Z</dcterms:modified>
</cp:coreProperties>
</file>