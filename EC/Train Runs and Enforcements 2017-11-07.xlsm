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Enforcements!$A$6:$AC$31</definedName>
    <definedName name="_xlnm._FilterDatabase" localSheetId="2" hidden="1">'Missing Trips'!$A$2:$J$26</definedName>
    <definedName name="_xlnm._FilterDatabase" localSheetId="0" hidden="1">'Train Runs'!$A$12:$AG$453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5" i="1" l="1"/>
  <c r="K204" i="1"/>
  <c r="L204" i="1"/>
  <c r="M204" i="1"/>
  <c r="N204" i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X201" i="1"/>
  <c r="X197" i="1"/>
  <c r="K200" i="1"/>
  <c r="L200" i="1"/>
  <c r="M200" i="1"/>
  <c r="N200" i="1" s="1"/>
  <c r="V200" i="1"/>
  <c r="AA200" i="1"/>
  <c r="AB200" i="1"/>
  <c r="AC200" i="1"/>
  <c r="AD200" i="1"/>
  <c r="T200" i="1" s="1"/>
  <c r="AE200" i="1"/>
  <c r="AF200" i="1"/>
  <c r="AH200" i="1"/>
  <c r="AM200" i="1"/>
  <c r="AN200" i="1"/>
  <c r="AO200" i="1"/>
  <c r="K196" i="1"/>
  <c r="L196" i="1"/>
  <c r="M196" i="1"/>
  <c r="N196" i="1" s="1"/>
  <c r="V196" i="1"/>
  <c r="AA196" i="1"/>
  <c r="AB196" i="1"/>
  <c r="AC196" i="1"/>
  <c r="AD196" i="1"/>
  <c r="T196" i="1" s="1"/>
  <c r="AE196" i="1"/>
  <c r="AF196" i="1"/>
  <c r="AH196" i="1"/>
  <c r="AM196" i="1"/>
  <c r="AN196" i="1"/>
  <c r="AO196" i="1"/>
  <c r="X189" i="1"/>
  <c r="K188" i="1"/>
  <c r="L188" i="1"/>
  <c r="M188" i="1"/>
  <c r="N188" i="1"/>
  <c r="V188" i="1"/>
  <c r="AA188" i="1"/>
  <c r="AB188" i="1"/>
  <c r="AC188" i="1"/>
  <c r="AD188" i="1"/>
  <c r="T188" i="1" s="1"/>
  <c r="AE188" i="1"/>
  <c r="AF188" i="1"/>
  <c r="AH188" i="1"/>
  <c r="AM188" i="1"/>
  <c r="AN188" i="1"/>
  <c r="AO188" i="1"/>
  <c r="X183" i="1"/>
  <c r="K182" i="1"/>
  <c r="L182" i="1"/>
  <c r="M182" i="1"/>
  <c r="N182" i="1"/>
  <c r="V182" i="1"/>
  <c r="X182" i="1"/>
  <c r="AA182" i="1"/>
  <c r="AB182" i="1"/>
  <c r="AC182" i="1"/>
  <c r="AD182" i="1"/>
  <c r="T182" i="1" s="1"/>
  <c r="AE182" i="1"/>
  <c r="AF182" i="1"/>
  <c r="AH182" i="1"/>
  <c r="AM182" i="1"/>
  <c r="AN182" i="1"/>
  <c r="AO182" i="1"/>
  <c r="X177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36" i="1"/>
  <c r="L136" i="1"/>
  <c r="M136" i="1"/>
  <c r="N136" i="1" s="1"/>
  <c r="V136" i="1"/>
  <c r="AA136" i="1"/>
  <c r="AB136" i="1"/>
  <c r="AC136" i="1"/>
  <c r="AD136" i="1"/>
  <c r="T136" i="1" s="1"/>
  <c r="AE136" i="1"/>
  <c r="AF136" i="1"/>
  <c r="AH136" i="1"/>
  <c r="AM136" i="1"/>
  <c r="AN136" i="1"/>
  <c r="AO136" i="1"/>
  <c r="AG204" i="1"/>
  <c r="AG200" i="1"/>
  <c r="AG196" i="1"/>
  <c r="AG188" i="1"/>
  <c r="AG182" i="1"/>
  <c r="AG153" i="1"/>
  <c r="AG136" i="1"/>
  <c r="AI204" i="1" l="1"/>
  <c r="U204" i="1"/>
  <c r="S204" i="1" s="1"/>
  <c r="W204" i="1"/>
  <c r="X204" i="1"/>
  <c r="X200" i="1"/>
  <c r="U200" i="1"/>
  <c r="S200" i="1" s="1"/>
  <c r="AI200" i="1"/>
  <c r="W200" i="1"/>
  <c r="AI196" i="1"/>
  <c r="U196" i="1"/>
  <c r="S196" i="1" s="1"/>
  <c r="W196" i="1"/>
  <c r="X196" i="1"/>
  <c r="X188" i="1"/>
  <c r="U188" i="1"/>
  <c r="S188" i="1" s="1"/>
  <c r="AI188" i="1"/>
  <c r="W188" i="1"/>
  <c r="U182" i="1"/>
  <c r="S182" i="1" s="1"/>
  <c r="AI182" i="1"/>
  <c r="W182" i="1"/>
  <c r="U153" i="1"/>
  <c r="S153" i="1" s="1"/>
  <c r="AI153" i="1"/>
  <c r="W153" i="1"/>
  <c r="U136" i="1"/>
  <c r="S136" i="1" s="1"/>
  <c r="AI136" i="1"/>
  <c r="W13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S18" i="3" s="1"/>
  <c r="Y20" i="1"/>
  <c r="Z20" i="1"/>
  <c r="AB20" i="1"/>
  <c r="AC20" i="1"/>
  <c r="AD20" i="1"/>
  <c r="T20" i="1" s="1"/>
  <c r="AE20" i="1"/>
  <c r="R18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17" i="3" s="1"/>
  <c r="Y38" i="1"/>
  <c r="Z38" i="1"/>
  <c r="AB38" i="1"/>
  <c r="AC38" i="1"/>
  <c r="AD38" i="1"/>
  <c r="AE38" i="1"/>
  <c r="R17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8" i="3" s="1"/>
  <c r="Y52" i="1"/>
  <c r="Z52" i="1"/>
  <c r="AB52" i="1"/>
  <c r="AC52" i="1"/>
  <c r="AD52" i="1"/>
  <c r="AE52" i="1"/>
  <c r="R8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S9" i="3" s="1"/>
  <c r="Y58" i="1"/>
  <c r="Z58" i="1"/>
  <c r="AB58" i="1"/>
  <c r="AC58" i="1"/>
  <c r="AD58" i="1"/>
  <c r="AE58" i="1"/>
  <c r="R9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14" i="3" s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S13" i="3" s="1"/>
  <c r="Y84" i="1"/>
  <c r="Z84" i="1"/>
  <c r="AB84" i="1"/>
  <c r="AC84" i="1"/>
  <c r="AD84" i="1"/>
  <c r="AE84" i="1"/>
  <c r="R13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S12" i="3" s="1"/>
  <c r="Y105" i="1"/>
  <c r="Z105" i="1"/>
  <c r="AB105" i="1"/>
  <c r="AC105" i="1"/>
  <c r="AD105" i="1"/>
  <c r="AE105" i="1"/>
  <c r="R12" i="3" s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S7" i="3" s="1"/>
  <c r="Y114" i="1"/>
  <c r="Z114" i="1"/>
  <c r="AB114" i="1"/>
  <c r="AC114" i="1"/>
  <c r="AD114" i="1"/>
  <c r="AE114" i="1"/>
  <c r="R7" i="3" s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S10" i="3" s="1"/>
  <c r="Y133" i="1"/>
  <c r="Z133" i="1"/>
  <c r="AB133" i="1"/>
  <c r="AC133" i="1"/>
  <c r="AD133" i="1"/>
  <c r="AE133" i="1"/>
  <c r="R15" i="3" s="1"/>
  <c r="AF133" i="1"/>
  <c r="AH133" i="1"/>
  <c r="AM133" i="1"/>
  <c r="AN133" i="1"/>
  <c r="AO133" i="1"/>
  <c r="K134" i="1"/>
  <c r="L134" i="1"/>
  <c r="M134" i="1"/>
  <c r="N134" i="1" s="1"/>
  <c r="V134" i="1"/>
  <c r="S19" i="3" s="1"/>
  <c r="Y134" i="1"/>
  <c r="Z134" i="1"/>
  <c r="AB134" i="1"/>
  <c r="AC134" i="1"/>
  <c r="AD134" i="1"/>
  <c r="T134" i="1" s="1"/>
  <c r="AE134" i="1"/>
  <c r="R19" i="3" s="1"/>
  <c r="AF134" i="1"/>
  <c r="AH134" i="1"/>
  <c r="AM134" i="1"/>
  <c r="AN134" i="1"/>
  <c r="AO134" i="1"/>
  <c r="K135" i="1"/>
  <c r="L135" i="1"/>
  <c r="M135" i="1"/>
  <c r="N135" i="1" s="1"/>
  <c r="V135" i="1"/>
  <c r="S16" i="3" s="1"/>
  <c r="Y135" i="1"/>
  <c r="Z135" i="1"/>
  <c r="AB135" i="1"/>
  <c r="AC135" i="1"/>
  <c r="AD135" i="1"/>
  <c r="X136" i="1" s="1"/>
  <c r="AE135" i="1"/>
  <c r="R16" i="3" s="1"/>
  <c r="AF135" i="1"/>
  <c r="AH135" i="1"/>
  <c r="AM135" i="1"/>
  <c r="AN135" i="1"/>
  <c r="AO135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P138" i="1" s="1"/>
  <c r="V138" i="1"/>
  <c r="S20" i="3" s="1"/>
  <c r="Y138" i="1"/>
  <c r="Z138" i="1"/>
  <c r="AB138" i="1"/>
  <c r="AC138" i="1"/>
  <c r="AD138" i="1"/>
  <c r="AE138" i="1"/>
  <c r="R20" i="3" s="1"/>
  <c r="AF138" i="1"/>
  <c r="AH138" i="1"/>
  <c r="AM138" i="1"/>
  <c r="AN138" i="1"/>
  <c r="AO138" i="1"/>
  <c r="K139" i="1"/>
  <c r="L139" i="1"/>
  <c r="M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X153" i="1" s="1"/>
  <c r="AE152" i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0" i="1"/>
  <c r="AM170" i="1"/>
  <c r="AN170" i="1"/>
  <c r="AO170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K233" i="1"/>
  <c r="L233" i="1"/>
  <c r="M233" i="1"/>
  <c r="N233" i="1" s="1"/>
  <c r="V233" i="1"/>
  <c r="S30" i="3" s="1"/>
  <c r="Y233" i="1"/>
  <c r="Z233" i="1"/>
  <c r="AB233" i="1"/>
  <c r="AC233" i="1"/>
  <c r="AD233" i="1"/>
  <c r="AE233" i="1"/>
  <c r="R30" i="3" s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AO183" i="1"/>
  <c r="K239" i="1"/>
  <c r="L239" i="1"/>
  <c r="M239" i="1"/>
  <c r="N239" i="1" s="1"/>
  <c r="V239" i="1"/>
  <c r="S29" i="3" s="1"/>
  <c r="Y239" i="1"/>
  <c r="Z239" i="1"/>
  <c r="AB239" i="1"/>
  <c r="AC239" i="1"/>
  <c r="AD239" i="1"/>
  <c r="T239" i="1" s="1"/>
  <c r="AE239" i="1"/>
  <c r="R29" i="3" s="1"/>
  <c r="AF239" i="1"/>
  <c r="AH184" i="1"/>
  <c r="AM184" i="1"/>
  <c r="AN184" i="1"/>
  <c r="AO184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6" i="1"/>
  <c r="AM186" i="1"/>
  <c r="AN186" i="1"/>
  <c r="AO186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7" i="1"/>
  <c r="AM187" i="1"/>
  <c r="AN187" i="1"/>
  <c r="AO187" i="1"/>
  <c r="K159" i="1"/>
  <c r="L159" i="1"/>
  <c r="M159" i="1"/>
  <c r="N159" i="1" s="1"/>
  <c r="V159" i="1"/>
  <c r="S21" i="3" s="1"/>
  <c r="Y159" i="1"/>
  <c r="Z159" i="1"/>
  <c r="AB159" i="1"/>
  <c r="AC159" i="1"/>
  <c r="AD159" i="1"/>
  <c r="T159" i="1" s="1"/>
  <c r="AE159" i="1"/>
  <c r="R21" i="3" s="1"/>
  <c r="AF159" i="1"/>
  <c r="AH189" i="1"/>
  <c r="AM189" i="1"/>
  <c r="AN189" i="1"/>
  <c r="AO189" i="1"/>
  <c r="K160" i="1"/>
  <c r="L160" i="1"/>
  <c r="M160" i="1"/>
  <c r="N160" i="1" s="1"/>
  <c r="V160" i="1"/>
  <c r="S28" i="3" s="1"/>
  <c r="Y160" i="1"/>
  <c r="Z160" i="1"/>
  <c r="AB160" i="1"/>
  <c r="AC160" i="1"/>
  <c r="AD160" i="1"/>
  <c r="T160" i="1" s="1"/>
  <c r="AE160" i="1"/>
  <c r="R28" i="3" s="1"/>
  <c r="AF160" i="1"/>
  <c r="AH190" i="1"/>
  <c r="AM190" i="1"/>
  <c r="AN190" i="1"/>
  <c r="AO19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1" i="1"/>
  <c r="AM191" i="1"/>
  <c r="AN191" i="1"/>
  <c r="AO19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2" i="1"/>
  <c r="AM192" i="1"/>
  <c r="AN192" i="1"/>
  <c r="AO19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3" i="1"/>
  <c r="AM193" i="1"/>
  <c r="AN193" i="1"/>
  <c r="AO19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4" i="1"/>
  <c r="AM194" i="1"/>
  <c r="AN194" i="1"/>
  <c r="AO194" i="1"/>
  <c r="K165" i="1"/>
  <c r="L165" i="1"/>
  <c r="M165" i="1"/>
  <c r="N165" i="1" s="1"/>
  <c r="V165" i="1"/>
  <c r="S23" i="3" s="1"/>
  <c r="Y165" i="1"/>
  <c r="Z165" i="1"/>
  <c r="AB165" i="1"/>
  <c r="AC165" i="1"/>
  <c r="AD165" i="1"/>
  <c r="T165" i="1" s="1"/>
  <c r="AE165" i="1"/>
  <c r="R23" i="3" s="1"/>
  <c r="AF165" i="1"/>
  <c r="AH195" i="1"/>
  <c r="AM195" i="1"/>
  <c r="AN195" i="1"/>
  <c r="AO19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7" i="1"/>
  <c r="AM197" i="1"/>
  <c r="AN197" i="1"/>
  <c r="AO19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8" i="1"/>
  <c r="AM198" i="1"/>
  <c r="AN198" i="1"/>
  <c r="AO1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9" i="1"/>
  <c r="AM199" i="1"/>
  <c r="AN199" i="1"/>
  <c r="AO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1" i="1"/>
  <c r="AM201" i="1"/>
  <c r="AN201" i="1"/>
  <c r="AO201" i="1"/>
  <c r="K170" i="1"/>
  <c r="L170" i="1"/>
  <c r="M170" i="1"/>
  <c r="N170" i="1" s="1"/>
  <c r="V170" i="1"/>
  <c r="S24" i="3" s="1"/>
  <c r="Y170" i="1"/>
  <c r="Z170" i="1"/>
  <c r="AB170" i="1"/>
  <c r="AC170" i="1"/>
  <c r="AD170" i="1"/>
  <c r="AE170" i="1"/>
  <c r="R24" i="3" s="1"/>
  <c r="AF170" i="1"/>
  <c r="AH202" i="1"/>
  <c r="AM202" i="1"/>
  <c r="AN202" i="1"/>
  <c r="AO20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3" i="1"/>
  <c r="AM203" i="1"/>
  <c r="AN203" i="1"/>
  <c r="AO20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5" i="1"/>
  <c r="AM205" i="1"/>
  <c r="AN205" i="1"/>
  <c r="AO20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6" i="1"/>
  <c r="AM206" i="1"/>
  <c r="AN206" i="1"/>
  <c r="AO2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7" i="1"/>
  <c r="AM207" i="1"/>
  <c r="AN207" i="1"/>
  <c r="AO2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9" i="1"/>
  <c r="AM209" i="1"/>
  <c r="AN209" i="1"/>
  <c r="AO209" i="1"/>
  <c r="AH210" i="1"/>
  <c r="AM210" i="1"/>
  <c r="AN210" i="1"/>
  <c r="AO21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1" i="1"/>
  <c r="AM211" i="1"/>
  <c r="AN211" i="1"/>
  <c r="AO211" i="1"/>
  <c r="K178" i="1"/>
  <c r="L178" i="1"/>
  <c r="M178" i="1"/>
  <c r="N178" i="1" s="1"/>
  <c r="V178" i="1"/>
  <c r="S25" i="3" s="1"/>
  <c r="AB178" i="1"/>
  <c r="AC178" i="1"/>
  <c r="AD178" i="1"/>
  <c r="T178" i="1" s="1"/>
  <c r="AE178" i="1"/>
  <c r="R25" i="3" s="1"/>
  <c r="AF178" i="1"/>
  <c r="AH212" i="1"/>
  <c r="AM212" i="1"/>
  <c r="AN212" i="1"/>
  <c r="AO212" i="1"/>
  <c r="K179" i="1"/>
  <c r="L179" i="1"/>
  <c r="M179" i="1"/>
  <c r="N179" i="1" s="1"/>
  <c r="V179" i="1"/>
  <c r="S22" i="3" s="1"/>
  <c r="Y179" i="1"/>
  <c r="Z179" i="1"/>
  <c r="AB179" i="1"/>
  <c r="AC179" i="1"/>
  <c r="AD179" i="1"/>
  <c r="T179" i="1" s="1"/>
  <c r="AE179" i="1"/>
  <c r="R22" i="3" s="1"/>
  <c r="AF179" i="1"/>
  <c r="AH213" i="1"/>
  <c r="AM213" i="1"/>
  <c r="AN213" i="1"/>
  <c r="AO213" i="1"/>
  <c r="K180" i="1"/>
  <c r="L180" i="1"/>
  <c r="M180" i="1"/>
  <c r="N180" i="1" s="1"/>
  <c r="V180" i="1"/>
  <c r="S27" i="3" s="1"/>
  <c r="Y180" i="1"/>
  <c r="Z180" i="1"/>
  <c r="AB180" i="1"/>
  <c r="AC180" i="1"/>
  <c r="AD180" i="1"/>
  <c r="T180" i="1" s="1"/>
  <c r="AE180" i="1"/>
  <c r="R27" i="3" s="1"/>
  <c r="AF180" i="1"/>
  <c r="AH214" i="1"/>
  <c r="AM214" i="1"/>
  <c r="AN214" i="1"/>
  <c r="AO21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5" i="1"/>
  <c r="AM215" i="1"/>
  <c r="AN215" i="1"/>
  <c r="AO21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6" i="1"/>
  <c r="AM216" i="1"/>
  <c r="AN216" i="1"/>
  <c r="AO2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7" i="1"/>
  <c r="AM217" i="1"/>
  <c r="AN217" i="1"/>
  <c r="AO217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8" i="1"/>
  <c r="AM218" i="1"/>
  <c r="AN218" i="1"/>
  <c r="AO21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9" i="1"/>
  <c r="AM219" i="1"/>
  <c r="AN219" i="1"/>
  <c r="AO219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0" i="1"/>
  <c r="AM220" i="1"/>
  <c r="AN220" i="1"/>
  <c r="AO2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1" i="1"/>
  <c r="AM221" i="1"/>
  <c r="AN221" i="1"/>
  <c r="AO22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2" i="1"/>
  <c r="AM222" i="1"/>
  <c r="AN222" i="1"/>
  <c r="AO22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3" i="1"/>
  <c r="AM223" i="1"/>
  <c r="AN223" i="1"/>
  <c r="AO22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4" i="1"/>
  <c r="AM224" i="1"/>
  <c r="AN224" i="1"/>
  <c r="AO2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5" i="1"/>
  <c r="AM225" i="1"/>
  <c r="AN225" i="1"/>
  <c r="AO22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6" i="1"/>
  <c r="AM226" i="1"/>
  <c r="AN226" i="1"/>
  <c r="AO22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7" i="1"/>
  <c r="AM227" i="1"/>
  <c r="AN227" i="1"/>
  <c r="AO2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8" i="1"/>
  <c r="AM228" i="1"/>
  <c r="AN228" i="1"/>
  <c r="AO22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9" i="1"/>
  <c r="AM229" i="1"/>
  <c r="AN229" i="1"/>
  <c r="AO2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AO23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1" i="1"/>
  <c r="AM231" i="1"/>
  <c r="AN231" i="1"/>
  <c r="AO23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2" i="1"/>
  <c r="AM232" i="1"/>
  <c r="AN232" i="1"/>
  <c r="AO23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3" i="1"/>
  <c r="AM233" i="1"/>
  <c r="AN233" i="1"/>
  <c r="AO23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4" i="1"/>
  <c r="AM234" i="1"/>
  <c r="AN234" i="1"/>
  <c r="AO23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5" i="1"/>
  <c r="AM235" i="1"/>
  <c r="AN235" i="1"/>
  <c r="AO235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6" i="1"/>
  <c r="AM236" i="1"/>
  <c r="AN236" i="1"/>
  <c r="AO23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7" i="1"/>
  <c r="AM237" i="1"/>
  <c r="AN237" i="1"/>
  <c r="AO23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8" i="1"/>
  <c r="AM238" i="1"/>
  <c r="AN238" i="1"/>
  <c r="AO23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9" i="1"/>
  <c r="AM239" i="1"/>
  <c r="AN239" i="1"/>
  <c r="AO23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0" i="1"/>
  <c r="AM240" i="1"/>
  <c r="AN240" i="1"/>
  <c r="AO24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1" i="1"/>
  <c r="AM241" i="1"/>
  <c r="AN241" i="1"/>
  <c r="AO241" i="1"/>
  <c r="M18" i="3"/>
  <c r="U18" i="3"/>
  <c r="T18" i="3" s="1"/>
  <c r="V18" i="3"/>
  <c r="X18" i="3"/>
  <c r="M21" i="3"/>
  <c r="U21" i="3"/>
  <c r="AC21" i="3" s="1"/>
  <c r="V21" i="3"/>
  <c r="X21" i="3"/>
  <c r="M28" i="3"/>
  <c r="U28" i="3"/>
  <c r="AC28" i="3" s="1"/>
  <c r="V28" i="3"/>
  <c r="X28" i="3"/>
  <c r="M23" i="3"/>
  <c r="U23" i="3"/>
  <c r="AC23" i="3" s="1"/>
  <c r="V23" i="3"/>
  <c r="X23" i="3"/>
  <c r="M17" i="3"/>
  <c r="U17" i="3"/>
  <c r="AC17" i="3" s="1"/>
  <c r="V17" i="3"/>
  <c r="X17" i="3"/>
  <c r="M24" i="3"/>
  <c r="U24" i="3"/>
  <c r="AC24" i="3" s="1"/>
  <c r="V24" i="3"/>
  <c r="X24" i="3"/>
  <c r="M8" i="3"/>
  <c r="U8" i="3"/>
  <c r="T8" i="3" s="1"/>
  <c r="V8" i="3"/>
  <c r="X8" i="3"/>
  <c r="M14" i="3"/>
  <c r="R14" i="3"/>
  <c r="U14" i="3"/>
  <c r="V14" i="3"/>
  <c r="X14" i="3"/>
  <c r="M9" i="3"/>
  <c r="U9" i="3"/>
  <c r="AC9" i="3" s="1"/>
  <c r="V9" i="3"/>
  <c r="X9" i="3"/>
  <c r="M30" i="3"/>
  <c r="U30" i="3"/>
  <c r="AC30" i="3" s="1"/>
  <c r="V30" i="3"/>
  <c r="X30" i="3"/>
  <c r="M25" i="3"/>
  <c r="U25" i="3"/>
  <c r="T25" i="3" s="1"/>
  <c r="V25" i="3"/>
  <c r="X25" i="3"/>
  <c r="M22" i="3"/>
  <c r="U22" i="3"/>
  <c r="V22" i="3"/>
  <c r="X22" i="3"/>
  <c r="M27" i="3"/>
  <c r="U27" i="3"/>
  <c r="AC27" i="3" s="1"/>
  <c r="V27" i="3"/>
  <c r="X27" i="3"/>
  <c r="M13" i="3"/>
  <c r="U13" i="3"/>
  <c r="AC13" i="3" s="1"/>
  <c r="V13" i="3"/>
  <c r="X13" i="3"/>
  <c r="M26" i="3"/>
  <c r="R26" i="3"/>
  <c r="S26" i="3"/>
  <c r="U26" i="3"/>
  <c r="T26" i="3" s="1"/>
  <c r="V26" i="3"/>
  <c r="X26" i="3"/>
  <c r="M12" i="3"/>
  <c r="U12" i="3"/>
  <c r="AC12" i="3" s="1"/>
  <c r="V12" i="3"/>
  <c r="X12" i="3"/>
  <c r="M7" i="3"/>
  <c r="U7" i="3"/>
  <c r="AC7" i="3" s="1"/>
  <c r="V7" i="3"/>
  <c r="X7" i="3"/>
  <c r="M29" i="3"/>
  <c r="U29" i="3"/>
  <c r="T29" i="3" s="1"/>
  <c r="V29" i="3"/>
  <c r="X29" i="3"/>
  <c r="M10" i="3"/>
  <c r="U10" i="3"/>
  <c r="V10" i="3"/>
  <c r="X10" i="3"/>
  <c r="M15" i="3"/>
  <c r="U15" i="3"/>
  <c r="AC15" i="3" s="1"/>
  <c r="V15" i="3"/>
  <c r="X15" i="3"/>
  <c r="M16" i="3"/>
  <c r="U16" i="3"/>
  <c r="AC16" i="3" s="1"/>
  <c r="V16" i="3"/>
  <c r="X16" i="3"/>
  <c r="M19" i="3"/>
  <c r="U19" i="3"/>
  <c r="T19" i="3" s="1"/>
  <c r="V19" i="3"/>
  <c r="X19" i="3"/>
  <c r="M20" i="3"/>
  <c r="U20" i="3"/>
  <c r="V20" i="3"/>
  <c r="X20" i="3"/>
  <c r="AG17" i="1"/>
  <c r="AG22" i="1"/>
  <c r="AG31" i="1"/>
  <c r="AG39" i="1"/>
  <c r="AG55" i="1"/>
  <c r="AG59" i="1"/>
  <c r="AG63" i="1"/>
  <c r="AG67" i="1"/>
  <c r="AG71" i="1"/>
  <c r="AG34" i="1"/>
  <c r="AG24" i="1"/>
  <c r="AG75" i="1"/>
  <c r="AG79" i="1"/>
  <c r="AG83" i="1"/>
  <c r="AG87" i="1"/>
  <c r="AG91" i="1"/>
  <c r="AG95" i="1"/>
  <c r="AG102" i="1"/>
  <c r="AG106" i="1"/>
  <c r="AG110" i="1"/>
  <c r="AG28" i="1"/>
  <c r="AG53" i="1"/>
  <c r="AG134" i="1"/>
  <c r="AG113" i="1"/>
  <c r="AG130" i="1"/>
  <c r="AG124" i="1"/>
  <c r="AG139" i="1"/>
  <c r="AG146" i="1"/>
  <c r="AG150" i="1"/>
  <c r="AG155" i="1"/>
  <c r="AG207" i="1"/>
  <c r="AG211" i="1"/>
  <c r="AG215" i="1"/>
  <c r="AG225" i="1"/>
  <c r="AG122" i="1"/>
  <c r="AG127" i="1"/>
  <c r="AG119" i="1"/>
  <c r="AG233" i="1"/>
  <c r="AG239" i="1"/>
  <c r="AG159" i="1"/>
  <c r="AG163" i="1"/>
  <c r="AG167" i="1"/>
  <c r="AG171" i="1"/>
  <c r="AG175" i="1"/>
  <c r="AG234" i="1"/>
  <c r="AG179" i="1"/>
  <c r="AG189" i="1"/>
  <c r="AG198" i="1"/>
  <c r="AG220" i="1"/>
  <c r="AG180" i="1"/>
  <c r="AG190" i="1"/>
  <c r="AG199" i="1"/>
  <c r="AG221" i="1"/>
  <c r="AG21" i="1"/>
  <c r="AG25" i="1"/>
  <c r="AG33" i="1"/>
  <c r="AG41" i="1"/>
  <c r="AG48" i="1"/>
  <c r="AG19" i="1"/>
  <c r="AG56" i="1"/>
  <c r="AG60" i="1"/>
  <c r="AG64" i="1"/>
  <c r="AG68" i="1"/>
  <c r="AG72" i="1"/>
  <c r="AG42" i="1"/>
  <c r="AG32" i="1"/>
  <c r="AG15" i="1"/>
  <c r="AG27" i="1"/>
  <c r="AG35" i="1"/>
  <c r="AG43" i="1"/>
  <c r="AG50" i="1"/>
  <c r="AG23" i="1"/>
  <c r="AG57" i="1"/>
  <c r="AG61" i="1"/>
  <c r="AG65" i="1"/>
  <c r="AG69" i="1"/>
  <c r="AG73" i="1"/>
  <c r="AG49" i="1"/>
  <c r="AG40" i="1"/>
  <c r="AG77" i="1"/>
  <c r="AG81" i="1"/>
  <c r="AG85" i="1"/>
  <c r="AG89" i="1"/>
  <c r="AG93" i="1"/>
  <c r="AG97" i="1"/>
  <c r="AG100" i="1"/>
  <c r="AG104" i="1"/>
  <c r="AG108" i="1"/>
  <c r="AG112" i="1"/>
  <c r="AG38" i="1"/>
  <c r="AG51" i="1"/>
  <c r="AG137" i="1"/>
  <c r="AG121" i="1"/>
  <c r="AG116" i="1"/>
  <c r="AG133" i="1"/>
  <c r="AG141" i="1"/>
  <c r="AG144" i="1"/>
  <c r="AG148" i="1"/>
  <c r="AG152" i="1"/>
  <c r="AG156" i="1"/>
  <c r="AG209" i="1"/>
  <c r="AG213" i="1"/>
  <c r="AG217" i="1"/>
  <c r="AG114" i="1"/>
  <c r="AG128" i="1"/>
  <c r="AG230" i="1"/>
  <c r="AG229" i="1"/>
  <c r="AG237" i="1"/>
  <c r="AG241" i="1"/>
  <c r="AG161" i="1"/>
  <c r="AG165" i="1"/>
  <c r="AG169" i="1"/>
  <c r="AG173" i="1"/>
  <c r="AG123" i="1"/>
  <c r="AG184" i="1"/>
  <c r="AG193" i="1"/>
  <c r="AG203" i="1"/>
  <c r="AG224" i="1"/>
  <c r="AG185" i="1"/>
  <c r="AG194" i="1"/>
  <c r="AG205" i="1"/>
  <c r="AG195" i="1"/>
  <c r="AG14" i="1"/>
  <c r="AG45" i="1"/>
  <c r="AG62" i="1"/>
  <c r="AG16" i="1"/>
  <c r="AG80" i="1"/>
  <c r="AG88" i="1"/>
  <c r="AG96" i="1"/>
  <c r="AG103" i="1"/>
  <c r="AG111" i="1"/>
  <c r="AG20" i="1"/>
  <c r="AG117" i="1"/>
  <c r="AG132" i="1"/>
  <c r="AG143" i="1"/>
  <c r="AG151" i="1"/>
  <c r="AG208" i="1"/>
  <c r="AG216" i="1"/>
  <c r="AG126" i="1"/>
  <c r="AG227" i="1"/>
  <c r="AG240" i="1"/>
  <c r="AG164" i="1"/>
  <c r="AG172" i="1"/>
  <c r="AG236" i="1"/>
  <c r="AG191" i="1"/>
  <c r="AG222" i="1"/>
  <c r="AG192" i="1"/>
  <c r="AG223" i="1"/>
  <c r="AG29" i="1"/>
  <c r="AG54" i="1"/>
  <c r="AG70" i="1"/>
  <c r="AG76" i="1"/>
  <c r="AG84" i="1"/>
  <c r="AG92" i="1"/>
  <c r="AG99" i="1"/>
  <c r="AG107" i="1"/>
  <c r="AG30" i="1"/>
  <c r="AG135" i="1"/>
  <c r="AG131" i="1"/>
  <c r="AG140" i="1"/>
  <c r="AG147" i="1"/>
  <c r="AG212" i="1"/>
  <c r="AG226" i="1"/>
  <c r="AG228" i="1"/>
  <c r="AG235" i="1"/>
  <c r="AG160" i="1"/>
  <c r="AG168" i="1"/>
  <c r="AG176" i="1"/>
  <c r="AG181" i="1"/>
  <c r="AG201" i="1"/>
  <c r="AG183" i="1"/>
  <c r="AG202" i="1"/>
  <c r="AG37" i="1"/>
  <c r="AG58" i="1"/>
  <c r="AG74" i="1"/>
  <c r="AG78" i="1"/>
  <c r="AG86" i="1"/>
  <c r="AG94" i="1"/>
  <c r="AG101" i="1"/>
  <c r="AG109" i="1"/>
  <c r="AG46" i="1"/>
  <c r="AG44" i="1"/>
  <c r="AG120" i="1"/>
  <c r="AG142" i="1"/>
  <c r="AG149" i="1"/>
  <c r="AG157" i="1"/>
  <c r="AG214" i="1"/>
  <c r="AG118" i="1"/>
  <c r="AG115" i="1"/>
  <c r="AG238" i="1"/>
  <c r="AG162" i="1"/>
  <c r="AG170" i="1"/>
  <c r="AG232" i="1"/>
  <c r="AG186" i="1"/>
  <c r="AG206" i="1"/>
  <c r="AG187" i="1"/>
  <c r="AG219" i="1"/>
  <c r="AG18" i="1"/>
  <c r="AG52" i="1"/>
  <c r="AG66" i="1"/>
  <c r="AG47" i="1"/>
  <c r="AG82" i="1"/>
  <c r="AG90" i="1"/>
  <c r="AG98" i="1"/>
  <c r="AG105" i="1"/>
  <c r="AG26" i="1"/>
  <c r="AG36" i="1"/>
  <c r="AG125" i="1"/>
  <c r="AG138" i="1"/>
  <c r="AG145" i="1"/>
  <c r="AG154" i="1"/>
  <c r="AG210" i="1"/>
  <c r="AG218" i="1"/>
  <c r="AG129" i="1"/>
  <c r="AG231" i="1"/>
  <c r="AG158" i="1"/>
  <c r="AG166" i="1"/>
  <c r="AG174" i="1"/>
  <c r="AG177" i="1"/>
  <c r="AG178" i="1"/>
  <c r="AG197" i="1"/>
  <c r="W21" i="3"/>
  <c r="W12" i="3"/>
  <c r="W25" i="3"/>
  <c r="W9" i="3"/>
  <c r="W13" i="3"/>
  <c r="W8" i="3"/>
  <c r="W22" i="3"/>
  <c r="W24" i="3"/>
  <c r="W15" i="3"/>
  <c r="W30" i="3"/>
  <c r="W18" i="3"/>
  <c r="W17" i="3"/>
  <c r="W10" i="3"/>
  <c r="W29" i="3"/>
  <c r="W27" i="3"/>
  <c r="W23" i="3"/>
  <c r="W7" i="3"/>
  <c r="W26" i="3"/>
  <c r="W14" i="3"/>
  <c r="W20" i="3"/>
  <c r="W28" i="3"/>
  <c r="W16" i="3"/>
  <c r="W19" i="3"/>
  <c r="X99" i="1" l="1"/>
  <c r="X47" i="1"/>
  <c r="AA201" i="1"/>
  <c r="AA110" i="1"/>
  <c r="W110" i="1" s="1"/>
  <c r="AA106" i="1"/>
  <c r="AA102" i="1"/>
  <c r="W102" i="1" s="1"/>
  <c r="AA98" i="1"/>
  <c r="AA94" i="1"/>
  <c r="W94" i="1" s="1"/>
  <c r="AA90" i="1"/>
  <c r="AA86" i="1"/>
  <c r="W86" i="1" s="1"/>
  <c r="AA82" i="1"/>
  <c r="AA78" i="1"/>
  <c r="W78" i="1" s="1"/>
  <c r="AA74" i="1"/>
  <c r="AA70" i="1"/>
  <c r="W70" i="1" s="1"/>
  <c r="AA66" i="1"/>
  <c r="AA62" i="1"/>
  <c r="AA50" i="1"/>
  <c r="AA45" i="1"/>
  <c r="W45" i="1" s="1"/>
  <c r="AA41" i="1"/>
  <c r="AA37" i="1"/>
  <c r="W37" i="1" s="1"/>
  <c r="AA33" i="1"/>
  <c r="S15" i="3"/>
  <c r="T137" i="1"/>
  <c r="X137" i="1"/>
  <c r="AA194" i="1"/>
  <c r="AA189" i="1"/>
  <c r="W189" i="1" s="1"/>
  <c r="AA184" i="1"/>
  <c r="AA179" i="1"/>
  <c r="W179" i="1" s="1"/>
  <c r="X175" i="1"/>
  <c r="AA172" i="1"/>
  <c r="AA168" i="1"/>
  <c r="AA164" i="1"/>
  <c r="W164" i="1" s="1"/>
  <c r="AA218" i="1"/>
  <c r="AA214" i="1"/>
  <c r="W214" i="1" s="1"/>
  <c r="AA210" i="1"/>
  <c r="AA133" i="1"/>
  <c r="W133" i="1" s="1"/>
  <c r="AA128" i="1"/>
  <c r="AA125" i="1"/>
  <c r="W125" i="1" s="1"/>
  <c r="AA124" i="1"/>
  <c r="AA121" i="1"/>
  <c r="W121" i="1" s="1"/>
  <c r="AA120" i="1"/>
  <c r="AA117" i="1"/>
  <c r="W117" i="1" s="1"/>
  <c r="AA116" i="1"/>
  <c r="AA113" i="1"/>
  <c r="W113" i="1" s="1"/>
  <c r="AA109" i="1"/>
  <c r="AA105" i="1"/>
  <c r="AA101" i="1"/>
  <c r="AA48" i="1"/>
  <c r="W48" i="1" s="1"/>
  <c r="AA17" i="1"/>
  <c r="AD23" i="3"/>
  <c r="AA224" i="1"/>
  <c r="AA220" i="1"/>
  <c r="W220" i="1" s="1"/>
  <c r="AA192" i="1"/>
  <c r="AA186" i="1"/>
  <c r="W186" i="1" s="1"/>
  <c r="AA181" i="1"/>
  <c r="AA177" i="1"/>
  <c r="W177" i="1" s="1"/>
  <c r="AA158" i="1"/>
  <c r="AA238" i="1"/>
  <c r="W238" i="1" s="1"/>
  <c r="AA226" i="1"/>
  <c r="AA216" i="1"/>
  <c r="W216" i="1" s="1"/>
  <c r="AA212" i="1"/>
  <c r="AA208" i="1"/>
  <c r="W208" i="1" s="1"/>
  <c r="AA131" i="1"/>
  <c r="AA95" i="1"/>
  <c r="W95" i="1" s="1"/>
  <c r="AA91" i="1"/>
  <c r="AA87" i="1"/>
  <c r="AA83" i="1"/>
  <c r="AA79" i="1"/>
  <c r="W79" i="1" s="1"/>
  <c r="AA75" i="1"/>
  <c r="AA71" i="1"/>
  <c r="AA67" i="1"/>
  <c r="AA63" i="1"/>
  <c r="W63" i="1" s="1"/>
  <c r="X16" i="1"/>
  <c r="AA221" i="1"/>
  <c r="AA203" i="1"/>
  <c r="AA160" i="1"/>
  <c r="W160" i="1" s="1"/>
  <c r="X240" i="1"/>
  <c r="AA225" i="1"/>
  <c r="W225" i="1" s="1"/>
  <c r="AA215" i="1"/>
  <c r="AA211" i="1"/>
  <c r="W211" i="1" s="1"/>
  <c r="AA134" i="1"/>
  <c r="AA111" i="1"/>
  <c r="W111" i="1" s="1"/>
  <c r="AA107" i="1"/>
  <c r="AA103" i="1"/>
  <c r="W103" i="1" s="1"/>
  <c r="AA99" i="1"/>
  <c r="AA96" i="1"/>
  <c r="W96" i="1" s="1"/>
  <c r="AA92" i="1"/>
  <c r="AA88" i="1"/>
  <c r="W88" i="1" s="1"/>
  <c r="AA84" i="1"/>
  <c r="AA80" i="1"/>
  <c r="AA76" i="1"/>
  <c r="AA52" i="1"/>
  <c r="W52" i="1" s="1"/>
  <c r="AA171" i="1"/>
  <c r="X170" i="1"/>
  <c r="AA167" i="1"/>
  <c r="AA163" i="1"/>
  <c r="W163" i="1" s="1"/>
  <c r="X162" i="1"/>
  <c r="AA239" i="1"/>
  <c r="X17" i="1"/>
  <c r="R10" i="3"/>
  <c r="AA191" i="1"/>
  <c r="X172" i="1"/>
  <c r="X168" i="1"/>
  <c r="X164" i="1"/>
  <c r="T162" i="1"/>
  <c r="AA176" i="1"/>
  <c r="X166" i="1"/>
  <c r="AA129" i="1"/>
  <c r="W129" i="1" s="1"/>
  <c r="T23" i="3"/>
  <c r="AA43" i="1"/>
  <c r="W43" i="1" s="1"/>
  <c r="AA39" i="1"/>
  <c r="AA35" i="1"/>
  <c r="W35" i="1" s="1"/>
  <c r="AD28" i="3"/>
  <c r="AC18" i="3"/>
  <c r="AA219" i="1"/>
  <c r="AA206" i="1"/>
  <c r="W206" i="1" s="1"/>
  <c r="AA198" i="1"/>
  <c r="AA193" i="1"/>
  <c r="W193" i="1" s="1"/>
  <c r="AA170" i="1"/>
  <c r="AA161" i="1"/>
  <c r="X238" i="1"/>
  <c r="AA217" i="1"/>
  <c r="W217" i="1" s="1"/>
  <c r="AA213" i="1"/>
  <c r="AA209" i="1"/>
  <c r="W209" i="1" s="1"/>
  <c r="AA137" i="1"/>
  <c r="AA73" i="1"/>
  <c r="W73" i="1" s="1"/>
  <c r="AA69" i="1"/>
  <c r="AA65" i="1"/>
  <c r="W65" i="1" s="1"/>
  <c r="AA223" i="1"/>
  <c r="AA222" i="1"/>
  <c r="W222" i="1" s="1"/>
  <c r="AA202" i="1"/>
  <c r="X158" i="1"/>
  <c r="T158" i="1"/>
  <c r="AA205" i="1"/>
  <c r="W205" i="1" s="1"/>
  <c r="AA32" i="1"/>
  <c r="AA27" i="1"/>
  <c r="W27" i="1" s="1"/>
  <c r="AA190" i="1"/>
  <c r="AA185" i="1"/>
  <c r="W185" i="1" s="1"/>
  <c r="AA180" i="1"/>
  <c r="X176" i="1"/>
  <c r="AA174" i="1"/>
  <c r="W174" i="1" s="1"/>
  <c r="AA173" i="1"/>
  <c r="AA237" i="1"/>
  <c r="W237" i="1" s="1"/>
  <c r="AA235" i="1"/>
  <c r="W235" i="1" s="1"/>
  <c r="AA233" i="1"/>
  <c r="AA231" i="1"/>
  <c r="AA230" i="1"/>
  <c r="W230" i="1" s="1"/>
  <c r="AA229" i="1"/>
  <c r="W229" i="1" s="1"/>
  <c r="AA228" i="1"/>
  <c r="W228" i="1" s="1"/>
  <c r="AA227" i="1"/>
  <c r="AA135" i="1"/>
  <c r="W135" i="1" s="1"/>
  <c r="AA130" i="1"/>
  <c r="W130" i="1" s="1"/>
  <c r="AA123" i="1"/>
  <c r="W123" i="1" s="1"/>
  <c r="AA115" i="1"/>
  <c r="AA112" i="1"/>
  <c r="W112" i="1" s="1"/>
  <c r="AA104" i="1"/>
  <c r="W104" i="1" s="1"/>
  <c r="AA97" i="1"/>
  <c r="W97" i="1" s="1"/>
  <c r="AA89" i="1"/>
  <c r="AA81" i="1"/>
  <c r="W81" i="1" s="1"/>
  <c r="AA72" i="1"/>
  <c r="AA64" i="1"/>
  <c r="W64" i="1" s="1"/>
  <c r="AA34" i="1"/>
  <c r="AA25" i="1"/>
  <c r="W25" i="1" s="1"/>
  <c r="AA21" i="1"/>
  <c r="AA199" i="1"/>
  <c r="W199" i="1" s="1"/>
  <c r="AA197" i="1"/>
  <c r="AA195" i="1"/>
  <c r="W195" i="1" s="1"/>
  <c r="AA187" i="1"/>
  <c r="W187" i="1" s="1"/>
  <c r="AA183" i="1"/>
  <c r="W183" i="1" s="1"/>
  <c r="AA178" i="1"/>
  <c r="W178" i="1" s="1"/>
  <c r="X171" i="1"/>
  <c r="AA166" i="1"/>
  <c r="W166" i="1" s="1"/>
  <c r="AA165" i="1"/>
  <c r="W165" i="1" s="1"/>
  <c r="AA162" i="1"/>
  <c r="AA126" i="1"/>
  <c r="W126" i="1" s="1"/>
  <c r="AA122" i="1"/>
  <c r="W122" i="1" s="1"/>
  <c r="AA118" i="1"/>
  <c r="W118" i="1" s="1"/>
  <c r="AA114" i="1"/>
  <c r="AA108" i="1"/>
  <c r="W108" i="1" s="1"/>
  <c r="AA100" i="1"/>
  <c r="W100" i="1" s="1"/>
  <c r="AA93" i="1"/>
  <c r="W93" i="1" s="1"/>
  <c r="AA85" i="1"/>
  <c r="AA77" i="1"/>
  <c r="W77" i="1" s="1"/>
  <c r="AA68" i="1"/>
  <c r="W68" i="1" s="1"/>
  <c r="AA31" i="1"/>
  <c r="W31" i="1" s="1"/>
  <c r="AA26" i="1"/>
  <c r="T168" i="1"/>
  <c r="U168" i="1" s="1"/>
  <c r="S168" i="1" s="1"/>
  <c r="T176" i="1"/>
  <c r="U176" i="1" s="1"/>
  <c r="S176" i="1" s="1"/>
  <c r="T170" i="1"/>
  <c r="U170" i="1" s="1"/>
  <c r="S170" i="1" s="1"/>
  <c r="X160" i="1"/>
  <c r="T240" i="1"/>
  <c r="U240" i="1" s="1"/>
  <c r="S240" i="1" s="1"/>
  <c r="AA175" i="1"/>
  <c r="W175" i="1" s="1"/>
  <c r="AA169" i="1"/>
  <c r="W169" i="1" s="1"/>
  <c r="AA159" i="1"/>
  <c r="AA240" i="1"/>
  <c r="W240" i="1" s="1"/>
  <c r="AA207" i="1"/>
  <c r="W207" i="1" s="1"/>
  <c r="AA157" i="1"/>
  <c r="W157" i="1" s="1"/>
  <c r="AA156" i="1"/>
  <c r="AA155" i="1"/>
  <c r="AA154" i="1"/>
  <c r="W154" i="1" s="1"/>
  <c r="AA152" i="1"/>
  <c r="W152" i="1" s="1"/>
  <c r="AA151" i="1"/>
  <c r="W151" i="1" s="1"/>
  <c r="AA150" i="1"/>
  <c r="AA149" i="1"/>
  <c r="W149" i="1" s="1"/>
  <c r="AA148" i="1"/>
  <c r="AA147" i="1"/>
  <c r="W147" i="1" s="1"/>
  <c r="AA146" i="1"/>
  <c r="AA145" i="1"/>
  <c r="W145" i="1" s="1"/>
  <c r="AA144" i="1"/>
  <c r="W144" i="1" s="1"/>
  <c r="AA143" i="1"/>
  <c r="W143" i="1" s="1"/>
  <c r="AA142" i="1"/>
  <c r="W142" i="1" s="1"/>
  <c r="AA141" i="1"/>
  <c r="W141" i="1" s="1"/>
  <c r="AA140" i="1"/>
  <c r="W140" i="1" s="1"/>
  <c r="AA139" i="1"/>
  <c r="AA138" i="1"/>
  <c r="W138" i="1" s="1"/>
  <c r="X134" i="1"/>
  <c r="AA127" i="1"/>
  <c r="W127" i="1" s="1"/>
  <c r="AA119" i="1"/>
  <c r="X75" i="1"/>
  <c r="X74" i="1"/>
  <c r="AA61" i="1"/>
  <c r="W61" i="1" s="1"/>
  <c r="AA60" i="1"/>
  <c r="AA59" i="1"/>
  <c r="W59" i="1" s="1"/>
  <c r="AA58" i="1"/>
  <c r="W58" i="1" s="1"/>
  <c r="AA57" i="1"/>
  <c r="W57" i="1" s="1"/>
  <c r="AA56" i="1"/>
  <c r="AA55" i="1"/>
  <c r="W55" i="1" s="1"/>
  <c r="AA54" i="1"/>
  <c r="W54" i="1" s="1"/>
  <c r="AA53" i="1"/>
  <c r="W53" i="1" s="1"/>
  <c r="AA51" i="1"/>
  <c r="AA49" i="1"/>
  <c r="AA47" i="1"/>
  <c r="W47" i="1" s="1"/>
  <c r="AA46" i="1"/>
  <c r="W46" i="1" s="1"/>
  <c r="AA44" i="1"/>
  <c r="AA42" i="1"/>
  <c r="W42" i="1" s="1"/>
  <c r="AA40" i="1"/>
  <c r="AA38" i="1"/>
  <c r="W38" i="1" s="1"/>
  <c r="AA241" i="1"/>
  <c r="X73" i="1"/>
  <c r="AA29" i="1"/>
  <c r="AA132" i="1"/>
  <c r="W132" i="1" s="1"/>
  <c r="AA22" i="1"/>
  <c r="AA18" i="1"/>
  <c r="W18" i="1" s="1"/>
  <c r="AA15" i="1"/>
  <c r="W15" i="1" s="1"/>
  <c r="AI240" i="1"/>
  <c r="U223" i="1"/>
  <c r="S223" i="1" s="1"/>
  <c r="AI238" i="1"/>
  <c r="U221" i="1"/>
  <c r="S221" i="1" s="1"/>
  <c r="AI236" i="1"/>
  <c r="U219" i="1"/>
  <c r="S219" i="1" s="1"/>
  <c r="AI234" i="1"/>
  <c r="U205" i="1"/>
  <c r="S205" i="1" s="1"/>
  <c r="AI232" i="1"/>
  <c r="U202" i="1"/>
  <c r="S202" i="1" s="1"/>
  <c r="AI230" i="1"/>
  <c r="U199" i="1"/>
  <c r="S199" i="1" s="1"/>
  <c r="AI228" i="1"/>
  <c r="U197" i="1"/>
  <c r="S197" i="1" s="1"/>
  <c r="AI226" i="1"/>
  <c r="U194" i="1"/>
  <c r="S194" i="1" s="1"/>
  <c r="AI224" i="1"/>
  <c r="U192" i="1"/>
  <c r="S192" i="1" s="1"/>
  <c r="AI222" i="1"/>
  <c r="U190" i="1"/>
  <c r="S190" i="1" s="1"/>
  <c r="AI220" i="1"/>
  <c r="U187" i="1"/>
  <c r="S187" i="1" s="1"/>
  <c r="AI218" i="1"/>
  <c r="U185" i="1"/>
  <c r="S185" i="1" s="1"/>
  <c r="AI216" i="1"/>
  <c r="U183" i="1"/>
  <c r="S183" i="1" s="1"/>
  <c r="AI214" i="1"/>
  <c r="U180" i="1"/>
  <c r="S180" i="1" s="1"/>
  <c r="AI212" i="1"/>
  <c r="U178" i="1"/>
  <c r="S178" i="1" s="1"/>
  <c r="U224" i="1"/>
  <c r="S224" i="1" s="1"/>
  <c r="AI241" i="1"/>
  <c r="U222" i="1"/>
  <c r="S222" i="1" s="1"/>
  <c r="AI239" i="1"/>
  <c r="U220" i="1"/>
  <c r="S220" i="1" s="1"/>
  <c r="AI237" i="1"/>
  <c r="U206" i="1"/>
  <c r="S206" i="1" s="1"/>
  <c r="AI235" i="1"/>
  <c r="U203" i="1"/>
  <c r="S203" i="1" s="1"/>
  <c r="AI233" i="1"/>
  <c r="U201" i="1"/>
  <c r="S201" i="1" s="1"/>
  <c r="AI231" i="1"/>
  <c r="U198" i="1"/>
  <c r="S198" i="1" s="1"/>
  <c r="AI229" i="1"/>
  <c r="U195" i="1"/>
  <c r="S195" i="1" s="1"/>
  <c r="AI227" i="1"/>
  <c r="U193" i="1"/>
  <c r="S193" i="1" s="1"/>
  <c r="AI225" i="1"/>
  <c r="U191" i="1"/>
  <c r="S191" i="1" s="1"/>
  <c r="AI223" i="1"/>
  <c r="U189" i="1"/>
  <c r="S189" i="1" s="1"/>
  <c r="AI221" i="1"/>
  <c r="U186" i="1"/>
  <c r="S186" i="1" s="1"/>
  <c r="AI219" i="1"/>
  <c r="U184" i="1"/>
  <c r="S184" i="1" s="1"/>
  <c r="AI217" i="1"/>
  <c r="U181" i="1"/>
  <c r="S181" i="1" s="1"/>
  <c r="AI215" i="1"/>
  <c r="U179" i="1"/>
  <c r="S179" i="1" s="1"/>
  <c r="AI213" i="1"/>
  <c r="U177" i="1"/>
  <c r="S177" i="1" s="1"/>
  <c r="AI211" i="1"/>
  <c r="AI210" i="1"/>
  <c r="AI180" i="1"/>
  <c r="AI178" i="1"/>
  <c r="AI123" i="1"/>
  <c r="AI209" i="1"/>
  <c r="AI208" i="1"/>
  <c r="U174" i="1"/>
  <c r="S174" i="1" s="1"/>
  <c r="AI207" i="1"/>
  <c r="U173" i="1"/>
  <c r="S173" i="1" s="1"/>
  <c r="AI206" i="1"/>
  <c r="U172" i="1"/>
  <c r="S172" i="1" s="1"/>
  <c r="AI205" i="1"/>
  <c r="AI203" i="1"/>
  <c r="AI202" i="1"/>
  <c r="U169" i="1"/>
  <c r="S169" i="1" s="1"/>
  <c r="AI201" i="1"/>
  <c r="AI199" i="1"/>
  <c r="U167" i="1"/>
  <c r="S167" i="1" s="1"/>
  <c r="AI198" i="1"/>
  <c r="U166" i="1"/>
  <c r="S166" i="1" s="1"/>
  <c r="AI197" i="1"/>
  <c r="U165" i="1"/>
  <c r="S165" i="1" s="1"/>
  <c r="AI195" i="1"/>
  <c r="U164" i="1"/>
  <c r="S164" i="1" s="1"/>
  <c r="AI194" i="1"/>
  <c r="U163" i="1"/>
  <c r="S163" i="1" s="1"/>
  <c r="AI193" i="1"/>
  <c r="U162" i="1"/>
  <c r="S162" i="1" s="1"/>
  <c r="AI192" i="1"/>
  <c r="U161" i="1"/>
  <c r="S161" i="1" s="1"/>
  <c r="AI191" i="1"/>
  <c r="U160" i="1"/>
  <c r="S160" i="1" s="1"/>
  <c r="AI190" i="1"/>
  <c r="U159" i="1"/>
  <c r="S159" i="1" s="1"/>
  <c r="AI189" i="1"/>
  <c r="U158" i="1"/>
  <c r="S158" i="1" s="1"/>
  <c r="AI187" i="1"/>
  <c r="U241" i="1"/>
  <c r="S241" i="1" s="1"/>
  <c r="AI186" i="1"/>
  <c r="AI185" i="1"/>
  <c r="U239" i="1"/>
  <c r="S239" i="1" s="1"/>
  <c r="AI184" i="1"/>
  <c r="U238" i="1"/>
  <c r="S238" i="1" s="1"/>
  <c r="AI183" i="1"/>
  <c r="AI181" i="1"/>
  <c r="AI179" i="1"/>
  <c r="AI177" i="1"/>
  <c r="W231" i="1"/>
  <c r="AI176" i="1"/>
  <c r="AI174" i="1"/>
  <c r="AI172" i="1"/>
  <c r="W227" i="1"/>
  <c r="AI119" i="1"/>
  <c r="AI115" i="1"/>
  <c r="AI175" i="1"/>
  <c r="AI173" i="1"/>
  <c r="AI127" i="1"/>
  <c r="AI129" i="1"/>
  <c r="AI128" i="1"/>
  <c r="W128" i="1"/>
  <c r="AI126" i="1"/>
  <c r="AI122" i="1"/>
  <c r="AI118" i="1"/>
  <c r="AI114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3" i="1"/>
  <c r="AI132" i="1"/>
  <c r="AI124" i="1"/>
  <c r="AI120" i="1"/>
  <c r="AI116" i="1"/>
  <c r="AI131" i="1"/>
  <c r="AI130" i="1"/>
  <c r="AI125" i="1"/>
  <c r="AI121" i="1"/>
  <c r="AI117" i="1"/>
  <c r="AI113" i="1"/>
  <c r="AI44" i="1"/>
  <c r="U137" i="1"/>
  <c r="S137" i="1" s="1"/>
  <c r="AI137" i="1"/>
  <c r="AI135" i="1"/>
  <c r="U134" i="1"/>
  <c r="S134" i="1" s="1"/>
  <c r="AI134" i="1"/>
  <c r="AI36" i="1"/>
  <c r="AI51" i="1"/>
  <c r="AI20" i="1"/>
  <c r="U20" i="1"/>
  <c r="S20" i="1" s="1"/>
  <c r="AI53" i="1"/>
  <c r="AI46" i="1"/>
  <c r="AI38" i="1"/>
  <c r="AI30" i="1"/>
  <c r="AI28" i="1"/>
  <c r="AI26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AI47" i="1"/>
  <c r="AI40" i="1"/>
  <c r="AI32" i="1"/>
  <c r="AI24" i="1"/>
  <c r="U24" i="1"/>
  <c r="S24" i="1" s="1"/>
  <c r="AI16" i="1"/>
  <c r="U16" i="1"/>
  <c r="S16" i="1" s="1"/>
  <c r="AI49" i="1"/>
  <c r="AI42" i="1"/>
  <c r="AI34" i="1"/>
  <c r="U74" i="1"/>
  <c r="S74" i="1" s="1"/>
  <c r="AI74" i="1"/>
  <c r="AI73" i="1"/>
  <c r="AI72" i="1"/>
  <c r="W72" i="1"/>
  <c r="AI71" i="1"/>
  <c r="W71" i="1"/>
  <c r="AI70" i="1"/>
  <c r="AI69" i="1"/>
  <c r="W69" i="1"/>
  <c r="AI68" i="1"/>
  <c r="AI67" i="1"/>
  <c r="W67" i="1"/>
  <c r="AI66" i="1"/>
  <c r="W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23" i="1"/>
  <c r="U23" i="1"/>
  <c r="S23" i="1" s="1"/>
  <c r="AI19" i="1"/>
  <c r="U19" i="1"/>
  <c r="S19" i="1" s="1"/>
  <c r="AI52" i="1"/>
  <c r="AI50" i="1"/>
  <c r="AI48" i="1"/>
  <c r="AI45" i="1"/>
  <c r="AI43" i="1"/>
  <c r="AI41" i="1"/>
  <c r="AI39" i="1"/>
  <c r="AI37" i="1"/>
  <c r="AI35" i="1"/>
  <c r="AI33" i="1"/>
  <c r="AI31" i="1"/>
  <c r="AI29" i="1"/>
  <c r="AI27" i="1"/>
  <c r="AI25" i="1"/>
  <c r="AI22" i="1"/>
  <c r="U22" i="1"/>
  <c r="S22" i="1" s="1"/>
  <c r="AI18" i="1"/>
  <c r="U18" i="1"/>
  <c r="S18" i="1" s="1"/>
  <c r="AI15" i="1"/>
  <c r="U15" i="1"/>
  <c r="S15" i="1" s="1"/>
  <c r="AI21" i="1"/>
  <c r="U21" i="1"/>
  <c r="S21" i="1" s="1"/>
  <c r="AI17" i="1"/>
  <c r="U17" i="1"/>
  <c r="S17" i="1" s="1"/>
  <c r="AI14" i="1"/>
  <c r="U14" i="1"/>
  <c r="S14" i="1" s="1"/>
  <c r="W184" i="1"/>
  <c r="W181" i="1"/>
  <c r="W180" i="1"/>
  <c r="W176" i="1"/>
  <c r="W171" i="1"/>
  <c r="W170" i="1"/>
  <c r="W162" i="1"/>
  <c r="W239" i="1"/>
  <c r="W223" i="1"/>
  <c r="W219" i="1"/>
  <c r="W202" i="1"/>
  <c r="W197" i="1"/>
  <c r="W192" i="1"/>
  <c r="W173" i="1"/>
  <c r="W172" i="1"/>
  <c r="W241" i="1"/>
  <c r="W203" i="1"/>
  <c r="W198" i="1"/>
  <c r="W201" i="1"/>
  <c r="W191" i="1"/>
  <c r="W167" i="1"/>
  <c r="W159" i="1"/>
  <c r="W158" i="1"/>
  <c r="W224" i="1"/>
  <c r="W221" i="1"/>
  <c r="W194" i="1"/>
  <c r="W190" i="1"/>
  <c r="W168" i="1"/>
  <c r="W161" i="1"/>
  <c r="W233" i="1"/>
  <c r="X174" i="1"/>
  <c r="T175" i="1"/>
  <c r="U175" i="1" s="1"/>
  <c r="S175" i="1" s="1"/>
  <c r="T171" i="1"/>
  <c r="U171" i="1" s="1"/>
  <c r="S171" i="1" s="1"/>
  <c r="X224" i="1"/>
  <c r="X223" i="1"/>
  <c r="X222" i="1"/>
  <c r="X221" i="1"/>
  <c r="X220" i="1"/>
  <c r="X219" i="1"/>
  <c r="X206" i="1"/>
  <c r="X203" i="1"/>
  <c r="X202" i="1"/>
  <c r="X199" i="1"/>
  <c r="X198" i="1"/>
  <c r="X195" i="1"/>
  <c r="X194" i="1"/>
  <c r="X193" i="1"/>
  <c r="X192" i="1"/>
  <c r="X191" i="1"/>
  <c r="X190" i="1"/>
  <c r="X187" i="1"/>
  <c r="X186" i="1"/>
  <c r="X185" i="1"/>
  <c r="X184" i="1"/>
  <c r="X181" i="1"/>
  <c r="X180" i="1"/>
  <c r="X179" i="1"/>
  <c r="X178" i="1"/>
  <c r="X173" i="1"/>
  <c r="X169" i="1"/>
  <c r="X167" i="1"/>
  <c r="X165" i="1"/>
  <c r="X163" i="1"/>
  <c r="X161" i="1"/>
  <c r="X159" i="1"/>
  <c r="X241" i="1"/>
  <c r="X239" i="1"/>
  <c r="T230" i="1"/>
  <c r="U230" i="1" s="1"/>
  <c r="S230" i="1" s="1"/>
  <c r="X230" i="1"/>
  <c r="T228" i="1"/>
  <c r="U228" i="1" s="1"/>
  <c r="S228" i="1" s="1"/>
  <c r="X228" i="1"/>
  <c r="AA236" i="1"/>
  <c r="W236" i="1" s="1"/>
  <c r="AA234" i="1"/>
  <c r="W234" i="1" s="1"/>
  <c r="AA232" i="1"/>
  <c r="W232" i="1" s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W226" i="1"/>
  <c r="W218" i="1"/>
  <c r="W215" i="1"/>
  <c r="W213" i="1"/>
  <c r="W212" i="1"/>
  <c r="W210" i="1"/>
  <c r="W156" i="1"/>
  <c r="W155" i="1"/>
  <c r="W150" i="1"/>
  <c r="W148" i="1"/>
  <c r="W146" i="1"/>
  <c r="W139" i="1"/>
  <c r="W137" i="1"/>
  <c r="W134" i="1"/>
  <c r="W131" i="1"/>
  <c r="W120" i="1"/>
  <c r="W119" i="1"/>
  <c r="W109" i="1"/>
  <c r="W105" i="1"/>
  <c r="W101" i="1"/>
  <c r="W98" i="1"/>
  <c r="W90" i="1"/>
  <c r="W82" i="1"/>
  <c r="T226" i="1"/>
  <c r="U226" i="1" s="1"/>
  <c r="S226" i="1" s="1"/>
  <c r="X226" i="1"/>
  <c r="T225" i="1"/>
  <c r="U225" i="1" s="1"/>
  <c r="S225" i="1" s="1"/>
  <c r="X225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157" i="1"/>
  <c r="U157" i="1" s="1"/>
  <c r="S157" i="1" s="1"/>
  <c r="X157" i="1"/>
  <c r="T156" i="1"/>
  <c r="U156" i="1" s="1"/>
  <c r="S156" i="1" s="1"/>
  <c r="T155" i="1"/>
  <c r="U155" i="1" s="1"/>
  <c r="S155" i="1" s="1"/>
  <c r="X155" i="1"/>
  <c r="T154" i="1"/>
  <c r="U154" i="1" s="1"/>
  <c r="S154" i="1" s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X139" i="1"/>
  <c r="X138" i="1"/>
  <c r="T138" i="1"/>
  <c r="U138" i="1" s="1"/>
  <c r="X135" i="1"/>
  <c r="T135" i="1"/>
  <c r="U135" i="1" s="1"/>
  <c r="S135" i="1" s="1"/>
  <c r="W116" i="1"/>
  <c r="W115" i="1"/>
  <c r="T133" i="1"/>
  <c r="U133" i="1" s="1"/>
  <c r="S133" i="1" s="1"/>
  <c r="X133" i="1"/>
  <c r="W124" i="1"/>
  <c r="W106" i="1"/>
  <c r="W91" i="1"/>
  <c r="W87" i="1"/>
  <c r="W83" i="1"/>
  <c r="W75" i="1"/>
  <c r="T131" i="1"/>
  <c r="U131" i="1" s="1"/>
  <c r="S131" i="1" s="1"/>
  <c r="X131" i="1"/>
  <c r="W114" i="1"/>
  <c r="W89" i="1"/>
  <c r="W85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129" i="1"/>
  <c r="U129" i="1" s="1"/>
  <c r="S129" i="1" s="1"/>
  <c r="X129" i="1"/>
  <c r="W107" i="1"/>
  <c r="W99" i="1"/>
  <c r="W92" i="1"/>
  <c r="W84" i="1"/>
  <c r="W80" i="1"/>
  <c r="W76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W74" i="1"/>
  <c r="W50" i="1"/>
  <c r="W32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W40" i="1"/>
  <c r="W34" i="1"/>
  <c r="T73" i="1"/>
  <c r="U73" i="1" s="1"/>
  <c r="S73" i="1" s="1"/>
  <c r="W62" i="1"/>
  <c r="W49" i="1"/>
  <c r="W39" i="1"/>
  <c r="AA36" i="1"/>
  <c r="W36" i="1" s="1"/>
  <c r="W29" i="1"/>
  <c r="W22" i="1"/>
  <c r="X82" i="1"/>
  <c r="X81" i="1"/>
  <c r="X80" i="1"/>
  <c r="X79" i="1"/>
  <c r="X78" i="1"/>
  <c r="X77" i="1"/>
  <c r="X76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T66" i="1"/>
  <c r="U66" i="1" s="1"/>
  <c r="S66" i="1" s="1"/>
  <c r="X66" i="1"/>
  <c r="T65" i="1"/>
  <c r="U65" i="1" s="1"/>
  <c r="S65" i="1" s="1"/>
  <c r="X65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W60" i="1"/>
  <c r="W56" i="1"/>
  <c r="W51" i="1"/>
  <c r="W44" i="1"/>
  <c r="W41" i="1"/>
  <c r="W33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W21" i="1"/>
  <c r="W17" i="1"/>
  <c r="AA14" i="1"/>
  <c r="W14" i="1" s="1"/>
  <c r="AA30" i="1"/>
  <c r="W30" i="1" s="1"/>
  <c r="AA28" i="1"/>
  <c r="W28" i="1" s="1"/>
  <c r="W26" i="1"/>
  <c r="AA24" i="1"/>
  <c r="W24" i="1" s="1"/>
  <c r="AA20" i="1"/>
  <c r="W20" i="1" s="1"/>
  <c r="AA16" i="1"/>
  <c r="W16" i="1" s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AA23" i="1"/>
  <c r="W23" i="1" s="1"/>
  <c r="AA19" i="1"/>
  <c r="W19" i="1" s="1"/>
  <c r="X24" i="1"/>
  <c r="X23" i="1"/>
  <c r="X22" i="1"/>
  <c r="X21" i="1"/>
  <c r="X20" i="1"/>
  <c r="X19" i="1"/>
  <c r="X18" i="1"/>
  <c r="X15" i="1"/>
  <c r="AD26" i="3"/>
  <c r="AC26" i="3"/>
  <c r="AD29" i="3"/>
  <c r="T16" i="3"/>
  <c r="AC10" i="3"/>
  <c r="AD27" i="3"/>
  <c r="T7" i="3"/>
  <c r="AE26" i="3"/>
  <c r="AE16" i="3"/>
  <c r="AD24" i="3"/>
  <c r="AC25" i="3"/>
  <c r="AD17" i="3"/>
  <c r="AE20" i="3"/>
  <c r="AE22" i="3"/>
  <c r="AD20" i="3"/>
  <c r="AD16" i="3"/>
  <c r="AE15" i="3"/>
  <c r="AD13" i="3"/>
  <c r="AD9" i="3"/>
  <c r="AE19" i="3"/>
  <c r="AD15" i="3"/>
  <c r="AD12" i="3"/>
  <c r="AD8" i="3"/>
  <c r="AC20" i="3"/>
  <c r="AC29" i="3"/>
  <c r="AD19" i="3"/>
  <c r="T30" i="3"/>
  <c r="AC14" i="3"/>
  <c r="AC19" i="3"/>
  <c r="AE23" i="3"/>
  <c r="AD22" i="3"/>
  <c r="T13" i="3"/>
  <c r="AC22" i="3"/>
  <c r="AC8" i="3"/>
  <c r="AE27" i="3"/>
  <c r="AE12" i="3"/>
  <c r="Y19" i="3"/>
  <c r="Y26" i="3"/>
  <c r="Y8" i="3"/>
  <c r="Y18" i="3"/>
  <c r="Y16" i="3"/>
  <c r="Y7" i="3"/>
  <c r="Y13" i="3"/>
  <c r="Y30" i="3"/>
  <c r="Y23" i="3"/>
  <c r="Y15" i="3"/>
  <c r="Y27" i="3"/>
  <c r="Y9" i="3"/>
  <c r="Y24" i="3"/>
  <c r="Y28" i="3"/>
  <c r="Y29" i="3"/>
  <c r="Y25" i="3"/>
  <c r="Y20" i="3"/>
  <c r="Y10" i="3"/>
  <c r="Y12" i="3"/>
  <c r="Y22" i="3"/>
  <c r="Y14" i="3"/>
  <c r="Y17" i="3"/>
  <c r="Y21" i="3"/>
  <c r="T9" i="3"/>
  <c r="AE14" i="3"/>
  <c r="T24" i="3"/>
  <c r="AE10" i="3"/>
  <c r="T28" i="3"/>
  <c r="AD30" i="3"/>
  <c r="AE29" i="3"/>
  <c r="T20" i="3"/>
  <c r="AE28" i="3"/>
  <c r="T10" i="3"/>
  <c r="AD25" i="3"/>
  <c r="AE24" i="3"/>
  <c r="T12" i="3"/>
  <c r="AD21" i="3"/>
  <c r="T22" i="3"/>
  <c r="AD18" i="3"/>
  <c r="AE17" i="3"/>
  <c r="T14" i="3"/>
  <c r="AD14" i="3"/>
  <c r="AE13" i="3"/>
  <c r="T17" i="3"/>
  <c r="AD10" i="3"/>
  <c r="AE9" i="3"/>
  <c r="T21" i="3"/>
  <c r="AE30" i="3"/>
  <c r="T15" i="3"/>
  <c r="AE25" i="3"/>
  <c r="AE21" i="3"/>
  <c r="T27" i="3"/>
  <c r="AE18" i="3"/>
  <c r="AE8" i="3"/>
  <c r="M23" i="5"/>
  <c r="S138" i="1" l="1"/>
  <c r="M11" i="3"/>
  <c r="U11" i="3"/>
  <c r="V11" i="3"/>
  <c r="X11" i="3"/>
  <c r="W11" i="3"/>
  <c r="T11" i="3" l="1"/>
  <c r="AD11" i="3"/>
  <c r="AE11" i="3"/>
  <c r="AC11" i="3"/>
  <c r="Y11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1" i="3" s="1"/>
  <c r="AM13" i="1"/>
  <c r="AG13" i="1"/>
  <c r="AI13" i="1" l="1"/>
  <c r="AA13" i="1"/>
  <c r="W13" i="1" s="1"/>
  <c r="T13" i="1"/>
  <c r="U13" i="1" s="1"/>
  <c r="S13" i="1" s="1"/>
  <c r="X13" i="1"/>
  <c r="O2" i="3" l="1"/>
  <c r="V13" i="1" l="1"/>
  <c r="S11" i="3" s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8" i="3" s="1"/>
  <c r="G29" i="4"/>
  <c r="G30" i="4"/>
  <c r="G31" i="4"/>
  <c r="G32" i="4"/>
  <c r="G33" i="4"/>
  <c r="N21" i="3" s="1"/>
  <c r="G34" i="4"/>
  <c r="G35" i="4"/>
  <c r="G36" i="4"/>
  <c r="G37" i="4"/>
  <c r="G38" i="4"/>
  <c r="N28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23" i="3" s="1"/>
  <c r="G52" i="4"/>
  <c r="G53" i="4"/>
  <c r="G54" i="4"/>
  <c r="G55" i="4"/>
  <c r="G56" i="4"/>
  <c r="G57" i="4"/>
  <c r="G58" i="4"/>
  <c r="G59" i="4"/>
  <c r="G60" i="4"/>
  <c r="G61" i="4"/>
  <c r="N17" i="3" s="1"/>
  <c r="G62" i="4"/>
  <c r="G63" i="4"/>
  <c r="G64" i="4"/>
  <c r="G65" i="4"/>
  <c r="G66" i="4"/>
  <c r="G67" i="4"/>
  <c r="G68" i="4"/>
  <c r="G69" i="4"/>
  <c r="G70" i="4"/>
  <c r="G71" i="4"/>
  <c r="N24" i="3" s="1"/>
  <c r="G72" i="4"/>
  <c r="G73" i="4"/>
  <c r="G74" i="4"/>
  <c r="G75" i="4"/>
  <c r="G76" i="4"/>
  <c r="G77" i="4"/>
  <c r="G78" i="4"/>
  <c r="G79" i="4"/>
  <c r="G80" i="4"/>
  <c r="G81" i="4"/>
  <c r="N8" i="3" s="1"/>
  <c r="G82" i="4"/>
  <c r="G83" i="4"/>
  <c r="G84" i="4"/>
  <c r="G85" i="4"/>
  <c r="N14" i="3" s="1"/>
  <c r="G86" i="4"/>
  <c r="G87" i="4"/>
  <c r="G88" i="4"/>
  <c r="G89" i="4"/>
  <c r="N9" i="3" s="1"/>
  <c r="G90" i="4"/>
  <c r="G91" i="4"/>
  <c r="G92" i="4"/>
  <c r="G93" i="4"/>
  <c r="G94" i="4"/>
  <c r="G95" i="4"/>
  <c r="G96" i="4"/>
  <c r="G97" i="4"/>
  <c r="G98" i="4"/>
  <c r="N30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25" i="3" s="1"/>
  <c r="G120" i="4"/>
  <c r="G121" i="4"/>
  <c r="G122" i="4"/>
  <c r="G123" i="4"/>
  <c r="G124" i="4"/>
  <c r="G125" i="4"/>
  <c r="N22" i="3" s="1"/>
  <c r="G126" i="4"/>
  <c r="G127" i="4"/>
  <c r="N13" i="3" s="1"/>
  <c r="G128" i="4"/>
  <c r="G129" i="4"/>
  <c r="N27" i="3" s="1"/>
  <c r="G130" i="4"/>
  <c r="G131" i="4"/>
  <c r="G132" i="4"/>
  <c r="G133" i="4"/>
  <c r="G134" i="4"/>
  <c r="G135" i="4"/>
  <c r="G136" i="4"/>
  <c r="G137" i="4"/>
  <c r="G138" i="4"/>
  <c r="G139" i="4"/>
  <c r="G140" i="4"/>
  <c r="N26" i="3" s="1"/>
  <c r="G141" i="4"/>
  <c r="G142" i="4"/>
  <c r="G143" i="4"/>
  <c r="G144" i="4"/>
  <c r="G145" i="4"/>
  <c r="G146" i="4"/>
  <c r="G147" i="4"/>
  <c r="N12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7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29" i="3" s="1"/>
  <c r="G197" i="4"/>
  <c r="G198" i="4"/>
  <c r="G199" i="4"/>
  <c r="G200" i="4"/>
  <c r="G201" i="4"/>
  <c r="G202" i="4"/>
  <c r="G203" i="4"/>
  <c r="G204" i="4"/>
  <c r="N16" i="3" s="1"/>
  <c r="G205" i="4"/>
  <c r="G206" i="4"/>
  <c r="N19" i="3" s="1"/>
  <c r="G207" i="4"/>
  <c r="G208" i="4"/>
  <c r="G209" i="4"/>
  <c r="G210" i="4"/>
  <c r="G211" i="4"/>
  <c r="G212" i="4"/>
  <c r="G213" i="4"/>
  <c r="G214" i="4"/>
  <c r="G215" i="4"/>
  <c r="G216" i="4"/>
  <c r="N20" i="3" s="1"/>
  <c r="G217" i="4"/>
  <c r="G218" i="4"/>
  <c r="G219" i="4"/>
  <c r="G220" i="4"/>
  <c r="G221" i="4"/>
  <c r="G222" i="4"/>
  <c r="G223" i="4"/>
  <c r="G2" i="4"/>
  <c r="N11" i="3" l="1"/>
  <c r="N10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<sst xmlns="http://schemas.openxmlformats.org/spreadsheetml/2006/main" count="2812" uniqueCount="1123">
  <si>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</si>
  <si>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</si>
  <si>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</si>
  <si>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</si>
  <si>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</si>
  <si>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</si>
  <si>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</si>
  <si>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</si>
  <si>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</si>
  <si>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</si>
  <si>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</si>
  <si>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</si>
  <si>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</si>
  <si>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</si>
  <si>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</si>
  <si>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</si>
  <si>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</si>
  <si>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</si>
  <si>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</si>
  <si>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</si>
  <si>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</si>
  <si>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</si>
  <si>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</si>
  <si>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</si>
  <si>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</si>
  <si>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</si>
  <si>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</si>
  <si>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</si>
  <si>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</si>
  <si>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</si>
  <si>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</si>
  <si>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</si>
  <si>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</si>
  <si>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</si>
  <si>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</si>
  <si>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</si>
  <si>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</si>
  <si>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</si>
  <si>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</si>
  <si>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</si>
  <si>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</si>
  <si>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</si>
  <si>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</si>
  <si>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</si>
  <si>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</si>
  <si>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</si>
  <si>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</si>
  <si>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</si>
  <si>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</si>
  <si>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</si>
  <si>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</si>
  <si>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</si>
  <si>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</si>
  <si>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</si>
  <si>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</si>
  <si>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</si>
  <si>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</si>
  <si>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</si>
  <si>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</si>
  <si>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</si>
  <si>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</si>
  <si>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</si>
  <si>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</si>
  <si>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</si>
  <si>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</si>
  <si>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</si>
  <si>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</si>
  <si>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</si>
  <si>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</si>
  <si>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</si>
  <si>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</si>
  <si>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</si>
  <si>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</si>
  <si>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</si>
  <si>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</si>
  <si>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</si>
  <si>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</si>
  <si>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</si>
  <si>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</si>
  <si>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</si>
  <si>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</si>
  <si>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</si>
  <si>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</si>
  <si>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</si>
  <si>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</si>
  <si>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</si>
  <si>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</si>
  <si>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</si>
  <si>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</si>
  <si>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</si>
  <si>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</si>
  <si>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</si>
  <si>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</si>
  <si>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</si>
  <si>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</si>
  <si>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</si>
  <si>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</si>
  <si>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</si>
  <si>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</si>
  <si>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</si>
  <si>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</si>
  <si>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</si>
  <si>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</si>
  <si>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</si>
  <si>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</si>
  <si>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</si>
  <si>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</si>
  <si>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</si>
  <si>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</si>
  <si>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</si>
  <si>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</si>
  <si>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</si>
  <si>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</si>
  <si>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</si>
  <si>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</si>
  <si>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</si>
  <si>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</si>
  <si>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</si>
  <si>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</si>
  <si>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</si>
  <si>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</si>
  <si>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</si>
  <si>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</si>
  <si>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</si>
  <si>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</si>
  <si>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</si>
  <si>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</si>
  <si>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</si>
  <si>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</si>
  <si>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</si>
  <si>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</si>
  <si>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</si>
  <si>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</si>
  <si>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</si>
  <si>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</si>
  <si>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</si>
  <si>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</si>
  <si>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</si>
  <si>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</si>
  <si>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</si>
  <si>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</si>
  <si>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</si>
  <si>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</si>
  <si>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</si>
  <si>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</si>
  <si>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</si>
  <si>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</si>
  <si>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</si>
  <si>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</si>
  <si>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</si>
  <si>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</si>
  <si>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</si>
  <si>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</si>
  <si>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</si>
  <si>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</si>
  <si>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</si>
  <si>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</si>
  <si>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</si>
  <si>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</si>
  <si>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</si>
  <si>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</si>
  <si>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</si>
  <si>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</si>
  <si>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</si>
  <si>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</si>
  <si>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</si>
  <si>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</si>
  <si>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</si>
  <si>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</si>
  <si>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</si>
  <si>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</si>
  <si>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</si>
  <si>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</si>
  <si>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</si>
  <si>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</si>
  <si>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</si>
  <si>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</si>
  <si>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</si>
  <si>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</si>
  <si>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</si>
  <si>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</si>
  <si>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</si>
  <si>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</si>
  <si>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</si>
  <si>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</si>
  <si>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</si>
  <si>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</si>
  <si>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</si>
  <si>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</si>
  <si>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</si>
  <si>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</si>
  <si>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</si>
  <si>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</si>
  <si>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</si>
  <si>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</si>
  <si>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</si>
  <si>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</si>
  <si>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</si>
  <si>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</si>
  <si>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</si>
  <si>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</si>
  <si>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</si>
  <si>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</si>
  <si>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</si>
  <si>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</si>
  <si>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</si>
  <si>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</si>
  <si>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</si>
  <si>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</si>
  <si>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</si>
  <si>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</si>
  <si>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</si>
  <si>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</si>
  <si>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</si>
  <si>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</si>
  <si>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</si>
  <si>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</si>
  <si>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</si>
  <si>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</si>
  <si>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</si>
  <si>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</si>
  <si>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</si>
  <si>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</si>
  <si>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</si>
  <si>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</si>
  <si>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</si>
  <si>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</si>
  <si>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</si>
  <si>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</si>
  <si>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</si>
  <si>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</si>
  <si>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</si>
  <si>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</si>
  <si>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</si>
  <si>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</si>
  <si>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</si>
  <si>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</si>
  <si>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</si>
  <si>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</si>
  <si>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</si>
  <si>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</si>
  <si>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</si>
  <si>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</si>
  <si>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</si>
  <si>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</si>
  <si>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</si>
  <si>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</si>
  <si>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</si>
  <si>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</si>
  <si>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</si>
  <si>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</si>
  <si>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</si>
  <si>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</si>
  <si>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</si>
  <si>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</si>
  <si>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</si>
  <si>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</si>
  <si>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</si>
  <si>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</si>
  <si>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</si>
  <si>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</si>
  <si>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</si>
  <si>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</si>
  <si>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</si>
  <si>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</si>
  <si>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</si>
  <si>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</si>
  <si>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</si>
  <si>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</si>
  <si>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</si>
  <si>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</si>
  <si>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</si>
  <si>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</si>
  <si>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</si>
  <si>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</si>
  <si>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</si>
  <si>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</si>
  <si>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</si>
  <si>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</si>
  <si>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</si>
  <si>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</si>
  <si>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</si>
  <si>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</si>
  <si>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</si>
  <si>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</si>
  <si>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</si>
  <si>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</si>
  <si>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</si>
  <si>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</si>
  <si>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</si>
  <si>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</si>
  <si>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</si>
  <si>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</si>
  <si>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</si>
  <si>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</si>
  <si>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</si>
  <si>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</si>
  <si>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</si>
  <si>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</si>
  <si>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</si>
  <si>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</si>
  <si>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</si>
  <si>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</si>
  <si>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</si>
  <si>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</si>
  <si>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</si>
  <si>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</si>
  <si>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</si>
  <si>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</si>
  <si>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</si>
  <si>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</si>
  <si>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</si>
  <si>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</si>
  <si>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</si>
  <si>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</si>
  <si>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</si>
  <si>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</si>
  <si>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</si>
  <si>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</si>
  <si>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</si>
  <si>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</si>
  <si>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</si>
  <si>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</si>
  <si>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</si>
  <si>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</si>
  <si>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</si>
  <si>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</si>
  <si>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</si>
  <si>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</si>
  <si>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</si>
  <si>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</si>
  <si>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</si>
  <si>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</si>
  <si>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</si>
  <si>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</si>
  <si>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</si>
  <si>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</si>
  <si>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</si>
  <si>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</si>
  <si>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</si>
  <si>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</si>
  <si>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</si>
  <si>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</si>
  <si>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</si>
  <si>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</si>
  <si>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</si>
  <si>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</si>
  <si>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</si>
  <si>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</si>
  <si>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</si>
  <si>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</si>
  <si>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</si>
  <si>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</si>
  <si>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</si>
  <si>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</si>
  <si>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</si>
  <si>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</si>
  <si>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</si>
  <si>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</si>
  <si>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</si>
  <si>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</si>
  <si>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</si>
  <si>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</si>
  <si>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</si>
  <si>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</si>
  <si>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</si>
  <si>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</si>
  <si>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</si>
  <si>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</si>
  <si>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</si>
  <si>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rtdc.l.rtdc.4053:itc</t>
  </si>
  <si>
    <t>WILLIAMS</t>
  </si>
  <si>
    <t>partly-cloudy-night</t>
  </si>
  <si>
    <t>Partly Cloudy</t>
  </si>
  <si>
    <t>204:161</t>
  </si>
  <si>
    <t>204:477</t>
  </si>
  <si>
    <t>204:232969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</si>
  <si>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</si>
  <si>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</si>
  <si>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</si>
  <si>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</si>
  <si>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</si>
  <si>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</si>
  <si>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</si>
  <si>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</si>
  <si>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</si>
  <si>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</si>
  <si>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</si>
  <si>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204:455</t>
  </si>
  <si>
    <t>204:513</t>
  </si>
  <si>
    <t>SPECTOR</t>
  </si>
  <si>
    <t>STEWART</t>
  </si>
  <si>
    <t>MAGEE</t>
  </si>
  <si>
    <t>KENYA</t>
  </si>
  <si>
    <t>ANDREA</t>
  </si>
  <si>
    <t>204:232985</t>
  </si>
  <si>
    <t>204:466</t>
  </si>
  <si>
    <t>rtdc.l.rtdc.4062:itc</t>
  </si>
  <si>
    <t>rtdc.l.rtdc.4022:itc</t>
  </si>
  <si>
    <t>rtdc.l.rtdc.4061:itc</t>
  </si>
  <si>
    <t>rtdc.l.rtdc.4027:itc</t>
  </si>
  <si>
    <t>rtdc.l.rtdc.4029:itc</t>
  </si>
  <si>
    <t>rtdc.l.rtdc.4021:itc</t>
  </si>
  <si>
    <t>206-31</t>
  </si>
  <si>
    <t>208-31</t>
  </si>
  <si>
    <t>224-31</t>
  </si>
  <si>
    <t>232-31</t>
  </si>
  <si>
    <t>238-31</t>
  </si>
  <si>
    <t>rtdc.l.rtdc.4059:itc</t>
  </si>
  <si>
    <t>rtdc.l.rtdc.4028:itc</t>
  </si>
  <si>
    <t>rtdc.l.rtdc.4030:itc</t>
  </si>
  <si>
    <t>HAMMOND</t>
  </si>
  <si>
    <t>JUSTYNN</t>
  </si>
  <si>
    <t>SMITH</t>
  </si>
  <si>
    <t>STAMBAUGH</t>
  </si>
  <si>
    <t>JAMES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</si>
  <si>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</si>
  <si>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</si>
  <si>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</si>
  <si>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</si>
  <si>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</si>
  <si>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</si>
  <si>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</si>
  <si>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</si>
  <si>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</si>
  <si>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</si>
  <si>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</si>
  <si>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</si>
  <si>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</si>
  <si>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</si>
  <si>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</si>
  <si>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</si>
  <si>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</si>
  <si>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</si>
  <si>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</si>
  <si>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</si>
  <si>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</si>
  <si>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</si>
  <si>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</si>
  <si>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</si>
  <si>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</si>
  <si>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</si>
  <si>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</si>
  <si>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</si>
  <si>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</si>
  <si>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</si>
  <si>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</si>
  <si>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</si>
  <si>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</si>
  <si>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</si>
  <si>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</si>
  <si>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</si>
  <si>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</si>
  <si>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</si>
  <si>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</si>
  <si>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</si>
  <si>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</si>
  <si>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</si>
  <si>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</si>
  <si>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</si>
  <si>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</si>
  <si>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</si>
  <si>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</si>
  <si>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</si>
  <si>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</si>
  <si>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</si>
  <si>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</si>
  <si>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</si>
  <si>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</si>
  <si>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</si>
  <si>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</si>
  <si>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</si>
  <si>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</si>
  <si>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</si>
  <si>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</si>
  <si>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204:457</t>
  </si>
  <si>
    <t>204:232977</t>
  </si>
  <si>
    <t>204:232975</t>
  </si>
  <si>
    <t>204:233297</t>
  </si>
  <si>
    <t>204:559</t>
  </si>
  <si>
    <t>204:232934</t>
  </si>
  <si>
    <t>204:236</t>
  </si>
  <si>
    <t>204:976</t>
  </si>
  <si>
    <t>rtdc.l.rtdc.4041:itc</t>
  </si>
  <si>
    <t>rtdc.l.rtdc.4031:itc</t>
  </si>
  <si>
    <t>rtdc.l.rtdc.4064:itc</t>
  </si>
  <si>
    <t>rtdc.l.rtdc.4032:itc</t>
  </si>
  <si>
    <t>204:233289</t>
  </si>
  <si>
    <t>204:149</t>
  </si>
  <si>
    <t>204:232983</t>
  </si>
  <si>
    <t>204:469</t>
  </si>
  <si>
    <t>204:232898</t>
  </si>
  <si>
    <t>204:221</t>
  </si>
  <si>
    <t>204:233253</t>
  </si>
  <si>
    <t>204:214</t>
  </si>
  <si>
    <t>204:232978</t>
  </si>
  <si>
    <t>204:526</t>
  </si>
  <si>
    <t>204:232927</t>
  </si>
  <si>
    <t>204:189</t>
  </si>
  <si>
    <t>204:517</t>
  </si>
  <si>
    <t>300:58967</t>
  </si>
  <si>
    <t>300:58662</t>
  </si>
  <si>
    <t>rtdc.l.rtdc.4058:itc</t>
  </si>
  <si>
    <t>rtdc.l.rtdc.4065:itc</t>
  </si>
  <si>
    <t>rtdc.l.rtdc.4015:itc</t>
  </si>
  <si>
    <t>DONTE</t>
  </si>
  <si>
    <t>rtdc.l.rtdc.4006:itc</t>
  </si>
  <si>
    <t>GONZALEZ</t>
  </si>
  <si>
    <t>ARMANDO</t>
  </si>
  <si>
    <t>BADERTSCHER</t>
  </si>
  <si>
    <t>DIANE</t>
  </si>
  <si>
    <t>rtdc.l.rtdc.4056:itc</t>
  </si>
  <si>
    <t>STRICKLAND</t>
  </si>
  <si>
    <t>EVAN</t>
  </si>
  <si>
    <t>ELBAUM</t>
  </si>
  <si>
    <t>MIKE</t>
  </si>
  <si>
    <t>309-02</t>
  </si>
  <si>
    <t>311-02</t>
  </si>
  <si>
    <t>50-03</t>
  </si>
  <si>
    <t>300-03</t>
  </si>
  <si>
    <t>Mostly Cloudy</t>
  </si>
  <si>
    <t>partly-cloudy-day</t>
  </si>
  <si>
    <t>204:143</t>
  </si>
  <si>
    <t>204:200</t>
  </si>
  <si>
    <t>204:232964</t>
  </si>
  <si>
    <t>204:508</t>
  </si>
  <si>
    <t>204:232930</t>
  </si>
  <si>
    <t>204:446</t>
  </si>
  <si>
    <t>204:233283</t>
  </si>
  <si>
    <t>204:232955</t>
  </si>
  <si>
    <t>204:205</t>
  </si>
  <si>
    <t>204:165</t>
  </si>
  <si>
    <t>204:232971</t>
  </si>
  <si>
    <t>204:520</t>
  </si>
  <si>
    <t>204:203</t>
  </si>
  <si>
    <t>204:207</t>
  </si>
  <si>
    <t>204:233257</t>
  </si>
  <si>
    <t>204:484</t>
  </si>
  <si>
    <t>204:211</t>
  </si>
  <si>
    <t>204:232900</t>
  </si>
  <si>
    <t>204:232896</t>
  </si>
  <si>
    <t>204:511</t>
  </si>
  <si>
    <t>204:515</t>
  </si>
  <si>
    <t>204:232894</t>
  </si>
  <si>
    <t>204:232915</t>
  </si>
  <si>
    <t>204:216</t>
  </si>
  <si>
    <t>204:282</t>
  </si>
  <si>
    <t>204:251</t>
  </si>
  <si>
    <t>204:232936</t>
  </si>
  <si>
    <t>204:233230</t>
  </si>
  <si>
    <t>204:212</t>
  </si>
  <si>
    <t>204:566</t>
  </si>
  <si>
    <t>204:232938</t>
  </si>
  <si>
    <t>204:506</t>
  </si>
  <si>
    <t>300:58971</t>
  </si>
  <si>
    <t>300:58975</t>
  </si>
  <si>
    <t>rtdc.l.rtdc.4013:itc</t>
  </si>
  <si>
    <t>rtdc.l.rtdc.4009:itc</t>
  </si>
  <si>
    <t>MAELZER</t>
  </si>
  <si>
    <t>KURT</t>
  </si>
  <si>
    <t>BARRON</t>
  </si>
  <si>
    <t>PERLA</t>
  </si>
  <si>
    <t>rtdc.l.rtdc.4010:itc</t>
  </si>
  <si>
    <t>MACDONALD</t>
  </si>
  <si>
    <t>THOMAS</t>
  </si>
  <si>
    <t>LAMAR</t>
  </si>
  <si>
    <t>NEKESHA</t>
  </si>
  <si>
    <t>DAVIS</t>
  </si>
  <si>
    <t>rtdc.l.rtdc.4014:itc</t>
  </si>
  <si>
    <t>BIRENBAUM</t>
  </si>
  <si>
    <t>307-05</t>
  </si>
  <si>
    <t>244-05</t>
  </si>
  <si>
    <t>309-05</t>
  </si>
  <si>
    <t>311-05</t>
  </si>
  <si>
    <t>300-06</t>
  </si>
  <si>
    <t>LESTER</t>
  </si>
  <si>
    <t>precipType</t>
  </si>
  <si>
    <t>rain</t>
  </si>
  <si>
    <t>204:431</t>
  </si>
  <si>
    <t>204:573</t>
  </si>
  <si>
    <t>204:557</t>
  </si>
  <si>
    <t>204:495</t>
  </si>
  <si>
    <t>204:198</t>
  </si>
  <si>
    <t>204:438</t>
  </si>
  <si>
    <t>204:233307</t>
  </si>
  <si>
    <t>204:185</t>
  </si>
  <si>
    <t>204:478</t>
  </si>
  <si>
    <t>204:243</t>
  </si>
  <si>
    <t>204:233232</t>
  </si>
  <si>
    <t>204:233255</t>
  </si>
  <si>
    <t>204:467</t>
  </si>
  <si>
    <t>204:500</t>
  </si>
  <si>
    <t>204:529</t>
  </si>
  <si>
    <t>204:232979</t>
  </si>
  <si>
    <t>204:464</t>
  </si>
  <si>
    <t>204:233286</t>
  </si>
  <si>
    <t>204:194</t>
  </si>
  <si>
    <t>204:232919</t>
  </si>
  <si>
    <t>204:269</t>
  </si>
  <si>
    <t>204:233247</t>
  </si>
  <si>
    <t>204:232932</t>
  </si>
  <si>
    <t>204:498</t>
  </si>
  <si>
    <t>204:233263</t>
  </si>
  <si>
    <t>204:571</t>
  </si>
  <si>
    <t>300:58609</t>
  </si>
  <si>
    <t>300:58929</t>
  </si>
  <si>
    <t>300:58613</t>
  </si>
  <si>
    <t>300:58596</t>
  </si>
  <si>
    <t>300:58933</t>
  </si>
  <si>
    <t>300:58608</t>
  </si>
  <si>
    <t>300:58916</t>
  </si>
  <si>
    <t>300:58943</t>
  </si>
  <si>
    <t>204:218</t>
  </si>
  <si>
    <t>300:58980</t>
  </si>
  <si>
    <t>204:590</t>
  </si>
  <si>
    <t>300:58658</t>
  </si>
  <si>
    <t>204:519</t>
  </si>
  <si>
    <t>204:233251</t>
  </si>
  <si>
    <t>204:183</t>
  </si>
  <si>
    <t>300:58924</t>
  </si>
  <si>
    <t>204:555</t>
  </si>
  <si>
    <t>204:232945</t>
  </si>
  <si>
    <t>204:502</t>
  </si>
  <si>
    <t>204:537</t>
  </si>
  <si>
    <t>204:564</t>
  </si>
  <si>
    <t>204:265</t>
  </si>
  <si>
    <t>204:562</t>
  </si>
  <si>
    <t>204:233245</t>
  </si>
  <si>
    <t>204:280</t>
  </si>
  <si>
    <t>204:233238</t>
  </si>
  <si>
    <t>300:23304</t>
  </si>
  <si>
    <t>300:23314</t>
  </si>
  <si>
    <t>204:192</t>
  </si>
  <si>
    <t>204:560</t>
  </si>
  <si>
    <t>Wi-MAX data drop</t>
  </si>
  <si>
    <t>rtdc.l.rtdc.4004:itc</t>
  </si>
  <si>
    <t>101-06</t>
  </si>
  <si>
    <t>108-06</t>
  </si>
  <si>
    <t>801-06</t>
  </si>
  <si>
    <t>802-06</t>
  </si>
  <si>
    <t>TEMPORARY SPEED RESTRICTION</t>
  </si>
  <si>
    <t>807-06</t>
  </si>
  <si>
    <t>rtdc.l.rtdc.4003:itc</t>
  </si>
  <si>
    <t>126-06</t>
  </si>
  <si>
    <t>rtdc.l.rtdc.4005:itc</t>
  </si>
  <si>
    <t>812-06</t>
  </si>
  <si>
    <t>134-06</t>
  </si>
  <si>
    <t>140-06</t>
  </si>
  <si>
    <t>149-06</t>
  </si>
  <si>
    <t>146-06</t>
  </si>
  <si>
    <t>56-06</t>
  </si>
  <si>
    <t>820-06</t>
  </si>
  <si>
    <t>821-06</t>
  </si>
  <si>
    <t>822-06</t>
  </si>
  <si>
    <t>rtdc.l.rtdc.4051:itc</t>
  </si>
  <si>
    <t>172-06</t>
  </si>
  <si>
    <t>824-06</t>
  </si>
  <si>
    <t>193-06</t>
  </si>
  <si>
    <t>829-06</t>
  </si>
  <si>
    <t>202-06</t>
  </si>
  <si>
    <t>rtdc.l.rtdc.4052:itc</t>
  </si>
  <si>
    <t>75-06</t>
  </si>
  <si>
    <t>221-06</t>
  </si>
  <si>
    <t>223-06</t>
  </si>
  <si>
    <t>222-06</t>
  </si>
  <si>
    <t>226-06</t>
  </si>
  <si>
    <t>847-06</t>
  </si>
  <si>
    <t>51-06</t>
  </si>
  <si>
    <t>302-06</t>
  </si>
  <si>
    <t>52-06</t>
  </si>
  <si>
    <t>103-06</t>
  </si>
  <si>
    <t>rtdc.l.rtdc.4049:itc</t>
  </si>
  <si>
    <t>304-06</t>
  </si>
  <si>
    <t>rtdc.l.rtdc.4050:itc</t>
  </si>
  <si>
    <t>105-06</t>
  </si>
  <si>
    <t>102-06</t>
  </si>
  <si>
    <t>306-06</t>
  </si>
  <si>
    <t>308-06</t>
  </si>
  <si>
    <t>107-06</t>
  </si>
  <si>
    <t>104-06</t>
  </si>
  <si>
    <t>109-06</t>
  </si>
  <si>
    <t>901-06</t>
  </si>
  <si>
    <t>106-06</t>
  </si>
  <si>
    <t>310-06</t>
  </si>
  <si>
    <t>111-06</t>
  </si>
  <si>
    <t>800-06</t>
  </si>
  <si>
    <t>rtdc.l.rtdc.4016:itc</t>
  </si>
  <si>
    <t>113-06</t>
  </si>
  <si>
    <t>312-06</t>
  </si>
  <si>
    <t>115-06</t>
  </si>
  <si>
    <t>BONDS</t>
  </si>
  <si>
    <t>REYNALDO</t>
  </si>
  <si>
    <t>110-06</t>
  </si>
  <si>
    <t>902-06</t>
  </si>
  <si>
    <t>YANAI</t>
  </si>
  <si>
    <t>IAN</t>
  </si>
  <si>
    <t>117-06</t>
  </si>
  <si>
    <t>119-06</t>
  </si>
  <si>
    <t>114-06</t>
  </si>
  <si>
    <t>112-06</t>
  </si>
  <si>
    <t>803-06</t>
  </si>
  <si>
    <t>121-06</t>
  </si>
  <si>
    <t>116-06</t>
  </si>
  <si>
    <t>123-06</t>
  </si>
  <si>
    <t>804-06</t>
  </si>
  <si>
    <t>120-06</t>
  </si>
  <si>
    <t>118-06</t>
  </si>
  <si>
    <t>805-06</t>
  </si>
  <si>
    <t>125-06</t>
  </si>
  <si>
    <t>127-06</t>
  </si>
  <si>
    <t>806-06</t>
  </si>
  <si>
    <t>122-06</t>
  </si>
  <si>
    <t>129-06</t>
  </si>
  <si>
    <t>124-06</t>
  </si>
  <si>
    <t>131-06</t>
  </si>
  <si>
    <t>808-06</t>
  </si>
  <si>
    <t>809-06</t>
  </si>
  <si>
    <t>128-06</t>
  </si>
  <si>
    <t>133-06</t>
  </si>
  <si>
    <t>135-06</t>
  </si>
  <si>
    <t>810-06</t>
  </si>
  <si>
    <t>811-06</t>
  </si>
  <si>
    <t>130-06</t>
  </si>
  <si>
    <t>137-06</t>
  </si>
  <si>
    <t>132-06</t>
  </si>
  <si>
    <t>139-06</t>
  </si>
  <si>
    <t>903-06</t>
  </si>
  <si>
    <t>141-06</t>
  </si>
  <si>
    <t>136-06</t>
  </si>
  <si>
    <t>143-06</t>
  </si>
  <si>
    <t>813-06</t>
  </si>
  <si>
    <t>138-06</t>
  </si>
  <si>
    <t>rtdc.l.rtdc.4066:itc</t>
  </si>
  <si>
    <t>145-06</t>
  </si>
  <si>
    <t>142-06</t>
  </si>
  <si>
    <t>814-06</t>
  </si>
  <si>
    <t>147-06</t>
  </si>
  <si>
    <t>144-06</t>
  </si>
  <si>
    <t>151-06</t>
  </si>
  <si>
    <t>815-06</t>
  </si>
  <si>
    <t>153-06</t>
  </si>
  <si>
    <t>55-06</t>
  </si>
  <si>
    <t>DAVIDSON</t>
  </si>
  <si>
    <t>DAVID</t>
  </si>
  <si>
    <t>148-06</t>
  </si>
  <si>
    <t>816-06</t>
  </si>
  <si>
    <t>155-06</t>
  </si>
  <si>
    <t>150-06</t>
  </si>
  <si>
    <t>157-06</t>
  </si>
  <si>
    <t>ROBINSON</t>
  </si>
  <si>
    <t>KADDIBA</t>
  </si>
  <si>
    <t>152-06</t>
  </si>
  <si>
    <t>159-06</t>
  </si>
  <si>
    <t>817-06</t>
  </si>
  <si>
    <t>156-06</t>
  </si>
  <si>
    <t>161-06</t>
  </si>
  <si>
    <t>154-06</t>
  </si>
  <si>
    <t>MAINTENANCE</t>
  </si>
  <si>
    <t>VEHICLE</t>
  </si>
  <si>
    <t>163-06</t>
  </si>
  <si>
    <t>818-06</t>
  </si>
  <si>
    <t>57-06</t>
  </si>
  <si>
    <t>158-06</t>
  </si>
  <si>
    <t>160-06</t>
  </si>
  <si>
    <t>165-06</t>
  </si>
  <si>
    <t>167-06</t>
  </si>
  <si>
    <t>819-06</t>
  </si>
  <si>
    <t>162-06</t>
  </si>
  <si>
    <t>169-06</t>
  </si>
  <si>
    <t>164-06</t>
  </si>
  <si>
    <t>171-06</t>
  </si>
  <si>
    <t>166-06</t>
  </si>
  <si>
    <t>168-06</t>
  </si>
  <si>
    <t>173-06</t>
  </si>
  <si>
    <t>170-06</t>
  </si>
  <si>
    <t>175-06</t>
  </si>
  <si>
    <t>177-06</t>
  </si>
  <si>
    <t>179-06</t>
  </si>
  <si>
    <t>174-06</t>
  </si>
  <si>
    <t>181-06</t>
  </si>
  <si>
    <t>176-06</t>
  </si>
  <si>
    <t>183-06</t>
  </si>
  <si>
    <t>823-06</t>
  </si>
  <si>
    <t>178-06</t>
  </si>
  <si>
    <t>185-06</t>
  </si>
  <si>
    <t>180-06</t>
  </si>
  <si>
    <t>187-06</t>
  </si>
  <si>
    <t>182-06</t>
  </si>
  <si>
    <t>184-06</t>
  </si>
  <si>
    <t>189-06</t>
  </si>
  <si>
    <t>191-06</t>
  </si>
  <si>
    <t>186-06</t>
  </si>
  <si>
    <t>825-06</t>
  </si>
  <si>
    <t>904-06</t>
  </si>
  <si>
    <t>188-06</t>
  </si>
  <si>
    <t>195-06</t>
  </si>
  <si>
    <t>826-06</t>
  </si>
  <si>
    <t>197-06</t>
  </si>
  <si>
    <t>827-06</t>
  </si>
  <si>
    <t>190-06</t>
  </si>
  <si>
    <t>192-06</t>
  </si>
  <si>
    <t>199-06</t>
  </si>
  <si>
    <t>828-06</t>
  </si>
  <si>
    <t>194-06</t>
  </si>
  <si>
    <t>201-06</t>
  </si>
  <si>
    <t>196-06</t>
  </si>
  <si>
    <t>198-06</t>
  </si>
  <si>
    <t>203-06</t>
  </si>
  <si>
    <t>830-06</t>
  </si>
  <si>
    <t>831-06</t>
  </si>
  <si>
    <t>205-06</t>
  </si>
  <si>
    <t>200-06</t>
  </si>
  <si>
    <t>832-06</t>
  </si>
  <si>
    <t>207-06</t>
  </si>
  <si>
    <t>62-06</t>
  </si>
  <si>
    <t>833-06</t>
  </si>
  <si>
    <t>KILLION</t>
  </si>
  <si>
    <t>209-06</t>
  </si>
  <si>
    <t>64-06</t>
  </si>
  <si>
    <t>211-06</t>
  </si>
  <si>
    <t>834-06</t>
  </si>
  <si>
    <t>204-06</t>
  </si>
  <si>
    <t>68-06</t>
  </si>
  <si>
    <t>835-06</t>
  </si>
  <si>
    <t>213-06</t>
  </si>
  <si>
    <t>206-06</t>
  </si>
  <si>
    <t>208-06</t>
  </si>
  <si>
    <t>836-06</t>
  </si>
  <si>
    <t>837-06</t>
  </si>
  <si>
    <t>210-06</t>
  </si>
  <si>
    <t>215-06</t>
  </si>
  <si>
    <t>217-06</t>
  </si>
  <si>
    <t>212-06</t>
  </si>
  <si>
    <t>219-06</t>
  </si>
  <si>
    <t>838-06</t>
  </si>
  <si>
    <t>839-06</t>
  </si>
  <si>
    <t>214-06</t>
  </si>
  <si>
    <t>216-06</t>
  </si>
  <si>
    <t>301-06</t>
  </si>
  <si>
    <t>906-06</t>
  </si>
  <si>
    <t>841-06</t>
  </si>
  <si>
    <t>218-06</t>
  </si>
  <si>
    <t>303-06</t>
  </si>
  <si>
    <t>220-06</t>
  </si>
  <si>
    <t>840-06</t>
  </si>
  <si>
    <t>305-06</t>
  </si>
  <si>
    <t>77-06</t>
  </si>
  <si>
    <t>843-06</t>
  </si>
  <si>
    <t>225-06</t>
  </si>
  <si>
    <t>224-06</t>
  </si>
  <si>
    <t>227-06</t>
  </si>
  <si>
    <t>842-06</t>
  </si>
  <si>
    <t>229-06</t>
  </si>
  <si>
    <t>845-06</t>
  </si>
  <si>
    <t>231-06</t>
  </si>
  <si>
    <t>228-06</t>
  </si>
  <si>
    <t>844-06</t>
  </si>
  <si>
    <t>233-06</t>
  </si>
  <si>
    <t>230-06</t>
  </si>
  <si>
    <t>AUSTIN</t>
  </si>
  <si>
    <t>235-06</t>
  </si>
  <si>
    <t>846-06</t>
  </si>
  <si>
    <t>232-06</t>
  </si>
  <si>
    <t>237-06</t>
  </si>
  <si>
    <t>234-06</t>
  </si>
  <si>
    <t>849-06</t>
  </si>
  <si>
    <t>239-06</t>
  </si>
  <si>
    <t>236-06</t>
  </si>
  <si>
    <t>908-06</t>
  </si>
  <si>
    <t>241-06</t>
  </si>
  <si>
    <t>238-06</t>
  </si>
  <si>
    <t>240-06</t>
  </si>
  <si>
    <t>243-06</t>
  </si>
  <si>
    <t>313-06</t>
  </si>
  <si>
    <t>242-06</t>
  </si>
  <si>
    <t>307-06</t>
  </si>
  <si>
    <t>244-06</t>
  </si>
  <si>
    <t>309-06</t>
  </si>
  <si>
    <t>311-06</t>
  </si>
  <si>
    <t>300-07</t>
  </si>
  <si>
    <t>precipAccumulation</t>
  </si>
  <si>
    <t>fog</t>
  </si>
  <si>
    <t>Foggy</t>
  </si>
  <si>
    <t>cloudy</t>
  </si>
  <si>
    <t>Overcast</t>
  </si>
  <si>
    <t>snow</t>
  </si>
  <si>
    <t>204:848</t>
  </si>
  <si>
    <t>204:19125</t>
  </si>
  <si>
    <t>204:233180</t>
  </si>
  <si>
    <t>204:232873</t>
  </si>
  <si>
    <t>204:462</t>
  </si>
  <si>
    <t>204:225</t>
  </si>
  <si>
    <t>204:233299</t>
  </si>
  <si>
    <t>204:232984</t>
  </si>
  <si>
    <t>204:141</t>
  </si>
  <si>
    <t>204:233274</t>
  </si>
  <si>
    <t>204:233195</t>
  </si>
  <si>
    <t>204:475</t>
  </si>
  <si>
    <t>204:156</t>
  </si>
  <si>
    <t>204:233291</t>
  </si>
  <si>
    <t>204:232962</t>
  </si>
  <si>
    <t>204:893</t>
  </si>
  <si>
    <t>204:444</t>
  </si>
  <si>
    <t>204:233319</t>
  </si>
  <si>
    <t>204:232993</t>
  </si>
  <si>
    <t>204:232957</t>
  </si>
  <si>
    <t>204:233189</t>
  </si>
  <si>
    <t>204:232870</t>
  </si>
  <si>
    <t>204:170</t>
  </si>
  <si>
    <t>204:233270</t>
  </si>
  <si>
    <t>204:232959</t>
  </si>
  <si>
    <t>204:473</t>
  </si>
  <si>
    <t>204:233287</t>
  </si>
  <si>
    <t>204:163</t>
  </si>
  <si>
    <t>204:460</t>
  </si>
  <si>
    <t>204:233282</t>
  </si>
  <si>
    <t>204:1133</t>
  </si>
  <si>
    <t>204:1102</t>
  </si>
  <si>
    <t>204:232992</t>
  </si>
  <si>
    <t>204:233278</t>
  </si>
  <si>
    <t>204:169</t>
  </si>
  <si>
    <t>204:232970</t>
  </si>
  <si>
    <t>204:181</t>
  </si>
  <si>
    <t>204:178</t>
  </si>
  <si>
    <t>204:233298</t>
  </si>
  <si>
    <t>204:1167</t>
  </si>
  <si>
    <t>204:233315</t>
  </si>
  <si>
    <t>204:233006</t>
  </si>
  <si>
    <t>204:121</t>
  </si>
  <si>
    <t>204:285</t>
  </si>
  <si>
    <t>204:232950</t>
  </si>
  <si>
    <t>204:509</t>
  </si>
  <si>
    <t>204:493</t>
  </si>
  <si>
    <t>204:593</t>
  </si>
  <si>
    <t>204:254</t>
  </si>
  <si>
    <t>204:233213</t>
  </si>
  <si>
    <t>204:491</t>
  </si>
  <si>
    <t>204:233244</t>
  </si>
  <si>
    <t>204:232917</t>
  </si>
  <si>
    <t>204:489</t>
  </si>
  <si>
    <t>204:233321</t>
  </si>
  <si>
    <t>204:522</t>
  </si>
  <si>
    <t>204:233221</t>
  </si>
  <si>
    <t>204:568</t>
  </si>
  <si>
    <t>204:233188</t>
  </si>
  <si>
    <t>204:232856</t>
  </si>
  <si>
    <t>204:256</t>
  </si>
  <si>
    <t>204:233212</t>
  </si>
  <si>
    <t>204:232889</t>
  </si>
  <si>
    <t>204:232925</t>
  </si>
  <si>
    <t>204:233312</t>
  </si>
  <si>
    <t>204:180</t>
  </si>
  <si>
    <t>204:232909</t>
  </si>
  <si>
    <t>204:223</t>
  </si>
  <si>
    <t>204:586</t>
  </si>
  <si>
    <t>204:233218</t>
  </si>
  <si>
    <t>204:232890</t>
  </si>
  <si>
    <t>204:233202</t>
  </si>
  <si>
    <t>204:232887</t>
  </si>
  <si>
    <t>204:233205</t>
  </si>
  <si>
    <t>204:232892</t>
  </si>
  <si>
    <t>204:544</t>
  </si>
  <si>
    <t>204:207538</t>
  </si>
  <si>
    <t>204:271</t>
  </si>
  <si>
    <t>204:233306</t>
  </si>
  <si>
    <t>204:232888</t>
  </si>
  <si>
    <t>204:232627</t>
  </si>
  <si>
    <t>204:2139</t>
  </si>
  <si>
    <t>204:579</t>
  </si>
  <si>
    <t>204:233172</t>
  </si>
  <si>
    <t>204:232855</t>
  </si>
  <si>
    <t>204:245</t>
  </si>
  <si>
    <t>204:233167</t>
  </si>
  <si>
    <t>204:232844</t>
  </si>
  <si>
    <t>204:233196</t>
  </si>
  <si>
    <t>204:232879</t>
  </si>
  <si>
    <t>204:528</t>
  </si>
  <si>
    <t>204:233280</t>
  </si>
  <si>
    <t>204:542</t>
  </si>
  <si>
    <t>204:1048</t>
  </si>
  <si>
    <t>204:233242</t>
  </si>
  <si>
    <t>204:233249</t>
  </si>
  <si>
    <t>204:232953</t>
  </si>
  <si>
    <t>204:80832</t>
  </si>
  <si>
    <t>204:64165</t>
  </si>
  <si>
    <t>204:233223</t>
  </si>
  <si>
    <t>204:283</t>
  </si>
  <si>
    <t>204:759</t>
  </si>
  <si>
    <t>204:233324</t>
  </si>
  <si>
    <t>204:601</t>
  </si>
  <si>
    <t>204:233261</t>
  </si>
  <si>
    <t>204:232948</t>
  </si>
  <si>
    <t>204:344</t>
  </si>
  <si>
    <t>204:233220</t>
  </si>
  <si>
    <t>300:23306</t>
  </si>
  <si>
    <t>300:23107</t>
  </si>
  <si>
    <t>204:158</t>
  </si>
  <si>
    <t>300:22694</t>
  </si>
  <si>
    <t>300:23312</t>
  </si>
  <si>
    <t>300:23584</t>
  </si>
  <si>
    <t>300:19795</t>
  </si>
  <si>
    <t>204:639</t>
  </si>
  <si>
    <t>300:23301</t>
  </si>
  <si>
    <t>300:23201</t>
  </si>
  <si>
    <t>300:22514</t>
  </si>
  <si>
    <t>204:3560</t>
  </si>
  <si>
    <t>204:1498</t>
  </si>
  <si>
    <t>204:3542</t>
  </si>
  <si>
    <t>204:1143</t>
  </si>
  <si>
    <t>204:3235</t>
  </si>
  <si>
    <t>204:1173</t>
  </si>
  <si>
    <t>204:3214</t>
  </si>
  <si>
    <t>204:3225</t>
  </si>
  <si>
    <t>204:147</t>
  </si>
  <si>
    <t>204:1218</t>
  </si>
  <si>
    <t>300:5492</t>
  </si>
  <si>
    <t>300:5079</t>
  </si>
  <si>
    <t>300:23220</t>
  </si>
  <si>
    <t>300:22648</t>
  </si>
  <si>
    <t>300:22092</t>
  </si>
  <si>
    <t>204:470</t>
  </si>
  <si>
    <t>300:24229</t>
  </si>
  <si>
    <t>204:1481</t>
  </si>
  <si>
    <t>300:23302</t>
  </si>
  <si>
    <t>204:1165</t>
  </si>
  <si>
    <t>204:3568</t>
  </si>
  <si>
    <t>300:23559</t>
  </si>
  <si>
    <t>204:229</t>
  </si>
  <si>
    <t>204:1500</t>
  </si>
  <si>
    <t>204:1799</t>
  </si>
  <si>
    <t>204:3003</t>
  </si>
  <si>
    <t>204:1158</t>
  </si>
  <si>
    <t>204:3350</t>
  </si>
  <si>
    <t>300:58619</t>
  </si>
  <si>
    <t>204:829</t>
  </si>
  <si>
    <t>204:1121</t>
  </si>
  <si>
    <t>300:58912</t>
  </si>
  <si>
    <t>300:58604</t>
  </si>
  <si>
    <t>204:794</t>
  </si>
  <si>
    <t>204:1476</t>
  </si>
  <si>
    <t>204:684</t>
  </si>
  <si>
    <t>204:1084</t>
  </si>
  <si>
    <t>300:58926</t>
  </si>
  <si>
    <t>204:967</t>
  </si>
  <si>
    <t>300:58935</t>
  </si>
  <si>
    <t>300:58623</t>
  </si>
  <si>
    <t>204:878</t>
  </si>
  <si>
    <t>204:1137</t>
  </si>
  <si>
    <t>204:782</t>
  </si>
  <si>
    <t>204:1151</t>
  </si>
  <si>
    <t>204:4565</t>
  </si>
  <si>
    <t>204:1086</t>
  </si>
  <si>
    <t>300:58600</t>
  </si>
  <si>
    <t>204:839</t>
  </si>
  <si>
    <t>204:1142</t>
  </si>
  <si>
    <t>204:820</t>
  </si>
  <si>
    <t>300:58922</t>
  </si>
  <si>
    <t>300:57242</t>
  </si>
  <si>
    <t>204:790</t>
  </si>
  <si>
    <t>300:58602</t>
  </si>
  <si>
    <t>300:58606</t>
  </si>
  <si>
    <t>204:964</t>
  </si>
  <si>
    <t>204:806</t>
  </si>
  <si>
    <t>204:1077</t>
  </si>
  <si>
    <t>204:1046</t>
  </si>
  <si>
    <t>300:58952</t>
  </si>
  <si>
    <t>300:58641</t>
  </si>
  <si>
    <t>204:787</t>
  </si>
  <si>
    <t>204:962</t>
  </si>
  <si>
    <t>300:58615</t>
  </si>
  <si>
    <t>204:691</t>
  </si>
  <si>
    <t>204:1081</t>
  </si>
  <si>
    <t>204:978</t>
  </si>
  <si>
    <t>204:685</t>
  </si>
  <si>
    <t>204:1044</t>
  </si>
  <si>
    <t>300:58960</t>
  </si>
  <si>
    <t>204:703</t>
  </si>
  <si>
    <t>204:950</t>
  </si>
  <si>
    <t>204:694</t>
  </si>
  <si>
    <t>204:990</t>
  </si>
  <si>
    <t>300:58954</t>
  </si>
  <si>
    <t>300:58624</t>
  </si>
  <si>
    <t>204:677</t>
  </si>
  <si>
    <t>204:971</t>
  </si>
  <si>
    <t>204:974</t>
  </si>
  <si>
    <t>300:58965</t>
  </si>
  <si>
    <t>204:673</t>
  </si>
  <si>
    <t>204:1000</t>
  </si>
  <si>
    <t>204:939</t>
  </si>
  <si>
    <t>300:58865</t>
  </si>
  <si>
    <t>204:965</t>
  </si>
  <si>
    <t>300:29665</t>
  </si>
  <si>
    <t>300:23728</t>
  </si>
  <si>
    <t>204:1095</t>
  </si>
  <si>
    <t>300:24205</t>
  </si>
  <si>
    <t>300:23599</t>
  </si>
  <si>
    <t>300:28791</t>
  </si>
  <si>
    <t>300:28774</t>
  </si>
  <si>
    <t>start /low /b %USERPROFILE%\Documents\GitHub\eaglep3\Utilities\DownloadLogsFromS3.py --loco 4052 --day 2017-11-06</t>
  </si>
  <si>
    <t>start /low /b %USERPROFILE%\Documents\GitHub\eaglep3\Utilities\DownloadLogsFromS3.py --loco 4010 --day 2017-11-06</t>
  </si>
  <si>
    <t>start /low /b %USERPROFILE%\Documents\GitHub\eaglep3\Utilities\DownloadLogsFromS3.py --loco 4051 --day 2017-11-06</t>
  </si>
  <si>
    <t>start /low /b %USERPROFILE%\Documents\GitHub\eaglep3\Utilities\DownloadLogsFromS3.py --loco 4009 --day 2017-11-06</t>
  </si>
  <si>
    <t>start /low /b %USERPROFILE%\Documents\GitHub\eaglep3\Utilities\DownloadLogsFromS3.py --loco 4009 --day 2017-11-07</t>
  </si>
  <si>
    <t>start /low /b %USERPROFILE%\Documents\GitHub\eaglep3\Utilities\DownloadLogsFromS3.py --loco 4005 --day 2017-11-06</t>
  </si>
  <si>
    <t>start /low /b %USERPROFILE%\Documents\GitHub\eaglep3\Utilities\DownloadLogsFromS3.py --loco 4011 --day 2017-11-07</t>
  </si>
  <si>
    <t>start /low /b %USERPROFILE%\Documents\GitHub\eaglep3\Utilities\DownloadLogsFromS3.py --loco 4003 --day 2017-11-06</t>
  </si>
  <si>
    <t>start /low /b %USERPROFILE%\Documents\GitHub\eaglep3\Utilities\DownloadLogsFromS3.py --loco 4011 --day 2017-11-06</t>
  </si>
  <si>
    <t>start /low /b %USERPROFILE%\Documents\GitHub\eaglep3\Utilities\DownloadLogsFromS3.py --loco 4004 --day 2017-11-07</t>
  </si>
  <si>
    <t>start /low /b %USERPROFILE%\Documents\GitHub\eaglep3\Utilities\DownloadLogsFromS3.py --loco 4004 --day 2017-11-06</t>
  </si>
  <si>
    <t>start /low /b %USERPROFILE%\Documents\GitHub\eaglep3\Utilities\DownloadLogsFromS3.py --loco 4036 --day 2017-11-06</t>
  </si>
  <si>
    <t>start /low /b %USERPROFILE%\Documents\GitHub\eaglep3\Utilities\DownloadLogsFromS3.py --loco 4032 --day 2017-11-07</t>
  </si>
  <si>
    <t>start /low /b %USERPROFILE%\Documents\GitHub\eaglep3\Utilities\DownloadLogsFromS3.py --loco 4003 --day 2017-11-07</t>
  </si>
  <si>
    <t>start /low /b %USERPROFILE%\Documents\GitHub\eaglep3\Utilities\DownloadLogsFromS3.py --loco 4018 --day 2017-11-06</t>
  </si>
  <si>
    <t>start /low /b %USERPROFILE%\Documents\GitHub\eaglep3\Utilities\DownloadLogsFromS3.py --loco 4006 --day 2017-11-06</t>
  </si>
  <si>
    <t>start /low /b %USERPROFILE%\Documents\GitHub\eaglep3\Utilities\DownloadLogsFromS3.py --loco 4017 --day 2017-11-06</t>
  </si>
  <si>
    <t>Onboard en route failure during init at DUS</t>
  </si>
  <si>
    <t>Experienced wheel tach slip, re-initialized in place</t>
  </si>
  <si>
    <t>Trip cancelled due to ATC issues</t>
  </si>
  <si>
    <t>Poor GPS under Wewatta St. overpass</t>
  </si>
  <si>
    <t>Poor GPS under I-25 overpass</t>
  </si>
  <si>
    <t>Observed poor GPS at DUS, no PTC issues</t>
  </si>
  <si>
    <t>Operator reported multiple "Acknowledge" button presses, no PTC issues observed in onboard logs</t>
  </si>
  <si>
    <t>Brief Wi-MAX data drop caused unhealthy xing banners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</si>
</sst>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11-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  <sheetName val="Slice Disagreement 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5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43045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COUNTIFS($N$13:$N$9501,"&gt;0",$AG$13:$AG$9501,I1)</f>
        <v>141</v>
      </c>
      <c r="K5" s="39"/>
      <c r="L5" s="172"/>
      <c r="M5" s="40">
        <f>AVERAGEIFS($N$13:$N$9501,$AG$13:$AG$9501,I1)</f>
        <v>37.826595745009783</v>
      </c>
      <c r="N5" s="38">
        <f t="array" ref="N5">MIN(IF($AG$13:$AG$9501=I1,IF(ISNUMBER($N$13:$N$9501),IF($N$13:$N$9501&gt;0,$N$13:$N$9501))))</f>
        <v>33.833333342336118</v>
      </c>
      <c r="O5" s="3">
        <f t="array" ref="O5">MAX(IF($AG$13:$AG$9501=I1,IF(ISNUMBER($N$13:$N$9501),IF($N$13:$N$9501&gt;0,$N$13:$N$9501))))</f>
        <v>46.333333330694586</v>
      </c>
      <c r="P5" s="2"/>
      <c r="R5" s="163" t="s">
        <v>17</v>
      </c>
      <c r="S5" s="207">
        <f>COUNTIFS($N$13:$N$9501,"&gt;0",$AG$13:$AG$9501,R1)</f>
        <v>49</v>
      </c>
      <c r="T5" s="172"/>
      <c r="U5" s="195"/>
      <c r="V5" s="211">
        <f>AVERAGEIFS($N$13:$N$9501,$AG$13:$AG$9501,R1)</f>
        <v>13.256462584938664</v>
      </c>
      <c r="W5" s="212">
        <f t="array" ref="W5">MIN(IF($AG$13:$AG$9501=R1,IF(ISNUMBER($N$13:$N$9501),IF($N$13:$N$9501&gt;0,$N$13:$N$9501))))</f>
        <v>10.233333326177672</v>
      </c>
      <c r="X5" s="200">
        <f t="array" ref="X5">MAX(IF($AG$13:$AG$9501=R1,IF(ISNUMBER($N$13:$N$9501),IF($N$13:$N$9501&gt;0,$N$13:$N$9501))))</f>
        <v>16.90000000060536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COUNT($O$13:$O$259)</f>
        <v>0</v>
      </c>
      <c r="K6" s="39"/>
      <c r="L6" s="172"/>
      <c r="M6" s="40">
        <f>IFERROR(AVERAGE($O$13:$O$259),0)</f>
        <v>0</v>
      </c>
      <c r="N6" s="38">
        <f>MIN($O$13:$O$259)</f>
        <v>0</v>
      </c>
      <c r="O6" s="3">
        <f>MAX($O$13:$O$259)</f>
        <v>0</v>
      </c>
      <c r="P6" s="2"/>
      <c r="R6" s="164" t="s">
        <v>43</v>
      </c>
      <c r="S6" s="207">
        <f>COUNT($O$13:$O$259)</f>
        <v>0</v>
      </c>
      <c r="T6" s="172"/>
      <c r="U6" s="195"/>
      <c r="V6" s="211">
        <f>IFERROR(AVERAGE($O$13:$O$259),0)</f>
        <v>0</v>
      </c>
      <c r="W6" s="212">
        <f>MIN($O$13:$O$259)</f>
        <v>0</v>
      </c>
      <c r="X6" s="200">
        <f>MAX($O$13:$O$259)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COUNTIFS($P$13:$P$9501,"&gt;0",$AG$13:$AG$9501,I1)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COUNTIFS($P$13:$P$9501,"&gt;0",$AG$13:$AG$9501,R1)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37.826595745009783</v>
      </c>
      <c r="N8" s="38">
        <f>N5</f>
        <v>33.833333342336118</v>
      </c>
      <c r="O8" s="3">
        <f>O5</f>
        <v>46.333333330694586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13.256462584938664</v>
      </c>
      <c r="W8" s="212">
        <f>W5</f>
        <v>10.233333326177672</v>
      </c>
      <c r="X8" s="200">
        <f>X5</f>
        <v>16.90000000060536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- 2017-11-06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AVERAGE(S13:S119)</f>
        <v>0.99065420560747663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636</v>
      </c>
      <c r="B13" s="7">
        <v>4004</v>
      </c>
      <c r="C13" s="21" t="s">
        <v>192</v>
      </c>
      <c r="D13" s="21" t="s">
        <v>886</v>
      </c>
      <c r="E13" s="13">
        <v>43045.123761574076</v>
      </c>
      <c r="F13" s="13">
        <v>43045.135671296295</v>
      </c>
      <c r="G13" s="7">
        <v>82</v>
      </c>
      <c r="H13" s="21" t="s">
        <v>478</v>
      </c>
      <c r="I13" s="13">
        <v>43045.162048611113</v>
      </c>
      <c r="J13" s="7">
        <v>0</v>
      </c>
      <c r="K13" s="89" t="str">
        <f>IF(ISEVEN(B13),(B13-1)&amp;"/"&amp;B13,B13&amp;"/"&amp;(B13+1))</f>
        <v>4003/4004</v>
      </c>
      <c r="L13" s="185" t="str">
        <f>VLOOKUP(A13,'Trips&amp;Operators'!$C$1:$G$99911,5,FALSE)</f>
        <v>THOMPSON LESTER</v>
      </c>
      <c r="M13" s="6">
        <f>I13-F13</f>
        <v>2.6377314818091691E-2</v>
      </c>
      <c r="N13" s="7">
        <f>24*60*SUM($M13:$M13)</f>
        <v>37.983333338052034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-06T01:58:13-0700',mode:absolute,to:'2017-11-06T04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8.48E-2</v>
      </c>
      <c r="Z13" s="204">
        <f>RIGHT(H13,LEN(H13)-4)/10000</f>
        <v>23.329699999999999</v>
      </c>
      <c r="AA13" s="204">
        <f>ABS(Z13-Y13)</f>
        <v>23.244899999999998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/stypes="app*4004*20171106*" /stext=" 10:.+((SYSTEM_STATE.+slice.+state.+changed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4004 --swversion DE.1.0.9.0 --startMP 204:848 --initTime 2017-11-06T02:58:13 --startdatetime 2017-11-06T03:15:22 --delay 82 --endMP 204:233297 --enddatetime 2017-11-06T03:53:21 --enforcementcount 0 &gt;&gt;%USERPROFILE%\Documents\GitHub\eaglep3-reporting\EC\2017-11-06-refined-times.txt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{"issue":{"subject":"","project_id":79,"tracker_id":40,"status_id":1,"priority_id":2,"assigned_to_id":338,"start_date":"2017-11-06","description":"","custom_fields":[{"id":1,"name":"Subdivision","value":"EC"},{"id":4,"name":"Milepost","value":"23.3297"},{"id":17,"name":"Train ID","value":"101-06"},{"id":16,"name":"Locomotive ID","value":"4004"},{"id":130,"name":"Impact","value":""},{"id":150,"name":"Time of Event (Mountain Time)","value":"03:53:21"},{"id":151,"name":"Denver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4004 --day 2017-11-06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10:53:21"},{"id":29,"name":"Sharepoint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-06T01:58:13-0700',mode:absolute,to:'2017-11-06T04:53:21-0700'))&amp;_a=(columns:!('Message%20ID',Summary),filters:!(),index:'emp_*',interval:auto,query:(query_string:(analyze_wildcard:!t,query:'%22rtdc.l.rtdc.4004%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675</v>
      </c>
      <c r="B14" s="7">
        <v>4003</v>
      </c>
      <c r="C14" s="21" t="s">
        <v>192</v>
      </c>
      <c r="D14" s="21" t="s">
        <v>532</v>
      </c>
      <c r="E14" s="13">
        <v>43045.172858796293</v>
      </c>
      <c r="F14" s="13">
        <v>43045.175208333334</v>
      </c>
      <c r="G14" s="7">
        <v>67</v>
      </c>
      <c r="H14" s="21" t="s">
        <v>545</v>
      </c>
      <c r="I14" s="13">
        <v>43045.202766203707</v>
      </c>
      <c r="J14" s="7">
        <v>0</v>
      </c>
      <c r="K14" s="89" t="str">
        <f>IF(ISEVEN(B14),(B14-1)&amp;"/"&amp;B14,B14&amp;"/"&amp;(B14+1))</f>
        <v>4003/4004</v>
      </c>
      <c r="L14" s="185" t="str">
        <f>VLOOKUP(A14,'Trips&amp;Operators'!$C$1:$G$99911,5,FALSE)</f>
        <v>THOMPSON LESTER</v>
      </c>
      <c r="M14" s="6">
        <f>I14-F14</f>
        <v>2.7557870373129845E-2</v>
      </c>
      <c r="N14" s="7">
        <f>24*60*SUM($M14:$M14)</f>
        <v>39.683333337306976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-06T03:08:55-0700',mode:absolute,to:'2017-11-06T05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23.2971</v>
      </c>
      <c r="Z14" s="204">
        <f>RIGHT(H14,LEN(H14)-4)/10000</f>
        <v>2.1600000000000001E-2</v>
      </c>
      <c r="AA14" s="204">
        <f>ABS(Z14-Y14)</f>
        <v>23.275500000000001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/stypes="app*4003*20171106*" /stext=" 11:.+((SYSTEM_STATE.+slice.+state.+changed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5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4003 --swversion DE.1.0.9.0 --startMP 204:232971 --initTime 2017-11-06T04:08:55 --startdatetime 2017-11-06T04:12:18 --delay 67 --endMP 204:216 --enddatetime 2017-11-06T04:51:59 --enforcementcount 0 &gt;&gt;%USERPROFILE%\Documents\GitHub\eaglep3-reporting\EC\2017-11-06-refined-times.txt</v>
      </c>
      <c r="AI14" s="96" t="str">
        <f t="shared" ref="AI14:AI75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{"issue":{"subject":"","project_id":79,"tracker_id":40,"status_id":1,"priority_id":2,"assigned_to_id":338,"start_date":"2017-11-06","description":"","custom_fields":[{"id":1,"name":"Subdivision","value":"EC"},{"id":4,"name":"Milepost","value":"0.0216"},{"id":17,"name":"Train ID","value":"102-06"},{"id":16,"name":"Locomotive ID","value":"4003"},{"id":130,"name":"Impact","value":""},{"id":150,"name":"Time of Event (Mountain Time)","value":"04:51:59"},{"id":151,"name":"Denver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5" si="7">"start /low /b "&amp;dls3logs&amp;" --loco "&amp;B14&amp;" --day "&amp;TEXT(F14,"YYYY-MM-DD")</f>
        <v>start /low /b %USERPROFILE%\Documents\GitHub\eaglep3\Utilities\DownloadLogsFromS3.py --loco 4003 --day 2017-11-06</v>
      </c>
      <c r="AN14" s="151" t="str">
        <f t="shared" ref="AN14:AN75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5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-06T03:08:55-0700',mode:absolute,to:'2017-11-06T05:51:59-0700'))&amp;_a=(columns:!('Message%20ID',Summary),filters:!(),index:'emp_*',interval:auto,query:(query_string:(analyze_wildcard:!t,query:'%22rtdc.l.rtdc.4003%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670</v>
      </c>
      <c r="B15" s="7">
        <v>4052</v>
      </c>
      <c r="C15" s="21" t="s">
        <v>192</v>
      </c>
      <c r="D15" s="21" t="s">
        <v>887</v>
      </c>
      <c r="E15" s="13">
        <v>43045.15247685185</v>
      </c>
      <c r="F15" s="13">
        <v>43045.162581018521</v>
      </c>
      <c r="G15" s="7">
        <v>183</v>
      </c>
      <c r="H15" s="21" t="s">
        <v>888</v>
      </c>
      <c r="I15" s="13">
        <v>43045.189328703702</v>
      </c>
      <c r="J15" s="7">
        <v>0</v>
      </c>
      <c r="K15" s="89" t="str">
        <f>IF(ISEVEN(B15),(B15-1)&amp;"/"&amp;B15,B15&amp;"/"&amp;(B15+1))</f>
        <v>4051/4052</v>
      </c>
      <c r="L15" s="185" t="str">
        <f>VLOOKUP(A15,'Trips&amp;Operators'!$C$1:$G$99911,5,FALSE)</f>
        <v>STRICKLAND EVAN</v>
      </c>
      <c r="M15" s="6">
        <f>I15-F15</f>
        <v>2.6747685180453118E-2</v>
      </c>
      <c r="N15" s="7"/>
      <c r="O15" s="7"/>
      <c r="P15" s="7">
        <f>24*60*SUM($M15:$M15)</f>
        <v>38.51666665985249</v>
      </c>
      <c r="Q15" s="22"/>
      <c r="R15" s="174" t="s">
        <v>1115</v>
      </c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-06T02:39:34-0700',mode:absolute,to:'2017-11-06T05:32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>IF(AA15&lt;VLOOKUP(AG15,Variables!$AC$3:$AD$8,2,FALSE),"Y","N")</f>
        <v>Y</v>
      </c>
      <c r="X15" s="204">
        <f>VALUE(LEFT(AD15,4))-VALUE(LEFT(AD14,4))</f>
        <v>1</v>
      </c>
      <c r="Y15" s="204">
        <f>RIGHT(D15,LEN(D15)-4)/10000</f>
        <v>1.9125000000000001</v>
      </c>
      <c r="Z15" s="204">
        <f>RIGHT(H15,LEN(H15)-4)/10000</f>
        <v>23.318000000000001</v>
      </c>
      <c r="AA15" s="204">
        <f>ABS(Z15-Y15)</f>
        <v>21.4055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/stypes="app*4052*20171106*" /stext=" 11:.+((SYSTEM_STATE.+slice.+state.+changed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103-06 --locoid 4052 --swversion DE.1.0.9.0 --startMP 204:19125 --initTime 2017-11-06T03:39:34 --startdatetime 2017-11-06T03:54:07 --delay 183 --endMP 204:233180 --enddatetime 2017-11-06T04:32:38 --enforcementcount 0 &gt;&gt;%USERPROFILE%\Documents\GitHub\eaglep3-reporting\EC\2017-11-06-refined-times.txt</v>
      </c>
      <c r="AI15" s="96" t="str">
        <f t="shared" si="6"/>
        <v>echo {"issue":{"subject":"Onboard en route failure during init at DUS","project_id":79,"tracker_id":40,"status_id":1,"priority_id":2,"assigned_to_id":338,"start_date":"2017-11-06","description":"","custom_fields":[{"id":1,"name":"Subdivision","value":"EC"},{"id":4,"name":"Milepost","value":"23.318"},{"id":17,"name":"Train ID","value":"103-06"},{"id":16,"name":"Locomotive ID","value":"4052"},{"id":130,"name":"Impact","value":""},{"id":150,"name":"Time of Event (Mountain Time)","value":"04:32:38"},{"id":151,"name":"Denver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4052 --day 2017-11-06</v>
      </c>
      <c r="AN15" s="151" t="str">
        <f t="shared" si="8"/>
        <v>echo {"issue":{"subject":"Onboard en route failure during init at DUS","project_id":30,"tracker_id":4,"status_id":1,"priority_id":1,"assigned_to_id":10,"start_date":"2017-11-06","description":"","custom_fields":[{"id":30,"name":"Category","value":"Issue"},{"id":3,"name":"Functional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11:32:38"},{"id":29,"name":"Sharepoint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-11-06T02:39:34-0700',mode:absolute,to:'2017-11-06T05:32:38-0700'))&amp;_a=(columns:!('Message%20ID',Summary),filters:!(),index:'emp_*',interval:auto,query:(query_string:(analyze_wildcard:!t,query:'%22rtdc.l.rtdc.4052%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679</v>
      </c>
      <c r="B16" s="7">
        <v>4051</v>
      </c>
      <c r="C16" s="21" t="s">
        <v>192</v>
      </c>
      <c r="D16" s="21" t="s">
        <v>889</v>
      </c>
      <c r="E16" s="13">
        <v>43045.191377314812</v>
      </c>
      <c r="F16" s="13">
        <v>43045.196157407408</v>
      </c>
      <c r="G16" s="7">
        <v>68</v>
      </c>
      <c r="H16" s="21" t="s">
        <v>547</v>
      </c>
      <c r="I16" s="13">
        <v>43045.224965277775</v>
      </c>
      <c r="J16" s="7">
        <v>0</v>
      </c>
      <c r="K16" s="89" t="str">
        <f>IF(ISEVEN(B16),(B16-1)&amp;"/"&amp;B16,B16&amp;"/"&amp;(B16+1))</f>
        <v>4051/4052</v>
      </c>
      <c r="L16" s="185" t="str">
        <f>VLOOKUP(A16,'Trips&amp;Operators'!$C$1:$G$99911,5,FALSE)</f>
        <v>STRICKLAND EVAN</v>
      </c>
      <c r="M16" s="6">
        <f>I16-F16</f>
        <v>2.880787036701804E-2</v>
      </c>
      <c r="N16" s="7">
        <f>24*60*SUM($M16:$M16)</f>
        <v>41.483333328505978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-06T03:35:35-0700',mode:absolute,to:'2017-11-06T06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>IF(AA16&lt;VLOOKUP(AG16,Variables!$AC$3:$AD$8,2,FALSE),"Y","N")</f>
        <v>N</v>
      </c>
      <c r="X16" s="204">
        <f t="shared" ref="X16:X17" si="10">VALUE(LEFT(AD16,4))-VALUE(LEFT(AD15,4))</f>
        <v>1</v>
      </c>
      <c r="Y16" s="204">
        <f>RIGHT(D16,LEN(D16)-4)/10000</f>
        <v>23.287299999999998</v>
      </c>
      <c r="Z16" s="204">
        <f>RIGHT(H16,LEN(H16)-4)/10000</f>
        <v>2.5100000000000001E-2</v>
      </c>
      <c r="AA16" s="204">
        <f>ABS(Z16-Y16)</f>
        <v>23.2622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/stypes="app*4051*20171106*" /stext=" 12:.+((SYSTEM_STATE.+slice.+state.+changed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104-06 --locoid 4051 --swversion DE.1.0.9.0 --startMP 204:232873 --initTime 2017-11-06T04:35:35 --startdatetime 2017-11-06T04:42:28 --delay 68 --endMP 204:251 --enddatetime 2017-11-06T05:23:57 --enforcementcount 0 &gt;&gt;%USERPROFILE%\Documents\GitHub\eaglep3-reporting\EC\2017-11-06-refined-times.txt</v>
      </c>
      <c r="AI16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{"issue":{"subject":"","project_id":79,"tracker_id":40,"status_id":1,"priority_id":2,"assigned_to_id":338,"start_date":"2017-11-06","description":"","custom_fields":[{"id":1,"name":"Subdivision","value":"EC"},{"id":4,"name":"Milepost","value":"0.0251"},{"id":17,"name":"Train ID","value":"104-06"},{"id":16,"name":"Locomotive ID","value":"4051"},{"id":130,"name":"Impact","value":""},{"id":150,"name":"Time of Event (Mountain Time)","value":"05:23:57"},{"id":151,"name":"Denver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4051 --day 2017-11-06</v>
      </c>
      <c r="AN16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-11-06T03:35:35-0700',mode:absolute,to:'2017-11-06T06:23:57-0700'))&amp;_a=(columns:!('Message%20ID',Summary),filters:!(),index:'emp_*',interval:auto,query:(query_string:(analyze_wildcard:!t,query:'%22rtdc.l.rtdc.4051%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674</v>
      </c>
      <c r="B17" s="7">
        <v>4050</v>
      </c>
      <c r="C17" s="21" t="s">
        <v>192</v>
      </c>
      <c r="D17" s="21" t="s">
        <v>890</v>
      </c>
      <c r="E17" s="13">
        <v>43045.172592592593</v>
      </c>
      <c r="F17" s="13">
        <v>43045.177557870367</v>
      </c>
      <c r="G17" s="7">
        <v>53</v>
      </c>
      <c r="H17" s="21" t="s">
        <v>487</v>
      </c>
      <c r="I17" s="13">
        <v>43045.201053240744</v>
      </c>
      <c r="J17" s="7">
        <v>0</v>
      </c>
      <c r="K17" s="89" t="str">
        <f>IF(ISEVEN(B17),(B17-1)&amp;"/"&amp;B17,B17&amp;"/"&amp;(B17+1))</f>
        <v>4049/4050</v>
      </c>
      <c r="L17" s="185" t="str">
        <f>VLOOKUP(A17,'Trips&amp;Operators'!$C$1:$G$99911,5,FALSE)</f>
        <v>YORK EDGAR</v>
      </c>
      <c r="M17" s="6">
        <f>I17-F17</f>
        <v>2.3495370376622304E-2</v>
      </c>
      <c r="N17" s="7">
        <f>24*60*SUM($M17:$M17)</f>
        <v>33.833333342336118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-06T03:08:32-0700',mode:absolute,to:'2017-11-06T05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 t="shared" si="10"/>
        <v>1</v>
      </c>
      <c r="Y17" s="204">
        <f>RIGHT(D17,LEN(D17)-4)/10000</f>
        <v>4.6199999999999998E-2</v>
      </c>
      <c r="Z17" s="204">
        <f>RIGHT(H17,LEN(H17)-4)/10000</f>
        <v>23.328900000000001</v>
      </c>
      <c r="AA17" s="204">
        <f>ABS(Z17-Y17)</f>
        <v>23.282700000000002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/stypes="app*4050*20171106*" /stext=" 11:.+((SYSTEM_STATE.+slice.+state.+changed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105-06 --locoid 4050 --swversion DE.1.0.9.0 --startMP 204:462 --initTime 2017-11-06T04:08:32 --startdatetime 2017-11-06T04:15:41 --delay 53 --endMP 204:233289 --enddatetime 2017-11-06T04:49:31 --enforcementcount 0 &gt;&gt;%USERPROFILE%\Documents\GitHub\eaglep3-reporting\EC\2017-11-06-refined-times.txt</v>
      </c>
      <c r="AI17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{"issue":{"subject":"","project_id":79,"tracker_id":40,"status_id":1,"priority_id":2,"assigned_to_id":338,"start_date":"2017-11-06","description":"","custom_fields":[{"id":1,"name":"Subdivision","value":"EC"},{"id":4,"name":"Milepost","value":"23.3289"},{"id":17,"name":"Train ID","value":"105-06"},{"id":16,"name":"Locomotive ID","value":"4050"},{"id":130,"name":"Impact","value":""},{"id":150,"name":"Time of Event (Mountain Time)","value":"04:49:31"},{"id":151,"name":"Denver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4050 --day 2017-11-06</v>
      </c>
      <c r="AN17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-11-06T03:08:32-0700',mode:absolute,to:'2017-11-06T05:49:31-0700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682</v>
      </c>
      <c r="B18" s="7">
        <v>4049</v>
      </c>
      <c r="C18" s="21" t="s">
        <v>192</v>
      </c>
      <c r="D18" s="21" t="s">
        <v>376</v>
      </c>
      <c r="E18" s="13">
        <v>43045.201874999999</v>
      </c>
      <c r="F18" s="13">
        <v>43045.216921296298</v>
      </c>
      <c r="G18" s="7">
        <v>39</v>
      </c>
      <c r="H18" s="21" t="s">
        <v>347</v>
      </c>
      <c r="I18" s="13">
        <v>43045.242708333331</v>
      </c>
      <c r="J18" s="7">
        <v>0</v>
      </c>
      <c r="K18" s="89" t="str">
        <f>IF(ISEVEN(B18),(B18-1)&amp;"/"&amp;B18,B18&amp;"/"&amp;(B18+1))</f>
        <v>4049/4050</v>
      </c>
      <c r="L18" s="185" t="str">
        <f>VLOOKUP(A18,'Trips&amp;Operators'!$C$1:$G$99911,5,FALSE)</f>
        <v>YORK EDGAR</v>
      </c>
      <c r="M18" s="6">
        <f>I18-F18</f>
        <v>2.5787037033296656E-2</v>
      </c>
      <c r="N18" s="7">
        <f>24*60*SUM($M18:$M18)</f>
        <v>37.133333327947184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-06T03:50:42-0700',mode:absolute,to:'2017-11-06T06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23.296900000000001</v>
      </c>
      <c r="Z18" s="204">
        <f>RIGHT(H18,LEN(H18)-4)/10000</f>
        <v>1.54E-2</v>
      </c>
      <c r="AA18" s="204">
        <f>ABS(Z18-Y18)</f>
        <v>23.281500000000001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/stypes="app*4049*20171106*" /stext=" 12:.+((SYSTEM_STATE.+slice.+state.+changed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106-06 --locoid 4049 --swversion DE.1.0.9.0 --startMP 204:232969 --initTime 2017-11-06T04:50:42 --startdatetime 2017-11-06T05:12:22 --delay 39 --endMP 204:154 --enddatetime 2017-11-06T05:49:30 --enforcementcount 0 &gt;&gt;%USERPROFILE%\Documents\GitHub\eaglep3-reporting\EC\2017-11-06-refined-times.txt</v>
      </c>
      <c r="AI1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{"issue":{"subject":"","project_id":79,"tracker_id":40,"status_id":1,"priority_id":2,"assigned_to_id":338,"start_date":"2017-11-06","description":"","custom_fields":[{"id":1,"name":"Subdivision","value":"EC"},{"id":4,"name":"Milepost","value":"0.0154"},{"id":17,"name":"Train ID","value":"106-06"},{"id":16,"name":"Locomotive ID","value":"4049"},{"id":130,"name":"Impact","value":""},{"id":150,"name":"Time of Event (Mountain Time)","value":"05:49:30"},{"id":151,"name":"Denver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4049 --day 2017-11-06</v>
      </c>
      <c r="AN1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-11-06T03:50:42-0700',mode:absolute,to:'2017-11-06T06:49:30-0700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678</v>
      </c>
      <c r="B19" s="7">
        <v>4010</v>
      </c>
      <c r="C19" s="21" t="s">
        <v>192</v>
      </c>
      <c r="D19" s="21" t="s">
        <v>490</v>
      </c>
      <c r="E19" s="13">
        <v>43045.184212962966</v>
      </c>
      <c r="F19" s="13">
        <v>43045.187673611108</v>
      </c>
      <c r="G19" s="7">
        <v>89</v>
      </c>
      <c r="H19" s="21" t="s">
        <v>487</v>
      </c>
      <c r="I19" s="13">
        <v>43045.214942129627</v>
      </c>
      <c r="J19" s="7">
        <v>0</v>
      </c>
      <c r="K19" s="89" t="str">
        <f>IF(ISEVEN(B19),(B19-1)&amp;"/"&amp;B19,B19&amp;"/"&amp;(B19+1))</f>
        <v>4009/4010</v>
      </c>
      <c r="L19" s="185" t="str">
        <f>VLOOKUP(A19,'Trips&amp;Operators'!$C$1:$G$99911,5,FALSE)</f>
        <v>BARRON PERLA</v>
      </c>
      <c r="M19" s="6">
        <f>I19-F19</f>
        <v>2.7268518519122154E-2</v>
      </c>
      <c r="N19" s="7">
        <f>24*60*SUM($M19:$M19)</f>
        <v>39.266666667535901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-06T03:25:16-0700',mode:absolute,to:'2017-11-06T06:09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4.6899999999999997E-2</v>
      </c>
      <c r="Z19" s="204">
        <f>RIGHT(H19,LEN(H19)-4)/10000</f>
        <v>23.328900000000001</v>
      </c>
      <c r="AA19" s="204">
        <f>ABS(Z19-Y19)</f>
        <v>23.282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/stypes="app*4010*20171106*" /stext=" 12:.+((SYSTEM_STATE.+slice.+state.+changed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107-06 --locoid 4010 --swversion DE.1.0.9.0 --startMP 204:469 --initTime 2017-11-06T04:25:16 --startdatetime 2017-11-06T04:30:15 --delay 89 --endMP 204:233289 --enddatetime 2017-11-06T05:09:31 --enforcementcount 0 &gt;&gt;%USERPROFILE%\Documents\GitHub\eaglep3-reporting\EC\2017-11-06-refined-times.txt</v>
      </c>
      <c r="AI19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{"issue":{"subject":"","project_id":79,"tracker_id":40,"status_id":1,"priority_id":2,"assigned_to_id":338,"start_date":"2017-11-06","description":"","custom_fields":[{"id":1,"name":"Subdivision","value":"EC"},{"id":4,"name":"Milepost","value":"23.3289"},{"id":17,"name":"Train ID","value":"107-06"},{"id":16,"name":"Locomotive ID","value":"4010"},{"id":130,"name":"Impact","value":""},{"id":150,"name":"Time of Event (Mountain Time)","value":"05:09:31"},{"id":151,"name":"Denver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4010 --day 2017-11-06</v>
      </c>
      <c r="AN19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-11-06T03:25:16-0700',mode:absolute,to:'2017-11-06T06:09:31-0700'))&amp;_a=(columns:!('Message%20ID',Summary),filters:!(),index:'emp_*',interval:auto,query:(query_string:(analyze_wildcard:!t,query:'%22rtdc.l.rtdc.4010%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637</v>
      </c>
      <c r="B20" s="7">
        <v>4009</v>
      </c>
      <c r="C20" s="21" t="s">
        <v>192</v>
      </c>
      <c r="D20" s="21" t="s">
        <v>524</v>
      </c>
      <c r="E20" s="13">
        <v>43045.217650462961</v>
      </c>
      <c r="F20" s="13">
        <v>43045.227256944447</v>
      </c>
      <c r="G20" s="7">
        <v>71</v>
      </c>
      <c r="H20" s="21" t="s">
        <v>891</v>
      </c>
      <c r="I20" s="13">
        <v>43045.255324074074</v>
      </c>
      <c r="J20" s="7">
        <v>0</v>
      </c>
      <c r="K20" s="89" t="str">
        <f>IF(ISEVEN(B20),(B20-1)&amp;"/"&amp;B20,B20&amp;"/"&amp;(B20+1))</f>
        <v>4009/4010</v>
      </c>
      <c r="L20" s="185" t="str">
        <f>VLOOKUP(A20,'Trips&amp;Operators'!$C$1:$G$99911,5,FALSE)</f>
        <v>BARRON PERLA</v>
      </c>
      <c r="M20" s="6">
        <f>I20-F20</f>
        <v>2.806712962774327E-2</v>
      </c>
      <c r="N20" s="7">
        <f>24*60*SUM($M20:$M20)</f>
        <v>40.416666663950309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-06T04:13:25-0700',mode:absolute,to:'2017-11-06T07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23.296399999999998</v>
      </c>
      <c r="Z20" s="204">
        <f>RIGHT(H20,LEN(H20)-4)/10000</f>
        <v>2.2499999999999999E-2</v>
      </c>
      <c r="AA20" s="204">
        <f>ABS(Z20-Y20)</f>
        <v>23.273899999999998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/stypes="app*4009*20171106*" /stext=" 13:.+((SYSTEM_STATE.+slice.+state.+changed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108-06 --locoid 4009 --swversion DE.1.0.9.0 --startMP 204:232964 --initTime 2017-11-06T05:13:25 --startdatetime 2017-11-06T05:27:15 --delay 71 --endMP 204:225 --enddatetime 2017-11-06T06:07:40 --enforcementcount 0 &gt;&gt;%USERPROFILE%\Documents\GitHub\eaglep3-reporting\EC\2017-11-06-refined-times.txt</v>
      </c>
      <c r="AI2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{"issue":{"subject":"","project_id":79,"tracker_id":40,"status_id":1,"priority_id":2,"assigned_to_id":338,"start_date":"2017-11-06","description":"","custom_fields":[{"id":1,"name":"Subdivision","value":"EC"},{"id":4,"name":"Milepost","value":"0.0225"},{"id":17,"name":"Train ID","value":"108-06"},{"id":16,"name":"Locomotive ID","value":"4009"},{"id":130,"name":"Impact","value":""},{"id":150,"name":"Time of Event (Mountain Time)","value":"06:07:40"},{"id":151,"name":"Denver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4009 --day 2017-11-06</v>
      </c>
      <c r="AN2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-11-06T04:13:25-0700',mode:absolute,to:'2017-11-06T07:07:40-0700'))&amp;_a=(columns:!('Message%20ID',Summary),filters:!(),index:'emp_*',interval:auto,query:(query_string:(analyze_wildcard:!t,query:'%22rtdc.l.rtdc.4009%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680</v>
      </c>
      <c r="B21" s="7">
        <v>4036</v>
      </c>
      <c r="C21" s="21" t="s">
        <v>192</v>
      </c>
      <c r="D21" s="21" t="s">
        <v>578</v>
      </c>
      <c r="E21" s="13">
        <v>43045.192847222221</v>
      </c>
      <c r="F21" s="13">
        <v>43045.198125000003</v>
      </c>
      <c r="G21" s="7">
        <v>60</v>
      </c>
      <c r="H21" s="21" t="s">
        <v>892</v>
      </c>
      <c r="I21" s="13">
        <v>43045.222766203704</v>
      </c>
      <c r="J21" s="7">
        <v>0</v>
      </c>
      <c r="K21" s="89" t="str">
        <f>IF(ISEVEN(B21),(B21-1)&amp;"/"&amp;B21,B21&amp;"/"&amp;(B21+1))</f>
        <v>4035/4036</v>
      </c>
      <c r="L21" s="185" t="str">
        <f>VLOOKUP(A21,'Trips&amp;Operators'!$C$1:$G$99911,5,FALSE)</f>
        <v>MAELZER KURT</v>
      </c>
      <c r="M21" s="6">
        <f>I21-F21</f>
        <v>2.4641203701321501E-2</v>
      </c>
      <c r="N21" s="7">
        <f>24*60*SUM($M21:$M21)</f>
        <v>35.483333329902962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-06T03:37:42-0700',mode:absolute,to:'2017-11-06T06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4.3099999999999999E-2</v>
      </c>
      <c r="Z21" s="204">
        <f>RIGHT(H21,LEN(H21)-4)/10000</f>
        <v>23.329899999999999</v>
      </c>
      <c r="AA21" s="204">
        <f>ABS(Z21-Y21)</f>
        <v>23.286799999999999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/stypes="app*4036*20171106*" /stext=" 12:.+((SYSTEM_STATE.+slice.+state.+changed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109-06 --locoid 4036 --swversion DE.1.0.9.0 --startMP 204:431 --initTime 2017-11-06T04:37:42 --startdatetime 2017-11-06T04:45:18 --delay 60 --endMP 204:233299 --enddatetime 2017-11-06T05:20:47 --enforcementcount 0 &gt;&gt;%USERPROFILE%\Documents\GitHub\eaglep3-reporting\EC\2017-11-06-refined-times.txt</v>
      </c>
      <c r="AI2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{"issue":{"subject":"","project_id":79,"tracker_id":40,"status_id":1,"priority_id":2,"assigned_to_id":338,"start_date":"2017-11-06","description":"","custom_fields":[{"id":1,"name":"Subdivision","value":"EC"},{"id":4,"name":"Milepost","value":"23.3299"},{"id":17,"name":"Train ID","value":"109-06"},{"id":16,"name":"Locomotive ID","value":"4036"},{"id":130,"name":"Impact","value":""},{"id":150,"name":"Time of Event (Mountain Time)","value":"05:20:47"},{"id":151,"name":"Denver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4036 --day 2017-11-06</v>
      </c>
      <c r="AN2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-11-06T03:37:42-0700',mode:absolute,to:'2017-11-06T06:20:47-0700'))&amp;_a=(columns:!('Message%20ID',Summary),filters:!(),index:'emp_*',interval:auto,query:(query_string:(analyze_wildcard:!t,query:'%22rtdc.l.rtdc.4036%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692</v>
      </c>
      <c r="B22" s="7">
        <v>4035</v>
      </c>
      <c r="C22" s="21" t="s">
        <v>192</v>
      </c>
      <c r="D22" s="21" t="s">
        <v>893</v>
      </c>
      <c r="E22" s="13">
        <v>43045.228171296294</v>
      </c>
      <c r="F22" s="13">
        <v>43045.237673611111</v>
      </c>
      <c r="G22" s="7">
        <v>89</v>
      </c>
      <c r="H22" s="21" t="s">
        <v>894</v>
      </c>
      <c r="I22" s="13">
        <v>43045.264386574076</v>
      </c>
      <c r="J22" s="7">
        <v>0</v>
      </c>
      <c r="K22" s="89" t="str">
        <f>IF(ISEVEN(B22),(B22-1)&amp;"/"&amp;B22,B22&amp;"/"&amp;(B22+1))</f>
        <v>4035/4036</v>
      </c>
      <c r="L22" s="185" t="str">
        <f>VLOOKUP(A22,'Trips&amp;Operators'!$C$1:$G$99911,5,FALSE)</f>
        <v>MAELZER KURT</v>
      </c>
      <c r="M22" s="6">
        <f>I22-F22</f>
        <v>2.6712962964666076E-2</v>
      </c>
      <c r="N22" s="7">
        <f>24*60*SUM($M22:$M22)</f>
        <v>38.466666669119149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-06T04:28:34-0700',mode:absolute,to:'2017-11-06T07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23.298400000000001</v>
      </c>
      <c r="Z22" s="204">
        <f>RIGHT(H22,LEN(H22)-4)/10000</f>
        <v>1.41E-2</v>
      </c>
      <c r="AA22" s="204">
        <f>ABS(Z22-Y22)</f>
        <v>23.284300000000002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/stypes="app*4035*20171106*" /stext=" 13:.+((SYSTEM_STATE.+slice.+state.+changed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110-06 --locoid 4035 --swversion DE.1.0.9.0 --startMP 204:232984 --initTime 2017-11-06T05:28:34 --startdatetime 2017-11-06T05:42:15 --delay 89 --endMP 204:141 --enddatetime 2017-11-06T06:20:43 --enforcementcount 0 &gt;&gt;%USERPROFILE%\Documents\GitHub\eaglep3-reporting\EC\2017-11-06-refined-times.txt</v>
      </c>
      <c r="AI2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{"issue":{"subject":"","project_id":79,"tracker_id":40,"status_id":1,"priority_id":2,"assigned_to_id":338,"start_date":"2017-11-06","description":"","custom_fields":[{"id":1,"name":"Subdivision","value":"EC"},{"id":4,"name":"Milepost","value":"0.0141"},{"id":17,"name":"Train ID","value":"110-06"},{"id":16,"name":"Locomotive ID","value":"4035"},{"id":130,"name":"Impact","value":""},{"id":150,"name":"Time of Event (Mountain Time)","value":"06:20:43"},{"id":151,"name":"Denver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4035 --day 2017-11-06</v>
      </c>
      <c r="AN2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-11-06T04:28:34-0700',mode:absolute,to:'2017-11-06T07:20:43-0700'))&amp;_a=(columns:!('Message%20ID',Summary),filters:!(),index:'emp_*',interval:auto,query:(query_string:(analyze_wildcard:!t,query:'%22rtdc.l.rtdc.4035%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684</v>
      </c>
      <c r="B23" s="7">
        <v>4004</v>
      </c>
      <c r="C23" s="21" t="s">
        <v>192</v>
      </c>
      <c r="D23" s="21" t="s">
        <v>542</v>
      </c>
      <c r="E23" s="13">
        <v>43045.206076388888</v>
      </c>
      <c r="F23" s="13">
        <v>43045.208587962959</v>
      </c>
      <c r="G23" s="7">
        <v>62</v>
      </c>
      <c r="H23" s="21" t="s">
        <v>895</v>
      </c>
      <c r="I23" s="13">
        <v>43045.234513888892</v>
      </c>
      <c r="J23" s="7">
        <v>0</v>
      </c>
      <c r="K23" s="89" t="str">
        <f>IF(ISEVEN(B23),(B23-1)&amp;"/"&amp;B23,B23&amp;"/"&amp;(B23+1))</f>
        <v>4003/4004</v>
      </c>
      <c r="L23" s="185" t="str">
        <f>VLOOKUP(A23,'Trips&amp;Operators'!$C$1:$G$99911,5,FALSE)</f>
        <v>THOMPSON LESTER</v>
      </c>
      <c r="M23" s="6">
        <f>I23-F23</f>
        <v>2.5925925932824612E-2</v>
      </c>
      <c r="N23" s="7">
        <f>24*60*SUM($M23:$M23)</f>
        <v>37.333333343267441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-06T03:56:45-0700',mode:absolute,to:'2017-11-06T06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5.1499999999999997E-2</v>
      </c>
      <c r="Z23" s="204">
        <f>RIGHT(H23,LEN(H23)-4)/10000</f>
        <v>23.327400000000001</v>
      </c>
      <c r="AA23" s="204">
        <f>ABS(Z23-Y23)</f>
        <v>23.2759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/stypes="app*4004*20171106*" /stext=" 12:.+((SYSTEM_STATE.+slice.+state.+changed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111-06 --locoid 4004 --swversion DE.1.0.9.0 --startMP 204:515 --initTime 2017-11-06T04:56:45 --startdatetime 2017-11-06T05:00:22 --delay 62 --endMP 204:233274 --enddatetime 2017-11-06T05:37:42 --enforcementcount 0 &gt;&gt;%USERPROFILE%\Documents\GitHub\eaglep3-reporting\EC\2017-11-06-refined-times.txt</v>
      </c>
      <c r="AI2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{"issue":{"subject":"","project_id":79,"tracker_id":40,"status_id":1,"priority_id":2,"assigned_to_id":338,"start_date":"2017-11-06","description":"","custom_fields":[{"id":1,"name":"Subdivision","value":"EC"},{"id":4,"name":"Milepost","value":"23.3274"},{"id":17,"name":"Train ID","value":"111-06"},{"id":16,"name":"Locomotive ID","value":"4004"},{"id":130,"name":"Impact","value":""},{"id":150,"name":"Time of Event (Mountain Time)","value":"05:37:42"},{"id":151,"name":"Denver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4004 --day 2017-11-06</v>
      </c>
      <c r="AN2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-11-06T03:56:45-0700',mode:absolute,to:'2017-11-06T06:37:42-0700'))&amp;_a=(columns:!('Message%20ID',Summary),filters:!(),index:'emp_*',interval:auto,query:(query_string:(analyze_wildcard:!t,query:'%22rtdc.l.rtdc.4004%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699</v>
      </c>
      <c r="B24" s="7">
        <v>4003</v>
      </c>
      <c r="C24" s="21" t="s">
        <v>192</v>
      </c>
      <c r="D24" s="21" t="s">
        <v>524</v>
      </c>
      <c r="E24" s="13">
        <v>43045.245335648149</v>
      </c>
      <c r="F24" s="13">
        <v>43045.248078703706</v>
      </c>
      <c r="G24" s="7">
        <v>60</v>
      </c>
      <c r="H24" s="21" t="s">
        <v>612</v>
      </c>
      <c r="I24" s="13">
        <v>43045.275949074072</v>
      </c>
      <c r="J24" s="7">
        <v>0</v>
      </c>
      <c r="K24" s="89" t="str">
        <f>IF(ISEVEN(B24),(B24-1)&amp;"/"&amp;B24,B24&amp;"/"&amp;(B24+1))</f>
        <v>4003/4004</v>
      </c>
      <c r="L24" s="185" t="str">
        <f>VLOOKUP(A24,'Trips&amp;Operators'!$C$1:$G$99911,5,FALSE)</f>
        <v>THOMPSON LESTER</v>
      </c>
      <c r="M24" s="6">
        <f>I24-F24</f>
        <v>2.7870370366144925E-2</v>
      </c>
      <c r="N24" s="7">
        <f>24*60*SUM($M24:$M24)</f>
        <v>40.133333327248693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-06T04:53:17-0700',mode:absolute,to:'2017-11-06T07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23.296399999999998</v>
      </c>
      <c r="Z24" s="204">
        <f>RIGHT(H24,LEN(H24)-4)/10000</f>
        <v>2.18E-2</v>
      </c>
      <c r="AA24" s="204">
        <f>ABS(Z24-Y24)</f>
        <v>23.2746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/stypes="app*4003*20171106*" /stext=" 13:.+((SYSTEM_STATE.+slice.+state.+changed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112-06 --locoid 4003 --swversion DE.1.0.9.0 --startMP 204:232964 --initTime 2017-11-06T05:53:17 --startdatetime 2017-11-06T05:57:14 --delay 60 --endMP 204:218 --enddatetime 2017-11-06T06:37:22 --enforcementcount 0 &gt;&gt;%USERPROFILE%\Documents\GitHub\eaglep3-reporting\EC\2017-11-06-refined-times.txt</v>
      </c>
      <c r="AI2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{"issue":{"subject":"","project_id":79,"tracker_id":40,"status_id":1,"priority_id":2,"assigned_to_id":338,"start_date":"2017-11-06","description":"","custom_fields":[{"id":1,"name":"Subdivision","value":"EC"},{"id":4,"name":"Milepost","value":"0.0218"},{"id":17,"name":"Train ID","value":"112-06"},{"id":16,"name":"Locomotive ID","value":"4003"},{"id":130,"name":"Impact","value":""},{"id":150,"name":"Time of Event (Mountain Time)","value":"06:37:22"},{"id":151,"name":"Denver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4003 --day 2017-11-06</v>
      </c>
      <c r="AN2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-11-06T04:53:17-0700',mode:absolute,to:'2017-11-06T07:37:22-0700'))&amp;_a=(columns:!('Message%20ID',Summary),filters:!(),index:'emp_*',interval:auto,query:(query_string:(analyze_wildcard:!t,query:'%22rtdc.l.rtdc.4003%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687</v>
      </c>
      <c r="B25" s="7">
        <v>4016</v>
      </c>
      <c r="C25" s="21" t="s">
        <v>192</v>
      </c>
      <c r="D25" s="21" t="s">
        <v>475</v>
      </c>
      <c r="E25" s="13">
        <v>43045.213518518518</v>
      </c>
      <c r="F25" s="13">
        <v>43045.218912037039</v>
      </c>
      <c r="G25" s="7">
        <v>72</v>
      </c>
      <c r="H25" s="21" t="s">
        <v>896</v>
      </c>
      <c r="I25" s="13">
        <v>43045.242627314816</v>
      </c>
      <c r="J25" s="7">
        <v>0</v>
      </c>
      <c r="K25" s="89" t="str">
        <f>IF(ISEVEN(B25),(B25-1)&amp;"/"&amp;B25,B25&amp;"/"&amp;(B25+1))</f>
        <v>4015/4016</v>
      </c>
      <c r="L25" s="185" t="str">
        <f>VLOOKUP(A25,'Trips&amp;Operators'!$C$1:$G$99911,5,FALSE)</f>
        <v>BIRENBAUM THOMAS</v>
      </c>
      <c r="M25" s="6">
        <f>I25-F25</f>
        <v>2.3715277777228039E-2</v>
      </c>
      <c r="N25" s="7">
        <f>24*60*SUM($M25:$M25)</f>
        <v>34.149999999208376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-06T04:07:28-0700',mode:absolute,to:'2017-11-06T06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4.5699999999999998E-2</v>
      </c>
      <c r="Z25" s="204">
        <f>RIGHT(H25,LEN(H25)-4)/10000</f>
        <v>23.319500000000001</v>
      </c>
      <c r="AA25" s="204">
        <f>ABS(Z25-Y25)</f>
        <v>23.273800000000001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/stypes="app*4016*20171106*" /stext=" 12:.+((SYSTEM_STATE.+slice.+state.+changed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113-06 --locoid 4016 --swversion DE.1.0.9.0 --startMP 204:457 --initTime 2017-11-06T05:07:28 --startdatetime 2017-11-06T05:15:14 --delay 72 --endMP 204:233195 --enddatetime 2017-11-06T05:49:23 --enforcementcount 0 &gt;&gt;%USERPROFILE%\Documents\GitHub\eaglep3-reporting\EC\2017-11-06-refined-times.txt</v>
      </c>
      <c r="AI2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{"issue":{"subject":"","project_id":79,"tracker_id":40,"status_id":1,"priority_id":2,"assigned_to_id":338,"start_date":"2017-11-06","description":"","custom_fields":[{"id":1,"name":"Subdivision","value":"EC"},{"id":4,"name":"Milepost","value":"23.3195"},{"id":17,"name":"Train ID","value":"113-06"},{"id":16,"name":"Locomotive ID","value":"4016"},{"id":130,"name":"Impact","value":""},{"id":150,"name":"Time of Event (Mountain Time)","value":"05:49:23"},{"id":151,"name":"Denver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4016 --day 2017-11-06</v>
      </c>
      <c r="AN2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-11-06T04:07:28-0700',mode:absolute,to:'2017-11-06T06:49:23-0700'))&amp;_a=(columns:!('Message%20ID',Summary),filters:!(),index:'emp_*',interval:auto,query:(query_string:(analyze_wildcard:!t,query:'%22rtdc.l.rtdc.4016%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698</v>
      </c>
      <c r="B26" s="7">
        <v>4015</v>
      </c>
      <c r="C26" s="21" t="s">
        <v>192</v>
      </c>
      <c r="D26" s="21" t="s">
        <v>889</v>
      </c>
      <c r="E26" s="13">
        <v>43045.244062500002</v>
      </c>
      <c r="F26" s="13">
        <v>43045.258483796293</v>
      </c>
      <c r="G26" s="7">
        <v>57</v>
      </c>
      <c r="H26" s="21" t="s">
        <v>545</v>
      </c>
      <c r="I26" s="13">
        <v>43045.284687500003</v>
      </c>
      <c r="J26" s="7">
        <v>0</v>
      </c>
      <c r="K26" s="89" t="str">
        <f>IF(ISEVEN(B26),(B26-1)&amp;"/"&amp;B26,B26&amp;"/"&amp;(B26+1))</f>
        <v>4015/4016</v>
      </c>
      <c r="L26" s="185" t="str">
        <f>VLOOKUP(A26,'Trips&amp;Operators'!$C$1:$G$99911,5,FALSE)</f>
        <v>BIRENBAUM THOMAS</v>
      </c>
      <c r="M26" s="6">
        <f>I26-F26</f>
        <v>2.620370371005265E-2</v>
      </c>
      <c r="N26" s="7">
        <f>24*60*SUM($M26:$M26)</f>
        <v>37.733333342475817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-06T04:51:27-0700',mode:absolute,to:'2017-11-06T07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23.287299999999998</v>
      </c>
      <c r="Z26" s="204">
        <f>RIGHT(H26,LEN(H26)-4)/10000</f>
        <v>2.1600000000000001E-2</v>
      </c>
      <c r="AA26" s="204">
        <f>ABS(Z26-Y26)</f>
        <v>23.265699999999999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/stypes="app*4015*20171106*" /stext=" 13:.+((SYSTEM_STATE.+slice.+state.+changed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114-06 --locoid 4015 --swversion DE.1.0.9.0 --startMP 204:232873 --initTime 2017-11-06T05:51:27 --startdatetime 2017-11-06T06:12:13 --delay 57 --endMP 204:216 --enddatetime 2017-11-06T06:49:57 --enforcementcount 0 &gt;&gt;%USERPROFILE%\Documents\GitHub\eaglep3-reporting\EC\2017-11-06-refined-times.txt</v>
      </c>
      <c r="AI26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{"issue":{"subject":"","project_id":79,"tracker_id":40,"status_id":1,"priority_id":2,"assigned_to_id":338,"start_date":"2017-11-06","description":"","custom_fields":[{"id":1,"name":"Subdivision","value":"EC"},{"id":4,"name":"Milepost","value":"0.0216"},{"id":17,"name":"Train ID","value":"114-06"},{"id":16,"name":"Locomotive ID","value":"4015"},{"id":130,"name":"Impact","value":""},{"id":150,"name":"Time of Event (Mountain Time)","value":"06:49:57"},{"id":151,"name":"Denver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4015 --day 2017-11-06</v>
      </c>
      <c r="AN26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-11-06T04:51:27-0700',mode:absolute,to:'2017-11-06T07:49:57-0700'))&amp;_a=(columns:!('Message%20ID',Summary),filters:!(),index:'emp_*',interval:auto,query:(query_string:(analyze_wildcard:!t,query:'%22rtdc.l.rtdc.4015%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689</v>
      </c>
      <c r="B27" s="7">
        <v>4052</v>
      </c>
      <c r="C27" s="21" t="s">
        <v>192</v>
      </c>
      <c r="D27" s="21" t="s">
        <v>626</v>
      </c>
      <c r="E27" s="13">
        <v>43045.225057870368</v>
      </c>
      <c r="F27" s="13">
        <v>43045.229560185187</v>
      </c>
      <c r="G27" s="7">
        <v>281</v>
      </c>
      <c r="H27" s="21" t="s">
        <v>602</v>
      </c>
      <c r="I27" s="13">
        <v>43045.25540509259</v>
      </c>
      <c r="J27" s="7">
        <v>0</v>
      </c>
      <c r="K27" s="89" t="str">
        <f>IF(ISEVEN(B27),(B27-1)&amp;"/"&amp;B27,B27&amp;"/"&amp;(B27+1))</f>
        <v>4051/4052</v>
      </c>
      <c r="L27" s="185" t="str">
        <f>VLOOKUP(A27,'Trips&amp;Operators'!$C$1:$G$99911,5,FALSE)</f>
        <v>BONDS REYNALDO</v>
      </c>
      <c r="M27" s="6">
        <f>I27-F27</f>
        <v>2.5844907402643003E-2</v>
      </c>
      <c r="N27" s="7">
        <f>24*60*SUM($M27:$M27)</f>
        <v>37.216666659805924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-06T04:24:05-0700',mode:absolute,to:'2017-11-06T07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5.62E-2</v>
      </c>
      <c r="Z27" s="204">
        <f>RIGHT(H27,LEN(H27)-4)/10000</f>
        <v>23.3263</v>
      </c>
      <c r="AA27" s="204">
        <f>ABS(Z27-Y27)</f>
        <v>23.270099999999999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/stypes="app*4052*20171106*" /stext=" 13:.+((SYSTEM_STATE.+slice.+state.+changed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115-06 --locoid 4052 --swversion DE.1.0.9.0 --startMP 204:562 --initTime 2017-11-06T05:24:05 --startdatetime 2017-11-06T05:30:34 --delay 281 --endMP 204:233263 --enddatetime 2017-11-06T06:07:47 --enforcementcount 0 &gt;&gt;%USERPROFILE%\Documents\GitHub\eaglep3-reporting\EC\2017-11-06-refined-times.txt</v>
      </c>
      <c r="AI27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{"issue":{"subject":"","project_id":79,"tracker_id":40,"status_id":1,"priority_id":2,"assigned_to_id":338,"start_date":"2017-11-06","description":"","custom_fields":[{"id":1,"name":"Subdivision","value":"EC"},{"id":4,"name":"Milepost","value":"23.3263"},{"id":17,"name":"Train ID","value":"115-06"},{"id":16,"name":"Locomotive ID","value":"4052"},{"id":130,"name":"Impact","value":""},{"id":150,"name":"Time of Event (Mountain Time)","value":"06:07:47"},{"id":151,"name":"Denver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4052 --day 2017-11-06</v>
      </c>
      <c r="AN27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-11-06T04:24:05-0700',mode:absolute,to:'2017-11-06T07:07:47-0700'))&amp;_a=(columns:!('Message%20ID',Summary),filters:!(),index:'emp_*',interval:auto,query:(query_string:(analyze_wildcard:!t,query:'%22rtdc.l.rtdc.4052%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702</v>
      </c>
      <c r="B28" s="7">
        <v>4051</v>
      </c>
      <c r="C28" s="21" t="s">
        <v>192</v>
      </c>
      <c r="D28" s="21" t="s">
        <v>621</v>
      </c>
      <c r="E28" s="13">
        <v>43045.265648148146</v>
      </c>
      <c r="F28" s="13">
        <v>43045.268912037034</v>
      </c>
      <c r="G28" s="7">
        <v>70</v>
      </c>
      <c r="H28" s="21" t="s">
        <v>530</v>
      </c>
      <c r="I28" s="13">
        <v>43045.295081018521</v>
      </c>
      <c r="J28" s="7">
        <v>0</v>
      </c>
      <c r="K28" s="89" t="str">
        <f>IF(ISEVEN(B28),(B28-1)&amp;"/"&amp;B28,B28&amp;"/"&amp;(B28+1))</f>
        <v>4051/4052</v>
      </c>
      <c r="L28" s="185" t="str">
        <f>VLOOKUP(A28,'Trips&amp;Operators'!$C$1:$G$99911,5,FALSE)</f>
        <v>BONDS REYNALDO</v>
      </c>
      <c r="M28" s="6">
        <f>I28-F28</f>
        <v>2.6168981486989651E-2</v>
      </c>
      <c r="N28" s="7">
        <f>24*60*SUM($M28:$M28)</f>
        <v>37.683333341265097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-06T05:22:32-0700',mode:absolute,to:'2017-11-06T08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23.294499999999999</v>
      </c>
      <c r="Z28" s="204">
        <f>RIGHT(H28,LEN(H28)-4)/10000</f>
        <v>2.0500000000000001E-2</v>
      </c>
      <c r="AA28" s="204">
        <f>ABS(Z28-Y28)</f>
        <v>23.274000000000001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/stypes="app*4051*20171106*" /stext=" 14:.+((SYSTEM_STATE.+slice.+state.+changed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116-06 --locoid 4051 --swversion DE.1.0.9.0 --startMP 204:232945 --initTime 2017-11-06T06:22:32 --startdatetime 2017-11-06T06:27:14 --delay 70 --endMP 204:205 --enddatetime 2017-11-06T07:04:55 --enforcementcount 0 &gt;&gt;%USERPROFILE%\Documents\GitHub\eaglep3-reporting\EC\2017-11-06-refined-times.txt</v>
      </c>
      <c r="AI2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{"issue":{"subject":"","project_id":79,"tracker_id":40,"status_id":1,"priority_id":2,"assigned_to_id":338,"start_date":"2017-11-06","description":"","custom_fields":[{"id":1,"name":"Subdivision","value":"EC"},{"id":4,"name":"Milepost","value":"0.0205"},{"id":17,"name":"Train ID","value":"116-06"},{"id":16,"name":"Locomotive ID","value":"4051"},{"id":130,"name":"Impact","value":""},{"id":150,"name":"Time of Event (Mountain Time)","value":"07:04:55"},{"id":151,"name":"Denver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4051 --day 2017-11-06</v>
      </c>
      <c r="AN2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-11-06T05:22:32-0700',mode:absolute,to:'2017-11-06T08:04:55-0700'))&amp;_a=(columns:!('Message%20ID',Summary),filters:!(),index:'emp_*',interval:auto,query:(query_string:(analyze_wildcard:!t,query:'%22rtdc.l.rtdc.4051%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696</v>
      </c>
      <c r="B29" s="7">
        <v>4012</v>
      </c>
      <c r="C29" s="21" t="s">
        <v>192</v>
      </c>
      <c r="D29" s="21" t="s">
        <v>897</v>
      </c>
      <c r="E29" s="13">
        <v>43045.23646990741</v>
      </c>
      <c r="F29" s="13">
        <v>43045.240023148152</v>
      </c>
      <c r="G29" s="7">
        <v>58</v>
      </c>
      <c r="H29" s="21" t="s">
        <v>627</v>
      </c>
      <c r="I29" s="13">
        <v>43045.266493055555</v>
      </c>
      <c r="J29" s="7">
        <v>0</v>
      </c>
      <c r="K29" s="89" t="str">
        <f>IF(ISEVEN(B29),(B29-1)&amp;"/"&amp;B29,B29&amp;"/"&amp;(B29+1))</f>
        <v>4011/4012</v>
      </c>
      <c r="L29" s="185" t="str">
        <f>VLOOKUP(A29,'Trips&amp;Operators'!$C$1:$G$99911,5,FALSE)</f>
        <v>LAMAR NEKESHA</v>
      </c>
      <c r="M29" s="6">
        <f>I29-F29</f>
        <v>2.6469907403225079E-2</v>
      </c>
      <c r="N29" s="7">
        <f>24*60*SUM($M29:$M29)</f>
        <v>38.116666660644114</v>
      </c>
      <c r="O29" s="7"/>
      <c r="P29" s="7"/>
      <c r="Q29" s="22"/>
      <c r="R29" s="174" t="s">
        <v>1116</v>
      </c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-06T04:40:31-0700',mode:absolute,to:'2017-11-06T07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4.7500000000000001E-2</v>
      </c>
      <c r="Z29" s="204">
        <f>RIGHT(H29,LEN(H29)-4)/10000</f>
        <v>23.3245</v>
      </c>
      <c r="AA29" s="204">
        <f>ABS(Z29-Y29)</f>
        <v>23.277000000000001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/stypes="app*4012*20171106*" /stext=" 13:.+((SYSTEM_STATE.+slice.+state.+changed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117-06 --locoid 4012 --swversion DE.1.0.9.0 --startMP 204:475 --initTime 2017-11-06T05:40:31 --startdatetime 2017-11-06T05:45:38 --delay 58 --endMP 204:233245 --enddatetime 2017-11-06T06:23:45 --enforcementcount 0 &gt;&gt;%USERPROFILE%\Documents\GitHub\eaglep3-reporting\EC\2017-11-06-refined-times.txt</v>
      </c>
      <c r="AI29" s="96" t="str">
        <f t="shared" si="6"/>
        <v>echo {"issue":{"subject":"Experienced wheel tach slip, re-initialized in place","project_id":79,"tracker_id":40,"status_id":1,"priority_id":2,"assigned_to_id":338,"start_date":"2017-11-06","description":"","custom_fields":[{"id":1,"name":"Subdivision","value":"EC"},{"id":4,"name":"Milepost","value":"23.3245"},{"id":17,"name":"Train ID","value":"117-06"},{"id":16,"name":"Locomotive ID","value":"4012"},{"id":130,"name":"Impact","value":""},{"id":150,"name":"Time of Event (Mountain Time)","value":"06:23:45"},{"id":151,"name":"Denver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4012 --day 2017-11-06</v>
      </c>
      <c r="AN29" s="151" t="str">
        <f t="shared" si="8"/>
        <v>echo {"issue":{"subject":"Experienced wheel tach slip, re-initialized in place","project_id":30,"tracker_id":4,"status_id":1,"priority_id":1,"assigned_to_id":10,"start_date":"2017-11-06","description":"","custom_fields":[{"id":30,"name":"Category","value":"Issue"},{"id":3,"name":"Functional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-11-06T04:40:31-0700',mode:absolute,to:'2017-11-06T07:23:45-0700'))&amp;_a=(columns:!('Message%20ID',Summary),filters:!(),index:'emp_*',interval:auto,query:(query_string:(analyze_wildcard:!t,query:'%22rtdc.l.rtdc.4012%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706</v>
      </c>
      <c r="B30" s="7">
        <v>4011</v>
      </c>
      <c r="C30" s="21" t="s">
        <v>192</v>
      </c>
      <c r="D30" s="21" t="s">
        <v>552</v>
      </c>
      <c r="E30" s="13">
        <v>43045.275335648148</v>
      </c>
      <c r="F30" s="13">
        <v>43045.279351851852</v>
      </c>
      <c r="G30" s="7">
        <v>62</v>
      </c>
      <c r="H30" s="21" t="s">
        <v>898</v>
      </c>
      <c r="I30" s="13">
        <v>43045.306087962963</v>
      </c>
      <c r="J30" s="7">
        <v>0</v>
      </c>
      <c r="K30" s="89" t="str">
        <f>IF(ISEVEN(B30),(B30-1)&amp;"/"&amp;B30,B30&amp;"/"&amp;(B30+1))</f>
        <v>4011/4012</v>
      </c>
      <c r="L30" s="185" t="str">
        <f>VLOOKUP(A30,'Trips&amp;Operators'!$C$1:$G$99911,5,FALSE)</f>
        <v>LAMAR NEKESHA</v>
      </c>
      <c r="M30" s="6">
        <f>I30-F30</f>
        <v>2.6736111110949423E-2</v>
      </c>
      <c r="N30" s="7">
        <f>24*60*SUM($M30:$M30)</f>
        <v>38.499999999767169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-06T05:36:29-0700',mode:absolute,to:'2017-11-06T08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23.293800000000001</v>
      </c>
      <c r="Z30" s="204">
        <f>RIGHT(H30,LEN(H30)-4)/10000</f>
        <v>1.5599999999999999E-2</v>
      </c>
      <c r="AA30" s="204">
        <f>ABS(Z30-Y30)</f>
        <v>23.278200000000002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/stypes="app*4011*20171106*" /stext=" 14:.+((SYSTEM_STATE.+slice.+state.+changed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118-06 --locoid 4011 --swversion DE.1.0.9.0 --startMP 204:232938 --initTime 2017-11-06T06:36:29 --startdatetime 2017-11-06T06:42:16 --delay 62 --endMP 204:156 --enddatetime 2017-11-06T07:20:46 --enforcementcount 0 &gt;&gt;%USERPROFILE%\Documents\GitHub\eaglep3-reporting\EC\2017-11-06-refined-times.txt</v>
      </c>
      <c r="AI3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{"issue":{"subject":"","project_id":79,"tracker_id":40,"status_id":1,"priority_id":2,"assigned_to_id":338,"start_date":"2017-11-06","description":"","custom_fields":[{"id":1,"name":"Subdivision","value":"EC"},{"id":4,"name":"Milepost","value":"0.0156"},{"id":17,"name":"Train ID","value":"118-06"},{"id":16,"name":"Locomotive ID","value":"4011"},{"id":130,"name":"Impact","value":""},{"id":150,"name":"Time of Event (Mountain Time)","value":"07:20:46"},{"id":151,"name":"Denver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4011 --day 2017-11-06</v>
      </c>
      <c r="AN3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-11-06T05:36:29-0700',mode:absolute,to:'2017-11-06T08:20:46-0700'))&amp;_a=(columns:!('Message%20ID',Summary),filters:!(),index:'emp_*',interval:auto,query:(query_string:(analyze_wildcard:!t,query:'%22rtdc.l.rtdc.4011%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697</v>
      </c>
      <c r="B31" s="7">
        <v>4050</v>
      </c>
      <c r="C31" s="21" t="s">
        <v>192</v>
      </c>
      <c r="D31" s="21" t="s">
        <v>490</v>
      </c>
      <c r="E31" s="13">
        <v>43045.243657407409</v>
      </c>
      <c r="F31" s="13">
        <v>43045.250543981485</v>
      </c>
      <c r="G31" s="7">
        <v>48</v>
      </c>
      <c r="H31" s="21" t="s">
        <v>899</v>
      </c>
      <c r="I31" s="13">
        <v>43045.274571759262</v>
      </c>
      <c r="J31" s="7">
        <v>0</v>
      </c>
      <c r="K31" s="89" t="str">
        <f>IF(ISEVEN(B31),(B31-1)&amp;"/"&amp;B31,B31&amp;"/"&amp;(B31+1))</f>
        <v>4049/4050</v>
      </c>
      <c r="L31" s="185" t="str">
        <f>VLOOKUP(A31,'Trips&amp;Operators'!$C$1:$G$99911,5,FALSE)</f>
        <v>YORK EDGAR</v>
      </c>
      <c r="M31" s="6">
        <f>I31-F31</f>
        <v>2.4027777777519077E-2</v>
      </c>
      <c r="N31" s="7">
        <f>24*60*SUM($M31:$M31)</f>
        <v>34.599999999627471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-06T04:50:52-0700',mode:absolute,to:'2017-11-06T07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4.6899999999999997E-2</v>
      </c>
      <c r="Z31" s="204">
        <f>RIGHT(H31,LEN(H31)-4)/10000</f>
        <v>23.3291</v>
      </c>
      <c r="AA31" s="204">
        <f>ABS(Z31-Y31)</f>
        <v>23.2822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/stypes="app*4050*20171106*" /stext=" 13:.+((SYSTEM_STATE.+slice.+state.+changed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119-06 --locoid 4050 --swversion DE.1.0.9.0 --startMP 204:469 --initTime 2017-11-06T05:50:52 --startdatetime 2017-11-06T06:00:47 --delay 48 --endMP 204:233291 --enddatetime 2017-11-06T06:35:23 --enforcementcount 0 &gt;&gt;%USERPROFILE%\Documents\GitHub\eaglep3-reporting\EC\2017-11-06-refined-times.txt</v>
      </c>
      <c r="AI3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{"issue":{"subject":"","project_id":79,"tracker_id":40,"status_id":1,"priority_id":2,"assigned_to_id":338,"start_date":"2017-11-06","description":"","custom_fields":[{"id":1,"name":"Subdivision","value":"EC"},{"id":4,"name":"Milepost","value":"23.3291"},{"id":17,"name":"Train ID","value":"119-06"},{"id":16,"name":"Locomotive ID","value":"4050"},{"id":130,"name":"Impact","value":""},{"id":150,"name":"Time of Event (Mountain Time)","value":"06:35:23"},{"id":151,"name":"Denver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4050 --day 2017-11-06</v>
      </c>
      <c r="AN3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-11-06T04:50:52-0700',mode:absolute,to:'2017-11-06T07:35:23-0700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705</v>
      </c>
      <c r="B32" s="7">
        <v>4049</v>
      </c>
      <c r="C32" s="21" t="s">
        <v>192</v>
      </c>
      <c r="D32" s="21" t="s">
        <v>900</v>
      </c>
      <c r="E32" s="13">
        <v>43045.275416666664</v>
      </c>
      <c r="F32" s="13">
        <v>43045.289768518516</v>
      </c>
      <c r="G32" s="7">
        <v>50</v>
      </c>
      <c r="H32" s="21" t="s">
        <v>901</v>
      </c>
      <c r="I32" s="13">
        <v>43045.315289351849</v>
      </c>
      <c r="J32" s="7">
        <v>0</v>
      </c>
      <c r="K32" s="89" t="str">
        <f>IF(ISEVEN(B32),(B32-1)&amp;"/"&amp;B32,B32&amp;"/"&amp;(B32+1))</f>
        <v>4049/4050</v>
      </c>
      <c r="L32" s="185" t="str">
        <f>VLOOKUP(A32,'Trips&amp;Operators'!$C$1:$G$99911,5,FALSE)</f>
        <v>YORK EDGAR</v>
      </c>
      <c r="M32" s="6">
        <f>I32-F32</f>
        <v>2.5520833332848269E-2</v>
      </c>
      <c r="N32" s="7">
        <f>24*60*SUM($M32:$M32)</f>
        <v>36.749999999301508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-06T05:36:36-0700',mode:absolute,to:'2017-11-06T08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23.296199999999999</v>
      </c>
      <c r="Z32" s="204">
        <f>RIGHT(H32,LEN(H32)-4)/10000</f>
        <v>8.9300000000000004E-2</v>
      </c>
      <c r="AA32" s="204">
        <f>ABS(Z32-Y32)</f>
        <v>23.206899999999997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/stypes="app*4049*20171106*" /stext=" 14:.+((SYSTEM_STATE.+slice.+state.+changed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120-06 --locoid 4049 --swversion DE.1.0.9.0 --startMP 204:232962 --initTime 2017-11-06T06:36:36 --startdatetime 2017-11-06T06:57:16 --delay 50 --endMP 204:893 --enddatetime 2017-11-06T07:34:01 --enforcementcount 0 &gt;&gt;%USERPROFILE%\Documents\GitHub\eaglep3-reporting\EC\2017-11-06-refined-times.txt</v>
      </c>
      <c r="AI3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{"issue":{"subject":"","project_id":79,"tracker_id":40,"status_id":1,"priority_id":2,"assigned_to_id":338,"start_date":"2017-11-06","description":"","custom_fields":[{"id":1,"name":"Subdivision","value":"EC"},{"id":4,"name":"Milepost","value":"0.0893"},{"id":17,"name":"Train ID","value":"120-06"},{"id":16,"name":"Locomotive ID","value":"4049"},{"id":130,"name":"Impact","value":""},{"id":150,"name":"Time of Event (Mountain Time)","value":"07:34:01"},{"id":151,"name":"Denver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4049 --day 2017-11-06</v>
      </c>
      <c r="AN3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-11-06T05:36:36-0700',mode:absolute,to:'2017-11-06T08:34:01-0700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701</v>
      </c>
      <c r="B33" s="7">
        <v>4010</v>
      </c>
      <c r="C33" s="21" t="s">
        <v>192</v>
      </c>
      <c r="D33" s="21" t="s">
        <v>623</v>
      </c>
      <c r="E33" s="13">
        <v>43045.256840277776</v>
      </c>
      <c r="F33" s="13">
        <v>43045.260648148149</v>
      </c>
      <c r="G33" s="7">
        <v>63</v>
      </c>
      <c r="H33" s="21" t="s">
        <v>536</v>
      </c>
      <c r="I33" s="13">
        <v>43045.287048611113</v>
      </c>
      <c r="J33" s="7">
        <v>0</v>
      </c>
      <c r="K33" s="89" t="str">
        <f>IF(ISEVEN(B33),(B33-1)&amp;"/"&amp;B33,B33&amp;"/"&amp;(B33+1))</f>
        <v>4009/4010</v>
      </c>
      <c r="L33" s="185" t="str">
        <f>VLOOKUP(A33,'Trips&amp;Operators'!$C$1:$G$99911,5,FALSE)</f>
        <v>BARRON PERLA</v>
      </c>
      <c r="M33" s="6">
        <f>I33-F33</f>
        <v>2.6400462964375038E-2</v>
      </c>
      <c r="N33" s="7">
        <f>24*60*SUM($M33:$M33)</f>
        <v>38.016666668700054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-06T05:09:51-0700',mode:absolute,to:'2017-11-06T07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5.3699999999999998E-2</v>
      </c>
      <c r="Z33" s="204">
        <f>RIGHT(H33,LEN(H33)-4)/10000</f>
        <v>23.325700000000001</v>
      </c>
      <c r="AA33" s="204">
        <f>ABS(Z33-Y33)</f>
        <v>23.272000000000002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/stypes="app*4010*20171106*" /stext=" 13:.+((SYSTEM_STATE.+slice.+state.+changed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121-06 --locoid 4010 --swversion DE.1.0.9.0 --startMP 204:537 --initTime 2017-11-06T06:09:51 --startdatetime 2017-11-06T06:15:20 --delay 63 --endMP 204:233257 --enddatetime 2017-11-06T06:53:21 --enforcementcount 0 &gt;&gt;%USERPROFILE%\Documents\GitHub\eaglep3-reporting\EC\2017-11-06-refined-times.txt</v>
      </c>
      <c r="AI3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{"issue":{"subject":"","project_id":79,"tracker_id":40,"status_id":1,"priority_id":2,"assigned_to_id":338,"start_date":"2017-11-06","description":"","custom_fields":[{"id":1,"name":"Subdivision","value":"EC"},{"id":4,"name":"Milepost","value":"23.3257"},{"id":17,"name":"Train ID","value":"121-06"},{"id":16,"name":"Locomotive ID","value":"4010"},{"id":130,"name":"Impact","value":""},{"id":150,"name":"Time of Event (Mountain Time)","value":"06:53:21"},{"id":151,"name":"Denver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4010 --day 2017-11-06</v>
      </c>
      <c r="AN3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-11-06T05:09:51-0700',mode:absolute,to:'2017-11-06T07:53:21-0700'))&amp;_a=(columns:!('Message%20ID',Summary),filters:!(),index:'emp_*',interval:auto,query:(query_string:(analyze_wildcard:!t,query:'%22rtdc.l.rtdc.4010%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711</v>
      </c>
      <c r="B34" s="7">
        <v>4009</v>
      </c>
      <c r="C34" s="21" t="s">
        <v>192</v>
      </c>
      <c r="D34" s="21" t="s">
        <v>480</v>
      </c>
      <c r="E34" s="13">
        <v>43045.288784722223</v>
      </c>
      <c r="F34" s="13">
        <v>43045.300173611111</v>
      </c>
      <c r="G34" s="7">
        <v>66</v>
      </c>
      <c r="H34" s="21" t="s">
        <v>535</v>
      </c>
      <c r="I34" s="13">
        <v>43045.327037037037</v>
      </c>
      <c r="J34" s="7">
        <v>0</v>
      </c>
      <c r="K34" s="89" t="str">
        <f>IF(ISEVEN(B34),(B34-1)&amp;"/"&amp;B34,B34&amp;"/"&amp;(B34+1))</f>
        <v>4009/4010</v>
      </c>
      <c r="L34" s="185" t="str">
        <f>VLOOKUP(A34,'Trips&amp;Operators'!$C$1:$G$99911,5,FALSE)</f>
        <v>BARRON PERLA</v>
      </c>
      <c r="M34" s="6">
        <f>I34-F34</f>
        <v>2.6863425926421769E-2</v>
      </c>
      <c r="N34" s="7">
        <f>24*60*SUM($M34:$M34)</f>
        <v>38.683333334047347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-06T05:55:51-0700',mode:absolute,to:'2017-11-06T08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23.293399999999998</v>
      </c>
      <c r="Z34" s="204">
        <f>RIGHT(H34,LEN(H34)-4)/10000</f>
        <v>2.07E-2</v>
      </c>
      <c r="AA34" s="204">
        <f>ABS(Z34-Y34)</f>
        <v>23.272699999999997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/stypes="app*4009*20171106*" /stext=" 14:.+((SYSTEM_STATE.+slice.+state.+changed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122-06 --locoid 4009 --swversion DE.1.0.9.0 --startMP 204:232934 --initTime 2017-11-06T06:55:51 --startdatetime 2017-11-06T07:12:15 --delay 66 --endMP 204:207 --enddatetime 2017-11-06T07:50:56 --enforcementcount 0 &gt;&gt;%USERPROFILE%\Documents\GitHub\eaglep3-reporting\EC\2017-11-06-refined-times.txt</v>
      </c>
      <c r="AI3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{"issue":{"subject":"","project_id":79,"tracker_id":40,"status_id":1,"priority_id":2,"assigned_to_id":338,"start_date":"2017-11-06","description":"","custom_fields":[{"id":1,"name":"Subdivision","value":"EC"},{"id":4,"name":"Milepost","value":"0.0207"},{"id":17,"name":"Train ID","value":"122-06"},{"id":16,"name":"Locomotive ID","value":"4009"},{"id":130,"name":"Impact","value":""},{"id":150,"name":"Time of Event (Mountain Time)","value":"07:50:56"},{"id":151,"name":"Denver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4009 --day 2017-11-06</v>
      </c>
      <c r="AN3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-11-06T05:55:51-0700',mode:absolute,to:'2017-11-06T08:50:56-0700'))&amp;_a=(columns:!('Message%20ID',Summary),filters:!(),index:'emp_*',interval:auto,query:(query_string:(analyze_wildcard:!t,query:'%22rtdc.l.rtdc.4009%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703</v>
      </c>
      <c r="B35" s="7">
        <v>4036</v>
      </c>
      <c r="C35" s="21" t="s">
        <v>192</v>
      </c>
      <c r="D35" s="21" t="s">
        <v>902</v>
      </c>
      <c r="E35" s="13">
        <v>43045.2659375</v>
      </c>
      <c r="F35" s="13">
        <v>43045.271006944444</v>
      </c>
      <c r="G35" s="7">
        <v>53</v>
      </c>
      <c r="H35" s="21" t="s">
        <v>903</v>
      </c>
      <c r="I35" s="13">
        <v>43045.295578703706</v>
      </c>
      <c r="J35" s="7">
        <v>0</v>
      </c>
      <c r="K35" s="89" t="str">
        <f>IF(ISEVEN(B35),(B35-1)&amp;"/"&amp;B35,B35&amp;"/"&amp;(B35+1))</f>
        <v>4035/4036</v>
      </c>
      <c r="L35" s="185" t="str">
        <f>VLOOKUP(A35,'Trips&amp;Operators'!$C$1:$G$99911,5,FALSE)</f>
        <v>MAELZER KURT</v>
      </c>
      <c r="M35" s="6">
        <f>I35-F35</f>
        <v>2.457175926247146E-2</v>
      </c>
      <c r="N35" s="7">
        <f>24*60*SUM($M35:$M35)</f>
        <v>35.383333337958902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-06T05:22:57-0700',mode:absolute,to:'2017-11-06T08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4.4400000000000002E-2</v>
      </c>
      <c r="Z35" s="204">
        <f>RIGHT(H35,LEN(H35)-4)/10000</f>
        <v>23.331900000000001</v>
      </c>
      <c r="AA35" s="204">
        <f>ABS(Z35-Y35)</f>
        <v>23.287500000000001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/stypes="app*4036*20171106*" /stext=" 14:.+((SYSTEM_STATE.+slice.+state.+changed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123-06 --locoid 4036 --swversion DE.1.0.9.0 --startMP 204:444 --initTime 2017-11-06T06:22:57 --startdatetime 2017-11-06T06:30:15 --delay 53 --endMP 204:233319 --enddatetime 2017-11-06T07:05:38 --enforcementcount 0 &gt;&gt;%USERPROFILE%\Documents\GitHub\eaglep3-reporting\EC\2017-11-06-refined-times.txt</v>
      </c>
      <c r="AI3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{"issue":{"subject":"","project_id":79,"tracker_id":40,"status_id":1,"priority_id":2,"assigned_to_id":338,"start_date":"2017-11-06","description":"","custom_fields":[{"id":1,"name":"Subdivision","value":"EC"},{"id":4,"name":"Milepost","value":"23.3319"},{"id":17,"name":"Train ID","value":"123-06"},{"id":16,"name":"Locomotive ID","value":"4036"},{"id":130,"name":"Impact","value":""},{"id":150,"name":"Time of Event (Mountain Time)","value":"07:05:38"},{"id":151,"name":"Denver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4036 --day 2017-11-06</v>
      </c>
      <c r="AN3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-11-06T05:22:57-0700',mode:absolute,to:'2017-11-06T08:05:38-0700'))&amp;_a=(columns:!('Message%20ID',Summary),filters:!(),index:'emp_*',interval:auto,query:(query_string:(analyze_wildcard:!t,query:'%22rtdc.l.rtdc.4036%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713</v>
      </c>
      <c r="B36" s="7">
        <v>4035</v>
      </c>
      <c r="C36" s="21" t="s">
        <v>192</v>
      </c>
      <c r="D36" s="21" t="s">
        <v>904</v>
      </c>
      <c r="E36" s="13">
        <v>43045.304652777777</v>
      </c>
      <c r="F36" s="13">
        <v>43045.310648148145</v>
      </c>
      <c r="G36" s="7">
        <v>48</v>
      </c>
      <c r="H36" s="21" t="s">
        <v>894</v>
      </c>
      <c r="I36" s="13">
        <v>43045.336851851855</v>
      </c>
      <c r="J36" s="7">
        <v>0</v>
      </c>
      <c r="K36" s="89" t="str">
        <f>IF(ISEVEN(B36),(B36-1)&amp;"/"&amp;B36,B36&amp;"/"&amp;(B36+1))</f>
        <v>4035/4036</v>
      </c>
      <c r="L36" s="185" t="str">
        <f>VLOOKUP(A36,'Trips&amp;Operators'!$C$1:$G$99911,5,FALSE)</f>
        <v>MAELZER KURT</v>
      </c>
      <c r="M36" s="6">
        <f>I36-F36</f>
        <v>2.620370371005265E-2</v>
      </c>
      <c r="N36" s="7">
        <f>24*60*SUM($M36:$M36)</f>
        <v>37.733333342475817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-06T06:18:42-0700',mode:absolute,to:'2017-11-06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23.299299999999999</v>
      </c>
      <c r="Z36" s="204">
        <f>RIGHT(H36,LEN(H36)-4)/10000</f>
        <v>1.41E-2</v>
      </c>
      <c r="AA36" s="204">
        <f>ABS(Z36-Y36)</f>
        <v>23.2852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/stypes="app*4035*20171106*" /stext=" 15:.+((SYSTEM_STATE.+slice.+state.+changed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124-06 --locoid 4035 --swversion DE.1.0.9.0 --startMP 204:232993 --initTime 2017-11-06T07:18:42 --startdatetime 2017-11-06T07:27:20 --delay 48 --endMP 204:141 --enddatetime 2017-11-06T08:05:04 --enforcementcount 0 &gt;&gt;%USERPROFILE%\Documents\GitHub\eaglep3-reporting\EC\2017-11-06-refined-times.txt</v>
      </c>
      <c r="AI36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{"issue":{"subject":"","project_id":79,"tracker_id":40,"status_id":1,"priority_id":2,"assigned_to_id":338,"start_date":"2017-11-06","description":"","custom_fields":[{"id":1,"name":"Subdivision","value":"EC"},{"id":4,"name":"Milepost","value":"0.0141"},{"id":17,"name":"Train ID","value":"124-06"},{"id":16,"name":"Locomotive ID","value":"4035"},{"id":130,"name":"Impact","value":""},{"id":150,"name":"Time of Event (Mountain Time)","value":"08:05:04"},{"id":151,"name":"Denver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4035 --day 2017-11-06</v>
      </c>
      <c r="AN36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-11-06T06:18:42-0700',mode:absolute,to:'2017-11-06T09:05:04-0700'))&amp;_a=(columns:!('Message%20ID',Summary),filters:!(),index:'emp_*',interval:auto,query:(query_string:(analyze_wildcard:!t,query:'%22rtdc.l.rtdc.4035%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708</v>
      </c>
      <c r="B37" s="7">
        <v>4004</v>
      </c>
      <c r="C37" s="21" t="s">
        <v>192</v>
      </c>
      <c r="D37" s="21" t="s">
        <v>601</v>
      </c>
      <c r="E37" s="13">
        <v>43045.279328703706</v>
      </c>
      <c r="F37" s="13">
        <v>43045.2815162037</v>
      </c>
      <c r="G37" s="7">
        <v>67</v>
      </c>
      <c r="H37" s="21" t="s">
        <v>602</v>
      </c>
      <c r="I37" s="13">
        <v>43045.307291666664</v>
      </c>
      <c r="J37" s="7">
        <v>0</v>
      </c>
      <c r="K37" s="89" t="str">
        <f>IF(ISEVEN(B37),(B37-1)&amp;"/"&amp;B37,B37&amp;"/"&amp;(B37+1))</f>
        <v>4003/4004</v>
      </c>
      <c r="L37" s="185" t="str">
        <f>VLOOKUP(A37,'Trips&amp;Operators'!$C$1:$G$99911,5,FALSE)</f>
        <v>THOMPSON LESTER</v>
      </c>
      <c r="M37" s="6">
        <f>I37-F37</f>
        <v>2.5775462963792961E-2</v>
      </c>
      <c r="N37" s="7">
        <f>24*60*SUM($M37:$M37)</f>
        <v>37.116666667861864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-06T05:42:14-0700',mode:absolute,to:'2017-11-06T08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4.9799999999999997E-2</v>
      </c>
      <c r="Z37" s="204">
        <f>RIGHT(H37,LEN(H37)-4)/10000</f>
        <v>23.3263</v>
      </c>
      <c r="AA37" s="204">
        <f>ABS(Z37-Y37)</f>
        <v>23.276499999999999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/stypes="app*4004*20171106*" /stext=" 14:.+((SYSTEM_STATE.+slice.+state.+changed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125-06 --locoid 4004 --swversion DE.1.0.9.0 --startMP 204:498 --initTime 2017-11-06T06:42:14 --startdatetime 2017-11-06T06:45:23 --delay 67 --endMP 204:233263 --enddatetime 2017-11-06T07:22:30 --enforcementcount 0 &gt;&gt;%USERPROFILE%\Documents\GitHub\eaglep3-reporting\EC\2017-11-06-refined-times.txt</v>
      </c>
      <c r="AI37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{"issue":{"subject":"","project_id":79,"tracker_id":40,"status_id":1,"priority_id":2,"assigned_to_id":338,"start_date":"2017-11-06","description":"","custom_fields":[{"id":1,"name":"Subdivision","value":"EC"},{"id":4,"name":"Milepost","value":"23.3263"},{"id":17,"name":"Train ID","value":"125-06"},{"id":16,"name":"Locomotive ID","value":"4004"},{"id":130,"name":"Impact","value":""},{"id":150,"name":"Time of Event (Mountain Time)","value":"07:22:30"},{"id":151,"name":"Denver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4004 --day 2017-11-06</v>
      </c>
      <c r="AN37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-11-06T05:42:14-0700',mode:absolute,to:'2017-11-06T08:22:30-0700'))&amp;_a=(columns:!('Message%20ID',Summary),filters:!(),index:'emp_*',interval:auto,query:(query_string:(analyze_wildcard:!t,query:'%22rtdc.l.rtdc.4004%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643</v>
      </c>
      <c r="B38" s="7">
        <v>4003</v>
      </c>
      <c r="C38" s="21" t="s">
        <v>192</v>
      </c>
      <c r="D38" s="21" t="s">
        <v>905</v>
      </c>
      <c r="E38" s="13">
        <v>43045.319212962961</v>
      </c>
      <c r="F38" s="13">
        <v>43045.321006944447</v>
      </c>
      <c r="G38" s="7">
        <v>56</v>
      </c>
      <c r="H38" s="21" t="s">
        <v>523</v>
      </c>
      <c r="I38" s="13">
        <v>43045.348298611112</v>
      </c>
      <c r="J38" s="7">
        <v>0</v>
      </c>
      <c r="K38" s="89" t="str">
        <f>IF(ISEVEN(B38),(B38-1)&amp;"/"&amp;B38,B38&amp;"/"&amp;(B38+1))</f>
        <v>4003/4004</v>
      </c>
      <c r="L38" s="185" t="str">
        <f>VLOOKUP(A38,'Trips&amp;Operators'!$C$1:$G$99911,5,FALSE)</f>
        <v>THOMPSON LESTER</v>
      </c>
      <c r="M38" s="6">
        <f>I38-F38</f>
        <v>2.7291666665405501E-2</v>
      </c>
      <c r="N38" s="7">
        <f>24*60*SUM($M38:$M38)</f>
        <v>39.299999998183921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-06T06:39:40-0700',mode:absolute,to:'2017-11-06T09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23.2957</v>
      </c>
      <c r="Z38" s="204">
        <f>RIGHT(H38,LEN(H38)-4)/10000</f>
        <v>0.02</v>
      </c>
      <c r="AA38" s="204">
        <f>ABS(Z38-Y38)</f>
        <v>23.275700000000001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/stypes="app*4003*20171106*" /stext=" 15:.+((SYSTEM_STATE.+slice.+state.+changed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126-06 --locoid 4003 --swversion DE.1.0.9.0 --startMP 204:232957 --initTime 2017-11-06T07:39:40 --startdatetime 2017-11-06T07:42:15 --delay 56 --endMP 204:200 --enddatetime 2017-11-06T08:21:33 --enforcementcount 0 &gt;&gt;%USERPROFILE%\Documents\GitHub\eaglep3-reporting\EC\2017-11-06-refined-times.txt</v>
      </c>
      <c r="AI3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{"issue":{"subject":"","project_id":79,"tracker_id":40,"status_id":1,"priority_id":2,"assigned_to_id":338,"start_date":"2017-11-06","description":"","custom_fields":[{"id":1,"name":"Subdivision","value":"EC"},{"id":4,"name":"Milepost","value":"0.02"},{"id":17,"name":"Train ID","value":"126-06"},{"id":16,"name":"Locomotive ID","value":"4003"},{"id":130,"name":"Impact","value":""},{"id":150,"name":"Time of Event (Mountain Time)","value":"08:21:33"},{"id":151,"name":"Denver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4003 --day 2017-11-06</v>
      </c>
      <c r="AN3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-11-06T06:39:40-0700',mode:absolute,to:'2017-11-06T09:21:33-0700'))&amp;_a=(columns:!('Message%20ID',Summary),filters:!(),index:'emp_*',interval:auto,query:(query_string:(analyze_wildcard:!t,query:'%22rtdc.l.rtdc.4003%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709</v>
      </c>
      <c r="B39" s="7">
        <v>4016</v>
      </c>
      <c r="C39" s="21" t="s">
        <v>192</v>
      </c>
      <c r="D39" s="21" t="s">
        <v>591</v>
      </c>
      <c r="E39" s="13">
        <v>43045.288113425922</v>
      </c>
      <c r="F39" s="13">
        <v>43045.291863425926</v>
      </c>
      <c r="G39" s="7">
        <v>57</v>
      </c>
      <c r="H39" s="21" t="s">
        <v>906</v>
      </c>
      <c r="I39" s="13">
        <v>43045.315717592595</v>
      </c>
      <c r="J39" s="7">
        <v>0</v>
      </c>
      <c r="K39" s="89" t="str">
        <f>IF(ISEVEN(B39),(B39-1)&amp;"/"&amp;B39,B39&amp;"/"&amp;(B39+1))</f>
        <v>4015/4016</v>
      </c>
      <c r="L39" s="185" t="str">
        <f>VLOOKUP(A39,'Trips&amp;Operators'!$C$1:$G$99911,5,FALSE)</f>
        <v>BIRENBAUM THOMAS</v>
      </c>
      <c r="M39" s="6">
        <f>I39-F39</f>
        <v>2.3854166669480037E-2</v>
      </c>
      <c r="N39" s="7">
        <f>24*60*SUM($M39:$M39)</f>
        <v>34.350000004051253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-06T05:54:53-0700',mode:absolute,to:'2017-11-06T08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0.05</v>
      </c>
      <c r="Z39" s="204">
        <f>RIGHT(H39,LEN(H39)-4)/10000</f>
        <v>23.318899999999999</v>
      </c>
      <c r="AA39" s="204">
        <f>ABS(Z39-Y39)</f>
        <v>23.268899999999999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/stypes="app*4016*20171106*"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127-06 --locoid 4016 --swversion DE.1.0.9.0 --startMP 204:500 --initTime 2017-11-06T06:54:53 --startdatetime 2017-11-06T07:00:17 --delay 57 --endMP 204:233189 --enddatetime 2017-11-06T07:34:38 --enforcementcount 0 &gt;&gt;%USERPROFILE%\Documents\GitHub\eaglep3-reporting\EC\2017-11-06-refined-times.txt</v>
      </c>
      <c r="AI39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{"issue":{"subject":"","project_id":79,"tracker_id":40,"status_id":1,"priority_id":2,"assigned_to_id":338,"start_date":"2017-11-06","description":"","custom_fields":[{"id":1,"name":"Subdivision","value":"EC"},{"id":4,"name":"Milepost","value":"23.3189"},{"id":17,"name":"Train ID","value":"127-06"},{"id":16,"name":"Locomotive ID","value":"4016"},{"id":130,"name":"Impact","value":""},{"id":150,"name":"Time of Event (Mountain Time)","value":"07:34:38"},{"id":151,"name":"Denver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4016 --day 2017-11-06</v>
      </c>
      <c r="AN39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-11-06T05:54:53-0700',mode:absolute,to:'2017-11-06T08:34:38-0700'))&amp;_a=(columns:!('Message%20ID',Summary),filters:!(),index:'emp_*',interval:auto,query:(query_string:(analyze_wildcard:!t,query:'%22rtdc.l.rtdc.4016%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717</v>
      </c>
      <c r="B40" s="7">
        <v>4015</v>
      </c>
      <c r="C40" s="21" t="s">
        <v>192</v>
      </c>
      <c r="D40" s="21" t="s">
        <v>907</v>
      </c>
      <c r="E40" s="13">
        <v>43045.316828703704</v>
      </c>
      <c r="F40" s="13">
        <v>43045.331400462965</v>
      </c>
      <c r="G40" s="7">
        <v>50</v>
      </c>
      <c r="H40" s="21" t="s">
        <v>908</v>
      </c>
      <c r="I40" s="13">
        <v>43045.357939814814</v>
      </c>
      <c r="J40" s="7">
        <v>0</v>
      </c>
      <c r="K40" s="89" t="str">
        <f>IF(ISEVEN(B40),(B40-1)&amp;"/"&amp;B40,B40&amp;"/"&amp;(B40+1))</f>
        <v>4015/4016</v>
      </c>
      <c r="L40" s="185" t="str">
        <f>VLOOKUP(A40,'Trips&amp;Operators'!$C$1:$G$99911,5,FALSE)</f>
        <v>BIRENBAUM THOMAS</v>
      </c>
      <c r="M40" s="6">
        <f>I40-F40</f>
        <v>2.6539351849351078E-2</v>
      </c>
      <c r="N40" s="7">
        <f>24*60*SUM($M40:$M40)</f>
        <v>38.216666663065553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-06T06:36:14-0700',mode:absolute,to:'2017-11-06T09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23.286999999999999</v>
      </c>
      <c r="Z40" s="204">
        <f>RIGHT(H40,LEN(H40)-4)/10000</f>
        <v>1.7000000000000001E-2</v>
      </c>
      <c r="AA40" s="204">
        <f>ABS(Z40-Y40)</f>
        <v>23.27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/stypes="app*4015*20171106*" /stext=" 15:.+((SYSTEM_STATE.+slice.+state.+changed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128-06 --locoid 4015 --swversion DE.1.0.9.0 --startMP 204:232870 --initTime 2017-11-06T07:36:14 --startdatetime 2017-11-06T07:57:13 --delay 50 --endMP 204:170 --enddatetime 2017-11-06T08:35:26 --enforcementcount 0 &gt;&gt;%USERPROFILE%\Documents\GitHub\eaglep3-reporting\EC\2017-11-06-refined-times.txt</v>
      </c>
      <c r="AI4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{"issue":{"subject":"","project_id":79,"tracker_id":40,"status_id":1,"priority_id":2,"assigned_to_id":338,"start_date":"2017-11-06","description":"","custom_fields":[{"id":1,"name":"Subdivision","value":"EC"},{"id":4,"name":"Milepost","value":"0.017"},{"id":17,"name":"Train ID","value":"128-06"},{"id":16,"name":"Locomotive ID","value":"4015"},{"id":130,"name":"Impact","value":""},{"id":150,"name":"Time of Event (Mountain Time)","value":"08:35:26"},{"id":151,"name":"Denver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4015 --day 2017-11-06</v>
      </c>
      <c r="AN4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-11-06T06:36:14-0700',mode:absolute,to:'2017-11-06T09:35:26-0700'))&amp;_a=(columns:!('Message%20ID',Summary),filters:!(),index:'emp_*',interval:auto,query:(query_string:(analyze_wildcard:!t,query:'%22rtdc.l.rtdc.4015%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712</v>
      </c>
      <c r="B41" s="7">
        <v>4052</v>
      </c>
      <c r="C41" s="21" t="s">
        <v>192</v>
      </c>
      <c r="D41" s="21" t="s">
        <v>586</v>
      </c>
      <c r="E41" s="13">
        <v>43045.296736111108</v>
      </c>
      <c r="F41" s="13">
        <v>43045.302372685182</v>
      </c>
      <c r="G41" s="7">
        <v>53</v>
      </c>
      <c r="H41" s="21" t="s">
        <v>909</v>
      </c>
      <c r="I41" s="13">
        <v>43045.327951388892</v>
      </c>
      <c r="J41" s="7">
        <v>0</v>
      </c>
      <c r="K41" s="89" t="str">
        <f>IF(ISEVEN(B41),(B41-1)&amp;"/"&amp;B41,B41&amp;"/"&amp;(B41+1))</f>
        <v>4051/4052</v>
      </c>
      <c r="L41" s="185" t="str">
        <f>VLOOKUP(A41,'Trips&amp;Operators'!$C$1:$G$99911,5,FALSE)</f>
        <v>BONDS REYNALDO</v>
      </c>
      <c r="M41" s="6">
        <f>I41-F41</f>
        <v>2.5578703709470574E-2</v>
      </c>
      <c r="N41" s="7">
        <f>24*60*SUM($M41:$M41)</f>
        <v>36.833333341637626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-06T06:07:18-0700',mode:absolute,to:'2017-11-06T08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4.7800000000000002E-2</v>
      </c>
      <c r="Z41" s="204">
        <f>RIGHT(H41,LEN(H41)-4)/10000</f>
        <v>23.327000000000002</v>
      </c>
      <c r="AA41" s="204">
        <f>ABS(Z41-Y41)</f>
        <v>23.279200000000003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/stypes="app*4052*20171106*"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129-06 --locoid 4052 --swversion DE.1.0.9.0 --startMP 204:478 --initTime 2017-11-06T07:07:18 --startdatetime 2017-11-06T07:15:25 --delay 53 --endMP 204:233270 --enddatetime 2017-11-06T07:52:15 --enforcementcount 0 &gt;&gt;%USERPROFILE%\Documents\GitHub\eaglep3-reporting\EC\2017-11-06-refined-times.txt</v>
      </c>
      <c r="AI4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{"issue":{"subject":"","project_id":79,"tracker_id":40,"status_id":1,"priority_id":2,"assigned_to_id":338,"start_date":"2017-11-06","description":"","custom_fields":[{"id":1,"name":"Subdivision","value":"EC"},{"id":4,"name":"Milepost","value":"23.327"},{"id":17,"name":"Train ID","value":"129-06"},{"id":16,"name":"Locomotive ID","value":"4052"},{"id":130,"name":"Impact","value":""},{"id":150,"name":"Time of Event (Mountain Time)","value":"07:52:15"},{"id":151,"name":"Denver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4052 --day 2017-11-06</v>
      </c>
      <c r="AN4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-11-06T06:07:18-0700',mode:absolute,to:'2017-11-06T08:52:15-0700'))&amp;_a=(columns:!('Message%20ID',Summary),filters:!(),index:'emp_*',interval:auto,query:(query_string:(analyze_wildcard:!t,query:'%22rtdc.l.rtdc.4052%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722</v>
      </c>
      <c r="B42" s="7">
        <v>4051</v>
      </c>
      <c r="C42" s="21" t="s">
        <v>192</v>
      </c>
      <c r="D42" s="21" t="s">
        <v>910</v>
      </c>
      <c r="E42" s="13">
        <v>43045.336481481485</v>
      </c>
      <c r="F42" s="13">
        <v>43045.34202546296</v>
      </c>
      <c r="G42" s="7">
        <v>61</v>
      </c>
      <c r="H42" s="21" t="s">
        <v>522</v>
      </c>
      <c r="I42" s="13">
        <v>43045.368067129632</v>
      </c>
      <c r="J42" s="7">
        <v>0</v>
      </c>
      <c r="K42" s="89" t="str">
        <f>IF(ISEVEN(B42),(B42-1)&amp;"/"&amp;B42,B42&amp;"/"&amp;(B42+1))</f>
        <v>4051/4052</v>
      </c>
      <c r="L42" s="185" t="str">
        <f>VLOOKUP(A42,'Trips&amp;Operators'!$C$1:$G$99911,5,FALSE)</f>
        <v>BONDS REYNALDO</v>
      </c>
      <c r="M42" s="6">
        <f>I42-F42</f>
        <v>2.6041666671517305E-2</v>
      </c>
      <c r="N42" s="7">
        <f>24*60*SUM($M42:$M42)</f>
        <v>37.500000006984919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-06T07:04:32-0700',mode:absolute,to:'2017-11-06T09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23.2959</v>
      </c>
      <c r="Z42" s="204">
        <f>RIGHT(H42,LEN(H42)-4)/10000</f>
        <v>1.43E-2</v>
      </c>
      <c r="AA42" s="204">
        <f>ABS(Z42-Y42)</f>
        <v>23.281600000000001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/stypes="app*4051*20171106*" /stext=" 15:.+((SYSTEM_STATE.+slice.+state.+changed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130-06 --locoid 4051 --swversion DE.1.0.9.0 --startMP 204:232959 --initTime 2017-11-06T08:04:32 --startdatetime 2017-11-06T08:12:31 --delay 61 --endMP 204:143 --enddatetime 2017-11-06T08:50:01 --enforcementcount 0 &gt;&gt;%USERPROFILE%\Documents\GitHub\eaglep3-reporting\EC\2017-11-06-refined-times.txt</v>
      </c>
      <c r="AI4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{"issue":{"subject":"","project_id":79,"tracker_id":40,"status_id":1,"priority_id":2,"assigned_to_id":338,"start_date":"2017-11-06","description":"","custom_fields":[{"id":1,"name":"Subdivision","value":"EC"},{"id":4,"name":"Milepost","value":"0.0143"},{"id":17,"name":"Train ID","value":"130-06"},{"id":16,"name":"Locomotive ID","value":"4051"},{"id":130,"name":"Impact","value":""},{"id":150,"name":"Time of Event (Mountain Time)","value":"08:50:01"},{"id":151,"name":"Denver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4051 --day 2017-11-06</v>
      </c>
      <c r="AN4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-11-06T07:04:32-0700',mode:absolute,to:'2017-11-06T09:50:01-0700'))&amp;_a=(columns:!('Message%20ID',Summary),filters:!(),index:'emp_*',interval:auto,query:(query_string:(analyze_wildcard:!t,query:'%22rtdc.l.rtdc.4051%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714</v>
      </c>
      <c r="B43" s="7">
        <v>4012</v>
      </c>
      <c r="C43" s="21" t="s">
        <v>192</v>
      </c>
      <c r="D43" s="21" t="s">
        <v>911</v>
      </c>
      <c r="E43" s="13">
        <v>43045.308321759258</v>
      </c>
      <c r="F43" s="13">
        <v>43045.313055555554</v>
      </c>
      <c r="G43" s="7">
        <v>105</v>
      </c>
      <c r="H43" s="21" t="s">
        <v>912</v>
      </c>
      <c r="I43" s="13">
        <v>43045.337048611109</v>
      </c>
      <c r="J43" s="7">
        <v>0</v>
      </c>
      <c r="K43" s="89" t="str">
        <f>IF(ISEVEN(B43),(B43-1)&amp;"/"&amp;B43,B43&amp;"/"&amp;(B43+1))</f>
        <v>4011/4012</v>
      </c>
      <c r="L43" s="185" t="str">
        <f>VLOOKUP(A43,'Trips&amp;Operators'!$C$1:$G$99911,5,FALSE)</f>
        <v>LAMAR NEKESHA</v>
      </c>
      <c r="M43" s="6">
        <f>I43-F43</f>
        <v>2.3993055554456078E-2</v>
      </c>
      <c r="N43" s="7">
        <f>24*60*SUM($M43:$M43)</f>
        <v>34.549999998416752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-06T06:23:59-0700',mode:absolute,to:'2017-11-06T09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4.7300000000000002E-2</v>
      </c>
      <c r="Z43" s="204">
        <f>RIGHT(H43,LEN(H43)-4)/10000</f>
        <v>23.328700000000001</v>
      </c>
      <c r="AA43" s="204">
        <f>ABS(Z43-Y43)</f>
        <v>23.281400000000001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/stypes="app*4012*20171106*" /stext=" 15:.+((SYSTEM_STATE.+slice.+state.+changed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131-06 --locoid 4012 --swversion DE.1.0.9.0 --startMP 204:473 --initTime 2017-11-06T07:23:59 --startdatetime 2017-11-06T07:30:48 --delay 105 --endMP 204:233287 --enddatetime 2017-11-06T08:05:21 --enforcementcount 0 &gt;&gt;%USERPROFILE%\Documents\GitHub\eaglep3-reporting\EC\2017-11-06-refined-times.txt</v>
      </c>
      <c r="AI4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{"issue":{"subject":"","project_id":79,"tracker_id":40,"status_id":1,"priority_id":2,"assigned_to_id":338,"start_date":"2017-11-06","description":"","custom_fields":[{"id":1,"name":"Subdivision","value":"EC"},{"id":4,"name":"Milepost","value":"23.3287"},{"id":17,"name":"Train ID","value":"131-06"},{"id":16,"name":"Locomotive ID","value":"4012"},{"id":130,"name":"Impact","value":""},{"id":150,"name":"Time of Event (Mountain Time)","value":"08:05:21"},{"id":151,"name":"Denver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4012 --day 2017-11-06</v>
      </c>
      <c r="AN4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-11-06T06:23:59-0700',mode:absolute,to:'2017-11-06T09:05:21-0700'))&amp;_a=(columns:!('Message%20ID',Summary),filters:!(),index:'emp_*',interval:auto,query:(query_string:(analyze_wildcard:!t,query:'%22rtdc.l.rtdc.4012%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724</v>
      </c>
      <c r="B44" s="7">
        <v>4011</v>
      </c>
      <c r="C44" s="21" t="s">
        <v>192</v>
      </c>
      <c r="D44" s="21" t="s">
        <v>524</v>
      </c>
      <c r="E44" s="13">
        <v>43045.339155092595</v>
      </c>
      <c r="F44" s="13">
        <v>43045.352256944447</v>
      </c>
      <c r="G44" s="7">
        <v>64</v>
      </c>
      <c r="H44" s="21" t="s">
        <v>913</v>
      </c>
      <c r="I44" s="13">
        <v>43045.378750000003</v>
      </c>
      <c r="J44" s="7">
        <v>0</v>
      </c>
      <c r="K44" s="89" t="str">
        <f>IF(ISEVEN(B44),(B44-1)&amp;"/"&amp;B44,B44&amp;"/"&amp;(B44+1))</f>
        <v>4011/4012</v>
      </c>
      <c r="L44" s="185" t="str">
        <f>VLOOKUP(A44,'Trips&amp;Operators'!$C$1:$G$99911,5,FALSE)</f>
        <v>LAMAR NEKESHA</v>
      </c>
      <c r="M44" s="6">
        <f>I44-F44</f>
        <v>2.6493055556784384E-2</v>
      </c>
      <c r="N44" s="7">
        <f>24*60*SUM($M44:$M44)</f>
        <v>38.150000001769513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-06T07:08:23-0700',mode:absolute,to:'2017-11-06T10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23.296399999999998</v>
      </c>
      <c r="Z44" s="204">
        <f>RIGHT(H44,LEN(H44)-4)/10000</f>
        <v>1.6299999999999999E-2</v>
      </c>
      <c r="AA44" s="204">
        <f>ABS(Z44-Y44)</f>
        <v>23.280099999999997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/stypes="app*4011*20171106*" /stext=" 16:.+((SYSTEM_STATE.+slice.+state.+changed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132-06 --locoid 4011 --swversion DE.1.0.9.0 --startMP 204:232964 --initTime 2017-11-06T08:08:23 --startdatetime 2017-11-06T08:27:15 --delay 64 --endMP 204:163 --enddatetime 2017-11-06T09:05:24 --enforcementcount 0 &gt;&gt;%USERPROFILE%\Documents\GitHub\eaglep3-reporting\EC\2017-11-06-refined-times.txt</v>
      </c>
      <c r="AI4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{"issue":{"subject":"","project_id":79,"tracker_id":40,"status_id":1,"priority_id":2,"assigned_to_id":338,"start_date":"2017-11-06","description":"","custom_fields":[{"id":1,"name":"Subdivision","value":"EC"},{"id":4,"name":"Milepost","value":"0.0163"},{"id":17,"name":"Train ID","value":"132-06"},{"id":16,"name":"Locomotive ID","value":"4011"},{"id":130,"name":"Impact","value":""},{"id":150,"name":"Time of Event (Mountain Time)","value":"09:05:24"},{"id":151,"name":"Denver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4011 --day 2017-11-06</v>
      </c>
      <c r="AN4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-11-06T07:08:23-0700',mode:absolute,to:'2017-11-06T10:05:24-0700'))&amp;_a=(columns:!('Message%20ID',Summary),filters:!(),index:'emp_*',interval:auto,query:(query_string:(analyze_wildcard:!t,query:'%22rtdc.l.rtdc.4011%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718</v>
      </c>
      <c r="B45" s="7">
        <v>4032</v>
      </c>
      <c r="C45" s="21" t="s">
        <v>192</v>
      </c>
      <c r="D45" s="21" t="s">
        <v>914</v>
      </c>
      <c r="E45" s="13">
        <v>43045.317916666667</v>
      </c>
      <c r="F45" s="13">
        <v>43045.323506944442</v>
      </c>
      <c r="G45" s="7">
        <v>102</v>
      </c>
      <c r="H45" s="21" t="s">
        <v>915</v>
      </c>
      <c r="I45" s="13">
        <v>43045.347928240742</v>
      </c>
      <c r="J45" s="7">
        <v>0</v>
      </c>
      <c r="K45" s="89" t="str">
        <f>IF(ISEVEN(B45),(B45-1)&amp;"/"&amp;B45,B45&amp;"/"&amp;(B45+1))</f>
        <v>4031/4032</v>
      </c>
      <c r="L45" s="185" t="str">
        <f>VLOOKUP(A45,'Trips&amp;Operators'!$C$1:$G$99911,5,FALSE)</f>
        <v>YORK EDGAR</v>
      </c>
      <c r="M45" s="6">
        <f>I45-F45</f>
        <v>2.4421296300715767E-2</v>
      </c>
      <c r="N45" s="7">
        <f>24*60*SUM($M45:$M45)</f>
        <v>35.166666673030704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-06T06:37:48-0700',mode:absolute,to:'2017-11-06T09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4.5999999999999999E-2</v>
      </c>
      <c r="Z45" s="204">
        <f>RIGHT(H45,LEN(H45)-4)/10000</f>
        <v>23.328199999999999</v>
      </c>
      <c r="AA45" s="204">
        <f>ABS(Z45-Y45)</f>
        <v>23.2822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/stypes="app*4032*20171106*"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133-06 --locoid 4032 --swversion DE.1.0.9.0 --startMP 204:460 --initTime 2017-11-06T07:37:48 --startdatetime 2017-11-06T07:45:51 --delay 102 --endMP 204:233282 --enddatetime 2017-11-06T08:21:01 --enforcementcount 0 &gt;&gt;%USERPROFILE%\Documents\GitHub\eaglep3-reporting\EC\2017-11-06-refined-times.txt</v>
      </c>
      <c r="AI4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{"issue":{"subject":"","project_id":79,"tracker_id":40,"status_id":1,"priority_id":2,"assigned_to_id":338,"start_date":"2017-11-06","description":"","custom_fields":[{"id":1,"name":"Subdivision","value":"EC"},{"id":4,"name":"Milepost","value":"23.3282"},{"id":17,"name":"Train ID","value":"133-06"},{"id":16,"name":"Locomotive ID","value":"4032"},{"id":130,"name":"Impact","value":""},{"id":150,"name":"Time of Event (Mountain Time)","value":"08:21:01"},{"id":151,"name":"Denver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4032 --day 2017-11-06</v>
      </c>
      <c r="AN4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-11-06T06:37:48-0700',mode:absolute,to:'2017-11-06T09:21:01-0700'))&amp;_a=(columns:!('Message%20ID',Summary),filters:!(),index:'emp_*',interval:auto,query:(query_string:(analyze_wildcard:!t,query:'%22rtdc.l.rtdc.4032%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646</v>
      </c>
      <c r="B46" s="7">
        <v>4031</v>
      </c>
      <c r="C46" s="21" t="s">
        <v>192</v>
      </c>
      <c r="D46" s="21" t="s">
        <v>476</v>
      </c>
      <c r="E46" s="13">
        <v>43045.361331018517</v>
      </c>
      <c r="F46" s="13">
        <v>43045.362719907411</v>
      </c>
      <c r="G46" s="7">
        <v>63</v>
      </c>
      <c r="H46" s="21" t="s">
        <v>916</v>
      </c>
      <c r="I46" s="13">
        <v>43045.390162037038</v>
      </c>
      <c r="J46" s="7">
        <v>0</v>
      </c>
      <c r="K46" s="89" t="str">
        <f>IF(ISEVEN(B46),(B46-1)&amp;"/"&amp;B46,B46&amp;"/"&amp;(B46+1))</f>
        <v>4031/4032</v>
      </c>
      <c r="L46" s="185" t="str">
        <f>VLOOKUP(A46,'Trips&amp;Operators'!$C$1:$G$99911,5,FALSE)</f>
        <v>YORK EDGAR</v>
      </c>
      <c r="M46" s="6">
        <f>I46-F46</f>
        <v>2.7442129627161194E-2</v>
      </c>
      <c r="N46" s="7">
        <f>24*60*SUM($M46:$M46)</f>
        <v>39.516666663112119</v>
      </c>
      <c r="O46" s="7"/>
      <c r="P46" s="7"/>
      <c r="Q46" s="22"/>
      <c r="R46" s="174" t="s">
        <v>1121</v>
      </c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-06T07:40:19-0700',mode:absolute,to:'2017-11-06T10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23.297699999999999</v>
      </c>
      <c r="Z46" s="204">
        <f>RIGHT(H46,LEN(H46)-4)/10000</f>
        <v>0.1133</v>
      </c>
      <c r="AA46" s="204">
        <f>ABS(Z46-Y46)</f>
        <v>23.1844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/stypes="app*4031*20171106*" /stext=" 16:.+((SYSTEM_STATE.+slice.+state.+changed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134-06 --locoid 4031 --swversion DE.1.0.9.0 --startMP 204:232977 --initTime 2017-11-06T08:40:19 --startdatetime 2017-11-06T08:42:19 --delay 63 --endMP 204:1133 --enddatetime 2017-11-06T09:21:50 --enforcementcount 0 &gt;&gt;%USERPROFILE%\Documents\GitHub\eaglep3-reporting\EC\2017-11-06-refined-times.txt</v>
      </c>
      <c r="AI46" s="96" t="str">
        <f t="shared" si="6"/>
        <v>echo {"issue":{"subject":"Operator reported multiple "Acknowledge" button presses, no PTC issues observed in onboard logs","project_id":79,"tracker_id":40,"status_id":1,"priority_id":2,"assigned_to_id":338,"start_date":"2017-11-06","description":"","custom_fields":[{"id":1,"name":"Subdivision","value":"EC"},{"id":4,"name":"Milepost","value":"0.1133"},{"id":17,"name":"Train ID","value":"134-06"},{"id":16,"name":"Locomotive ID","value":"4031"},{"id":130,"name":"Impact","value":""},{"id":150,"name":"Time of Event (Mountain Time)","value":"09:21:50"},{"id":151,"name":"Denver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4031 --day 2017-11-06</v>
      </c>
      <c r="AN46" s="151" t="str">
        <f t="shared" si="8"/>
        <v>echo {"issue":{"subject":"Operator reported multiple "Acknowledge" button presses, no PTC issues observed in onboard logs","project_id":30,"tracker_id":4,"status_id":1,"priority_id":1,"assigned_to_id":10,"start_date":"2017-11-06","description":"","custom_fields":[{"id":30,"name":"Category","value":"Issue"},{"id":3,"name":"Functional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-11-06T07:40:19-0700',mode:absolute,to:'2017-11-06T10:21:50-0700'))&amp;_a=(columns:!('Message%20ID',Summary),filters:!(),index:'emp_*',interval:auto,query:(query_string:(analyze_wildcard:!t,query:'%22rtdc.l.rtdc.4031%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719</v>
      </c>
      <c r="B47" s="7">
        <v>4010</v>
      </c>
      <c r="C47" s="21" t="s">
        <v>192</v>
      </c>
      <c r="D47" s="21" t="s">
        <v>917</v>
      </c>
      <c r="E47" s="13">
        <v>43045.332812499997</v>
      </c>
      <c r="F47" s="13">
        <v>43045.33390046296</v>
      </c>
      <c r="G47" s="7">
        <v>62</v>
      </c>
      <c r="H47" s="21" t="s">
        <v>528</v>
      </c>
      <c r="I47" s="13">
        <v>43045.359305555554</v>
      </c>
      <c r="J47" s="7">
        <v>0</v>
      </c>
      <c r="K47" s="89" t="str">
        <f>IF(ISEVEN(B47),(B47-1)&amp;"/"&amp;B47,B47&amp;"/"&amp;(B47+1))</f>
        <v>4009/4010</v>
      </c>
      <c r="L47" s="185" t="str">
        <f>VLOOKUP(A47,'Trips&amp;Operators'!$C$1:$G$99911,5,FALSE)</f>
        <v>BARRON PERLA</v>
      </c>
      <c r="M47" s="6">
        <f>I47-F47</f>
        <v>2.5405092594155576E-2</v>
      </c>
      <c r="N47" s="7">
        <f>24*60*SUM($M47:$M47)</f>
        <v>36.58333333558403</v>
      </c>
      <c r="O47" s="7"/>
      <c r="P47" s="7"/>
      <c r="Q47" s="22"/>
      <c r="R47" s="174" t="s">
        <v>1120</v>
      </c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-06T06:59:15-0700',mode:absolute,to:'2017-11-06T09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0.11020000000000001</v>
      </c>
      <c r="Z47" s="204">
        <f>RIGHT(H47,LEN(H47)-4)/10000</f>
        <v>23.328299999999999</v>
      </c>
      <c r="AA47" s="204">
        <f>ABS(Z47-Y47)</f>
        <v>23.2181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/stypes="app*4010*20171106*"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135-06 --locoid 4010 --swversion DE.1.0.9.0 --startMP 204:1102 --initTime 2017-11-06T07:59:15 --startdatetime 2017-11-06T08:00:49 --delay 62 --endMP 204:233283 --enddatetime 2017-11-06T08:37:24 --enforcementcount 0 &gt;&gt;%USERPROFILE%\Documents\GitHub\eaglep3-reporting\EC\2017-11-06-refined-times.txt</v>
      </c>
      <c r="AI47" s="96" t="str">
        <f t="shared" si="6"/>
        <v>echo {"issue":{"subject":"Observed poor GPS at DUS, no PTC issues","project_id":79,"tracker_id":40,"status_id":1,"priority_id":2,"assigned_to_id":338,"start_date":"2017-11-06","description":"","custom_fields":[{"id":1,"name":"Subdivision","value":"EC"},{"id":4,"name":"Milepost","value":"23.3283"},{"id":17,"name":"Train ID","value":"135-06"},{"id":16,"name":"Locomotive ID","value":"4010"},{"id":130,"name":"Impact","value":""},{"id":150,"name":"Time of Event (Mountain Time)","value":"08:37:24"},{"id":151,"name":"Denver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4010 --day 2017-11-06</v>
      </c>
      <c r="AN47" s="151" t="str">
        <f t="shared" si="8"/>
        <v>echo {"issue":{"subject":"Observed poor GPS at DUS, no PTC issues","project_id":30,"tracker_id":4,"status_id":1,"priority_id":1,"assigned_to_id":10,"start_date":"2017-11-06","description":"","custom_fields":[{"id":30,"name":"Category","value":"Issue"},{"id":3,"name":"Functional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-11-06T06:59:15-0700',mode:absolute,to:'2017-11-06T09:37:24-0700'))&amp;_a=(columns:!('Message%20ID',Summary),filters:!(),index:'emp_*',interval:auto,query:(query_string:(analyze_wildcard:!t,query:'%22rtdc.l.rtdc.4010%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728</v>
      </c>
      <c r="B48" s="7">
        <v>4009</v>
      </c>
      <c r="C48" s="21" t="s">
        <v>192</v>
      </c>
      <c r="D48" s="21" t="s">
        <v>395</v>
      </c>
      <c r="E48" s="13">
        <v>43045.360960648148</v>
      </c>
      <c r="F48" s="13">
        <v>43045.373078703706</v>
      </c>
      <c r="G48" s="7">
        <v>63</v>
      </c>
      <c r="H48" s="21" t="s">
        <v>530</v>
      </c>
      <c r="I48" s="13">
        <v>43045.399895833332</v>
      </c>
      <c r="J48" s="7">
        <v>0</v>
      </c>
      <c r="K48" s="89" t="str">
        <f>IF(ISEVEN(B48),(B48-1)&amp;"/"&amp;B48,B48&amp;"/"&amp;(B48+1))</f>
        <v>4009/4010</v>
      </c>
      <c r="L48" s="185" t="str">
        <f>VLOOKUP(A48,'Trips&amp;Operators'!$C$1:$G$99911,5,FALSE)</f>
        <v>BARRON PERLA</v>
      </c>
      <c r="M48" s="6">
        <f>I48-F48</f>
        <v>2.6817129626579117E-2</v>
      </c>
      <c r="N48" s="7">
        <f>24*60*SUM($M48:$M48)</f>
        <v>38.616666662273929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-06T07:39:47-0700',mode:absolute,to:'2017-11-06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23.298500000000001</v>
      </c>
      <c r="Z48" s="204">
        <f>RIGHT(H48,LEN(H48)-4)/10000</f>
        <v>2.0500000000000001E-2</v>
      </c>
      <c r="AA48" s="204">
        <f>ABS(Z48-Y48)</f>
        <v>23.278000000000002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/stypes="app*4009*20171106*" /stext=" 16:.+((SYSTEM_STATE.+slice.+state.+changed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136-06 --locoid 4009 --swversion DE.1.0.9.0 --startMP 204:232985 --initTime 2017-11-06T08:39:47 --startdatetime 2017-11-06T08:57:14 --delay 63 --endMP 204:205 --enddatetime 2017-11-06T09:35:51 --enforcementcount 0 &gt;&gt;%USERPROFILE%\Documents\GitHub\eaglep3-reporting\EC\2017-11-06-refined-times.txt</v>
      </c>
      <c r="AI4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{"issue":{"subject":"","project_id":79,"tracker_id":40,"status_id":1,"priority_id":2,"assigned_to_id":338,"start_date":"2017-11-06","description":"","custom_fields":[{"id":1,"name":"Subdivision","value":"EC"},{"id":4,"name":"Milepost","value":"0.0205"},{"id":17,"name":"Train ID","value":"136-06"},{"id":16,"name":"Locomotive ID","value":"4009"},{"id":130,"name":"Impact","value":""},{"id":150,"name":"Time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4009 --day 2017-11-06</v>
      </c>
      <c r="AN4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-11-06T07:39:47-0700',mode:absolute,to:'2017-11-06T10:35:51-0700'))&amp;_a=(columns:!('Message%20ID',Summary),filters:!(),index:'emp_*',interval:auto,query:(query_string:(analyze_wildcard:!t,query:'%22rtdc.l.rtdc.4009%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723</v>
      </c>
      <c r="B49" s="7">
        <v>4036</v>
      </c>
      <c r="C49" s="21" t="s">
        <v>192</v>
      </c>
      <c r="D49" s="21" t="s">
        <v>902</v>
      </c>
      <c r="E49" s="13">
        <v>43045.339189814818</v>
      </c>
      <c r="F49" s="13">
        <v>43045.344201388885</v>
      </c>
      <c r="G49" s="7">
        <v>45</v>
      </c>
      <c r="H49" s="21" t="s">
        <v>584</v>
      </c>
      <c r="I49" s="13">
        <v>43045.36922453704</v>
      </c>
      <c r="J49" s="7">
        <v>0</v>
      </c>
      <c r="K49" s="89" t="str">
        <f>IF(ISEVEN(B49),(B49-1)&amp;"/"&amp;B49,B49&amp;"/"&amp;(B49+1))</f>
        <v>4035/4036</v>
      </c>
      <c r="L49" s="185" t="str">
        <f>VLOOKUP(A49,'Trips&amp;Operators'!$C$1:$G$99911,5,FALSE)</f>
        <v>MAELZER KURT</v>
      </c>
      <c r="M49" s="6">
        <f>I49-F49</f>
        <v>2.5023148155014496E-2</v>
      </c>
      <c r="N49" s="7">
        <f>24*60*SUM($M49:$M49)</f>
        <v>36.033333343220875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-06T07:08:26-0700',mode:absolute,to:'2017-11-06T09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4.4400000000000002E-2</v>
      </c>
      <c r="Z49" s="204">
        <f>RIGHT(H49,LEN(H49)-4)/10000</f>
        <v>23.3307</v>
      </c>
      <c r="AA49" s="204">
        <f>ABS(Z49-Y49)</f>
        <v>23.286300000000001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/stypes="app*4036*20171106*"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137-06 --locoid 4036 --swversion DE.1.0.9.0 --startMP 204:444 --initTime 2017-11-06T08:08:26 --startdatetime 2017-11-06T08:15:39 --delay 45 --endMP 204:233307 --enddatetime 2017-11-06T08:51:41 --enforcementcount 0 &gt;&gt;%USERPROFILE%\Documents\GitHub\eaglep3-reporting\EC\2017-11-06-refined-times.txt</v>
      </c>
      <c r="AI49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{"issue":{"subject":"","project_id":79,"tracker_id":40,"status_id":1,"priority_id":2,"assigned_to_id":338,"start_date":"2017-11-06","description":"","custom_fields":[{"id":1,"name":"Subdivision","value":"EC"},{"id":4,"name":"Milepost","value":"23.3307"},{"id":17,"name":"Train ID","value":"137-06"},{"id":16,"name":"Locomotive ID","value":"4036"},{"id":130,"name":"Impact","value":""},{"id":150,"name":"Time of Event (Mountain Time)","value":"08:51:41"},{"id":151,"name":"Denver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4036 --day 2017-11-06</v>
      </c>
      <c r="AN49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-11-06T07:08:26-0700',mode:absolute,to:'2017-11-06T09:51:41-0700'))&amp;_a=(columns:!('Message%20ID',Summary),filters:!(),index:'emp_*',interval:auto,query:(query_string:(analyze_wildcard:!t,query:'%22rtdc.l.rtdc.4036%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731</v>
      </c>
      <c r="B50" s="7">
        <v>4035</v>
      </c>
      <c r="C50" s="21" t="s">
        <v>192</v>
      </c>
      <c r="D50" s="21" t="s">
        <v>918</v>
      </c>
      <c r="E50" s="13">
        <v>43045.374398148146</v>
      </c>
      <c r="F50" s="13">
        <v>43045.383530092593</v>
      </c>
      <c r="G50" s="7">
        <v>45</v>
      </c>
      <c r="H50" s="21" t="s">
        <v>894</v>
      </c>
      <c r="I50" s="13">
        <v>43045.40966435185</v>
      </c>
      <c r="J50" s="7">
        <v>0</v>
      </c>
      <c r="K50" s="89" t="str">
        <f>IF(ISEVEN(B50),(B50-1)&amp;"/"&amp;B50,B50&amp;"/"&amp;(B50+1))</f>
        <v>4035/4036</v>
      </c>
      <c r="L50" s="185" t="str">
        <f>VLOOKUP(A50,'Trips&amp;Operators'!$C$1:$G$99911,5,FALSE)</f>
        <v>MAELZER KURT</v>
      </c>
      <c r="M50" s="6">
        <f>I50-F50</f>
        <v>2.6134259256650694E-2</v>
      </c>
      <c r="N50" s="7">
        <f>24*60*SUM($M50:$M50)</f>
        <v>37.633333329576999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-06T07:59:08-0700',mode:absolute,to:'2017-11-06T10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23.299199999999999</v>
      </c>
      <c r="Z50" s="204">
        <f>RIGHT(H50,LEN(H50)-4)/10000</f>
        <v>1.41E-2</v>
      </c>
      <c r="AA50" s="204">
        <f>ABS(Z50-Y50)</f>
        <v>23.2851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/stypes="app*4035*20171106*" /stext=" 16:.+((SYSTEM_STATE.+slice.+state.+changed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138-06 --locoid 4035 --swversion DE.1.0.9.0 --startMP 204:232992 --initTime 2017-11-06T08:59:08 --startdatetime 2017-11-06T09:12:17 --delay 45 --endMP 204:141 --enddatetime 2017-11-06T09:49:55 --enforcementcount 0 &gt;&gt;%USERPROFILE%\Documents\GitHub\eaglep3-reporting\EC\2017-11-06-refined-times.txt</v>
      </c>
      <c r="AI5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{"issue":{"subject":"","project_id":79,"tracker_id":40,"status_id":1,"priority_id":2,"assigned_to_id":338,"start_date":"2017-11-06","description":"","custom_fields":[{"id":1,"name":"Subdivision","value":"EC"},{"id":4,"name":"Milepost","value":"0.0141"},{"id":17,"name":"Train ID","value":"138-06"},{"id":16,"name":"Locomotive ID","value":"4035"},{"id":130,"name":"Impact","value":""},{"id":150,"name":"Time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4035 --day 2017-11-06</v>
      </c>
      <c r="AN5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-11-06T07:59:08-0700',mode:absolute,to:'2017-11-06T10:49:55-0700'))&amp;_a=(columns:!('Message%20ID',Summary),filters:!(),index:'emp_*',interval:auto,query:(query_string:(analyze_wildcard:!t,query:'%22rtdc.l.rtdc.4035%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725</v>
      </c>
      <c r="B51" s="7">
        <v>4004</v>
      </c>
      <c r="C51" s="21" t="s">
        <v>192</v>
      </c>
      <c r="D51" s="21" t="s">
        <v>525</v>
      </c>
      <c r="E51" s="13">
        <v>43045.351412037038</v>
      </c>
      <c r="F51" s="13">
        <v>43045.354432870372</v>
      </c>
      <c r="G51" s="7">
        <v>62</v>
      </c>
      <c r="H51" s="21" t="s">
        <v>919</v>
      </c>
      <c r="I51" s="13">
        <v>43045.379733796297</v>
      </c>
      <c r="J51" s="7">
        <v>0</v>
      </c>
      <c r="K51" s="89" t="str">
        <f>IF(ISEVEN(B51),(B51-1)&amp;"/"&amp;B51,B51&amp;"/"&amp;(B51+1))</f>
        <v>4003/4004</v>
      </c>
      <c r="L51" s="185" t="str">
        <f>VLOOKUP(A51,'Trips&amp;Operators'!$C$1:$G$99911,5,FALSE)</f>
        <v>THOMPSON LESTER</v>
      </c>
      <c r="M51" s="6">
        <f>I51-F51</f>
        <v>2.5300925924966577E-2</v>
      </c>
      <c r="N51" s="7">
        <f>24*60*SUM($M51:$M51)</f>
        <v>36.433333331951872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-06T07:26:02-0700',mode:absolute,to:'2017-11-06T10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5.0799999999999998E-2</v>
      </c>
      <c r="Z51" s="204">
        <f>RIGHT(H51,LEN(H51)-4)/10000</f>
        <v>23.3278</v>
      </c>
      <c r="AA51" s="204">
        <f>ABS(Z51-Y51)</f>
        <v>23.277000000000001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/stypes="app*4004*20171106*" /stext=" 16:.+((SYSTEM_STATE.+slice.+state.+changed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139-06 --locoid 4004 --swversion DE.1.0.9.0 --startMP 204:508 --initTime 2017-11-06T08:26:02 --startdatetime 2017-11-06T08:30:23 --delay 62 --endMP 204:233278 --enddatetime 2017-11-06T09:06:49 --enforcementcount 0 &gt;&gt;%USERPROFILE%\Documents\GitHub\eaglep3-reporting\EC\2017-11-06-refined-times.txt</v>
      </c>
      <c r="AI5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{"issue":{"subject":"","project_id":79,"tracker_id":40,"status_id":1,"priority_id":2,"assigned_to_id":338,"start_date":"2017-11-06","description":"","custom_fields":[{"id":1,"name":"Subdivision","value":"EC"},{"id":4,"name":"Milepost","value":"23.3278"},{"id":17,"name":"Train ID","value":"139-06"},{"id":16,"name":"Locomotive ID","value":"4004"},{"id":130,"name":"Impact","value":""},{"id":150,"name":"Time of Event (Mountain Time)","value":"09:06:49"},{"id":151,"name":"Denver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4004 --day 2017-11-06</v>
      </c>
      <c r="AN5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-11-06T07:26:02-0700',mode:absolute,to:'2017-11-06T10:06:49-0700'))&amp;_a=(columns:!('Message%20ID',Summary),filters:!(),index:'emp_*',interval:auto,query:(query_string:(analyze_wildcard:!t,query:'%22rtdc.l.rtdc.4004%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647</v>
      </c>
      <c r="B52" s="7">
        <v>4003</v>
      </c>
      <c r="C52" s="21" t="s">
        <v>192</v>
      </c>
      <c r="D52" s="21" t="s">
        <v>910</v>
      </c>
      <c r="E52" s="13">
        <v>43045.389467592591</v>
      </c>
      <c r="F52" s="13">
        <v>43045.394155092596</v>
      </c>
      <c r="G52" s="7">
        <v>57</v>
      </c>
      <c r="H52" s="21" t="s">
        <v>494</v>
      </c>
      <c r="I52" s="13">
        <v>43045.422291666669</v>
      </c>
      <c r="J52" s="7">
        <v>0</v>
      </c>
      <c r="K52" s="89" t="str">
        <f>IF(ISEVEN(B52),(B52-1)&amp;"/"&amp;B52,B52&amp;"/"&amp;(B52+1))</f>
        <v>4003/4004</v>
      </c>
      <c r="L52" s="185" t="str">
        <f>VLOOKUP(A52,'Trips&amp;Operators'!$C$1:$G$99911,5,FALSE)</f>
        <v>THOMPSON LESTER</v>
      </c>
      <c r="M52" s="6">
        <f>I52-F52</f>
        <v>2.8136574073869269E-2</v>
      </c>
      <c r="N52" s="7">
        <f>24*60*SUM($M52:$M52)</f>
        <v>40.516666666371748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-06T08:20:50-0700',mode:absolute,to:'2017-11-06T11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23.2959</v>
      </c>
      <c r="Z52" s="204">
        <f>RIGHT(H52,LEN(H52)-4)/10000</f>
        <v>2.1399999999999999E-2</v>
      </c>
      <c r="AA52" s="204">
        <f>ABS(Z52-Y52)</f>
        <v>23.2745</v>
      </c>
      <c r="AB52" s="54" t="str">
        <f>VLOOKUP(A52,Enforcements!$C$7:$K$10,8,0)</f>
        <v>Bulletin (2)</v>
      </c>
      <c r="AC52" s="51" t="str">
        <f>VLOOKUP(A52,Enforcements!$C$7:$E$10,3,0)</f>
        <v>GRADE CROSSING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/stypes="app*4003*20171106*" /stext=" 17:.+((SYSTEM_STATE.+slice.+state.+changed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140-06 --locoid 4003 --swversion DE.1.0.9.0 --startMP 204:232959 --initTime 2017-11-06T09:20:50 --startdatetime 2017-11-06T09:27:35 --delay 57 --endMP 204:214 --enddatetime 2017-11-06T10:08:06 --enforcementcount 0 &gt;&gt;%USERPROFILE%\Documents\GitHub\eaglep3-reporting\EC\2017-11-06-refined-times.txt</v>
      </c>
      <c r="AI5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{"issue":{"subject":"","project_id":79,"tracker_id":40,"status_id":1,"priority_id":2,"assigned_to_id":338,"start_date":"2017-11-06","description":"","custom_fields":[{"id":1,"name":"Subdivision","value":"EC"},{"id":4,"name":"Milepost","value":"0.0214"},{"id":17,"name":"Train ID","value":"140-06"},{"id":16,"name":"Locomotive ID","value":"4003"},{"id":130,"name":"Impact","value":""},{"id":150,"name":"Time of Event (Mountain Time)","value":"10:08:06"},{"id":151,"name":"Denver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4003 --day 2017-11-06</v>
      </c>
      <c r="AN5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-11-06T08:20:50-0700',mode:absolute,to:'2017-11-06T11:08:06-0700'))&amp;_a=(columns:!('Message%20ID',Summary),filters:!(),index:'emp_*',interval:auto,query:(query_string:(analyze_wildcard:!t,query:'%22rtdc.l.rtdc.4003%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727</v>
      </c>
      <c r="B53" s="7">
        <v>4016</v>
      </c>
      <c r="C53" s="21" t="s">
        <v>192</v>
      </c>
      <c r="D53" s="21" t="s">
        <v>590</v>
      </c>
      <c r="E53" s="13">
        <v>43045.360960648148</v>
      </c>
      <c r="F53" s="13">
        <v>43045.364722222221</v>
      </c>
      <c r="G53" s="7">
        <v>53</v>
      </c>
      <c r="H53" s="21" t="s">
        <v>629</v>
      </c>
      <c r="I53" s="13">
        <v>43045.389189814814</v>
      </c>
      <c r="J53" s="7">
        <v>0</v>
      </c>
      <c r="K53" s="89" t="str">
        <f>IF(ISEVEN(B53),(B53-1)&amp;"/"&amp;B53,B53&amp;"/"&amp;(B53+1))</f>
        <v>4015/4016</v>
      </c>
      <c r="L53" s="185" t="str">
        <f>VLOOKUP(A53,'Trips&amp;Operators'!$C$1:$G$99911,5,FALSE)</f>
        <v>BIRENBAUM THOMAS</v>
      </c>
      <c r="M53" s="6">
        <f>I53-F53</f>
        <v>2.4467592593282461E-2</v>
      </c>
      <c r="N53" s="7">
        <f>24*60*SUM($M53:$M53)</f>
        <v>35.233333334326744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-06T07:39:47-0700',mode:absolute,to:'2017-11-06T10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4.6699999999999998E-2</v>
      </c>
      <c r="Z53" s="204">
        <f>RIGHT(H53,LEN(H53)-4)/10000</f>
        <v>23.323799999999999</v>
      </c>
      <c r="AA53" s="204">
        <f>ABS(Z53-Y53)</f>
        <v>23.277099999999997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/stypes="app*4016*20171106*"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141-06 --locoid 4016 --swversion DE.1.0.9.0 --startMP 204:467 --initTime 2017-11-06T08:39:47 --startdatetime 2017-11-06T08:45:12 --delay 53 --endMP 204:233238 --enddatetime 2017-11-06T09:20:26 --enforcementcount 0 &gt;&gt;%USERPROFILE%\Documents\GitHub\eaglep3-reporting\EC\2017-11-06-refined-times.txt</v>
      </c>
      <c r="AI5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{"issue":{"subject":"","project_id":79,"tracker_id":40,"status_id":1,"priority_id":2,"assigned_to_id":338,"start_date":"2017-11-06","description":"","custom_fields":[{"id":1,"name":"Subdivision","value":"EC"},{"id":4,"name":"Milepost","value":"23.3238"},{"id":17,"name":"Train ID","value":"141-06"},{"id":16,"name":"Locomotive ID","value":"4016"},{"id":130,"name":"Impact","value":""},{"id":150,"name":"Time of Event (Mountain Time)","value":"09:20:26"},{"id":151,"name":"Denver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4016 --day 2017-11-06</v>
      </c>
      <c r="AN5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-11-06T07:39:47-0700',mode:absolute,to:'2017-11-06T10:20:26-0700'))&amp;_a=(columns:!('Message%20ID',Summary),filters:!(),index:'emp_*',interval:auto,query:(query_string:(analyze_wildcard:!t,query:'%22rtdc.l.rtdc.4016%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734</v>
      </c>
      <c r="B54" s="7">
        <v>4015</v>
      </c>
      <c r="C54" s="21" t="s">
        <v>192</v>
      </c>
      <c r="D54" s="21" t="s">
        <v>544</v>
      </c>
      <c r="E54" s="13">
        <v>43045.3903587963</v>
      </c>
      <c r="F54" s="13">
        <v>43045.404317129629</v>
      </c>
      <c r="G54" s="7">
        <v>62</v>
      </c>
      <c r="H54" s="21" t="s">
        <v>920</v>
      </c>
      <c r="I54" s="13">
        <v>43045.430289351854</v>
      </c>
      <c r="J54" s="7">
        <v>0</v>
      </c>
      <c r="K54" s="89" t="str">
        <f>IF(ISEVEN(B54),(B54-1)&amp;"/"&amp;B54,B54&amp;"/"&amp;(B54+1))</f>
        <v>4015/4016</v>
      </c>
      <c r="L54" s="185" t="str">
        <f>VLOOKUP(A54,'Trips&amp;Operators'!$C$1:$G$99911,5,FALSE)</f>
        <v>BIRENBAUM THOMAS</v>
      </c>
      <c r="M54" s="6">
        <f>I54-F54</f>
        <v>2.5972222225391306E-2</v>
      </c>
      <c r="N54" s="7">
        <f>24*60*SUM($M54:$M54)</f>
        <v>37.400000004563481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-06T08:22:07-0700',mode:absolute,to:'2017-11-06T11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23.291499999999999</v>
      </c>
      <c r="Z54" s="204">
        <f>RIGHT(H54,LEN(H54)-4)/10000</f>
        <v>1.6899999999999998E-2</v>
      </c>
      <c r="AA54" s="204">
        <f>ABS(Z54-Y54)</f>
        <v>23.2746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/stypes="app*4015*20171106*" /stext=" 17:.+((SYSTEM_STATE.+slice.+state.+changed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142-06 --locoid 4015 --swversion DE.1.0.9.0 --startMP 204:232915 --initTime 2017-11-06T09:22:07 --startdatetime 2017-11-06T09:42:13 --delay 62 --endMP 204:169 --enddatetime 2017-11-06T10:19:37 --enforcementcount 0 &gt;&gt;%USERPROFILE%\Documents\GitHub\eaglep3-reporting\EC\2017-11-06-refined-times.txt</v>
      </c>
      <c r="AI5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{"issue":{"subject":"","project_id":79,"tracker_id":40,"status_id":1,"priority_id":2,"assigned_to_id":338,"start_date":"2017-11-06","description":"","custom_fields":[{"id":1,"name":"Subdivision","value":"EC"},{"id":4,"name":"Milepost","value":"0.0169"},{"id":17,"name":"Train ID","value":"142-06"},{"id":16,"name":"Locomotive ID","value":"4015"},{"id":130,"name":"Impact","value":""},{"id":150,"name":"Time of Event (Mountain Time)","value":"10:19:37"},{"id":151,"name":"Denver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4015 --day 2017-11-06</v>
      </c>
      <c r="AN5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-11-06T08:22:07-0700',mode:absolute,to:'2017-11-06T11:19:37-0700'))&amp;_a=(columns:!('Message%20ID',Summary),filters:!(),index:'emp_*',interval:auto,query:(query_string:(analyze_wildcard:!t,query:'%22rtdc.l.rtdc.4015%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729</v>
      </c>
      <c r="B55" s="7">
        <v>4052</v>
      </c>
      <c r="C55" s="21" t="s">
        <v>192</v>
      </c>
      <c r="D55" s="21" t="s">
        <v>388</v>
      </c>
      <c r="E55" s="13">
        <v>43045.369837962964</v>
      </c>
      <c r="F55" s="13">
        <v>43045.3752662037</v>
      </c>
      <c r="G55" s="7">
        <v>50</v>
      </c>
      <c r="H55" s="21" t="s">
        <v>899</v>
      </c>
      <c r="I55" s="13">
        <v>43045.400347222225</v>
      </c>
      <c r="J55" s="7">
        <v>0</v>
      </c>
      <c r="K55" s="89" t="str">
        <f>IF(ISEVEN(B55),(B55-1)&amp;"/"&amp;B55,B55&amp;"/"&amp;(B55+1))</f>
        <v>4051/4052</v>
      </c>
      <c r="L55" s="185" t="str">
        <f>VLOOKUP(A55,'Trips&amp;Operators'!$C$1:$G$99911,5,FALSE)</f>
        <v>BONDS REYNALDO</v>
      </c>
      <c r="M55" s="6">
        <f>I55-F55</f>
        <v>2.5081018524360843E-2</v>
      </c>
      <c r="N55" s="7">
        <f>24*60*SUM($M55:$M55)</f>
        <v>36.116666675079614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-06T07:52:34-0700',mode:absolute,to:'2017-11-06T10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4.5499999999999999E-2</v>
      </c>
      <c r="Z55" s="204">
        <f>RIGHT(H55,LEN(H55)-4)/10000</f>
        <v>23.3291</v>
      </c>
      <c r="AA55" s="204">
        <f>ABS(Z55-Y55)</f>
        <v>23.2836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/stypes="app*4052*20171106*"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143-06 --locoid 4052 --swversion DE.1.0.9.0 --startMP 204:455 --initTime 2017-11-06T08:52:34 --startdatetime 2017-11-06T09:00:23 --delay 50 --endMP 204:233291 --enddatetime 2017-11-06T09:36:30 --enforcementcount 0 &gt;&gt;%USERPROFILE%\Documents\GitHub\eaglep3-reporting\EC\2017-11-06-refined-times.txt</v>
      </c>
      <c r="AI5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{"issue":{"subject":"","project_id":79,"tracker_id":40,"status_id":1,"priority_id":2,"assigned_to_id":338,"start_date":"2017-11-06","description":"","custom_fields":[{"id":1,"name":"Subdivision","value":"EC"},{"id":4,"name":"Milepost","value":"23.3291"},{"id":17,"name":"Train ID","value":"143-06"},{"id":16,"name":"Locomotive ID","value":"4052"},{"id":130,"name":"Impact","value":""},{"id":150,"name":"Time of Event (Mountain Time)","value":"09:36:30"},{"id":151,"name":"Denver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4052 --day 2017-11-06</v>
      </c>
      <c r="AN5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-11-06T07:52:34-0700',mode:absolute,to:'2017-11-06T10:36:30-0700'))&amp;_a=(columns:!('Message%20ID',Summary),filters:!(),index:'emp_*',interval:auto,query:(query_string:(analyze_wildcard:!t,query:'%22rtdc.l.rtdc.4052%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737</v>
      </c>
      <c r="B56" s="7">
        <v>4051</v>
      </c>
      <c r="C56" s="21" t="s">
        <v>192</v>
      </c>
      <c r="D56" s="21" t="s">
        <v>921</v>
      </c>
      <c r="E56" s="13">
        <v>43045.411516203705</v>
      </c>
      <c r="F56" s="13">
        <v>43045.414756944447</v>
      </c>
      <c r="G56" s="7">
        <v>54</v>
      </c>
      <c r="H56" s="21" t="s">
        <v>922</v>
      </c>
      <c r="I56" s="13">
        <v>43045.441168981481</v>
      </c>
      <c r="J56" s="7">
        <v>0</v>
      </c>
      <c r="K56" s="89" t="str">
        <f>IF(ISEVEN(B56),(B56-1)&amp;"/"&amp;B56,B56&amp;"/"&amp;(B56+1))</f>
        <v>4051/4052</v>
      </c>
      <c r="L56" s="185" t="str">
        <f>VLOOKUP(A56,'Trips&amp;Operators'!$C$1:$G$99911,5,FALSE)</f>
        <v>BONDS REYNALDO</v>
      </c>
      <c r="M56" s="6">
        <f>I56-F56</f>
        <v>2.6412037033878732E-2</v>
      </c>
      <c r="N56" s="7">
        <f>24*60*SUM($M56:$M56)</f>
        <v>38.033333328785375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-06T08:52:35-0700',mode:absolute,to:'2017-11-06T11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23.297000000000001</v>
      </c>
      <c r="Z56" s="204">
        <f>RIGHT(H56,LEN(H56)-4)/10000</f>
        <v>1.8100000000000002E-2</v>
      </c>
      <c r="AA56" s="204">
        <f>ABS(Z56-Y56)</f>
        <v>23.2789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/stypes="app*4051*20171106*" /stext=" 17:.+((SYSTEM_STATE.+slice.+state.+changed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144-06 --locoid 4051 --swversion DE.1.0.9.0 --startMP 204:232970 --initTime 2017-11-06T09:52:35 --startdatetime 2017-11-06T09:57:15 --delay 54 --endMP 204:181 --enddatetime 2017-11-06T10:35:17 --enforcementcount 0 &gt;&gt;%USERPROFILE%\Documents\GitHub\eaglep3-reporting\EC\2017-11-06-refined-times.txt</v>
      </c>
      <c r="AI56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{"issue":{"subject":"","project_id":79,"tracker_id":40,"status_id":1,"priority_id":2,"assigned_to_id":338,"start_date":"2017-11-06","description":"","custom_fields":[{"id":1,"name":"Subdivision","value":"EC"},{"id":4,"name":"Milepost","value":"0.0181"},{"id":17,"name":"Train ID","value":"144-06"},{"id":16,"name":"Locomotive ID","value":"4051"},{"id":130,"name":"Impact","value":""},{"id":150,"name":"Time of Event (Mountain Time)","value":"10:35:17"},{"id":151,"name":"Denver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4051 --day 2017-11-06</v>
      </c>
      <c r="AN56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-11-06T08:52:35-0700',mode:absolute,to:'2017-11-06T11:35:17-0700'))&amp;_a=(columns:!('Message%20ID',Summary),filters:!(),index:'emp_*',interval:auto,query:(query_string:(analyze_wildcard:!t,query:'%22rtdc.l.rtdc.4051%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733</v>
      </c>
      <c r="B57" s="7">
        <v>4012</v>
      </c>
      <c r="C57" s="21" t="s">
        <v>192</v>
      </c>
      <c r="D57" s="21" t="s">
        <v>594</v>
      </c>
      <c r="E57" s="13">
        <v>43045.381539351853</v>
      </c>
      <c r="F57" s="13">
        <v>43045.385729166665</v>
      </c>
      <c r="G57" s="7">
        <v>78</v>
      </c>
      <c r="H57" s="21" t="s">
        <v>478</v>
      </c>
      <c r="I57" s="13">
        <v>43045.412245370368</v>
      </c>
      <c r="J57" s="7">
        <v>0</v>
      </c>
      <c r="K57" s="89" t="str">
        <f>IF(ISEVEN(B57),(B57-1)&amp;"/"&amp;B57,B57&amp;"/"&amp;(B57+1))</f>
        <v>4011/4012</v>
      </c>
      <c r="L57" s="185" t="str">
        <f>VLOOKUP(A57,'Trips&amp;Operators'!$C$1:$G$99911,5,FALSE)</f>
        <v>LAMAR NEKESHA</v>
      </c>
      <c r="M57" s="6">
        <f>I57-F57</f>
        <v>2.6516203703067731E-2</v>
      </c>
      <c r="N57" s="7">
        <f>24*60*SUM($M57:$M57)</f>
        <v>38.183333332417533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-06T08:09:25-0700',mode:absolute,to:'2017-11-06T10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4.6399999999999997E-2</v>
      </c>
      <c r="Z57" s="204">
        <f>RIGHT(H57,LEN(H57)-4)/10000</f>
        <v>23.329699999999999</v>
      </c>
      <c r="AA57" s="204">
        <f>ABS(Z57-Y57)</f>
        <v>23.283300000000001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/stypes="app*4012*20171106*"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145-06 --locoid 4012 --swversion DE.1.0.9.0 --startMP 204:464 --initTime 2017-11-06T09:09:25 --startdatetime 2017-11-06T09:15:27 --delay 78 --endMP 204:233297 --enddatetime 2017-11-06T09:53:38 --enforcementcount 0 &gt;&gt;%USERPROFILE%\Documents\GitHub\eaglep3-reporting\EC\2017-11-06-refined-times.txt</v>
      </c>
      <c r="AI57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{"issue":{"subject":"","project_id":79,"tracker_id":40,"status_id":1,"priority_id":2,"assigned_to_id":338,"start_date":"2017-11-06","description":"","custom_fields":[{"id":1,"name":"Subdivision","value":"EC"},{"id":4,"name":"Milepost","value":"23.3297"},{"id":17,"name":"Train ID","value":"145-06"},{"id":16,"name":"Locomotive ID","value":"4012"},{"id":130,"name":"Impact","value":""},{"id":150,"name":"Time of Event (Mountain Time)","value":"09:53:38"},{"id":151,"name":"Denver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4012 --day 2017-11-06</v>
      </c>
      <c r="AN57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-11-06T08:09:25-0700',mode:absolute,to:'2017-11-06T10:53:38-0700'))&amp;_a=(columns:!('Message%20ID',Summary),filters:!(),index:'emp_*',interval:auto,query:(query_string:(analyze_wildcard:!t,query:'%22rtdc.l.rtdc.4012%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649</v>
      </c>
      <c r="B58" s="7">
        <v>4011</v>
      </c>
      <c r="C58" s="21" t="s">
        <v>192</v>
      </c>
      <c r="D58" s="21" t="s">
        <v>905</v>
      </c>
      <c r="E58" s="13">
        <v>43045.420474537037</v>
      </c>
      <c r="F58" s="13">
        <v>43045.425173611111</v>
      </c>
      <c r="G58" s="7">
        <v>90</v>
      </c>
      <c r="H58" s="21" t="s">
        <v>923</v>
      </c>
      <c r="I58" s="13">
        <v>43045.451967592591</v>
      </c>
      <c r="J58" s="7">
        <v>0</v>
      </c>
      <c r="K58" s="89" t="str">
        <f>IF(ISEVEN(B58),(B58-1)&amp;"/"&amp;B58,B58&amp;"/"&amp;(B58+1))</f>
        <v>4011/4012</v>
      </c>
      <c r="L58" s="185" t="str">
        <f>VLOOKUP(A58,'Trips&amp;Operators'!$C$1:$G$99911,5,FALSE)</f>
        <v>LAMAR NEKESHA</v>
      </c>
      <c r="M58" s="6">
        <f>I58-F58</f>
        <v>2.679398148029577E-2</v>
      </c>
      <c r="N58" s="7">
        <f>24*60*SUM($M58:$M58)</f>
        <v>38.583333331625909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-06T09:05:29-0700',mode:absolute,to:'2017-11-06T11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23.2957</v>
      </c>
      <c r="Z58" s="204">
        <f>RIGHT(H58,LEN(H58)-4)/10000</f>
        <v>1.78E-2</v>
      </c>
      <c r="AA58" s="204">
        <f>ABS(Z58-Y58)</f>
        <v>23.277899999999999</v>
      </c>
      <c r="AB58" s="54" t="str">
        <f>VLOOKUP(A58,Enforcements!$C$7:$K$10,8,0)</f>
        <v>Bulletin (2)</v>
      </c>
      <c r="AC58" s="51" t="str">
        <f>VLOOKUP(A58,Enforcements!$C$7:$E$10,3,0)</f>
        <v>GRADE CROSSING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/stypes="app*4011*20171106*" /stext=" 17:.+((SYSTEM_STATE.+slice.+state.+changed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146-06 --locoid 4011 --swversion DE.1.0.9.0 --startMP 204:232957 --initTime 2017-11-06T10:05:29 --startdatetime 2017-11-06T10:12:15 --delay 90 --endMP 204:178 --enddatetime 2017-11-06T10:50:50 --enforcementcount 0 &gt;&gt;%USERPROFILE%\Documents\GitHub\eaglep3-reporting\EC\2017-11-06-refined-times.txt</v>
      </c>
      <c r="AI5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{"issue":{"subject":"","project_id":79,"tracker_id":40,"status_id":1,"priority_id":2,"assigned_to_id":338,"start_date":"2017-11-06","description":"","custom_fields":[{"id":1,"name":"Subdivision","value":"EC"},{"id":4,"name":"Milepost","value":"0.0178"},{"id":17,"name":"Train ID","value":"146-06"},{"id":16,"name":"Locomotive ID","value":"4011"},{"id":130,"name":"Impact","value":""},{"id":150,"name":"Time of Event (Mountain Time)","value":"10:50:50"},{"id":151,"name":"Denver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4011 --day 2017-11-06</v>
      </c>
      <c r="AN5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-11-06T09:05:29-0700',mode:absolute,to:'2017-11-06T11:50:50-0700'))&amp;_a=(columns:!('Message%20ID',Summary),filters:!(),index:'emp_*',interval:auto,query:(query_string:(analyze_wildcard:!t,query:'%22rtdc.l.rtdc.4011%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736</v>
      </c>
      <c r="B59" s="7">
        <v>4066</v>
      </c>
      <c r="C59" s="21" t="s">
        <v>192</v>
      </c>
      <c r="D59" s="21" t="s">
        <v>890</v>
      </c>
      <c r="E59" s="13">
        <v>43045.395567129628</v>
      </c>
      <c r="F59" s="13">
        <v>43045.396851851852</v>
      </c>
      <c r="G59" s="7">
        <v>52</v>
      </c>
      <c r="H59" s="21" t="s">
        <v>924</v>
      </c>
      <c r="I59" s="13">
        <v>43045.420810185184</v>
      </c>
      <c r="J59" s="7">
        <v>0</v>
      </c>
      <c r="K59" s="89" t="str">
        <f>IF(ISEVEN(B59),(B59-1)&amp;"/"&amp;B59,B59&amp;"/"&amp;(B59+1))</f>
        <v>4065/4066</v>
      </c>
      <c r="L59" s="185" t="str">
        <f>VLOOKUP(A59,'Trips&amp;Operators'!$C$1:$G$99911,5,FALSE)</f>
        <v>YORK EDGAR</v>
      </c>
      <c r="M59" s="6">
        <f>I59-F59</f>
        <v>2.3958333331393078E-2</v>
      </c>
      <c r="N59" s="7">
        <f>24*60*SUM($M59:$M59)</f>
        <v>34.499999997206032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-06T08:29:37-0700',mode:absolute,to:'2017-11-06T11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4.6199999999999998E-2</v>
      </c>
      <c r="Z59" s="204">
        <f>RIGHT(H59,LEN(H59)-4)/10000</f>
        <v>23.329799999999999</v>
      </c>
      <c r="AA59" s="204">
        <f>ABS(Z59-Y59)</f>
        <v>23.2836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s3://rtdc.mdm.uploadarchive.raw/RTDC4066/ "%USERPROFILE%\AppData\Local\Temp\OnboardLogs"\RTDC4066\2017-11-06 --exclude "*" --recursive --include "*20171106*" &amp; "%USERPROFILE%\Documents\GitHub\mrs-test-scripts\Headless Mode &amp; Sideloading\WalkAndUnGZ.bat" "%USERPROFILE%\AppData\Local\Temp\OnboardLogs"\RTDC4066\2017-11-06 &amp; 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/stypes="app*4066*20171106*" /stext=" 17:.+((SYSTEM_STATE.+slice.+state.+changed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147-06 --locoid 4066 --swversion DE.1.0.9.0 --startMP 204:462 --initTime 2017-11-06T09:29:37 --startdatetime 2017-11-06T09:31:28 --delay 52 --endMP 204:233298 --enddatetime 2017-11-06T10:05:58 --enforcementcount 0 &gt;&gt;%USERPROFILE%\Documents\GitHub\eaglep3-reporting\EC\2017-11-06-refined-times.txt</v>
      </c>
      <c r="AI59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{"issue":{"subject":"","project_id":79,"tracker_id":40,"status_id":1,"priority_id":2,"assigned_to_id":338,"start_date":"2017-11-06","description":"","custom_fields":[{"id":1,"name":"Subdivision","value":"EC"},{"id":4,"name":"Milepost","value":"23.3298"},{"id":17,"name":"Train ID","value":"147-06"},{"id":16,"name":"Locomotive ID","value":"4066"},{"id":130,"name":"Impact","value":""},{"id":150,"name":"Time of Event (Mountain Time)","value":"10:05:58"},{"id":151,"name":"Denver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4066 --day 2017-11-06</v>
      </c>
      <c r="AN59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-11-06T08:29:37-0700',mode:absolute,to:'2017-11-06T11:05:58-0700'))&amp;_a=(columns:!('Message%20ID',Summary),filters:!(),index:'emp_*',interval:auto,query:(query_string:(analyze_wildcard:!t,query:'%22rtdc.l.rtdc.4066%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744</v>
      </c>
      <c r="B60" s="7">
        <v>4065</v>
      </c>
      <c r="C60" s="21" t="s">
        <v>192</v>
      </c>
      <c r="D60" s="21" t="s">
        <v>489</v>
      </c>
      <c r="E60" s="13">
        <v>43045.421712962961</v>
      </c>
      <c r="F60" s="13">
        <v>43045.435798611114</v>
      </c>
      <c r="G60" s="7">
        <v>1097</v>
      </c>
      <c r="H60" s="21" t="s">
        <v>925</v>
      </c>
      <c r="I60" s="13">
        <v>43045.461365740739</v>
      </c>
      <c r="J60" s="7">
        <v>0</v>
      </c>
      <c r="K60" s="89" t="str">
        <f>IF(ISEVEN(B60),(B60-1)&amp;"/"&amp;B60,B60&amp;"/"&amp;(B60+1))</f>
        <v>4065/4066</v>
      </c>
      <c r="L60" s="185" t="str">
        <f>VLOOKUP(A60,'Trips&amp;Operators'!$C$1:$G$99911,5,FALSE)</f>
        <v>YORK EDGAR</v>
      </c>
      <c r="M60" s="6">
        <f>I60-F60</f>
        <v>2.5567129625414964E-2</v>
      </c>
      <c r="N60" s="7">
        <f>24*60*SUM($M60:$M60)</f>
        <v>36.816666660597548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-06T09:07:16-0700',mode:absolute,to:'2017-11-06T12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23.298300000000001</v>
      </c>
      <c r="Z60" s="204">
        <f>RIGHT(H60,LEN(H60)-4)/10000</f>
        <v>0.1167</v>
      </c>
      <c r="AA60" s="204">
        <f>ABS(Z60-Y60)</f>
        <v>23.1816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s3://rtdc.mdm.uploadarchive.raw/RTDC4065/ "%USERPROFILE%\AppData\Local\Temp\OnboardLogs"\RTDC4065\2017-11-06 --exclude "*" --recursive --include "*20171106*" &amp; "%USERPROFILE%\Documents\GitHub\mrs-test-scripts\Headless Mode &amp; Sideloading\WalkAndUnGZ.bat" "%USERPROFILE%\AppData\Local\Temp\OnboardLogs"\RTDC4065\2017-11-06 &amp; 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/stypes="app*4065*20171106*" /stext=" 18:.+((SYSTEM_STATE.+slice.+state.+changed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148-06 --locoid 4065 --swversion DE.1.0.9.0 --startMP 204:232983 --initTime 2017-11-06T10:07:16 --startdatetime 2017-11-06T10:27:33 --delay 1097 --endMP 204:1167 --enddatetime 2017-11-06T11:04:22 --enforcementcount 0 &gt;&gt;%USERPROFILE%\Documents\GitHub\eaglep3-reporting\EC\2017-11-06-refined-times.txt</v>
      </c>
      <c r="AI6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{"issue":{"subject":"","project_id":79,"tracker_id":40,"status_id":1,"priority_id":2,"assigned_to_id":338,"start_date":"2017-11-06","description":"","custom_fields":[{"id":1,"name":"Subdivision","value":"EC"},{"id":4,"name":"Milepost","value":"0.1167"},{"id":17,"name":"Train ID","value":"148-06"},{"id":16,"name":"Locomotive ID","value":"4065"},{"id":130,"name":"Impact","value":""},{"id":150,"name":"Time of Event (Mountain Time)","value":"11:04:22"},{"id":151,"name":"Denver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4065 --day 2017-11-06</v>
      </c>
      <c r="AN6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-11-06T09:07:16-0700',mode:absolute,to:'2017-11-06T12:04:22-0700'))&amp;_a=(columns:!('Message%20ID',Summary),filters:!(),index:'emp_*',interval:auto,query:(query_string:(analyze_wildcard:!t,query:'%22rtdc.l.rtdc.4065%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648</v>
      </c>
      <c r="B61" s="7">
        <v>4010</v>
      </c>
      <c r="C61" s="21" t="s">
        <v>192</v>
      </c>
      <c r="D61" s="21" t="s">
        <v>499</v>
      </c>
      <c r="E61" s="13">
        <v>43045.402094907404</v>
      </c>
      <c r="F61" s="13">
        <v>43045.406423611108</v>
      </c>
      <c r="G61" s="7">
        <v>101</v>
      </c>
      <c r="H61" s="21" t="s">
        <v>899</v>
      </c>
      <c r="I61" s="13">
        <v>43045.433229166665</v>
      </c>
      <c r="J61" s="7">
        <v>0</v>
      </c>
      <c r="K61" s="89" t="str">
        <f>IF(ISEVEN(B61),(B61-1)&amp;"/"&amp;B61,B61&amp;"/"&amp;(B61+1))</f>
        <v>4009/4010</v>
      </c>
      <c r="L61" s="185" t="str">
        <f>VLOOKUP(A61,'Trips&amp;Operators'!$C$1:$G$99911,5,FALSE)</f>
        <v>BARRON PERLA</v>
      </c>
      <c r="M61" s="6">
        <f>I61-F61</f>
        <v>2.6805555557075422E-2</v>
      </c>
      <c r="N61" s="7">
        <f>24*60*SUM($M61:$M61)</f>
        <v>38.600000002188608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-06T08:39:01-0700',mode:absolute,to:'2017-11-06T11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5.1700000000000003E-2</v>
      </c>
      <c r="Z61" s="204">
        <f>RIGHT(H61,LEN(H61)-4)/10000</f>
        <v>23.3291</v>
      </c>
      <c r="AA61" s="204">
        <f>ABS(Z61-Y61)</f>
        <v>23.2774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/stypes="app*4010*20171106*"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149-06 --locoid 4010 --swversion DE.1.0.9.0 --startMP 204:517 --initTime 2017-11-06T09:39:01 --startdatetime 2017-11-06T09:45:15 --delay 101 --endMP 204:233291 --enddatetime 2017-11-06T10:23:51 --enforcementcount 0 &gt;&gt;%USERPROFILE%\Documents\GitHub\eaglep3-reporting\EC\2017-11-06-refined-times.txt</v>
      </c>
      <c r="AI6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{"issue":{"subject":"","project_id":79,"tracker_id":40,"status_id":1,"priority_id":2,"assigned_to_id":338,"start_date":"2017-11-06","description":"","custom_fields":[{"id":1,"name":"Subdivision","value":"EC"},{"id":4,"name":"Milepost","value":"23.3291"},{"id":17,"name":"Train ID","value":"149-06"},{"id":16,"name":"Locomotive ID","value":"4010"},{"id":130,"name":"Impact","value":""},{"id":150,"name":"Time of Event (Mountain Time)","value":"10:23:51"},{"id":151,"name":"Denver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4010 --day 2017-11-06</v>
      </c>
      <c r="AN6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-11-06T08:39:01-0700',mode:absolute,to:'2017-11-06T11:23:51-0700'))&amp;_a=(columns:!('Message%20ID',Summary),filters:!(),index:'emp_*',interval:auto,query:(query_string:(analyze_wildcard:!t,query:'%22rtdc.l.rtdc.4010%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747</v>
      </c>
      <c r="B62" s="7">
        <v>4009</v>
      </c>
      <c r="C62" s="21" t="s">
        <v>192</v>
      </c>
      <c r="D62" s="21" t="s">
        <v>495</v>
      </c>
      <c r="E62" s="13">
        <v>43045.434745370374</v>
      </c>
      <c r="F62" s="13">
        <v>43045.446030092593</v>
      </c>
      <c r="G62" s="7">
        <v>59</v>
      </c>
      <c r="H62" s="21" t="s">
        <v>585</v>
      </c>
      <c r="I62" s="13">
        <v>43045.472280092596</v>
      </c>
      <c r="J62" s="7">
        <v>0</v>
      </c>
      <c r="K62" s="89" t="str">
        <f>IF(ISEVEN(B62),(B62-1)&amp;"/"&amp;B62,B62&amp;"/"&amp;(B62+1))</f>
        <v>4009/4010</v>
      </c>
      <c r="L62" s="185" t="str">
        <f>VLOOKUP(A62,'Trips&amp;Operators'!$C$1:$G$99911,5,FALSE)</f>
        <v>BARRON PERLA</v>
      </c>
      <c r="M62" s="6">
        <f>I62-F62</f>
        <v>2.6250000002619345E-2</v>
      </c>
      <c r="N62" s="7">
        <f>24*60*SUM($M62:$M62)</f>
        <v>37.800000003771856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-06T09:26:02-0700',mode:absolute,to:'2017-11-06T12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23.297799999999999</v>
      </c>
      <c r="Z62" s="204">
        <f>RIGHT(H62,LEN(H62)-4)/10000</f>
        <v>1.8499999999999999E-2</v>
      </c>
      <c r="AA62" s="204">
        <f>ABS(Z62-Y62)</f>
        <v>23.279299999999999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/stypes="app*4009*20171106*" /stext=" 18:.+((SYSTEM_STATE.+slice.+state.+changed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150-06 --locoid 4009 --swversion DE.1.0.9.0 --startMP 204:232978 --initTime 2017-11-06T10:26:02 --startdatetime 2017-11-06T10:42:17 --delay 59 --endMP 204:185 --enddatetime 2017-11-06T11:20:05 --enforcementcount 0 &gt;&gt;%USERPROFILE%\Documents\GitHub\eaglep3-reporting\EC\2017-11-06-refined-times.txt</v>
      </c>
      <c r="AI6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{"issue":{"subject":"","project_id":79,"tracker_id":40,"status_id":1,"priority_id":2,"assigned_to_id":338,"start_date":"2017-11-06","description":"","custom_fields":[{"id":1,"name":"Subdivision","value":"EC"},{"id":4,"name":"Milepost","value":"0.0185"},{"id":17,"name":"Train ID","value":"150-06"},{"id":16,"name":"Locomotive ID","value":"4009"},{"id":130,"name":"Impact","value":""},{"id":150,"name":"Time of Event (Mountain Time)","value":"11:20:05"},{"id":151,"name":"Denver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4009 --day 2017-11-06</v>
      </c>
      <c r="AN6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-11-06T09:26:02-0700',mode:absolute,to:'2017-11-06T12:20:05-0700'))&amp;_a=(columns:!('Message%20ID',Summary),filters:!(),index:'emp_*',interval:auto,query:(query_string:(analyze_wildcard:!t,query:'%22rtdc.l.rtdc.4009%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738</v>
      </c>
      <c r="B63" s="7">
        <v>4036</v>
      </c>
      <c r="C63" s="21" t="s">
        <v>192</v>
      </c>
      <c r="D63" s="21" t="s">
        <v>583</v>
      </c>
      <c r="E63" s="13">
        <v>43045.411689814813</v>
      </c>
      <c r="F63" s="13">
        <v>43045.416851851849</v>
      </c>
      <c r="G63" s="7">
        <v>53</v>
      </c>
      <c r="H63" s="21" t="s">
        <v>926</v>
      </c>
      <c r="I63" s="13">
        <v>43045.441435185188</v>
      </c>
      <c r="J63" s="7">
        <v>0</v>
      </c>
      <c r="K63" s="89" t="str">
        <f>IF(ISEVEN(B63),(B63-1)&amp;"/"&amp;B63,B63&amp;"/"&amp;(B63+1))</f>
        <v>4035/4036</v>
      </c>
      <c r="L63" s="185" t="str">
        <f>VLOOKUP(A63,'Trips&amp;Operators'!$C$1:$G$99911,5,FALSE)</f>
        <v>MAELZER KURT</v>
      </c>
      <c r="M63" s="6">
        <f>I63-F63</f>
        <v>2.4583333339251112E-2</v>
      </c>
      <c r="N63" s="7">
        <f>24*60*SUM($M63:$M63)</f>
        <v>35.400000008521602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-06T08:52:50-0700',mode:absolute,to:'2017-11-06T11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4.3799999999999999E-2</v>
      </c>
      <c r="Z63" s="204">
        <f>RIGHT(H63,LEN(H63)-4)/10000</f>
        <v>23.331499999999998</v>
      </c>
      <c r="AA63" s="204">
        <f>ABS(Z63-Y63)</f>
        <v>23.287699999999997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/stypes="app*4036*20171106*"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151-06 --locoid 4036 --swversion DE.1.0.9.0 --startMP 204:438 --initTime 2017-11-06T09:52:50 --startdatetime 2017-11-06T10:00:16 --delay 53 --endMP 204:233315 --enddatetime 2017-11-06T10:35:40 --enforcementcount 0 &gt;&gt;%USERPROFILE%\Documents\GitHub\eaglep3-reporting\EC\2017-11-06-refined-times.txt</v>
      </c>
      <c r="AI6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{"issue":{"subject":"","project_id":79,"tracker_id":40,"status_id":1,"priority_id":2,"assigned_to_id":338,"start_date":"2017-11-06","description":"","custom_fields":[{"id":1,"name":"Subdivision","value":"EC"},{"id":4,"name":"Milepost","value":"23.3315"},{"id":17,"name":"Train ID","value":"151-06"},{"id":16,"name":"Locomotive ID","value":"4036"},{"id":130,"name":"Impact","value":""},{"id":150,"name":"Time of Event (Mountain Time)","value":"10:35:40"},{"id":151,"name":"Denver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4036 --day 2017-11-06</v>
      </c>
      <c r="AN6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-11-06T08:52:50-0700',mode:absolute,to:'2017-11-06T11:35:40-0700'))&amp;_a=(columns:!('Message%20ID',Summary),filters:!(),index:'emp_*',interval:auto,query:(query_string:(analyze_wildcard:!t,query:'%22rtdc.l.rtdc.4036%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751</v>
      </c>
      <c r="B64" s="7">
        <v>4035</v>
      </c>
      <c r="C64" s="21" t="s">
        <v>192</v>
      </c>
      <c r="D64" s="21" t="s">
        <v>927</v>
      </c>
      <c r="E64" s="13">
        <v>43045.452708333331</v>
      </c>
      <c r="F64" s="13">
        <v>43045.45648148148</v>
      </c>
      <c r="G64" s="7">
        <v>58</v>
      </c>
      <c r="H64" s="21" t="s">
        <v>928</v>
      </c>
      <c r="I64" s="13">
        <v>43045.482847222222</v>
      </c>
      <c r="J64" s="7">
        <v>0</v>
      </c>
      <c r="K64" s="89" t="str">
        <f>IF(ISEVEN(B64),(B64-1)&amp;"/"&amp;B64,B64&amp;"/"&amp;(B64+1))</f>
        <v>4035/4036</v>
      </c>
      <c r="L64" s="185" t="str">
        <f>VLOOKUP(A64,'Trips&amp;Operators'!$C$1:$G$99911,5,FALSE)</f>
        <v>MAELZER KURT</v>
      </c>
      <c r="M64" s="6">
        <f>I64-F64</f>
        <v>2.6365740741312038E-2</v>
      </c>
      <c r="N64" s="7">
        <f>24*60*SUM($M64:$M64)</f>
        <v>37.966666667489335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-06T09:51:54-0700',mode:absolute,to:'2017-11-06T12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23.300599999999999</v>
      </c>
      <c r="Z64" s="204">
        <f>RIGHT(H64,LEN(H64)-4)/10000</f>
        <v>1.21E-2</v>
      </c>
      <c r="AA64" s="204">
        <f>ABS(Z64-Y64)</f>
        <v>23.288499999999999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/stypes="app*4035*20171106*" /stext=" 18:.+((SYSTEM_STATE.+slice.+state.+changed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152-06 --locoid 4035 --swversion DE.1.0.9.0 --startMP 204:233006 --initTime 2017-11-06T10:51:54 --startdatetime 2017-11-06T10:57:20 --delay 58 --endMP 204:121 --enddatetime 2017-11-06T11:35:18 --enforcementcount 0 &gt;&gt;%USERPROFILE%\Documents\GitHub\eaglep3-reporting\EC\2017-11-06-refined-times.txt</v>
      </c>
      <c r="AI6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{"issue":{"subject":"","project_id":79,"tracker_id":40,"status_id":1,"priority_id":2,"assigned_to_id":338,"start_date":"2017-11-06","description":"","custom_fields":[{"id":1,"name":"Subdivision","value":"EC"},{"id":4,"name":"Milepost","value":"0.0121"},{"id":17,"name":"Train ID","value":"152-06"},{"id":16,"name":"Locomotive ID","value":"4035"},{"id":130,"name":"Impact","value":""},{"id":150,"name":"Time of Event (Mountain Time)","value":"11:35:18"},{"id":151,"name":"Denver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4035 --day 2017-11-06</v>
      </c>
      <c r="AN6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-11-06T09:51:54-0700',mode:absolute,to:'2017-11-06T12:35:18-0700'))&amp;_a=(columns:!('Message%20ID',Summary),filters:!(),index:'emp_*',interval:auto,query:(query_string:(analyze_wildcard:!t,query:'%22rtdc.l.rtdc.4035%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740</v>
      </c>
      <c r="B65" s="7">
        <v>4004</v>
      </c>
      <c r="C65" s="21" t="s">
        <v>192</v>
      </c>
      <c r="D65" s="21" t="s">
        <v>496</v>
      </c>
      <c r="E65" s="13">
        <v>43045.423703703702</v>
      </c>
      <c r="F65" s="13">
        <v>43045.427361111113</v>
      </c>
      <c r="G65" s="7">
        <v>69</v>
      </c>
      <c r="H65" s="21" t="s">
        <v>549</v>
      </c>
      <c r="I65" s="13">
        <v>43045.452523148146</v>
      </c>
      <c r="J65" s="7">
        <v>0</v>
      </c>
      <c r="K65" s="89" t="str">
        <f>IF(ISEVEN(B65),(B65-1)&amp;"/"&amp;B65,B65&amp;"/"&amp;(B65+1))</f>
        <v>4003/4004</v>
      </c>
      <c r="L65" s="185" t="str">
        <f>VLOOKUP(A65,'Trips&amp;Operators'!$C$1:$G$99911,5,FALSE)</f>
        <v>MACDONALD THOMAS</v>
      </c>
      <c r="M65" s="6">
        <f>I65-F65</f>
        <v>2.5162037032714579E-2</v>
      </c>
      <c r="N65" s="7">
        <f>24*60*SUM($M65:$M65)</f>
        <v>36.233333327108994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-06T09:10:08-0700',mode:absolute,to:'2017-11-06T11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5.2600000000000001E-2</v>
      </c>
      <c r="Z65" s="204">
        <f>RIGHT(H65,LEN(H65)-4)/10000</f>
        <v>23.323</v>
      </c>
      <c r="AA65" s="204">
        <f>ABS(Z65-Y65)</f>
        <v>23.270399999999999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/stypes="app*4004*20171106*"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153-06 --locoid 4004 --swversion DE.1.0.9.0 --startMP 204:526 --initTime 2017-11-06T10:10:08 --startdatetime 2017-11-06T10:15:24 --delay 69 --endMP 204:233230 --enddatetime 2017-11-06T10:51:38 --enforcementcount 0 &gt;&gt;%USERPROFILE%\Documents\GitHub\eaglep3-reporting\EC\2017-11-06-refined-times.txt</v>
      </c>
      <c r="AI6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{"issue":{"subject":"","project_id":79,"tracker_id":40,"status_id":1,"priority_id":2,"assigned_to_id":338,"start_date":"2017-11-06","description":"","custom_fields":[{"id":1,"name":"Subdivision","value":"EC"},{"id":4,"name":"Milepost","value":"23.323"},{"id":17,"name":"Train ID","value":"153-06"},{"id":16,"name":"Locomotive ID","value":"4004"},{"id":130,"name":"Impact","value":""},{"id":150,"name":"Time of Event (Mountain Time)","value":"10:51:38"},{"id":151,"name":"Denver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4004 --day 2017-11-06</v>
      </c>
      <c r="AN6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-11-06T09:10:08-0700',mode:absolute,to:'2017-11-06T11:51:38-0700'))&amp;_a=(columns:!('Message%20ID',Summary),filters:!(),index:'emp_*',interval:auto,query:(query_string:(analyze_wildcard:!t,query:'%22rtdc.l.rtdc.4004%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756</v>
      </c>
      <c r="B66" s="7">
        <v>4003</v>
      </c>
      <c r="C66" s="21" t="s">
        <v>192</v>
      </c>
      <c r="D66" s="21" t="s">
        <v>597</v>
      </c>
      <c r="E66" s="13">
        <v>43045.465358796297</v>
      </c>
      <c r="F66" s="13">
        <v>43045.467037037037</v>
      </c>
      <c r="G66" s="7">
        <v>73</v>
      </c>
      <c r="H66" s="21" t="s">
        <v>929</v>
      </c>
      <c r="I66" s="13">
        <v>43045.494293981479</v>
      </c>
      <c r="J66" s="7">
        <v>0</v>
      </c>
      <c r="K66" s="89" t="str">
        <f>IF(ISEVEN(B66),(B66-1)&amp;"/"&amp;B66,B66&amp;"/"&amp;(B66+1))</f>
        <v>4003/4004</v>
      </c>
      <c r="L66" s="185" t="str">
        <f>VLOOKUP(A66,'Trips&amp;Operators'!$C$1:$G$99911,5,FALSE)</f>
        <v>MAINTENANCE VEHICLE</v>
      </c>
      <c r="M66" s="6">
        <f>I66-F66</f>
        <v>2.7256944442342501E-2</v>
      </c>
      <c r="N66" s="7">
        <f>24*60*SUM($M66:$M66)</f>
        <v>39.249999996973202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-06T10:10:07-0700',mode:absolute,to:'2017-11-06T12:51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23.291899999999998</v>
      </c>
      <c r="Z66" s="204">
        <f>RIGHT(H66,LEN(H66)-4)/10000</f>
        <v>2.8500000000000001E-2</v>
      </c>
      <c r="AA66" s="204">
        <f>ABS(Z66-Y66)</f>
        <v>23.263399999999997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/stypes="app*4003*20171106*" /stext=" 18:.+((SYSTEM_STATE.+slice.+state.+changed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154-06 --locoid 4003 --swversion DE.1.0.9.0 --startMP 204:232919 --initTime 2017-11-06T11:10:07 --startdatetime 2017-11-06T11:12:32 --delay 73 --endMP 204:285 --enddatetime 2017-11-06T11:51:47 --enforcementcount 0 &gt;&gt;%USERPROFILE%\Documents\GitHub\eaglep3-reporting\EC\2017-11-06-refined-times.txt</v>
      </c>
      <c r="AI66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{"issue":{"subject":"","project_id":79,"tracker_id":40,"status_id":1,"priority_id":2,"assigned_to_id":338,"start_date":"2017-11-06","description":"","custom_fields":[{"id":1,"name":"Subdivision","value":"EC"},{"id":4,"name":"Milepost","value":"0.0285"},{"id":17,"name":"Train ID","value":"154-06"},{"id":16,"name":"Locomotive ID","value":"4003"},{"id":130,"name":"Impact","value":""},{"id":150,"name":"Time of Event (Mountain Time)","value":"11:51:47"},{"id":151,"name":"Denver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4003 --day 2017-11-06</v>
      </c>
      <c r="AN66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-11-06T10:10:07-0700',mode:absolute,to:'2017-11-06T12:51:47-0700'))&amp;_a=(columns:!('Message%20ID',Summary),filters:!(),index:'emp_*',interval:auto,query:(query_string:(analyze_wildcard:!t,query:'%22rtdc.l.rtdc.4003%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746</v>
      </c>
      <c r="B67" s="7">
        <v>4016</v>
      </c>
      <c r="C67" s="21" t="s">
        <v>192</v>
      </c>
      <c r="D67" s="21" t="s">
        <v>375</v>
      </c>
      <c r="E67" s="13">
        <v>43045.434756944444</v>
      </c>
      <c r="F67" s="13">
        <v>43045.437638888892</v>
      </c>
      <c r="G67" s="7">
        <v>52</v>
      </c>
      <c r="H67" s="21" t="s">
        <v>599</v>
      </c>
      <c r="I67" s="13">
        <v>43045.462025462963</v>
      </c>
      <c r="J67" s="7">
        <v>0</v>
      </c>
      <c r="K67" s="89" t="str">
        <f>IF(ISEVEN(B67),(B67-1)&amp;"/"&amp;B67,B67&amp;"/"&amp;(B67+1))</f>
        <v>4015/4016</v>
      </c>
      <c r="L67" s="185" t="str">
        <f>VLOOKUP(A67,'Trips&amp;Operators'!$C$1:$G$99911,5,FALSE)</f>
        <v>BIRENBAUM THOMAS</v>
      </c>
      <c r="M67" s="6">
        <f>I67-F67</f>
        <v>2.438657407037681E-2</v>
      </c>
      <c r="N67" s="7">
        <f>24*60*SUM($M67:$M67)</f>
        <v>35.116666661342606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-06T09:26:03-0700',mode:absolute,to:'2017-11-06T12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4.7699999999999999E-2</v>
      </c>
      <c r="Z67" s="204">
        <f>RIGHT(H67,LEN(H67)-4)/10000</f>
        <v>23.3247</v>
      </c>
      <c r="AA67" s="204">
        <f>ABS(Z67-Y67)</f>
        <v>23.277000000000001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/stypes="app*4016*20171106*" /stext=" 18:.+((SYSTEM_STATE.+slice.+state.+changed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155-06 --locoid 4016 --swversion DE.1.0.9.0 --startMP 204:477 --initTime 2017-11-06T10:26:03 --startdatetime 2017-11-06T10:30:12 --delay 52 --endMP 204:233247 --enddatetime 2017-11-06T11:05:19 --enforcementcount 0 &gt;&gt;%USERPROFILE%\Documents\GitHub\eaglep3-reporting\EC\2017-11-06-refined-times.txt</v>
      </c>
      <c r="AI67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{"issue":{"subject":"","project_id":79,"tracker_id":40,"status_id":1,"priority_id":2,"assigned_to_id":338,"start_date":"2017-11-06","description":"","custom_fields":[{"id":1,"name":"Subdivision","value":"EC"},{"id":4,"name":"Milepost","value":"23.3247"},{"id":17,"name":"Train ID","value":"155-06"},{"id":16,"name":"Locomotive ID","value":"4016"},{"id":130,"name":"Impact","value":""},{"id":150,"name":"Time of Event (Mountain Time)","value":"11:05:19"},{"id":151,"name":"Denver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4016 --day 2017-11-06</v>
      </c>
      <c r="AN67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-11-06T09:26:03-0700',mode:absolute,to:'2017-11-06T12:05:19-0700'))&amp;_a=(columns:!('Message%20ID',Summary),filters:!(),index:'emp_*',interval:auto,query:(query_string:(analyze_wildcard:!t,query:'%22rtdc.l.rtdc.4016%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754</v>
      </c>
      <c r="B68" s="7">
        <v>4015</v>
      </c>
      <c r="C68" s="21" t="s">
        <v>192</v>
      </c>
      <c r="D68" s="21" t="s">
        <v>600</v>
      </c>
      <c r="E68" s="13">
        <v>43045.463148148148</v>
      </c>
      <c r="F68" s="13">
        <v>43045.477233796293</v>
      </c>
      <c r="G68" s="7">
        <v>55</v>
      </c>
      <c r="H68" s="21" t="s">
        <v>913</v>
      </c>
      <c r="I68" s="13">
        <v>43045.502280092594</v>
      </c>
      <c r="J68" s="7">
        <v>0</v>
      </c>
      <c r="K68" s="89" t="str">
        <f>IF(ISEVEN(B68),(B68-1)&amp;"/"&amp;B68,B68&amp;"/"&amp;(B68+1))</f>
        <v>4015/4016</v>
      </c>
      <c r="L68" s="185" t="str">
        <f>VLOOKUP(A68,'Trips&amp;Operators'!$C$1:$G$99911,5,FALSE)</f>
        <v>BIRENBAUM THOMAS</v>
      </c>
      <c r="M68" s="6">
        <f>I68-F68</f>
        <v>2.5046296301297843E-2</v>
      </c>
      <c r="N68" s="7">
        <f>24*60*SUM($M68:$M68)</f>
        <v>36.066666673868895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-06T10:06:56-0700',mode:absolute,to:'2017-11-06T13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23.293199999999999</v>
      </c>
      <c r="Z68" s="204">
        <f>RIGHT(H68,LEN(H68)-4)/10000</f>
        <v>1.6299999999999999E-2</v>
      </c>
      <c r="AA68" s="204">
        <f>ABS(Z68-Y68)</f>
        <v>23.276899999999998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/stypes="app*4015*20171106*" /stext=" 19:.+((SYSTEM_STATE.+slice.+state.+changed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156-06 --locoid 4015 --swversion DE.1.0.9.0 --startMP 204:232932 --initTime 2017-11-06T11:06:56 --startdatetime 2017-11-06T11:27:13 --delay 55 --endMP 204:163 --enddatetime 2017-11-06T12:03:17 --enforcementcount 0 &gt;&gt;%USERPROFILE%\Documents\GitHub\eaglep3-reporting\EC\2017-11-06-refined-times.txt</v>
      </c>
      <c r="AI68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{"issue":{"subject":"","project_id":79,"tracker_id":40,"status_id":1,"priority_id":2,"assigned_to_id":338,"start_date":"2017-11-06","description":"","custom_fields":[{"id":1,"name":"Subdivision","value":"EC"},{"id":4,"name":"Milepost","value":"0.0163"},{"id":17,"name":"Train ID","value":"156-06"},{"id":16,"name":"Locomotive ID","value":"4015"},{"id":130,"name":"Impact","value":""},{"id":150,"name":"Time of Event (Mountain Time)","value":"12:03:17"},{"id":151,"name":"Denver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4015 --day 2017-11-06</v>
      </c>
      <c r="AN68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-11-06T10:06:56-0700',mode:absolute,to:'2017-11-06T13:03:17-0700'))&amp;_a=(columns:!('Message%20ID',Summary),filters:!(),index:'emp_*',interval:auto,query:(query_string:(analyze_wildcard:!t,query:'%22rtdc.l.rtdc.4015%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748</v>
      </c>
      <c r="B69" s="7">
        <v>4052</v>
      </c>
      <c r="C69" s="21" t="s">
        <v>192</v>
      </c>
      <c r="D69" s="21" t="s">
        <v>601</v>
      </c>
      <c r="E69" s="13">
        <v>43045.443460648145</v>
      </c>
      <c r="F69" s="13">
        <v>43045.44809027778</v>
      </c>
      <c r="G69" s="7">
        <v>74</v>
      </c>
      <c r="H69" s="21" t="s">
        <v>589</v>
      </c>
      <c r="I69" s="13">
        <v>43045.47451388889</v>
      </c>
      <c r="J69" s="7">
        <v>0</v>
      </c>
      <c r="K69" s="89" t="str">
        <f>IF(ISEVEN(B69),(B69-1)&amp;"/"&amp;B69,B69&amp;"/"&amp;(B69+1))</f>
        <v>4051/4052</v>
      </c>
      <c r="L69" s="185" t="str">
        <f>VLOOKUP(A69,'Trips&amp;Operators'!$C$1:$G$99911,5,FALSE)</f>
        <v>BADERTSCHER DIANE</v>
      </c>
      <c r="M69" s="6">
        <f>I69-F69</f>
        <v>2.6423611110658385E-2</v>
      </c>
      <c r="N69" s="7">
        <f>24*60*SUM($M69:$M69)</f>
        <v>38.049999999348074</v>
      </c>
      <c r="O69" s="7"/>
      <c r="P69" s="7"/>
      <c r="Q69" s="22"/>
      <c r="R69" s="174" t="s">
        <v>1122</v>
      </c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-06T09:38:35-0700',mode:absolute,to:'2017-11-06T12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4.9799999999999997E-2</v>
      </c>
      <c r="Z69" s="204">
        <f>RIGHT(H69,LEN(H69)-4)/10000</f>
        <v>23.325500000000002</v>
      </c>
      <c r="AA69" s="204">
        <f>ABS(Z69-Y69)</f>
        <v>23.275700000000001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/stypes="app*4052*20171106*"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157-06 --locoid 4052 --swversion DE.1.0.9.0 --startMP 204:498 --initTime 2017-11-06T10:38:35 --startdatetime 2017-11-06T10:45:15 --delay 74 --endMP 204:233255 --enddatetime 2017-11-06T11:23:18 --enforcementcount 0 &gt;&gt;%USERPROFILE%\Documents\GitHub\eaglep3-reporting\EC\2017-11-06-refined-times.txt</v>
      </c>
      <c r="AI69" s="96" t="str">
        <f t="shared" si="6"/>
        <v>echo {"issue":{"subject":"Brief Wi-MAX data drop caused unhealthy xing banners","project_id":79,"tracker_id":40,"status_id":1,"priority_id":2,"assigned_to_id":338,"start_date":"2017-11-06","description":"","custom_fields":[{"id":1,"name":"Subdivision","value":"EC"},{"id":4,"name":"Milepost","value":"23.3255"},{"id":17,"name":"Train ID","value":"157-06"},{"id":16,"name":"Locomotive ID","value":"4052"},{"id":130,"name":"Impact","value":""},{"id":150,"name":"Time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4052 --day 2017-11-06</v>
      </c>
      <c r="AN69" s="151" t="str">
        <f t="shared" si="8"/>
        <v>echo {"issue":{"subject":"Brief Wi-MAX data drop caused unhealthy xing banners","project_id":30,"tracker_id":4,"status_id":1,"priority_id":1,"assigned_to_id":10,"start_date":"2017-11-06","description":"","custom_fields":[{"id":30,"name":"Category","value":"Issue"},{"id":3,"name":"Functional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-11-06T09:38:35-0700',mode:absolute,to:'2017-11-06T12:23:18-0700'))&amp;_a=(columns:!('Message%20ID',Summary),filters:!(),index:'emp_*',interval:auto,query:(query_string:(analyze_wildcard:!t,query:'%22rtdc.l.rtdc.4052%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762</v>
      </c>
      <c r="B70" s="7">
        <v>4051</v>
      </c>
      <c r="C70" s="21" t="s">
        <v>192</v>
      </c>
      <c r="D70" s="21" t="s">
        <v>526</v>
      </c>
      <c r="E70" s="13">
        <v>43045.477395833332</v>
      </c>
      <c r="F70" s="13">
        <v>43045.487800925926</v>
      </c>
      <c r="G70" s="7">
        <v>123</v>
      </c>
      <c r="H70" s="21" t="s">
        <v>530</v>
      </c>
      <c r="I70" s="13">
        <v>43045.514930555553</v>
      </c>
      <c r="J70" s="7">
        <v>0</v>
      </c>
      <c r="K70" s="89" t="str">
        <f>IF(ISEVEN(B70),(B70-1)&amp;"/"&amp;B70,B70&amp;"/"&amp;(B70+1))</f>
        <v>4051/4052</v>
      </c>
      <c r="L70" s="185" t="str">
        <f>VLOOKUP(A70,'Trips&amp;Operators'!$C$1:$G$99911,5,FALSE)</f>
        <v>BADERTSCHER DIANE</v>
      </c>
      <c r="M70" s="6">
        <f>I70-F70</f>
        <v>2.7129629626870155E-2</v>
      </c>
      <c r="N70" s="7">
        <f>24*60*SUM($M70:$M70)</f>
        <v>39.066666662693024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-06T10:27:27-0700',mode:absolute,to:'2017-11-06T13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23.292999999999999</v>
      </c>
      <c r="Z70" s="204">
        <f>RIGHT(H70,LEN(H70)-4)/10000</f>
        <v>2.0500000000000001E-2</v>
      </c>
      <c r="AA70" s="204">
        <f>ABS(Z70-Y70)</f>
        <v>23.272500000000001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/stypes="app*4051*20171106*" /stext=" 19:.+((SYSTEM_STATE.+slice.+state.+changed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158-06 --locoid 4051 --swversion DE.1.0.9.0 --startMP 204:232930 --initTime 2017-11-06T11:27:27 --startdatetime 2017-11-06T11:42:26 --delay 123 --endMP 204:205 --enddatetime 2017-11-06T12:21:30 --enforcementcount 0 &gt;&gt;%USERPROFILE%\Documents\GitHub\eaglep3-reporting\EC\2017-11-06-refined-times.txt</v>
      </c>
      <c r="AI70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{"issue":{"subject":"","project_id":79,"tracker_id":40,"status_id":1,"priority_id":2,"assigned_to_id":338,"start_date":"2017-11-06","description":"","custom_fields":[{"id":1,"name":"Subdivision","value":"EC"},{"id":4,"name":"Milepost","value":"0.0205"},{"id":17,"name":"Train ID","value":"158-06"},{"id":16,"name":"Locomotive ID","value":"4051"},{"id":130,"name":"Impact","value":""},{"id":150,"name":"Time of Event (Mountain Time)","value":"12:21:30"},{"id":151,"name":"Denver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4051 --day 2017-11-06</v>
      </c>
      <c r="AN70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-11-06T10:27:27-0700',mode:absolute,to:'2017-11-06T13:21:30-0700'))&amp;_a=(columns:!('Message%20ID',Summary),filters:!(),index:'emp_*',interval:auto,query:(query_string:(analyze_wildcard:!t,query:'%22rtdc.l.rtdc.4051%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752</v>
      </c>
      <c r="B71" s="7">
        <v>4012</v>
      </c>
      <c r="C71" s="21" t="s">
        <v>192</v>
      </c>
      <c r="D71" s="21" t="s">
        <v>396</v>
      </c>
      <c r="E71" s="13">
        <v>43045.453946759262</v>
      </c>
      <c r="F71" s="13">
        <v>43045.458518518521</v>
      </c>
      <c r="G71" s="7">
        <v>65</v>
      </c>
      <c r="H71" s="21" t="s">
        <v>895</v>
      </c>
      <c r="I71" s="13">
        <v>43045.482546296298</v>
      </c>
      <c r="J71" s="7">
        <v>0</v>
      </c>
      <c r="K71" s="89" t="str">
        <f>IF(ISEVEN(B71),(B71-1)&amp;"/"&amp;B71,B71&amp;"/"&amp;(B71+1))</f>
        <v>4011/4012</v>
      </c>
      <c r="L71" s="185" t="str">
        <f>VLOOKUP(A71,'Trips&amp;Operators'!$C$1:$G$99911,5,FALSE)</f>
        <v>LAMAR NEKESHA</v>
      </c>
      <c r="M71" s="6">
        <f>I71-F71</f>
        <v>2.4027777777519077E-2</v>
      </c>
      <c r="N71" s="7">
        <f>24*60*SUM($M71:$M71)</f>
        <v>34.599999999627471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-06T09:53:41-0700',mode:absolute,to:'2017-11-06T12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4.6600000000000003E-2</v>
      </c>
      <c r="Z71" s="204">
        <f>RIGHT(H71,LEN(H71)-4)/10000</f>
        <v>23.327400000000001</v>
      </c>
      <c r="AA71" s="204">
        <f>ABS(Z71-Y71)</f>
        <v>23.280799999999999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/stypes="app*4012*20171106*"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159-06 --locoid 4012 --swversion DE.1.0.9.0 --startMP 204:466 --initTime 2017-11-06T10:53:41 --startdatetime 2017-11-06T11:00:16 --delay 65 --endMP 204:233274 --enddatetime 2017-11-06T11:34:52 --enforcementcount 0 &gt;&gt;%USERPROFILE%\Documents\GitHub\eaglep3-reporting\EC\2017-11-06-refined-times.txt</v>
      </c>
      <c r="AI71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{"issue":{"subject":"","project_id":79,"tracker_id":40,"status_id":1,"priority_id":2,"assigned_to_id":338,"start_date":"2017-11-06","description":"","custom_fields":[{"id":1,"name":"Subdivision","value":"EC"},{"id":4,"name":"Milepost","value":"23.3274"},{"id":17,"name":"Train ID","value":"159-06"},{"id":16,"name":"Locomotive ID","value":"4012"},{"id":130,"name":"Impact","value":""},{"id":150,"name":"Time of Event (Mountain Time)","value":"11:34:52"},{"id":151,"name":"Denver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4012 --day 2017-11-06</v>
      </c>
      <c r="AN71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-11-06T09:53:41-0700',mode:absolute,to:'2017-11-06T12:34:52-0700'))&amp;_a=(columns:!('Message%20ID',Summary),filters:!(),index:'emp_*',interval:auto,query:(query_string:(analyze_wildcard:!t,query:'%22rtdc.l.rtdc.4012%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763</v>
      </c>
      <c r="B72" s="7">
        <v>4011</v>
      </c>
      <c r="C72" s="21" t="s">
        <v>192</v>
      </c>
      <c r="D72" s="21" t="s">
        <v>905</v>
      </c>
      <c r="E72" s="13">
        <v>43045.4840625</v>
      </c>
      <c r="F72" s="13">
        <v>43045.498101851852</v>
      </c>
      <c r="G72" s="7">
        <v>55</v>
      </c>
      <c r="H72" s="21" t="s">
        <v>531</v>
      </c>
      <c r="I72" s="13">
        <v>43045.523773148147</v>
      </c>
      <c r="J72" s="7">
        <v>0</v>
      </c>
      <c r="K72" s="89" t="str">
        <f>IF(ISEVEN(B72),(B72-1)&amp;"/"&amp;B72,B72&amp;"/"&amp;(B72+1))</f>
        <v>4011/4012</v>
      </c>
      <c r="L72" s="185" t="str">
        <f>VLOOKUP(A72,'Trips&amp;Operators'!$C$1:$G$99911,5,FALSE)</f>
        <v>LAMAR NEKESHA</v>
      </c>
      <c r="M72" s="6">
        <f>I72-F72</f>
        <v>2.5671296294603962E-2</v>
      </c>
      <c r="N72" s="7">
        <f>24*60*SUM($M72:$M72)</f>
        <v>36.966666664229706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-06T10:37:03-0700',mode:absolute,to:'2017-11-06T13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23.2957</v>
      </c>
      <c r="Z72" s="204">
        <f>RIGHT(H72,LEN(H72)-4)/10000</f>
        <v>1.6500000000000001E-2</v>
      </c>
      <c r="AA72" s="204">
        <f>ABS(Z72-Y72)</f>
        <v>23.279199999999999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/stypes="app*4011*20171106*" /stext=" 19:.+((SYSTEM_STATE.+slice.+state.+changed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160-06 --locoid 4011 --swversion DE.1.0.9.0 --startMP 204:232957 --initTime 2017-11-06T11:37:03 --startdatetime 2017-11-06T11:57:16 --delay 55 --endMP 204:165 --enddatetime 2017-11-06T12:34:14 --enforcementcount 0 &gt;&gt;%USERPROFILE%\Documents\GitHub\eaglep3-reporting\EC\2017-11-06-refined-times.txt</v>
      </c>
      <c r="AI72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{"issue":{"subject":"","project_id":79,"tracker_id":40,"status_id":1,"priority_id":2,"assigned_to_id":338,"start_date":"2017-11-06","description":"","custom_fields":[{"id":1,"name":"Subdivision","value":"EC"},{"id":4,"name":"Milepost","value":"0.0165"},{"id":17,"name":"Train ID","value":"160-06"},{"id":16,"name":"Locomotive ID","value":"4011"},{"id":130,"name":"Impact","value":""},{"id":150,"name":"Time of Event (Mountain Time)","value":"12:34:14"},{"id":151,"name":"Denver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4011 --day 2017-11-06</v>
      </c>
      <c r="AN72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-11-06T10:37:03-0700',mode:absolute,to:'2017-11-06T13:34:14-0700'))&amp;_a=(columns:!('Message%20ID',Summary),filters:!(),index:'emp_*',interval:auto,query:(query_string:(analyze_wildcard:!t,query:'%22rtdc.l.rtdc.4011%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755</v>
      </c>
      <c r="B73" s="7">
        <v>4050</v>
      </c>
      <c r="C73" s="21" t="s">
        <v>192</v>
      </c>
      <c r="D73" s="21" t="s">
        <v>499</v>
      </c>
      <c r="E73" s="13">
        <v>43045.463576388887</v>
      </c>
      <c r="F73" s="13">
        <v>43045.469097222223</v>
      </c>
      <c r="G73" s="7">
        <v>100</v>
      </c>
      <c r="H73" s="21" t="s">
        <v>536</v>
      </c>
      <c r="I73" s="13">
        <v>43045.495451388888</v>
      </c>
      <c r="J73" s="7">
        <v>0</v>
      </c>
      <c r="K73" s="89" t="str">
        <f>IF(ISEVEN(B73),(B73-1)&amp;"/"&amp;B73,B73&amp;"/"&amp;(B73+1))</f>
        <v>4049/4050</v>
      </c>
      <c r="L73" s="185" t="str">
        <f>VLOOKUP(A73,'Trips&amp;Operators'!$C$1:$G$99911,5,FALSE)</f>
        <v>DAVIS MICHAEL</v>
      </c>
      <c r="M73" s="6">
        <f>I73-F73</f>
        <v>2.6354166664532386E-2</v>
      </c>
      <c r="N73" s="7">
        <f>24*60*SUM($M73:$M73)</f>
        <v>37.949999996926636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-06T10:07:33-0700',mode:absolute,to:'2017-11-06T12:53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5.1700000000000003E-2</v>
      </c>
      <c r="Z73" s="204">
        <f>RIGHT(H73,LEN(H73)-4)/10000</f>
        <v>23.325700000000001</v>
      </c>
      <c r="AA73" s="204">
        <f>ABS(Z73-Y73)</f>
        <v>23.274000000000001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/stypes="app*4050*20171106*"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161-06 --locoid 4050 --swversion DE.1.0.9.0 --startMP 204:517 --initTime 2017-11-06T11:07:33 --startdatetime 2017-11-06T11:15:30 --delay 100 --endMP 204:233257 --enddatetime 2017-11-06T11:53:27 --enforcementcount 0 &gt;&gt;%USERPROFILE%\Documents\GitHub\eaglep3-reporting\EC\2017-11-06-refined-times.txt</v>
      </c>
      <c r="AI73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{"issue":{"subject":"","project_id":79,"tracker_id":40,"status_id":1,"priority_id":2,"assigned_to_id":338,"start_date":"2017-11-06","description":"","custom_fields":[{"id":1,"name":"Subdivision","value":"EC"},{"id":4,"name":"Milepost","value":"23.3257"},{"id":17,"name":"Train ID","value":"161-06"},{"id":16,"name":"Locomotive ID","value":"4050"},{"id":130,"name":"Impact","value":""},{"id":150,"name":"Time of Event (Mountain Time)","value":"11:53:27"},{"id":151,"name":"Denver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4050 --day 2017-11-06</v>
      </c>
      <c r="AN73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-11-06T10:07:33-0700',mode:absolute,to:'2017-11-06T12:53:27-0700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767</v>
      </c>
      <c r="B74" s="7">
        <v>4049</v>
      </c>
      <c r="C74" s="21" t="s">
        <v>192</v>
      </c>
      <c r="D74" s="21" t="s">
        <v>930</v>
      </c>
      <c r="E74" s="13">
        <v>43045.506562499999</v>
      </c>
      <c r="F74" s="13">
        <v>43045.508738425924</v>
      </c>
      <c r="G74" s="7">
        <v>89</v>
      </c>
      <c r="H74" s="21" t="s">
        <v>535</v>
      </c>
      <c r="I74" s="13">
        <v>43045.535995370374</v>
      </c>
      <c r="J74" s="7">
        <v>0</v>
      </c>
      <c r="K74" s="89" t="str">
        <f>IF(ISEVEN(B74),(B74-1)&amp;"/"&amp;B74,B74&amp;"/"&amp;(B74+1))</f>
        <v>4049/4050</v>
      </c>
      <c r="L74" s="185" t="str">
        <f>VLOOKUP(A74,'Trips&amp;Operators'!$C$1:$G$99911,5,FALSE)</f>
        <v>DAVIS MICHAEL</v>
      </c>
      <c r="M74" s="6">
        <f>I74-F74</f>
        <v>2.7256944449618459E-2</v>
      </c>
      <c r="N74" s="7">
        <f>24*60*SUM($M74:$M74)</f>
        <v>39.250000007450581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-06T11:09:27-0700',mode:absolute,to:'2017-11-06T13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23.295000000000002</v>
      </c>
      <c r="Z74" s="204">
        <f>RIGHT(H74,LEN(H74)-4)/10000</f>
        <v>2.07E-2</v>
      </c>
      <c r="AA74" s="204">
        <f>ABS(Z74-Y74)</f>
        <v>23.2743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/stypes="app*4049*20171106*" /stext=" 19:.+((SYSTEM_STATE.+slice.+state.+changed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162-06 --locoid 4049 --swversion DE.1.0.9.0 --startMP 204:232950 --initTime 2017-11-06T12:09:27 --startdatetime 2017-11-06T12:12:35 --delay 89 --endMP 204:207 --enddatetime 2017-11-06T12:51:50 --enforcementcount 0 &gt;&gt;%USERPROFILE%\Documents\GitHub\eaglep3-reporting\EC\2017-11-06-refined-times.txt</v>
      </c>
      <c r="AI74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{"issue":{"subject":"","project_id":79,"tracker_id":40,"status_id":1,"priority_id":2,"assigned_to_id":338,"start_date":"2017-11-06","description":"","custom_fields":[{"id":1,"name":"Subdivision","value":"EC"},{"id":4,"name":"Milepost","value":"0.0207"},{"id":17,"name":"Train ID","value":"162-06"},{"id":16,"name":"Locomotive ID","value":"4049"},{"id":130,"name":"Impact","value":""},{"id":150,"name":"Time of Event (Mountain Time)","value":"12:51:50"},{"id":151,"name":"Denver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4049 --day 2017-11-06</v>
      </c>
      <c r="AN74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-11-06T11:09:27-0700',mode:absolute,to:'2017-11-06T13:51:50-0700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759</v>
      </c>
      <c r="B75" s="7">
        <v>4010</v>
      </c>
      <c r="C75" s="21" t="s">
        <v>192</v>
      </c>
      <c r="D75" s="21" t="s">
        <v>931</v>
      </c>
      <c r="E75" s="13">
        <v>43045.474548611113</v>
      </c>
      <c r="F75" s="13">
        <v>43045.479375000003</v>
      </c>
      <c r="G75" s="7">
        <v>69</v>
      </c>
      <c r="H75" s="21" t="s">
        <v>493</v>
      </c>
      <c r="I75" s="13">
        <v>43045.504062499997</v>
      </c>
      <c r="J75" s="7">
        <v>0</v>
      </c>
      <c r="K75" s="89" t="str">
        <f>IF(ISEVEN(B75),(B75-1)&amp;"/"&amp;B75,B75&amp;"/"&amp;(B75+1))</f>
        <v>4009/4010</v>
      </c>
      <c r="L75" s="185" t="str">
        <f>VLOOKUP(A75,'Trips&amp;Operators'!$C$1:$G$99911,5,FALSE)</f>
        <v>STEWART MICHAEL</v>
      </c>
      <c r="M75" s="6">
        <f>I75-F75</f>
        <v>2.4687499993888196E-2</v>
      </c>
      <c r="N75" s="7">
        <f>24*60*SUM($M75:$M75)</f>
        <v>35.549999991199002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-06T10:23:21-0700',mode:absolute,to:'2017-11-06T13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5.0900000000000001E-2</v>
      </c>
      <c r="Z75" s="204">
        <f>RIGHT(H75,LEN(H75)-4)/10000</f>
        <v>23.325299999999999</v>
      </c>
      <c r="AA75" s="204">
        <f>ABS(Z75-Y75)</f>
        <v>23.2744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/stypes="app*4010*20171106*" /stext=" 19:.+((SYSTEM_STATE.+slice.+state.+changed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163-06 --locoid 4010 --swversion DE.1.0.9.0 --startMP 204:509 --initTime 2017-11-06T11:23:21 --startdatetime 2017-11-06T11:30:18 --delay 69 --endMP 204:233253 --enddatetime 2017-11-06T12:05:51 --enforcementcount 0 &gt;&gt;%USERPROFILE%\Documents\GitHub\eaglep3-reporting\EC\2017-11-06-refined-times.txt</v>
      </c>
      <c r="AI75" s="96" t="str">
        <f t="shared" si="6"/>
        <v>echo {"issue":{"subject":"","project_id":79,"tracker_id":40,"status_id":1,"priority_id":2,"assigned_to_id":338,"start_date":"2017-11-06","description":"","custom_fields":[{"id":1,"name":"Subdivision","value":"EC"},{"id":4,"name":"Milepost","value":"23.3253"},{"id":17,"name":"Train ID","value":"163-06"},{"id":16,"name":"Locomotive ID","value":"4010"},{"id":130,"name":"Impact","value":""},{"id":150,"name":"Time of Event (Mountain Time)","value":"12:05:51"},{"id":151,"name":"Denver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4010 --day 2017-11-06</v>
      </c>
      <c r="AN75" s="151" t="str">
        <f t="shared" si="8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-11-06T10:23:21-0700',mode:absolute,to:'2017-11-06T13:05:51-0700'))&amp;_a=(columns:!('Message%20ID',Summary),filters:!(),index:'emp_*',interval:auto,query:(query_string:(analyze_wildcard:!t,query:'%22rtdc.l.rtdc.4010%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769</v>
      </c>
      <c r="B76" s="7">
        <v>4009</v>
      </c>
      <c r="C76" s="21" t="s">
        <v>192</v>
      </c>
      <c r="D76" s="21" t="s">
        <v>529</v>
      </c>
      <c r="E76" s="13">
        <v>43045.513553240744</v>
      </c>
      <c r="F76" s="13">
        <v>43045.519212962965</v>
      </c>
      <c r="G76" s="7">
        <v>77</v>
      </c>
      <c r="H76" s="21" t="s">
        <v>612</v>
      </c>
      <c r="I76" s="13">
        <v>43045.546018518522</v>
      </c>
      <c r="J76" s="7">
        <v>0</v>
      </c>
      <c r="K76" s="89" t="str">
        <f>IF(ISEVEN(B76),(B76-1)&amp;"/"&amp;B76,B76&amp;"/"&amp;(B76+1))</f>
        <v>4009/4010</v>
      </c>
      <c r="L76" s="185" t="str">
        <f>VLOOKUP(A76,'Trips&amp;Operators'!$C$1:$G$99911,5,FALSE)</f>
        <v>STEWART MICHAEL</v>
      </c>
      <c r="M76" s="6">
        <f>I76-F76</f>
        <v>2.6805555557075422E-2</v>
      </c>
      <c r="N76" s="7">
        <f>24*60*SUM($M76:$M76)</f>
        <v>38.600000002188608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-06T11:19:31-0700',mode:absolute,to:'2017-11-06T14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23.295500000000001</v>
      </c>
      <c r="Z76" s="204">
        <f>RIGHT(H76,LEN(H76)-4)/10000</f>
        <v>2.18E-2</v>
      </c>
      <c r="AA76" s="204">
        <f>ABS(Z76-Y76)</f>
        <v>23.273700000000002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/stypes="app*4009*20171106*" /stext=" 20:.+((SYSTEM_STATE.+slice.+state.+changed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ref="AH76:AH139" si="11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164-06 --locoid 4009 --swversion DE.1.0.9.0 --startMP 204:232955 --initTime 2017-11-06T12:19:31 --startdatetime 2017-11-06T12:27:40 --delay 77 --endMP 204:218 --enddatetime 2017-11-06T13:06:16 --enforcementcount 0 &gt;&gt;%USERPROFILE%\Documents\GitHub\eaglep3-reporting\EC\2017-11-06-refined-times.txt</v>
      </c>
      <c r="AI76" s="96" t="str">
        <f t="shared" ref="AI76:AI139" si="12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{"issue":{"subject":"","project_id":79,"tracker_id":40,"status_id":1,"priority_id":2,"assigned_to_id":338,"start_date":"2017-11-06","description":"","custom_fields":[{"id":1,"name":"Subdivision","value":"EC"},{"id":4,"name":"Milepost","value":"0.0218"},{"id":17,"name":"Train ID","value":"164-06"},{"id":16,"name":"Locomotive ID","value":"4009"},{"id":130,"name":"Impact","value":""},{"id":150,"name":"Time of Event (Mountain Time)","value":"13:06:16"},{"id":151,"name":"Denver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ref="AM76:AM139" si="13">"start /low /b "&amp;dls3logs&amp;" --loco "&amp;B76&amp;" --day "&amp;TEXT(F76,"YYYY-MM-DD")</f>
        <v>start /low /b %USERPROFILE%\Documents\GitHub\eaglep3\Utilities\DownloadLogsFromS3.py --loco 4009 --day 2017-11-06</v>
      </c>
      <c r="AN76" s="151" t="str">
        <f t="shared" ref="AN76:AN139" si="14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ref="AO76:AO139" si="15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-06T11:19:31-0700',mode:absolute,to:'2017-11-06T14:06:16-0700'))&amp;_a=(columns:!('Message%20ID',Summary),filters:!(),index:'emp_*',interval:auto,query:(query_string:(analyze_wildcard:!t,query:'%22rtdc.l.rtdc.4009%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764</v>
      </c>
      <c r="B77" s="7">
        <v>4036</v>
      </c>
      <c r="C77" s="21" t="s">
        <v>192</v>
      </c>
      <c r="D77" s="21" t="s">
        <v>932</v>
      </c>
      <c r="E77" s="13">
        <v>43045.48646990741</v>
      </c>
      <c r="F77" s="13">
        <v>43045.489791666667</v>
      </c>
      <c r="G77" s="7">
        <v>82</v>
      </c>
      <c r="H77" s="21" t="s">
        <v>627</v>
      </c>
      <c r="I77" s="13">
        <v>43045.515636574077</v>
      </c>
      <c r="J77" s="7">
        <v>0</v>
      </c>
      <c r="K77" s="89" t="str">
        <f>IF(ISEVEN(B77),(B77-1)&amp;"/"&amp;B77,B77&amp;"/"&amp;(B77+1))</f>
        <v>4035/4036</v>
      </c>
      <c r="L77" s="185" t="str">
        <f>VLOOKUP(A77,'Trips&amp;Operators'!$C$1:$G$99911,5,FALSE)</f>
        <v>ANDREA WILLIAMS</v>
      </c>
      <c r="M77" s="6">
        <f>I77-F77</f>
        <v>2.584490740991896E-2</v>
      </c>
      <c r="N77" s="7">
        <f>24*60*SUM($M77:$M77)</f>
        <v>37.216666670283303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-06T10:40:31-0700',mode:absolute,to:'2017-11-06T13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4.9299999999999997E-2</v>
      </c>
      <c r="Z77" s="204">
        <f>RIGHT(H77,LEN(H77)-4)/10000</f>
        <v>23.3245</v>
      </c>
      <c r="AA77" s="204">
        <f>ABS(Z77-Y77)</f>
        <v>23.275200000000002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/stypes="app*4036*20171106*"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11"/>
        <v>"%USERPROFILE%\Documents\GitHub\eaglep3\Utilities\RefineRTDCRunTimes.py" --tripid 165-06 --locoid 4036 --swversion DE.1.0.9.0 --startMP 204:493 --initTime 2017-11-06T11:40:31 --startdatetime 2017-11-06T11:45:18 --delay 82 --endMP 204:233245 --enddatetime 2017-11-06T12:22:31 --enforcementcount 0 &gt;&gt;%USERPROFILE%\Documents\GitHub\eaglep3-reporting\EC\2017-11-06-refined-times.txt</v>
      </c>
      <c r="AI7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{"issue":{"subject":"","project_id":79,"tracker_id":40,"status_id":1,"priority_id":2,"assigned_to_id":338,"start_date":"2017-11-06","description":"","custom_fields":[{"id":1,"name":"Subdivision","value":"EC"},{"id":4,"name":"Milepost","value":"23.3245"},{"id":17,"name":"Train ID","value":"165-06"},{"id":16,"name":"Locomotive ID","value":"4036"},{"id":130,"name":"Impact","value":""},{"id":150,"name":"Time of Event (Mountain Time)","value":"12:22:31"},{"id":151,"name":"Denver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3"/>
        <v>start /low /b %USERPROFILE%\Documents\GitHub\eaglep3\Utilities\DownloadLogsFromS3.py --loco 4036 --day 2017-11-06</v>
      </c>
      <c r="AN77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5"/>
        <v>https://d0f6bd738d7f1b3e5a7ca70fe4ff75f0.us-east-1.aws.found.io/app/kibana#/discover/Steve-Slow-Train-Analysis-(2080s-and-2083s)?_g=(refreshInterval:(display:Off,pause:!f,section:0,value:0),time:(from:'2017-11-06T10:40:31-0700',mode:absolute,to:'2017-11-06T13:22:31-0700'))&amp;_a=(columns:!('Message%20ID',Summary),filters:!(),index:'emp_*',interval:auto,query:(query_string:(analyze_wildcard:!t,query:'%22rtdc.l.rtdc.4036%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771</v>
      </c>
      <c r="B78" s="7">
        <v>4035</v>
      </c>
      <c r="C78" s="21" t="s">
        <v>192</v>
      </c>
      <c r="D78" s="21" t="s">
        <v>600</v>
      </c>
      <c r="E78" s="13">
        <v>43045.523229166669</v>
      </c>
      <c r="F78" s="13">
        <v>43045.529340277775</v>
      </c>
      <c r="G78" s="7">
        <v>119</v>
      </c>
      <c r="H78" s="21" t="s">
        <v>625</v>
      </c>
      <c r="I78" s="13">
        <v>43045.556527777779</v>
      </c>
      <c r="J78" s="7">
        <v>0</v>
      </c>
      <c r="K78" s="89" t="str">
        <f>IF(ISEVEN(B78),(B78-1)&amp;"/"&amp;B78,B78&amp;"/"&amp;(B78+1))</f>
        <v>4035/4036</v>
      </c>
      <c r="L78" s="185" t="str">
        <f>VLOOKUP(A78,'Trips&amp;Operators'!$C$1:$G$99911,5,FALSE)</f>
        <v>ANDREA WILLIAMS</v>
      </c>
      <c r="M78" s="6">
        <f>I78-F78</f>
        <v>2.718750000349246E-2</v>
      </c>
      <c r="N78" s="7">
        <f>24*60*SUM($M78:$M78)</f>
        <v>39.150000005029142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-06T11:33:27-0700',mode:absolute,to:'2017-11-06T14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23.293199999999999</v>
      </c>
      <c r="Z78" s="204">
        <f>RIGHT(H78,LEN(H78)-4)/10000</f>
        <v>2.6499999999999999E-2</v>
      </c>
      <c r="AA78" s="204">
        <f>ABS(Z78-Y78)</f>
        <v>23.2667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/stypes="app*4035*20171106*" /stext=" 20:.+((SYSTEM_STATE.+slice.+state.+changed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1"/>
        <v>"%USERPROFILE%\Documents\GitHub\eaglep3\Utilities\RefineRTDCRunTimes.py" --tripid 166-06 --locoid 4035 --swversion DE.1.0.9.0 --startMP 204:232932 --initTime 2017-11-06T12:33:27 --startdatetime 2017-11-06T12:42:15 --delay 119 --endMP 204:265 --enddatetime 2017-11-06T13:21:24 --enforcementcount 0 &gt;&gt;%USERPROFILE%\Documents\GitHub\eaglep3-reporting\EC\2017-11-06-refined-times.txt</v>
      </c>
      <c r="AI7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{"issue":{"subject":"","project_id":79,"tracker_id":40,"status_id":1,"priority_id":2,"assigned_to_id":338,"start_date":"2017-11-06","description":"","custom_fields":[{"id":1,"name":"Subdivision","value":"EC"},{"id":4,"name":"Milepost","value":"0.0265"},{"id":17,"name":"Train ID","value":"166-06"},{"id":16,"name":"Locomotive ID","value":"4035"},{"id":130,"name":"Impact","value":""},{"id":150,"name":"Time of Event (Mountain Time)","value":"13:21:24"},{"id":151,"name":"Denver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3"/>
        <v>start /low /b %USERPROFILE%\Documents\GitHub\eaglep3\Utilities\DownloadLogsFromS3.py --loco 4035 --day 2017-11-06</v>
      </c>
      <c r="AN78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5"/>
        <v>https://d0f6bd738d7f1b3e5a7ca70fe4ff75f0.us-east-1.aws.found.io/app/kibana#/discover/Steve-Slow-Train-Analysis-(2080s-and-2083s)?_g=(refreshInterval:(display:Off,pause:!f,section:0,value:0),time:(from:'2017-11-06T11:33:27-0700',mode:absolute,to:'2017-11-06T14:21:24-0700'))&amp;_a=(columns:!('Message%20ID',Summary),filters:!(),index:'emp_*',interval:auto,query:(query_string:(analyze_wildcard:!t,query:'%22rtdc.l.rtdc.4035%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765</v>
      </c>
      <c r="B79" s="7">
        <v>4004</v>
      </c>
      <c r="C79" s="21" t="s">
        <v>192</v>
      </c>
      <c r="D79" s="21" t="s">
        <v>933</v>
      </c>
      <c r="E79" s="13">
        <v>43045.496307870373</v>
      </c>
      <c r="F79" s="13">
        <v>43045.500173611108</v>
      </c>
      <c r="G79" s="7">
        <v>94</v>
      </c>
      <c r="H79" s="21" t="s">
        <v>588</v>
      </c>
      <c r="I79" s="13">
        <v>43045.524305555555</v>
      </c>
      <c r="J79" s="7">
        <v>0</v>
      </c>
      <c r="K79" s="89" t="str">
        <f>IF(ISEVEN(B79),(B79-1)&amp;"/"&amp;B79,B79&amp;"/"&amp;(B79+1))</f>
        <v>4003/4004</v>
      </c>
      <c r="L79" s="185" t="str">
        <f>VLOOKUP(A79,'Trips&amp;Operators'!$C$1:$G$99911,5,FALSE)</f>
        <v>GUZMAN DANNY</v>
      </c>
      <c r="M79" s="6">
        <f>I79-F79</f>
        <v>2.4131944446708076E-2</v>
      </c>
      <c r="N79" s="7">
        <f>24*60*SUM($M79:$M79)</f>
        <v>34.750000003259629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-06T10:54:41-0700',mode:absolute,to:'2017-11-06T13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5.9299999999999999E-2</v>
      </c>
      <c r="Z79" s="204">
        <f>RIGHT(H79,LEN(H79)-4)/10000</f>
        <v>23.3232</v>
      </c>
      <c r="AA79" s="204">
        <f>ABS(Z79-Y79)</f>
        <v>23.2639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/stypes="app*4004*20171106*"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1"/>
        <v>"%USERPROFILE%\Documents\GitHub\eaglep3\Utilities\RefineRTDCRunTimes.py" --tripid 167-06 --locoid 4004 --swversion DE.1.0.9.0 --startMP 204:593 --initTime 2017-11-06T11:54:41 --startdatetime 2017-11-06T12:00:15 --delay 94 --endMP 204:233232 --enddatetime 2017-11-06T12:35:00 --enforcementcount 0 &gt;&gt;%USERPROFILE%\Documents\GitHub\eaglep3-reporting\EC\2017-11-06-refined-times.txt</v>
      </c>
      <c r="AI7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{"issue":{"subject":"","project_id":79,"tracker_id":40,"status_id":1,"priority_id":2,"assigned_to_id":338,"start_date":"2017-11-06","description":"","custom_fields":[{"id":1,"name":"Subdivision","value":"EC"},{"id":4,"name":"Milepost","value":"23.3232"},{"id":17,"name":"Train ID","value":"167-06"},{"id":16,"name":"Locomotive ID","value":"4004"},{"id":130,"name":"Impact","value":""},{"id":150,"name":"Time of Event (Mountain Time)","value":"12:35:00"},{"id":151,"name":"Denver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3"/>
        <v>start /low /b %USERPROFILE%\Documents\GitHub\eaglep3\Utilities\DownloadLogsFromS3.py --loco 4004 --day 2017-11-06</v>
      </c>
      <c r="AN79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5"/>
        <v>https://d0f6bd738d7f1b3e5a7ca70fe4ff75f0.us-east-1.aws.found.io/app/kibana#/discover/Steve-Slow-Train-Analysis-(2080s-and-2083s)?_g=(refreshInterval:(display:Off,pause:!f,section:0,value:0),time:(from:'2017-11-06T10:54:41-0700',mode:absolute,to:'2017-11-06T13:35:00-0700'))&amp;_a=(columns:!('Message%20ID',Summary),filters:!(),index:'emp_*',interval:auto,query:(query_string:(analyze_wildcard:!t,query:'%22rtdc.l.rtdc.4004%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772</v>
      </c>
      <c r="B80" s="7">
        <v>4003</v>
      </c>
      <c r="C80" s="21" t="s">
        <v>192</v>
      </c>
      <c r="D80" s="21" t="s">
        <v>600</v>
      </c>
      <c r="E80" s="13">
        <v>43045.527141203704</v>
      </c>
      <c r="F80" s="13">
        <v>43045.53974537037</v>
      </c>
      <c r="G80" s="7">
        <v>68</v>
      </c>
      <c r="H80" s="21" t="s">
        <v>934</v>
      </c>
      <c r="I80" s="13">
        <v>43045.565821759257</v>
      </c>
      <c r="J80" s="7">
        <v>0</v>
      </c>
      <c r="K80" s="89" t="str">
        <f>IF(ISEVEN(B80),(B80-1)&amp;"/"&amp;B80,B80&amp;"/"&amp;(B80+1))</f>
        <v>4003/4004</v>
      </c>
      <c r="L80" s="185" t="str">
        <f>VLOOKUP(A80,'Trips&amp;Operators'!$C$1:$G$99911,5,FALSE)</f>
        <v>GUZMAN DANNY</v>
      </c>
      <c r="M80" s="6">
        <f>I80-F80</f>
        <v>2.6076388887304347E-2</v>
      </c>
      <c r="N80" s="7">
        <f>24*60*SUM($M80:$M80)</f>
        <v>37.54999999771826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-06T11:39:05-0700',mode:absolute,to:'2017-11-06T14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23.293199999999999</v>
      </c>
      <c r="Z80" s="204">
        <f>RIGHT(H80,LEN(H80)-4)/10000</f>
        <v>2.5399999999999999E-2</v>
      </c>
      <c r="AA80" s="204">
        <f>ABS(Z80-Y80)</f>
        <v>23.267799999999998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/stypes="app*4003*20171106*" /stext=" 20:.+((SYSTEM_STATE.+slice.+state.+changed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1"/>
        <v>"%USERPROFILE%\Documents\GitHub\eaglep3\Utilities\RefineRTDCRunTimes.py" --tripid 168-06 --locoid 4003 --swversion DE.1.0.9.0 --startMP 204:232932 --initTime 2017-11-06T12:39:05 --startdatetime 2017-11-06T12:57:14 --delay 68 --endMP 204:254 --enddatetime 2017-11-06T13:34:47 --enforcementcount 0 &gt;&gt;%USERPROFILE%\Documents\GitHub\eaglep3-reporting\EC\2017-11-06-refined-times.txt</v>
      </c>
      <c r="AI8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{"issue":{"subject":"","project_id":79,"tracker_id":40,"status_id":1,"priority_id":2,"assigned_to_id":338,"start_date":"2017-11-06","description":"","custom_fields":[{"id":1,"name":"Subdivision","value":"EC"},{"id":4,"name":"Milepost","value":"0.0254"},{"id":17,"name":"Train ID","value":"168-06"},{"id":16,"name":"Locomotive ID","value":"4003"},{"id":130,"name":"Impact","value":""},{"id":150,"name":"Time of Event (Mountain Time)","value":"13:34:47"},{"id":151,"name":"Denver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3"/>
        <v>start /low /b %USERPROFILE%\Documents\GitHub\eaglep3\Utilities\DownloadLogsFromS3.py --loco 4003 --day 2017-11-06</v>
      </c>
      <c r="AN80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5"/>
        <v>https://d0f6bd738d7f1b3e5a7ca70fe4ff75f0.us-east-1.aws.found.io/app/kibana#/discover/Steve-Slow-Train-Analysis-(2080s-and-2083s)?_g=(refreshInterval:(display:Off,pause:!f,section:0,value:0),time:(from:'2017-11-06T11:39:05-0700',mode:absolute,to:'2017-11-06T14:34:47-0700'))&amp;_a=(columns:!('Message%20ID',Summary),filters:!(),index:'emp_*',interval:auto,query:(query_string:(analyze_wildcard:!t,query:'%22rtdc.l.rtdc.4003%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768</v>
      </c>
      <c r="B81" s="7">
        <v>4016</v>
      </c>
      <c r="C81" s="21" t="s">
        <v>192</v>
      </c>
      <c r="D81" s="21" t="s">
        <v>890</v>
      </c>
      <c r="E81" s="13">
        <v>43045.504837962966</v>
      </c>
      <c r="F81" s="13">
        <v>43045.510613425926</v>
      </c>
      <c r="G81" s="7">
        <v>254</v>
      </c>
      <c r="H81" s="21" t="s">
        <v>935</v>
      </c>
      <c r="I81" s="13">
        <v>43045.535682870373</v>
      </c>
      <c r="J81" s="7">
        <v>0</v>
      </c>
      <c r="K81" s="89" t="str">
        <f>IF(ISEVEN(B81),(B81-1)&amp;"/"&amp;B81,B81&amp;"/"&amp;(B81+1))</f>
        <v>4015/4016</v>
      </c>
      <c r="L81" s="185" t="str">
        <f>VLOOKUP(A81,'Trips&amp;Operators'!$C$1:$G$99911,5,FALSE)</f>
        <v>SAFIEF AEIMEN</v>
      </c>
      <c r="M81" s="6">
        <f>I81-F81</f>
        <v>2.5069444447581191E-2</v>
      </c>
      <c r="N81" s="7">
        <f>24*60*SUM($M81:$M81)</f>
        <v>36.100000004516914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-06T11:06:58-0700',mode:absolute,to:'2017-11-06T13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4.6199999999999998E-2</v>
      </c>
      <c r="Z81" s="204">
        <f>RIGHT(H81,LEN(H81)-4)/10000</f>
        <v>23.321300000000001</v>
      </c>
      <c r="AA81" s="204">
        <f>ABS(Z81-Y81)</f>
        <v>23.275100000000002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/stypes="app*4016*20171106*"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1"/>
        <v>"%USERPROFILE%\Documents\GitHub\eaglep3\Utilities\RefineRTDCRunTimes.py" --tripid 169-06 --locoid 4016 --swversion DE.1.0.9.0 --startMP 204:462 --initTime 2017-11-06T12:06:58 --startdatetime 2017-11-06T12:15:17 --delay 254 --endMP 204:233213 --enddatetime 2017-11-06T12:51:23 --enforcementcount 0 &gt;&gt;%USERPROFILE%\Documents\GitHub\eaglep3-reporting\EC\2017-11-06-refined-times.txt</v>
      </c>
      <c r="AI8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{"issue":{"subject":"","project_id":79,"tracker_id":40,"status_id":1,"priority_id":2,"assigned_to_id":338,"start_date":"2017-11-06","description":"","custom_fields":[{"id":1,"name":"Subdivision","value":"EC"},{"id":4,"name":"Milepost","value":"23.3213"},{"id":17,"name":"Train ID","value":"169-06"},{"id":16,"name":"Locomotive ID","value":"4016"},{"id":130,"name":"Impact","value":""},{"id":150,"name":"Time of Event (Mountain Time)","value":"12:51:23"},{"id":151,"name":"Denver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3"/>
        <v>start /low /b %USERPROFILE%\Documents\GitHub\eaglep3\Utilities\DownloadLogsFromS3.py --loco 4016 --day 2017-11-06</v>
      </c>
      <c r="AN81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5"/>
        <v>https://d0f6bd738d7f1b3e5a7ca70fe4ff75f0.us-east-1.aws.found.io/app/kibana#/discover/Steve-Slow-Train-Analysis-(2080s-and-2083s)?_g=(refreshInterval:(display:Off,pause:!f,section:0,value:0),time:(from:'2017-11-06T11:06:58-0700',mode:absolute,to:'2017-11-06T13:51:23-0700'))&amp;_a=(columns:!('Message%20ID',Summary),filters:!(),index:'emp_*',interval:auto,query:(query_string:(analyze_wildcard:!t,query:'%22rtdc.l.rtdc.4016%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774</v>
      </c>
      <c r="B82" s="7">
        <v>4015</v>
      </c>
      <c r="C82" s="21" t="s">
        <v>192</v>
      </c>
      <c r="D82" s="21" t="s">
        <v>491</v>
      </c>
      <c r="E82" s="13">
        <v>43045.538217592592</v>
      </c>
      <c r="F82" s="13">
        <v>43045.550219907411</v>
      </c>
      <c r="G82" s="7">
        <v>105</v>
      </c>
      <c r="H82" s="21" t="s">
        <v>494</v>
      </c>
      <c r="I82" s="13">
        <v>43045.576516203706</v>
      </c>
      <c r="J82" s="7">
        <v>0</v>
      </c>
      <c r="K82" s="89" t="str">
        <f>IF(ISEVEN(B82),(B82-1)&amp;"/"&amp;B82,B82&amp;"/"&amp;(B82+1))</f>
        <v>4015/4016</v>
      </c>
      <c r="L82" s="185" t="str">
        <f>VLOOKUP(A82,'Trips&amp;Operators'!$C$1:$G$99911,5,FALSE)</f>
        <v>SAFIEF AEIMEN</v>
      </c>
      <c r="M82" s="6">
        <f>I82-F82</f>
        <v>2.6296296295186039E-2</v>
      </c>
      <c r="N82" s="7">
        <f>24*60*SUM($M82:$M82)</f>
        <v>37.866666665067896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-06T11:55:02-0700',mode:absolute,to:'2017-11-06T14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23.2898</v>
      </c>
      <c r="Z82" s="204">
        <f>RIGHT(H82,LEN(H82)-4)/10000</f>
        <v>2.1399999999999999E-2</v>
      </c>
      <c r="AA82" s="204">
        <f>ABS(Z82-Y82)</f>
        <v>23.2684</v>
      </c>
      <c r="AB82" s="54" t="e">
        <f>VLOOKUP(A82,Enforcements!$C$7:$K$10,8,0)</f>
        <v>#N/A</v>
      </c>
      <c r="AC82" s="51" t="e">
        <f>VLOOKUP(A82,Enforcements!$C$7:$E$10,3,0)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/stypes="app*4015*20171106*" /stext=" 20:.+((SYSTEM_STATE.+slice.+state.+changed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1"/>
        <v>"%USERPROFILE%\Documents\GitHub\eaglep3\Utilities\RefineRTDCRunTimes.py" --tripid 170-06 --locoid 4015 --swversion DE.1.0.9.0 --startMP 204:232898 --initTime 2017-11-06T12:55:02 --startdatetime 2017-11-06T13:12:19 --delay 105 --endMP 204:214 --enddatetime 2017-11-06T13:50:11 --enforcementcount 0 &gt;&gt;%USERPROFILE%\Documents\GitHub\eaglep3-reporting\EC\2017-11-06-refined-times.txt</v>
      </c>
      <c r="AI82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{"issue":{"subject":"","project_id":79,"tracker_id":40,"status_id":1,"priority_id":2,"assigned_to_id":338,"start_date":"2017-11-06","description":"","custom_fields":[{"id":1,"name":"Subdivision","value":"EC"},{"id":4,"name":"Milepost","value":"0.0214"},{"id":17,"name":"Train ID","value":"170-06"},{"id":16,"name":"Locomotive ID","value":"4015"},{"id":130,"name":"Impact","value":""},{"id":150,"name":"Time of Event (Mountain Time)","value":"13:50:11"},{"id":151,"name":"Denver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3"/>
        <v>start /low /b %USERPROFILE%\Documents\GitHub\eaglep3\Utilities\DownloadLogsFromS3.py --loco 4015 --day 2017-11-06</v>
      </c>
      <c r="AN82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5"/>
        <v>https://d0f6bd738d7f1b3e5a7ca70fe4ff75f0.us-east-1.aws.found.io/app/kibana#/discover/Steve-Slow-Train-Analysis-(2080s-and-2083s)?_g=(refreshInterval:(display:Off,pause:!f,section:0,value:0),time:(from:'2017-11-06T11:55:02-0700',mode:absolute,to:'2017-11-06T14:50:11-0700'))&amp;_a=(columns:!('Message%20ID',Summary),filters:!(),index:'emp_*',interval:auto,query:(query_string:(analyze_wildcard:!t,query:'%22rtdc.l.rtdc.4015%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770</v>
      </c>
      <c r="B83" s="7">
        <v>4052</v>
      </c>
      <c r="C83" s="21" t="s">
        <v>192</v>
      </c>
      <c r="D83" s="21" t="s">
        <v>936</v>
      </c>
      <c r="E83" s="13">
        <v>43045.516712962963</v>
      </c>
      <c r="F83" s="13">
        <v>43045.520995370367</v>
      </c>
      <c r="G83" s="7">
        <v>68</v>
      </c>
      <c r="H83" s="21" t="s">
        <v>937</v>
      </c>
      <c r="I83" s="13">
        <v>43045.546099537038</v>
      </c>
      <c r="J83" s="7">
        <v>0</v>
      </c>
      <c r="K83" s="89" t="str">
        <f>IF(ISEVEN(B83),(B83-1)&amp;"/"&amp;B83,B83&amp;"/"&amp;(B83+1))</f>
        <v>4051/4052</v>
      </c>
      <c r="L83" s="185" t="str">
        <f>VLOOKUP(A83,'Trips&amp;Operators'!$C$1:$G$99911,5,FALSE)</f>
        <v>BADERTSCHER DIANE</v>
      </c>
      <c r="M83" s="6">
        <f>I83-F83</f>
        <v>2.510416667064419E-2</v>
      </c>
      <c r="N83" s="7">
        <f>24*60*SUM($M83:$M83)</f>
        <v>36.150000005727634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-06T11:24:04-0700',mode:absolute,to:'2017-11-06T14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4.9099999999999998E-2</v>
      </c>
      <c r="Z83" s="204">
        <f>RIGHT(H83,LEN(H83)-4)/10000</f>
        <v>23.324400000000001</v>
      </c>
      <c r="AA83" s="204">
        <f>ABS(Z83-Y83)</f>
        <v>23.275300000000001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/stypes="app*4052*20171106*" /stext=" 20:.+((SYSTEM_STATE.+slice.+state.+changed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1"/>
        <v>"%USERPROFILE%\Documents\GitHub\eaglep3\Utilities\RefineRTDCRunTimes.py" --tripid 171-06 --locoid 4052 --swversion DE.1.0.9.0 --startMP 204:491 --initTime 2017-11-06T12:24:04 --startdatetime 2017-11-06T12:30:14 --delay 68 --endMP 204:233244 --enddatetime 2017-11-06T13:06:23 --enforcementcount 0 &gt;&gt;%USERPROFILE%\Documents\GitHub\eaglep3-reporting\EC\2017-11-06-refined-times.txt</v>
      </c>
      <c r="AI8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{"issue":{"subject":"","project_id":79,"tracker_id":40,"status_id":1,"priority_id":2,"assigned_to_id":338,"start_date":"2017-11-06","description":"","custom_fields":[{"id":1,"name":"Subdivision","value":"EC"},{"id":4,"name":"Milepost","value":"23.3244"},{"id":17,"name":"Train ID","value":"171-06"},{"id":16,"name":"Locomotive ID","value":"4052"},{"id":130,"name":"Impact","value":""},{"id":150,"name":"Time of Event (Mountain Time)","value":"13:06:23"},{"id":151,"name":"Denver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3"/>
        <v>start /low /b %USERPROFILE%\Documents\GitHub\eaglep3\Utilities\DownloadLogsFromS3.py --loco 4052 --day 2017-11-06</v>
      </c>
      <c r="AN83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5"/>
        <v>https://d0f6bd738d7f1b3e5a7ca70fe4ff75f0.us-east-1.aws.found.io/app/kibana#/discover/Steve-Slow-Train-Analysis-(2080s-and-2083s)?_g=(refreshInterval:(display:Off,pause:!f,section:0,value:0),time:(from:'2017-11-06T11:24:04-0700',mode:absolute,to:'2017-11-06T14:06:23-0700'))&amp;_a=(columns:!('Message%20ID',Summary),filters:!(),index:'emp_*',interval:auto,query:(query_string:(analyze_wildcard:!t,query:'%22rtdc.l.rtdc.4052%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655</v>
      </c>
      <c r="B84" s="7">
        <v>4051</v>
      </c>
      <c r="C84" s="21" t="s">
        <v>192</v>
      </c>
      <c r="D84" s="21" t="s">
        <v>938</v>
      </c>
      <c r="E84" s="13">
        <v>43045.55332175926</v>
      </c>
      <c r="F84" s="13">
        <v>43045.560578703706</v>
      </c>
      <c r="G84" s="7">
        <v>137</v>
      </c>
      <c r="H84" s="21" t="s">
        <v>612</v>
      </c>
      <c r="I84" s="13">
        <v>43045.589282407411</v>
      </c>
      <c r="J84" s="7">
        <v>0</v>
      </c>
      <c r="K84" s="89" t="str">
        <f>IF(ISEVEN(B84),(B84-1)&amp;"/"&amp;B84,B84&amp;"/"&amp;(B84+1))</f>
        <v>4051/4052</v>
      </c>
      <c r="L84" s="185" t="str">
        <f>VLOOKUP(A84,'Trips&amp;Operators'!$C$1:$G$99911,5,FALSE)</f>
        <v>BADERTSCHER DIANE</v>
      </c>
      <c r="M84" s="6">
        <f>I84-F84</f>
        <v>2.8703703705104999E-2</v>
      </c>
      <c r="N84" s="7">
        <f>24*60*SUM($M84:$M84)</f>
        <v>41.333333335351199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-06T12:16:47-0700',mode:absolute,to:'2017-11-06T15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23.291699999999999</v>
      </c>
      <c r="Z84" s="204">
        <f>RIGHT(H84,LEN(H84)-4)/10000</f>
        <v>2.18E-2</v>
      </c>
      <c r="AA84" s="204">
        <f>ABS(Z84-Y84)</f>
        <v>23.2699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/stypes="app*4051*20171106*" /stext=" 21:.+((SYSTEM_STATE.+slice.+state.+changed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1"/>
        <v>"%USERPROFILE%\Documents\GitHub\eaglep3\Utilities\RefineRTDCRunTimes.py" --tripid 172-06 --locoid 4051 --swversion DE.1.0.9.0 --startMP 204:232917 --initTime 2017-11-06T13:16:47 --startdatetime 2017-11-06T13:27:14 --delay 137 --endMP 204:218 --enddatetime 2017-11-06T14:08:34 --enforcementcount 0 &gt;&gt;%USERPROFILE%\Documents\GitHub\eaglep3-reporting\EC\2017-11-06-refined-times.txt</v>
      </c>
      <c r="AI8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{"issue":{"subject":"","project_id":79,"tracker_id":40,"status_id":1,"priority_id":2,"assigned_to_id":338,"start_date":"2017-11-06","description":"","custom_fields":[{"id":1,"name":"Subdivision","value":"EC"},{"id":4,"name":"Milepost","value":"0.0218"},{"id":17,"name":"Train ID","value":"172-06"},{"id":16,"name":"Locomotive ID","value":"4051"},{"id":130,"name":"Impact","value":""},{"id":150,"name":"Time of Event (Mountain Time)","value":"14:08:34"},{"id":151,"name":"Denver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3"/>
        <v>start /low /b %USERPROFILE%\Documents\GitHub\eaglep3\Utilities\DownloadLogsFromS3.py --loco 4051 --day 2017-11-06</v>
      </c>
      <c r="AN84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5"/>
        <v>https://d0f6bd738d7f1b3e5a7ca70fe4ff75f0.us-east-1.aws.found.io/app/kibana#/discover/Steve-Slow-Train-Analysis-(2080s-and-2083s)?_g=(refreshInterval:(display:Off,pause:!f,section:0,value:0),time:(from:'2017-11-06T12:16:47-0700',mode:absolute,to:'2017-11-06T15:08:34-0700'))&amp;_a=(columns:!('Message%20ID',Summary),filters:!(),index:'emp_*',interval:auto,query:(query_string:(analyze_wildcard:!t,query:'%22rtdc.l.rtdc.4051%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773</v>
      </c>
      <c r="B85" s="7">
        <v>4012</v>
      </c>
      <c r="C85" s="21" t="s">
        <v>192</v>
      </c>
      <c r="D85" s="21" t="s">
        <v>939</v>
      </c>
      <c r="E85" s="13">
        <v>43045.526932870373</v>
      </c>
      <c r="F85" s="13">
        <v>43045.531550925924</v>
      </c>
      <c r="G85" s="7">
        <v>88</v>
      </c>
      <c r="H85" s="21" t="s">
        <v>595</v>
      </c>
      <c r="I85" s="13">
        <v>43045.556539351855</v>
      </c>
      <c r="J85" s="7">
        <v>0</v>
      </c>
      <c r="K85" s="89" t="str">
        <f>IF(ISEVEN(B85),(B85-1)&amp;"/"&amp;B85,B85&amp;"/"&amp;(B85+1))</f>
        <v>4011/4012</v>
      </c>
      <c r="L85" s="185" t="str">
        <f>VLOOKUP(A85,'Trips&amp;Operators'!$C$1:$G$99911,5,FALSE)</f>
        <v>SMITH MICHAEL</v>
      </c>
      <c r="M85" s="6">
        <f>I85-F85</f>
        <v>2.4988425931951497E-2</v>
      </c>
      <c r="N85" s="7">
        <f>24*60*SUM($M85:$M85)</f>
        <v>35.983333342010155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-06T11:38:47-0700',mode:absolute,to:'2017-11-06T14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4.8899999999999999E-2</v>
      </c>
      <c r="Z85" s="204">
        <f>RIGHT(H85,LEN(H85)-4)/10000</f>
        <v>23.328600000000002</v>
      </c>
      <c r="AA85" s="204">
        <f>ABS(Z85-Y85)</f>
        <v>23.279700000000002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/stypes="app*4012*20171106*"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1"/>
        <v>"%USERPROFILE%\Documents\GitHub\eaglep3\Utilities\RefineRTDCRunTimes.py" --tripid 173-06 --locoid 4012 --swversion DE.1.0.9.0 --startMP 204:489 --initTime 2017-11-06T12:38:47 --startdatetime 2017-11-06T12:45:26 --delay 88 --endMP 204:233286 --enddatetime 2017-11-06T13:21:25 --enforcementcount 0 &gt;&gt;%USERPROFILE%\Documents\GitHub\eaglep3-reporting\EC\2017-11-06-refined-times.txt</v>
      </c>
      <c r="AI8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{"issue":{"subject":"","project_id":79,"tracker_id":40,"status_id":1,"priority_id":2,"assigned_to_id":338,"start_date":"2017-11-06","description":"","custom_fields":[{"id":1,"name":"Subdivision","value":"EC"},{"id":4,"name":"Milepost","value":"23.3286"},{"id":17,"name":"Train ID","value":"173-06"},{"id":16,"name":"Locomotive ID","value":"4012"},{"id":130,"name":"Impact","value":""},{"id":150,"name":"Time of Event (Mountain Time)","value":"13:21:25"},{"id":151,"name":"Denver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3"/>
        <v>start /low /b %USERPROFILE%\Documents\GitHub\eaglep3\Utilities\DownloadLogsFromS3.py --loco 4012 --day 2017-11-06</v>
      </c>
      <c r="AN85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5"/>
        <v>https://d0f6bd738d7f1b3e5a7ca70fe4ff75f0.us-east-1.aws.found.io/app/kibana#/discover/Steve-Slow-Train-Analysis-(2080s-and-2083s)?_g=(refreshInterval:(display:Off,pause:!f,section:0,value:0),time:(from:'2017-11-06T11:38:47-0700',mode:absolute,to:'2017-11-06T14:21:25-0700'))&amp;_a=(columns:!('Message%20ID',Summary),filters:!(),index:'emp_*',interval:auto,query:(query_string:(analyze_wildcard:!t,query:'%22rtdc.l.rtdc.4012%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778</v>
      </c>
      <c r="B86" s="7">
        <v>4011</v>
      </c>
      <c r="C86" s="21" t="s">
        <v>192</v>
      </c>
      <c r="D86" s="21" t="s">
        <v>495</v>
      </c>
      <c r="E86" s="13">
        <v>43045.562465277777</v>
      </c>
      <c r="F86" s="13">
        <v>43045.571087962962</v>
      </c>
      <c r="G86" s="7">
        <v>91</v>
      </c>
      <c r="H86" s="21" t="s">
        <v>531</v>
      </c>
      <c r="I86" s="13">
        <v>43045.597256944442</v>
      </c>
      <c r="J86" s="7">
        <v>0</v>
      </c>
      <c r="K86" s="89" t="str">
        <f>IF(ISEVEN(B86),(B86-1)&amp;"/"&amp;B86,B86&amp;"/"&amp;(B86+1))</f>
        <v>4011/4012</v>
      </c>
      <c r="L86" s="185" t="str">
        <f>VLOOKUP(A86,'Trips&amp;Operators'!$C$1:$G$99911,5,FALSE)</f>
        <v>SMITH MICHAEL</v>
      </c>
      <c r="M86" s="6">
        <f>I86-F86</f>
        <v>2.6168981479713693E-2</v>
      </c>
      <c r="N86" s="7">
        <f>24*60*SUM($M86:$M86)</f>
        <v>37.683333330787718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-06T12:29:57-0700',mode:absolute,to:'2017-11-06T15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23.297799999999999</v>
      </c>
      <c r="Z86" s="204">
        <f>RIGHT(H86,LEN(H86)-4)/10000</f>
        <v>1.6500000000000001E-2</v>
      </c>
      <c r="AA86" s="204">
        <f>ABS(Z86-Y86)</f>
        <v>23.281299999999998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/stypes="app*4011*20171106*" /stext=" 21:.+((SYSTEM_STATE.+slice.+state.+changed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1"/>
        <v>"%USERPROFILE%\Documents\GitHub\eaglep3\Utilities\RefineRTDCRunTimes.py" --tripid 174-06 --locoid 4011 --swversion DE.1.0.9.0 --startMP 204:232978 --initTime 2017-11-06T13:29:57 --startdatetime 2017-11-06T13:42:22 --delay 91 --endMP 204:165 --enddatetime 2017-11-06T14:20:03 --enforcementcount 0 &gt;&gt;%USERPROFILE%\Documents\GitHub\eaglep3-reporting\EC\2017-11-06-refined-times.txt</v>
      </c>
      <c r="AI86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{"issue":{"subject":"","project_id":79,"tracker_id":40,"status_id":1,"priority_id":2,"assigned_to_id":338,"start_date":"2017-11-06","description":"","custom_fields":[{"id":1,"name":"Subdivision","value":"EC"},{"id":4,"name":"Milepost","value":"0.0165"},{"id":17,"name":"Train ID","value":"174-06"},{"id":16,"name":"Locomotive ID","value":"4011"},{"id":130,"name":"Impact","value":""},{"id":150,"name":"Time of Event (Mountain Time)","value":"14:20:03"},{"id":151,"name":"Denver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3"/>
        <v>start /low /b %USERPROFILE%\Documents\GitHub\eaglep3\Utilities\DownloadLogsFromS3.py --loco 4011 --day 2017-11-06</v>
      </c>
      <c r="AN86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5"/>
        <v>https://d0f6bd738d7f1b3e5a7ca70fe4ff75f0.us-east-1.aws.found.io/app/kibana#/discover/Steve-Slow-Train-Analysis-(2080s-and-2083s)?_g=(refreshInterval:(display:Off,pause:!f,section:0,value:0),time:(from:'2017-11-06T12:29:57-0700',mode:absolute,to:'2017-11-06T15:20:03-0700'))&amp;_a=(columns:!('Message%20ID',Summary),filters:!(),index:'emp_*',interval:auto,query:(query_string:(analyze_wildcard:!t,query:'%22rtdc.l.rtdc.4011%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775</v>
      </c>
      <c r="B87" s="7">
        <v>4050</v>
      </c>
      <c r="C87" s="21" t="s">
        <v>192</v>
      </c>
      <c r="D87" s="21" t="s">
        <v>616</v>
      </c>
      <c r="E87" s="13">
        <v>43045.539872685185</v>
      </c>
      <c r="F87" s="13">
        <v>43045.542326388888</v>
      </c>
      <c r="G87" s="7">
        <v>67</v>
      </c>
      <c r="H87" s="21" t="s">
        <v>940</v>
      </c>
      <c r="I87" s="13">
        <v>43045.568622685183</v>
      </c>
      <c r="J87" s="7">
        <v>0</v>
      </c>
      <c r="K87" s="89" t="str">
        <f>IF(ISEVEN(B87),(B87-1)&amp;"/"&amp;B87,B87&amp;"/"&amp;(B87+1))</f>
        <v>4049/4050</v>
      </c>
      <c r="L87" s="185" t="str">
        <f>VLOOKUP(A87,'Trips&amp;Operators'!$C$1:$G$99911,5,FALSE)</f>
        <v>DAVIS MICHAEL</v>
      </c>
      <c r="M87" s="6">
        <f>I87-F87</f>
        <v>2.6296296295186039E-2</v>
      </c>
      <c r="N87" s="7">
        <f>24*60*SUM($M87:$M87)</f>
        <v>37.866666665067896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-06T11:57:25-0700',mode:absolute,to:'2017-11-06T14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5.1900000000000002E-2</v>
      </c>
      <c r="Z87" s="204">
        <f>RIGHT(H87,LEN(H87)-4)/10000</f>
        <v>23.332100000000001</v>
      </c>
      <c r="AA87" s="204">
        <f>ABS(Z87-Y87)</f>
        <v>23.280200000000001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/stypes="app*4050*20171106*"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1"/>
        <v>"%USERPROFILE%\Documents\GitHub\eaglep3\Utilities\RefineRTDCRunTimes.py" --tripid 175-06 --locoid 4050 --swversion DE.1.0.9.0 --startMP 204:519 --initTime 2017-11-06T12:57:25 --startdatetime 2017-11-06T13:00:57 --delay 67 --endMP 204:233321 --enddatetime 2017-11-06T13:38:49 --enforcementcount 0 &gt;&gt;%USERPROFILE%\Documents\GitHub\eaglep3-reporting\EC\2017-11-06-refined-times.txt</v>
      </c>
      <c r="AI8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{"issue":{"subject":"","project_id":79,"tracker_id":40,"status_id":1,"priority_id":2,"assigned_to_id":338,"start_date":"2017-11-06","description":"","custom_fields":[{"id":1,"name":"Subdivision","value":"EC"},{"id":4,"name":"Milepost","value":"23.3321"},{"id":17,"name":"Train ID","value":"175-06"},{"id":16,"name":"Locomotive ID","value":"4050"},{"id":130,"name":"Impact","value":""},{"id":150,"name":"Time of Event (Mountain Time)","value":"13:38:49"},{"id":151,"name":"Denver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3"/>
        <v>start /low /b %USERPROFILE%\Documents\GitHub\eaglep3\Utilities\DownloadLogsFromS3.py --loco 4050 --day 2017-11-06</v>
      </c>
      <c r="AN87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5"/>
        <v>https://d0f6bd738d7f1b3e5a7ca70fe4ff75f0.us-east-1.aws.found.io/app/kibana#/discover/Steve-Slow-Train-Analysis-(2080s-and-2083s)?_g=(refreshInterval:(display:Off,pause:!f,section:0,value:0),time:(from:'2017-11-06T11:57:25-0700',mode:absolute,to:'2017-11-06T14:38:49-0700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780</v>
      </c>
      <c r="B88" s="7">
        <v>4049</v>
      </c>
      <c r="C88" s="21" t="s">
        <v>192</v>
      </c>
      <c r="D88" s="21" t="s">
        <v>489</v>
      </c>
      <c r="E88" s="13">
        <v>43045.578483796293</v>
      </c>
      <c r="F88" s="13">
        <v>43045.581967592596</v>
      </c>
      <c r="G88" s="7">
        <v>72</v>
      </c>
      <c r="H88" s="21" t="s">
        <v>492</v>
      </c>
      <c r="I88" s="13">
        <v>43045.609525462962</v>
      </c>
      <c r="J88" s="7">
        <v>0</v>
      </c>
      <c r="K88" s="89" t="str">
        <f>IF(ISEVEN(B88),(B88-1)&amp;"/"&amp;B88,B88&amp;"/"&amp;(B88+1))</f>
        <v>4049/4050</v>
      </c>
      <c r="L88" s="185" t="str">
        <f>VLOOKUP(A88,'Trips&amp;Operators'!$C$1:$G$99911,5,FALSE)</f>
        <v>DAVIS MICHAEL</v>
      </c>
      <c r="M88" s="6">
        <f>I88-F88</f>
        <v>2.7557870365853887E-2</v>
      </c>
      <c r="N88" s="7">
        <f>24*60*SUM($M88:$M88)</f>
        <v>39.683333326829597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-06T12:53:01-0700',mode:absolute,to:'2017-11-06T15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23.298300000000001</v>
      </c>
      <c r="Z88" s="204">
        <f>RIGHT(H88,LEN(H88)-4)/10000</f>
        <v>2.2100000000000002E-2</v>
      </c>
      <c r="AA88" s="204">
        <f>ABS(Z88-Y88)</f>
        <v>23.276200000000003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/stypes="app*4049*20171106*" /stext=" 21:.+((SYSTEM_STATE.+slice.+state.+changed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1"/>
        <v>"%USERPROFILE%\Documents\GitHub\eaglep3\Utilities\RefineRTDCRunTimes.py" --tripid 176-06 --locoid 4049 --swversion DE.1.0.9.0 --startMP 204:232983 --initTime 2017-11-06T13:53:01 --startdatetime 2017-11-06T13:58:02 --delay 72 --endMP 204:221 --enddatetime 2017-11-06T14:37:43 --enforcementcount 0 &gt;&gt;%USERPROFILE%\Documents\GitHub\eaglep3-reporting\EC\2017-11-06-refined-times.txt</v>
      </c>
      <c r="AI8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{"issue":{"subject":"","project_id":79,"tracker_id":40,"status_id":1,"priority_id":2,"assigned_to_id":338,"start_date":"2017-11-06","description":"","custom_fields":[{"id":1,"name":"Subdivision","value":"EC"},{"id":4,"name":"Milepost","value":"0.0221"},{"id":17,"name":"Train ID","value":"176-06"},{"id":16,"name":"Locomotive ID","value":"4049"},{"id":130,"name":"Impact","value":""},{"id":150,"name":"Time of Event (Mountain Time)","value":"14:37:43"},{"id":151,"name":"Denver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3"/>
        <v>start /low /b %USERPROFILE%\Documents\GitHub\eaglep3\Utilities\DownloadLogsFromS3.py --loco 4049 --day 2017-11-06</v>
      </c>
      <c r="AN88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5"/>
        <v>https://d0f6bd738d7f1b3e5a7ca70fe4ff75f0.us-east-1.aws.found.io/app/kibana#/discover/Steve-Slow-Train-Analysis-(2080s-and-2083s)?_g=(refreshInterval:(display:Off,pause:!f,section:0,value:0),time:(from:'2017-11-06T12:53:01-0700',mode:absolute,to:'2017-11-06T15:37:43-0700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776</v>
      </c>
      <c r="B89" s="7">
        <v>4010</v>
      </c>
      <c r="C89" s="21" t="s">
        <v>192</v>
      </c>
      <c r="D89" s="21" t="s">
        <v>941</v>
      </c>
      <c r="E89" s="13">
        <v>43045.549027777779</v>
      </c>
      <c r="F89" s="13">
        <v>43045.552754629629</v>
      </c>
      <c r="G89" s="7">
        <v>56</v>
      </c>
      <c r="H89" s="21" t="s">
        <v>895</v>
      </c>
      <c r="I89" s="13">
        <v>43045.578425925924</v>
      </c>
      <c r="J89" s="7">
        <v>0</v>
      </c>
      <c r="K89" s="89" t="str">
        <f>IF(ISEVEN(B89),(B89-1)&amp;"/"&amp;B89,B89&amp;"/"&amp;(B89+1))</f>
        <v>4009/4010</v>
      </c>
      <c r="L89" s="185" t="str">
        <f>VLOOKUP(A89,'Trips&amp;Operators'!$C$1:$G$99911,5,FALSE)</f>
        <v>STEWART MICHAEL</v>
      </c>
      <c r="M89" s="6">
        <f>I89-F89</f>
        <v>2.5671296294603962E-2</v>
      </c>
      <c r="N89" s="7">
        <f>24*60*SUM($M89:$M89)</f>
        <v>36.966666664229706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-06T12:10:36-0700',mode:absolute,to:'2017-11-06T14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5.2200000000000003E-2</v>
      </c>
      <c r="Z89" s="204">
        <f>RIGHT(H89,LEN(H89)-4)/10000</f>
        <v>23.327400000000001</v>
      </c>
      <c r="AA89" s="204">
        <f>ABS(Z89-Y89)</f>
        <v>23.275200000000002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/stypes="app*4010*20171106*"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1"/>
        <v>"%USERPROFILE%\Documents\GitHub\eaglep3\Utilities\RefineRTDCRunTimes.py" --tripid 177-06 --locoid 4010 --swversion DE.1.0.9.0 --startMP 204:522 --initTime 2017-11-06T13:10:36 --startdatetime 2017-11-06T13:15:58 --delay 56 --endMP 204:233274 --enddatetime 2017-11-06T13:52:56 --enforcementcount 0 &gt;&gt;%USERPROFILE%\Documents\GitHub\eaglep3-reporting\EC\2017-11-06-refined-times.txt</v>
      </c>
      <c r="AI8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{"issue":{"subject":"","project_id":79,"tracker_id":40,"status_id":1,"priority_id":2,"assigned_to_id":338,"start_date":"2017-11-06","description":"","custom_fields":[{"id":1,"name":"Subdivision","value":"EC"},{"id":4,"name":"Milepost","value":"23.3274"},{"id":17,"name":"Train ID","value":"177-06"},{"id":16,"name":"Locomotive ID","value":"4010"},{"id":130,"name":"Impact","value":""},{"id":150,"name":"Time of Event (Mountain Time)","value":"13:52:56"},{"id":151,"name":"Denver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3"/>
        <v>start /low /b %USERPROFILE%\Documents\GitHub\eaglep3\Utilities\DownloadLogsFromS3.py --loco 4010 --day 2017-11-06</v>
      </c>
      <c r="AN89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5"/>
        <v>https://d0f6bd738d7f1b3e5a7ca70fe4ff75f0.us-east-1.aws.found.io/app/kibana#/discover/Steve-Slow-Train-Analysis-(2080s-and-2083s)?_g=(refreshInterval:(display:Off,pause:!f,section:0,value:0),time:(from:'2017-11-06T12:10:36-0700',mode:absolute,to:'2017-11-06T14:52:56-0700'))&amp;_a=(columns:!('Message%20ID',Summary),filters:!(),index:'emp_*',interval:auto,query:(query_string:(analyze_wildcard:!t,query:'%22rtdc.l.rtdc.4010%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783</v>
      </c>
      <c r="B90" s="7">
        <v>4009</v>
      </c>
      <c r="C90" s="21" t="s">
        <v>192</v>
      </c>
      <c r="D90" s="21" t="s">
        <v>910</v>
      </c>
      <c r="E90" s="13">
        <v>43045.588194444441</v>
      </c>
      <c r="F90" s="13">
        <v>43045.592060185183</v>
      </c>
      <c r="G90" s="7">
        <v>61</v>
      </c>
      <c r="H90" s="21" t="s">
        <v>587</v>
      </c>
      <c r="I90" s="13">
        <v>43045.61859953704</v>
      </c>
      <c r="J90" s="7">
        <v>0</v>
      </c>
      <c r="K90" s="89" t="str">
        <f>IF(ISEVEN(B90),(B90-1)&amp;"/"&amp;B90,B90&amp;"/"&amp;(B90+1))</f>
        <v>4009/4010</v>
      </c>
      <c r="L90" s="185" t="str">
        <f>VLOOKUP(A90,'Trips&amp;Operators'!$C$1:$G$99911,5,FALSE)</f>
        <v>STEWART MICHAEL</v>
      </c>
      <c r="M90" s="6">
        <f>I90-F90</f>
        <v>2.6539351856627036E-2</v>
      </c>
      <c r="N90" s="7">
        <f>24*60*SUM($M90:$M90)</f>
        <v>38.216666673542932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-06T13:07:00-0700',mode:absolute,to:'2017-11-06T15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23.2959</v>
      </c>
      <c r="Z90" s="204">
        <f>RIGHT(H90,LEN(H90)-4)/10000</f>
        <v>2.4299999999999999E-2</v>
      </c>
      <c r="AA90" s="204">
        <f>ABS(Z90-Y90)</f>
        <v>23.271599999999999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/stypes="app*4009*20171106*" /stext=" 21:.+((SYSTEM_STATE.+slice.+state.+changed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1"/>
        <v>"%USERPROFILE%\Documents\GitHub\eaglep3\Utilities\RefineRTDCRunTimes.py" --tripid 178-06 --locoid 4009 --swversion DE.1.0.9.0 --startMP 204:232959 --initTime 2017-11-06T14:07:00 --startdatetime 2017-11-06T14:12:34 --delay 61 --endMP 204:243 --enddatetime 2017-11-06T14:50:47 --enforcementcount 0 &gt;&gt;%USERPROFILE%\Documents\GitHub\eaglep3-reporting\EC\2017-11-06-refined-times.txt</v>
      </c>
      <c r="AI9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{"issue":{"subject":"","project_id":79,"tracker_id":40,"status_id":1,"priority_id":2,"assigned_to_id":338,"start_date":"2017-11-06","description":"","custom_fields":[{"id":1,"name":"Subdivision","value":"EC"},{"id":4,"name":"Milepost","value":"0.0243"},{"id":17,"name":"Train ID","value":"178-06"},{"id":16,"name":"Locomotive ID","value":"4009"},{"id":130,"name":"Impact","value":""},{"id":150,"name":"Time of Event (Mountain Time)","value":"14:50:47"},{"id":151,"name":"Denver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3"/>
        <v>start /low /b %USERPROFILE%\Documents\GitHub\eaglep3\Utilities\DownloadLogsFromS3.py --loco 4009 --day 2017-11-06</v>
      </c>
      <c r="AN90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5"/>
        <v>https://d0f6bd738d7f1b3e5a7ca70fe4ff75f0.us-east-1.aws.found.io/app/kibana#/discover/Steve-Slow-Train-Analysis-(2080s-and-2083s)?_g=(refreshInterval:(display:Off,pause:!f,section:0,value:0),time:(from:'2017-11-06T13:07:00-0700',mode:absolute,to:'2017-11-06T15:50:47-0700'))&amp;_a=(columns:!('Message%20ID',Summary),filters:!(),index:'emp_*',interval:auto,query:(query_string:(analyze_wildcard:!t,query:'%22rtdc.l.rtdc.4009%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777</v>
      </c>
      <c r="B91" s="7">
        <v>4036</v>
      </c>
      <c r="C91" s="21" t="s">
        <v>192</v>
      </c>
      <c r="D91" s="21" t="s">
        <v>551</v>
      </c>
      <c r="E91" s="13">
        <v>43045.558738425927</v>
      </c>
      <c r="F91" s="13">
        <v>43045.562696759262</v>
      </c>
      <c r="G91" s="7">
        <v>82</v>
      </c>
      <c r="H91" s="21" t="s">
        <v>942</v>
      </c>
      <c r="I91" s="13">
        <v>43045.587916666664</v>
      </c>
      <c r="J91" s="7">
        <v>0</v>
      </c>
      <c r="K91" s="89" t="str">
        <f>IF(ISEVEN(B91),(B91-1)&amp;"/"&amp;B91,B91&amp;"/"&amp;(B91+1))</f>
        <v>4035/4036</v>
      </c>
      <c r="L91" s="185" t="str">
        <f>VLOOKUP(A91,'Trips&amp;Operators'!$C$1:$G$99911,5,FALSE)</f>
        <v>ANDREA WILLIAMS</v>
      </c>
      <c r="M91" s="6">
        <f>I91-F91</f>
        <v>2.5219907402060926E-2</v>
      </c>
      <c r="N91" s="7">
        <f>24*60*SUM($M91:$M91)</f>
        <v>36.316666658967733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-06T12:24:35-0700',mode:absolute,to:'2017-11-06T15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5.6599999999999998E-2</v>
      </c>
      <c r="Z91" s="204">
        <f>RIGHT(H91,LEN(H91)-4)/10000</f>
        <v>23.322099999999999</v>
      </c>
      <c r="AA91" s="204">
        <f>ABS(Z91-Y91)</f>
        <v>23.265499999999999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/stypes="app*4036*20171106*" /stext=" 21:.+((SYSTEM_STATE.+slice.+state.+changed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1"/>
        <v>"%USERPROFILE%\Documents\GitHub\eaglep3\Utilities\RefineRTDCRunTimes.py" --tripid 179-06 --locoid 4036 --swversion DE.1.0.9.0 --startMP 204:566 --initTime 2017-11-06T13:24:35 --startdatetime 2017-11-06T13:30:17 --delay 82 --endMP 204:233221 --enddatetime 2017-11-06T14:06:36 --enforcementcount 0 &gt;&gt;%USERPROFILE%\Documents\GitHub\eaglep3-reporting\EC\2017-11-06-refined-times.txt</v>
      </c>
      <c r="AI9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{"issue":{"subject":"","project_id":79,"tracker_id":40,"status_id":1,"priority_id":2,"assigned_to_id":338,"start_date":"2017-11-06","description":"","custom_fields":[{"id":1,"name":"Subdivision","value":"EC"},{"id":4,"name":"Milepost","value":"23.3221"},{"id":17,"name":"Train ID","value":"179-06"},{"id":16,"name":"Locomotive ID","value":"4036"},{"id":130,"name":"Impact","value":""},{"id":150,"name":"Time of Event (Mountain Time)","value":"14:06:36"},{"id":151,"name":"Denver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3"/>
        <v>start /low /b %USERPROFILE%\Documents\GitHub\eaglep3\Utilities\DownloadLogsFromS3.py --loco 4036 --day 2017-11-06</v>
      </c>
      <c r="AN91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5"/>
        <v>https://d0f6bd738d7f1b3e5a7ca70fe4ff75f0.us-east-1.aws.found.io/app/kibana#/discover/Steve-Slow-Train-Analysis-(2080s-and-2083s)?_g=(refreshInterval:(display:Off,pause:!f,section:0,value:0),time:(from:'2017-11-06T12:24:35-0700',mode:absolute,to:'2017-11-06T15:06:36-0700'))&amp;_a=(columns:!('Message%20ID',Summary),filters:!(),index:'emp_*',interval:auto,query:(query_string:(analyze_wildcard:!t,query:'%22rtdc.l.rtdc.4036%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785</v>
      </c>
      <c r="B92" s="7">
        <v>4035</v>
      </c>
      <c r="C92" s="21" t="s">
        <v>192</v>
      </c>
      <c r="D92" s="21" t="s">
        <v>543</v>
      </c>
      <c r="E92" s="13">
        <v>43045.59815972222</v>
      </c>
      <c r="F92" s="13">
        <v>43045.602314814816</v>
      </c>
      <c r="G92" s="7">
        <v>60</v>
      </c>
      <c r="H92" s="21" t="s">
        <v>929</v>
      </c>
      <c r="I92" s="13">
        <v>43045.62903935185</v>
      </c>
      <c r="J92" s="7">
        <v>0</v>
      </c>
      <c r="K92" s="89" t="str">
        <f>IF(ISEVEN(B92),(B92-1)&amp;"/"&amp;B92,B92&amp;"/"&amp;(B92+1))</f>
        <v>4035/4036</v>
      </c>
      <c r="L92" s="185" t="str">
        <f>VLOOKUP(A92,'Trips&amp;Operators'!$C$1:$G$99911,5,FALSE)</f>
        <v>ANDREA WILLIAMS</v>
      </c>
      <c r="M92" s="6">
        <f>I92-F92</f>
        <v>2.6724537034169771E-2</v>
      </c>
      <c r="N92" s="7">
        <f>24*60*SUM($M92:$M92)</f>
        <v>38.48333332920447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-06T13:21:21-0700',mode:absolute,to:'2017-11-06T16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23.289400000000001</v>
      </c>
      <c r="Z92" s="204">
        <f>RIGHT(H92,LEN(H92)-4)/10000</f>
        <v>2.8500000000000001E-2</v>
      </c>
      <c r="AA92" s="204">
        <f>ABS(Z92-Y92)</f>
        <v>23.260899999999999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/stypes="app*4035*20171106*" /stext=" 22:.+((SYSTEM_STATE.+slice.+state.+changed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1"/>
        <v>"%USERPROFILE%\Documents\GitHub\eaglep3\Utilities\RefineRTDCRunTimes.py" --tripid 180-06 --locoid 4035 --swversion DE.1.0.9.0 --startMP 204:232894 --initTime 2017-11-06T14:21:21 --startdatetime 2017-11-06T14:27:20 --delay 60 --endMP 204:285 --enddatetime 2017-11-06T15:05:49 --enforcementcount 0 &gt;&gt;%USERPROFILE%\Documents\GitHub\eaglep3-reporting\EC\2017-11-06-refined-times.txt</v>
      </c>
      <c r="AI92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{"issue":{"subject":"","project_id":79,"tracker_id":40,"status_id":1,"priority_id":2,"assigned_to_id":338,"start_date":"2017-11-06","description":"","custom_fields":[{"id":1,"name":"Subdivision","value":"EC"},{"id":4,"name":"Milepost","value":"0.0285"},{"id":17,"name":"Train ID","value":"180-06"},{"id":16,"name":"Locomotive ID","value":"4035"},{"id":130,"name":"Impact","value":""},{"id":150,"name":"Time of Event (Mountain Time)","value":"15:05:49"},{"id":151,"name":"Denver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3"/>
        <v>start /low /b %USERPROFILE%\Documents\GitHub\eaglep3\Utilities\DownloadLogsFromS3.py --loco 4035 --day 2017-11-06</v>
      </c>
      <c r="AN92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5"/>
        <v>https://d0f6bd738d7f1b3e5a7ca70fe4ff75f0.us-east-1.aws.found.io/app/kibana#/discover/Steve-Slow-Train-Analysis-(2080s-and-2083s)?_g=(refreshInterval:(display:Off,pause:!f,section:0,value:0),time:(from:'2017-11-06T13:21:21-0700',mode:absolute,to:'2017-11-06T16:05:49-0700'))&amp;_a=(columns:!('Message%20ID',Summary),filters:!(),index:'emp_*',interval:auto,query:(query_string:(analyze_wildcard:!t,query:'%22rtdc.l.rtdc.4035%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779</v>
      </c>
      <c r="B93" s="7">
        <v>4004</v>
      </c>
      <c r="C93" s="21" t="s">
        <v>192</v>
      </c>
      <c r="D93" s="21" t="s">
        <v>943</v>
      </c>
      <c r="E93" s="13">
        <v>43045.56795138889</v>
      </c>
      <c r="F93" s="13">
        <v>43045.57309027778</v>
      </c>
      <c r="G93" s="7">
        <v>52</v>
      </c>
      <c r="H93" s="21" t="s">
        <v>944</v>
      </c>
      <c r="I93" s="13">
        <v>43045.597893518519</v>
      </c>
      <c r="J93" s="7">
        <v>0</v>
      </c>
      <c r="K93" s="89" t="str">
        <f>IF(ISEVEN(B93),(B93-1)&amp;"/"&amp;B93,B93&amp;"/"&amp;(B93+1))</f>
        <v>4003/4004</v>
      </c>
      <c r="L93" s="185" t="str">
        <f>VLOOKUP(A93,'Trips&amp;Operators'!$C$1:$G$99911,5,FALSE)</f>
        <v>GUZMAN DANNY</v>
      </c>
      <c r="M93" s="6">
        <f>I93-F93</f>
        <v>2.4803240739856847E-2</v>
      </c>
      <c r="N93" s="7">
        <f>24*60*SUM($M93:$M93)</f>
        <v>35.716666665393859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-06T12:37:51-0700',mode:absolute,to:'2017-11-06T15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5.6800000000000003E-2</v>
      </c>
      <c r="Z93" s="204">
        <f>RIGHT(H93,LEN(H93)-4)/10000</f>
        <v>23.3188</v>
      </c>
      <c r="AA93" s="204">
        <f>ABS(Z93-Y93)</f>
        <v>23.262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/stypes="app*4004*20171106*"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1"/>
        <v>"%USERPROFILE%\Documents\GitHub\eaglep3\Utilities\RefineRTDCRunTimes.py" --tripid 181-06 --locoid 4004 --swversion DE.1.0.9.0 --startMP 204:568 --initTime 2017-11-06T13:37:51 --startdatetime 2017-11-06T13:45:15 --delay 52 --endMP 204:233188 --enddatetime 2017-11-06T14:20:58 --enforcementcount 0 &gt;&gt;%USERPROFILE%\Documents\GitHub\eaglep3-reporting\EC\2017-11-06-refined-times.txt</v>
      </c>
      <c r="AI9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{"issue":{"subject":"","project_id":79,"tracker_id":40,"status_id":1,"priority_id":2,"assigned_to_id":338,"start_date":"2017-11-06","description":"","custom_fields":[{"id":1,"name":"Subdivision","value":"EC"},{"id":4,"name":"Milepost","value":"23.3188"},{"id":17,"name":"Train ID","value":"181-06"},{"id":16,"name":"Locomotive ID","value":"4004"},{"id":130,"name":"Impact","value":""},{"id":150,"name":"Time of Event (Mountain Time)","value":"14:20:58"},{"id":151,"name":"Denver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3"/>
        <v>start /low /b %USERPROFILE%\Documents\GitHub\eaglep3\Utilities\DownloadLogsFromS3.py --loco 4004 --day 2017-11-06</v>
      </c>
      <c r="AN93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5"/>
        <v>https://d0f6bd738d7f1b3e5a7ca70fe4ff75f0.us-east-1.aws.found.io/app/kibana#/discover/Steve-Slow-Train-Analysis-(2080s-and-2083s)?_g=(refreshInterval:(display:Off,pause:!f,section:0,value:0),time:(from:'2017-11-06T12:37:51-0700',mode:absolute,to:'2017-11-06T15:20:58-0700'))&amp;_a=(columns:!('Message%20ID',Summary),filters:!(),index:'emp_*',interval:auto,query:(query_string:(analyze_wildcard:!t,query:'%22rtdc.l.rtdc.4004%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787</v>
      </c>
      <c r="B94" s="7">
        <v>4003</v>
      </c>
      <c r="C94" s="21" t="s">
        <v>192</v>
      </c>
      <c r="D94" s="21" t="s">
        <v>945</v>
      </c>
      <c r="E94" s="13">
        <v>43045.599398148152</v>
      </c>
      <c r="F94" s="13">
        <v>43045.612847222219</v>
      </c>
      <c r="G94" s="7">
        <v>53</v>
      </c>
      <c r="H94" s="21" t="s">
        <v>946</v>
      </c>
      <c r="I94" s="13">
        <v>43045.639618055553</v>
      </c>
      <c r="J94" s="7">
        <v>0</v>
      </c>
      <c r="K94" s="89" t="str">
        <f>IF(ISEVEN(B94),(B94-1)&amp;"/"&amp;B94,B94&amp;"/"&amp;(B94+1))</f>
        <v>4003/4004</v>
      </c>
      <c r="L94" s="185" t="str">
        <f>VLOOKUP(A94,'Trips&amp;Operators'!$C$1:$G$99911,5,FALSE)</f>
        <v>GUZMAN DANNY</v>
      </c>
      <c r="M94" s="6">
        <f>I94-F94</f>
        <v>2.6770833334012423E-2</v>
      </c>
      <c r="N94" s="7">
        <f>24*60*SUM($M94:$M94)</f>
        <v>38.550000000977889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-06T13:23:08-0700',mode:absolute,to:'2017-11-06T16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23.285599999999999</v>
      </c>
      <c r="Z94" s="204">
        <f>RIGHT(H94,LEN(H94)-4)/10000</f>
        <v>2.5600000000000001E-2</v>
      </c>
      <c r="AA94" s="204">
        <f>ABS(Z94-Y94)</f>
        <v>23.259999999999998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/stypes="app*4003*20171106*" /stext=" 22:.+((SYSTEM_STATE.+slice.+state.+changed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1"/>
        <v>"%USERPROFILE%\Documents\GitHub\eaglep3\Utilities\RefineRTDCRunTimes.py" --tripid 182-06 --locoid 4003 --swversion DE.1.0.9.0 --startMP 204:232856 --initTime 2017-11-06T14:23:08 --startdatetime 2017-11-06T14:42:30 --delay 53 --endMP 204:256 --enddatetime 2017-11-06T15:21:03 --enforcementcount 0 &gt;&gt;%USERPROFILE%\Documents\GitHub\eaglep3-reporting\EC\2017-11-06-refined-times.txt</v>
      </c>
      <c r="AI9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{"issue":{"subject":"","project_id":79,"tracker_id":40,"status_id":1,"priority_id":2,"assigned_to_id":338,"start_date":"2017-11-06","description":"","custom_fields":[{"id":1,"name":"Subdivision","value":"EC"},{"id":4,"name":"Milepost","value":"0.0256"},{"id":17,"name":"Train ID","value":"182-06"},{"id":16,"name":"Locomotive ID","value":"4003"},{"id":130,"name":"Impact","value":""},{"id":150,"name":"Time of Event (Mountain Time)","value":"15:21:03"},{"id":151,"name":"Denver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3"/>
        <v>start /low /b %USERPROFILE%\Documents\GitHub\eaglep3\Utilities\DownloadLogsFromS3.py --loco 4003 --day 2017-11-06</v>
      </c>
      <c r="AN94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5"/>
        <v>https://d0f6bd738d7f1b3e5a7ca70fe4ff75f0.us-east-1.aws.found.io/app/kibana#/discover/Steve-Slow-Train-Analysis-(2080s-and-2083s)?_g=(refreshInterval:(display:Off,pause:!f,section:0,value:0),time:(from:'2017-11-06T13:23:08-0700',mode:absolute,to:'2017-11-06T16:21:03-0700'))&amp;_a=(columns:!('Message%20ID',Summary),filters:!(),index:'emp_*',interval:auto,query:(query_string:(analyze_wildcard:!t,query:'%22rtdc.l.rtdc.4003%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781</v>
      </c>
      <c r="B95" s="7">
        <v>4016</v>
      </c>
      <c r="C95" s="21" t="s">
        <v>192</v>
      </c>
      <c r="D95" s="21" t="s">
        <v>389</v>
      </c>
      <c r="E95" s="13">
        <v>43045.581284722219</v>
      </c>
      <c r="F95" s="13">
        <v>43045.583587962959</v>
      </c>
      <c r="G95" s="7">
        <v>100</v>
      </c>
      <c r="H95" s="21" t="s">
        <v>947</v>
      </c>
      <c r="I95" s="13">
        <v>43045.607951388891</v>
      </c>
      <c r="J95" s="7">
        <v>0</v>
      </c>
      <c r="K95" s="89" t="str">
        <f>IF(ISEVEN(B95),(B95-1)&amp;"/"&amp;B95,B95&amp;"/"&amp;(B95+1))</f>
        <v>4015/4016</v>
      </c>
      <c r="L95" s="185" t="str">
        <f>VLOOKUP(A95,'Trips&amp;Operators'!$C$1:$G$99911,5,FALSE)</f>
        <v>SAFIEF AEIMEN</v>
      </c>
      <c r="M95" s="6">
        <f>I95-F95</f>
        <v>2.436342593136942E-2</v>
      </c>
      <c r="N95" s="7">
        <f>24*60*SUM($M95:$M95)</f>
        <v>35.083333341171965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-06T12:57:03-0700',mode:absolute,to:'2017-11-06T15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5.1299999999999998E-2</v>
      </c>
      <c r="Z95" s="204">
        <f>RIGHT(H95,LEN(H95)-4)/10000</f>
        <v>23.321200000000001</v>
      </c>
      <c r="AA95" s="204">
        <f>ABS(Z95-Y95)</f>
        <v>23.2699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/stypes="app*4016*20171106*"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1"/>
        <v>"%USERPROFILE%\Documents\GitHub\eaglep3\Utilities\RefineRTDCRunTimes.py" --tripid 183-06 --locoid 4016 --swversion DE.1.0.9.0 --startMP 204:513 --initTime 2017-11-06T13:57:03 --startdatetime 2017-11-06T14:00:22 --delay 100 --endMP 204:233212 --enddatetime 2017-11-06T14:35:27 --enforcementcount 0 &gt;&gt;%USERPROFILE%\Documents\GitHub\eaglep3-reporting\EC\2017-11-06-refined-times.txt</v>
      </c>
      <c r="AI9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{"issue":{"subject":"","project_id":79,"tracker_id":40,"status_id":1,"priority_id":2,"assigned_to_id":338,"start_date":"2017-11-06","description":"","custom_fields":[{"id":1,"name":"Subdivision","value":"EC"},{"id":4,"name":"Milepost","value":"23.3212"},{"id":17,"name":"Train ID","value":"183-06"},{"id":16,"name":"Locomotive ID","value":"4016"},{"id":130,"name":"Impact","value":""},{"id":150,"name":"Time of Event (Mountain Time)","value":"14:35:27"},{"id":151,"name":"Denver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3"/>
        <v>start /low /b %USERPROFILE%\Documents\GitHub\eaglep3\Utilities\DownloadLogsFromS3.py --loco 4016 --day 2017-11-06</v>
      </c>
      <c r="AN95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5"/>
        <v>https://d0f6bd738d7f1b3e5a7ca70fe4ff75f0.us-east-1.aws.found.io/app/kibana#/discover/Steve-Slow-Train-Analysis-(2080s-and-2083s)?_g=(refreshInterval:(display:Off,pause:!f,section:0,value:0),time:(from:'2017-11-06T12:57:03-0700',mode:absolute,to:'2017-11-06T15:35:27-0700'))&amp;_a=(columns:!('Message%20ID',Summary),filters:!(),index:'emp_*',interval:auto,query:(query_string:(analyze_wildcard:!t,query:'%22rtdc.l.rtdc.4016%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788</v>
      </c>
      <c r="B96" s="7">
        <v>4015</v>
      </c>
      <c r="C96" s="21" t="s">
        <v>192</v>
      </c>
      <c r="D96" s="21" t="s">
        <v>948</v>
      </c>
      <c r="E96" s="13">
        <v>43045.610277777778</v>
      </c>
      <c r="F96" s="13">
        <v>43045.623252314814</v>
      </c>
      <c r="G96" s="7">
        <v>96</v>
      </c>
      <c r="H96" s="21" t="s">
        <v>618</v>
      </c>
      <c r="I96" s="13">
        <v>43045.649317129632</v>
      </c>
      <c r="J96" s="7">
        <v>0</v>
      </c>
      <c r="K96" s="89" t="str">
        <f>IF(ISEVEN(B96),(B96-1)&amp;"/"&amp;B96,B96&amp;"/"&amp;(B96+1))</f>
        <v>4015/4016</v>
      </c>
      <c r="L96" s="185" t="str">
        <f>VLOOKUP(A96,'Trips&amp;Operators'!$C$1:$G$99911,5,FALSE)</f>
        <v>SAFIEF AEIMEN</v>
      </c>
      <c r="M96" s="6">
        <f>I96-F96</f>
        <v>2.6064814817800652E-2</v>
      </c>
      <c r="N96" s="7">
        <f>24*60*SUM($M96:$M96)</f>
        <v>37.533333337632939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-06T13:38:48-0700',mode:absolute,to:'2017-11-06T16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23.288900000000002</v>
      </c>
      <c r="Z96" s="204">
        <f>RIGHT(H96,LEN(H96)-4)/10000</f>
        <v>1.83E-2</v>
      </c>
      <c r="AA96" s="204">
        <f>ABS(Z96-Y96)</f>
        <v>23.270600000000002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/stypes="app*4015*20171106*" /stext=" 22:.+((SYSTEM_STATE.+slice.+state.+changed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1"/>
        <v>"%USERPROFILE%\Documents\GitHub\eaglep3\Utilities\RefineRTDCRunTimes.py" --tripid 184-06 --locoid 4015 --swversion DE.1.0.9.0 --startMP 204:232889 --initTime 2017-11-06T14:38:48 --startdatetime 2017-11-06T14:57:29 --delay 96 --endMP 204:183 --enddatetime 2017-11-06T15:35:01 --enforcementcount 0 &gt;&gt;%USERPROFILE%\Documents\GitHub\eaglep3-reporting\EC\2017-11-06-refined-times.txt</v>
      </c>
      <c r="AI96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{"issue":{"subject":"","project_id":79,"tracker_id":40,"status_id":1,"priority_id":2,"assigned_to_id":338,"start_date":"2017-11-06","description":"","custom_fields":[{"id":1,"name":"Subdivision","value":"EC"},{"id":4,"name":"Milepost","value":"0.0183"},{"id":17,"name":"Train ID","value":"184-06"},{"id":16,"name":"Locomotive ID","value":"4015"},{"id":130,"name":"Impact","value":""},{"id":150,"name":"Time of Event (Mountain Time)","value":"15:35:01"},{"id":151,"name":"Denver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3"/>
        <v>start /low /b %USERPROFILE%\Documents\GitHub\eaglep3\Utilities\DownloadLogsFromS3.py --loco 4015 --day 2017-11-06</v>
      </c>
      <c r="AN96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5"/>
        <v>https://d0f6bd738d7f1b3e5a7ca70fe4ff75f0.us-east-1.aws.found.io/app/kibana#/discover/Steve-Slow-Train-Analysis-(2080s-and-2083s)?_g=(refreshInterval:(display:Off,pause:!f,section:0,value:0),time:(from:'2017-11-06T13:38:48-0700',mode:absolute,to:'2017-11-06T16:35:01-0700'))&amp;_a=(columns:!('Message%20ID',Summary),filters:!(),index:'emp_*',interval:auto,query:(query_string:(analyze_wildcard:!t,query:'%22rtdc.l.rtdc.4015%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784</v>
      </c>
      <c r="B97" s="7">
        <v>4052</v>
      </c>
      <c r="C97" s="21" t="s">
        <v>192</v>
      </c>
      <c r="D97" s="21" t="s">
        <v>941</v>
      </c>
      <c r="E97" s="13">
        <v>43045.591215277775</v>
      </c>
      <c r="F97" s="13">
        <v>43045.593993055554</v>
      </c>
      <c r="G97" s="7">
        <v>53</v>
      </c>
      <c r="H97" s="21" t="s">
        <v>617</v>
      </c>
      <c r="I97" s="13">
        <v>43045.619328703702</v>
      </c>
      <c r="J97" s="7">
        <v>0</v>
      </c>
      <c r="K97" s="89" t="str">
        <f>IF(ISEVEN(B97),(B97-1)&amp;"/"&amp;B97,B97&amp;"/"&amp;(B97+1))</f>
        <v>4051/4052</v>
      </c>
      <c r="L97" s="185" t="str">
        <f>VLOOKUP(A97,'Trips&amp;Operators'!$C$1:$G$99911,5,FALSE)</f>
        <v>BADERTSCHER DIANE</v>
      </c>
      <c r="M97" s="6">
        <f>I97-F97</f>
        <v>2.5335648148029577E-2</v>
      </c>
      <c r="N97" s="7">
        <f>24*60*SUM($M97:$M97)</f>
        <v>36.483333333162591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-06T13:11:21-0700',mode:absolute,to:'2017-11-06T15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5.2200000000000003E-2</v>
      </c>
      <c r="Z97" s="204">
        <f>RIGHT(H97,LEN(H97)-4)/10000</f>
        <v>23.325099999999999</v>
      </c>
      <c r="AA97" s="204">
        <f>ABS(Z97-Y97)</f>
        <v>23.2729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/stypes="app*4052*20171106*"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1"/>
        <v>"%USERPROFILE%\Documents\GitHub\eaglep3\Utilities\RefineRTDCRunTimes.py" --tripid 185-06 --locoid 4052 --swversion DE.1.0.9.0 --startMP 204:522 --initTime 2017-11-06T14:11:21 --startdatetime 2017-11-06T14:15:21 --delay 53 --endMP 204:233251 --enddatetime 2017-11-06T14:51:50 --enforcementcount 0 &gt;&gt;%USERPROFILE%\Documents\GitHub\eaglep3-reporting\EC\2017-11-06-refined-times.txt</v>
      </c>
      <c r="AI9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{"issue":{"subject":"","project_id":79,"tracker_id":40,"status_id":1,"priority_id":2,"assigned_to_id":338,"start_date":"2017-11-06","description":"","custom_fields":[{"id":1,"name":"Subdivision","value":"EC"},{"id":4,"name":"Milepost","value":"23.3251"},{"id":17,"name":"Train ID","value":"185-06"},{"id":16,"name":"Locomotive ID","value":"4052"},{"id":130,"name":"Impact","value":""},{"id":150,"name":"Time of Event (Mountain Time)","value":"14:51:50"},{"id":151,"name":"Denver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3"/>
        <v>start /low /b %USERPROFILE%\Documents\GitHub\eaglep3\Utilities\DownloadLogsFromS3.py --loco 4052 --day 2017-11-06</v>
      </c>
      <c r="AN97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5"/>
        <v>https://d0f6bd738d7f1b3e5a7ca70fe4ff75f0.us-east-1.aws.found.io/app/kibana#/discover/Steve-Slow-Train-Analysis-(2080s-and-2083s)?_g=(refreshInterval:(display:Off,pause:!f,section:0,value:0),time:(from:'2017-11-06T13:11:21-0700',mode:absolute,to:'2017-11-06T15:51:50-0700'))&amp;_a=(columns:!('Message%20ID',Summary),filters:!(),index:'emp_*',interval:auto,query:(query_string:(analyze_wildcard:!t,query:'%22rtdc.l.rtdc.4052%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791</v>
      </c>
      <c r="B98" s="7">
        <v>4051</v>
      </c>
      <c r="C98" s="21" t="s">
        <v>192</v>
      </c>
      <c r="D98" s="21" t="s">
        <v>949</v>
      </c>
      <c r="E98" s="13">
        <v>43045.629317129627</v>
      </c>
      <c r="F98" s="13">
        <v>43045.633506944447</v>
      </c>
      <c r="G98" s="7">
        <v>53</v>
      </c>
      <c r="H98" s="21" t="s">
        <v>481</v>
      </c>
      <c r="I98" s="13">
        <v>43045.661319444444</v>
      </c>
      <c r="J98" s="7">
        <v>0</v>
      </c>
      <c r="K98" s="89" t="str">
        <f>IF(ISEVEN(B98),(B98-1)&amp;"/"&amp;B98,B98&amp;"/"&amp;(B98+1))</f>
        <v>4051/4052</v>
      </c>
      <c r="L98" s="185" t="str">
        <f>VLOOKUP(A98,'Trips&amp;Operators'!$C$1:$G$99911,5,FALSE)</f>
        <v>BADERTSCHER DIANE</v>
      </c>
      <c r="M98" s="6">
        <f>I98-F98</f>
        <v>2.7812499996798579E-2</v>
      </c>
      <c r="N98" s="7">
        <f>24*60*SUM($M98:$M98)</f>
        <v>40.049999995389953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-06T14:06:13-0700',mode:absolute,to:'2017-11-06T16:52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23.2925</v>
      </c>
      <c r="Z98" s="204">
        <f>RIGHT(H98,LEN(H98)-4)/10000</f>
        <v>2.3599999999999999E-2</v>
      </c>
      <c r="AA98" s="204">
        <f>ABS(Z98-Y98)</f>
        <v>23.268900000000002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/stypes="app*4051*20171106*" /stext=" 22:.+((SYSTEM_STATE.+slice.+state.+changed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1"/>
        <v>"%USERPROFILE%\Documents\GitHub\eaglep3\Utilities\RefineRTDCRunTimes.py" --tripid 186-06 --locoid 4051 --swversion DE.1.0.9.0 --startMP 204:232925 --initTime 2017-11-06T15:06:13 --startdatetime 2017-11-06T15:12:15 --delay 53 --endMP 204:236 --enddatetime 2017-11-06T15:52:18 --enforcementcount 0 &gt;&gt;%USERPROFILE%\Documents\GitHub\eaglep3-reporting\EC\2017-11-06-refined-times.txt</v>
      </c>
      <c r="AI9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{"issue":{"subject":"","project_id":79,"tracker_id":40,"status_id":1,"priority_id":2,"assigned_to_id":338,"start_date":"2017-11-06","description":"","custom_fields":[{"id":1,"name":"Subdivision","value":"EC"},{"id":4,"name":"Milepost","value":"0.0236"},{"id":17,"name":"Train ID","value":"186-06"},{"id":16,"name":"Locomotive ID","value":"4051"},{"id":130,"name":"Impact","value":""},{"id":150,"name":"Time of Event (Mountain Time)","value":"15:52:18"},{"id":151,"name":"Denver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3"/>
        <v>start /low /b %USERPROFILE%\Documents\GitHub\eaglep3\Utilities\DownloadLogsFromS3.py --loco 4051 --day 2017-11-06</v>
      </c>
      <c r="AN98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5"/>
        <v>https://d0f6bd738d7f1b3e5a7ca70fe4ff75f0.us-east-1.aws.found.io/app/kibana#/discover/Steve-Slow-Train-Analysis-(2080s-and-2083s)?_g=(refreshInterval:(display:Off,pause:!f,section:0,value:0),time:(from:'2017-11-06T14:06:13-0700',mode:absolute,to:'2017-11-06T16:52:18-0700'))&amp;_a=(columns:!('Message%20ID',Summary),filters:!(),index:'emp_*',interval:auto,query:(query_string:(analyze_wildcard:!t,query:'%22rtdc.l.rtdc.4051%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786</v>
      </c>
      <c r="B99" s="7">
        <v>4012</v>
      </c>
      <c r="C99" s="21" t="s">
        <v>192</v>
      </c>
      <c r="D99" s="21" t="s">
        <v>396</v>
      </c>
      <c r="E99" s="13">
        <v>43045.598796296297</v>
      </c>
      <c r="F99" s="13">
        <v>43045.604375000003</v>
      </c>
      <c r="G99" s="7">
        <v>62</v>
      </c>
      <c r="H99" s="21" t="s">
        <v>950</v>
      </c>
      <c r="I99" s="13">
        <v>43045.629664351851</v>
      </c>
      <c r="J99" s="7">
        <v>0</v>
      </c>
      <c r="K99" s="89" t="str">
        <f>IF(ISEVEN(B99),(B99-1)&amp;"/"&amp;B99,B99&amp;"/"&amp;(B99+1))</f>
        <v>4011/4012</v>
      </c>
      <c r="L99" s="185" t="str">
        <f>VLOOKUP(A99,'Trips&amp;Operators'!$C$1:$G$99911,5,FALSE)</f>
        <v>SMITH MICHAEL</v>
      </c>
      <c r="M99" s="6">
        <f>I99-F99</f>
        <v>2.5289351848186925E-2</v>
      </c>
      <c r="N99" s="7">
        <f>24*60*SUM($M99:$M99)</f>
        <v>36.416666661389172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-06T13:22:16-0700',mode:absolute,to:'2017-11-06T16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4.6600000000000003E-2</v>
      </c>
      <c r="Z99" s="204">
        <f>RIGHT(H99,LEN(H99)-4)/10000</f>
        <v>23.331199999999999</v>
      </c>
      <c r="AA99" s="204">
        <f>ABS(Z99-Y99)</f>
        <v>23.284599999999998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/stypes="app*4012*20171106*" /stext=" 22:.+((SYSTEM_STATE.+slice.+state.+changed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1"/>
        <v>"%USERPROFILE%\Documents\GitHub\eaglep3\Utilities\RefineRTDCRunTimes.py" --tripid 187-06 --locoid 4012 --swversion DE.1.0.9.0 --startMP 204:466 --initTime 2017-11-06T14:22:16 --startdatetime 2017-11-06T14:30:18 --delay 62 --endMP 204:233312 --enddatetime 2017-11-06T15:06:43 --enforcementcount 0 &gt;&gt;%USERPROFILE%\Documents\GitHub\eaglep3-reporting\EC\2017-11-06-refined-times.txt</v>
      </c>
      <c r="AI9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{"issue":{"subject":"","project_id":79,"tracker_id":40,"status_id":1,"priority_id":2,"assigned_to_id":338,"start_date":"2017-11-06","description":"","custom_fields":[{"id":1,"name":"Subdivision","value":"EC"},{"id":4,"name":"Milepost","value":"23.3312"},{"id":17,"name":"Train ID","value":"187-06"},{"id":16,"name":"Locomotive ID","value":"4012"},{"id":130,"name":"Impact","value":""},{"id":150,"name":"Time of Event (Mountain Time)","value":"15:06:43"},{"id":151,"name":"Denver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3"/>
        <v>start /low /b %USERPROFILE%\Documents\GitHub\eaglep3\Utilities\DownloadLogsFromS3.py --loco 4012 --day 2017-11-06</v>
      </c>
      <c r="AN99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5"/>
        <v>https://d0f6bd738d7f1b3e5a7ca70fe4ff75f0.us-east-1.aws.found.io/app/kibana#/discover/Steve-Slow-Train-Analysis-(2080s-and-2083s)?_g=(refreshInterval:(display:Off,pause:!f,section:0,value:0),time:(from:'2017-11-06T13:22:16-0700',mode:absolute,to:'2017-11-06T16:06:43-0700'))&amp;_a=(columns:!('Message%20ID',Summary),filters:!(),index:'emp_*',interval:auto,query:(query_string:(analyze_wildcard:!t,query:'%22rtdc.l.rtdc.4012%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794</v>
      </c>
      <c r="B100" s="7">
        <v>4011</v>
      </c>
      <c r="C100" s="21" t="s">
        <v>192</v>
      </c>
      <c r="D100" s="21" t="s">
        <v>593</v>
      </c>
      <c r="E100" s="13">
        <v>43045.637511574074</v>
      </c>
      <c r="F100" s="13">
        <v>43045.644212962965</v>
      </c>
      <c r="G100" s="7">
        <v>62</v>
      </c>
      <c r="H100" s="21" t="s">
        <v>951</v>
      </c>
      <c r="I100" s="13">
        <v>43045.672175925924</v>
      </c>
      <c r="J100" s="7">
        <v>0</v>
      </c>
      <c r="K100" s="89" t="str">
        <f>IF(ISEVEN(B100),(B100-1)&amp;"/"&amp;B100,B100&amp;"/"&amp;(B100+1))</f>
        <v>4011/4012</v>
      </c>
      <c r="L100" s="185" t="str">
        <f>VLOOKUP(A100,'Trips&amp;Operators'!$C$1:$G$99911,5,FALSE)</f>
        <v>SMITH MICHAEL</v>
      </c>
      <c r="M100" s="6">
        <f>I100-F100</f>
        <v>2.7962962958554272E-2</v>
      </c>
      <c r="N100" s="7">
        <f>24*60*SUM($M100:$M100)</f>
        <v>40.266666660318151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-06T14:18:01-0700',mode:absolute,to:'2017-11-06T17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23.297899999999998</v>
      </c>
      <c r="Z100" s="204">
        <f>RIGHT(H100,LEN(H100)-4)/10000</f>
        <v>1.7999999999999999E-2</v>
      </c>
      <c r="AA100" s="204">
        <f>ABS(Z100-Y100)</f>
        <v>23.279899999999998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/stypes="app*4011*20171106*" /stext=" 23:.+((SYSTEM_STATE.+slice.+state.+changed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1"/>
        <v>"%USERPROFILE%\Documents\GitHub\eaglep3\Utilities\RefineRTDCRunTimes.py" --tripid 188-06 --locoid 4011 --swversion DE.1.0.9.0 --startMP 204:232979 --initTime 2017-11-06T15:18:01 --startdatetime 2017-11-06T15:27:40 --delay 62 --endMP 204:180 --enddatetime 2017-11-06T16:07:56 --enforcementcount 0 &gt;&gt;%USERPROFILE%\Documents\GitHub\eaglep3-reporting\EC\2017-11-06-refined-times.txt</v>
      </c>
      <c r="AI10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{"issue":{"subject":"","project_id":79,"tracker_id":40,"status_id":1,"priority_id":2,"assigned_to_id":338,"start_date":"2017-11-06","description":"","custom_fields":[{"id":1,"name":"Subdivision","value":"EC"},{"id":4,"name":"Milepost","value":"0.018"},{"id":17,"name":"Train ID","value":"188-06"},{"id":16,"name":"Locomotive ID","value":"4011"},{"id":130,"name":"Impact","value":""},{"id":150,"name":"Time of Event (Mountain Time)","value":"16:07:56"},{"id":151,"name":"Denver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3"/>
        <v>start /low /b %USERPROFILE%\Documents\GitHub\eaglep3\Utilities\DownloadLogsFromS3.py --loco 4011 --day 2017-11-06</v>
      </c>
      <c r="AN100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5"/>
        <v>https://d0f6bd738d7f1b3e5a7ca70fe4ff75f0.us-east-1.aws.found.io/app/kibana#/discover/Steve-Slow-Train-Analysis-(2080s-and-2083s)?_g=(refreshInterval:(display:Off,pause:!f,section:0,value:0),time:(from:'2017-11-06T14:18:01-0700',mode:absolute,to:'2017-11-06T17:07:56-0700'))&amp;_a=(columns:!('Message%20ID',Summary),filters:!(),index:'emp_*',interval:auto,query:(query_string:(analyze_wildcard:!t,query:'%22rtdc.l.rtdc.4011%22')),sort:!(Time.ISO8601,asc))</v>
      </c>
    </row>
    <row r="101" spans="1:91" s="20" customFormat="1" x14ac:dyDescent="0.3">
      <c r="A101" s="32" t="s">
        <v>789</v>
      </c>
      <c r="B101" s="7">
        <v>4050</v>
      </c>
      <c r="C101" s="21" t="s">
        <v>192</v>
      </c>
      <c r="D101" s="21" t="s">
        <v>541</v>
      </c>
      <c r="E101" s="13">
        <v>43045.611944444441</v>
      </c>
      <c r="F101" s="13">
        <v>43045.614988425928</v>
      </c>
      <c r="G101" s="7">
        <v>107</v>
      </c>
      <c r="H101" s="21" t="s">
        <v>915</v>
      </c>
      <c r="I101" s="13">
        <v>43045.640775462962</v>
      </c>
      <c r="J101" s="7">
        <v>0</v>
      </c>
      <c r="K101" s="89" t="str">
        <f>IF(ISEVEN(B101),(B101-1)&amp;"/"&amp;B101,B101&amp;"/"&amp;(B101+1))</f>
        <v>4049/4050</v>
      </c>
      <c r="L101" s="185" t="str">
        <f>VLOOKUP(A101,'Trips&amp;Operators'!$C$1:$G$99911,5,FALSE)</f>
        <v>DAVIS MICHAEL</v>
      </c>
      <c r="M101" s="6">
        <f>I101-F101</f>
        <v>2.5787037033296656E-2</v>
      </c>
      <c r="N101" s="7">
        <f>24*60*SUM($M101:$M101)</f>
        <v>37.133333327947184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-06T13:41:12-0700',mode:absolute,to:'2017-11-06T16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5.11E-2</v>
      </c>
      <c r="Z101" s="204">
        <f>RIGHT(H101,LEN(H101)-4)/10000</f>
        <v>23.328199999999999</v>
      </c>
      <c r="AA101" s="204">
        <f>ABS(Z101-Y101)</f>
        <v>23.277099999999997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/stypes="app*4050*20171106*"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1"/>
        <v>"%USERPROFILE%\Documents\GitHub\eaglep3\Utilities\RefineRTDCRunTimes.py" --tripid 189-06 --locoid 4050 --swversion DE.1.0.9.0 --startMP 204:511 --initTime 2017-11-06T14:41:12 --startdatetime 2017-11-06T14:45:35 --delay 107 --endMP 204:233282 --enddatetime 2017-11-06T15:22:43 --enforcementcount 0 &gt;&gt;%USERPROFILE%\Documents\GitHub\eaglep3-reporting\EC\2017-11-06-refined-times.txt</v>
      </c>
      <c r="AI10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{"issue":{"subject":"","project_id":79,"tracker_id":40,"status_id":1,"priority_id":2,"assigned_to_id":338,"start_date":"2017-11-06","description":"","custom_fields":[{"id":1,"name":"Subdivision","value":"EC"},{"id":4,"name":"Milepost","value":"23.3282"},{"id":17,"name":"Train ID","value":"189-06"},{"id":16,"name":"Locomotive ID","value":"4050"},{"id":130,"name":"Impact","value":""},{"id":150,"name":"Time of Event (Mountain Time)","value":"15:22:43"},{"id":151,"name":"Denver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3"/>
        <v>start /low /b %USERPROFILE%\Documents\GitHub\eaglep3\Utilities\DownloadLogsFromS3.py --loco 4050 --day 2017-11-06</v>
      </c>
      <c r="AN101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5"/>
        <v>https://d0f6bd738d7f1b3e5a7ca70fe4ff75f0.us-east-1.aws.found.io/app/kibana#/discover/Steve-Slow-Train-Analysis-(2080s-and-2083s)?_g=(refreshInterval:(display:Off,pause:!f,section:0,value:0),time:(from:'2017-11-06T13:41:12-0700',mode:absolute,to:'2017-11-06T16:22:43-0700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799</v>
      </c>
      <c r="B102" s="7">
        <v>4049</v>
      </c>
      <c r="C102" s="21" t="s">
        <v>192</v>
      </c>
      <c r="D102" s="21" t="s">
        <v>376</v>
      </c>
      <c r="E102" s="13">
        <v>43045.652037037034</v>
      </c>
      <c r="F102" s="13">
        <v>43045.654606481483</v>
      </c>
      <c r="G102" s="7">
        <v>76</v>
      </c>
      <c r="H102" s="21" t="s">
        <v>612</v>
      </c>
      <c r="I102" s="13">
        <v>43045.683171296296</v>
      </c>
      <c r="J102" s="7">
        <v>0</v>
      </c>
      <c r="K102" s="89" t="str">
        <f>IF(ISEVEN(B102),(B102-1)&amp;"/"&amp;B102,B102&amp;"/"&amp;(B102+1))</f>
        <v>4049/4050</v>
      </c>
      <c r="L102" s="185" t="str">
        <f>VLOOKUP(A102,'Trips&amp;Operators'!$C$1:$G$99911,5,FALSE)</f>
        <v>DAVIS MICHAEL</v>
      </c>
      <c r="M102" s="6">
        <f>I102-F102</f>
        <v>2.8564814812853001E-2</v>
      </c>
      <c r="N102" s="7">
        <f>24*60*SUM($M102:$M102)</f>
        <v>41.133333330508322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-06T14:38:56-0700',mode:absolute,to:'2017-11-06T17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23.296900000000001</v>
      </c>
      <c r="Z102" s="204">
        <f>RIGHT(H102,LEN(H102)-4)/10000</f>
        <v>2.18E-2</v>
      </c>
      <c r="AA102" s="204">
        <f>ABS(Z102-Y102)</f>
        <v>23.275100000000002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/stypes="app*4049*20171106*" /stext=" 23:.+((SYSTEM_STATE.+slice.+state.+changed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1"/>
        <v>"%USERPROFILE%\Documents\GitHub\eaglep3\Utilities\RefineRTDCRunTimes.py" --tripid 190-06 --locoid 4049 --swversion DE.1.0.9.0 --startMP 204:232969 --initTime 2017-11-06T15:38:56 --startdatetime 2017-11-06T15:42:38 --delay 76 --endMP 204:218 --enddatetime 2017-11-06T16:23:46 --enforcementcount 0 &gt;&gt;%USERPROFILE%\Documents\GitHub\eaglep3-reporting\EC\2017-11-06-refined-times.txt</v>
      </c>
      <c r="AI102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{"issue":{"subject":"","project_id":79,"tracker_id":40,"status_id":1,"priority_id":2,"assigned_to_id":338,"start_date":"2017-11-06","description":"","custom_fields":[{"id":1,"name":"Subdivision","value":"EC"},{"id":4,"name":"Milepost","value":"0.0218"},{"id":17,"name":"Train ID","value":"190-06"},{"id":16,"name":"Locomotive ID","value":"4049"},{"id":130,"name":"Impact","value":""},{"id":150,"name":"Time of Event (Mountain Time)","value":"16:23:46"},{"id":151,"name":"Denver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3"/>
        <v>start /low /b %USERPROFILE%\Documents\GitHub\eaglep3\Utilities\DownloadLogsFromS3.py --loco 4049 --day 2017-11-06</v>
      </c>
      <c r="AN102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5"/>
        <v>https://d0f6bd738d7f1b3e5a7ca70fe4ff75f0.us-east-1.aws.found.io/app/kibana#/discover/Steve-Slow-Train-Analysis-(2080s-and-2083s)?_g=(refreshInterval:(display:Off,pause:!f,section:0,value:0),time:(from:'2017-11-06T14:38:56-0700',mode:absolute,to:'2017-11-06T17:23:46-0700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790</v>
      </c>
      <c r="B103" s="7">
        <v>4010</v>
      </c>
      <c r="C103" s="21" t="s">
        <v>192</v>
      </c>
      <c r="D103" s="21" t="s">
        <v>931</v>
      </c>
      <c r="E103" s="13">
        <v>43045.619699074072</v>
      </c>
      <c r="F103" s="13">
        <v>43045.625196759262</v>
      </c>
      <c r="G103" s="7">
        <v>65</v>
      </c>
      <c r="H103" s="21" t="s">
        <v>947</v>
      </c>
      <c r="I103" s="13">
        <v>43045.650057870371</v>
      </c>
      <c r="J103" s="7">
        <v>0</v>
      </c>
      <c r="K103" s="89" t="str">
        <f>IF(ISEVEN(B103),(B103-1)&amp;"/"&amp;B103,B103&amp;"/"&amp;(B103+1))</f>
        <v>4009/4010</v>
      </c>
      <c r="L103" s="185" t="str">
        <f>VLOOKUP(A103,'Trips&amp;Operators'!$C$1:$G$99911,5,FALSE)</f>
        <v>STEWART MICHAEL</v>
      </c>
      <c r="M103" s="6">
        <f>I103-F103</f>
        <v>2.4861111109203193E-2</v>
      </c>
      <c r="N103" s="7">
        <f>24*60*SUM($M103:$M103)</f>
        <v>35.799999997252598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-06T13:52:22-0700',mode:absolute,to:'2017-11-06T16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5.0900000000000001E-2</v>
      </c>
      <c r="Z103" s="204">
        <f>RIGHT(H103,LEN(H103)-4)/10000</f>
        <v>23.321200000000001</v>
      </c>
      <c r="AA103" s="204">
        <f>ABS(Z103-Y103)</f>
        <v>23.270300000000002</v>
      </c>
      <c r="AB103" s="54" t="e">
        <f>VLOOKUP(A103,Enforcements!$C$7:$K$10,8,0)</f>
        <v>#N/A</v>
      </c>
      <c r="AC103" s="51" t="e">
        <f>VLOOKUP(A103,Enforcements!$C$7:$E$10,3,0)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/stypes="app*4010*20171106*"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1"/>
        <v>"%USERPROFILE%\Documents\GitHub\eaglep3\Utilities\RefineRTDCRunTimes.py" --tripid 191-06 --locoid 4010 --swversion DE.1.0.9.0 --startMP 204:509 --initTime 2017-11-06T14:52:22 --startdatetime 2017-11-06T15:00:17 --delay 65 --endMP 204:233212 --enddatetime 2017-11-06T15:36:05 --enforcementcount 0 &gt;&gt;%USERPROFILE%\Documents\GitHub\eaglep3-reporting\EC\2017-11-06-refined-times.txt</v>
      </c>
      <c r="AI10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{"issue":{"subject":"","project_id":79,"tracker_id":40,"status_id":1,"priority_id":2,"assigned_to_id":338,"start_date":"2017-11-06","description":"","custom_fields":[{"id":1,"name":"Subdivision","value":"EC"},{"id":4,"name":"Milepost","value":"23.3212"},{"id":17,"name":"Train ID","value":"191-06"},{"id":16,"name":"Locomotive ID","value":"4010"},{"id":130,"name":"Impact","value":""},{"id":150,"name":"Time of Event (Mountain Time)","value":"15:36:05"},{"id":151,"name":"Denver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3"/>
        <v>start /low /b %USERPROFILE%\Documents\GitHub\eaglep3\Utilities\DownloadLogsFromS3.py --loco 4010 --day 2017-11-06</v>
      </c>
      <c r="AN103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5"/>
        <v>https://d0f6bd738d7f1b3e5a7ca70fe4ff75f0.us-east-1.aws.found.io/app/kibana#/discover/Steve-Slow-Train-Analysis-(2080s-and-2083s)?_g=(refreshInterval:(display:Off,pause:!f,section:0,value:0),time:(from:'2017-11-06T13:52:22-0700',mode:absolute,to:'2017-11-06T16:36:05-0700'))&amp;_a=(columns:!('Message%20ID',Summary),filters:!(),index:'emp_*',interval:auto,query:(query_string:(analyze_wildcard:!t,query:'%22rtdc.l.rtdc.4010%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800</v>
      </c>
      <c r="B104" s="7">
        <v>4009</v>
      </c>
      <c r="C104" s="21" t="s">
        <v>192</v>
      </c>
      <c r="D104" s="21" t="s">
        <v>952</v>
      </c>
      <c r="E104" s="13">
        <v>43045.659432870372</v>
      </c>
      <c r="F104" s="13">
        <v>43045.665173611109</v>
      </c>
      <c r="G104" s="7">
        <v>61</v>
      </c>
      <c r="H104" s="21" t="s">
        <v>953</v>
      </c>
      <c r="I104" s="13">
        <v>43045.69190972222</v>
      </c>
      <c r="J104" s="7">
        <v>0</v>
      </c>
      <c r="K104" s="89" t="str">
        <f>IF(ISEVEN(B104),(B104-1)&amp;"/"&amp;B104,B104&amp;"/"&amp;(B104+1))</f>
        <v>4009/4010</v>
      </c>
      <c r="L104" s="185" t="str">
        <f>VLOOKUP(A104,'Trips&amp;Operators'!$C$1:$G$99911,5,FALSE)</f>
        <v>STEWART MICHAEL</v>
      </c>
      <c r="M104" s="6">
        <f>I104-F104</f>
        <v>2.6736111110949423E-2</v>
      </c>
      <c r="N104" s="7">
        <f>24*60*SUM($M104:$M104)</f>
        <v>38.499999999767169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-06T14:49:35-0700',mode:absolute,to:'2017-11-06T17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23.290900000000001</v>
      </c>
      <c r="Z104" s="204">
        <f>RIGHT(H104,LEN(H104)-4)/10000</f>
        <v>2.23E-2</v>
      </c>
      <c r="AA104" s="204">
        <f>ABS(Z104-Y104)</f>
        <v>23.268599999999999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/stypes="app*4009*20171106*" /stext=" 23:.+((SYSTEM_STATE.+slice.+state.+changed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1"/>
        <v>"%USERPROFILE%\Documents\GitHub\eaglep3\Utilities\RefineRTDCRunTimes.py" --tripid 192-06 --locoid 4009 --swversion DE.1.0.9.0 --startMP 204:232909 --initTime 2017-11-06T15:49:35 --startdatetime 2017-11-06T15:57:51 --delay 61 --endMP 204:223 --enddatetime 2017-11-06T16:36:21 --enforcementcount 0 &gt;&gt;%USERPROFILE%\Documents\GitHub\eaglep3-reporting\EC\2017-11-06-refined-times.txt</v>
      </c>
      <c r="AI10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{"issue":{"subject":"","project_id":79,"tracker_id":40,"status_id":1,"priority_id":2,"assigned_to_id":338,"start_date":"2017-11-06","description":"","custom_fields":[{"id":1,"name":"Subdivision","value":"EC"},{"id":4,"name":"Milepost","value":"0.0223"},{"id":17,"name":"Train ID","value":"192-06"},{"id":16,"name":"Locomotive ID","value":"4009"},{"id":130,"name":"Impact","value":""},{"id":150,"name":"Time of Event (Mountain Time)","value":"16:36:21"},{"id":151,"name":"Denver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3"/>
        <v>start /low /b %USERPROFILE%\Documents\GitHub\eaglep3\Utilities\DownloadLogsFromS3.py --loco 4009 --day 2017-11-06</v>
      </c>
      <c r="AN104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5"/>
        <v>https://d0f6bd738d7f1b3e5a7ca70fe4ff75f0.us-east-1.aws.found.io/app/kibana#/discover/Steve-Slow-Train-Analysis-(2080s-and-2083s)?_g=(refreshInterval:(display:Off,pause:!f,section:0,value:0),time:(from:'2017-11-06T14:49:35-0700',mode:absolute,to:'2017-11-06T17:36:21-0700'))&amp;_a=(columns:!('Message%20ID',Summary),filters:!(),index:'emp_*',interval:auto,query:(query_string:(analyze_wildcard:!t,query:'%22rtdc.l.rtdc.4009%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657</v>
      </c>
      <c r="B105" s="7">
        <v>4036</v>
      </c>
      <c r="C105" s="21" t="s">
        <v>192</v>
      </c>
      <c r="D105" s="21" t="s">
        <v>954</v>
      </c>
      <c r="E105" s="13">
        <v>43045.630277777775</v>
      </c>
      <c r="F105" s="13">
        <v>43045.635659722226</v>
      </c>
      <c r="G105" s="7">
        <v>69</v>
      </c>
      <c r="H105" s="21" t="s">
        <v>955</v>
      </c>
      <c r="I105" s="13">
        <v>43045.661585648151</v>
      </c>
      <c r="J105" s="7">
        <v>0</v>
      </c>
      <c r="K105" s="89" t="str">
        <f>IF(ISEVEN(B105),(B105-1)&amp;"/"&amp;B105,B105&amp;"/"&amp;(B105+1))</f>
        <v>4035/4036</v>
      </c>
      <c r="L105" s="185" t="str">
        <f>VLOOKUP(A105,'Trips&amp;Operators'!$C$1:$G$99911,5,FALSE)</f>
        <v>ANDREA WILLIAMS</v>
      </c>
      <c r="M105" s="6">
        <f>I105-F105</f>
        <v>2.5925925925548654E-2</v>
      </c>
      <c r="N105" s="7">
        <f>24*60*SUM($M105:$M105)</f>
        <v>37.333333332790062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-06T14:07:36-0700',mode:absolute,to:'2017-11-06T16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5.8599999999999999E-2</v>
      </c>
      <c r="Z105" s="204">
        <f>RIGHT(H105,LEN(H105)-4)/10000</f>
        <v>23.3218</v>
      </c>
      <c r="AA105" s="204">
        <f>ABS(Z105-Y105)</f>
        <v>23.263200000000001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/stypes="app*4036*20171106*"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1"/>
        <v>"%USERPROFILE%\Documents\GitHub\eaglep3\Utilities\RefineRTDCRunTimes.py" --tripid 193-06 --locoid 4036 --swversion DE.1.0.9.0 --startMP 204:586 --initTime 2017-11-06T15:07:36 --startdatetime 2017-11-06T15:15:21 --delay 69 --endMP 204:233218 --enddatetime 2017-11-06T15:52:41 --enforcementcount 0 &gt;&gt;%USERPROFILE%\Documents\GitHub\eaglep3-reporting\EC\2017-11-06-refined-times.txt</v>
      </c>
      <c r="AI10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{"issue":{"subject":"","project_id":79,"tracker_id":40,"status_id":1,"priority_id":2,"assigned_to_id":338,"start_date":"2017-11-06","description":"","custom_fields":[{"id":1,"name":"Subdivision","value":"EC"},{"id":4,"name":"Milepost","value":"23.3218"},{"id":17,"name":"Train ID","value":"193-06"},{"id":16,"name":"Locomotive ID","value":"4036"},{"id":130,"name":"Impact","value":""},{"id":150,"name":"Time of Event (Mountain Time)","value":"15:52:41"},{"id":151,"name":"Denver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3"/>
        <v>start /low /b %USERPROFILE%\Documents\GitHub\eaglep3\Utilities\DownloadLogsFromS3.py --loco 4036 --day 2017-11-06</v>
      </c>
      <c r="AN105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5"/>
        <v>https://d0f6bd738d7f1b3e5a7ca70fe4ff75f0.us-east-1.aws.found.io/app/kibana#/discover/Steve-Slow-Train-Analysis-(2080s-and-2083s)?_g=(refreshInterval:(display:Off,pause:!f,section:0,value:0),time:(from:'2017-11-06T14:07:36-0700',mode:absolute,to:'2017-11-06T16:52:41-0700'))&amp;_a=(columns:!('Message%20ID',Summary),filters:!(),index:'emp_*',interval:auto,query:(query_string:(analyze_wildcard:!t,query:'%22rtdc.l.rtdc.4036%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803</v>
      </c>
      <c r="B106" s="7">
        <v>4035</v>
      </c>
      <c r="C106" s="21" t="s">
        <v>192</v>
      </c>
      <c r="D106" s="21" t="s">
        <v>956</v>
      </c>
      <c r="E106" s="13">
        <v>43045.669942129629</v>
      </c>
      <c r="F106" s="13">
        <v>43045.675266203703</v>
      </c>
      <c r="G106" s="7">
        <v>74</v>
      </c>
      <c r="H106" s="21" t="s">
        <v>598</v>
      </c>
      <c r="I106" s="13">
        <v>43045.702777777777</v>
      </c>
      <c r="J106" s="7">
        <v>0</v>
      </c>
      <c r="K106" s="89" t="str">
        <f>IF(ISEVEN(B106),(B106-1)&amp;"/"&amp;B106,B106&amp;"/"&amp;(B106+1))</f>
        <v>4035/4036</v>
      </c>
      <c r="L106" s="185" t="str">
        <f>VLOOKUP(A106,'Trips&amp;Operators'!$C$1:$G$99911,5,FALSE)</f>
        <v>ANDREA WILLIAMS</v>
      </c>
      <c r="M106" s="6">
        <f>I106-F106</f>
        <v>2.7511574073287193E-2</v>
      </c>
      <c r="N106" s="7">
        <f>24*60*SUM($M106:$M106)</f>
        <v>39.616666665533558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-06T15:04:43-0700',mode:absolute,to:'2017-11-06T17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23.289000000000001</v>
      </c>
      <c r="Z106" s="204">
        <f>RIGHT(H106,LEN(H106)-4)/10000</f>
        <v>2.69E-2</v>
      </c>
      <c r="AA106" s="204">
        <f>ABS(Z106-Y106)</f>
        <v>23.2621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/stypes="app*4035*20171106*" /stext=" 23:.+((SYSTEM_STATE.+slice.+state.+changed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1"/>
        <v>"%USERPROFILE%\Documents\GitHub\eaglep3\Utilities\RefineRTDCRunTimes.py" --tripid 194-06 --locoid 4035 --swversion DE.1.0.9.0 --startMP 204:232890 --initTime 2017-11-06T16:04:43 --startdatetime 2017-11-06T16:12:23 --delay 74 --endMP 204:269 --enddatetime 2017-11-06T16:52:00 --enforcementcount 0 &gt;&gt;%USERPROFILE%\Documents\GitHub\eaglep3-reporting\EC\2017-11-06-refined-times.txt</v>
      </c>
      <c r="AI106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{"issue":{"subject":"","project_id":79,"tracker_id":40,"status_id":1,"priority_id":2,"assigned_to_id":338,"start_date":"2017-11-06","description":"","custom_fields":[{"id":1,"name":"Subdivision","value":"EC"},{"id":4,"name":"Milepost","value":"0.0269"},{"id":17,"name":"Train ID","value":"194-06"},{"id":16,"name":"Locomotive ID","value":"4035"},{"id":130,"name":"Impact","value":""},{"id":150,"name":"Time of Event (Mountain Time)","value":"16:52:00"},{"id":151,"name":"Denver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3"/>
        <v>start /low /b %USERPROFILE%\Documents\GitHub\eaglep3\Utilities\DownloadLogsFromS3.py --loco 4035 --day 2017-11-06</v>
      </c>
      <c r="AN106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5"/>
        <v>https://d0f6bd738d7f1b3e5a7ca70fe4ff75f0.us-east-1.aws.found.io/app/kibana#/discover/Steve-Slow-Train-Analysis-(2080s-and-2083s)?_g=(refreshInterval:(display:Off,pause:!f,section:0,value:0),time:(from:'2017-11-06T15:04:43-0700',mode:absolute,to:'2017-11-06T17:52:00-0700'))&amp;_a=(columns:!('Message%20ID',Summary),filters:!(),index:'emp_*',interval:auto,query:(query_string:(analyze_wildcard:!t,query:'%22rtdc.l.rtdc.4035%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795</v>
      </c>
      <c r="B107" s="7">
        <v>4004</v>
      </c>
      <c r="C107" s="21" t="s">
        <v>192</v>
      </c>
      <c r="D107" s="21" t="s">
        <v>551</v>
      </c>
      <c r="E107" s="13">
        <v>43045.640150462961</v>
      </c>
      <c r="F107" s="13">
        <v>43045.646006944444</v>
      </c>
      <c r="G107" s="7">
        <v>78</v>
      </c>
      <c r="H107" s="21" t="s">
        <v>957</v>
      </c>
      <c r="I107" s="13">
        <v>43045.671041666668</v>
      </c>
      <c r="J107" s="7">
        <v>0</v>
      </c>
      <c r="K107" s="89" t="str">
        <f>IF(ISEVEN(B107),(B107-1)&amp;"/"&amp;B107,B107&amp;"/"&amp;(B107+1))</f>
        <v>4003/4004</v>
      </c>
      <c r="L107" s="185" t="str">
        <f>VLOOKUP(A107,'Trips&amp;Operators'!$C$1:$G$99911,5,FALSE)</f>
        <v>GUZMAN DANNY</v>
      </c>
      <c r="M107" s="6">
        <f>I107-F107</f>
        <v>2.5034722224518191E-2</v>
      </c>
      <c r="N107" s="7">
        <f>24*60*SUM($M107:$M107)</f>
        <v>36.050000003306195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-06T14:21:49-0700',mode:absolute,to:'2017-11-06T17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5.6599999999999998E-2</v>
      </c>
      <c r="Z107" s="204">
        <f>RIGHT(H107,LEN(H107)-4)/10000</f>
        <v>23.3202</v>
      </c>
      <c r="AA107" s="204">
        <f>ABS(Z107-Y107)</f>
        <v>23.2636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/stypes="app*4004*20171106*" /stext=" 23:.+((SYSTEM_STATE.+slice.+state.+changed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1"/>
        <v>"%USERPROFILE%\Documents\GitHub\eaglep3\Utilities\RefineRTDCRunTimes.py" --tripid 195-06 --locoid 4004 --swversion DE.1.0.9.0 --startMP 204:566 --initTime 2017-11-06T15:21:49 --startdatetime 2017-11-06T15:30:15 --delay 78 --endMP 204:233202 --enddatetime 2017-11-06T16:06:18 --enforcementcount 0 &gt;&gt;%USERPROFILE%\Documents\GitHub\eaglep3-reporting\EC\2017-11-06-refined-times.txt</v>
      </c>
      <c r="AI10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{"issue":{"subject":"","project_id":79,"tracker_id":40,"status_id":1,"priority_id":2,"assigned_to_id":338,"start_date":"2017-11-06","description":"","custom_fields":[{"id":1,"name":"Subdivision","value":"EC"},{"id":4,"name":"Milepost","value":"23.3202"},{"id":17,"name":"Train ID","value":"195-06"},{"id":16,"name":"Locomotive ID","value":"4004"},{"id":130,"name":"Impact","value":""},{"id":150,"name":"Time of Event (Mountain Time)","value":"16:06:18"},{"id":151,"name":"Denver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3"/>
        <v>start /low /b %USERPROFILE%\Documents\GitHub\eaglep3\Utilities\DownloadLogsFromS3.py --loco 4004 --day 2017-11-06</v>
      </c>
      <c r="AN107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5"/>
        <v>https://d0f6bd738d7f1b3e5a7ca70fe4ff75f0.us-east-1.aws.found.io/app/kibana#/discover/Steve-Slow-Train-Analysis-(2080s-and-2083s)?_g=(refreshInterval:(display:Off,pause:!f,section:0,value:0),time:(from:'2017-11-06T14:21:49-0700',mode:absolute,to:'2017-11-06T17:06:18-0700'))&amp;_a=(columns:!('Message%20ID',Summary),filters:!(),index:'emp_*',interval:auto,query:(query_string:(analyze_wildcard:!t,query:'%22rtdc.l.rtdc.4004%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805</v>
      </c>
      <c r="B108" s="7">
        <v>4003</v>
      </c>
      <c r="C108" s="21" t="s">
        <v>192</v>
      </c>
      <c r="D108" s="21" t="s">
        <v>958</v>
      </c>
      <c r="E108" s="13">
        <v>43045.672766203701</v>
      </c>
      <c r="F108" s="13">
        <v>43045.685578703706</v>
      </c>
      <c r="G108" s="7">
        <v>49</v>
      </c>
      <c r="H108" s="21" t="s">
        <v>946</v>
      </c>
      <c r="I108" s="13">
        <v>43045.711574074077</v>
      </c>
      <c r="J108" s="7">
        <v>0</v>
      </c>
      <c r="K108" s="89" t="str">
        <f>IF(ISEVEN(B108),(B108-1)&amp;"/"&amp;B108,B108&amp;"/"&amp;(B108+1))</f>
        <v>4003/4004</v>
      </c>
      <c r="L108" s="185" t="str">
        <f>VLOOKUP(A108,'Trips&amp;Operators'!$C$1:$G$99911,5,FALSE)</f>
        <v>GUZMAN DANNY</v>
      </c>
      <c r="M108" s="6">
        <f>I108-F108</f>
        <v>2.5995370371674653E-2</v>
      </c>
      <c r="N108" s="7">
        <f>24*60*SUM($M108:$M108)</f>
        <v>37.433333335211501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-06T15:08:47-0700',mode:absolute,to:'2017-11-06T18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23.288699999999999</v>
      </c>
      <c r="Z108" s="204">
        <f>RIGHT(H108,LEN(H108)-4)/10000</f>
        <v>2.5600000000000001E-2</v>
      </c>
      <c r="AA108" s="204">
        <f>ABS(Z108-Y108)</f>
        <v>23.263099999999998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/stypes="app*4003*20171107*" /stext=" 00:.+((SYSTEM_STATE.+slice.+state.+changed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1"/>
        <v>"%USERPROFILE%\Documents\GitHub\eaglep3\Utilities\RefineRTDCRunTimes.py" --tripid 196-06 --locoid 4003 --swversion DE.1.0.9.0 --startMP 204:232887 --initTime 2017-11-06T16:08:47 --startdatetime 2017-11-06T16:27:14 --delay 49 --endMP 204:256 --enddatetime 2017-11-06T17:04:40 --enforcementcount 0 &gt;&gt;%USERPROFILE%\Documents\GitHub\eaglep3-reporting\EC\2017-11-06-refined-times.txt</v>
      </c>
      <c r="AI10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{"issue":{"subject":"","project_id":79,"tracker_id":40,"status_id":1,"priority_id":2,"assigned_to_id":338,"start_date":"2017-11-06","description":"","custom_fields":[{"id":1,"name":"Subdivision","value":"EC"},{"id":4,"name":"Milepost","value":"0.0256"},{"id":17,"name":"Train ID","value":"196-06"},{"id":16,"name":"Locomotive ID","value":"4003"},{"id":130,"name":"Impact","value":""},{"id":150,"name":"Time of Event (Mountain Time)","value":"17:04:40"},{"id":151,"name":"Denver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3"/>
        <v>start /low /b %USERPROFILE%\Documents\GitHub\eaglep3\Utilities\DownloadLogsFromS3.py --loco 4003 --day 2017-11-06</v>
      </c>
      <c r="AN108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5"/>
        <v>https://d0f6bd738d7f1b3e5a7ca70fe4ff75f0.us-east-1.aws.found.io/app/kibana#/discover/Steve-Slow-Train-Analysis-(2080s-and-2083s)?_g=(refreshInterval:(display:Off,pause:!f,section:0,value:0),time:(from:'2017-11-06T15:08:47-0700',mode:absolute,to:'2017-11-06T18:04:40-0700'))&amp;_a=(columns:!('Message%20ID',Summary),filters:!(),index:'emp_*',interval:auto,query:(query_string:(analyze_wildcard:!t,query:'%22rtdc.l.rtdc.4003%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797</v>
      </c>
      <c r="B109" s="7">
        <v>4016</v>
      </c>
      <c r="C109" s="21" t="s">
        <v>192</v>
      </c>
      <c r="D109" s="21" t="s">
        <v>622</v>
      </c>
      <c r="E109" s="13">
        <v>43045.649687500001</v>
      </c>
      <c r="F109" s="13">
        <v>43045.656481481485</v>
      </c>
      <c r="G109" s="7">
        <v>56</v>
      </c>
      <c r="H109" s="21" t="s">
        <v>959</v>
      </c>
      <c r="I109" s="13">
        <v>43045.680648148147</v>
      </c>
      <c r="J109" s="7">
        <v>0</v>
      </c>
      <c r="K109" s="89" t="str">
        <f>IF(ISEVEN(B109),(B109-1)&amp;"/"&amp;B109,B109&amp;"/"&amp;(B109+1))</f>
        <v>4015/4016</v>
      </c>
      <c r="L109" s="185" t="str">
        <f>VLOOKUP(A109,'Trips&amp;Operators'!$C$1:$G$99911,5,FALSE)</f>
        <v>SAFIEF AEIMEN</v>
      </c>
      <c r="M109" s="6">
        <f>I109-F109</f>
        <v>2.4166666662495118E-2</v>
      </c>
      <c r="N109" s="7">
        <f>24*60*SUM($M109:$M109)</f>
        <v>34.799999993992969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-06T14:35:33-0700',mode:absolute,to:'2017-11-06T17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5.0200000000000002E-2</v>
      </c>
      <c r="Z109" s="204">
        <f>RIGHT(H109,LEN(H109)-4)/10000</f>
        <v>23.320499999999999</v>
      </c>
      <c r="AA109" s="204">
        <f>ABS(Z109-Y109)</f>
        <v>23.270299999999999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/stypes="app*4016*20171106*"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1"/>
        <v>"%USERPROFILE%\Documents\GitHub\eaglep3\Utilities\RefineRTDCRunTimes.py" --tripid 197-06 --locoid 4016 --swversion DE.1.0.9.0 --startMP 204:502 --initTime 2017-11-06T15:35:33 --startdatetime 2017-11-06T15:45:20 --delay 56 --endMP 204:233205 --enddatetime 2017-11-06T16:20:08 --enforcementcount 0 &gt;&gt;%USERPROFILE%\Documents\GitHub\eaglep3-reporting\EC\2017-11-06-refined-times.txt</v>
      </c>
      <c r="AI10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{"issue":{"subject":"","project_id":79,"tracker_id":40,"status_id":1,"priority_id":2,"assigned_to_id":338,"start_date":"2017-11-06","description":"","custom_fields":[{"id":1,"name":"Subdivision","value":"EC"},{"id":4,"name":"Milepost","value":"23.3205"},{"id":17,"name":"Train ID","value":"197-06"},{"id":16,"name":"Locomotive ID","value":"4016"},{"id":130,"name":"Impact","value":""},{"id":150,"name":"Time of Event (Mountain Time)","value":"16:20:08"},{"id":151,"name":"Denver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3"/>
        <v>start /low /b %USERPROFILE%\Documents\GitHub\eaglep3\Utilities\DownloadLogsFromS3.py --loco 4016 --day 2017-11-06</v>
      </c>
      <c r="AN109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5"/>
        <v>https://d0f6bd738d7f1b3e5a7ca70fe4ff75f0.us-east-1.aws.found.io/app/kibana#/discover/Steve-Slow-Train-Analysis-(2080s-and-2083s)?_g=(refreshInterval:(display:Off,pause:!f,section:0,value:0),time:(from:'2017-11-06T14:35:33-0700',mode:absolute,to:'2017-11-06T17:20:08-0700'))&amp;_a=(columns:!('Message%20ID',Summary),filters:!(),index:'emp_*',interval:auto,query:(query_string:(analyze_wildcard:!t,query:'%22rtdc.l.rtdc.4016%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806</v>
      </c>
      <c r="B110" s="7">
        <v>4015</v>
      </c>
      <c r="C110" s="21" t="s">
        <v>192</v>
      </c>
      <c r="D110" s="21" t="s">
        <v>960</v>
      </c>
      <c r="E110" s="13">
        <v>43045.682291666664</v>
      </c>
      <c r="F110" s="13">
        <v>43045.696226851855</v>
      </c>
      <c r="G110" s="7">
        <v>73</v>
      </c>
      <c r="H110" s="21" t="s">
        <v>534</v>
      </c>
      <c r="I110" s="13">
        <v>43045.72388888889</v>
      </c>
      <c r="J110" s="7">
        <v>0</v>
      </c>
      <c r="K110" s="89" t="str">
        <f>IF(ISEVEN(B110),(B110-1)&amp;"/"&amp;B110,B110&amp;"/"&amp;(B110+1))</f>
        <v>4015/4016</v>
      </c>
      <c r="L110" s="185" t="str">
        <f>VLOOKUP(A110,'Trips&amp;Operators'!$C$1:$G$99911,5,FALSE)</f>
        <v>SAFIEF AEIMEN</v>
      </c>
      <c r="M110" s="6">
        <f>I110-F110</f>
        <v>2.7662037035042886E-2</v>
      </c>
      <c r="N110" s="7">
        <f>24*60*SUM($M110:$M110)</f>
        <v>39.833333330461755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-06T15:22:30-0700',mode:absolute,to:'2017-11-06T18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23.289200000000001</v>
      </c>
      <c r="Z110" s="204">
        <f>RIGHT(H110,LEN(H110)-4)/10000</f>
        <v>2.0299999999999999E-2</v>
      </c>
      <c r="AA110" s="204">
        <f>ABS(Z110-Y110)</f>
        <v>23.268900000000002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/stypes="app*4015*20171107*" /stext=" 00:.+((SYSTEM_STATE.+slice.+state.+changed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1"/>
        <v>"%USERPROFILE%\Documents\GitHub\eaglep3\Utilities\RefineRTDCRunTimes.py" --tripid 198-06 --locoid 4015 --swversion DE.1.0.9.0 --startMP 204:232892 --initTime 2017-11-06T16:22:30 --startdatetime 2017-11-06T16:42:34 --delay 73 --endMP 204:203 --enddatetime 2017-11-06T17:22:24 --enforcementcount 0 &gt;&gt;%USERPROFILE%\Documents\GitHub\eaglep3-reporting\EC\2017-11-06-refined-times.txt</v>
      </c>
      <c r="AI11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{"issue":{"subject":"","project_id":79,"tracker_id":40,"status_id":1,"priority_id":2,"assigned_to_id":338,"start_date":"2017-11-06","description":"","custom_fields":[{"id":1,"name":"Subdivision","value":"EC"},{"id":4,"name":"Milepost","value":"0.0203"},{"id":17,"name":"Train ID","value":"198-06"},{"id":16,"name":"Locomotive ID","value":"4015"},{"id":130,"name":"Impact","value":""},{"id":150,"name":"Time of Event (Mountain Time)","value":"17:22:24"},{"id":151,"name":"Denver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3"/>
        <v>start /low /b %USERPROFILE%\Documents\GitHub\eaglep3\Utilities\DownloadLogsFromS3.py --loco 4015 --day 2017-11-06</v>
      </c>
      <c r="AN110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5"/>
        <v>https://d0f6bd738d7f1b3e5a7ca70fe4ff75f0.us-east-1.aws.found.io/app/kibana#/discover/Steve-Slow-Train-Analysis-(2080s-and-2083s)?_g=(refreshInterval:(display:Off,pause:!f,section:0,value:0),time:(from:'2017-11-06T15:22:30-0700',mode:absolute,to:'2017-11-06T18:22:24-0700'))&amp;_a=(columns:!('Message%20ID',Summary),filters:!(),index:'emp_*',interval:auto,query:(query_string:(analyze_wildcard:!t,query:'%22rtdc.l.rtdc.4015%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801</v>
      </c>
      <c r="B111" s="7">
        <v>4052</v>
      </c>
      <c r="C111" s="21" t="s">
        <v>192</v>
      </c>
      <c r="D111" s="21" t="s">
        <v>961</v>
      </c>
      <c r="E111" s="13">
        <v>43045.661805555559</v>
      </c>
      <c r="F111" s="13">
        <v>43045.666851851849</v>
      </c>
      <c r="G111" s="7">
        <v>99</v>
      </c>
      <c r="H111" s="21" t="s">
        <v>629</v>
      </c>
      <c r="I111" s="13">
        <v>43045.692210648151</v>
      </c>
      <c r="J111" s="7">
        <v>0</v>
      </c>
      <c r="K111" s="89" t="str">
        <f>IF(ISEVEN(B111),(B111-1)&amp;"/"&amp;B111,B111&amp;"/"&amp;(B111+1))</f>
        <v>4051/4052</v>
      </c>
      <c r="L111" s="185" t="str">
        <f>VLOOKUP(A111,'Trips&amp;Operators'!$C$1:$G$99911,5,FALSE)</f>
        <v>BADERTSCHER DIANE</v>
      </c>
      <c r="M111" s="6">
        <f>I111-F111</f>
        <v>2.5358796301588882E-2</v>
      </c>
      <c r="N111" s="7">
        <f>24*60*SUM($M111:$M111)</f>
        <v>36.51666667428799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-06T14:53:00-0700',mode:absolute,to:'2017-11-06T17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5.4399999999999997E-2</v>
      </c>
      <c r="Z111" s="204">
        <f>RIGHT(H111,LEN(H111)-4)/10000</f>
        <v>23.323799999999999</v>
      </c>
      <c r="AA111" s="204">
        <f>ABS(Z111-Y111)</f>
        <v>23.269399999999997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/stypes="app*4052*20171106*"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1"/>
        <v>"%USERPROFILE%\Documents\GitHub\eaglep3\Utilities\RefineRTDCRunTimes.py" --tripid 199-06 --locoid 4052 --swversion DE.1.0.9.0 --startMP 204:544 --initTime 2017-11-06T15:53:00 --startdatetime 2017-11-06T16:00:16 --delay 99 --endMP 204:233238 --enddatetime 2017-11-06T16:36:47 --enforcementcount 0 &gt;&gt;%USERPROFILE%\Documents\GitHub\eaglep3-reporting\EC\2017-11-06-refined-times.txt</v>
      </c>
      <c r="AI11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{"issue":{"subject":"","project_id":79,"tracker_id":40,"status_id":1,"priority_id":2,"assigned_to_id":338,"start_date":"2017-11-06","description":"","custom_fields":[{"id":1,"name":"Subdivision","value":"EC"},{"id":4,"name":"Milepost","value":"23.3238"},{"id":17,"name":"Train ID","value":"199-06"},{"id":16,"name":"Locomotive ID","value":"4052"},{"id":130,"name":"Impact","value":""},{"id":150,"name":"Time of Event (Mountain Time)","value":"16:36:47"},{"id":151,"name":"Denver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3"/>
        <v>start /low /b %USERPROFILE%\Documents\GitHub\eaglep3\Utilities\DownloadLogsFromS3.py --loco 4052 --day 2017-11-06</v>
      </c>
      <c r="AN111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5"/>
        <v>https://d0f6bd738d7f1b3e5a7ca70fe4ff75f0.us-east-1.aws.found.io/app/kibana#/discover/Steve-Slow-Train-Analysis-(2080s-and-2083s)?_g=(refreshInterval:(display:Off,pause:!f,section:0,value:0),time:(from:'2017-11-06T14:53:00-0700',mode:absolute,to:'2017-11-06T17:36:47-0700'))&amp;_a=(columns:!('Message%20ID',Summary),filters:!(),index:'emp_*',interval:auto,query:(query_string:(analyze_wildcard:!t,query:'%22rtdc.l.rtdc.4052%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811</v>
      </c>
      <c r="B112" s="7">
        <v>4051</v>
      </c>
      <c r="C112" s="21" t="s">
        <v>192</v>
      </c>
      <c r="D112" s="21" t="s">
        <v>597</v>
      </c>
      <c r="E112" s="13">
        <v>43045.695601851854</v>
      </c>
      <c r="F112" s="13">
        <v>43045.706412037034</v>
      </c>
      <c r="G112" s="7">
        <v>86</v>
      </c>
      <c r="H112" s="21" t="s">
        <v>962</v>
      </c>
      <c r="I112" s="13">
        <v>43045.709363425929</v>
      </c>
      <c r="J112" s="7">
        <v>0</v>
      </c>
      <c r="K112" s="89" t="str">
        <f>IF(ISEVEN(B112),(B112-1)&amp;"/"&amp;B112,B112&amp;"/"&amp;(B112+1))</f>
        <v>4051/4052</v>
      </c>
      <c r="L112" s="185" t="str">
        <f>VLOOKUP(A112,'Trips&amp;Operators'!$C$1:$G$99911,5,FALSE)</f>
        <v>BADERTSCHER DIANE</v>
      </c>
      <c r="M112" s="6">
        <f>I112-F112</f>
        <v>2.9513888948713429E-3</v>
      </c>
      <c r="N112" s="7"/>
      <c r="O112" s="7"/>
      <c r="P112" s="7">
        <f>24*60*SUM($M112:$M112)</f>
        <v>4.2500000086147338</v>
      </c>
      <c r="Q112" s="22"/>
      <c r="R112" s="174" t="s">
        <v>1117</v>
      </c>
      <c r="S112" s="221">
        <f>1/IF(AG112="EC",12,1)*SUM(U112:U112)</f>
        <v>0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-06T15:41:40-0700',mode:absolute,to:'2017-11-06T18:01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204" t="str">
        <f>IF(AA112&lt;VLOOKUP(AG112,Variables!$AC$3:$AD$8,2,FALSE),"Y","N")</f>
        <v>Y</v>
      </c>
      <c r="X112" s="204">
        <f>VALUE(LEFT(AD112,4))-VALUE(LEFT(AD111,4))</f>
        <v>1</v>
      </c>
      <c r="Y112" s="204">
        <f>RIGHT(D112,LEN(D112)-4)/10000</f>
        <v>23.291899999999998</v>
      </c>
      <c r="Z112" s="204">
        <f>RIGHT(H112,LEN(H112)-4)/10000</f>
        <v>20.753799999999998</v>
      </c>
      <c r="AA112" s="204">
        <f>ABS(Z112-Y112)</f>
        <v>2.5381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/stypes="app*4051*20171107*" /stext=" 00:.+((SYSTEM_STATE.+slice.+state.+changed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1"/>
        <v>"%USERPROFILE%\Documents\GitHub\eaglep3\Utilities\RefineRTDCRunTimes.py" --tripid 200-06 --locoid 4051 --swversion DE.1.0.9.0 --startMP 204:232919 --initTime 2017-11-06T16:41:40 --startdatetime 2017-11-06T16:57:14 --delay 86 --endMP 204:207538 --enddatetime 2017-11-06T17:01:29 --enforcementcount 0 &gt;&gt;%USERPROFILE%\Documents\GitHub\eaglep3-reporting\EC\2017-11-06-refined-times.txt</v>
      </c>
      <c r="AI112" s="96" t="str">
        <f t="shared" si="12"/>
        <v>echo {"issue":{"subject":"Trip cancelled due to ATC issues","project_id":79,"tracker_id":40,"status_id":1,"priority_id":2,"assigned_to_id":338,"start_date":"2017-11-06","description":"","custom_fields":[{"id":1,"name":"Subdivision","value":"EC"},{"id":4,"name":"Milepost","value":"20.7538"},{"id":17,"name":"Train ID","value":"200-06"},{"id":16,"name":"Locomotive ID","value":"4051"},{"id":130,"name":"Impact","value":""},{"id":150,"name":"Time of Event (Mountain Time)","value":"17:01:29"},{"id":151,"name":"Denver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3"/>
        <v>start /low /b %USERPROFILE%\Documents\GitHub\eaglep3\Utilities\DownloadLogsFromS3.py --loco 4051 --day 2017-11-06</v>
      </c>
      <c r="AN112" s="151" t="str">
        <f t="shared" si="14"/>
        <v>echo {"issue":{"subject":"Trip cancelled due to ATC issues","project_id":30,"tracker_id":4,"status_id":1,"priority_id":1,"assigned_to_id":10,"start_date":"2017-11-07","description":"","custom_fields":[{"id":30,"name":"Category","value":"Issue"},{"id":3,"name":"Functional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00:01:29"},{"id":29,"name":"Sharepoint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5"/>
        <v>https://d0f6bd738d7f1b3e5a7ca70fe4ff75f0.us-east-1.aws.found.io/app/kibana#/discover/Steve-Slow-Train-Analysis-(2080s-and-2083s)?_g=(refreshInterval:(display:Off,pause:!f,section:0,value:0),time:(from:'2017-11-06T15:41:40-0700',mode:absolute,to:'2017-11-06T18:01:29-0700'))&amp;_a=(columns:!('Message%20ID',Summary),filters:!(),index:'emp_*',interval:auto,query:(query_string:(analyze_wildcard:!t,query:'%22rtdc.l.rtdc.4051%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804</v>
      </c>
      <c r="B113" s="7">
        <v>4012</v>
      </c>
      <c r="C113" s="21" t="s">
        <v>192</v>
      </c>
      <c r="D113" s="21" t="s">
        <v>914</v>
      </c>
      <c r="E113" s="13">
        <v>43045.672662037039</v>
      </c>
      <c r="F113" s="13">
        <v>43045.67728009259</v>
      </c>
      <c r="G113" s="7">
        <v>54</v>
      </c>
      <c r="H113" s="21" t="s">
        <v>899</v>
      </c>
      <c r="I113" s="13">
        <v>43045.702546296299</v>
      </c>
      <c r="J113" s="7">
        <v>0</v>
      </c>
      <c r="K113" s="89" t="str">
        <f>IF(ISEVEN(B113),(B113-1)&amp;"/"&amp;B113,B113&amp;"/"&amp;(B113+1))</f>
        <v>4011/4012</v>
      </c>
      <c r="L113" s="185" t="str">
        <f>VLOOKUP(A113,'Trips&amp;Operators'!$C$1:$G$99911,5,FALSE)</f>
        <v>SMITH MICHAEL</v>
      </c>
      <c r="M113" s="6">
        <f>I113-F113</f>
        <v>2.5266203709179536E-2</v>
      </c>
      <c r="N113" s="7">
        <f>24*60*SUM($M113:$M113)</f>
        <v>36.383333341218531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-06T15:08:38-0700',mode:absolute,to:'2017-11-06T17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4.5999999999999999E-2</v>
      </c>
      <c r="Z113" s="204">
        <f>RIGHT(H113,LEN(H113)-4)/10000</f>
        <v>23.3291</v>
      </c>
      <c r="AA113" s="204">
        <f>ABS(Z113-Y113)</f>
        <v>23.283100000000001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/stypes="app*4012*20171106*"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1"/>
        <v>"%USERPROFILE%\Documents\GitHub\eaglep3\Utilities\RefineRTDCRunTimes.py" --tripid 201-06 --locoid 4012 --swversion DE.1.0.9.0 --startMP 204:460 --initTime 2017-11-06T16:08:38 --startdatetime 2017-11-06T16:15:17 --delay 54 --endMP 204:233291 --enddatetime 2017-11-06T16:51:40 --enforcementcount 0 &gt;&gt;%USERPROFILE%\Documents\GitHub\eaglep3-reporting\EC\2017-11-06-refined-times.txt</v>
      </c>
      <c r="AI11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{"issue":{"subject":"","project_id":79,"tracker_id":40,"status_id":1,"priority_id":2,"assigned_to_id":338,"start_date":"2017-11-06","description":"","custom_fields":[{"id":1,"name":"Subdivision","value":"EC"},{"id":4,"name":"Milepost","value":"23.3291"},{"id":17,"name":"Train ID","value":"201-06"},{"id":16,"name":"Locomotive ID","value":"4012"},{"id":130,"name":"Impact","value":""},{"id":150,"name":"Time of Event (Mountain Time)","value":"16:51:40"},{"id":151,"name":"Denver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3"/>
        <v>start /low /b %USERPROFILE%\Documents\GitHub\eaglep3\Utilities\DownloadLogsFromS3.py --loco 4012 --day 2017-11-06</v>
      </c>
      <c r="AN113" s="151" t="str">
        <f t="shared" si="1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5"/>
        <v>https://d0f6bd738d7f1b3e5a7ca70fe4ff75f0.us-east-1.aws.found.io/app/kibana#/discover/Steve-Slow-Train-Analysis-(2080s-and-2083s)?_g=(refreshInterval:(display:Off,pause:!f,section:0,value:0),time:(from:'2017-11-06T15:08:38-0700',mode:absolute,to:'2017-11-06T17:51:40-0700'))&amp;_a=(columns:!('Message%20ID',Summary),filters:!(),index:'emp_*',interval:auto,query:(query_string:(analyze_wildcard:!t,query:'%22rtdc.l.rtdc.4012%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659</v>
      </c>
      <c r="B114" s="7">
        <v>4011</v>
      </c>
      <c r="C114" s="21" t="s">
        <v>192</v>
      </c>
      <c r="D114" s="21" t="s">
        <v>476</v>
      </c>
      <c r="E114" s="13">
        <v>43045.708460648151</v>
      </c>
      <c r="F114" s="13">
        <v>43045.717002314814</v>
      </c>
      <c r="G114" s="7">
        <v>72</v>
      </c>
      <c r="H114" s="21" t="s">
        <v>963</v>
      </c>
      <c r="I114" s="13">
        <v>43045.747858796298</v>
      </c>
      <c r="J114" s="7">
        <v>0</v>
      </c>
      <c r="K114" s="89" t="str">
        <f>IF(ISEVEN(B114),(B114-1)&amp;"/"&amp;B114,B114&amp;"/"&amp;(B114+1))</f>
        <v>4011/4012</v>
      </c>
      <c r="L114" s="185" t="str">
        <f>VLOOKUP(A114,'Trips&amp;Operators'!$C$1:$G$99911,5,FALSE)</f>
        <v>SMITH MICHAEL</v>
      </c>
      <c r="M114" s="6">
        <f>I114-F114</f>
        <v>3.0856481484079268E-2</v>
      </c>
      <c r="N114" s="7">
        <f>24*60*SUM($M114:$M114)</f>
        <v>44.433333337074146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-06T16:00:11-0700',mode:absolute,to:'2017-11-06T18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23.297699999999999</v>
      </c>
      <c r="Z114" s="204">
        <f>RIGHT(H114,LEN(H114)-4)/10000</f>
        <v>2.7099999999999999E-2</v>
      </c>
      <c r="AA114" s="204">
        <f>ABS(Z114-Y114)</f>
        <v>23.270599999999998</v>
      </c>
      <c r="AB114" s="54" t="str">
        <f>VLOOKUP(A114,Enforcements!$C$7:$K$10,8,0)</f>
        <v>Bulletin (2)</v>
      </c>
      <c r="AC114" s="51" t="str">
        <f>VLOOKUP(A114,Enforcements!$C$7:$E$10,3,0)</f>
        <v>GRADE CROSSING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/stypes="app*4011*20171107*" /stext=" 00:.+((SYSTEM_STATE.+slice.+state.+changed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1"/>
        <v>"%USERPROFILE%\Documents\GitHub\eaglep3\Utilities\RefineRTDCRunTimes.py" --tripid 202-06 --locoid 4011 --swversion DE.1.0.9.0 --startMP 204:232977 --initTime 2017-11-06T17:00:11 --startdatetime 2017-11-06T17:12:29 --delay 72 --endMP 204:271 --enddatetime 2017-11-06T17:56:55 --enforcementcount 0 &gt;&gt;%USERPROFILE%\Documents\GitHub\eaglep3-reporting\EC\2017-11-06-refined-times.txt</v>
      </c>
      <c r="AI11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{"issue":{"subject":"","project_id":79,"tracker_id":40,"status_id":1,"priority_id":2,"assigned_to_id":338,"start_date":"2017-11-06","description":"","custom_fields":[{"id":1,"name":"Subdivision","value":"EC"},{"id":4,"name":"Milepost","value":"0.0271"},{"id":17,"name":"Train ID","value":"202-06"},{"id":16,"name":"Locomotive ID","value":"4011"},{"id":130,"name":"Impact","value":""},{"id":150,"name":"Time of Event (Mountain Time)","value":"17:56:55"},{"id":151,"name":"Denver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3"/>
        <v>start /low /b %USERPROFILE%\Documents\GitHub\eaglep3\Utilities\DownloadLogsFromS3.py --loco 4011 --day 2017-11-06</v>
      </c>
      <c r="AN114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5"/>
        <v>https://d0f6bd738d7f1b3e5a7ca70fe4ff75f0.us-east-1.aws.found.io/app/kibana#/discover/Steve-Slow-Train-Analysis-(2080s-and-2083s)?_g=(refreshInterval:(display:Off,pause:!f,section:0,value:0),time:(from:'2017-11-06T16:00:11-0700',mode:absolute,to:'2017-11-06T18:56:55-0700'))&amp;_a=(columns:!('Message%20ID',Summary),filters:!(),index:'emp_*',interval:auto,query:(query_string:(analyze_wildcard:!t,query:'%22rtdc.l.rtdc.4011%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807</v>
      </c>
      <c r="B115" s="7">
        <v>4050</v>
      </c>
      <c r="C115" s="21" t="s">
        <v>192</v>
      </c>
      <c r="D115" s="21" t="s">
        <v>601</v>
      </c>
      <c r="E115" s="13">
        <v>43045.684965277775</v>
      </c>
      <c r="F115" s="13">
        <v>43045.687997685185</v>
      </c>
      <c r="G115" s="7">
        <v>56</v>
      </c>
      <c r="H115" s="21" t="s">
        <v>964</v>
      </c>
      <c r="I115" s="13">
        <v>43045.715115740742</v>
      </c>
      <c r="J115" s="7">
        <v>0</v>
      </c>
      <c r="K115" s="89" t="str">
        <f>IF(ISEVEN(B115),(B115-1)&amp;"/"&amp;B115,B115&amp;"/"&amp;(B115+1))</f>
        <v>4049/4050</v>
      </c>
      <c r="L115" s="185" t="str">
        <f>VLOOKUP(A115,'Trips&amp;Operators'!$C$1:$G$99911,5,FALSE)</f>
        <v>DAVIS MICHAEL</v>
      </c>
      <c r="M115" s="6">
        <f>I115-F115</f>
        <v>2.7118055557366461E-2</v>
      </c>
      <c r="N115" s="7">
        <f>24*60*SUM($M115:$M115)</f>
        <v>39.050000002607703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-06T15:26:21-0700',mode:absolute,to:'2017-11-06T18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4.9799999999999997E-2</v>
      </c>
      <c r="Z115" s="204">
        <f>RIGHT(H115,LEN(H115)-4)/10000</f>
        <v>23.3306</v>
      </c>
      <c r="AA115" s="204">
        <f>ABS(Z115-Y115)</f>
        <v>23.280799999999999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/stypes="app*4050*20171107*" /stext=" 00:.+((SYSTEM_STATE.+slice.+state.+changed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1"/>
        <v>"%USERPROFILE%\Documents\GitHub\eaglep3\Utilities\RefineRTDCRunTimes.py" --tripid 203-06 --locoid 4050 --swversion DE.1.0.9.0 --startMP 204:498 --initTime 2017-11-06T16:26:21 --startdatetime 2017-11-06T16:30:43 --delay 56 --endMP 204:233306 --enddatetime 2017-11-06T17:09:46 --enforcementcount 0 &gt;&gt;%USERPROFILE%\Documents\GitHub\eaglep3-reporting\EC\2017-11-06-refined-times.txt</v>
      </c>
      <c r="AI11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{"issue":{"subject":"","project_id":79,"tracker_id":40,"status_id":1,"priority_id":2,"assigned_to_id":338,"start_date":"2017-11-06","description":"","custom_fields":[{"id":1,"name":"Subdivision","value":"EC"},{"id":4,"name":"Milepost","value":"23.3306"},{"id":17,"name":"Train ID","value":"203-06"},{"id":16,"name":"Locomotive ID","value":"4050"},{"id":130,"name":"Impact","value":""},{"id":150,"name":"Time of Event (Mountain Time)","value":"17:09:46"},{"id":151,"name":"Denver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3"/>
        <v>start /low /b %USERPROFILE%\Documents\GitHub\eaglep3\Utilities\DownloadLogsFromS3.py --loco 4050 --day 2017-11-06</v>
      </c>
      <c r="AN115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5"/>
        <v>https://d0f6bd738d7f1b3e5a7ca70fe4ff75f0.us-east-1.aws.found.io/app/kibana#/discover/Steve-Slow-Train-Analysis-(2080s-and-2083s)?_g=(refreshInterval:(display:Off,pause:!f,section:0,value:0),time:(from:'2017-11-06T15:26:21-0700',mode:absolute,to:'2017-11-06T18:09:46-0700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821</v>
      </c>
      <c r="B116" s="7">
        <v>4049</v>
      </c>
      <c r="C116" s="21" t="s">
        <v>192</v>
      </c>
      <c r="D116" s="21" t="s">
        <v>395</v>
      </c>
      <c r="E116" s="13">
        <v>43045.728495370371</v>
      </c>
      <c r="F116" s="13">
        <v>43045.730763888889</v>
      </c>
      <c r="G116" s="7">
        <v>59</v>
      </c>
      <c r="H116" s="21" t="s">
        <v>612</v>
      </c>
      <c r="I116" s="13">
        <v>43045.76122685185</v>
      </c>
      <c r="J116" s="7">
        <v>0</v>
      </c>
      <c r="K116" s="89" t="str">
        <f>IF(ISEVEN(B116),(B116-1)&amp;"/"&amp;B116,B116&amp;"/"&amp;(B116+1))</f>
        <v>4049/4050</v>
      </c>
      <c r="L116" s="185" t="str">
        <f>VLOOKUP(A116,'Trips&amp;Operators'!$C$1:$G$99911,5,FALSE)</f>
        <v>DAVIS MICHAEL</v>
      </c>
      <c r="M116" s="6">
        <f>I116-F116</f>
        <v>3.0462962960882578E-2</v>
      </c>
      <c r="N116" s="7">
        <f>24*60*SUM($M116:$M116)</f>
        <v>43.866666663670912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-06T16:29:02-0700',mode:absolute,to:'2017-11-06T19:16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23.298500000000001</v>
      </c>
      <c r="Z116" s="204">
        <f>RIGHT(H116,LEN(H116)-4)/10000</f>
        <v>2.18E-2</v>
      </c>
      <c r="AA116" s="204">
        <f>ABS(Z116-Y116)</f>
        <v>23.276700000000002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/stypes="app*4049*20171107*" /stext=" 01:.+((SYSTEM_STATE.+slice.+state.+changed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1"/>
        <v>"%USERPROFILE%\Documents\GitHub\eaglep3\Utilities\RefineRTDCRunTimes.py" --tripid 204-06 --locoid 4049 --swversion DE.1.0.9.0 --startMP 204:232985 --initTime 2017-11-06T17:29:02 --startdatetime 2017-11-06T17:32:18 --delay 59 --endMP 204:218 --enddatetime 2017-11-06T18:16:10 --enforcementcount 0 &gt;&gt;%USERPROFILE%\Documents\GitHub\eaglep3-reporting\EC\2017-11-06-refined-times.txt</v>
      </c>
      <c r="AI116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{"issue":{"subject":"","project_id":79,"tracker_id":40,"status_id":1,"priority_id":2,"assigned_to_id":338,"start_date":"2017-11-06","description":"","custom_fields":[{"id":1,"name":"Subdivision","value":"EC"},{"id":4,"name":"Milepost","value":"0.0218"},{"id":17,"name":"Train ID","value":"204-06"},{"id":16,"name":"Locomotive ID","value":"4049"},{"id":130,"name":"Impact","value":""},{"id":150,"name":"Time of Event (Mountain Time)","value":"18:16:10"},{"id":151,"name":"Denver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3"/>
        <v>start /low /b %USERPROFILE%\Documents\GitHub\eaglep3\Utilities\DownloadLogsFromS3.py --loco 4049 --day 2017-11-06</v>
      </c>
      <c r="AN116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01:16:10"},{"id":29,"name":"Sharepoint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5"/>
        <v>https://d0f6bd738d7f1b3e5a7ca70fe4ff75f0.us-east-1.aws.found.io/app/kibana#/discover/Steve-Slow-Train-Analysis-(2080s-and-2083s)?_g=(refreshInterval:(display:Off,pause:!f,section:0,value:0),time:(from:'2017-11-06T16:29:02-0700',mode:absolute,to:'2017-11-06T19:16:10-0700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810</v>
      </c>
      <c r="B117" s="7">
        <v>4010</v>
      </c>
      <c r="C117" s="21" t="s">
        <v>192</v>
      </c>
      <c r="D117" s="21" t="s">
        <v>542</v>
      </c>
      <c r="E117" s="13">
        <v>43045.694131944445</v>
      </c>
      <c r="F117" s="13">
        <v>43045.698437500003</v>
      </c>
      <c r="G117" s="7">
        <v>87</v>
      </c>
      <c r="H117" s="21" t="s">
        <v>965</v>
      </c>
      <c r="I117" s="13">
        <v>43045.730613425927</v>
      </c>
      <c r="J117" s="7">
        <v>0</v>
      </c>
      <c r="K117" s="89" t="str">
        <f>IF(ISEVEN(B117),(B117-1)&amp;"/"&amp;B117,B117&amp;"/"&amp;(B117+1))</f>
        <v>4009/4010</v>
      </c>
      <c r="L117" s="185" t="str">
        <f>VLOOKUP(A117,'Trips&amp;Operators'!$C$1:$G$99911,5,FALSE)</f>
        <v>STEWART MICHAEL</v>
      </c>
      <c r="M117" s="6">
        <f>I117-F117</f>
        <v>3.2175925924093463E-2</v>
      </c>
      <c r="N117" s="7">
        <f>24*60*SUM($M117:$M117)</f>
        <v>46.333333330694586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-06T15:39:33-0700',mode:absolute,to:'2017-11-06T18:32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5.1499999999999997E-2</v>
      </c>
      <c r="Z117" s="204">
        <f>RIGHT(H117,LEN(H117)-4)/10000</f>
        <v>23.288799999999998</v>
      </c>
      <c r="AA117" s="204">
        <f>ABS(Z117-Y117)</f>
        <v>23.237299999999998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/stypes="app*4010*20171107*"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1"/>
        <v>"%USERPROFILE%\Documents\GitHub\eaglep3\Utilities\RefineRTDCRunTimes.py" --tripid 205-06 --locoid 4010 --swversion DE.1.0.9.0 --startMP 204:515 --initTime 2017-11-06T16:39:33 --startdatetime 2017-11-06T16:45:45 --delay 87 --endMP 204:232888 --enddatetime 2017-11-06T17:32:05 --enforcementcount 0 &gt;&gt;%USERPROFILE%\Documents\GitHub\eaglep3-reporting\EC\2017-11-06-refined-times.txt</v>
      </c>
      <c r="AI11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{"issue":{"subject":"","project_id":79,"tracker_id":40,"status_id":1,"priority_id":2,"assigned_to_id":338,"start_date":"2017-11-06","description":"","custom_fields":[{"id":1,"name":"Subdivision","value":"EC"},{"id":4,"name":"Milepost","value":"23.2888"},{"id":17,"name":"Train ID","value":"205-06"},{"id":16,"name":"Locomotive ID","value":"4010"},{"id":130,"name":"Impact","value":""},{"id":150,"name":"Time of Event (Mountain Time)","value":"17:32:05"},{"id":151,"name":"Denver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3"/>
        <v>start /low /b %USERPROFILE%\Documents\GitHub\eaglep3\Utilities\DownloadLogsFromS3.py --loco 4010 --day 2017-11-06</v>
      </c>
      <c r="AN117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00:32:05"},{"id":29,"name":"Sharepoint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5"/>
        <v>https://d0f6bd738d7f1b3e5a7ca70fe4ff75f0.us-east-1.aws.found.io/app/kibana#/discover/Steve-Slow-Train-Analysis-(2080s-and-2083s)?_g=(refreshInterval:(display:Off,pause:!f,section:0,value:0),time:(from:'2017-11-06T15:39:33-0700',mode:absolute,to:'2017-11-06T18:32:05-0700'))&amp;_a=(columns:!('Message%20ID',Summary),filters:!(),index:'emp_*',interval:auto,query:(query_string:(analyze_wildcard:!t,query:'%22rtdc.l.rtdc.4010%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825</v>
      </c>
      <c r="B118" s="7">
        <v>4009</v>
      </c>
      <c r="C118" s="21" t="s">
        <v>192</v>
      </c>
      <c r="D118" s="21" t="s">
        <v>966</v>
      </c>
      <c r="E118" s="13">
        <v>43045.737893518519</v>
      </c>
      <c r="F118" s="13">
        <v>43045.742789351854</v>
      </c>
      <c r="G118" s="7">
        <v>63</v>
      </c>
      <c r="H118" s="21" t="s">
        <v>967</v>
      </c>
      <c r="I118" s="13">
        <v>43045.772650462961</v>
      </c>
      <c r="J118" s="7">
        <v>0</v>
      </c>
      <c r="K118" s="89" t="str">
        <f>IF(ISEVEN(B118),(B118-1)&amp;"/"&amp;B118,B118&amp;"/"&amp;(B118+1))</f>
        <v>4009/4010</v>
      </c>
      <c r="L118" s="185" t="str">
        <f>VLOOKUP(A118,'Trips&amp;Operators'!$C$1:$G$99911,5,FALSE)</f>
        <v>STEWART MICHAEL</v>
      </c>
      <c r="M118" s="6">
        <f>I118-F118</f>
        <v>2.9861111106583849E-2</v>
      </c>
      <c r="N118" s="7">
        <f>24*60*SUM($M118:$M118)</f>
        <v>42.999999993480742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-06T16:42:34-0700',mode:absolute,to:'2017-11-06T19:32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23.262699999999999</v>
      </c>
      <c r="Z118" s="204">
        <f>RIGHT(H118,LEN(H118)-4)/10000</f>
        <v>0.21390000000000001</v>
      </c>
      <c r="AA118" s="204">
        <f>ABS(Z118-Y118)</f>
        <v>23.0488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/stypes="app*4009*20171107*" /stext=" 01:.+((SYSTEM_STATE.+slice.+state.+changed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1"/>
        <v>"%USERPROFILE%\Documents\GitHub\eaglep3\Utilities\RefineRTDCRunTimes.py" --tripid 206-06 --locoid 4009 --swversion DE.1.0.9.0 --startMP 204:232627 --initTime 2017-11-06T17:42:34 --startdatetime 2017-11-06T17:49:37 --delay 63 --endMP 204:2139 --enddatetime 2017-11-06T18:32:37 --enforcementcount 0 &gt;&gt;%USERPROFILE%\Documents\GitHub\eaglep3-reporting\EC\2017-11-06-refined-times.txt</v>
      </c>
      <c r="AI11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{"issue":{"subject":"","project_id":79,"tracker_id":40,"status_id":1,"priority_id":2,"assigned_to_id":338,"start_date":"2017-11-06","description":"","custom_fields":[{"id":1,"name":"Subdivision","value":"EC"},{"id":4,"name":"Milepost","value":"0.2139"},{"id":17,"name":"Train ID","value":"206-06"},{"id":16,"name":"Locomotive ID","value":"4009"},{"id":130,"name":"Impact","value":""},{"id":150,"name":"Time of Event (Mountain Time)","value":"18:32:37"},{"id":151,"name":"Denver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3"/>
        <v>start /low /b %USERPROFILE%\Documents\GitHub\eaglep3\Utilities\DownloadLogsFromS3.py --loco 4009 --day 2017-11-06</v>
      </c>
      <c r="AN118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5"/>
        <v>https://d0f6bd738d7f1b3e5a7ca70fe4ff75f0.us-east-1.aws.found.io/app/kibana#/discover/Steve-Slow-Train-Analysis-(2080s-and-2083s)?_g=(refreshInterval:(display:Off,pause:!f,section:0,value:0),time:(from:'2017-11-06T16:42:34-0700',mode:absolute,to:'2017-11-06T19:32:37-0700'))&amp;_a=(columns:!('Message%20ID',Summary),filters:!(),index:'emp_*',interval:auto,query:(query_string:(analyze_wildcard:!t,query:'%22rtdc.l.rtdc.4009%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813</v>
      </c>
      <c r="B119" s="7">
        <v>4036</v>
      </c>
      <c r="C119" s="21" t="s">
        <v>192</v>
      </c>
      <c r="D119" s="21" t="s">
        <v>968</v>
      </c>
      <c r="E119" s="13">
        <v>43045.704733796294</v>
      </c>
      <c r="F119" s="13">
        <v>43045.708680555559</v>
      </c>
      <c r="G119" s="7">
        <v>88</v>
      </c>
      <c r="H119" s="21" t="s">
        <v>969</v>
      </c>
      <c r="I119" s="13">
        <v>43045.737650462965</v>
      </c>
      <c r="J119" s="7">
        <v>0</v>
      </c>
      <c r="K119" s="89" t="str">
        <f>IF(ISEVEN(B119),(B119-1)&amp;"/"&amp;B119,B119&amp;"/"&amp;(B119+1))</f>
        <v>4035/4036</v>
      </c>
      <c r="L119" s="185" t="str">
        <f>VLOOKUP(A119,'Trips&amp;Operators'!$C$1:$G$99911,5,FALSE)</f>
        <v>ANDREA WILLIAMS</v>
      </c>
      <c r="M119" s="6">
        <f>I119-F119</f>
        <v>2.8969907405553386E-2</v>
      </c>
      <c r="N119" s="7">
        <f>24*60*SUM($M119:$M119)</f>
        <v>41.716666663996875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-06T15:54:49-0700',mode:absolute,to:'2017-11-06T18:42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5.79E-2</v>
      </c>
      <c r="Z119" s="204">
        <f>RIGHT(H119,LEN(H119)-4)/10000</f>
        <v>23.3172</v>
      </c>
      <c r="AA119" s="204">
        <f>ABS(Z119-Y119)</f>
        <v>23.2593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/stypes="app*4036*20171107*"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1"/>
        <v>"%USERPROFILE%\Documents\GitHub\eaglep3\Utilities\RefineRTDCRunTimes.py" --tripid 207-06 --locoid 4036 --swversion DE.1.0.9.0 --startMP 204:579 --initTime 2017-11-06T16:54:49 --startdatetime 2017-11-06T17:00:30 --delay 88 --endMP 204:233172 --enddatetime 2017-11-06T17:42:13 --enforcementcount 0 &gt;&gt;%USERPROFILE%\Documents\GitHub\eaglep3-reporting\EC\2017-11-06-refined-times.txt</v>
      </c>
      <c r="AI11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{"issue":{"subject":"","project_id":79,"tracker_id":40,"status_id":1,"priority_id":2,"assigned_to_id":338,"start_date":"2017-11-06","description":"","custom_fields":[{"id":1,"name":"Subdivision","value":"EC"},{"id":4,"name":"Milepost","value":"23.3172"},{"id":17,"name":"Train ID","value":"207-06"},{"id":16,"name":"Locomotive ID","value":"4036"},{"id":130,"name":"Impact","value":""},{"id":150,"name":"Time of Event (Mountain Time)","value":"17:42:13"},{"id":151,"name":"Denver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3"/>
        <v>start /low /b %USERPROFILE%\Documents\GitHub\eaglep3\Utilities\DownloadLogsFromS3.py --loco 4036 --day 2017-11-06</v>
      </c>
      <c r="AN119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00:42:13"},{"id":29,"name":"Sharepoint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5"/>
        <v>https://d0f6bd738d7f1b3e5a7ca70fe4ff75f0.us-east-1.aws.found.io/app/kibana#/discover/Steve-Slow-Train-Analysis-(2080s-and-2083s)?_g=(refreshInterval:(display:Off,pause:!f,section:0,value:0),time:(from:'2017-11-06T15:54:49-0700',mode:absolute,to:'2017-11-06T18:42:13-0700'))&amp;_a=(columns:!('Message%20ID',Summary),filters:!(),index:'emp_*',interval:auto,query:(query_string:(analyze_wildcard:!t,query:'%22rtdc.l.rtdc.4036%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826</v>
      </c>
      <c r="B120" s="7">
        <v>4035</v>
      </c>
      <c r="C120" s="21" t="s">
        <v>192</v>
      </c>
      <c r="D120" s="21" t="s">
        <v>970</v>
      </c>
      <c r="E120" s="13">
        <v>43045.746203703704</v>
      </c>
      <c r="F120" s="13">
        <v>43045.748240740744</v>
      </c>
      <c r="G120" s="7">
        <v>75</v>
      </c>
      <c r="H120" s="21" t="s">
        <v>971</v>
      </c>
      <c r="I120" s="13">
        <v>43045.778379629628</v>
      </c>
      <c r="J120" s="7">
        <v>0</v>
      </c>
      <c r="K120" s="89" t="str">
        <f>IF(ISEVEN(B120),(B120-1)&amp;"/"&amp;B120,B120&amp;"/"&amp;(B120+1))</f>
        <v>4035/4036</v>
      </c>
      <c r="L120" s="185" t="str">
        <f>VLOOKUP(A120,'Trips&amp;Operators'!$C$1:$G$99911,5,FALSE)</f>
        <v>ANDREA WILLIAMS</v>
      </c>
      <c r="M120" s="6">
        <f>I120-F120</f>
        <v>3.0138888883811887E-2</v>
      </c>
      <c r="N120" s="7">
        <f>24*60*SUM($M120:$M120)</f>
        <v>43.399999992689118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-06T16:54:32-0700',mode:absolute,to:'2017-11-06T19:40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23.285499999999999</v>
      </c>
      <c r="Z120" s="204">
        <f>RIGHT(H120,LEN(H120)-4)/10000</f>
        <v>2.4500000000000001E-2</v>
      </c>
      <c r="AA120" s="204">
        <f>ABS(Z120-Y120)</f>
        <v>23.260999999999999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/stypes="app*4035*20171107*" /stext=" 01:.+((SYSTEM_STATE.+slice.+state.+changed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1"/>
        <v>"%USERPROFILE%\Documents\GitHub\eaglep3\Utilities\RefineRTDCRunTimes.py" --tripid 208-06 --locoid 4035 --swversion DE.1.0.9.0 --startMP 204:232855 --initTime 2017-11-06T17:54:32 --startdatetime 2017-11-06T17:57:28 --delay 75 --endMP 204:245 --enddatetime 2017-11-06T18:40:52 --enforcementcount 0 &gt;&gt;%USERPROFILE%\Documents\GitHub\eaglep3-reporting\EC\2017-11-06-refined-times.txt</v>
      </c>
      <c r="AI12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{"issue":{"subject":"","project_id":79,"tracker_id":40,"status_id":1,"priority_id":2,"assigned_to_id":338,"start_date":"2017-11-06","description":"","custom_fields":[{"id":1,"name":"Subdivision","value":"EC"},{"id":4,"name":"Milepost","value":"0.0245"},{"id":17,"name":"Train ID","value":"208-06"},{"id":16,"name":"Locomotive ID","value":"4035"},{"id":130,"name":"Impact","value":""},{"id":150,"name":"Time of Event (Mountain Time)","value":"18:40:52"},{"id":151,"name":"Denver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3"/>
        <v>start /low /b %USERPROFILE%\Documents\GitHub\eaglep3\Utilities\DownloadLogsFromS3.py --loco 4035 --day 2017-11-06</v>
      </c>
      <c r="AN120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5"/>
        <v>https://d0f6bd738d7f1b3e5a7ca70fe4ff75f0.us-east-1.aws.found.io/app/kibana#/discover/Steve-Slow-Train-Analysis-(2080s-and-2083s)?_g=(refreshInterval:(display:Off,pause:!f,section:0,value:0),time:(from:'2017-11-06T16:54:32-0700',mode:absolute,to:'2017-11-06T19:40:52-0700'))&amp;_a=(columns:!('Message%20ID',Summary),filters:!(),index:'emp_*',interval:auto,query:(query_string:(analyze_wildcard:!t,query:'%22rtdc.l.rtdc.4035%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817</v>
      </c>
      <c r="B121" s="7">
        <v>4004</v>
      </c>
      <c r="C121" s="21" t="s">
        <v>192</v>
      </c>
      <c r="D121" s="21" t="s">
        <v>479</v>
      </c>
      <c r="E121" s="13">
        <v>43045.713761574072</v>
      </c>
      <c r="F121" s="13">
        <v>43045.7190162037</v>
      </c>
      <c r="G121" s="7">
        <v>49</v>
      </c>
      <c r="H121" s="21" t="s">
        <v>972</v>
      </c>
      <c r="I121" s="13">
        <v>43045.747337962966</v>
      </c>
      <c r="J121" s="7">
        <v>0</v>
      </c>
      <c r="K121" s="89" t="str">
        <f>IF(ISEVEN(B121),(B121-1)&amp;"/"&amp;B121,B121&amp;"/"&amp;(B121+1))</f>
        <v>4003/4004</v>
      </c>
      <c r="L121" s="185" t="str">
        <f>VLOOKUP(A121,'Trips&amp;Operators'!$C$1:$G$99911,5,FALSE)</f>
        <v>GUZMAN DANNY</v>
      </c>
      <c r="M121" s="6">
        <f>I121-F121</f>
        <v>2.8321759265963919E-2</v>
      </c>
      <c r="N121" s="7">
        <f>24*60*SUM($M121:$M121)</f>
        <v>40.783333342988044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-06T16:07:49-0700',mode:absolute,to:'2017-11-06T18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5.5899999999999998E-2</v>
      </c>
      <c r="Z121" s="204">
        <f>RIGHT(H121,LEN(H121)-4)/10000</f>
        <v>23.316700000000001</v>
      </c>
      <c r="AA121" s="204">
        <f>ABS(Z121-Y121)</f>
        <v>23.2608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/stypes="app*4004*20171107*"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1"/>
        <v>"%USERPROFILE%\Documents\GitHub\eaglep3\Utilities\RefineRTDCRunTimes.py" --tripid 209-06 --locoid 4004 --swversion DE.1.0.9.0 --startMP 204:559 --initTime 2017-11-06T17:07:49 --startdatetime 2017-11-06T17:15:23 --delay 49 --endMP 204:233167 --enddatetime 2017-11-06T17:56:10 --enforcementcount 0 &gt;&gt;%USERPROFILE%\Documents\GitHub\eaglep3-reporting\EC\2017-11-06-refined-times.txt</v>
      </c>
      <c r="AI12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{"issue":{"subject":"","project_id":79,"tracker_id":40,"status_id":1,"priority_id":2,"assigned_to_id":338,"start_date":"2017-11-06","description":"","custom_fields":[{"id":1,"name":"Subdivision","value":"EC"},{"id":4,"name":"Milepost","value":"23.3167"},{"id":17,"name":"Train ID","value":"209-06"},{"id":16,"name":"Locomotive ID","value":"4004"},{"id":130,"name":"Impact","value":""},{"id":150,"name":"Time of Event (Mountain Time)","value":"17:56:10"},{"id":151,"name":"Denver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3"/>
        <v>start /low /b %USERPROFILE%\Documents\GitHub\eaglep3\Utilities\DownloadLogsFromS3.py --loco 4004 --day 2017-11-06</v>
      </c>
      <c r="AN121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5"/>
        <v>https://d0f6bd738d7f1b3e5a7ca70fe4ff75f0.us-east-1.aws.found.io/app/kibana#/discover/Steve-Slow-Train-Analysis-(2080s-and-2083s)?_g=(refreshInterval:(display:Off,pause:!f,section:0,value:0),time:(from:'2017-11-06T16:07:49-0700',mode:absolute,to:'2017-11-06T18:56:10-0700'))&amp;_a=(columns:!('Message%20ID',Summary),filters:!(),index:'emp_*',interval:auto,query:(query_string:(analyze_wildcard:!t,query:'%22rtdc.l.rtdc.4004%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829</v>
      </c>
      <c r="B122" s="7">
        <v>4003</v>
      </c>
      <c r="C122" s="21" t="s">
        <v>192</v>
      </c>
      <c r="D122" s="21" t="s">
        <v>973</v>
      </c>
      <c r="E122" s="13">
        <v>43045.748495370368</v>
      </c>
      <c r="F122" s="13">
        <v>43045.758715277778</v>
      </c>
      <c r="G122" s="7">
        <v>47</v>
      </c>
      <c r="H122" s="21" t="s">
        <v>481</v>
      </c>
      <c r="I122" s="13">
        <v>43045.786782407406</v>
      </c>
      <c r="J122" s="7">
        <v>0</v>
      </c>
      <c r="K122" s="89" t="str">
        <f>IF(ISEVEN(B122),(B122-1)&amp;"/"&amp;B122,B122&amp;"/"&amp;(B122+1))</f>
        <v>4003/4004</v>
      </c>
      <c r="L122" s="185" t="str">
        <f>VLOOKUP(A122,'Trips&amp;Operators'!$C$1:$G$99911,5,FALSE)</f>
        <v>GUZMAN DANNY</v>
      </c>
      <c r="M122" s="6">
        <f>I122-F122</f>
        <v>2.806712962774327E-2</v>
      </c>
      <c r="N122" s="7">
        <f>24*60*SUM($M122:$M122)</f>
        <v>40.416666663950309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-06T16:57:50-0700',mode:absolute,to:'2017-11-06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23.284400000000002</v>
      </c>
      <c r="Z122" s="204">
        <f>RIGHT(H122,LEN(H122)-4)/10000</f>
        <v>2.3599999999999999E-2</v>
      </c>
      <c r="AA122" s="204">
        <f>ABS(Z122-Y122)</f>
        <v>23.260800000000003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/stypes="app*4003*20171107*" /stext=" 01:.+((SYSTEM_STATE.+slice.+state.+changed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1"/>
        <v>"%USERPROFILE%\Documents\GitHub\eaglep3\Utilities\RefineRTDCRunTimes.py" --tripid 210-06 --locoid 4003 --swversion DE.1.0.9.0 --startMP 204:232844 --initTime 2017-11-06T17:57:50 --startdatetime 2017-11-06T18:12:33 --delay 47 --endMP 204:236 --enddatetime 2017-11-06T18:52:58 --enforcementcount 0 &gt;&gt;%USERPROFILE%\Documents\GitHub\eaglep3-reporting\EC\2017-11-06-refined-times.txt</v>
      </c>
      <c r="AI122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{"issue":{"subject":"","project_id":79,"tracker_id":40,"status_id":1,"priority_id":2,"assigned_to_id":338,"start_date":"2017-11-06","description":"","custom_fields":[{"id":1,"name":"Subdivision","value":"EC"},{"id":4,"name":"Milepost","value":"0.0236"},{"id":17,"name":"Train ID","value":"210-06"},{"id":16,"name":"Locomotive ID","value":"4003"},{"id":130,"name":"Impact","value":""},{"id":150,"name":"Time of Event (Mountain Time)","value":"18:52:58"},{"id":151,"name":"Denver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3"/>
        <v>start /low /b %USERPROFILE%\Documents\GitHub\eaglep3\Utilities\DownloadLogsFromS3.py --loco 4003 --day 2017-11-06</v>
      </c>
      <c r="AN122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5"/>
        <v>https://d0f6bd738d7f1b3e5a7ca70fe4ff75f0.us-east-1.aws.found.io/app/kibana#/discover/Steve-Slow-Train-Analysis-(2080s-and-2083s)?_g=(refreshInterval:(display:Off,pause:!f,section:0,value:0),time:(from:'2017-11-06T16:57:50-0700',mode:absolute,to:'2017-11-06T19:52:58-0700'))&amp;_a=(columns:!('Message%20ID',Summary),filters:!(),index:'emp_*',interval:auto,query:(query_string:(analyze_wildcard:!t,query:'%22rtdc.l.rtdc.4003%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819</v>
      </c>
      <c r="B123" s="7">
        <v>4016</v>
      </c>
      <c r="C123" s="21" t="s">
        <v>192</v>
      </c>
      <c r="D123" s="21" t="s">
        <v>553</v>
      </c>
      <c r="E123" s="13">
        <v>43045.726145833331</v>
      </c>
      <c r="F123" s="13">
        <v>43045.729456018518</v>
      </c>
      <c r="G123" s="7">
        <v>91</v>
      </c>
      <c r="H123" s="21" t="s">
        <v>974</v>
      </c>
      <c r="I123" s="13">
        <v>43045.756898148145</v>
      </c>
      <c r="J123" s="7">
        <v>0</v>
      </c>
      <c r="K123" s="89" t="str">
        <f>IF(ISEVEN(B123),(B123-1)&amp;"/"&amp;B123,B123&amp;"/"&amp;(B123+1))</f>
        <v>4015/4016</v>
      </c>
      <c r="L123" s="185" t="str">
        <f>VLOOKUP(A123,'Trips&amp;Operators'!$C$1:$G$99911,5,FALSE)</f>
        <v>SAFIEF AEIMEN</v>
      </c>
      <c r="M123" s="6">
        <f>I123-F123</f>
        <v>2.7442129627161194E-2</v>
      </c>
      <c r="N123" s="7">
        <f>24*60*SUM($M123:$M123)</f>
        <v>39.516666663112119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-06T16:25:39-0700',mode:absolute,to:'2017-11-06T19:09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5.0599999999999999E-2</v>
      </c>
      <c r="Z123" s="204">
        <f>RIGHT(H123,LEN(H123)-4)/10000</f>
        <v>23.319600000000001</v>
      </c>
      <c r="AA123" s="204">
        <f>ABS(Z123-Y123)</f>
        <v>23.269000000000002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/stypes="app*4016*20171107*" /stext=" 01:.+((SYSTEM_STATE.+slice.+state.+changed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1"/>
        <v>"%USERPROFILE%\Documents\GitHub\eaglep3\Utilities\RefineRTDCRunTimes.py" --tripid 211-06 --locoid 4016 --swversion DE.1.0.9.0 --startMP 204:506 --initTime 2017-11-06T17:25:39 --startdatetime 2017-11-06T17:30:25 --delay 91 --endMP 204:233196 --enddatetime 2017-11-06T18:09:56 --enforcementcount 0 &gt;&gt;%USERPROFILE%\Documents\GitHub\eaglep3-reporting\EC\2017-11-06-refined-times.txt</v>
      </c>
      <c r="AI12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{"issue":{"subject":"","project_id":79,"tracker_id":40,"status_id":1,"priority_id":2,"assigned_to_id":338,"start_date":"2017-11-06","description":"","custom_fields":[{"id":1,"name":"Subdivision","value":"EC"},{"id":4,"name":"Milepost","value":"23.3196"},{"id":17,"name":"Train ID","value":"211-06"},{"id":16,"name":"Locomotive ID","value":"4016"},{"id":130,"name":"Impact","value":""},{"id":150,"name":"Time of Event (Mountain Time)","value":"18:09:56"},{"id":151,"name":"Denver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3"/>
        <v>start /low /b %USERPROFILE%\Documents\GitHub\eaglep3\Utilities\DownloadLogsFromS3.py --loco 4016 --day 2017-11-06</v>
      </c>
      <c r="AN123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5"/>
        <v>https://d0f6bd738d7f1b3e5a7ca70fe4ff75f0.us-east-1.aws.found.io/app/kibana#/discover/Steve-Slow-Train-Analysis-(2080s-and-2083s)?_g=(refreshInterval:(display:Off,pause:!f,section:0,value:0),time:(from:'2017-11-06T16:25:39-0700',mode:absolute,to:'2017-11-06T19:09:56-0700'))&amp;_a=(columns:!('Message%20ID',Summary),filters:!(),index:'emp_*',interval:auto,query:(query_string:(analyze_wildcard:!t,query:'%22rtdc.l.rtdc.4016%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832</v>
      </c>
      <c r="B124" s="7">
        <v>4015</v>
      </c>
      <c r="C124" s="21" t="s">
        <v>192</v>
      </c>
      <c r="D124" s="21" t="s">
        <v>975</v>
      </c>
      <c r="E124" s="13">
        <v>43045.763703703706</v>
      </c>
      <c r="F124" s="13">
        <v>43045.768946759257</v>
      </c>
      <c r="G124" s="7">
        <v>102</v>
      </c>
      <c r="H124" s="21" t="s">
        <v>582</v>
      </c>
      <c r="I124" s="13">
        <v>43045.79515046296</v>
      </c>
      <c r="J124" s="7">
        <v>0</v>
      </c>
      <c r="K124" s="89" t="str">
        <f>IF(ISEVEN(B124),(B124-1)&amp;"/"&amp;B124,B124&amp;"/"&amp;(B124+1))</f>
        <v>4015/4016</v>
      </c>
      <c r="L124" s="185" t="str">
        <f>VLOOKUP(A124,'Trips&amp;Operators'!$C$1:$G$99911,5,FALSE)</f>
        <v>SAFIEF AEIMEN</v>
      </c>
      <c r="M124" s="6">
        <f>I124-F124</f>
        <v>2.6203703702776693E-2</v>
      </c>
      <c r="N124" s="7">
        <f>24*60*SUM($M124:$M124)</f>
        <v>37.733333331998438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-06T17:19:44-0700',mode:absolute,to:'2017-11-06T20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23.2879</v>
      </c>
      <c r="Z124" s="204">
        <f>RIGHT(H124,LEN(H124)-4)/10000</f>
        <v>1.9800000000000002E-2</v>
      </c>
      <c r="AA124" s="204">
        <f>ABS(Z124-Y124)</f>
        <v>23.2681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/stypes="app*4015*20171107*" /stext=" 02:.+((SYSTEM_STATE.+slice.+state.+changed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1"/>
        <v>"%USERPROFILE%\Documents\GitHub\eaglep3\Utilities\RefineRTDCRunTimes.py" --tripid 212-06 --locoid 4015 --swversion DE.1.0.9.0 --startMP 204:232879 --initTime 2017-11-06T18:19:44 --startdatetime 2017-11-06T18:27:17 --delay 102 --endMP 204:198 --enddatetime 2017-11-06T19:05:01 --enforcementcount 0 &gt;&gt;%USERPROFILE%\Documents\GitHub\eaglep3-reporting\EC\2017-11-06-refined-times.txt</v>
      </c>
      <c r="AI12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{"issue":{"subject":"","project_id":79,"tracker_id":40,"status_id":1,"priority_id":2,"assigned_to_id":338,"start_date":"2017-11-06","description":"","custom_fields":[{"id":1,"name":"Subdivision","value":"EC"},{"id":4,"name":"Milepost","value":"0.0198"},{"id":17,"name":"Train ID","value":"212-06"},{"id":16,"name":"Locomotive ID","value":"4015"},{"id":130,"name":"Impact","value":""},{"id":150,"name":"Time of Event (Mountain Time)","value":"19:05:01"},{"id":151,"name":"Denver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3"/>
        <v>start /low /b %USERPROFILE%\Documents\GitHub\eaglep3\Utilities\DownloadLogsFromS3.py --loco 4015 --day 2017-11-06</v>
      </c>
      <c r="AN124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5"/>
        <v>https://d0f6bd738d7f1b3e5a7ca70fe4ff75f0.us-east-1.aws.found.io/app/kibana#/discover/Steve-Slow-Train-Analysis-(2080s-and-2083s)?_g=(refreshInterval:(display:Off,pause:!f,section:0,value:0),time:(from:'2017-11-06T17:19:44-0700',mode:absolute,to:'2017-11-06T20:05:01-0700'))&amp;_a=(columns:!('Message%20ID',Summary),filters:!(),index:'emp_*',interval:auto,query:(query_string:(analyze_wildcard:!t,query:'%22rtdc.l.rtdc.4015%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824</v>
      </c>
      <c r="B125" s="7">
        <v>4032</v>
      </c>
      <c r="C125" s="21" t="s">
        <v>192</v>
      </c>
      <c r="D125" s="21" t="s">
        <v>976</v>
      </c>
      <c r="E125" s="13">
        <v>43045.736122685186</v>
      </c>
      <c r="F125" s="13">
        <v>43045.739849537036</v>
      </c>
      <c r="G125" s="7">
        <v>137</v>
      </c>
      <c r="H125" s="21" t="s">
        <v>617</v>
      </c>
      <c r="I125" s="13">
        <v>43045.768067129633</v>
      </c>
      <c r="J125" s="7">
        <v>0</v>
      </c>
      <c r="K125" s="89" t="str">
        <f>IF(ISEVEN(B125),(B125-1)&amp;"/"&amp;B125,B125&amp;"/"&amp;(B125+1))</f>
        <v>4031/4032</v>
      </c>
      <c r="L125" s="185" t="str">
        <f>VLOOKUP(A125,'Trips&amp;Operators'!$C$1:$G$99911,5,FALSE)</f>
        <v>LOZA FIDEL</v>
      </c>
      <c r="M125" s="6">
        <f>I125-F125</f>
        <v>2.8217592596774921E-2</v>
      </c>
      <c r="N125" s="7">
        <f>24*60*SUM($M125:$M125)</f>
        <v>40.633333339355886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-06T16:40:01-0700',mode:absolute,to:'2017-11-06T19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5.28E-2</v>
      </c>
      <c r="Z125" s="204">
        <f>RIGHT(H125,LEN(H125)-4)/10000</f>
        <v>23.325099999999999</v>
      </c>
      <c r="AA125" s="204">
        <f>ABS(Z125-Y125)</f>
        <v>23.272299999999998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/stypes="app*4032*20171107*"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1"/>
        <v>"%USERPROFILE%\Documents\GitHub\eaglep3\Utilities\RefineRTDCRunTimes.py" --tripid 213-06 --locoid 4032 --swversion DE.1.0.9.0 --startMP 204:528 --initTime 2017-11-06T17:40:01 --startdatetime 2017-11-06T17:45:23 --delay 137 --endMP 204:233251 --enddatetime 2017-11-06T18:26:01 --enforcementcount 0 &gt;&gt;%USERPROFILE%\Documents\GitHub\eaglep3-reporting\EC\2017-11-06-refined-times.txt</v>
      </c>
      <c r="AI12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{"issue":{"subject":"","project_id":79,"tracker_id":40,"status_id":1,"priority_id":2,"assigned_to_id":338,"start_date":"2017-11-06","description":"","custom_fields":[{"id":1,"name":"Subdivision","value":"EC"},{"id":4,"name":"Milepost","value":"23.3251"},{"id":17,"name":"Train ID","value":"213-06"},{"id":16,"name":"Locomotive ID","value":"4032"},{"id":130,"name":"Impact","value":""},{"id":150,"name":"Time of Event (Mountain Time)","value":"18:26:01"},{"id":151,"name":"Denver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3"/>
        <v>start /low /b %USERPROFILE%\Documents\GitHub\eaglep3\Utilities\DownloadLogsFromS3.py --loco 4032 --day 2017-11-06</v>
      </c>
      <c r="AN125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5"/>
        <v>https://d0f6bd738d7f1b3e5a7ca70fe4ff75f0.us-east-1.aws.found.io/app/kibana#/discover/Steve-Slow-Train-Analysis-(2080s-and-2083s)?_g=(refreshInterval:(display:Off,pause:!f,section:0,value:0),time:(from:'2017-11-06T16:40:01-0700',mode:absolute,to:'2017-11-06T19:26:01-0700'))&amp;_a=(columns:!('Message%20ID',Summary),filters:!(),index:'emp_*',interval:auto,query:(query_string:(analyze_wildcard:!t,query:'%22rtdc.l.rtdc.4032%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836</v>
      </c>
      <c r="B126" s="7">
        <v>4031</v>
      </c>
      <c r="C126" s="21" t="s">
        <v>192</v>
      </c>
      <c r="D126" s="21" t="s">
        <v>526</v>
      </c>
      <c r="E126" s="13">
        <v>43045.777222222219</v>
      </c>
      <c r="F126" s="13">
        <v>43045.779432870368</v>
      </c>
      <c r="G126" s="7">
        <v>106</v>
      </c>
      <c r="H126" s="21" t="s">
        <v>530</v>
      </c>
      <c r="I126" s="13">
        <v>43045.805046296293</v>
      </c>
      <c r="J126" s="7">
        <v>0</v>
      </c>
      <c r="K126" s="89" t="str">
        <f>IF(ISEVEN(B126),(B126-1)&amp;"/"&amp;B126,B126&amp;"/"&amp;(B126+1))</f>
        <v>4031/4032</v>
      </c>
      <c r="L126" s="185" t="str">
        <f>VLOOKUP(A126,'Trips&amp;Operators'!$C$1:$G$99911,5,FALSE)</f>
        <v>LOZA FIDEL</v>
      </c>
      <c r="M126" s="6">
        <f>I126-F126</f>
        <v>2.5613425925257616E-2</v>
      </c>
      <c r="N126" s="7">
        <f>24*60*SUM($M126:$M126)</f>
        <v>36.883333332370967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-06T17:39:12-0700',mode:absolute,to:'2017-11-06T20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23.292999999999999</v>
      </c>
      <c r="Z126" s="204">
        <f>RIGHT(H126,LEN(H126)-4)/10000</f>
        <v>2.0500000000000001E-2</v>
      </c>
      <c r="AA126" s="204">
        <f>ABS(Z126-Y126)</f>
        <v>23.272500000000001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/stypes="app*4031*20171107*" /stext=" 02:.+((SYSTEM_STATE.+slice.+state.+changed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1"/>
        <v>"%USERPROFILE%\Documents\GitHub\eaglep3\Utilities\RefineRTDCRunTimes.py" --tripid 214-06 --locoid 4031 --swversion DE.1.0.9.0 --startMP 204:232930 --initTime 2017-11-06T18:39:12 --startdatetime 2017-11-06T18:42:23 --delay 106 --endMP 204:205 --enddatetime 2017-11-06T19:19:16 --enforcementcount 0 &gt;&gt;%USERPROFILE%\Documents\GitHub\eaglep3-reporting\EC\2017-11-06-refined-times.txt</v>
      </c>
      <c r="AI126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{"issue":{"subject":"","project_id":79,"tracker_id":40,"status_id":1,"priority_id":2,"assigned_to_id":338,"start_date":"2017-11-06","description":"","custom_fields":[{"id":1,"name":"Subdivision","value":"EC"},{"id":4,"name":"Milepost","value":"0.0205"},{"id":17,"name":"Train ID","value":"214-06"},{"id":16,"name":"Locomotive ID","value":"4031"},{"id":130,"name":"Impact","value":""},{"id":150,"name":"Time of Event (Mountain Time)","value":"19:19:16"},{"id":151,"name":"Denver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3"/>
        <v>start /low /b %USERPROFILE%\Documents\GitHub\eaglep3\Utilities\DownloadLogsFromS3.py --loco 4031 --day 2017-11-06</v>
      </c>
      <c r="AN126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5"/>
        <v>https://d0f6bd738d7f1b3e5a7ca70fe4ff75f0.us-east-1.aws.found.io/app/kibana#/discover/Steve-Slow-Train-Analysis-(2080s-and-2083s)?_g=(refreshInterval:(display:Off,pause:!f,section:0,value:0),time:(from:'2017-11-06T17:39:12-0700',mode:absolute,to:'2017-11-06T20:19:16-0700'))&amp;_a=(columns:!('Message%20ID',Summary),filters:!(),index:'emp_*',interval:auto,query:(query_string:(analyze_wildcard:!t,query:'%22rtdc.l.rtdc.4031%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830</v>
      </c>
      <c r="B127" s="7">
        <v>4012</v>
      </c>
      <c r="C127" s="21" t="s">
        <v>192</v>
      </c>
      <c r="D127" s="21" t="s">
        <v>603</v>
      </c>
      <c r="E127" s="13">
        <v>43045.749201388891</v>
      </c>
      <c r="F127" s="13">
        <v>43045.750752314816</v>
      </c>
      <c r="G127" s="7">
        <v>60</v>
      </c>
      <c r="H127" s="21" t="s">
        <v>977</v>
      </c>
      <c r="I127" s="13">
        <v>43045.775821759256</v>
      </c>
      <c r="J127" s="7">
        <v>0</v>
      </c>
      <c r="K127" s="89" t="str">
        <f>IF(ISEVEN(B127),(B127-1)&amp;"/"&amp;B127,B127&amp;"/"&amp;(B127+1))</f>
        <v>4011/4012</v>
      </c>
      <c r="L127" s="185" t="str">
        <f>VLOOKUP(A127,'Trips&amp;Operators'!$C$1:$G$99911,5,FALSE)</f>
        <v>SMITH MICHAEL</v>
      </c>
      <c r="M127" s="6">
        <f>I127-F127</f>
        <v>2.5069444440305233E-2</v>
      </c>
      <c r="N127" s="7">
        <f>24*60*SUM($M127:$M127)</f>
        <v>36.099999994039536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-06T16:58:51-0700',mode:absolute,to:'2017-11-06T19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5.7099999999999998E-2</v>
      </c>
      <c r="Z127" s="204">
        <f>RIGHT(H127,LEN(H127)-4)/10000</f>
        <v>23.327999999999999</v>
      </c>
      <c r="AA127" s="204">
        <f>ABS(Z127-Y127)</f>
        <v>23.270900000000001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/stypes="app*4012*20171107*"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1"/>
        <v>"%USERPROFILE%\Documents\GitHub\eaglep3\Utilities\RefineRTDCRunTimes.py" --tripid 215-06 --locoid 4012 --swversion DE.1.0.9.0 --startMP 204:571 --initTime 2017-11-06T17:58:51 --startdatetime 2017-11-06T18:01:05 --delay 60 --endMP 204:233280 --enddatetime 2017-11-06T18:37:11 --enforcementcount 0 &gt;&gt;%USERPROFILE%\Documents\GitHub\eaglep3-reporting\EC\2017-11-06-refined-times.txt</v>
      </c>
      <c r="AI12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{"issue":{"subject":"","project_id":79,"tracker_id":40,"status_id":1,"priority_id":2,"assigned_to_id":338,"start_date":"2017-11-06","description":"","custom_fields":[{"id":1,"name":"Subdivision","value":"EC"},{"id":4,"name":"Milepost","value":"23.328"},{"id":17,"name":"Train ID","value":"215-06"},{"id":16,"name":"Locomotive ID","value":"4012"},{"id":130,"name":"Impact","value":""},{"id":150,"name":"Time of Event (Mountain Time)","value":"18:37:11"},{"id":151,"name":"Denver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3"/>
        <v>start /low /b %USERPROFILE%\Documents\GitHub\eaglep3\Utilities\DownloadLogsFromS3.py --loco 4012 --day 2017-11-06</v>
      </c>
      <c r="AN127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5"/>
        <v>https://d0f6bd738d7f1b3e5a7ca70fe4ff75f0.us-east-1.aws.found.io/app/kibana#/discover/Steve-Slow-Train-Analysis-(2080s-and-2083s)?_g=(refreshInterval:(display:Off,pause:!f,section:0,value:0),time:(from:'2017-11-06T16:58:51-0700',mode:absolute,to:'2017-11-06T19:37:11-0700'))&amp;_a=(columns:!('Message%20ID',Summary),filters:!(),index:'emp_*',interval:auto,query:(query_string:(analyze_wildcard:!t,query:'%22rtdc.l.rtdc.4012%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837</v>
      </c>
      <c r="B128" s="7">
        <v>4011</v>
      </c>
      <c r="C128" s="21" t="s">
        <v>192</v>
      </c>
      <c r="D128" s="21" t="s">
        <v>905</v>
      </c>
      <c r="E128" s="13">
        <v>43045.780509259261</v>
      </c>
      <c r="F128" s="13">
        <v>43045.789988425924</v>
      </c>
      <c r="G128" s="7">
        <v>62</v>
      </c>
      <c r="H128" s="21" t="s">
        <v>922</v>
      </c>
      <c r="I128" s="13">
        <v>43045.816238425927</v>
      </c>
      <c r="J128" s="7">
        <v>0</v>
      </c>
      <c r="K128" s="89" t="str">
        <f>IF(ISEVEN(B128),(B128-1)&amp;"/"&amp;B128,B128&amp;"/"&amp;(B128+1))</f>
        <v>4011/4012</v>
      </c>
      <c r="L128" s="185" t="str">
        <f>VLOOKUP(A128,'Trips&amp;Operators'!$C$1:$G$99911,5,FALSE)</f>
        <v>SMITH MICHAEL</v>
      </c>
      <c r="M128" s="6">
        <f>I128-F128</f>
        <v>2.6250000002619345E-2</v>
      </c>
      <c r="N128" s="7">
        <f>24*60*SUM($M128:$M128)</f>
        <v>37.800000003771856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-06T17:43:56-0700',mode:absolute,to:'2017-11-06T20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23.2957</v>
      </c>
      <c r="Z128" s="204">
        <f>RIGHT(H128,LEN(H128)-4)/10000</f>
        <v>1.8100000000000002E-2</v>
      </c>
      <c r="AA128" s="204">
        <f>ABS(Z128-Y128)</f>
        <v>23.2776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/stypes="app*4011*20171107*" /stext=" 02:.+((SYSTEM_STATE.+slice.+state.+changed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1"/>
        <v>"%USERPROFILE%\Documents\GitHub\eaglep3\Utilities\RefineRTDCRunTimes.py" --tripid 216-06 --locoid 4011 --swversion DE.1.0.9.0 --startMP 204:232957 --initTime 2017-11-06T18:43:56 --startdatetime 2017-11-06T18:57:35 --delay 62 --endMP 204:181 --enddatetime 2017-11-06T19:35:23 --enforcementcount 0 &gt;&gt;%USERPROFILE%\Documents\GitHub\eaglep3-reporting\EC\2017-11-06-refined-times.txt</v>
      </c>
      <c r="AI128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{"issue":{"subject":"","project_id":79,"tracker_id":40,"status_id":1,"priority_id":2,"assigned_to_id":338,"start_date":"2017-11-06","description":"","custom_fields":[{"id":1,"name":"Subdivision","value":"EC"},{"id":4,"name":"Milepost","value":"0.0181"},{"id":17,"name":"Train ID","value":"216-06"},{"id":16,"name":"Locomotive ID","value":"4011"},{"id":130,"name":"Impact","value":""},{"id":150,"name":"Time of Event (Mountain Time)","value":"19:35:23"},{"id":151,"name":"Denver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3"/>
        <v>start /low /b %USERPROFILE%\Documents\GitHub\eaglep3\Utilities\DownloadLogsFromS3.py --loco 4011 --day 2017-11-06</v>
      </c>
      <c r="AN128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5"/>
        <v>https://d0f6bd738d7f1b3e5a7ca70fe4ff75f0.us-east-1.aws.found.io/app/kibana#/discover/Steve-Slow-Train-Analysis-(2080s-and-2083s)?_g=(refreshInterval:(display:Off,pause:!f,section:0,value:0),time:(from:'2017-11-06T17:43:56-0700',mode:absolute,to:'2017-11-06T20:35:23-0700'))&amp;_a=(columns:!('Message%20ID',Summary),filters:!(),index:'emp_*',interval:auto,query:(query_string:(analyze_wildcard:!t,query:'%22rtdc.l.rtdc.4011%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831</v>
      </c>
      <c r="B129" s="7">
        <v>4014</v>
      </c>
      <c r="C129" s="21" t="s">
        <v>192</v>
      </c>
      <c r="D129" s="21" t="s">
        <v>978</v>
      </c>
      <c r="E129" s="13">
        <v>43045.754305555558</v>
      </c>
      <c r="F129" s="13">
        <v>43045.760682870372</v>
      </c>
      <c r="G129" s="7">
        <v>83</v>
      </c>
      <c r="H129" s="21" t="s">
        <v>617</v>
      </c>
      <c r="I129" s="13">
        <v>43045.786030092589</v>
      </c>
      <c r="J129" s="7">
        <v>0</v>
      </c>
      <c r="K129" s="89" t="str">
        <f>IF(ISEVEN(B129),(B129-1)&amp;"/"&amp;B129,B129&amp;"/"&amp;(B129+1))</f>
        <v>4013/4014</v>
      </c>
      <c r="L129" s="185" t="str">
        <f>VLOOKUP(A129,'Trips&amp;Operators'!$C$1:$G$99911,5,FALSE)</f>
        <v>RESPASS AARON</v>
      </c>
      <c r="M129" s="6">
        <f>I129-F129</f>
        <v>2.5347222217533272E-2</v>
      </c>
      <c r="N129" s="7">
        <f>24*60*SUM($M129:$M129)</f>
        <v>36.499999993247911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-06T17:06:12-0700',mode:absolute,to:'2017-11-06T19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5.4199999999999998E-2</v>
      </c>
      <c r="Z129" s="204">
        <f>RIGHT(H129,LEN(H129)-4)/10000</f>
        <v>23.325099999999999</v>
      </c>
      <c r="AA129" s="204">
        <f>ABS(Z129-Y129)</f>
        <v>23.270899999999997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s3://rtdc.mdm.uploadarchive.raw/RTDC4014/ "%USERPROFILE%\AppData\Local\Temp\OnboardLogs"\RTDC4014\2017-11-06 --exclude "*" --recursive --include "*20171106*" &amp; "%USERPROFILE%\Documents\GitHub\mrs-test-scripts\Headless Mode &amp; Sideloading\WalkAndUnGZ.bat" "%USERPROFILE%\AppData\Local\Temp\OnboardLogs"\RTDC4014\2017-11-06 &amp; aws s3 cp s3://rtdc.mdm.uploadarchive.raw/RTDC4014/ "%USERPROFILE%\AppData\Local\Temp\OnboardLogs"\RTDC4014\2017-11-07 --exclude "*" --recursive --include "*20171107*" &amp; "%USERPROFILE%\Documents\GitHub\mrs-test-scripts\Headless Mode &amp; Sideloading\WalkAndUnGZ.bat" "%USERPROFILE%\AppData\Local\Temp\OnboardLogs"\RTDC4014\2017-11-07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/stypes="app*4014*20171107*"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1"/>
        <v>"%USERPROFILE%\Documents\GitHub\eaglep3\Utilities\RefineRTDCRunTimes.py" --tripid 217-06 --locoid 4014 --swversion DE.1.0.9.0 --startMP 204:542 --initTime 2017-11-06T18:06:12 --startdatetime 2017-11-06T18:15:23 --delay 83 --endMP 204:233251 --enddatetime 2017-11-06T18:51:53 --enforcementcount 0 &gt;&gt;%USERPROFILE%\Documents\GitHub\eaglep3-reporting\EC\2017-11-06-refined-times.txt</v>
      </c>
      <c r="AI12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{"issue":{"subject":"","project_id":79,"tracker_id":40,"status_id":1,"priority_id":2,"assigned_to_id":338,"start_date":"2017-11-06","description":"","custom_fields":[{"id":1,"name":"Subdivision","value":"EC"},{"id":4,"name":"Milepost","value":"23.3251"},{"id":17,"name":"Train ID","value":"217-06"},{"id":16,"name":"Locomotive ID","value":"4014"},{"id":130,"name":"Impact","value":""},{"id":150,"name":"Time of Event (Mountain Time)","value":"18:51:53"},{"id":151,"name":"Denver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3"/>
        <v>start /low /b %USERPROFILE%\Documents\GitHub\eaglep3\Utilities\DownloadLogsFromS3.py --loco 4014 --day 2017-11-06</v>
      </c>
      <c r="AN129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5"/>
        <v>https://d0f6bd738d7f1b3e5a7ca70fe4ff75f0.us-east-1.aws.found.io/app/kibana#/discover/Steve-Slow-Train-Analysis-(2080s-and-2083s)?_g=(refreshInterval:(display:Off,pause:!f,section:0,value:0),time:(from:'2017-11-06T17:06:12-0700',mode:absolute,to:'2017-11-06T19:51:53-0700'))&amp;_a=(columns:!('Message%20ID',Summary),filters:!(),index:'emp_*',interval:auto,query:(query_string:(analyze_wildcard:!t,query:'%22rtdc.l.rtdc.4014%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841</v>
      </c>
      <c r="B130" s="7">
        <v>4013</v>
      </c>
      <c r="C130" s="21" t="s">
        <v>192</v>
      </c>
      <c r="D130" s="21" t="s">
        <v>497</v>
      </c>
      <c r="E130" s="13">
        <v>43045.794398148151</v>
      </c>
      <c r="F130" s="13">
        <v>43045.800173611111</v>
      </c>
      <c r="G130" s="7">
        <v>60</v>
      </c>
      <c r="H130" s="21" t="s">
        <v>979</v>
      </c>
      <c r="I130" s="13">
        <v>43045.827118055553</v>
      </c>
      <c r="J130" s="7">
        <v>0</v>
      </c>
      <c r="K130" s="89" t="str">
        <f>IF(ISEVEN(B130),(B130-1)&amp;"/"&amp;B130,B130&amp;"/"&amp;(B130+1))</f>
        <v>4013/4014</v>
      </c>
      <c r="L130" s="185" t="str">
        <f>VLOOKUP(A130,'Trips&amp;Operators'!$C$1:$G$99911,5,FALSE)</f>
        <v>RESPASS AARON</v>
      </c>
      <c r="M130" s="6">
        <f>I130-F130</f>
        <v>2.6944444442051463E-2</v>
      </c>
      <c r="N130" s="7">
        <f>24*60*SUM($M130:$M130)</f>
        <v>38.799999996554106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-06T18:03:56-0700',mode:absolute,to:'2017-11-06T20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23.2927</v>
      </c>
      <c r="Z130" s="204">
        <f>RIGHT(H130,LEN(H130)-4)/10000</f>
        <v>0.1048</v>
      </c>
      <c r="AA130" s="204">
        <f>ABS(Z130-Y130)</f>
        <v>23.187899999999999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s3://rtdc.mdm.uploadarchive.raw/RTDC4013/ "%USERPROFILE%\AppData\Local\Temp\OnboardLogs"\RTDC4013\2017-11-06 --exclude "*" --recursive --include "*20171106*" &amp; "%USERPROFILE%\Documents\GitHub\mrs-test-scripts\Headless Mode &amp; Sideloading\WalkAndUnGZ.bat" "%USERPROFILE%\AppData\Local\Temp\OnboardLogs"\RTDC4013\2017-11-06 &amp; aws s3 cp s3://rtdc.mdm.uploadarchive.raw/RTDC4013/ "%USERPROFILE%\AppData\Local\Temp\OnboardLogs"\RTDC4013\2017-11-07 --exclude "*" --recursive --include "*20171107*" &amp; "%USERPROFILE%\Documents\GitHub\mrs-test-scripts\Headless Mode &amp; Sideloading\WalkAndUnGZ.bat" "%USERPROFILE%\AppData\Local\Temp\OnboardLogs"\RTDC4013\2017-11-07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/stypes="app*4013*20171107*" /stext=" 02:.+((SYSTEM_STATE.+slice.+state.+changed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1"/>
        <v>"%USERPROFILE%\Documents\GitHub\eaglep3\Utilities\RefineRTDCRunTimes.py" --tripid 218-06 --locoid 4013 --swversion DE.1.0.9.0 --startMP 204:232927 --initTime 2017-11-06T19:03:56 --startdatetime 2017-11-06T19:12:15 --delay 60 --endMP 204:1048 --enddatetime 2017-11-06T19:51:03 --enforcementcount 0 &gt;&gt;%USERPROFILE%\Documents\GitHub\eaglep3-reporting\EC\2017-11-06-refined-times.txt</v>
      </c>
      <c r="AI130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{"issue":{"subject":"","project_id":79,"tracker_id":40,"status_id":1,"priority_id":2,"assigned_to_id":338,"start_date":"2017-11-06","description":"","custom_fields":[{"id":1,"name":"Subdivision","value":"EC"},{"id":4,"name":"Milepost","value":"0.1048"},{"id":17,"name":"Train ID","value":"218-06"},{"id":16,"name":"Locomotive ID","value":"4013"},{"id":130,"name":"Impact","value":""},{"id":150,"name":"Time of Event (Mountain Time)","value":"19:51:03"},{"id":151,"name":"Denver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3"/>
        <v>start /low /b %USERPROFILE%\Documents\GitHub\eaglep3\Utilities\DownloadLogsFromS3.py --loco 4013 --day 2017-11-06</v>
      </c>
      <c r="AN130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5"/>
        <v>https://d0f6bd738d7f1b3e5a7ca70fe4ff75f0.us-east-1.aws.found.io/app/kibana#/discover/Steve-Slow-Train-Analysis-(2080s-and-2083s)?_g=(refreshInterval:(display:Off,pause:!f,section:0,value:0),time:(from:'2017-11-06T18:03:56-0700',mode:absolute,to:'2017-11-06T20:51:03-0700'))&amp;_a=(columns:!('Message%20ID',Summary),filters:!(),index:'emp_*',interval:auto,query:(query_string:(analyze_wildcard:!t,query:'%22rtdc.l.rtdc.4013%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833</v>
      </c>
      <c r="B131" s="7">
        <v>4050</v>
      </c>
      <c r="C131" s="21" t="s">
        <v>192</v>
      </c>
      <c r="D131" s="21" t="s">
        <v>553</v>
      </c>
      <c r="E131" s="13">
        <v>43045.765300925923</v>
      </c>
      <c r="F131" s="13">
        <v>43045.771087962959</v>
      </c>
      <c r="G131" s="7">
        <v>101</v>
      </c>
      <c r="H131" s="21" t="s">
        <v>980</v>
      </c>
      <c r="I131" s="13">
        <v>43045.796875</v>
      </c>
      <c r="J131" s="7">
        <v>0</v>
      </c>
      <c r="K131" s="89" t="str">
        <f>IF(ISEVEN(B131),(B131-1)&amp;"/"&amp;B131,B131&amp;"/"&amp;(B131+1))</f>
        <v>4049/4050</v>
      </c>
      <c r="L131" s="185" t="str">
        <f>VLOOKUP(A131,'Trips&amp;Operators'!$C$1:$G$99911,5,FALSE)</f>
        <v>WILLIAMS DONTE</v>
      </c>
      <c r="M131" s="6">
        <f>I131-F131</f>
        <v>2.5787037040572613E-2</v>
      </c>
      <c r="N131" s="7">
        <f>24*60*SUM($M131:$M131)</f>
        <v>37.133333338424563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-06T17:22:02-0700',mode:absolute,to:'2017-11-06T20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5.0599999999999999E-2</v>
      </c>
      <c r="Z131" s="204">
        <f>RIGHT(H131,LEN(H131)-4)/10000</f>
        <v>23.324200000000001</v>
      </c>
      <c r="AA131" s="204">
        <f>ABS(Z131-Y131)</f>
        <v>23.273600000000002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/stypes="app*4050*20171107*" /stext=" 02:.+((SYSTEM_STATE.+slice.+state.+changed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1"/>
        <v>"%USERPROFILE%\Documents\GitHub\eaglep3\Utilities\RefineRTDCRunTimes.py" --tripid 219-06 --locoid 4050 --swversion DE.1.0.9.0 --startMP 204:506 --initTime 2017-11-06T18:22:02 --startdatetime 2017-11-06T18:30:22 --delay 101 --endMP 204:233242 --enddatetime 2017-11-06T19:07:30 --enforcementcount 0 &gt;&gt;%USERPROFILE%\Documents\GitHub\eaglep3-reporting\EC\2017-11-06-refined-times.txt</v>
      </c>
      <c r="AI131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{"issue":{"subject":"","project_id":79,"tracker_id":40,"status_id":1,"priority_id":2,"assigned_to_id":338,"start_date":"2017-11-06","description":"","custom_fields":[{"id":1,"name":"Subdivision","value":"EC"},{"id":4,"name":"Milepost","value":"23.3242"},{"id":17,"name":"Train ID","value":"219-06"},{"id":16,"name":"Locomotive ID","value":"4050"},{"id":130,"name":"Impact","value":""},{"id":150,"name":"Time of Event (Mountain Time)","value":"19:07:30"},{"id":151,"name":"Denver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3"/>
        <v>start /low /b %USERPROFILE%\Documents\GitHub\eaglep3\Utilities\DownloadLogsFromS3.py --loco 4050 --day 2017-11-06</v>
      </c>
      <c r="AN131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5"/>
        <v>https://d0f6bd738d7f1b3e5a7ca70fe4ff75f0.us-east-1.aws.found.io/app/kibana#/discover/Steve-Slow-Train-Analysis-(2080s-and-2083s)?_g=(refreshInterval:(display:Off,pause:!f,section:0,value:0),time:(from:'2017-11-06T17:22:02-0700',mode:absolute,to:'2017-11-06T20:07:30-0700'))&amp;_a=(columns:!('Message%20ID',Summary),filters:!(),index:'emp_*',interval:auto,query:(query_string:(analyze_wildcard:!t,query:'%22rtdc.l.rtdc.4050%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843</v>
      </c>
      <c r="B132" s="7">
        <v>4049</v>
      </c>
      <c r="C132" s="21" t="s">
        <v>192</v>
      </c>
      <c r="D132" s="21" t="s">
        <v>949</v>
      </c>
      <c r="E132" s="13">
        <v>43045.805451388886</v>
      </c>
      <c r="F132" s="13">
        <v>43045.810624999998</v>
      </c>
      <c r="G132" s="7">
        <v>81</v>
      </c>
      <c r="H132" s="21" t="s">
        <v>538</v>
      </c>
      <c r="I132" s="13">
        <v>43045.837962962964</v>
      </c>
      <c r="J132" s="7">
        <v>0</v>
      </c>
      <c r="K132" s="89" t="str">
        <f>IF(ISEVEN(B132),(B132-1)&amp;"/"&amp;B132,B132&amp;"/"&amp;(B132+1))</f>
        <v>4049/4050</v>
      </c>
      <c r="L132" s="185" t="str">
        <f>VLOOKUP(A132,'Trips&amp;Operators'!$C$1:$G$99911,5,FALSE)</f>
        <v>WILLIAMS DONTE</v>
      </c>
      <c r="M132" s="6">
        <f>I132-F132</f>
        <v>2.7337962965248153E-2</v>
      </c>
      <c r="N132" s="7">
        <f>24*60*SUM($M132:$M132)</f>
        <v>39.36666666995734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-06T18:19:51-0700',mode:absolute,to:'2017-11-06T21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23.2925</v>
      </c>
      <c r="Z132" s="204">
        <f>RIGHT(H132,LEN(H132)-4)/10000</f>
        <v>2.1100000000000001E-2</v>
      </c>
      <c r="AA132" s="204">
        <f>ABS(Z132-Y132)</f>
        <v>23.2714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/stypes="app*4049*20171107*" /stext=" 03:.+((SYSTEM_STATE.+slice.+state.+changed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1"/>
        <v>"%USERPROFILE%\Documents\GitHub\eaglep3\Utilities\RefineRTDCRunTimes.py" --tripid 220-06 --locoid 4049 --swversion DE.1.0.9.0 --startMP 204:232925 --initTime 2017-11-06T19:19:51 --startdatetime 2017-11-06T19:27:18 --delay 81 --endMP 204:211 --enddatetime 2017-11-06T20:06:40 --enforcementcount 0 &gt;&gt;%USERPROFILE%\Documents\GitHub\eaglep3-reporting\EC\2017-11-06-refined-times.txt</v>
      </c>
      <c r="AI132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{"issue":{"subject":"","project_id":79,"tracker_id":40,"status_id":1,"priority_id":2,"assigned_to_id":338,"start_date":"2017-11-06","description":"","custom_fields":[{"id":1,"name":"Subdivision","value":"EC"},{"id":4,"name":"Milepost","value":"0.0211"},{"id":17,"name":"Train ID","value":"220-06"},{"id":16,"name":"Locomotive ID","value":"4049"},{"id":130,"name":"Impact","value":""},{"id":150,"name":"Time of Event (Mountain Time)","value":"20:06:40"},{"id":151,"name":"Denver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3"/>
        <v>start /low /b %USERPROFILE%\Documents\GitHub\eaglep3\Utilities\DownloadLogsFromS3.py --loco 4049 --day 2017-11-06</v>
      </c>
      <c r="AN132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5"/>
        <v>https://d0f6bd738d7f1b3e5a7ca70fe4ff75f0.us-east-1.aws.found.io/app/kibana#/discover/Steve-Slow-Train-Analysis-(2080s-and-2083s)?_g=(refreshInterval:(display:Off,pause:!f,section:0,value:0),time:(from:'2017-11-06T18:19:51-0700',mode:absolute,to:'2017-11-06T21:06:40-0700'))&amp;_a=(columns:!('Message%20ID',Summary),filters:!(),index:'emp_*',interval:auto,query:(query_string:(analyze_wildcard:!t,query:'%22rtdc.l.rtdc.4049%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662</v>
      </c>
      <c r="B133" s="7">
        <v>4004</v>
      </c>
      <c r="C133" s="21" t="s">
        <v>192</v>
      </c>
      <c r="D133" s="21" t="s">
        <v>633</v>
      </c>
      <c r="E133" s="13">
        <v>43045.788599537038</v>
      </c>
      <c r="F133" s="13">
        <v>43045.791863425926</v>
      </c>
      <c r="G133" s="7">
        <v>74</v>
      </c>
      <c r="H133" s="21" t="s">
        <v>981</v>
      </c>
      <c r="I133" s="13">
        <v>43045.817141203705</v>
      </c>
      <c r="J133" s="7">
        <v>0</v>
      </c>
      <c r="K133" s="89" t="str">
        <f>IF(ISEVEN(B133),(B133-1)&amp;"/"&amp;B133,B133&amp;"/"&amp;(B133+1))</f>
        <v>4003/4004</v>
      </c>
      <c r="L133" s="185" t="str">
        <f>VLOOKUP(A133,'Trips&amp;Operators'!$C$1:$G$99911,5,FALSE)</f>
        <v>ELBAUM MIKE</v>
      </c>
      <c r="M133" s="6">
        <f>I133-F133</f>
        <v>2.527777777868323E-2</v>
      </c>
      <c r="N133" s="7">
        <f>24*60*SUM($M133:$M133)</f>
        <v>36.400000001303852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-06T17:55:35-0700',mode:absolute,to:'2017-11-06T20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5.6000000000000001E-2</v>
      </c>
      <c r="Z133" s="204">
        <f>RIGHT(H133,LEN(H133)-4)/10000</f>
        <v>23.3249</v>
      </c>
      <c r="AA133" s="204">
        <f>ABS(Z133-Y133)</f>
        <v>23.268899999999999</v>
      </c>
      <c r="AB133" s="54" t="str">
        <f>VLOOKUP(A133,Enforcements!$C$7:$K$10,8,0)</f>
        <v>Speed (6)</v>
      </c>
      <c r="AC133" s="51" t="str">
        <f>VLOOKUP(A133,Enforcements!$C$7:$E$10,3,0)</f>
        <v>PERMANENT SPEED RESTRICTION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/stypes="app*4004*20171107*"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1"/>
        <v>"%USERPROFILE%\Documents\GitHub\eaglep3\Utilities\RefineRTDCRunTimes.py" --tripid 221-06 --locoid 4004 --swversion DE.1.0.9.0 --startMP 204:560 --initTime 2017-11-06T18:55:35 --startdatetime 2017-11-06T19:00:17 --delay 74 --endMP 204:233249 --enddatetime 2017-11-06T19:36:41 --enforcementcount 0 &gt;&gt;%USERPROFILE%\Documents\GitHub\eaglep3-reporting\EC\2017-11-06-refined-times.txt</v>
      </c>
      <c r="AI133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{"issue":{"subject":"","project_id":79,"tracker_id":40,"status_id":1,"priority_id":2,"assigned_to_id":338,"start_date":"2017-11-06","description":"","custom_fields":[{"id":1,"name":"Subdivision","value":"EC"},{"id":4,"name":"Milepost","value":"23.3249"},{"id":17,"name":"Train ID","value":"221-06"},{"id":16,"name":"Locomotive ID","value":"4004"},{"id":130,"name":"Impact","value":""},{"id":150,"name":"Time of Event (Mountain Time)","value":"19:36:41"},{"id":151,"name":"Denver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3"/>
        <v>start /low /b %USERPROFILE%\Documents\GitHub\eaglep3\Utilities\DownloadLogsFromS3.py --loco 4004 --day 2017-11-06</v>
      </c>
      <c r="AN133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5"/>
        <v>https://d0f6bd738d7f1b3e5a7ca70fe4ff75f0.us-east-1.aws.found.io/app/kibana#/discover/Steve-Slow-Train-Analysis-(2080s-and-2083s)?_g=(refreshInterval:(display:Off,pause:!f,section:0,value:0),time:(from:'2017-11-06T17:55:35-0700',mode:absolute,to:'2017-11-06T20:36:41-0700'))&amp;_a=(columns:!('Message%20ID',Summary),filters:!(),index:'emp_*',interval:auto,query:(query_string:(analyze_wildcard:!t,query:'%22rtdc.l.rtdc.4004%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664</v>
      </c>
      <c r="B134" s="7">
        <v>4003</v>
      </c>
      <c r="C134" s="21" t="s">
        <v>192</v>
      </c>
      <c r="D134" s="21" t="s">
        <v>982</v>
      </c>
      <c r="E134" s="13">
        <v>43045.819050925929</v>
      </c>
      <c r="F134" s="13">
        <v>43045.831400462965</v>
      </c>
      <c r="G134" s="7">
        <v>75</v>
      </c>
      <c r="H134" s="21" t="s">
        <v>628</v>
      </c>
      <c r="I134" s="13">
        <v>43045.857349537036</v>
      </c>
      <c r="J134" s="7">
        <v>0</v>
      </c>
      <c r="K134" s="89" t="str">
        <f>IF(ISEVEN(B134),(B134-1)&amp;"/"&amp;B134,B134&amp;"/"&amp;(B134+1))</f>
        <v>4003/4004</v>
      </c>
      <c r="L134" s="185" t="str">
        <f>VLOOKUP(A134,'Trips&amp;Operators'!$C$1:$G$99911,5,FALSE)</f>
        <v>ELBAUM MIKE</v>
      </c>
      <c r="M134" s="6">
        <f>I134-F134</f>
        <v>2.5949074071832001E-2</v>
      </c>
      <c r="N134" s="7">
        <f>24*60*SUM($M134:$M134)</f>
        <v>37.366666663438082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-06T18:39:26-0700',mode:absolute,to:'2017-11-06T21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23.295300000000001</v>
      </c>
      <c r="Z134" s="204">
        <f>RIGHT(H134,LEN(H134)-4)/10000</f>
        <v>2.8000000000000001E-2</v>
      </c>
      <c r="AA134" s="204">
        <f>ABS(Z134-Y134)</f>
        <v>23.267300000000002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/stypes="app*4003*20171107*" /stext=" 03:.+((SYSTEM_STATE.+slice.+state.+changed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1"/>
        <v>"%USERPROFILE%\Documents\GitHub\eaglep3\Utilities\RefineRTDCRunTimes.py" --tripid 222-06 --locoid 4003 --swversion DE.1.0.9.0 --startMP 204:232953 --initTime 2017-11-06T19:39:26 --startdatetime 2017-11-06T19:57:13 --delay 75 --endMP 204:280 --enddatetime 2017-11-06T20:34:35 --enforcementcount 0 &gt;&gt;%USERPROFILE%\Documents\GitHub\eaglep3-reporting\EC\2017-11-06-refined-times.txt</v>
      </c>
      <c r="AI134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{"issue":{"subject":"","project_id":79,"tracker_id":40,"status_id":1,"priority_id":2,"assigned_to_id":338,"start_date":"2017-11-06","description":"","custom_fields":[{"id":1,"name":"Subdivision","value":"EC"},{"id":4,"name":"Milepost","value":"0.028"},{"id":17,"name":"Train ID","value":"222-06"},{"id":16,"name":"Locomotive ID","value":"4003"},{"id":130,"name":"Impact","value":""},{"id":150,"name":"Time of Event (Mountain Time)","value":"20:34:35"},{"id":151,"name":"Denver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3"/>
        <v>start /low /b %USERPROFILE%\Documents\GitHub\eaglep3\Utilities\DownloadLogsFromS3.py --loco 4003 --day 2017-11-06</v>
      </c>
      <c r="AN134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5"/>
        <v>https://d0f6bd738d7f1b3e5a7ca70fe4ff75f0.us-east-1.aws.found.io/app/kibana#/discover/Steve-Slow-Train-Analysis-(2080s-and-2083s)?_g=(refreshInterval:(display:Off,pause:!f,section:0,value:0),time:(from:'2017-11-06T18:39:26-0700',mode:absolute,to:'2017-11-06T21:34:35-0700'))&amp;_a=(columns:!('Message%20ID',Summary),filters:!(),index:'emp_*',interval:auto,query:(query_string:(analyze_wildcard:!t,query:'%22rtdc.l.rtdc.4003%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663</v>
      </c>
      <c r="B135" s="7">
        <v>4032</v>
      </c>
      <c r="C135" s="21" t="s">
        <v>192</v>
      </c>
      <c r="D135" s="21" t="s">
        <v>976</v>
      </c>
      <c r="E135" s="13">
        <v>43045.809108796297</v>
      </c>
      <c r="F135" s="13">
        <v>43045.812777777777</v>
      </c>
      <c r="G135" s="7">
        <v>61</v>
      </c>
      <c r="H135" s="21" t="s">
        <v>528</v>
      </c>
      <c r="I135" s="13">
        <v>43045.838136574072</v>
      </c>
      <c r="J135" s="7">
        <v>0</v>
      </c>
      <c r="K135" s="89" t="str">
        <f>IF(ISEVEN(B135),(B135-1)&amp;"/"&amp;B135,B135&amp;"/"&amp;(B135+1))</f>
        <v>4031/4032</v>
      </c>
      <c r="L135" s="185" t="str">
        <f>VLOOKUP(A135,'Trips&amp;Operators'!$C$1:$G$99911,5,FALSE)</f>
        <v>LOZA FIDEL</v>
      </c>
      <c r="M135" s="6">
        <f>I135-F135</f>
        <v>2.5358796294312924E-2</v>
      </c>
      <c r="N135" s="7">
        <f>24*60*SUM($M135:$M135)</f>
        <v>36.516666663810611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-06T18:25:07-0700',mode:absolute,to:'2017-11-06T21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5.28E-2</v>
      </c>
      <c r="Z135" s="204">
        <f>RIGHT(H135,LEN(H135)-4)/10000</f>
        <v>23.328299999999999</v>
      </c>
      <c r="AA135" s="204">
        <f>ABS(Z135-Y135)</f>
        <v>23.275499999999997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/stypes="app*4032*20171107*" /stext=" 03:.+((SYSTEM_STATE.+slice.+state.+changed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1"/>
        <v>"%USERPROFILE%\Documents\GitHub\eaglep3\Utilities\RefineRTDCRunTimes.py" --tripid 223-06 --locoid 4032 --swversion DE.1.0.9.0 --startMP 204:528 --initTime 2017-11-06T19:25:07 --startdatetime 2017-11-06T19:30:24 --delay 61 --endMP 204:233283 --enddatetime 2017-11-06T20:06:55 --enforcementcount 0 &gt;&gt;%USERPROFILE%\Documents\GitHub\eaglep3-reporting\EC\2017-11-06-refined-times.txt</v>
      </c>
      <c r="AI135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{"issue":{"subject":"","project_id":79,"tracker_id":40,"status_id":1,"priority_id":2,"assigned_to_id":338,"start_date":"2017-11-06","description":"","custom_fields":[{"id":1,"name":"Subdivision","value":"EC"},{"id":4,"name":"Milepost","value":"23.3283"},{"id":17,"name":"Train ID","value":"223-06"},{"id":16,"name":"Locomotive ID","value":"4032"},{"id":130,"name":"Impact","value":""},{"id":150,"name":"Time of Event (Mountain Time)","value":"20:06:55"},{"id":151,"name":"Denver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3"/>
        <v>start /low /b %USERPROFILE%\Documents\GitHub\eaglep3\Utilities\DownloadLogsFromS3.py --loco 4032 --day 2017-11-06</v>
      </c>
      <c r="AN135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5"/>
        <v>https://d0f6bd738d7f1b3e5a7ca70fe4ff75f0.us-east-1.aws.found.io/app/kibana#/discover/Steve-Slow-Train-Analysis-(2080s-and-2083s)?_g=(refreshInterval:(display:Off,pause:!f,section:0,value:0),time:(from:'2017-11-06T18:25:07-0700',mode:absolute,to:'2017-11-06T21:06:55-0700'))&amp;_a=(columns:!('Message%20ID',Summary),filters:!(),index:'emp_*',interval:auto,query:(query_string:(analyze_wildcard:!t,query:'%22rtdc.l.rtdc.4032%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849</v>
      </c>
      <c r="B136" s="7">
        <v>4031</v>
      </c>
      <c r="C136" s="21" t="s">
        <v>192</v>
      </c>
      <c r="D136" s="21" t="s">
        <v>976</v>
      </c>
      <c r="E136" s="13">
        <v>43045.809108796297</v>
      </c>
      <c r="F136" s="13">
        <v>43045.779432870368</v>
      </c>
      <c r="G136" s="7">
        <v>61</v>
      </c>
      <c r="H136" s="21" t="s">
        <v>528</v>
      </c>
      <c r="I136" s="13">
        <v>43045.80574074074</v>
      </c>
      <c r="J136" s="7">
        <v>0</v>
      </c>
      <c r="K136" s="89" t="str">
        <f>IF(ISEVEN(B136),(B136-1)&amp;"/"&amp;B136,B136&amp;"/"&amp;(B136+1))</f>
        <v>4031/4032</v>
      </c>
      <c r="L136" s="185" t="str">
        <f>VLOOKUP(A136,'Trips&amp;Operators'!$C$1:$G$99911,5,FALSE)</f>
        <v>LOZA FIDEL</v>
      </c>
      <c r="M136" s="6">
        <f>I136-F136</f>
        <v>2.6307870371965691E-2</v>
      </c>
      <c r="N136" s="7">
        <f>24*60*SUM($M136:$M136)</f>
        <v>37.883333335630596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-06T18:25:07-0700',mode:absolute,to:'2017-11-06T20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v>23.295300000000001</v>
      </c>
      <c r="Z136" s="204">
        <v>2.8000000000000001E-2</v>
      </c>
      <c r="AA136" s="204">
        <f>ABS(Z136-Y136)</f>
        <v>23.267300000000002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/stypes="app*4031*20171107*"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ref="AH136" si="16"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224-06 --locoid 4031 --swversion DE.1.0.9.0 --startMP 204:528 --initTime 2017-11-06T19:25:07 --startdatetime 2017-11-06T18:42:23 --delay 61 --endMP 204:233283 --enddatetime 2017-11-06T19:20:16 --enforcementcount 0 &gt;&gt;%USERPROFILE%\Documents\GitHub\eaglep3-reporting\EC\2017-11-06-refined-times.txt</v>
      </c>
      <c r="AI136" s="96" t="str">
        <f t="shared" ref="AI136" si="17"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{"issue":{"subject":"","project_id":79,"tracker_id":40,"status_id":1,"priority_id":2,"assigned_to_id":338,"start_date":"2017-11-06","description":"","custom_fields":[{"id":1,"name":"Subdivision","value":"EC"},{"id":4,"name":"Milepost","value":"0.028"},{"id":17,"name":"Train ID","value":"224-06"},{"id":16,"name":"Locomotive ID","value":"4031"},{"id":130,"name":"Impact","value":""},{"id":150,"name":"Time of Event (Mountain Time)","value":"19:20:16"},{"id":151,"name":"Denver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ref="AM136" si="18">"start /low /b "&amp;dls3logs&amp;" --loco "&amp;B136&amp;" --day "&amp;TEXT(F136,"YYYY-MM-DD")</f>
        <v>start /low /b %USERPROFILE%\Documents\GitHub\eaglep3\Utilities\DownloadLogsFromS3.py --loco 4031 --day 2017-11-06</v>
      </c>
      <c r="AN136" s="151" t="str">
        <f t="shared" ref="AN136" si="19"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ref="AO136" si="20"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-06T18:25:07-0700',mode:absolute,to:'2017-11-06T20:20:16-0700'))&amp;_a=(columns:!('Message%20ID',Summary),filters:!(),index:'emp_*',interval:auto,query:(query_string:(analyze_wildcard:!t,query:'%22rtdc.l.rtdc.4031%22')),sort:!(Time.ISO8601,asc))</v>
      </c>
    </row>
    <row r="137" spans="1:91" s="20" customFormat="1" x14ac:dyDescent="0.3">
      <c r="A137" s="32" t="s">
        <v>848</v>
      </c>
      <c r="B137" s="7">
        <v>4010</v>
      </c>
      <c r="C137" s="21" t="s">
        <v>192</v>
      </c>
      <c r="D137" s="21" t="s">
        <v>592</v>
      </c>
      <c r="E137" s="13">
        <v>43045.832002314812</v>
      </c>
      <c r="F137" s="13">
        <v>43045.833738425928</v>
      </c>
      <c r="G137" s="7">
        <v>79</v>
      </c>
      <c r="H137" s="21" t="s">
        <v>588</v>
      </c>
      <c r="I137" s="13">
        <v>43045.858124999999</v>
      </c>
      <c r="J137" s="7">
        <v>0</v>
      </c>
      <c r="K137" s="89" t="str">
        <f>IF(ISEVEN(B137),(B137-1)&amp;"/"&amp;B137,B137&amp;"/"&amp;(B137+1))</f>
        <v>4009/4010</v>
      </c>
      <c r="L137" s="185" t="str">
        <f>VLOOKUP(A137,'Trips&amp;Operators'!$C$1:$G$99911,5,FALSE)</f>
        <v>RESPASS AARON</v>
      </c>
      <c r="M137" s="6">
        <f>I137-F137</f>
        <v>2.438657407037681E-2</v>
      </c>
      <c r="N137" s="7">
        <f>24*60*SUM($M137:$M137)</f>
        <v>35.116666661342606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-06T18:58:05-0700',mode:absolute,to:'2017-11-06T21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5.2900000000000003E-2</v>
      </c>
      <c r="Z137" s="204">
        <f>RIGHT(H137,LEN(H137)-4)/10000</f>
        <v>23.3232</v>
      </c>
      <c r="AA137" s="204">
        <f>ABS(Z137-Y137)</f>
        <v>23.270299999999999</v>
      </c>
      <c r="AB137" s="54" t="e">
        <f>VLOOKUP(A137,Enforcements!$C$7:$K$10,8,0)</f>
        <v>#N/A</v>
      </c>
      <c r="AC137" s="51" t="e">
        <f>VLOOKUP(A137,Enforcements!$C$7:$E$10,3,0)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/stypes="app*4010*20171107*"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1"/>
        <v>"%USERPROFILE%\Documents\GitHub\eaglep3\Utilities\RefineRTDCRunTimes.py" --tripid 225-06 --locoid 4010 --swversion DE.1.0.9.0 --startMP 204:529 --initTime 2017-11-06T19:58:05 --startdatetime 2017-11-06T20:00:35 --delay 79 --endMP 204:233232 --enddatetime 2017-11-06T20:35:42 --enforcementcount 0 &gt;&gt;%USERPROFILE%\Documents\GitHub\eaglep3-reporting\EC\2017-11-06-refined-times.txt</v>
      </c>
      <c r="AI137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{"issue":{"subject":"","project_id":79,"tracker_id":40,"status_id":1,"priority_id":2,"assigned_to_id":338,"start_date":"2017-11-06","description":"","custom_fields":[{"id":1,"name":"Subdivision","value":"EC"},{"id":4,"name":"Milepost","value":"23.3232"},{"id":17,"name":"Train ID","value":"225-06"},{"id":16,"name":"Locomotive ID","value":"4010"},{"id":130,"name":"Impact","value":""},{"id":150,"name":"Time of Event (Mountain Time)","value":"20:35:42"},{"id":151,"name":"Denver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3"/>
        <v>start /low /b %USERPROFILE%\Documents\GitHub\eaglep3\Utilities\DownloadLogsFromS3.py --loco 4010 --day 2017-11-06</v>
      </c>
      <c r="AN137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5"/>
        <v>https://d0f6bd738d7f1b3e5a7ca70fe4ff75f0.us-east-1.aws.found.io/app/kibana#/discover/Steve-Slow-Train-Analysis-(2080s-and-2083s)?_g=(refreshInterval:(display:Off,pause:!f,section:0,value:0),time:(from:'2017-11-06T18:58:05-0700',mode:absolute,to:'2017-11-06T21:35:42-0700'))&amp;_a=(columns:!('Message%20ID',Summary),filters:!(),index:'emp_*',interval:auto,query:(query_string:(analyze_wildcard:!t,query:'%22rtdc.l.rtdc.4010%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665</v>
      </c>
      <c r="B138" s="7">
        <v>4009</v>
      </c>
      <c r="C138" s="21" t="s">
        <v>192</v>
      </c>
      <c r="D138" s="21" t="s">
        <v>952</v>
      </c>
      <c r="E138" s="13">
        <v>43045.868738425925</v>
      </c>
      <c r="F138" s="13">
        <v>43045.892002314817</v>
      </c>
      <c r="G138" s="7">
        <v>79</v>
      </c>
      <c r="H138" s="21" t="s">
        <v>983</v>
      </c>
      <c r="I138" s="13">
        <v>43045.902199074073</v>
      </c>
      <c r="J138" s="7">
        <v>0</v>
      </c>
      <c r="K138" s="89" t="str">
        <f>IF(ISEVEN(B138),(B138-1)&amp;"/"&amp;B138,B138&amp;"/"&amp;(B138+1))</f>
        <v>4009/4010</v>
      </c>
      <c r="L138" s="185" t="str">
        <f>VLOOKUP(A138,'Trips&amp;Operators'!$C$1:$G$99911,5,FALSE)</f>
        <v>RESPASS AARON</v>
      </c>
      <c r="M138" s="6">
        <f>I138-F138</f>
        <v>1.0196759256359655E-2</v>
      </c>
      <c r="N138" s="7"/>
      <c r="O138" s="7"/>
      <c r="P138" s="7">
        <f>24*60*SUM($M138:$M138)</f>
        <v>14.683333329157904</v>
      </c>
      <c r="Q138" s="22"/>
      <c r="R138" s="174" t="s">
        <v>634</v>
      </c>
      <c r="S138" s="221">
        <f>1/IF(AG138="EC",12,1)*SUM(U138:U139)</f>
        <v>0.91666666666666663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-06T19:50:59-0700',mode:absolute,to:'2017-11-06T22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04" t="str">
        <f>IF(AA138&lt;VLOOKUP(AG138,Variables!$AC$3:$AD$8,2,FALSE),"Y","N")</f>
        <v>Y</v>
      </c>
      <c r="X138" s="204">
        <f>VALUE(LEFT(AD138,4))-VALUE(LEFT(AD137,4))</f>
        <v>1</v>
      </c>
      <c r="Y138" s="204">
        <f>RIGHT(D138,LEN(D138)-4)/10000</f>
        <v>23.290900000000001</v>
      </c>
      <c r="Z138" s="204">
        <f>RIGHT(H138,LEN(H138)-4)/10000</f>
        <v>8.0831999999999997</v>
      </c>
      <c r="AA138" s="204">
        <f>ABS(Z138-Y138)</f>
        <v>15.207700000000001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/stypes="app*4009*20171107*" /stext=" 04:.+((SYSTEM_STATE.+slice.+state.+changed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1"/>
        <v>"%USERPROFILE%\Documents\GitHub\eaglep3\Utilities\RefineRTDCRunTimes.py" --tripid 226-06 --locoid 4009 --swversion DE.1.0.9.0 --startMP 204:232909 --initTime 2017-11-06T20:50:59 --startdatetime 2017-11-06T21:24:29 --delay 79 --endMP 204:80832 --enddatetime 2017-11-06T21:39:10 --enforcementcount 0 &gt;&gt;%USERPROFILE%\Documents\GitHub\eaglep3-reporting\EC\2017-11-06-refined-times.txt</v>
      </c>
      <c r="AI138" s="96" t="str">
        <f t="shared" si="12"/>
        <v>echo {"issue":{"subject":"Wi-MAX data drop","project_id":79,"tracker_id":40,"status_id":1,"priority_id":2,"assigned_to_id":338,"start_date":"2017-11-06","description":"","custom_fields":[{"id":1,"name":"Subdivision","value":"EC"},{"id":4,"name":"Milepost","value":"8.0832"},{"id":17,"name":"Train ID","value":"226-06"},{"id":16,"name":"Locomotive ID","value":"4009"},{"id":130,"name":"Impact","value":""},{"id":150,"name":"Time of Event (Mountain Time)","value":"21:39:10"},{"id":151,"name":"Denver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3"/>
        <v>start /low /b %USERPROFILE%\Documents\GitHub\eaglep3\Utilities\DownloadLogsFromS3.py --loco 4009 --day 2017-11-06</v>
      </c>
      <c r="AN138" s="151" t="str">
        <f t="shared" si="14"/>
        <v>echo {"issue":{"subject":"Wi-MAX data drop","project_id":30,"tracker_id":4,"status_id":1,"priority_id":1,"assigned_to_id":10,"start_date":"2017-11-07","description":"","custom_fields":[{"id":30,"name":"Category","value":"Issue"},{"id":3,"name":"Functional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5"/>
        <v>https://d0f6bd738d7f1b3e5a7ca70fe4ff75f0.us-east-1.aws.found.io/app/kibana#/discover/Steve-Slow-Train-Analysis-(2080s-and-2083s)?_g=(refreshInterval:(display:Off,pause:!f,section:0,value:0),time:(from:'2017-11-06T19:50:59-0700',mode:absolute,to:'2017-11-06T22:39:10-0700'))&amp;_a=(columns:!('Message%20ID',Summary),filters:!(),index:'emp_*',interval:auto,query:(query_string:(analyze_wildcard:!t,query:'%22rtdc.l.rtdc.4009%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665</v>
      </c>
      <c r="B139" s="7">
        <v>4009</v>
      </c>
      <c r="C139" s="21" t="s">
        <v>192</v>
      </c>
      <c r="D139" s="21" t="s">
        <v>984</v>
      </c>
      <c r="E139" s="13">
        <v>43045.891087962962</v>
      </c>
      <c r="F139" s="13">
        <v>43045.892002314817</v>
      </c>
      <c r="G139" s="7">
        <v>45</v>
      </c>
      <c r="H139" s="21" t="s">
        <v>527</v>
      </c>
      <c r="I139" s="13">
        <v>43045.902199074073</v>
      </c>
      <c r="J139" s="7">
        <v>0</v>
      </c>
      <c r="K139" s="89" t="str">
        <f>IF(ISEVEN(B139),(B139-1)&amp;"/"&amp;B139,B139&amp;"/"&amp;(B139+1))</f>
        <v>4009/4010</v>
      </c>
      <c r="L139" s="185" t="str">
        <f>VLOOKUP(A139,'Trips&amp;Operators'!$C$1:$G$99911,5,FALSE)</f>
        <v>RESPASS AARON</v>
      </c>
      <c r="M139" s="6">
        <f>I139-F139</f>
        <v>1.0196759256359655E-2</v>
      </c>
      <c r="N139" s="7"/>
      <c r="O139" s="7"/>
      <c r="P139" s="7"/>
      <c r="Q139" s="22"/>
      <c r="R139" s="174"/>
      <c r="S139" s="221"/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9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-06T20:23:10-0700',mode:absolute,to:'2017-11-06T22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204" t="str">
        <f>IF(AA139&lt;VLOOKUP(AG139,Variables!$AC$3:$AD$8,2,FALSE),"Y","N")</f>
        <v>Y</v>
      </c>
      <c r="X139" s="204">
        <f>VALUE(LEFT(AD139,4))-VALUE(LEFT(AD138,4))</f>
        <v>0</v>
      </c>
      <c r="Y139" s="204">
        <f>RIGHT(D139,LEN(D139)-4)/10000</f>
        <v>6.4165000000000001</v>
      </c>
      <c r="Z139" s="204">
        <f>RIGHT(H139,LEN(H139)-4)/10000</f>
        <v>4.4600000000000001E-2</v>
      </c>
      <c r="AA139" s="204">
        <f>ABS(Z139-Y139)</f>
        <v>6.3719000000000001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/stypes="app*4009*20171107*" /stext=" 04:.+((SYSTEM_STATE.+slice.+state.+changed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1"/>
        <v>"%USERPROFILE%\Documents\GitHub\eaglep3\Utilities\RefineRTDCRunTimes.py" --tripid 226-06 --locoid 4009 --swversion DE.1.0.9.0 --startMP 204:64165 --initTime 2017-11-06T21:23:10 --startdatetime 2017-11-06T21:24:29 --delay 45 --endMP 204:446 --enddatetime 2017-11-06T21:39:10 --enforcementcount 0 &gt;&gt;%USERPROFILE%\Documents\GitHub\eaglep3-reporting\EC\2017-11-06-refined-times.txt</v>
      </c>
      <c r="AI139" s="96" t="str">
        <f t="shared" si="12"/>
        <v>echo {"issue":{"subject":"","project_id":79,"tracker_id":40,"status_id":1,"priority_id":2,"assigned_to_id":338,"start_date":"2017-11-06","description":"","custom_fields":[{"id":1,"name":"Subdivision","value":"EC"},{"id":4,"name":"Milepost","value":"0.0446"},{"id":17,"name":"Train ID","value":"226-06"},{"id":16,"name":"Locomotive ID","value":"4009"},{"id":130,"name":"Impact","value":""},{"id":150,"name":"Time of Event (Mountain Time)","value":"21:39:10"},{"id":151,"name":"Denver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3"/>
        <v>start /low /b %USERPROFILE%\Documents\GitHub\eaglep3\Utilities\DownloadLogsFromS3.py --loco 4009 --day 2017-11-06</v>
      </c>
      <c r="AN139" s="151" t="str">
        <f t="shared" si="1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5"/>
        <v>https://d0f6bd738d7f1b3e5a7ca70fe4ff75f0.us-east-1.aws.found.io/app/kibana#/discover/Steve-Slow-Train-Analysis-(2080s-and-2083s)?_g=(refreshInterval:(display:Off,pause:!f,section:0,value:0),time:(from:'2017-11-06T20:23:10-0700',mode:absolute,to:'2017-11-06T22:39:10-0700'))&amp;_a=(columns:!('Message%20ID',Summary),filters:!(),index:'emp_*',interval:auto,query:(query_string:(analyze_wildcard:!t,query:'%22rtdc.l.rtdc.4009%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850</v>
      </c>
      <c r="B140" s="7">
        <v>4050</v>
      </c>
      <c r="C140" s="21" t="s">
        <v>192</v>
      </c>
      <c r="D140" s="21" t="s">
        <v>496</v>
      </c>
      <c r="E140" s="13">
        <v>43045.84915509259</v>
      </c>
      <c r="F140" s="13">
        <v>43045.854363425926</v>
      </c>
      <c r="G140" s="7">
        <v>86</v>
      </c>
      <c r="H140" s="21" t="s">
        <v>985</v>
      </c>
      <c r="I140" s="13">
        <v>43045.880104166667</v>
      </c>
      <c r="J140" s="7">
        <v>0</v>
      </c>
      <c r="K140" s="89" t="str">
        <f>IF(ISEVEN(B140),(B140-1)&amp;"/"&amp;B140,B140&amp;"/"&amp;(B140+1))</f>
        <v>4049/4050</v>
      </c>
      <c r="L140" s="185" t="str">
        <f>VLOOKUP(A140,'Trips&amp;Operators'!$C$1:$G$99911,5,FALSE)</f>
        <v>WILLIAMS DONTE</v>
      </c>
      <c r="M140" s="6">
        <f>I140-F140</f>
        <v>2.5740740740729962E-2</v>
      </c>
      <c r="N140" s="7">
        <f>24*60*SUM($M140:$M140)</f>
        <v>37.066666666651145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-06T19:22:47-0700',mode:absolute,to:'2017-11-06T22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5.2600000000000001E-2</v>
      </c>
      <c r="Z140" s="204">
        <f>RIGHT(H140,LEN(H140)-4)/10000</f>
        <v>23.322299999999998</v>
      </c>
      <c r="AA140" s="204">
        <f>ABS(Z140-Y140)</f>
        <v>23.269699999999997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/stypes="app*4050*20171107*"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ref="AH140:AH206" si="2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227-06 --locoid 4050 --swversion DE.1.0.9.0 --startMP 204:526 --initTime 2017-11-06T20:22:47 --startdatetime 2017-11-06T20:30:17 --delay 86 --endMP 204:233223 --enddatetime 2017-11-06T21:07:21 --enforcementcount 0 &gt;&gt;%USERPROFILE%\Documents\GitHub\eaglep3-reporting\EC\2017-11-06-refined-times.txt</v>
      </c>
      <c r="AI140" s="96" t="str">
        <f t="shared" ref="AI140:AI206" si="2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{"issue":{"subject":"","project_id":79,"tracker_id":40,"status_id":1,"priority_id":2,"assigned_to_id":338,"start_date":"2017-11-06","description":"","custom_fields":[{"id":1,"name":"Subdivision","value":"EC"},{"id":4,"name":"Milepost","value":"23.3223"},{"id":17,"name":"Train ID","value":"227-06"},{"id":16,"name":"Locomotive ID","value":"4050"},{"id":130,"name":"Impact","value":""},{"id":150,"name":"Time of Event (Mountain Time)","value":"21:07:21"},{"id":151,"name":"Denver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:AM206" si="23">"start /low /b "&amp;dls3logs&amp;" --loco "&amp;B140&amp;" --day "&amp;TEXT(F140,"YYYY-MM-DD")</f>
        <v>start /low /b %USERPROFILE%\Documents\GitHub\eaglep3\Utilities\DownloadLogsFromS3.py --loco 4050 --day 2017-11-06</v>
      </c>
      <c r="AN140" s="151" t="str">
        <f t="shared" ref="AN140:AN206" si="24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:AO206" si="25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-06T19:22:47-0700',mode:absolute,to:'2017-11-06T22:07:21-0700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855</v>
      </c>
      <c r="B141" s="7">
        <v>4049</v>
      </c>
      <c r="C141" s="21" t="s">
        <v>192</v>
      </c>
      <c r="D141" s="21" t="s">
        <v>539</v>
      </c>
      <c r="E141" s="13">
        <v>43045.889976851853</v>
      </c>
      <c r="F141" s="13">
        <v>43045.894004629627</v>
      </c>
      <c r="G141" s="7">
        <v>78</v>
      </c>
      <c r="H141" s="21" t="s">
        <v>530</v>
      </c>
      <c r="I141" s="13">
        <v>43045.921481481484</v>
      </c>
      <c r="J141" s="7">
        <v>0</v>
      </c>
      <c r="K141" s="89" t="str">
        <f>IF(ISEVEN(B141),(B141-1)&amp;"/"&amp;B141,B141&amp;"/"&amp;(B141+1))</f>
        <v>4049/4050</v>
      </c>
      <c r="L141" s="185" t="str">
        <f>VLOOKUP(A141,'Trips&amp;Operators'!$C$1:$G$99911,5,FALSE)</f>
        <v>WILLIAMS DONTE</v>
      </c>
      <c r="M141" s="6">
        <f>I141-F141</f>
        <v>2.7476851857500151E-2</v>
      </c>
      <c r="N141" s="7">
        <f>24*60*SUM($M141:$M141)</f>
        <v>39.566666674800217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-06T20:21:34-0700',mode:absolute,to:'2017-11-06T23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23.29</v>
      </c>
      <c r="Z141" s="204">
        <f>RIGHT(H141,LEN(H141)-4)/10000</f>
        <v>2.0500000000000001E-2</v>
      </c>
      <c r="AA141" s="204">
        <f>ABS(Z141-Y141)</f>
        <v>23.269500000000001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/stypes="app*4049*20171107*" /stext=" 05:.+((SYSTEM_STATE.+slice.+state.+changed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21"/>
        <v>"%USERPROFILE%\Documents\GitHub\eaglep3\Utilities\RefineRTDCRunTimes.py" --tripid 228-06 --locoid 4049 --swversion DE.1.0.9.0 --startMP 204:232900 --initTime 2017-11-06T21:21:34 --startdatetime 2017-11-06T21:27:22 --delay 78 --endMP 204:205 --enddatetime 2017-11-06T22:06:56 --enforcementcount 0 &gt;&gt;%USERPROFILE%\Documents\GitHub\eaglep3-reporting\EC\2017-11-06-refined-times.txt</v>
      </c>
      <c r="AI141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{"issue":{"subject":"","project_id":79,"tracker_id":40,"status_id":1,"priority_id":2,"assigned_to_id":338,"start_date":"2017-11-06","description":"","custom_fields":[{"id":1,"name":"Subdivision","value":"EC"},{"id":4,"name":"Milepost","value":"0.0205"},{"id":17,"name":"Train ID","value":"228-06"},{"id":16,"name":"Locomotive ID","value":"4049"},{"id":130,"name":"Impact","value":""},{"id":150,"name":"Time of Event (Mountain Time)","value":"22:06:56"},{"id":151,"name":"Denver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23"/>
        <v>start /low /b %USERPROFILE%\Documents\GitHub\eaglep3\Utilities\DownloadLogsFromS3.py --loco 4049 --day 2017-11-06</v>
      </c>
      <c r="AN141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5"/>
        <v>https://d0f6bd738d7f1b3e5a7ca70fe4ff75f0.us-east-1.aws.found.io/app/kibana#/discover/Steve-Slow-Train-Analysis-(2080s-and-2083s)?_g=(refreshInterval:(display:Off,pause:!f,section:0,value:0),time:(from:'2017-11-06T20:21:34-0700',mode:absolute,to:'2017-11-06T23:06:56-0700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852</v>
      </c>
      <c r="B142" s="7">
        <v>4004</v>
      </c>
      <c r="C142" s="21" t="s">
        <v>192</v>
      </c>
      <c r="D142" s="21" t="s">
        <v>579</v>
      </c>
      <c r="E142" s="13">
        <v>43045.8590625</v>
      </c>
      <c r="F142" s="13">
        <v>43045.875185185185</v>
      </c>
      <c r="G142" s="7">
        <v>99</v>
      </c>
      <c r="H142" s="21" t="s">
        <v>493</v>
      </c>
      <c r="I142" s="13">
        <v>43045.900104166663</v>
      </c>
      <c r="J142" s="7">
        <v>0</v>
      </c>
      <c r="K142" s="89" t="str">
        <f>IF(ISEVEN(B142),(B142-1)&amp;"/"&amp;B142,B142&amp;"/"&amp;(B142+1))</f>
        <v>4003/4004</v>
      </c>
      <c r="L142" s="185" t="str">
        <f>VLOOKUP(A142,'Trips&amp;Operators'!$C$1:$G$99911,5,FALSE)</f>
        <v>ELBAUM MIKE</v>
      </c>
      <c r="M142" s="6">
        <f>I142-F142</f>
        <v>2.491898147854954E-2</v>
      </c>
      <c r="N142" s="7">
        <f>24*60*SUM($M142:$M142)</f>
        <v>35.883333329111338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-06T19:37:03-0700',mode:absolute,to:'2017-11-06T22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5.7299999999999997E-2</v>
      </c>
      <c r="Z142" s="204">
        <f>RIGHT(H142,LEN(H142)-4)/10000</f>
        <v>23.325299999999999</v>
      </c>
      <c r="AA142" s="204">
        <f>ABS(Z142-Y142)</f>
        <v>23.267999999999997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/stypes="app*4004*20171107*"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21"/>
        <v>"%USERPROFILE%\Documents\GitHub\eaglep3\Utilities\RefineRTDCRunTimes.py" --tripid 229-06 --locoid 4004 --swversion DE.1.0.9.0 --startMP 204:573 --initTime 2017-11-06T20:37:03 --startdatetime 2017-11-06T21:00:16 --delay 99 --endMP 204:233253 --enddatetime 2017-11-06T21:36:09 --enforcementcount 0 &gt;&gt;%USERPROFILE%\Documents\GitHub\eaglep3-reporting\EC\2017-11-06-refined-times.txt</v>
      </c>
      <c r="AI142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{"issue":{"subject":"","project_id":79,"tracker_id":40,"status_id":1,"priority_id":2,"assigned_to_id":338,"start_date":"2017-11-06","description":"","custom_fields":[{"id":1,"name":"Subdivision","value":"EC"},{"id":4,"name":"Milepost","value":"23.3253"},{"id":17,"name":"Train ID","value":"229-06"},{"id":16,"name":"Locomotive ID","value":"4004"},{"id":130,"name":"Impact","value":""},{"id":150,"name":"Time of Event (Mountain Time)","value":"21:36:09"},{"id":151,"name":"Denver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23"/>
        <v>start /low /b %USERPROFILE%\Documents\GitHub\eaglep3\Utilities\DownloadLogsFromS3.py --loco 4004 --day 2017-11-06</v>
      </c>
      <c r="AN142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5"/>
        <v>https://d0f6bd738d7f1b3e5a7ca70fe4ff75f0.us-east-1.aws.found.io/app/kibana#/discover/Steve-Slow-Train-Analysis-(2080s-and-2083s)?_g=(refreshInterval:(display:Off,pause:!f,section:0,value:0),time:(from:'2017-11-06T19:37:03-0700',mode:absolute,to:'2017-11-06T22:36:09-0700'))&amp;_a=(columns:!('Message%20ID',Summary),filters:!(),index:'emp_*',interval:auto,query:(query_string:(analyze_wildcard:!t,query:'%22rtdc.l.rtdc.4004%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858</v>
      </c>
      <c r="B143" s="7">
        <v>4003</v>
      </c>
      <c r="C143" s="21" t="s">
        <v>192</v>
      </c>
      <c r="D143" s="21" t="s">
        <v>621</v>
      </c>
      <c r="E143" s="13">
        <v>43045.908877314818</v>
      </c>
      <c r="F143" s="13">
        <v>43045.998078703706</v>
      </c>
      <c r="G143" s="7">
        <v>69</v>
      </c>
      <c r="H143" s="21" t="s">
        <v>547</v>
      </c>
      <c r="I143" s="13">
        <v>43046.025381944448</v>
      </c>
      <c r="J143" s="7">
        <v>0</v>
      </c>
      <c r="K143" s="89" t="str">
        <f>IF(ISEVEN(B143),(B143-1)&amp;"/"&amp;B143,B143&amp;"/"&amp;(B143+1))</f>
        <v>4003/4004</v>
      </c>
      <c r="L143" s="185" t="str">
        <f>VLOOKUP(A143,'Trips&amp;Operators'!$C$1:$G$99911,5,FALSE)</f>
        <v>AUSTIN THOMPSON</v>
      </c>
      <c r="M143" s="6">
        <f>I143-F143</f>
        <v>2.7303240742185153E-2</v>
      </c>
      <c r="N143" s="7">
        <f>24*60*SUM($M143:$M143)</f>
        <v>39.31666666874662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-06T20:48:47-0700',mode:absolute,to:'2017-11-07T01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23.294499999999999</v>
      </c>
      <c r="Z143" s="204">
        <f>RIGHT(H143,LEN(H143)-4)/10000</f>
        <v>2.5100000000000001E-2</v>
      </c>
      <c r="AA143" s="204">
        <f>ABS(Z143-Y143)</f>
        <v>23.269400000000001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/stypes="app*4003*20171107*" /stext=" 07:.+((SYSTEM_STATE.+slice.+state.+changed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21"/>
        <v>"%USERPROFILE%\Documents\GitHub\eaglep3\Utilities\RefineRTDCRunTimes.py" --tripid 230-06 --locoid 4003 --swversion DE.1.0.9.0 --startMP 204:232945 --initTime 2017-11-06T21:48:47 --startdatetime 2017-11-06T23:57:14 --delay 69 --endMP 204:251 --enddatetime 2017-11-07T00:36:33 --enforcementcount 0 &gt;&gt;%USERPROFILE%\Documents\GitHub\eaglep3-reporting\EC\2017-11-06-refined-times.txt</v>
      </c>
      <c r="AI143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{"issue":{"subject":"","project_id":79,"tracker_id":40,"status_id":1,"priority_id":2,"assigned_to_id":338,"start_date":"2017-11-07","description":"","custom_fields":[{"id":1,"name":"Subdivision","value":"EC"},{"id":4,"name":"Milepost","value":"0.0251"},{"id":17,"name":"Train ID","value":"230-06"},{"id":16,"name":"Locomotive ID","value":"4003"},{"id":130,"name":"Impact","value":""},{"id":150,"name":"Time of Event (Mountain Time)","value":"00:36:33"},{"id":151,"name":"Denver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23"/>
        <v>start /low /b %USERPROFILE%\Documents\GitHub\eaglep3\Utilities\DownloadLogsFromS3.py --loco 4003 --day 2017-11-06</v>
      </c>
      <c r="AN143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25"/>
        <v>https://d0f6bd738d7f1b3e5a7ca70fe4ff75f0.us-east-1.aws.found.io/app/kibana#/discover/Steve-Slow-Train-Analysis-(2080s-and-2083s)?_g=(refreshInterval:(display:Off,pause:!f,section:0,value:0),time:(from:'2017-11-06T20:48:47-0700',mode:absolute,to:'2017-11-07T01:36:33-0700'))&amp;_a=(columns:!('Message%20ID',Summary),filters:!(),index:'emp_*',interval:auto,query:(query_string:(analyze_wildcard:!t,query:'%22rtdc.l.rtdc.4003%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854</v>
      </c>
      <c r="B144" s="7">
        <v>4032</v>
      </c>
      <c r="C144" s="21" t="s">
        <v>192</v>
      </c>
      <c r="D144" s="21" t="s">
        <v>580</v>
      </c>
      <c r="E144" s="13">
        <v>43045.88453703704</v>
      </c>
      <c r="F144" s="13">
        <v>43045.896018518521</v>
      </c>
      <c r="G144" s="7">
        <v>105</v>
      </c>
      <c r="H144" s="21" t="s">
        <v>589</v>
      </c>
      <c r="I144" s="13">
        <v>43045.920624999999</v>
      </c>
      <c r="J144" s="7">
        <v>0</v>
      </c>
      <c r="K144" s="89" t="str">
        <f>IF(ISEVEN(B144),(B144-1)&amp;"/"&amp;B144,B144&amp;"/"&amp;(B144+1))</f>
        <v>4031/4032</v>
      </c>
      <c r="L144" s="185" t="str">
        <f>VLOOKUP(A144,'Trips&amp;Operators'!$C$1:$G$99911,5,FALSE)</f>
        <v>LOZA FIDEL</v>
      </c>
      <c r="M144" s="6">
        <f>I144-F144</f>
        <v>2.4606481478258502E-2</v>
      </c>
      <c r="N144" s="7">
        <f>24*60*SUM($M144:$M144)</f>
        <v>35.433333328692243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-06T20:13:44-0700',mode:absolute,to:'2017-11-06T23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5.57E-2</v>
      </c>
      <c r="Z144" s="204">
        <f>RIGHT(H144,LEN(H144)-4)/10000</f>
        <v>23.325500000000002</v>
      </c>
      <c r="AA144" s="204">
        <f>ABS(Z144-Y144)</f>
        <v>23.2698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/stypes="app*4032*20171107*"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1"/>
        <v>"%USERPROFILE%\Documents\GitHub\eaglep3\Utilities\RefineRTDCRunTimes.py" --tripid 231-06 --locoid 4032 --swversion DE.1.0.9.0 --startMP 204:557 --initTime 2017-11-06T21:13:44 --startdatetime 2017-11-06T21:30:16 --delay 105 --endMP 204:233255 --enddatetime 2017-11-06T22:05:42 --enforcementcount 0 &gt;&gt;%USERPROFILE%\Documents\GitHub\eaglep3-reporting\EC\2017-11-06-refined-times.txt</v>
      </c>
      <c r="AI144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{"issue":{"subject":"","project_id":79,"tracker_id":40,"status_id":1,"priority_id":2,"assigned_to_id":338,"start_date":"2017-11-06","description":"","custom_fields":[{"id":1,"name":"Subdivision","value":"EC"},{"id":4,"name":"Milepost","value":"23.3255"},{"id":17,"name":"Train ID","value":"231-06"},{"id":16,"name":"Locomotive ID","value":"4032"},{"id":130,"name":"Impact","value":""},{"id":150,"name":"Time of Event (Mountain Time)","value":"22:05:42"},{"id":151,"name":"Denver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3"/>
        <v>start /low /b %USERPROFILE%\Documents\GitHub\eaglep3\Utilities\DownloadLogsFromS3.py --loco 4032 --day 2017-11-06</v>
      </c>
      <c r="AN144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5"/>
        <v>https://d0f6bd738d7f1b3e5a7ca70fe4ff75f0.us-east-1.aws.found.io/app/kibana#/discover/Steve-Slow-Train-Analysis-(2080s-and-2083s)?_g=(refreshInterval:(display:Off,pause:!f,section:0,value:0),time:(from:'2017-11-06T20:13:44-0700',mode:absolute,to:'2017-11-06T23:05:42-0700'))&amp;_a=(columns:!('Message%20ID',Summary),filters:!(),index:'emp_*',interval:auto,query:(query_string:(analyze_wildcard:!t,query:'%22rtdc.l.rtdc.4032%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862</v>
      </c>
      <c r="B145" s="7">
        <v>4031</v>
      </c>
      <c r="C145" s="21" t="s">
        <v>192</v>
      </c>
      <c r="D145" s="21" t="s">
        <v>621</v>
      </c>
      <c r="E145" s="13">
        <v>43045.933993055558</v>
      </c>
      <c r="F145" s="13">
        <v>43045.936597222222</v>
      </c>
      <c r="G145" s="7">
        <v>72</v>
      </c>
      <c r="H145" s="21" t="s">
        <v>934</v>
      </c>
      <c r="I145" s="13">
        <v>43045.962557870371</v>
      </c>
      <c r="J145" s="7">
        <v>0</v>
      </c>
      <c r="K145" s="89" t="str">
        <f>IF(ISEVEN(B145),(B145-1)&amp;"/"&amp;B145,B145&amp;"/"&amp;(B145+1))</f>
        <v>4031/4032</v>
      </c>
      <c r="L145" s="185" t="str">
        <f>VLOOKUP(A145,'Trips&amp;Operators'!$C$1:$G$99911,5,FALSE)</f>
        <v>LOZA FIDEL</v>
      </c>
      <c r="M145" s="6">
        <f>I145-F145</f>
        <v>2.5960648148611654E-2</v>
      </c>
      <c r="N145" s="7">
        <f>24*60*SUM($M145:$M145)</f>
        <v>37.383333334000781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-06T21:24:57-0700',mode:absolute,to:'2017-11-07T00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23.294499999999999</v>
      </c>
      <c r="Z145" s="204">
        <f>RIGHT(H145,LEN(H145)-4)/10000</f>
        <v>2.5399999999999999E-2</v>
      </c>
      <c r="AA145" s="204">
        <f>ABS(Z145-Y145)</f>
        <v>23.269099999999998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/stypes="app*4031*20171107*" /stext=" 06:.+((SYSTEM_STATE.+slice.+state.+changed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1"/>
        <v>"%USERPROFILE%\Documents\GitHub\eaglep3\Utilities\RefineRTDCRunTimes.py" --tripid 232-06 --locoid 4031 --swversion DE.1.0.9.0 --startMP 204:232945 --initTime 2017-11-06T22:24:57 --startdatetime 2017-11-06T22:28:42 --delay 72 --endMP 204:254 --enddatetime 2017-11-06T23:06:05 --enforcementcount 0 &gt;&gt;%USERPROFILE%\Documents\GitHub\eaglep3-reporting\EC\2017-11-06-refined-times.txt</v>
      </c>
      <c r="AI145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{"issue":{"subject":"","project_id":79,"tracker_id":40,"status_id":1,"priority_id":2,"assigned_to_id":338,"start_date":"2017-11-06","description":"","custom_fields":[{"id":1,"name":"Subdivision","value":"EC"},{"id":4,"name":"Milepost","value":"0.0254"},{"id":17,"name":"Train ID","value":"232-06"},{"id":16,"name":"Locomotive ID","value":"4031"},{"id":130,"name":"Impact","value":""},{"id":150,"name":"Time of Event (Mountain Time)","value":"23:06:05"},{"id":151,"name":"Denver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3"/>
        <v>start /low /b %USERPROFILE%\Documents\GitHub\eaglep3\Utilities\DownloadLogsFromS3.py --loco 4031 --day 2017-11-06</v>
      </c>
      <c r="AN145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5"/>
        <v>https://d0f6bd738d7f1b3e5a7ca70fe4ff75f0.us-east-1.aws.found.io/app/kibana#/discover/Steve-Slow-Train-Analysis-(2080s-and-2083s)?_g=(refreshInterval:(display:Off,pause:!f,section:0,value:0),time:(from:'2017-11-06T21:24:57-0700',mode:absolute,to:'2017-11-07T00:06:05-0700'))&amp;_a=(columns:!('Message%20ID',Summary),filters:!(),index:'emp_*',interval:auto,query:(query_string:(analyze_wildcard:!t,query:'%22rtdc.l.rtdc.4031%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857</v>
      </c>
      <c r="B146" s="7">
        <v>4010</v>
      </c>
      <c r="C146" s="21" t="s">
        <v>192</v>
      </c>
      <c r="D146" s="21" t="s">
        <v>987</v>
      </c>
      <c r="E146" s="13">
        <v>43045.905277777776</v>
      </c>
      <c r="F146" s="13">
        <v>43045.916863425926</v>
      </c>
      <c r="G146" s="7">
        <v>74</v>
      </c>
      <c r="H146" s="21" t="s">
        <v>988</v>
      </c>
      <c r="I146" s="13">
        <v>43045.940983796296</v>
      </c>
      <c r="J146" s="7">
        <v>0</v>
      </c>
      <c r="K146" s="89" t="str">
        <f>IF(ISEVEN(B146),(B146-1)&amp;"/"&amp;B146,B146&amp;"/"&amp;(B146+1))</f>
        <v>4009/4010</v>
      </c>
      <c r="L146" s="185" t="str">
        <f>VLOOKUP(A146,'Trips&amp;Operators'!$C$1:$G$99911,5,FALSE)</f>
        <v>GUNTHIER ERIC</v>
      </c>
      <c r="M146" s="6">
        <f>I146-F146</f>
        <v>2.4120370369928423E-2</v>
      </c>
      <c r="N146" s="7">
        <f>24*60*SUM($M146:$M146)</f>
        <v>34.73333333269693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-06T20:43:36-0700',mode:absolute,to:'2017-11-06T23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7.5899999999999995E-2</v>
      </c>
      <c r="Z146" s="204">
        <f>RIGHT(H146,LEN(H146)-4)/10000</f>
        <v>23.3324</v>
      </c>
      <c r="AA146" s="204">
        <f>ABS(Z146-Y146)</f>
        <v>23.256499999999999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/stypes="app*4010*20171107*"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1"/>
        <v>"%USERPROFILE%\Documents\GitHub\eaglep3\Utilities\RefineRTDCRunTimes.py" --tripid 233-06 --locoid 4010 --swversion DE.1.0.9.0 --startMP 204:759 --initTime 2017-11-06T21:43:36 --startdatetime 2017-11-06T22:00:17 --delay 74 --endMP 204:233324 --enddatetime 2017-11-06T22:35:01 --enforcementcount 0 &gt;&gt;%USERPROFILE%\Documents\GitHub\eaglep3-reporting\EC\2017-11-06-refined-times.txt</v>
      </c>
      <c r="AI146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{"issue":{"subject":"","project_id":79,"tracker_id":40,"status_id":1,"priority_id":2,"assigned_to_id":338,"start_date":"2017-11-06","description":"","custom_fields":[{"id":1,"name":"Subdivision","value":"EC"},{"id":4,"name":"Milepost","value":"23.3324"},{"id":17,"name":"Train ID","value":"233-06"},{"id":16,"name":"Locomotive ID","value":"4010"},{"id":130,"name":"Impact","value":""},{"id":150,"name":"Time of Event (Mountain Time)","value":"22:35:01"},{"id":151,"name":"Denver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3"/>
        <v>start /low /b %USERPROFILE%\Documents\GitHub\eaglep3\Utilities\DownloadLogsFromS3.py --loco 4010 --day 2017-11-06</v>
      </c>
      <c r="AN146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05:35:01"},{"id":29,"name":"Sharepoint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5"/>
        <v>https://d0f6bd738d7f1b3e5a7ca70fe4ff75f0.us-east-1.aws.found.io/app/kibana#/discover/Steve-Slow-Train-Analysis-(2080s-and-2083s)?_g=(refreshInterval:(display:Off,pause:!f,section:0,value:0),time:(from:'2017-11-06T20:43:36-0700',mode:absolute,to:'2017-11-06T23:35:01-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864</v>
      </c>
      <c r="B147" s="7">
        <v>4009</v>
      </c>
      <c r="C147" s="21" t="s">
        <v>192</v>
      </c>
      <c r="D147" s="21" t="s">
        <v>477</v>
      </c>
      <c r="E147" s="13">
        <v>43045.945925925924</v>
      </c>
      <c r="F147" s="13">
        <v>43045.957002314812</v>
      </c>
      <c r="G147" s="7">
        <v>480</v>
      </c>
      <c r="H147" s="21" t="s">
        <v>546</v>
      </c>
      <c r="I147" s="13">
        <v>43045.984189814815</v>
      </c>
      <c r="J147" s="7">
        <v>0</v>
      </c>
      <c r="K147" s="89" t="str">
        <f>IF(ISEVEN(B147),(B147-1)&amp;"/"&amp;B147,B147&amp;"/"&amp;(B147+1))</f>
        <v>4009/4010</v>
      </c>
      <c r="L147" s="185" t="str">
        <f>VLOOKUP(A147,'Trips&amp;Operators'!$C$1:$G$99911,5,FALSE)</f>
        <v>GUNTHIER ERIC</v>
      </c>
      <c r="M147" s="6">
        <f>I147-F147</f>
        <v>2.718750000349246E-2</v>
      </c>
      <c r="N147" s="7">
        <f>24*60*SUM($M147:$M147)</f>
        <v>39.150000005029142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-06T21:42:08-0700',mode:absolute,to:'2017-11-07T00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23.297499999999999</v>
      </c>
      <c r="Z147" s="204">
        <f>RIGHT(H147,LEN(H147)-4)/10000</f>
        <v>2.8199999999999999E-2</v>
      </c>
      <c r="AA147" s="204">
        <f>ABS(Z147-Y147)</f>
        <v>23.269300000000001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/stypes="app*4009*20171107*" /stext=" 06:.+((SYSTEM_STATE.+slice.+state.+changed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1"/>
        <v>"%USERPROFILE%\Documents\GitHub\eaglep3\Utilities\RefineRTDCRunTimes.py" --tripid 234-06 --locoid 4009 --swversion DE.1.0.9.0 --startMP 204:232975 --initTime 2017-11-06T22:42:08 --startdatetime 2017-11-06T22:58:05 --delay 480 --endMP 204:282 --enddatetime 2017-11-06T23:37:14 --enforcementcount 0 &gt;&gt;%USERPROFILE%\Documents\GitHub\eaglep3-reporting\EC\2017-11-06-refined-times.txt</v>
      </c>
      <c r="AI147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{"issue":{"subject":"","project_id":79,"tracker_id":40,"status_id":1,"priority_id":2,"assigned_to_id":338,"start_date":"2017-11-06","description":"","custom_fields":[{"id":1,"name":"Subdivision","value":"EC"},{"id":4,"name":"Milepost","value":"0.0282"},{"id":17,"name":"Train ID","value":"234-06"},{"id":16,"name":"Locomotive ID","value":"4009"},{"id":130,"name":"Impact","value":""},{"id":150,"name":"Time of Event (Mountain Time)","value":"23:37:14"},{"id":151,"name":"Denver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3"/>
        <v>start /low /b %USERPROFILE%\Documents\GitHub\eaglep3\Utilities\DownloadLogsFromS3.py --loco 4009 --day 2017-11-06</v>
      </c>
      <c r="AN147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5"/>
        <v>https://d0f6bd738d7f1b3e5a7ca70fe4ff75f0.us-east-1.aws.found.io/app/kibana#/discover/Steve-Slow-Train-Analysis-(2080s-and-2083s)?_g=(refreshInterval:(display:Off,pause:!f,section:0,value:0),time:(from:'2017-11-06T21:42:08-0700',mode:absolute,to:'2017-11-07T00:37:14-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860</v>
      </c>
      <c r="B148" s="7">
        <v>4050</v>
      </c>
      <c r="C148" s="21" t="s">
        <v>192</v>
      </c>
      <c r="D148" s="21" t="s">
        <v>537</v>
      </c>
      <c r="E148" s="13">
        <v>43045.933310185188</v>
      </c>
      <c r="F148" s="13">
        <v>43045.937696759262</v>
      </c>
      <c r="G148" s="7">
        <v>61</v>
      </c>
      <c r="H148" s="21" t="s">
        <v>959</v>
      </c>
      <c r="I148" s="13">
        <v>43045.962881944448</v>
      </c>
      <c r="J148" s="7">
        <v>0</v>
      </c>
      <c r="K148" s="89" t="str">
        <f>IF(ISEVEN(B148),(B148-1)&amp;"/"&amp;B148,B148&amp;"/"&amp;(B148+1))</f>
        <v>4049/4050</v>
      </c>
      <c r="L148" s="185" t="str">
        <f>VLOOKUP(A148,'Trips&amp;Operators'!$C$1:$G$99911,5,FALSE)</f>
        <v>WILLIAMS DONTE</v>
      </c>
      <c r="M148" s="6">
        <f>I148-F148</f>
        <v>2.5185185186273884E-2</v>
      </c>
      <c r="N148" s="7">
        <f>24*60*SUM($M148:$M148)</f>
        <v>36.266666668234393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-06T21:23:58-0700',mode:absolute,to:'2017-11-07T00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4.8399999999999999E-2</v>
      </c>
      <c r="Z148" s="204">
        <f>RIGHT(H148,LEN(H148)-4)/10000</f>
        <v>23.320499999999999</v>
      </c>
      <c r="AA148" s="204">
        <f>ABS(Z148-Y148)</f>
        <v>23.272099999999998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/stypes="app*4050*20171107*"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1"/>
        <v>"%USERPROFILE%\Documents\GitHub\eaglep3\Utilities\RefineRTDCRunTimes.py" --tripid 235-06 --locoid 4050 --swversion DE.1.0.9.0 --startMP 204:484 --initTime 2017-11-06T22:23:58 --startdatetime 2017-11-06T22:30:17 --delay 61 --endMP 204:233205 --enddatetime 2017-11-06T23:06:33 --enforcementcount 0 &gt;&gt;%USERPROFILE%\Documents\GitHub\eaglep3-reporting\EC\2017-11-06-refined-times.txt</v>
      </c>
      <c r="AI148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{"issue":{"subject":"","project_id":79,"tracker_id":40,"status_id":1,"priority_id":2,"assigned_to_id":338,"start_date":"2017-11-06","description":"","custom_fields":[{"id":1,"name":"Subdivision","value":"EC"},{"id":4,"name":"Milepost","value":"23.3205"},{"id":17,"name":"Train ID","value":"235-06"},{"id":16,"name":"Locomotive ID","value":"4050"},{"id":130,"name":"Impact","value":""},{"id":150,"name":"Time of Event (Mountain Time)","value":"23:06:33"},{"id":151,"name":"Denver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3"/>
        <v>start /low /b %USERPROFILE%\Documents\GitHub\eaglep3\Utilities\DownloadLogsFromS3.py --loco 4050 --day 2017-11-06</v>
      </c>
      <c r="AN148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5"/>
        <v>https://d0f6bd738d7f1b3e5a7ca70fe4ff75f0.us-east-1.aws.found.io/app/kibana#/discover/Steve-Slow-Train-Analysis-(2080s-and-2083s)?_g=(refreshInterval:(display:Off,pause:!f,section:0,value:0),time:(from:'2017-11-06T21:23:58-0700',mode:absolute,to:'2017-11-07T00:06:33-0700'))&amp;_a=(columns:!('Message%20ID',Summary),filters:!(),index:'emp_*',interval:auto,query:(query_string:(analyze_wildcard:!t,query:'%22rtdc.l.rtdc.4050%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867</v>
      </c>
      <c r="B149" s="7">
        <v>4049</v>
      </c>
      <c r="C149" s="21" t="s">
        <v>192</v>
      </c>
      <c r="D149" s="21" t="s">
        <v>540</v>
      </c>
      <c r="E149" s="13">
        <v>43045.973321759258</v>
      </c>
      <c r="F149" s="13">
        <v>43045.977280092593</v>
      </c>
      <c r="G149" s="7">
        <v>60</v>
      </c>
      <c r="H149" s="21" t="s">
        <v>632</v>
      </c>
      <c r="I149" s="13">
        <v>43046.005173611113</v>
      </c>
      <c r="J149" s="7">
        <v>0</v>
      </c>
      <c r="K149" s="89" t="str">
        <f>IF(ISEVEN(B149),(B149-1)&amp;"/"&amp;B149,B149&amp;"/"&amp;(B149+1))</f>
        <v>4049/4050</v>
      </c>
      <c r="L149" s="185" t="str">
        <f>VLOOKUP(A149,'Trips&amp;Operators'!$C$1:$G$99911,5,FALSE)</f>
        <v>WILLIAMS DONTE</v>
      </c>
      <c r="M149" s="6">
        <f>I149-F149</f>
        <v>2.789351851970423E-2</v>
      </c>
      <c r="N149" s="7">
        <f>24*60*SUM($M149:$M149)</f>
        <v>40.166666668374091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-06T22:21:35-0700',mode:absolute,to:'2017-11-07T01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23.2896</v>
      </c>
      <c r="Z149" s="204">
        <f>RIGHT(H149,LEN(H149)-4)/10000</f>
        <v>1.9199999999999998E-2</v>
      </c>
      <c r="AA149" s="204">
        <f>ABS(Z149-Y149)</f>
        <v>23.270399999999999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/stypes="app*4049*20171107*" /stext=" 07:.+((SYSTEM_STATE.+slice.+state.+changed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1"/>
        <v>"%USERPROFILE%\Documents\GitHub\eaglep3\Utilities\RefineRTDCRunTimes.py" --tripid 236-06 --locoid 4049 --swversion DE.1.0.9.0 --startMP 204:232896 --initTime 2017-11-06T23:21:35 --startdatetime 2017-11-06T23:27:17 --delay 60 --endMP 204:192 --enddatetime 2017-11-07T00:07:27 --enforcementcount 0 &gt;&gt;%USERPROFILE%\Documents\GitHub\eaglep3-reporting\EC\2017-11-06-refined-times.txt</v>
      </c>
      <c r="AI149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{"issue":{"subject":"","project_id":79,"tracker_id":40,"status_id":1,"priority_id":2,"assigned_to_id":338,"start_date":"2017-11-07","description":"","custom_fields":[{"id":1,"name":"Subdivision","value":"EC"},{"id":4,"name":"Milepost","value":"0.0192"},{"id":17,"name":"Train ID","value":"236-06"},{"id":16,"name":"Locomotive ID","value":"4049"},{"id":130,"name":"Impact","value":""},{"id":150,"name":"Time of Event (Mountain Time)","value":"00:07:27"},{"id":151,"name":"Denver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3"/>
        <v>start /low /b %USERPROFILE%\Documents\GitHub\eaglep3\Utilities\DownloadLogsFromS3.py --loco 4049 --day 2017-11-06</v>
      </c>
      <c r="AN149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5"/>
        <v>https://d0f6bd738d7f1b3e5a7ca70fe4ff75f0.us-east-1.aws.found.io/app/kibana#/discover/Steve-Slow-Train-Analysis-(2080s-and-2083s)?_g=(refreshInterval:(display:Off,pause:!f,section:0,value:0),time:(from:'2017-11-06T22:21:35-0700',mode:absolute,to:'2017-11-07T01:07:27-0700'))&amp;_a=(columns:!('Message%20ID',Summary),filters:!(),index:'emp_*',interval:auto,query:(query_string:(analyze_wildcard:!t,query:'%22rtdc.l.rtdc.4049%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863</v>
      </c>
      <c r="B150" s="7">
        <v>4004</v>
      </c>
      <c r="C150" s="21" t="s">
        <v>192</v>
      </c>
      <c r="D150" s="21" t="s">
        <v>624</v>
      </c>
      <c r="E150" s="13">
        <v>43045.946030092593</v>
      </c>
      <c r="F150" s="13">
        <v>43045.958506944444</v>
      </c>
      <c r="G150" s="7">
        <v>93</v>
      </c>
      <c r="H150" s="21" t="s">
        <v>627</v>
      </c>
      <c r="I150" s="13">
        <v>43045.982141203705</v>
      </c>
      <c r="J150" s="7">
        <v>0</v>
      </c>
      <c r="K150" s="89" t="str">
        <f>IF(ISEVEN(B150),(B150-1)&amp;"/"&amp;B150,B150&amp;"/"&amp;(B150+1))</f>
        <v>4003/4004</v>
      </c>
      <c r="L150" s="185" t="str">
        <f>VLOOKUP(A150,'Trips&amp;Operators'!$C$1:$G$99911,5,FALSE)</f>
        <v>AUSTIN THOMPSON</v>
      </c>
      <c r="M150" s="6">
        <f>I150-F150</f>
        <v>2.3634259261598345E-2</v>
      </c>
      <c r="N150" s="7">
        <f>24*60*SUM($M150:$M150)</f>
        <v>34.033333336701617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-06T21:42:17-0700',mode:absolute,to:'2017-11-07T00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5.6399999999999999E-2</v>
      </c>
      <c r="Z150" s="204">
        <f>RIGHT(H150,LEN(H150)-4)/10000</f>
        <v>23.3245</v>
      </c>
      <c r="AA150" s="204">
        <f>ABS(Z150-Y150)</f>
        <v>23.2681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/stypes="app*4004*20171107*"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1"/>
        <v>"%USERPROFILE%\Documents\GitHub\eaglep3\Utilities\RefineRTDCRunTimes.py" --tripid 237-06 --locoid 4004 --swversion DE.1.0.9.0 --startMP 204:564 --initTime 2017-11-06T22:42:17 --startdatetime 2017-11-06T23:00:15 --delay 93 --endMP 204:233245 --enddatetime 2017-11-06T23:34:17 --enforcementcount 0 &gt;&gt;%USERPROFILE%\Documents\GitHub\eaglep3-reporting\EC\2017-11-06-refined-times.txt</v>
      </c>
      <c r="AI150" s="96" t="str">
        <f t="shared" si="22"/>
        <v>echo {"issue":{"subject":"","project_id":79,"tracker_id":40,"status_id":1,"priority_id":2,"assigned_to_id":338,"start_date":"2017-11-06","description":"","custom_fields":[{"id":1,"name":"Subdivision","value":"EC"},{"id":4,"name":"Milepost","value":"23.3245"},{"id":17,"name":"Train ID","value":"237-06"},{"id":16,"name":"Locomotive ID","value":"4004"},{"id":130,"name":"Impact","value":""},{"id":150,"name":"Time of Event (Mountain Time)","value":"23:34:17"},{"id":151,"name":"Denver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3"/>
        <v>start /low /b %USERPROFILE%\Documents\GitHub\eaglep3\Utilities\DownloadLogsFromS3.py --loco 4004 --day 2017-11-06</v>
      </c>
      <c r="AN150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25"/>
        <v>https://d0f6bd738d7f1b3e5a7ca70fe4ff75f0.us-east-1.aws.found.io/app/kibana#/discover/Steve-Slow-Train-Analysis-(2080s-and-2083s)?_g=(refreshInterval:(display:Off,pause:!f,section:0,value:0),time:(from:'2017-11-06T21:42:17-0700',mode:absolute,to:'2017-11-07T00:34:17-0700'))&amp;_a=(columns:!('Message%20ID',Summary),filters:!(),index:'emp_*',interval:auto,query:(query_string:(analyze_wildcard:!t,query:'%22rtdc.l.rtdc.4004%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870</v>
      </c>
      <c r="B151" s="7">
        <v>4003</v>
      </c>
      <c r="C151" s="21" t="s">
        <v>192</v>
      </c>
      <c r="D151" s="21" t="s">
        <v>548</v>
      </c>
      <c r="E151" s="13">
        <v>43045.99386574074</v>
      </c>
      <c r="F151" s="13">
        <v>43045.998078703706</v>
      </c>
      <c r="G151" s="7">
        <v>67</v>
      </c>
      <c r="H151" s="21" t="s">
        <v>986</v>
      </c>
      <c r="I151" s="13">
        <v>43046.025381944448</v>
      </c>
      <c r="J151" s="7">
        <v>0</v>
      </c>
      <c r="K151" s="89" t="str">
        <f>IF(ISEVEN(B151),(B151-1)&amp;"/"&amp;B151,B151&amp;"/"&amp;(B151+1))</f>
        <v>4003/4004</v>
      </c>
      <c r="L151" s="185" t="str">
        <f>VLOOKUP(A151,'Trips&amp;Operators'!$C$1:$G$99911,5,FALSE)</f>
        <v>AUSTIN THOMPSON</v>
      </c>
      <c r="M151" s="6">
        <f>I151-F151</f>
        <v>2.7303240742185153E-2</v>
      </c>
      <c r="N151" s="7">
        <f>24*60*SUM($M151:$M151)</f>
        <v>39.31666666874662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-06T22:51:10-0700',mode:absolute,to:'2017-11-07T01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23.293600000000001</v>
      </c>
      <c r="Z151" s="204">
        <f>RIGHT(H151,LEN(H151)-4)/10000</f>
        <v>2.8299999999999999E-2</v>
      </c>
      <c r="AA151" s="204">
        <f>ABS(Z151-Y151)</f>
        <v>23.2653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/stypes="app*4003*20171107*" /stext=" 07:.+((SYSTEM_STATE.+slice.+state.+changed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1"/>
        <v>"%USERPROFILE%\Documents\GitHub\eaglep3\Utilities\RefineRTDCRunTimes.py" --tripid 238-06 --locoid 4003 --swversion DE.1.0.9.0 --startMP 204:232936 --initTime 2017-11-06T23:51:10 --startdatetime 2017-11-06T23:57:14 --delay 67 --endMP 204:283 --enddatetime 2017-11-07T00:36:33 --enforcementcount 0 &gt;&gt;%USERPROFILE%\Documents\GitHub\eaglep3-reporting\EC\2017-11-06-refined-times.txt</v>
      </c>
      <c r="AI151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{"issue":{"subject":"","project_id":79,"tracker_id":40,"status_id":1,"priority_id":2,"assigned_to_id":338,"start_date":"2017-11-07","description":"","custom_fields":[{"id":1,"name":"Subdivision","value":"EC"},{"id":4,"name":"Milepost","value":"0.0283"},{"id":17,"name":"Train ID","value":"238-06"},{"id":16,"name":"Locomotive ID","value":"4003"},{"id":130,"name":"Impact","value":""},{"id":150,"name":"Time of Event (Mountain Time)","value":"00:36:33"},{"id":151,"name":"Denver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3"/>
        <v>start /low /b %USERPROFILE%\Documents\GitHub\eaglep3\Utilities\DownloadLogsFromS3.py --loco 4003 --day 2017-11-06</v>
      </c>
      <c r="AN151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5"/>
        <v>https://d0f6bd738d7f1b3e5a7ca70fe4ff75f0.us-east-1.aws.found.io/app/kibana#/discover/Steve-Slow-Train-Analysis-(2080s-and-2083s)?_g=(refreshInterval:(display:Off,pause:!f,section:0,value:0),time:(from:'2017-11-06T22:51:10-0700',mode:absolute,to:'2017-11-07T01:36:33-0700'))&amp;_a=(columns:!('Message%20ID',Summary),filters:!(),index:'emp_*',interval:auto,query:(query_string:(analyze_wildcard:!t,query:'%22rtdc.l.rtdc.4003%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866</v>
      </c>
      <c r="B152" s="7">
        <v>4032</v>
      </c>
      <c r="C152" s="21" t="s">
        <v>192</v>
      </c>
      <c r="D152" s="21" t="s">
        <v>620</v>
      </c>
      <c r="E152" s="13">
        <v>43045.965532407405</v>
      </c>
      <c r="F152" s="13">
        <v>43045.979363425926</v>
      </c>
      <c r="G152" s="7">
        <v>93</v>
      </c>
      <c r="H152" s="21" t="s">
        <v>629</v>
      </c>
      <c r="I152" s="13">
        <v>43046.003935185188</v>
      </c>
      <c r="J152" s="7">
        <v>0</v>
      </c>
      <c r="K152" s="89" t="str">
        <f>IF(ISEVEN(B152),(B152-1)&amp;"/"&amp;B152,B152&amp;"/"&amp;(B152+1))</f>
        <v>4031/4032</v>
      </c>
      <c r="L152" s="185" t="str">
        <f>VLOOKUP(A152,'Trips&amp;Operators'!$C$1:$G$99911,5,FALSE)</f>
        <v>LOZA FIDEL</v>
      </c>
      <c r="M152" s="6">
        <f>I152-F152</f>
        <v>2.457175926247146E-2</v>
      </c>
      <c r="N152" s="7">
        <f>24*60*SUM($M152:$M152)</f>
        <v>35.383333337958902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-06T22:10:22-0700',mode:absolute,to:'2017-11-07T01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5.5500000000000001E-2</v>
      </c>
      <c r="Z152" s="204">
        <f>RIGHT(H152,LEN(H152)-4)/10000</f>
        <v>23.323799999999999</v>
      </c>
      <c r="AA152" s="204">
        <f>ABS(Z152-Y152)</f>
        <v>23.2683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/stypes="app*4032*20171107*"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1"/>
        <v>"%USERPROFILE%\Documents\GitHub\eaglep3\Utilities\RefineRTDCRunTimes.py" --tripid 239-06 --locoid 4032 --swversion DE.1.0.9.0 --startMP 204:555 --initTime 2017-11-06T23:10:22 --startdatetime 2017-11-06T23:30:17 --delay 93 --endMP 204:233238 --enddatetime 2017-11-07T00:05:40 --enforcementcount 0 &gt;&gt;%USERPROFILE%\Documents\GitHub\eaglep3-reporting\EC\2017-11-06-refined-times.txt</v>
      </c>
      <c r="AI152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{"issue":{"subject":"","project_id":79,"tracker_id":40,"status_id":1,"priority_id":2,"assigned_to_id":338,"start_date":"2017-11-07","description":"","custom_fields":[{"id":1,"name":"Subdivision","value":"EC"},{"id":4,"name":"Milepost","value":"23.3238"},{"id":17,"name":"Train ID","value":"239-06"},{"id":16,"name":"Locomotive ID","value":"4032"},{"id":130,"name":"Impact","value":""},{"id":150,"name":"Time of Event (Mountain Time)","value":"00:05:40"},{"id":151,"name":"Denver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3"/>
        <v>start /low /b %USERPROFILE%\Documents\GitHub\eaglep3\Utilities\DownloadLogsFromS3.py --loco 4032 --day 2017-11-06</v>
      </c>
      <c r="AN152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25"/>
        <v>https://d0f6bd738d7f1b3e5a7ca70fe4ff75f0.us-east-1.aws.found.io/app/kibana#/discover/Steve-Slow-Train-Analysis-(2080s-and-2083s)?_g=(refreshInterval:(display:Off,pause:!f,section:0,value:0),time:(from:'2017-11-06T22:10:22-0700',mode:absolute,to:'2017-11-07T01:05:40-0700'))&amp;_a=(columns:!('Message%20ID',Summary),filters:!(),index:'emp_*',interval:auto,query:(query_string:(analyze_wildcard:!t,query:'%22rtdc.l.rtdc.4032%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871</v>
      </c>
      <c r="B153" s="7">
        <v>4031</v>
      </c>
      <c r="C153" s="21" t="s">
        <v>192</v>
      </c>
      <c r="D153" s="21" t="s">
        <v>620</v>
      </c>
      <c r="E153" s="13">
        <v>43045.965532407405</v>
      </c>
      <c r="F153" s="13">
        <v>43046.018958333334</v>
      </c>
      <c r="G153" s="7">
        <v>93</v>
      </c>
      <c r="H153" s="21" t="s">
        <v>629</v>
      </c>
      <c r="I153" s="13">
        <v>43046.047233796293</v>
      </c>
      <c r="J153" s="7">
        <v>0</v>
      </c>
      <c r="K153" s="89" t="str">
        <f>IF(ISEVEN(B153),(B153-1)&amp;"/"&amp;B153,B153&amp;"/"&amp;(B153+1))</f>
        <v>4031/4032</v>
      </c>
      <c r="L153" s="185" t="str">
        <f>VLOOKUP(A153,'Trips&amp;Operators'!$C$1:$G$99911,5,FALSE)</f>
        <v>LOZA FIDEL</v>
      </c>
      <c r="M153" s="6">
        <f>I153-F153</f>
        <v>2.827546295884531E-2</v>
      </c>
      <c r="N153" s="7">
        <f>24*60*SUM($M153:$M153)</f>
        <v>40.716666660737246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-06T22:10:22-0700',mode:absolute,to:'2017-11-07T02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v>23.293600000000001</v>
      </c>
      <c r="Z153" s="204">
        <v>2.8299999999999999E-2</v>
      </c>
      <c r="AA153" s="204">
        <f>ABS(Z153-Y153)</f>
        <v>23.2653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 &amp; aws s3 cp s3://rtdc.mdm.uploadarchive.raw/RTDC4031/ "%USERPROFILE%\AppData\Local\Temp\OnboardLogs"\RTDC4031\2017-11-08 --exclude "*" --recursive --include "*20171108*" &amp; "%USERPROFILE%\Documents\GitHub\mrs-test-scripts\Headless Mode &amp; Sideloading\WalkAndUnGZ.bat" "%USERPROFILE%\AppData\Local\Temp\OnboardLogs"\RTDC4031\2017-11-08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/stypes="app*4031*20171107*" /stext=" 08:.+((SYSTEM_STATE.+slice.+state.+changed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ref="AH153" si="26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240-06 --locoid 4031 --swversion DE.1.0.9.0 --startMP 204:555 --initTime 2017-11-06T23:10:22 --startdatetime 2017-11-07T00:27:18 --delay 93 --endMP 204:233238 --enddatetime 2017-11-07T01:08:01 --enforcementcount 0 &gt;&gt;%USERPROFILE%\Documents\GitHub\eaglep3-reporting\EC\2017-11-06-refined-times.txt</v>
      </c>
      <c r="AI153" s="96" t="str">
        <f t="shared" ref="AI153" si="27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{"issue":{"subject":"","project_id":79,"tracker_id":40,"status_id":1,"priority_id":2,"assigned_to_id":338,"start_date":"2017-11-07","description":"","custom_fields":[{"id":1,"name":"Subdivision","value":"EC"},{"id":4,"name":"Milepost","value":"0.0283"},{"id":17,"name":"Train ID","value":"240-06"},{"id":16,"name":"Locomotive ID","value":"4031"},{"id":130,"name":"Impact","value":""},{"id":150,"name":"Time of Event (Mountain Time)","value":"01:08:01"},{"id":151,"name":"Denver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28">"start /low /b "&amp;dls3logs&amp;" --loco "&amp;B153&amp;" --day "&amp;TEXT(F153,"YYYY-MM-DD")</f>
        <v>start /low /b %USERPROFILE%\Documents\GitHub\eaglep3\Utilities\DownloadLogsFromS3.py --loco 4031 --day 2017-11-07</v>
      </c>
      <c r="AN153" s="151" t="str">
        <f t="shared" ref="AN153" si="29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08:08:01"},{"id":29,"name":"Sharepoint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30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-06T22:10:22-0700',mode:absolute,to:'2017-11-07T02:08:01-0700'))&amp;_a=(columns:!('Message%20ID',Summary),filters:!(),index:'emp_*',interval:auto,query:(query_string:(analyze_wildcard:!t,query:'%22rtdc.l.rtdc.4031%22')),sort:!(Time.ISO8601,asc))</v>
      </c>
    </row>
    <row r="154" spans="1:91" s="20" customFormat="1" x14ac:dyDescent="0.3">
      <c r="A154" s="32" t="s">
        <v>869</v>
      </c>
      <c r="B154" s="7">
        <v>4010</v>
      </c>
      <c r="C154" s="21" t="s">
        <v>192</v>
      </c>
      <c r="D154" s="21" t="s">
        <v>989</v>
      </c>
      <c r="E154" s="13">
        <v>43045.987129629626</v>
      </c>
      <c r="F154" s="13">
        <v>43046.000150462962</v>
      </c>
      <c r="G154" s="7">
        <v>84</v>
      </c>
      <c r="H154" s="21" t="s">
        <v>990</v>
      </c>
      <c r="I154" s="13">
        <v>43046.024710648147</v>
      </c>
      <c r="J154" s="7">
        <v>0</v>
      </c>
      <c r="K154" s="89" t="str">
        <f>IF(ISEVEN(B154),(B154-1)&amp;"/"&amp;B154,B154&amp;"/"&amp;(B154+1))</f>
        <v>4009/4010</v>
      </c>
      <c r="L154" s="185" t="str">
        <f>VLOOKUP(A154,'Trips&amp;Operators'!$C$1:$G$99911,5,FALSE)</f>
        <v>RESPASS AARON</v>
      </c>
      <c r="M154" s="6">
        <f>I154-F154</f>
        <v>2.4560185185691807E-2</v>
      </c>
      <c r="N154" s="7">
        <f>24*60*SUM($M154:$M154)</f>
        <v>35.366666667396203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-06T22:41:28-0700',mode:absolute,to:'2017-11-07T01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6.0100000000000001E-2</v>
      </c>
      <c r="Z154" s="204">
        <f>RIGHT(H154,LEN(H154)-4)/10000</f>
        <v>23.3261</v>
      </c>
      <c r="AA154" s="204">
        <f>ABS(Z154-Y154)</f>
        <v>23.266000000000002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 &amp; 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/stypes="app*4010*20171107*"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1"/>
        <v>"%USERPROFILE%\Documents\GitHub\eaglep3\Utilities\RefineRTDCRunTimes.py" --tripid 241-06 --locoid 4010 --swversion DE.1.0.9.0 --startMP 204:601 --initTime 2017-11-06T23:41:28 --startdatetime 2017-11-07T00:00:13 --delay 84 --endMP 204:233261 --enddatetime 2017-11-07T00:35:35 --enforcementcount 0 &gt;&gt;%USERPROFILE%\Documents\GitHub\eaglep3-reporting\EC\2017-11-06-refined-times.txt</v>
      </c>
      <c r="AI154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{"issue":{"subject":"","project_id":79,"tracker_id":40,"status_id":1,"priority_id":2,"assigned_to_id":338,"start_date":"2017-11-07","description":"","custom_fields":[{"id":1,"name":"Subdivision","value":"EC"},{"id":4,"name":"Milepost","value":"23.3261"},{"id":17,"name":"Train ID","value":"241-06"},{"id":16,"name":"Locomotive ID","value":"4010"},{"id":130,"name":"Impact","value":""},{"id":150,"name":"Time of Event (Mountain Time)","value":"00:35:35"},{"id":151,"name":"Denver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3"/>
        <v>start /low /b %USERPROFILE%\Documents\GitHub\eaglep3\Utilities\DownloadLogsFromS3.py --loco 4010 --day 2017-11-07</v>
      </c>
      <c r="AN154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25"/>
        <v>https://d0f6bd738d7f1b3e5a7ca70fe4ff75f0.us-east-1.aws.found.io/app/kibana#/discover/Steve-Slow-Train-Analysis-(2080s-and-2083s)?_g=(refreshInterval:(display:Off,pause:!f,section:0,value:0),time:(from:'2017-11-06T22:41:28-0700',mode:absolute,to:'2017-11-07T01:35:35-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874</v>
      </c>
      <c r="B155" s="7">
        <v>4009</v>
      </c>
      <c r="C155" s="21" t="s">
        <v>192</v>
      </c>
      <c r="D155" s="21" t="s">
        <v>991</v>
      </c>
      <c r="E155" s="13">
        <v>43046.037939814814</v>
      </c>
      <c r="F155" s="13">
        <v>43046.039733796293</v>
      </c>
      <c r="G155" s="7">
        <v>61</v>
      </c>
      <c r="H155" s="21" t="s">
        <v>992</v>
      </c>
      <c r="I155" s="13">
        <v>43046.068819444445</v>
      </c>
      <c r="J155" s="7">
        <v>0</v>
      </c>
      <c r="K155" s="89" t="str">
        <f>IF(ISEVEN(B155),(B155-1)&amp;"/"&amp;B155,B155&amp;"/"&amp;(B155+1))</f>
        <v>4009/4010</v>
      </c>
      <c r="L155" s="185" t="str">
        <f>VLOOKUP(A155,'Trips&amp;Operators'!$C$1:$G$99911,5,FALSE)</f>
        <v>RESPASS AARON</v>
      </c>
      <c r="M155" s="6">
        <f>I155-F155</f>
        <v>2.9085648151522037E-2</v>
      </c>
      <c r="N155" s="7">
        <f>24*60*SUM($M155:$M155)</f>
        <v>41.883333338191733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-06T23:54:38-0700',mode:absolute,to:'2017-11-07T02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23.294799999999999</v>
      </c>
      <c r="Z155" s="204">
        <f>RIGHT(H155,LEN(H155)-4)/10000</f>
        <v>3.44E-2</v>
      </c>
      <c r="AA155" s="204">
        <f>ABS(Z155-Y155)</f>
        <v>23.260399999999997</v>
      </c>
      <c r="AB155" s="54" t="e">
        <f>VLOOKUP(A155,Enforcements!$C$7:$K$10,8,0)</f>
        <v>#N/A</v>
      </c>
      <c r="AC155" s="51" t="e">
        <f>VLOOKUP(A155,Enforcements!$C$7:$E$10,3,0)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 &amp; 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/stypes="app*4009*20171107*" /stext=" 08:.+((SYSTEM_STATE.+slice.+state.+changed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1"/>
        <v>"%USERPROFILE%\Documents\GitHub\eaglep3\Utilities\RefineRTDCRunTimes.py" --tripid 242-06 --locoid 4009 --swversion DE.1.0.9.0 --startMP 204:232948 --initTime 2017-11-07T00:54:38 --startdatetime 2017-11-07T00:57:13 --delay 61 --endMP 204:344 --enddatetime 2017-11-07T01:39:06 --enforcementcount 0 &gt;&gt;%USERPROFILE%\Documents\GitHub\eaglep3-reporting\EC\2017-11-06-refined-times.txt</v>
      </c>
      <c r="AI155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{"issue":{"subject":"","project_id":79,"tracker_id":40,"status_id":1,"priority_id":2,"assigned_to_id":338,"start_date":"2017-11-07","description":"","custom_fields":[{"id":1,"name":"Subdivision","value":"EC"},{"id":4,"name":"Milepost","value":"0.0344"},{"id":17,"name":"Train ID","value":"242-06"},{"id":16,"name":"Locomotive ID","value":"4009"},{"id":130,"name":"Impact","value":""},{"id":150,"name":"Time of Event (Mountain Time)","value":"01:39:06"},{"id":151,"name":"Denver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3"/>
        <v>start /low /b %USERPROFILE%\Documents\GitHub\eaglep3\Utilities\DownloadLogsFromS3.py --loco 4009 --day 2017-11-07</v>
      </c>
      <c r="AN155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08:39:06"},{"id":29,"name":"Sharepoint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5"/>
        <v>https://d0f6bd738d7f1b3e5a7ca70fe4ff75f0.us-east-1.aws.found.io/app/kibana#/discover/Steve-Slow-Train-Analysis-(2080s-and-2083s)?_g=(refreshInterval:(display:Off,pause:!f,section:0,value:0),time:(from:'2017-11-06T23:54:38-0700',mode:absolute,to:'2017-11-07T02:39:06-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872</v>
      </c>
      <c r="B156" s="7">
        <v>4050</v>
      </c>
      <c r="C156" s="21" t="s">
        <v>192</v>
      </c>
      <c r="D156" s="21" t="s">
        <v>581</v>
      </c>
      <c r="E156" s="13">
        <v>43046.016261574077</v>
      </c>
      <c r="F156" s="13">
        <v>43046.021053240744</v>
      </c>
      <c r="G156" s="7">
        <v>66</v>
      </c>
      <c r="H156" s="21" t="s">
        <v>993</v>
      </c>
      <c r="I156" s="13">
        <v>43046.048877314817</v>
      </c>
      <c r="J156" s="7">
        <v>0</v>
      </c>
      <c r="K156" s="89" t="str">
        <f>IF(ISEVEN(B156),(B156-1)&amp;"/"&amp;B156,B156&amp;"/"&amp;(B156+1))</f>
        <v>4049/4050</v>
      </c>
      <c r="L156" s="185" t="str">
        <f>VLOOKUP(A156,'Trips&amp;Operators'!$C$1:$G$99911,5,FALSE)</f>
        <v>WILLIAMS DONTE</v>
      </c>
      <c r="M156" s="6">
        <f>I156-F156</f>
        <v>2.7824074073578231E-2</v>
      </c>
      <c r="N156" s="7">
        <f>24*60*SUM($M156:$M156)</f>
        <v>40.066666665952653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-06T23:23:25-0700',mode:absolute,to:'2017-11-07T02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4.9500000000000002E-2</v>
      </c>
      <c r="Z156" s="204">
        <f>RIGHT(H156,LEN(H156)-4)/10000</f>
        <v>23.321999999999999</v>
      </c>
      <c r="AA156" s="204">
        <f>ABS(Z156-Y156)</f>
        <v>23.272500000000001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 &amp; 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/stypes="app*4050*20171107*"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1"/>
        <v>"%USERPROFILE%\Documents\GitHub\eaglep3\Utilities\RefineRTDCRunTimes.py" --tripid 243-06 --locoid 4050 --swversion DE.1.0.9.0 --startMP 204:495 --initTime 2017-11-07T00:23:25 --startdatetime 2017-11-07T00:30:19 --delay 66 --endMP 204:233220 --enddatetime 2017-11-07T01:10:23 --enforcementcount 0 &gt;&gt;%USERPROFILE%\Documents\GitHub\eaglep3-reporting\EC\2017-11-06-refined-times.txt</v>
      </c>
      <c r="AI156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{"issue":{"subject":"","project_id":79,"tracker_id":40,"status_id":1,"priority_id":2,"assigned_to_id":338,"start_date":"2017-11-07","description":"","custom_fields":[{"id":1,"name":"Subdivision","value":"EC"},{"id":4,"name":"Milepost","value":"23.322"},{"id":17,"name":"Train ID","value":"243-06"},{"id":16,"name":"Locomotive ID","value":"4050"},{"id":130,"name":"Impact","value":""},{"id":150,"name":"Time of Event (Mountain Time)","value":"01:10:23"},{"id":151,"name":"Denver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3"/>
        <v>start /low /b %USERPROFILE%\Documents\GitHub\eaglep3\Utilities\DownloadLogsFromS3.py --loco 4050 --day 2017-11-07</v>
      </c>
      <c r="AN156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08:10:23"},{"id":29,"name":"Sharepoint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25"/>
        <v>https://d0f6bd738d7f1b3e5a7ca70fe4ff75f0.us-east-1.aws.found.io/app/kibana#/discover/Steve-Slow-Train-Analysis-(2080s-and-2083s)?_g=(refreshInterval:(display:Off,pause:!f,section:0,value:0),time:(from:'2017-11-06T23:23:25-0700',mode:absolute,to:'2017-11-07T02:10:23-0700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876</v>
      </c>
      <c r="B157" s="7">
        <v>4049</v>
      </c>
      <c r="C157" s="21" t="s">
        <v>192</v>
      </c>
      <c r="D157" s="21" t="s">
        <v>960</v>
      </c>
      <c r="E157" s="13">
        <v>43046.056701388887</v>
      </c>
      <c r="F157" s="13">
        <v>43046.060624999998</v>
      </c>
      <c r="G157" s="7">
        <v>63</v>
      </c>
      <c r="H157" s="21" t="s">
        <v>596</v>
      </c>
      <c r="I157" s="13">
        <v>43046.088043981479</v>
      </c>
      <c r="J157" s="7">
        <v>0</v>
      </c>
      <c r="K157" s="89" t="str">
        <f>IF(ISEVEN(B157),(B157-1)&amp;"/"&amp;B157,B157&amp;"/"&amp;(B157+1))</f>
        <v>4049/4050</v>
      </c>
      <c r="L157" s="185" t="str">
        <f>VLOOKUP(A157,'Trips&amp;Operators'!$C$1:$G$99911,5,FALSE)</f>
        <v>WILLIAMS DONTE</v>
      </c>
      <c r="M157" s="6">
        <f>I157-F157</f>
        <v>2.7418981480877846E-2</v>
      </c>
      <c r="N157" s="7">
        <f>24*60*SUM($M157:$M157)</f>
        <v>39.483333332464099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-07T00:21:39-0700',mode:absolute,to:'2017-11-07T03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23.289200000000001</v>
      </c>
      <c r="Z157" s="204">
        <f>RIGHT(H157,LEN(H157)-4)/10000</f>
        <v>1.9400000000000001E-2</v>
      </c>
      <c r="AA157" s="204">
        <f>ABS(Z157-Y157)</f>
        <v>23.2698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 &amp; 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/stypes="app*4049*20171107*" /stext=" 09:.+((SYSTEM_STATE.+slice.+state.+changed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1"/>
        <v>"%USERPROFILE%\Documents\GitHub\eaglep3\Utilities\RefineRTDCRunTimes.py" --tripid 244-06 --locoid 4049 --swversion DE.1.0.9.0 --startMP 204:232892 --initTime 2017-11-07T01:21:39 --startdatetime 2017-11-07T01:27:18 --delay 63 --endMP 204:194 --enddatetime 2017-11-07T02:06:47 --enforcementcount 0 &gt;&gt;%USERPROFILE%\Documents\GitHub\eaglep3-reporting\EC\2017-11-06-refined-times.txt</v>
      </c>
      <c r="AI157" s="96" t="str">
        <f t="shared" si="22"/>
        <v>echo {"issue":{"subject":"","project_id":79,"tracker_id":40,"status_id":1,"priority_id":2,"assigned_to_id":338,"start_date":"2017-11-07","description":"","custom_fields":[{"id":1,"name":"Subdivision","value":"EC"},{"id":4,"name":"Milepost","value":"0.0194"},{"id":17,"name":"Train ID","value":"244-06"},{"id":16,"name":"Locomotive ID","value":"4049"},{"id":130,"name":"Impact","value":""},{"id":150,"name":"Time of Event (Mountain Time)","value":"02:06:47"},{"id":151,"name":"Denver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3"/>
        <v>start /low /b %USERPROFILE%\Documents\GitHub\eaglep3\Utilities\DownloadLogsFromS3.py --loco 4049 --day 2017-11-07</v>
      </c>
      <c r="AN157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09:06:47"},{"id":29,"name":"Sharepoint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5"/>
        <v>https://d0f6bd738d7f1b3e5a7ca70fe4ff75f0.us-east-1.aws.found.io/app/kibana#/discover/Steve-Slow-Train-Analysis-(2080s-and-2083s)?_g=(refreshInterval:(display:Off,pause:!f,section:0,value:0),time:(from:'2017-11-07T00:21:39-0700',mode:absolute,to:'2017-11-07T03:06:47-0700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685</v>
      </c>
      <c r="B158" s="7">
        <v>4017</v>
      </c>
      <c r="C158" s="21" t="s">
        <v>192</v>
      </c>
      <c r="D158" s="21" t="s">
        <v>1033</v>
      </c>
      <c r="E158" s="13">
        <v>43045.207025462965</v>
      </c>
      <c r="F158" s="13">
        <v>43045.21733796296</v>
      </c>
      <c r="G158" s="7">
        <v>135</v>
      </c>
      <c r="H158" s="21" t="s">
        <v>1034</v>
      </c>
      <c r="I158" s="13">
        <v>43045.226273148146</v>
      </c>
      <c r="J158" s="7">
        <v>0</v>
      </c>
      <c r="K158" s="89" t="str">
        <f>IF(ISEVEN(B158),(B158-1)&amp;"/"&amp;B158,B158&amp;"/"&amp;(B158+1))</f>
        <v>4017/4018</v>
      </c>
      <c r="L158" s="185" t="str">
        <f>VLOOKUP(A158,'Trips&amp;Operators'!$C$1:$G$99911,5,FALSE)</f>
        <v>MACDONALD THOMAS</v>
      </c>
      <c r="M158" s="6">
        <f>I158-F158</f>
        <v>8.9351851856918074E-3</v>
      </c>
      <c r="N158" s="7">
        <f>24*60*SUM($M158:$M158)</f>
        <v>12.866666667396203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-06T03:58:07-0700',mode:absolute,to:'2017-11-06T06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5.8619000000000003</v>
      </c>
      <c r="Z158" s="204">
        <f>RIGHT(H158,LEN(H158)-4)/10000</f>
        <v>8.2900000000000001E-2</v>
      </c>
      <c r="AA158" s="204">
        <f>ABS(Z158-Y158)</f>
        <v>5.7789999999999999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/stypes="app*4017*20171106*" /stext=" 12:.+((SYSTEM_STATE.+slice.+state.+changed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21"/>
        <v>"%USERPROFILE%\Documents\GitHub\eaglep3\Utilities\RefineRTDCRunTimes.py" --tripid 800-06 --locoid 4017 --swversion DE.1.0.9.0 --startMP 300:58619 --initTime 2017-11-06T04:58:07 --startdatetime 2017-11-06T05:12:58 --delay 135 --endMP 204:829 --enddatetime 2017-11-06T05:25:50 --enforcementcount 0 &gt;&gt;%USERPROFILE%\Documents\GitHub\eaglep3-reporting\EC\2017-11-06-refined-times.txt</v>
      </c>
      <c r="AI158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{"issue":{"subject":"","project_id":79,"tracker_id":40,"status_id":1,"priority_id":2,"assigned_to_id":338,"start_date":"2017-11-06","description":"","custom_fields":[{"id":1,"name":"Subdivision","value":"NW"},{"id":4,"name":"Milepost","value":"0.0829"},{"id":17,"name":"Train ID","value":"800-06"},{"id":16,"name":"Locomotive ID","value":"4017"},{"id":130,"name":"Impact","value":""},{"id":150,"name":"Time of Event (Mountain Time)","value":"05:25:50"},{"id":151,"name":"Denver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3"/>
        <v>start /low /b %USERPROFILE%\Documents\GitHub\eaglep3\Utilities\DownloadLogsFromS3.py --loco 4017 --day 2017-11-06</v>
      </c>
      <c r="AN158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"/>
        <v>https://d0f6bd738d7f1b3e5a7ca70fe4ff75f0.us-east-1.aws.found.io/app/kibana#/discover/Steve-Slow-Train-Analysis-(2080s-and-2083s)?_g=(refreshInterval:(display:Off,pause:!f,section:0,value:0),time:(from:'2017-11-06T03:58:07-0700',mode:absolute,to:'2017-11-06T06:25:50-0700'))&amp;_a=(columns:!('Message%20ID',Summary),filters:!(),index:'emp_*',interval:auto,query:(query_string:(analyze_wildcard:!t,query:'%22rtdc.l.rtdc.4017%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638</v>
      </c>
      <c r="B159" s="7">
        <v>4018</v>
      </c>
      <c r="C159" s="21" t="s">
        <v>192</v>
      </c>
      <c r="D159" s="21" t="s">
        <v>1035</v>
      </c>
      <c r="E159" s="13">
        <v>43045.2340625</v>
      </c>
      <c r="F159" s="13">
        <v>43045.235995370371</v>
      </c>
      <c r="G159" s="7">
        <v>120</v>
      </c>
      <c r="H159" s="21" t="s">
        <v>1036</v>
      </c>
      <c r="I159" s="13">
        <v>43045.245995370373</v>
      </c>
      <c r="J159" s="7">
        <v>0</v>
      </c>
      <c r="K159" s="89" t="str">
        <f>IF(ISEVEN(B159),(B159-1)&amp;"/"&amp;B159,B159&amp;"/"&amp;(B159+1))</f>
        <v>4017/4018</v>
      </c>
      <c r="L159" s="185" t="str">
        <f>VLOOKUP(A159,'Trips&amp;Operators'!$C$1:$G$99911,5,FALSE)</f>
        <v>MACDONALD THOMAS</v>
      </c>
      <c r="M159" s="6">
        <f>I159-F159</f>
        <v>1.0000000002037268E-2</v>
      </c>
      <c r="N159" s="7">
        <f>24*60*SUM($M159:$M159)</f>
        <v>14.400000002933666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-06T04:37:03-0700',mode:absolute,to:'2017-11-06T06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0.11210000000000001</v>
      </c>
      <c r="Z159" s="204">
        <f>RIGHT(H159,LEN(H159)-4)/10000</f>
        <v>5.8912000000000004</v>
      </c>
      <c r="AA159" s="204">
        <f>ABS(Z159-Y159)</f>
        <v>5.7791000000000006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/stypes="app*4018*20171106*" /stext=" 12:.+((SYSTEM_STATE.+slice.+state.+changed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1"/>
        <v>"%USERPROFILE%\Documents\GitHub\eaglep3\Utilities\RefineRTDCRunTimes.py" --tripid 801-06 --locoid 4018 --swversion DE.1.0.9.0 --startMP 204:1121 --initTime 2017-11-06T05:37:03 --startdatetime 2017-11-06T05:39:50 --delay 120 --endMP 300:58912 --enddatetime 2017-11-06T05:54:14 --enforcementcount 0 &gt;&gt;%USERPROFILE%\Documents\GitHub\eaglep3-reporting\EC\2017-11-06-refined-times.txt</v>
      </c>
      <c r="AI159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{"issue":{"subject":"","project_id":79,"tracker_id":40,"status_id":1,"priority_id":2,"assigned_to_id":338,"start_date":"2017-11-06","description":"","custom_fields":[{"id":1,"name":"Subdivision","value":"NW"},{"id":4,"name":"Milepost","value":"5.8912"},{"id":17,"name":"Train ID","value":"801-06"},{"id":16,"name":"Locomotive ID","value":"4018"},{"id":130,"name":"Impact","value":""},{"id":150,"name":"Time of Event (Mountain Time)","value":"05:54:14"},{"id":151,"name":"Denver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3"/>
        <v>start /low /b %USERPROFILE%\Documents\GitHub\eaglep3\Utilities\DownloadLogsFromS3.py --loco 4018 --day 2017-11-06</v>
      </c>
      <c r="AN159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"/>
        <v>https://d0f6bd738d7f1b3e5a7ca70fe4ff75f0.us-east-1.aws.found.io/app/kibana#/discover/Steve-Slow-Train-Analysis-(2080s-and-2083s)?_g=(refreshInterval:(display:Off,pause:!f,section:0,value:0),time:(from:'2017-11-06T04:37:03-0700',mode:absolute,to:'2017-11-06T06:54:14-0700'))&amp;_a=(columns:!('Message%20ID',Summary),filters:!(),index:'emp_*',interval:auto,query:(query_string:(analyze_wildcard:!t,query:'%22rtdc.l.rtdc.4018%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639</v>
      </c>
      <c r="B160" s="7">
        <v>4017</v>
      </c>
      <c r="C160" s="21" t="s">
        <v>192</v>
      </c>
      <c r="D160" s="21" t="s">
        <v>1037</v>
      </c>
      <c r="E160" s="13">
        <v>43045.246932870374</v>
      </c>
      <c r="F160" s="13">
        <v>43045.258634259262</v>
      </c>
      <c r="G160" s="7">
        <v>56</v>
      </c>
      <c r="H160" s="21" t="s">
        <v>1038</v>
      </c>
      <c r="I160" s="13">
        <v>43045.268182870372</v>
      </c>
      <c r="J160" s="7">
        <v>0</v>
      </c>
      <c r="K160" s="89" t="str">
        <f>IF(ISEVEN(B160),(B160-1)&amp;"/"&amp;B160,B160&amp;"/"&amp;(B160+1))</f>
        <v>4017/4018</v>
      </c>
      <c r="L160" s="185" t="str">
        <f>VLOOKUP(A160,'Trips&amp;Operators'!$C$1:$G$99911,5,FALSE)</f>
        <v>MACDONALD THOMAS</v>
      </c>
      <c r="M160" s="6">
        <f>I160-F160</f>
        <v>9.5486111094942316E-3</v>
      </c>
      <c r="N160" s="7">
        <f>24*60*SUM($M160:$M160)</f>
        <v>13.749999997671694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-06T04:55:35-0700',mode:absolute,to:'2017-11-06T07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5.8604000000000003</v>
      </c>
      <c r="Z160" s="204">
        <f>RIGHT(H160,LEN(H160)-4)/10000</f>
        <v>7.9399999999999998E-2</v>
      </c>
      <c r="AA160" s="204">
        <f>ABS(Z160-Y160)</f>
        <v>5.7810000000000006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/stypes="app*4017*20171106*" /stext=" 13:.+((SYSTEM_STATE.+slice.+state.+changed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1"/>
        <v>"%USERPROFILE%\Documents\GitHub\eaglep3\Utilities\RefineRTDCRunTimes.py" --tripid 802-06 --locoid 4017 --swversion DE.1.0.9.0 --startMP 300:58604 --initTime 2017-11-06T05:55:35 --startdatetime 2017-11-06T06:12:26 --delay 56 --endMP 204:794 --enddatetime 2017-11-06T06:26:11 --enforcementcount 0 &gt;&gt;%USERPROFILE%\Documents\GitHub\eaglep3-reporting\EC\2017-11-06-refined-times.txt</v>
      </c>
      <c r="AI160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{"issue":{"subject":"","project_id":79,"tracker_id":40,"status_id":1,"priority_id":2,"assigned_to_id":338,"start_date":"2017-11-06","description":"","custom_fields":[{"id":1,"name":"Subdivision","value":"NW"},{"id":4,"name":"Milepost","value":"0.0794"},{"id":17,"name":"Train ID","value":"802-06"},{"id":16,"name":"Locomotive ID","value":"4017"},{"id":130,"name":"Impact","value":""},{"id":150,"name":"Time of Event (Mountain Time)","value":"06:26:11"},{"id":151,"name":"Denver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3"/>
        <v>start /low /b %USERPROFILE%\Documents\GitHub\eaglep3\Utilities\DownloadLogsFromS3.py --loco 4017 --day 2017-11-06</v>
      </c>
      <c r="AN160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"/>
        <v>https://d0f6bd738d7f1b3e5a7ca70fe4ff75f0.us-east-1.aws.found.io/app/kibana#/discover/Steve-Slow-Train-Analysis-(2080s-and-2083s)?_g=(refreshInterval:(display:Off,pause:!f,section:0,value:0),time:(from:'2017-11-06T04:55:35-0700',mode:absolute,to:'2017-11-06T07:26:11-0700'))&amp;_a=(columns:!('Message%20ID',Summary),filters:!(),index:'emp_*',interval:auto,query:(query_string:(analyze_wildcard:!t,query:'%22rtdc.l.rtdc.4017%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700</v>
      </c>
      <c r="B161" s="7">
        <v>4006</v>
      </c>
      <c r="C161" s="21" t="s">
        <v>192</v>
      </c>
      <c r="D161" s="21" t="s">
        <v>1039</v>
      </c>
      <c r="E161" s="13">
        <v>43045.248495370368</v>
      </c>
      <c r="F161" s="13">
        <v>43045.25677083333</v>
      </c>
      <c r="G161" s="7">
        <v>56</v>
      </c>
      <c r="H161" s="21" t="s">
        <v>1036</v>
      </c>
      <c r="I161" s="13">
        <v>43045.266018518516</v>
      </c>
      <c r="J161" s="7">
        <v>0</v>
      </c>
      <c r="K161" s="89" t="str">
        <f>IF(ISEVEN(B161),(B161-1)&amp;"/"&amp;B161,B161&amp;"/"&amp;(B161+1))</f>
        <v>4005/4006</v>
      </c>
      <c r="L161" s="185" t="str">
        <f>VLOOKUP(A161,'Trips&amp;Operators'!$C$1:$G$99911,5,FALSE)</f>
        <v>YANAI IAN</v>
      </c>
      <c r="M161" s="6">
        <f>I161-F161</f>
        <v>9.2476851859828457E-3</v>
      </c>
      <c r="N161" s="7">
        <f>24*60*SUM($M161:$M161)</f>
        <v>13.316666667815298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-06T04:57:50-0700',mode:absolute,to:'2017-11-06T07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0.14760000000000001</v>
      </c>
      <c r="Z161" s="204">
        <f>RIGHT(H161,LEN(H161)-4)/10000</f>
        <v>5.8912000000000004</v>
      </c>
      <c r="AA161" s="204">
        <f>ABS(Z161-Y161)</f>
        <v>5.7436000000000007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/stypes="app*4006*20171106*" /stext=" 13:.+((SYSTEM_STATE.+slice.+state.+changed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1"/>
        <v>"%USERPROFILE%\Documents\GitHub\eaglep3\Utilities\RefineRTDCRunTimes.py" --tripid 803-06 --locoid 4006 --swversion DE.1.0.9.0 --startMP 204:1476 --initTime 2017-11-06T05:57:50 --startdatetime 2017-11-06T06:09:45 --delay 56 --endMP 300:58912 --enddatetime 2017-11-06T06:23:04 --enforcementcount 0 &gt;&gt;%USERPROFILE%\Documents\GitHub\eaglep3-reporting\EC\2017-11-06-refined-times.txt</v>
      </c>
      <c r="AI161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{"issue":{"subject":"","project_id":79,"tracker_id":40,"status_id":1,"priority_id":2,"assigned_to_id":338,"start_date":"2017-11-06","description":"","custom_fields":[{"id":1,"name":"Subdivision","value":"NW"},{"id":4,"name":"Milepost","value":"5.8912"},{"id":17,"name":"Train ID","value":"803-06"},{"id":16,"name":"Locomotive ID","value":"4006"},{"id":130,"name":"Impact","value":""},{"id":150,"name":"Time of Event (Mountain Time)","value":"06:23:04"},{"id":151,"name":"Denver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3"/>
        <v>start /low /b %USERPROFILE%\Documents\GitHub\eaglep3\Utilities\DownloadLogsFromS3.py --loco 4006 --day 2017-11-06</v>
      </c>
      <c r="AN161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"/>
        <v>https://d0f6bd738d7f1b3e5a7ca70fe4ff75f0.us-east-1.aws.found.io/app/kibana#/discover/Steve-Slow-Train-Analysis-(2080s-and-2083s)?_g=(refreshInterval:(display:Off,pause:!f,section:0,value:0),time:(from:'2017-11-06T04:57:50-0700',mode:absolute,to:'2017-11-06T07:23:04-0700'))&amp;_a=(columns:!('Message%20ID',Summary),filters:!(),index:'emp_*',interval:auto,query:(query_string:(analyze_wildcard:!t,query:'%22rtdc.l.rtdc.4006%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704</v>
      </c>
      <c r="B162" s="7">
        <v>4005</v>
      </c>
      <c r="C162" s="21" t="s">
        <v>192</v>
      </c>
      <c r="D162" s="21" t="s">
        <v>1037</v>
      </c>
      <c r="E162" s="13">
        <v>43045.266967592594</v>
      </c>
      <c r="F162" s="13">
        <v>43045.279432870368</v>
      </c>
      <c r="G162" s="7">
        <v>62</v>
      </c>
      <c r="H162" s="21" t="s">
        <v>1040</v>
      </c>
      <c r="I162" s="13">
        <v>43045.287986111114</v>
      </c>
      <c r="J162" s="7">
        <v>0</v>
      </c>
      <c r="K162" s="89" t="str">
        <f>IF(ISEVEN(B162),(B162-1)&amp;"/"&amp;B162,B162&amp;"/"&amp;(B162+1))</f>
        <v>4005/4006</v>
      </c>
      <c r="L162" s="185" t="str">
        <f>VLOOKUP(A162,'Trips&amp;Operators'!$C$1:$G$99911,5,FALSE)</f>
        <v>YANAI IAN</v>
      </c>
      <c r="M162" s="6">
        <f>I162-F162</f>
        <v>8.5532407465507276E-3</v>
      </c>
      <c r="N162" s="7">
        <f>24*60*SUM($M162:$M162)</f>
        <v>12.316666675033048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-06T05:24:26-0700',mode:absolute,to:'2017-11-06T07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5.8604000000000003</v>
      </c>
      <c r="Z162" s="204">
        <f>RIGHT(H162,LEN(H162)-4)/10000</f>
        <v>6.8400000000000002E-2</v>
      </c>
      <c r="AA162" s="204">
        <f>ABS(Z162-Y162)</f>
        <v>5.7920000000000007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/stypes="app*4005*20171106*"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1"/>
        <v>"%USERPROFILE%\Documents\GitHub\eaglep3\Utilities\RefineRTDCRunTimes.py" --tripid 804-06 --locoid 4005 --swversion DE.1.0.9.0 --startMP 300:58604 --initTime 2017-11-06T06:24:26 --startdatetime 2017-11-06T06:42:23 --delay 62 --endMP 204:684 --enddatetime 2017-11-06T06:54:42 --enforcementcount 0 &gt;&gt;%USERPROFILE%\Documents\GitHub\eaglep3-reporting\EC\2017-11-06-refined-times.txt</v>
      </c>
      <c r="AI162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{"issue":{"subject":"","project_id":79,"tracker_id":40,"status_id":1,"priority_id":2,"assigned_to_id":338,"start_date":"2017-11-06","description":"","custom_fields":[{"id":1,"name":"Subdivision","value":"NW"},{"id":4,"name":"Milepost","value":"0.0684"},{"id":17,"name":"Train ID","value":"804-06"},{"id":16,"name":"Locomotive ID","value":"4005"},{"id":130,"name":"Impact","value":""},{"id":150,"name":"Time of Event (Mountain Time)","value":"06:54:42"},{"id":151,"name":"Denver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3"/>
        <v>start /low /b %USERPROFILE%\Documents\GitHub\eaglep3\Utilities\DownloadLogsFromS3.py --loco 4005 --day 2017-11-06</v>
      </c>
      <c r="AN162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"/>
        <v>https://d0f6bd738d7f1b3e5a7ca70fe4ff75f0.us-east-1.aws.found.io/app/kibana#/discover/Steve-Slow-Train-Analysis-(2080s-and-2083s)?_g=(refreshInterval:(display:Off,pause:!f,section:0,value:0),time:(from:'2017-11-06T05:24:26-0700',mode:absolute,to:'2017-11-06T07:54:42-0700'))&amp;_a=(columns:!('Message%20ID',Summary),filters:!(),index:'emp_*',interval:auto,query:(query_string:(analyze_wildcard:!t,query:'%22rtdc.l.rtdc.4005%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707</v>
      </c>
      <c r="B163" s="7">
        <v>4018</v>
      </c>
      <c r="C163" s="21" t="s">
        <v>192</v>
      </c>
      <c r="D163" s="21" t="s">
        <v>1041</v>
      </c>
      <c r="E163" s="13">
        <v>43045.27652777778</v>
      </c>
      <c r="F163" s="13">
        <v>43045.277939814812</v>
      </c>
      <c r="G163" s="7">
        <v>79</v>
      </c>
      <c r="H163" s="21" t="s">
        <v>1042</v>
      </c>
      <c r="I163" s="13">
        <v>43045.287766203706</v>
      </c>
      <c r="J163" s="7">
        <v>0</v>
      </c>
      <c r="K163" s="89" t="str">
        <f>IF(ISEVEN(B163),(B163-1)&amp;"/"&amp;B163,B163&amp;"/"&amp;(B163+1))</f>
        <v>4017/4018</v>
      </c>
      <c r="L163" s="185" t="str">
        <f>VLOOKUP(A163,'Trips&amp;Operators'!$C$1:$G$99911,5,FALSE)</f>
        <v>MACDONALD THOMAS</v>
      </c>
      <c r="M163" s="6">
        <f>I163-F163</f>
        <v>9.826388893998228E-3</v>
      </c>
      <c r="N163" s="7">
        <f>24*60*SUM($M163:$M163)</f>
        <v>14.150000007357448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-06T05:38:12-0700',mode:absolute,to:'2017-11-06T07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0.1084</v>
      </c>
      <c r="Z163" s="204">
        <f>RIGHT(H163,LEN(H163)-4)/10000</f>
        <v>5.8925999999999998</v>
      </c>
      <c r="AA163" s="204">
        <f>ABS(Z163-Y163)</f>
        <v>5.7842000000000002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/stypes="app*4018*20171106*"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1"/>
        <v>"%USERPROFILE%\Documents\GitHub\eaglep3\Utilities\RefineRTDCRunTimes.py" --tripid 805-06 --locoid 4018 --swversion DE.1.0.9.0 --startMP 204:1084 --initTime 2017-11-06T06:38:12 --startdatetime 2017-11-06T06:40:14 --delay 79 --endMP 300:58926 --enddatetime 2017-11-06T06:54:23 --enforcementcount 0 &gt;&gt;%USERPROFILE%\Documents\GitHub\eaglep3-reporting\EC\2017-11-06-refined-times.txt</v>
      </c>
      <c r="AI163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{"issue":{"subject":"","project_id":79,"tracker_id":40,"status_id":1,"priority_id":2,"assigned_to_id":338,"start_date":"2017-11-06","description":"","custom_fields":[{"id":1,"name":"Subdivision","value":"NW"},{"id":4,"name":"Milepost","value":"5.8926"},{"id":17,"name":"Train ID","value":"805-06"},{"id":16,"name":"Locomotive ID","value":"4018"},{"id":130,"name":"Impact","value":""},{"id":150,"name":"Time of Event (Mountain Time)","value":"06:54:23"},{"id":151,"name":"Denver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3"/>
        <v>start /low /b %USERPROFILE%\Documents\GitHub\eaglep3\Utilities\DownloadLogsFromS3.py --loco 4018 --day 2017-11-06</v>
      </c>
      <c r="AN163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13:54:23"},{"id":29,"name":"Sharepoint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"/>
        <v>https://d0f6bd738d7f1b3e5a7ca70fe4ff75f0.us-east-1.aws.found.io/app/kibana#/discover/Steve-Slow-Train-Analysis-(2080s-and-2083s)?_g=(refreshInterval:(display:Off,pause:!f,section:0,value:0),time:(from:'2017-11-06T05:38:12-0700',mode:absolute,to:'2017-11-06T07:54:23-0700'))&amp;_a=(columns:!('Message%20ID',Summary),filters:!(),index:'emp_*',interval:auto,query:(query_string:(analyze_wildcard:!t,query:'%22rtdc.l.rtdc.4018%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710</v>
      </c>
      <c r="B164" s="7">
        <v>4017</v>
      </c>
      <c r="C164" s="21" t="s">
        <v>192</v>
      </c>
      <c r="D164" s="21" t="s">
        <v>1037</v>
      </c>
      <c r="E164" s="13">
        <v>43045.288599537038</v>
      </c>
      <c r="F164" s="13">
        <v>43045.301249999997</v>
      </c>
      <c r="G164" s="7">
        <v>60</v>
      </c>
      <c r="H164" s="21" t="s">
        <v>886</v>
      </c>
      <c r="I164" s="13">
        <v>43045.309733796297</v>
      </c>
      <c r="J164" s="7">
        <v>0</v>
      </c>
      <c r="K164" s="89" t="str">
        <f>IF(ISEVEN(B164),(B164-1)&amp;"/"&amp;B164,B164&amp;"/"&amp;(B164+1))</f>
        <v>4017/4018</v>
      </c>
      <c r="L164" s="185" t="str">
        <f>VLOOKUP(A164,'Trips&amp;Operators'!$C$1:$G$99911,5,FALSE)</f>
        <v>MACDONALD THOMAS</v>
      </c>
      <c r="M164" s="6">
        <f>I164-F164</f>
        <v>8.4837963004247285E-3</v>
      </c>
      <c r="N164" s="7">
        <f>24*60*SUM($M164:$M164)</f>
        <v>12.216666672611609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-06T05:55:35-0700',mode:absolute,to:'2017-11-06T08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5.8604000000000003</v>
      </c>
      <c r="Z164" s="204">
        <f>RIGHT(H164,LEN(H164)-4)/10000</f>
        <v>8.48E-2</v>
      </c>
      <c r="AA164" s="204">
        <f>ABS(Z164-Y164)</f>
        <v>5.7755999999999998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/stypes="app*4017*20171106*" /stext=" 14:.+((SYSTEM_STATE.+slice.+state.+changed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1"/>
        <v>"%USERPROFILE%\Documents\GitHub\eaglep3\Utilities\RefineRTDCRunTimes.py" --tripid 806-06 --locoid 4017 --swversion DE.1.0.9.0 --startMP 300:58604 --initTime 2017-11-06T06:55:35 --startdatetime 2017-11-06T07:13:48 --delay 60 --endMP 204:848 --enddatetime 2017-11-06T07:26:01 --enforcementcount 0 &gt;&gt;%USERPROFILE%\Documents\GitHub\eaglep3-reporting\EC\2017-11-06-refined-times.txt</v>
      </c>
      <c r="AI164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{"issue":{"subject":"","project_id":79,"tracker_id":40,"status_id":1,"priority_id":2,"assigned_to_id":338,"start_date":"2017-11-06","description":"","custom_fields":[{"id":1,"name":"Subdivision","value":"NW"},{"id":4,"name":"Milepost","value":"0.0848"},{"id":17,"name":"Train ID","value":"806-06"},{"id":16,"name":"Locomotive ID","value":"4017"},{"id":130,"name":"Impact","value":""},{"id":150,"name":"Time of Event (Mountain Time)","value":"07:26:01"},{"id":151,"name":"Denver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3"/>
        <v>start /low /b %USERPROFILE%\Documents\GitHub\eaglep3\Utilities\DownloadLogsFromS3.py --loco 4017 --day 2017-11-06</v>
      </c>
      <c r="AN164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"/>
        <v>https://d0f6bd738d7f1b3e5a7ca70fe4ff75f0.us-east-1.aws.found.io/app/kibana#/discover/Steve-Slow-Train-Analysis-(2080s-and-2083s)?_g=(refreshInterval:(display:Off,pause:!f,section:0,value:0),time:(from:'2017-11-06T05:55:35-0700',mode:absolute,to:'2017-11-06T08:26:01-0700'))&amp;_a=(columns:!('Message%20ID',Summary),filters:!(),index:'emp_*',interval:auto,query:(query_string:(analyze_wildcard:!t,query:'%22rtdc.l.rtdc.4017%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641</v>
      </c>
      <c r="B165" s="7">
        <v>4006</v>
      </c>
      <c r="C165" s="21" t="s">
        <v>192</v>
      </c>
      <c r="D165" s="21" t="s">
        <v>1043</v>
      </c>
      <c r="E165" s="13">
        <v>43045.29</v>
      </c>
      <c r="F165" s="13">
        <v>43045.298449074071</v>
      </c>
      <c r="G165" s="7">
        <v>96</v>
      </c>
      <c r="H165" s="21" t="s">
        <v>1044</v>
      </c>
      <c r="I165" s="13">
        <v>43045.309050925927</v>
      </c>
      <c r="J165" s="7">
        <v>0</v>
      </c>
      <c r="K165" s="89" t="str">
        <f>IF(ISEVEN(B165),(B165-1)&amp;"/"&amp;B165,B165&amp;"/"&amp;(B165+1))</f>
        <v>4005/4006</v>
      </c>
      <c r="L165" s="185" t="str">
        <f>VLOOKUP(A165,'Trips&amp;Operators'!$C$1:$G$99911,5,FALSE)</f>
        <v>STRICKLAND EVAN</v>
      </c>
      <c r="M165" s="6">
        <f>I165-F165</f>
        <v>1.0601851856335998E-2</v>
      </c>
      <c r="N165" s="7">
        <f>24*60*SUM($M165:$M165)</f>
        <v>15.266666673123837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-06T05:57:36-0700',mode:absolute,to:'2017-11-06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9.6699999999999994E-2</v>
      </c>
      <c r="Z165" s="204">
        <f>RIGHT(H165,LEN(H165)-4)/10000</f>
        <v>5.8935000000000004</v>
      </c>
      <c r="AA165" s="204">
        <f>ABS(Z165-Y165)</f>
        <v>5.7968000000000002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/stypes="app*4006*20171106*" /stext=" 14:.+((SYSTEM_STATE.+slice.+state.+changed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1"/>
        <v>"%USERPROFILE%\Documents\GitHub\eaglep3\Utilities\RefineRTDCRunTimes.py" --tripid 807-06 --locoid 4006 --swversion DE.1.0.9.0 --startMP 204:967 --initTime 2017-11-06T06:57:36 --startdatetime 2017-11-06T07:09:46 --delay 96 --endMP 300:58935 --enddatetime 2017-11-06T07:25:02 --enforcementcount 0 &gt;&gt;%USERPROFILE%\Documents\GitHub\eaglep3-reporting\EC\2017-11-06-refined-times.txt</v>
      </c>
      <c r="AI165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{"issue":{"subject":"","project_id":79,"tracker_id":40,"status_id":1,"priority_id":2,"assigned_to_id":338,"start_date":"2017-11-06","description":"","custom_fields":[{"id":1,"name":"Subdivision","value":"NW"},{"id":4,"name":"Milepost","value":"5.8935"},{"id":17,"name":"Train ID","value":"807-06"},{"id":16,"name":"Locomotive ID","value":"4006"},{"id":130,"name":"Impact","value":""},{"id":150,"name":"Time of Event (Mountain Time)","value":"07:25:02"},{"id":151,"name":"Denver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3"/>
        <v>start /low /b %USERPROFILE%\Documents\GitHub\eaglep3\Utilities\DownloadLogsFromS3.py --loco 4006 --day 2017-11-06</v>
      </c>
      <c r="AN165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"/>
        <v>https://d0f6bd738d7f1b3e5a7ca70fe4ff75f0.us-east-1.aws.found.io/app/kibana#/discover/Steve-Slow-Train-Analysis-(2080s-and-2083s)?_g=(refreshInterval:(display:Off,pause:!f,section:0,value:0),time:(from:'2017-11-06T05:57:36-0700',mode:absolute,to:'2017-11-06T08:25:02-0700'))&amp;_a=(columns:!('Message%20ID',Summary),filters:!(),index:'emp_*',interval:auto,query:(query_string:(analyze_wildcard:!t,query:'%22rtdc.l.rtdc.4006%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715</v>
      </c>
      <c r="B166" s="7">
        <v>4005</v>
      </c>
      <c r="C166" s="21" t="s">
        <v>192</v>
      </c>
      <c r="D166" s="21" t="s">
        <v>1045</v>
      </c>
      <c r="E166" s="13">
        <v>43045.310706018521</v>
      </c>
      <c r="F166" s="13">
        <v>43045.321620370371</v>
      </c>
      <c r="G166" s="7">
        <v>77</v>
      </c>
      <c r="H166" s="21" t="s">
        <v>1046</v>
      </c>
      <c r="I166" s="13">
        <v>43045.330937500003</v>
      </c>
      <c r="J166" s="7">
        <v>0</v>
      </c>
      <c r="K166" s="89" t="str">
        <f>IF(ISEVEN(B166),(B166-1)&amp;"/"&amp;B166,B166&amp;"/"&amp;(B166+1))</f>
        <v>4005/4006</v>
      </c>
      <c r="L166" s="185" t="str">
        <f>VLOOKUP(A166,'Trips&amp;Operators'!$C$1:$G$99911,5,FALSE)</f>
        <v>STRICKLAND EVAN</v>
      </c>
      <c r="M166" s="6">
        <f>I166-F166</f>
        <v>9.3171296321088448E-3</v>
      </c>
      <c r="N166" s="7">
        <f>24*60*SUM($M166:$M166)</f>
        <v>13.416666670236737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-06T06:27:25-0700',mode:absolute,to:'2017-11-06T08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5.8623000000000003</v>
      </c>
      <c r="Z166" s="204">
        <f>RIGHT(H166,LEN(H166)-4)/10000</f>
        <v>8.7800000000000003E-2</v>
      </c>
      <c r="AA166" s="204">
        <f>ABS(Z166-Y166)</f>
        <v>5.7745000000000006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/stypes="app*4005*20171106*" /stext=" 14:.+((SYSTEM_STATE.+slice.+state.+changed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1"/>
        <v>"%USERPROFILE%\Documents\GitHub\eaglep3\Utilities\RefineRTDCRunTimes.py" --tripid 808-06 --locoid 4005 --swversion DE.1.0.9.0 --startMP 300:58623 --initTime 2017-11-06T07:27:25 --startdatetime 2017-11-06T07:43:08 --delay 77 --endMP 204:878 --enddatetime 2017-11-06T07:56:33 --enforcementcount 0 &gt;&gt;%USERPROFILE%\Documents\GitHub\eaglep3-reporting\EC\2017-11-06-refined-times.txt</v>
      </c>
      <c r="AI166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{"issue":{"subject":"","project_id":79,"tracker_id":40,"status_id":1,"priority_id":2,"assigned_to_id":338,"start_date":"2017-11-06","description":"","custom_fields":[{"id":1,"name":"Subdivision","value":"NW"},{"id":4,"name":"Milepost","value":"0.0878"},{"id":17,"name":"Train ID","value":"808-06"},{"id":16,"name":"Locomotive ID","value":"4005"},{"id":130,"name":"Impact","value":""},{"id":150,"name":"Time of Event (Mountain Time)","value":"07:56:33"},{"id":151,"name":"Denver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3"/>
        <v>start /low /b %USERPROFILE%\Documents\GitHub\eaglep3\Utilities\DownloadLogsFromS3.py --loco 4005 --day 2017-11-06</v>
      </c>
      <c r="AN166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"/>
        <v>https://d0f6bd738d7f1b3e5a7ca70fe4ff75f0.us-east-1.aws.found.io/app/kibana#/discover/Steve-Slow-Train-Analysis-(2080s-and-2083s)?_g=(refreshInterval:(display:Off,pause:!f,section:0,value:0),time:(from:'2017-11-06T06:27:25-0700',mode:absolute,to:'2017-11-06T08:56:33-0700'))&amp;_a=(columns:!('Message%20ID',Summary),filters:!(),index:'emp_*',interval:auto,query:(query_string:(analyze_wildcard:!t,query:'%22rtdc.l.rtdc.4005%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716</v>
      </c>
      <c r="B167" s="7">
        <v>4018</v>
      </c>
      <c r="C167" s="21" t="s">
        <v>192</v>
      </c>
      <c r="D167" s="21" t="s">
        <v>1047</v>
      </c>
      <c r="E167" s="13">
        <v>43045.311342592591</v>
      </c>
      <c r="F167" s="13">
        <v>43045.319409722222</v>
      </c>
      <c r="G167" s="7">
        <v>72</v>
      </c>
      <c r="H167" s="21" t="s">
        <v>610</v>
      </c>
      <c r="I167" s="13">
        <v>43045.329432870371</v>
      </c>
      <c r="J167" s="7">
        <v>0</v>
      </c>
      <c r="K167" s="89" t="str">
        <f>IF(ISEVEN(B167),(B167-1)&amp;"/"&amp;B167,B167&amp;"/"&amp;(B167+1))</f>
        <v>4017/4018</v>
      </c>
      <c r="L167" s="185" t="str">
        <f>VLOOKUP(A167,'Trips&amp;Operators'!$C$1:$G$99911,5,FALSE)</f>
        <v>MACDONALD THOMAS</v>
      </c>
      <c r="M167" s="6">
        <f>I167-F167</f>
        <v>1.0023148148320615E-2</v>
      </c>
      <c r="N167" s="7">
        <f>24*60*SUM($M167:$M167)</f>
        <v>14.433333333581686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-06T06:28:20-0700',mode:absolute,to:'2017-11-06T08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0.1137</v>
      </c>
      <c r="Z167" s="204">
        <f>RIGHT(H167,LEN(H167)-4)/10000</f>
        <v>5.8916000000000004</v>
      </c>
      <c r="AA167" s="204">
        <f>ABS(Z167-Y167)</f>
        <v>5.7779000000000007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/stypes="app*4018*20171106*" /stext=" 14:.+((SYSTEM_STATE.+slice.+state.+changed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1"/>
        <v>"%USERPROFILE%\Documents\GitHub\eaglep3\Utilities\RefineRTDCRunTimes.py" --tripid 809-06 --locoid 4018 --swversion DE.1.0.9.0 --startMP 204:1137 --initTime 2017-11-06T07:28:20 --startdatetime 2017-11-06T07:39:57 --delay 72 --endMP 300:58916 --enddatetime 2017-11-06T07:54:23 --enforcementcount 0 &gt;&gt;%USERPROFILE%\Documents\GitHub\eaglep3-reporting\EC\2017-11-06-refined-times.txt</v>
      </c>
      <c r="AI167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{"issue":{"subject":"","project_id":79,"tracker_id":40,"status_id":1,"priority_id":2,"assigned_to_id":338,"start_date":"2017-11-06","description":"","custom_fields":[{"id":1,"name":"Subdivision","value":"NW"},{"id":4,"name":"Milepost","value":"5.8916"},{"id":17,"name":"Train ID","value":"809-06"},{"id":16,"name":"Locomotive ID","value":"4018"},{"id":130,"name":"Impact","value":""},{"id":150,"name":"Time of Event (Mountain Time)","value":"07:54:23"},{"id":151,"name":"Denver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3"/>
        <v>start /low /b %USERPROFILE%\Documents\GitHub\eaglep3\Utilities\DownloadLogsFromS3.py --loco 4018 --day 2017-11-06</v>
      </c>
      <c r="AN167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"/>
        <v>https://d0f6bd738d7f1b3e5a7ca70fe4ff75f0.us-east-1.aws.found.io/app/kibana#/discover/Steve-Slow-Train-Analysis-(2080s-and-2083s)?_g=(refreshInterval:(display:Off,pause:!f,section:0,value:0),time:(from:'2017-11-06T06:28:20-0700',mode:absolute,to:'2017-11-06T08:54:23-0700'))&amp;_a=(columns:!('Message%20ID',Summary),filters:!(),index:'emp_*',interval:auto,query:(query_string:(analyze_wildcard:!t,query:'%22rtdc.l.rtdc.4018%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720</v>
      </c>
      <c r="B168" s="7">
        <v>4017</v>
      </c>
      <c r="C168" s="21" t="s">
        <v>192</v>
      </c>
      <c r="D168" s="21" t="s">
        <v>607</v>
      </c>
      <c r="E168" s="13">
        <v>43045.330196759256</v>
      </c>
      <c r="F168" s="13">
        <v>43045.342777777776</v>
      </c>
      <c r="G168" s="7">
        <v>139</v>
      </c>
      <c r="H168" s="21" t="s">
        <v>1048</v>
      </c>
      <c r="I168" s="13">
        <v>43045.351099537038</v>
      </c>
      <c r="J168" s="7">
        <v>0</v>
      </c>
      <c r="K168" s="89" t="str">
        <f>IF(ISEVEN(B168),(B168-1)&amp;"/"&amp;B168,B168&amp;"/"&amp;(B168+1))</f>
        <v>4017/4018</v>
      </c>
      <c r="L168" s="185" t="str">
        <f>VLOOKUP(A168,'Trips&amp;Operators'!$C$1:$G$99911,5,FALSE)</f>
        <v>MACDONALD THOMAS</v>
      </c>
      <c r="M168" s="6">
        <f>I168-F168</f>
        <v>8.3217592618893832E-3</v>
      </c>
      <c r="N168" s="7">
        <f>24*60*SUM($M168:$M168)</f>
        <v>11.983333337120712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-06T06:55:29-0700',mode:absolute,to:'2017-11-06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5.8596000000000004</v>
      </c>
      <c r="Z168" s="204">
        <f>RIGHT(H168,LEN(H168)-4)/10000</f>
        <v>7.8200000000000006E-2</v>
      </c>
      <c r="AA168" s="204">
        <f>ABS(Z168-Y168)</f>
        <v>5.7814000000000005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/stypes="app*4017*20171106*" /stext=" 15:.+((SYSTEM_STATE.+slice.+state.+changed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1"/>
        <v>"%USERPROFILE%\Documents\GitHub\eaglep3\Utilities\RefineRTDCRunTimes.py" --tripid 810-06 --locoid 4017 --swversion DE.1.0.9.0 --startMP 300:58596 --initTime 2017-11-06T07:55:29 --startdatetime 2017-11-06T08:13:36 --delay 139 --endMP 204:782 --enddatetime 2017-11-06T08:25:35 --enforcementcount 0 &gt;&gt;%USERPROFILE%\Documents\GitHub\eaglep3-reporting\EC\2017-11-06-refined-times.txt</v>
      </c>
      <c r="AI168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{"issue":{"subject":"","project_id":79,"tracker_id":40,"status_id":1,"priority_id":2,"assigned_to_id":338,"start_date":"2017-11-06","description":"","custom_fields":[{"id":1,"name":"Subdivision","value":"NW"},{"id":4,"name":"Milepost","value":"0.0782"},{"id":17,"name":"Train ID","value":"810-06"},{"id":16,"name":"Locomotive ID","value":"4017"},{"id":130,"name":"Impact","value":""},{"id":150,"name":"Time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3"/>
        <v>start /low /b %USERPROFILE%\Documents\GitHub\eaglep3\Utilities\DownloadLogsFromS3.py --loco 4017 --day 2017-11-06</v>
      </c>
      <c r="AN168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"/>
        <v>https://d0f6bd738d7f1b3e5a7ca70fe4ff75f0.us-east-1.aws.found.io/app/kibana#/discover/Steve-Slow-Train-Analysis-(2080s-and-2083s)?_g=(refreshInterval:(display:Off,pause:!f,section:0,value:0),time:(from:'2017-11-06T06:55:29-0700',mode:absolute,to:'2017-11-06T09:25:35-0700'))&amp;_a=(columns:!('Message%20ID',Summary),filters:!(),index:'emp_*',interval:auto,query:(query_string:(analyze_wildcard:!t,query:'%22rtdc.l.rtdc.4017%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721</v>
      </c>
      <c r="B169" s="7">
        <v>4006</v>
      </c>
      <c r="C169" s="21" t="s">
        <v>192</v>
      </c>
      <c r="D169" s="21" t="s">
        <v>1049</v>
      </c>
      <c r="E169" s="13">
        <v>43045.333287037036</v>
      </c>
      <c r="F169" s="13">
        <v>43045.339849537035</v>
      </c>
      <c r="G169" s="7">
        <v>69</v>
      </c>
      <c r="H169" s="21" t="s">
        <v>555</v>
      </c>
      <c r="I169" s="13">
        <v>43045.351585648146</v>
      </c>
      <c r="J169" s="7">
        <v>0</v>
      </c>
      <c r="K169" s="89" t="str">
        <f>IF(ISEVEN(B169),(B169-1)&amp;"/"&amp;B169,B169&amp;"/"&amp;(B169+1))</f>
        <v>4005/4006</v>
      </c>
      <c r="L169" s="185" t="str">
        <f>VLOOKUP(A169,'Trips&amp;Operators'!$C$1:$G$99911,5,FALSE)</f>
        <v>STRICKLAND EVAN</v>
      </c>
      <c r="M169" s="6">
        <f>I169-F169</f>
        <v>1.17361111115315E-2</v>
      </c>
      <c r="N169" s="7">
        <f>24*60*SUM($M169:$M169)</f>
        <v>16.90000000060536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-06T06:59:56-0700',mode:absolute,to:'2017-11-06T09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0.11509999999999999</v>
      </c>
      <c r="Z169" s="204">
        <f>RIGHT(H169,LEN(H169)-4)/10000</f>
        <v>5.8975</v>
      </c>
      <c r="AA169" s="204">
        <f>ABS(Z169-Y169)</f>
        <v>5.7824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/stypes="app*4006*20171106*" /stext=" 15:.+((SYSTEM_STATE.+slice.+state.+changed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1"/>
        <v>"%USERPROFILE%\Documents\GitHub\eaglep3\Utilities\RefineRTDCRunTimes.py" --tripid 811-06 --locoid 4006 --swversion DE.1.0.9.0 --startMP 204:1151 --initTime 2017-11-06T07:59:56 --startdatetime 2017-11-06T08:09:23 --delay 69 --endMP 300:58975 --enddatetime 2017-11-06T08:26:17 --enforcementcount 0 &gt;&gt;%USERPROFILE%\Documents\GitHub\eaglep3-reporting\EC\2017-11-06-refined-times.txt</v>
      </c>
      <c r="AI169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{"issue":{"subject":"","project_id":79,"tracker_id":40,"status_id":1,"priority_id":2,"assigned_to_id":338,"start_date":"2017-11-06","description":"","custom_fields":[{"id":1,"name":"Subdivision","value":"NW"},{"id":4,"name":"Milepost","value":"5.8975"},{"id":17,"name":"Train ID","value":"811-06"},{"id":16,"name":"Locomotive ID","value":"4006"},{"id":130,"name":"Impact","value":""},{"id":150,"name":"Time of Event (Mountain Time)","value":"08:26:17"},{"id":151,"name":"Denver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3"/>
        <v>start /low /b %USERPROFILE%\Documents\GitHub\eaglep3\Utilities\DownloadLogsFromS3.py --loco 4006 --day 2017-11-06</v>
      </c>
      <c r="AN169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"/>
        <v>https://d0f6bd738d7f1b3e5a7ca70fe4ff75f0.us-east-1.aws.found.io/app/kibana#/discover/Steve-Slow-Train-Analysis-(2080s-and-2083s)?_g=(refreshInterval:(display:Off,pause:!f,section:0,value:0),time:(from:'2017-11-06T06:59:56-0700',mode:absolute,to:'2017-11-06T09:26:17-0700'))&amp;_a=(columns:!('Message%20ID',Summary),filters:!(),index:'emp_*',interval:auto,query:(query_string:(analyze_wildcard:!t,query:'%22rtdc.l.rtdc.4006%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645</v>
      </c>
      <c r="B170" s="7">
        <v>4005</v>
      </c>
      <c r="C170" s="21" t="s">
        <v>192</v>
      </c>
      <c r="D170" s="21" t="s">
        <v>501</v>
      </c>
      <c r="E170" s="13">
        <v>43045.353194444448</v>
      </c>
      <c r="F170" s="13">
        <v>43045.363310185188</v>
      </c>
      <c r="G170" s="7">
        <v>62</v>
      </c>
      <c r="H170" s="21" t="s">
        <v>1050</v>
      </c>
      <c r="I170" s="13">
        <v>43045.370416666665</v>
      </c>
      <c r="J170" s="7">
        <v>0</v>
      </c>
      <c r="K170" s="89" t="str">
        <f>IF(ISEVEN(B170),(B170-1)&amp;"/"&amp;B170,B170&amp;"/"&amp;(B170+1))</f>
        <v>4005/4006</v>
      </c>
      <c r="L170" s="185" t="str">
        <f>VLOOKUP(A170,'Trips&amp;Operators'!$C$1:$G$99911,5,FALSE)</f>
        <v>STRICKLAND EVAN</v>
      </c>
      <c r="M170" s="6">
        <f>I170-F170</f>
        <v>7.1064814765122719E-3</v>
      </c>
      <c r="N170" s="7">
        <f>24*60*SUM($M170:$M170)</f>
        <v>10.233333326177672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-06T07:28:36-0700',mode:absolute,to:'2017-11-06T09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204" t="str">
        <f>IF(AA170&lt;VLOOKUP(AG170,Variables!$AC$3:$AD$8,2,FALSE),"Y","N")</f>
        <v>Y</v>
      </c>
      <c r="X170" s="204">
        <f>VALUE(LEFT(AD170,4))-VALUE(LEFT(AD169,4))</f>
        <v>1</v>
      </c>
      <c r="Y170" s="204">
        <f>RIGHT(D170,LEN(D170)-4)/10000</f>
        <v>5.8662000000000001</v>
      </c>
      <c r="Z170" s="204">
        <f>RIGHT(H170,LEN(H170)-4)/10000</f>
        <v>0.45650000000000002</v>
      </c>
      <c r="AA170" s="204">
        <f>ABS(Z170-Y170)</f>
        <v>5.4097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/stypes="app*4005*20171106*" /stext=" 15:.+((SYSTEM_STATE.+slice.+state.+changed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1"/>
        <v>"%USERPROFILE%\Documents\GitHub\eaglep3\Utilities\RefineRTDCRunTimes.py" --tripid 812-06 --locoid 4005 --swversion DE.1.0.9.0 --startMP 300:58662 --initTime 2017-11-06T08:28:36 --startdatetime 2017-11-06T08:43:10 --delay 62 --endMP 204:4565 --enddatetime 2017-11-06T08:53:24 --enforcementcount 0 &gt;&gt;%USERPROFILE%\Documents\GitHub\eaglep3-reporting\EC\2017-11-06-refined-times.txt</v>
      </c>
      <c r="AI170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{"issue":{"subject":"","project_id":79,"tracker_id":40,"status_id":1,"priority_id":2,"assigned_to_id":338,"start_date":"2017-11-06","description":"","custom_fields":[{"id":1,"name":"Subdivision","value":"NW"},{"id":4,"name":"Milepost","value":"0.4565"},{"id":17,"name":"Train ID","value":"812-06"},{"id":16,"name":"Locomotive ID","value":"4005"},{"id":130,"name":"Impact","value":""},{"id":150,"name":"Time of Event (Mountain Time)","value":"08:53:24"},{"id":151,"name":"Denver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3"/>
        <v>start /low /b %USERPROFILE%\Documents\GitHub\eaglep3\Utilities\DownloadLogsFromS3.py --loco 4005 --day 2017-11-06</v>
      </c>
      <c r="AN170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"/>
        <v>https://d0f6bd738d7f1b3e5a7ca70fe4ff75f0.us-east-1.aws.found.io/app/kibana#/discover/Steve-Slow-Train-Analysis-(2080s-and-2083s)?_g=(refreshInterval:(display:Off,pause:!f,section:0,value:0),time:(from:'2017-11-06T07:28:36-0700',mode:absolute,to:'2017-11-06T09:53:24-0700'))&amp;_a=(columns:!('Message%20ID',Summary),filters:!(),index:'emp_*',interval:auto,query:(query_string:(analyze_wildcard:!t,query:'%22rtdc.l.rtdc.4005%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730</v>
      </c>
      <c r="B171" s="7">
        <v>4006</v>
      </c>
      <c r="C171" s="21" t="s">
        <v>192</v>
      </c>
      <c r="D171" s="21" t="s">
        <v>1051</v>
      </c>
      <c r="E171" s="13">
        <v>43045.374050925922</v>
      </c>
      <c r="F171" s="13">
        <v>43045.381412037037</v>
      </c>
      <c r="G171" s="7">
        <v>523</v>
      </c>
      <c r="H171" s="21" t="s">
        <v>610</v>
      </c>
      <c r="I171" s="13">
        <v>43045.390428240738</v>
      </c>
      <c r="J171" s="7">
        <v>0</v>
      </c>
      <c r="K171" s="89" t="str">
        <f>IF(ISEVEN(B171),(B171-1)&amp;"/"&amp;B171,B171&amp;"/"&amp;(B171+1))</f>
        <v>4005/4006</v>
      </c>
      <c r="L171" s="185" t="str">
        <f>VLOOKUP(A171,'Trips&amp;Operators'!$C$1:$G$99911,5,FALSE)</f>
        <v>YANAI IAN</v>
      </c>
      <c r="M171" s="6">
        <f>I171-F171</f>
        <v>9.0162037013215013E-3</v>
      </c>
      <c r="N171" s="7">
        <f>24*60*SUM($M171:$M171)</f>
        <v>12.983333329902962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-06T07:58:38-0700',mode:absolute,to:'2017-11-06T10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0.1086</v>
      </c>
      <c r="Z171" s="204">
        <f>RIGHT(H171,LEN(H171)-4)/10000</f>
        <v>5.8916000000000004</v>
      </c>
      <c r="AA171" s="204">
        <f>ABS(Z171-Y171)</f>
        <v>5.7830000000000004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/stypes="app*4006*20171106*" /stext=" 16:.+((SYSTEM_STATE.+slice.+state.+changed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1"/>
        <v>"%USERPROFILE%\Documents\GitHub\eaglep3\Utilities\RefineRTDCRunTimes.py" --tripid 813-06 --locoid 4006 --swversion DE.1.0.9.0 --startMP 204:1086 --initTime 2017-11-06T08:58:38 --startdatetime 2017-11-06T09:09:14 --delay 523 --endMP 300:58916 --enddatetime 2017-11-06T09:22:13 --enforcementcount 0 &gt;&gt;%USERPROFILE%\Documents\GitHub\eaglep3-reporting\EC\2017-11-06-refined-times.txt</v>
      </c>
      <c r="AI171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{"issue":{"subject":"","project_id":79,"tracker_id":40,"status_id":1,"priority_id":2,"assigned_to_id":338,"start_date":"2017-11-06","description":"","custom_fields":[{"id":1,"name":"Subdivision","value":"NW"},{"id":4,"name":"Milepost","value":"5.8916"},{"id":17,"name":"Train ID","value":"813-06"},{"id":16,"name":"Locomotive ID","value":"4006"},{"id":130,"name":"Impact","value":""},{"id":150,"name":"Time of Event (Mountain Time)","value":"09:22:13"},{"id":151,"name":"Denver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3"/>
        <v>start /low /b %USERPROFILE%\Documents\GitHub\eaglep3\Utilities\DownloadLogsFromS3.py --loco 4006 --day 2017-11-06</v>
      </c>
      <c r="AN171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"/>
        <v>https://d0f6bd738d7f1b3e5a7ca70fe4ff75f0.us-east-1.aws.found.io/app/kibana#/discover/Steve-Slow-Train-Analysis-(2080s-and-2083s)?_g=(refreshInterval:(display:Off,pause:!f,section:0,value:0),time:(from:'2017-11-06T07:58:38-0700',mode:absolute,to:'2017-11-06T10:22:13-0700'))&amp;_a=(columns:!('Message%20ID',Summary),filters:!(),index:'emp_*',interval:auto,query:(query_string:(analyze_wildcard:!t,query:'%22rtdc.l.rtdc.4006%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735</v>
      </c>
      <c r="B172" s="7">
        <v>4005</v>
      </c>
      <c r="C172" s="21" t="s">
        <v>192</v>
      </c>
      <c r="D172" s="21" t="s">
        <v>1052</v>
      </c>
      <c r="E172" s="13">
        <v>43045.391203703701</v>
      </c>
      <c r="F172" s="13">
        <v>43045.404918981483</v>
      </c>
      <c r="G172" s="7">
        <v>55</v>
      </c>
      <c r="H172" s="21" t="s">
        <v>1053</v>
      </c>
      <c r="I172" s="13">
        <v>43045.412858796299</v>
      </c>
      <c r="J172" s="7">
        <v>0</v>
      </c>
      <c r="K172" s="89" t="str">
        <f>IF(ISEVEN(B172),(B172-1)&amp;"/"&amp;B172,B172&amp;"/"&amp;(B172+1))</f>
        <v>4005/4006</v>
      </c>
      <c r="L172" s="185" t="str">
        <f>VLOOKUP(A172,'Trips&amp;Operators'!$C$1:$G$99911,5,FALSE)</f>
        <v>YANAI IAN</v>
      </c>
      <c r="M172" s="6">
        <f>I172-F172</f>
        <v>7.9398148154723458E-3</v>
      </c>
      <c r="N172" s="7">
        <f>24*60*SUM($M172:$M172)</f>
        <v>11.433333334280178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-06T08:23:20-0700',mode:absolute,to:'2017-11-06T10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</v>
      </c>
      <c r="Z172" s="204">
        <f>RIGHT(H172,LEN(H172)-4)/10000</f>
        <v>8.3900000000000002E-2</v>
      </c>
      <c r="AA172" s="204">
        <f>ABS(Z172-Y172)</f>
        <v>5.7761000000000005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/stypes="app*4005*20171106*" /stext=" 16:.+((SYSTEM_STATE.+slice.+state.+changed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1"/>
        <v>"%USERPROFILE%\Documents\GitHub\eaglep3\Utilities\RefineRTDCRunTimes.py" --tripid 814-06 --locoid 4005 --swversion DE.1.0.9.0 --startMP 300:58600 --initTime 2017-11-06T09:23:20 --startdatetime 2017-11-06T09:43:05 --delay 55 --endMP 204:839 --enddatetime 2017-11-06T09:54:31 --enforcementcount 0 &gt;&gt;%USERPROFILE%\Documents\GitHub\eaglep3-reporting\EC\2017-11-06-refined-times.txt</v>
      </c>
      <c r="AI172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{"issue":{"subject":"","project_id":79,"tracker_id":40,"status_id":1,"priority_id":2,"assigned_to_id":338,"start_date":"2017-11-06","description":"","custom_fields":[{"id":1,"name":"Subdivision","value":"NW"},{"id":4,"name":"Milepost","value":"0.0839"},{"id":17,"name":"Train ID","value":"814-06"},{"id":16,"name":"Locomotive ID","value":"4005"},{"id":130,"name":"Impact","value":""},{"id":150,"name":"Time of Event (Mountain Time)","value":"09:54:31"},{"id":151,"name":"Denver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3"/>
        <v>start /low /b %USERPROFILE%\Documents\GitHub\eaglep3\Utilities\DownloadLogsFromS3.py --loco 4005 --day 2017-11-06</v>
      </c>
      <c r="AN172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"/>
        <v>https://d0f6bd738d7f1b3e5a7ca70fe4ff75f0.us-east-1.aws.found.io/app/kibana#/discover/Steve-Slow-Train-Analysis-(2080s-and-2083s)?_g=(refreshInterval:(display:Off,pause:!f,section:0,value:0),time:(from:'2017-11-06T08:23:20-0700',mode:absolute,to:'2017-11-06T10:54:31-0700'))&amp;_a=(columns:!('Message%20ID',Summary),filters:!(),index:'emp_*',interval:auto,query:(query_string:(analyze_wildcard:!t,query:'%22rtdc.l.rtdc.4005%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739</v>
      </c>
      <c r="B173" s="7">
        <v>4006</v>
      </c>
      <c r="C173" s="21" t="s">
        <v>192</v>
      </c>
      <c r="D173" s="21" t="s">
        <v>1054</v>
      </c>
      <c r="E173" s="13">
        <v>43045.413634259261</v>
      </c>
      <c r="F173" s="13">
        <v>43045.423136574071</v>
      </c>
      <c r="G173" s="7">
        <v>44</v>
      </c>
      <c r="H173" s="21" t="s">
        <v>619</v>
      </c>
      <c r="I173" s="13">
        <v>43045.433055555557</v>
      </c>
      <c r="J173" s="7">
        <v>0</v>
      </c>
      <c r="K173" s="89" t="str">
        <f>IF(ISEVEN(B173),(B173-1)&amp;"/"&amp;B173,B173&amp;"/"&amp;(B173+1))</f>
        <v>4005/4006</v>
      </c>
      <c r="L173" s="185" t="str">
        <f>VLOOKUP(A173,'Trips&amp;Operators'!$C$1:$G$99911,5,FALSE)</f>
        <v>YANAI IAN</v>
      </c>
      <c r="M173" s="6">
        <f>I173-F173</f>
        <v>9.9189814864075743E-3</v>
      </c>
      <c r="N173" s="7">
        <f>24*60*SUM($M173:$M173)</f>
        <v>14.283333340426907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-06T08:55:38-0700',mode:absolute,to:'2017-11-06T11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0.1142</v>
      </c>
      <c r="Z173" s="204">
        <f>RIGHT(H173,LEN(H173)-4)/10000</f>
        <v>5.8924000000000003</v>
      </c>
      <c r="AA173" s="204">
        <f>ABS(Z173-Y173)</f>
        <v>5.7782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/stypes="app*4006*20171106*" /stext=" 17:.+((SYSTEM_STATE.+slice.+state.+changed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1"/>
        <v>"%USERPROFILE%\Documents\GitHub\eaglep3\Utilities\RefineRTDCRunTimes.py" --tripid 815-06 --locoid 4006 --swversion DE.1.0.9.0 --startMP 204:1142 --initTime 2017-11-06T09:55:38 --startdatetime 2017-11-06T10:09:19 --delay 44 --endMP 300:58924 --enddatetime 2017-11-06T10:23:36 --enforcementcount 0 &gt;&gt;%USERPROFILE%\Documents\GitHub\eaglep3-reporting\EC\2017-11-06-refined-times.txt</v>
      </c>
      <c r="AI173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{"issue":{"subject":"","project_id":79,"tracker_id":40,"status_id":1,"priority_id":2,"assigned_to_id":338,"start_date":"2017-11-06","description":"","custom_fields":[{"id":1,"name":"Subdivision","value":"NW"},{"id":4,"name":"Milepost","value":"5.8924"},{"id":17,"name":"Train ID","value":"815-06"},{"id":16,"name":"Locomotive ID","value":"4006"},{"id":130,"name":"Impact","value":""},{"id":150,"name":"Time of Event (Mountain Time)","value":"10:23:36"},{"id":151,"name":"Denver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3"/>
        <v>start /low /b %USERPROFILE%\Documents\GitHub\eaglep3\Utilities\DownloadLogsFromS3.py --loco 4006 --day 2017-11-06</v>
      </c>
      <c r="AN173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"/>
        <v>https://d0f6bd738d7f1b3e5a7ca70fe4ff75f0.us-east-1.aws.found.io/app/kibana#/discover/Steve-Slow-Train-Analysis-(2080s-and-2083s)?_g=(refreshInterval:(display:Off,pause:!f,section:0,value:0),time:(from:'2017-11-06T08:55:38-0700',mode:absolute,to:'2017-11-06T11:23:36-0700'))&amp;_a=(columns:!('Message%20ID',Summary),filters:!(),index:'emp_*',interval:auto,query:(query_string:(analyze_wildcard:!t,query:'%22rtdc.l.rtdc.4006%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745</v>
      </c>
      <c r="B174" s="7">
        <v>4005</v>
      </c>
      <c r="C174" s="21" t="s">
        <v>192</v>
      </c>
      <c r="D174" s="21" t="s">
        <v>1037</v>
      </c>
      <c r="E174" s="13">
        <v>43045.434039351851</v>
      </c>
      <c r="F174" s="13">
        <v>43045.446562500001</v>
      </c>
      <c r="G174" s="7">
        <v>48</v>
      </c>
      <c r="H174" s="21" t="s">
        <v>1055</v>
      </c>
      <c r="I174" s="13">
        <v>43045.455104166664</v>
      </c>
      <c r="J174" s="7">
        <v>0</v>
      </c>
      <c r="K174" s="89" t="str">
        <f>IF(ISEVEN(B174),(B174-1)&amp;"/"&amp;B174,B174&amp;"/"&amp;(B174+1))</f>
        <v>4005/4006</v>
      </c>
      <c r="L174" s="185" t="str">
        <f>VLOOKUP(A174,'Trips&amp;Operators'!$C$1:$G$99911,5,FALSE)</f>
        <v>YANAI IAN</v>
      </c>
      <c r="M174" s="6">
        <f>I174-F174</f>
        <v>8.5416666624951176E-3</v>
      </c>
      <c r="N174" s="7">
        <f>24*60*SUM($M174:$M174)</f>
        <v>12.299999993992969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-06T09:25:01-0700',mode:absolute,to:'2017-11-06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5.8604000000000003</v>
      </c>
      <c r="Z174" s="204">
        <f>RIGHT(H174,LEN(H174)-4)/10000</f>
        <v>8.2000000000000003E-2</v>
      </c>
      <c r="AA174" s="204">
        <f>ABS(Z174-Y174)</f>
        <v>5.7784000000000004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/stypes="app*4005*20171106*" /stext=" 17:.+((SYSTEM_STATE.+slice.+state.+changed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1"/>
        <v>"%USERPROFILE%\Documents\GitHub\eaglep3\Utilities\RefineRTDCRunTimes.py" --tripid 816-06 --locoid 4005 --swversion DE.1.0.9.0 --startMP 300:58604 --initTime 2017-11-06T10:25:01 --startdatetime 2017-11-06T10:43:03 --delay 48 --endMP 204:820 --enddatetime 2017-11-06T10:55:21 --enforcementcount 0 &gt;&gt;%USERPROFILE%\Documents\GitHub\eaglep3-reporting\EC\2017-11-06-refined-times.txt</v>
      </c>
      <c r="AI174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{"issue":{"subject":"","project_id":79,"tracker_id":40,"status_id":1,"priority_id":2,"assigned_to_id":338,"start_date":"2017-11-06","description":"","custom_fields":[{"id":1,"name":"Subdivision","value":"NW"},{"id":4,"name":"Milepost","value":"0.082"},{"id":17,"name":"Train ID","value":"816-06"},{"id":16,"name":"Locomotive ID","value":"4005"},{"id":130,"name":"Impact","value":""},{"id":150,"name":"Time of Event (Mountain Time)","value":"10:55:21"},{"id":151,"name":"Denver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3"/>
        <v>start /low /b %USERPROFILE%\Documents\GitHub\eaglep3\Utilities\DownloadLogsFromS3.py --loco 4005 --day 2017-11-06</v>
      </c>
      <c r="AN174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"/>
        <v>https://d0f6bd738d7f1b3e5a7ca70fe4ff75f0.us-east-1.aws.found.io/app/kibana#/discover/Steve-Slow-Train-Analysis-(2080s-and-2083s)?_g=(refreshInterval:(display:Off,pause:!f,section:0,value:0),time:(from:'2017-11-06T09:25:01-0700',mode:absolute,to:'2017-11-06T11:55:21-0700'))&amp;_a=(columns:!('Message%20ID',Summary),filters:!(),index:'emp_*',interval:auto,query:(query_string:(analyze_wildcard:!t,query:'%22rtdc.l.rtdc.4005%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753</v>
      </c>
      <c r="B175" s="7">
        <v>4006</v>
      </c>
      <c r="C175" s="21" t="s">
        <v>192</v>
      </c>
      <c r="D175" s="21" t="s">
        <v>917</v>
      </c>
      <c r="E175" s="13">
        <v>43045.456226851849</v>
      </c>
      <c r="F175" s="13">
        <v>43045.464733796296</v>
      </c>
      <c r="G175" s="7">
        <v>527</v>
      </c>
      <c r="H175" s="21" t="s">
        <v>1056</v>
      </c>
      <c r="I175" s="13">
        <v>43045.47383101852</v>
      </c>
      <c r="J175" s="7">
        <v>0</v>
      </c>
      <c r="K175" s="89" t="str">
        <f>IF(ISEVEN(B175),(B175-1)&amp;"/"&amp;B175,B175&amp;"/"&amp;(B175+1))</f>
        <v>4005/4006</v>
      </c>
      <c r="L175" s="185" t="str">
        <f>VLOOKUP(A175,'Trips&amp;Operators'!$C$1:$G$99911,5,FALSE)</f>
        <v>YANAI IAN</v>
      </c>
      <c r="M175" s="6">
        <f>I175-F175</f>
        <v>9.0972222242271528E-3</v>
      </c>
      <c r="N175" s="7">
        <f>24*60*SUM($M175:$M175)</f>
        <v>13.1000000028871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-06T09:56:58-0700',mode:absolute,to:'2017-11-06T12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0.11020000000000001</v>
      </c>
      <c r="Z175" s="204">
        <f>RIGHT(H175,LEN(H175)-4)/10000</f>
        <v>5.8921999999999999</v>
      </c>
      <c r="AA175" s="204">
        <f>ABS(Z175-Y175)</f>
        <v>5.782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/stypes="app*4006*20171106*" /stext=" 18:.+((SYSTEM_STATE.+slice.+state.+changed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1"/>
        <v>"%USERPROFILE%\Documents\GitHub\eaglep3\Utilities\RefineRTDCRunTimes.py" --tripid 817-06 --locoid 4006 --swversion DE.1.0.9.0 --startMP 204:1102 --initTime 2017-11-06T10:56:58 --startdatetime 2017-11-06T11:09:13 --delay 527 --endMP 300:58922 --enddatetime 2017-11-06T11:22:19 --enforcementcount 0 &gt;&gt;%USERPROFILE%\Documents\GitHub\eaglep3-reporting\EC\2017-11-06-refined-times.txt</v>
      </c>
      <c r="AI175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{"issue":{"subject":"","project_id":79,"tracker_id":40,"status_id":1,"priority_id":2,"assigned_to_id":338,"start_date":"2017-11-06","description":"","custom_fields":[{"id":1,"name":"Subdivision","value":"NW"},{"id":4,"name":"Milepost","value":"5.8922"},{"id":17,"name":"Train ID","value":"817-06"},{"id":16,"name":"Locomotive ID","value":"4006"},{"id":130,"name":"Impact","value":""},{"id":150,"name":"Time of Event (Mountain Time)","value":"11:22:19"},{"id":151,"name":"Denver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3"/>
        <v>start /low /b %USERPROFILE%\Documents\GitHub\eaglep3\Utilities\DownloadLogsFromS3.py --loco 4006 --day 2017-11-06</v>
      </c>
      <c r="AN175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"/>
        <v>https://d0f6bd738d7f1b3e5a7ca70fe4ff75f0.us-east-1.aws.found.io/app/kibana#/discover/Steve-Slow-Train-Analysis-(2080s-and-2083s)?_g=(refreshInterval:(display:Off,pause:!f,section:0,value:0),time:(from:'2017-11-06T09:56:58-0700',mode:absolute,to:'2017-11-06T12:22:19-0700'))&amp;_a=(columns:!('Message%20ID',Summary),filters:!(),index:'emp_*',interval:auto,query:(query_string:(analyze_wildcard:!t,query:'%22rtdc.l.rtdc.4006%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760</v>
      </c>
      <c r="B176" s="7">
        <v>4005</v>
      </c>
      <c r="C176" s="21" t="s">
        <v>192</v>
      </c>
      <c r="D176" s="21" t="s">
        <v>1057</v>
      </c>
      <c r="E176" s="13">
        <v>43045.476909722223</v>
      </c>
      <c r="F176" s="13">
        <v>43045.488344907404</v>
      </c>
      <c r="G176" s="7">
        <v>39</v>
      </c>
      <c r="H176" s="21" t="s">
        <v>1058</v>
      </c>
      <c r="I176" s="13">
        <v>43045.497118055559</v>
      </c>
      <c r="J176" s="7">
        <v>0</v>
      </c>
      <c r="K176" s="89" t="str">
        <f>IF(ISEVEN(B176),(B176-1)&amp;"/"&amp;B176,B176&amp;"/"&amp;(B176+1))</f>
        <v>4005/4006</v>
      </c>
      <c r="L176" s="185" t="str">
        <f>VLOOKUP(A176,'Trips&amp;Operators'!$C$1:$G$99911,5,FALSE)</f>
        <v>YANAI IAN</v>
      </c>
      <c r="M176" s="6">
        <f>I176-F176</f>
        <v>8.7731481544324197E-3</v>
      </c>
      <c r="N176" s="7">
        <f>24*60*SUM($M176:$M176)</f>
        <v>12.633333342382684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-06T10:26:45-0700',mode:absolute,to:'2017-11-06T12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204" t="str">
        <f>IF(AA176&lt;VLOOKUP(AG176,Variables!$AC$3:$AD$8,2,FALSE),"Y","N")</f>
        <v>Y</v>
      </c>
      <c r="X176" s="204">
        <f>VALUE(LEFT(AD176,4))-VALUE(LEFT(AD175,4))</f>
        <v>1</v>
      </c>
      <c r="Y176" s="204">
        <f>RIGHT(D176,LEN(D176)-4)/10000</f>
        <v>5.7241999999999997</v>
      </c>
      <c r="Z176" s="204">
        <f>RIGHT(H176,LEN(H176)-4)/10000</f>
        <v>7.9000000000000001E-2</v>
      </c>
      <c r="AA176" s="204">
        <f>ABS(Z176-Y176)</f>
        <v>5.6452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/stypes="app*4005*20171106*" /stext=" 18:.+((SYSTEM_STATE.+slice.+state.+changed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1"/>
        <v>"%USERPROFILE%\Documents\GitHub\eaglep3\Utilities\RefineRTDCRunTimes.py" --tripid 818-06 --locoid 4005 --swversion DE.1.0.9.0 --startMP 300:57242 --initTime 2017-11-06T11:26:45 --startdatetime 2017-11-06T11:43:13 --delay 39 --endMP 204:790 --enddatetime 2017-11-06T11:55:51 --enforcementcount 0 &gt;&gt;%USERPROFILE%\Documents\GitHub\eaglep3-reporting\EC\2017-11-06-refined-times.txt</v>
      </c>
      <c r="AI176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{"issue":{"subject":"","project_id":79,"tracker_id":40,"status_id":1,"priority_id":2,"assigned_to_id":338,"start_date":"2017-11-06","description":"","custom_fields":[{"id":1,"name":"Subdivision","value":"NW"},{"id":4,"name":"Milepost","value":"0.079"},{"id":17,"name":"Train ID","value":"818-06"},{"id":16,"name":"Locomotive ID","value":"4005"},{"id":130,"name":"Impact","value":""},{"id":150,"name":"Time of Event (Mountain Time)","value":"11:55:51"},{"id":151,"name":"Denver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3"/>
        <v>start /low /b %USERPROFILE%\Documents\GitHub\eaglep3\Utilities\DownloadLogsFromS3.py --loco 4005 --day 2017-11-06</v>
      </c>
      <c r="AN176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"/>
        <v>https://d0f6bd738d7f1b3e5a7ca70fe4ff75f0.us-east-1.aws.found.io/app/kibana#/discover/Steve-Slow-Train-Analysis-(2080s-and-2083s)?_g=(refreshInterval:(display:Off,pause:!f,section:0,value:0),time:(from:'2017-11-06T10:26:45-0700',mode:absolute,to:'2017-11-06T12:55:51-0700'))&amp;_a=(columns:!('Message%20ID',Summary),filters:!(),index:'emp_*',interval:auto,query:(query_string:(analyze_wildcard:!t,query:'%22rtdc.l.rtdc.4005%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766</v>
      </c>
      <c r="B177" s="7">
        <v>4006</v>
      </c>
      <c r="C177" s="21" t="s">
        <v>192</v>
      </c>
      <c r="D177" s="21" t="s">
        <v>1041</v>
      </c>
      <c r="E177" s="13">
        <v>43045.502916666665</v>
      </c>
      <c r="F177" s="13">
        <v>43045.506423611114</v>
      </c>
      <c r="G177" s="7">
        <v>146</v>
      </c>
      <c r="H177" s="21" t="s">
        <v>1056</v>
      </c>
      <c r="I177" s="13">
        <v>43045.516215277778</v>
      </c>
      <c r="J177" s="7">
        <v>0</v>
      </c>
      <c r="K177" s="89" t="str">
        <f>IF(ISEVEN(B177),(B177-1)&amp;"/"&amp;B177,B177&amp;"/"&amp;(B177+1))</f>
        <v>4005/4006</v>
      </c>
      <c r="L177" s="185" t="str">
        <f>VLOOKUP(A177,'Trips&amp;Operators'!$C$1:$G$99911,5,FALSE)</f>
        <v>YANAI IAN</v>
      </c>
      <c r="M177" s="6">
        <f>I177-F177</f>
        <v>9.7916666636592709E-3</v>
      </c>
      <c r="N177" s="7">
        <f>24*60*SUM($M177:$M177)</f>
        <v>14.09999999566935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-06T11:04:12-0700',mode:absolute,to:'2017-11-06T13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0.1084</v>
      </c>
      <c r="Z177" s="204">
        <f>RIGHT(H177,LEN(H177)-4)/10000</f>
        <v>5.8921999999999999</v>
      </c>
      <c r="AA177" s="204">
        <f>ABS(Z177-Y177)</f>
        <v>5.7838000000000003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/stypes="app*4006*20171106*" /stext=" 19:.+((SYSTEM_STATE.+slice.+state.+changed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1"/>
        <v>"%USERPROFILE%\Documents\GitHub\eaglep3\Utilities\RefineRTDCRunTimes.py" --tripid 819-06 --locoid 4006 --swversion DE.1.0.9.0 --startMP 204:1084 --initTime 2017-11-06T12:04:12 --startdatetime 2017-11-06T12:09:15 --delay 146 --endMP 300:58922 --enddatetime 2017-11-06T12:23:21 --enforcementcount 0 &gt;&gt;%USERPROFILE%\Documents\GitHub\eaglep3-reporting\EC\2017-11-06-refined-times.txt</v>
      </c>
      <c r="AI177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{"issue":{"subject":"","project_id":79,"tracker_id":40,"status_id":1,"priority_id":2,"assigned_to_id":338,"start_date":"2017-11-06","description":"","custom_fields":[{"id":1,"name":"Subdivision","value":"NW"},{"id":4,"name":"Milepost","value":"5.8922"},{"id":17,"name":"Train ID","value":"819-06"},{"id":16,"name":"Locomotive ID","value":"4006"},{"id":130,"name":"Impact","value":""},{"id":150,"name":"Time of Event (Mountain Time)","value":"12:23:21"},{"id":151,"name":"Denver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3"/>
        <v>start /low /b %USERPROFILE%\Documents\GitHub\eaglep3\Utilities\DownloadLogsFromS3.py --loco 4006 --day 2017-11-06</v>
      </c>
      <c r="AN177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"/>
        <v>https://d0f6bd738d7f1b3e5a7ca70fe4ff75f0.us-east-1.aws.found.io/app/kibana#/discover/Steve-Slow-Train-Analysis-(2080s-and-2083s)?_g=(refreshInterval:(display:Off,pause:!f,section:0,value:0),time:(from:'2017-11-06T11:04:12-0700',mode:absolute,to:'2017-11-06T13:23:21-0700'))&amp;_a=(columns:!('Message%20ID',Summary),filters:!(),index:'emp_*',interval:auto,query:(query_string:(analyze_wildcard:!t,query:'%22rtdc.l.rtdc.4006%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651</v>
      </c>
      <c r="B178" s="7">
        <v>4005</v>
      </c>
      <c r="C178" s="21" t="s">
        <v>192</v>
      </c>
      <c r="D178" s="21" t="s">
        <v>1059</v>
      </c>
      <c r="E178" s="13">
        <v>43045.521620370368</v>
      </c>
      <c r="F178" s="13">
        <v>43045.529907407406</v>
      </c>
      <c r="G178" s="7">
        <v>77</v>
      </c>
      <c r="H178" s="21" t="s">
        <v>1060</v>
      </c>
      <c r="I178" s="13">
        <v>43045.537615740737</v>
      </c>
      <c r="J178" s="7">
        <v>0</v>
      </c>
      <c r="K178" s="89" t="str">
        <f>IF(ISEVEN(B178),(B178-1)&amp;"/"&amp;B178,B178&amp;"/"&amp;(B178+1))</f>
        <v>4005/4006</v>
      </c>
      <c r="L178" s="185" t="str">
        <f>VLOOKUP(A178,'Trips&amp;Operators'!$C$1:$G$99911,5,FALSE)</f>
        <v>YANAI IAN</v>
      </c>
      <c r="M178" s="6">
        <f>I178-F178</f>
        <v>7.7083333308110014E-3</v>
      </c>
      <c r="N178" s="7">
        <f>24*60*SUM($M178:$M178)</f>
        <v>11.099999996367842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-06T11:31:08-0700',mode:absolute,to:'2017-11-06T13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204" t="str">
        <f>IF(AA178&lt;VLOOKUP(AG178,Variables!$AC$3:$AD$8,2,FALSE),"Y","N")</f>
        <v>Y</v>
      </c>
      <c r="X178" s="204">
        <f>VALUE(LEFT(AD178,4))-VALUE(LEFT(AD177,4))</f>
        <v>1</v>
      </c>
      <c r="Y178" s="204">
        <v>5.7245999999999997</v>
      </c>
      <c r="Z178" s="204">
        <v>0.44690000000000002</v>
      </c>
      <c r="AA178" s="204">
        <f>ABS(Z178-Y178)</f>
        <v>5.2776999999999994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/stypes="app*4005*20171106*" /stext=" 19:.+((SYSTEM_STATE.+slice.+state.+changed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1"/>
        <v>"%USERPROFILE%\Documents\GitHub\eaglep3\Utilities\RefineRTDCRunTimes.py" --tripid 820-06 --locoid 4005 --swversion DE.1.0.9.0 --startMP 300:58602 --initTime 2017-11-06T12:31:08 --startdatetime 2017-11-06T12:43:04 --delay 77 --endMP 300:58606 --enddatetime 2017-11-06T12:54:10 --enforcementcount 0 &gt;&gt;%USERPROFILE%\Documents\GitHub\eaglep3-reporting\EC\2017-11-06-refined-times.txt</v>
      </c>
      <c r="AI178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{"issue":{"subject":"","project_id":79,"tracker_id":40,"status_id":1,"priority_id":2,"assigned_to_id":338,"start_date":"2017-11-06","description":"","custom_fields":[{"id":1,"name":"Subdivision","value":"NW"},{"id":4,"name":"Milepost","value":"0.4469"},{"id":17,"name":"Train ID","value":"820-06"},{"id":16,"name":"Locomotive ID","value":"4005"},{"id":130,"name":"Impact","value":""},{"id":150,"name":"Time of Event (Mountain Time)","value":"12:54:10"},{"id":151,"name":"Denver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3"/>
        <v>start /low /b %USERPROFILE%\Documents\GitHub\eaglep3\Utilities\DownloadLogsFromS3.py --loco 4005 --day 2017-11-06</v>
      </c>
      <c r="AN178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19:54:10"},{"id":29,"name":"Sharepoint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"/>
        <v>https://d0f6bd738d7f1b3e5a7ca70fe4ff75f0.us-east-1.aws.found.io/app/kibana#/discover/Steve-Slow-Train-Analysis-(2080s-and-2083s)?_g=(refreshInterval:(display:Off,pause:!f,section:0,value:0),time:(from:'2017-11-06T11:31:08-0700',mode:absolute,to:'2017-11-06T13:54:10-0700'))&amp;_a=(columns:!('Message%20ID',Summary),filters:!(),index:'emp_*',interval:auto,query:(query_string:(analyze_wildcard:!t,query:'%22rtdc.l.rtdc.4005%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652</v>
      </c>
      <c r="B179" s="7">
        <v>4006</v>
      </c>
      <c r="C179" s="21" t="s">
        <v>192</v>
      </c>
      <c r="D179" s="21" t="s">
        <v>1061</v>
      </c>
      <c r="E179" s="13">
        <v>43045.544039351851</v>
      </c>
      <c r="F179" s="13">
        <v>43045.548182870371</v>
      </c>
      <c r="G179" s="7">
        <v>75</v>
      </c>
      <c r="H179" s="21" t="s">
        <v>500</v>
      </c>
      <c r="I179" s="13">
        <v>43045.559108796297</v>
      </c>
      <c r="J179" s="7">
        <v>0</v>
      </c>
      <c r="K179" s="89" t="str">
        <f>IF(ISEVEN(B179),(B179-1)&amp;"/"&amp;B179,B179&amp;"/"&amp;(B179+1))</f>
        <v>4005/4006</v>
      </c>
      <c r="L179" s="185" t="str">
        <f>VLOOKUP(A179,'Trips&amp;Operators'!$C$1:$G$99911,5,FALSE)</f>
        <v>GONZALEZ ARMANDO</v>
      </c>
      <c r="M179" s="6">
        <f>I179-F179</f>
        <v>1.0925925926130731E-2</v>
      </c>
      <c r="N179" s="7">
        <f>24*60*SUM($M179:$M179)</f>
        <v>15.733333333628252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-06T12:03:25-0700',mode:absolute,to:'2017-11-06T14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9.64E-2</v>
      </c>
      <c r="Z179" s="204">
        <f>RIGHT(H179,LEN(H179)-4)/10000</f>
        <v>5.8967000000000001</v>
      </c>
      <c r="AA179" s="204">
        <f>ABS(Z179-Y179)</f>
        <v>5.8003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/stypes="app*4006*20171106*" /stext=" 20:.+((SYSTEM_STATE.+slice.+state.+changed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1"/>
        <v>"%USERPROFILE%\Documents\GitHub\eaglep3\Utilities\RefineRTDCRunTimes.py" --tripid 821-06 --locoid 4006 --swversion DE.1.0.9.0 --startMP 204:964 --initTime 2017-11-06T13:03:25 --startdatetime 2017-11-06T13:09:23 --delay 75 --endMP 300:58967 --enddatetime 2017-11-06T13:25:07 --enforcementcount 0 &gt;&gt;%USERPROFILE%\Documents\GitHub\eaglep3-reporting\EC\2017-11-06-refined-times.txt</v>
      </c>
      <c r="AI179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{"issue":{"subject":"","project_id":79,"tracker_id":40,"status_id":1,"priority_id":2,"assigned_to_id":338,"start_date":"2017-11-06","description":"","custom_fields":[{"id":1,"name":"Subdivision","value":"NW"},{"id":4,"name":"Milepost","value":"5.8967"},{"id":17,"name":"Train ID","value":"821-06"},{"id":16,"name":"Locomotive ID","value":"4006"},{"id":130,"name":"Impact","value":""},{"id":150,"name":"Time of Event (Mountain Time)","value":"13:25:07"},{"id":151,"name":"Denver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3"/>
        <v>start /low /b %USERPROFILE%\Documents\GitHub\eaglep3\Utilities\DownloadLogsFromS3.py --loco 4006 --day 2017-11-06</v>
      </c>
      <c r="AN179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"/>
        <v>https://d0f6bd738d7f1b3e5a7ca70fe4ff75f0.us-east-1.aws.found.io/app/kibana#/discover/Steve-Slow-Train-Analysis-(2080s-and-2083s)?_g=(refreshInterval:(display:Off,pause:!f,section:0,value:0),time:(from:'2017-11-06T12:03:25-0700',mode:absolute,to:'2017-11-06T14:25:07-0700'))&amp;_a=(columns:!('Message%20ID',Summary),filters:!(),index:'emp_*',interval:auto,query:(query_string:(analyze_wildcard:!t,query:'%22rtdc.l.rtdc.4006%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653</v>
      </c>
      <c r="B180" s="7">
        <v>4005</v>
      </c>
      <c r="C180" s="21" t="s">
        <v>192</v>
      </c>
      <c r="D180" s="21" t="s">
        <v>615</v>
      </c>
      <c r="E180" s="13">
        <v>43045.560902777775</v>
      </c>
      <c r="F180" s="13">
        <v>43045.571296296293</v>
      </c>
      <c r="G180" s="7">
        <v>65</v>
      </c>
      <c r="H180" s="21" t="s">
        <v>1062</v>
      </c>
      <c r="I180" s="13">
        <v>43045.581145833334</v>
      </c>
      <c r="J180" s="7">
        <v>0</v>
      </c>
      <c r="K180" s="89" t="str">
        <f>IF(ISEVEN(B180),(B180-1)&amp;"/"&amp;B180,B180&amp;"/"&amp;(B180+1))</f>
        <v>4005/4006</v>
      </c>
      <c r="L180" s="185" t="str">
        <f>VLOOKUP(A180,'Trips&amp;Operators'!$C$1:$G$99911,5,FALSE)</f>
        <v>GONZALEZ ARMANDO</v>
      </c>
      <c r="M180" s="6">
        <f>I180-F180</f>
        <v>9.8495370402815752E-3</v>
      </c>
      <c r="N180" s="7">
        <f>24*60*SUM($M180:$M180)</f>
        <v>14.183333338005468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-06T12:27:42-0700',mode:absolute,to:'2017-11-06T14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5.8658000000000001</v>
      </c>
      <c r="Z180" s="204">
        <f>RIGHT(H180,LEN(H180)-4)/10000</f>
        <v>8.0600000000000005E-2</v>
      </c>
      <c r="AA180" s="204">
        <f>ABS(Z180-Y180)</f>
        <v>5.7851999999999997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/stypes="app*4005*20171106*" /stext=" 20:.+((SYSTEM_STATE.+slice.+state.+changed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1"/>
        <v>"%USERPROFILE%\Documents\GitHub\eaglep3\Utilities\RefineRTDCRunTimes.py" --tripid 822-06 --locoid 4005 --swversion DE.1.0.9.0 --startMP 300:58658 --initTime 2017-11-06T13:27:42 --startdatetime 2017-11-06T13:42:40 --delay 65 --endMP 204:806 --enddatetime 2017-11-06T13:56:51 --enforcementcount 0 &gt;&gt;%USERPROFILE%\Documents\GitHub\eaglep3-reporting\EC\2017-11-06-refined-times.txt</v>
      </c>
      <c r="AI180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{"issue":{"subject":"","project_id":79,"tracker_id":40,"status_id":1,"priority_id":2,"assigned_to_id":338,"start_date":"2017-11-06","description":"","custom_fields":[{"id":1,"name":"Subdivision","value":"NW"},{"id":4,"name":"Milepost","value":"0.0806"},{"id":17,"name":"Train ID","value":"822-06"},{"id":16,"name":"Locomotive ID","value":"4005"},{"id":130,"name":"Impact","value":""},{"id":150,"name":"Time of Event (Mountain Time)","value":"13:56:51"},{"id":151,"name":"Denver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3"/>
        <v>start /low /b %USERPROFILE%\Documents\GitHub\eaglep3\Utilities\DownloadLogsFromS3.py --loco 4005 --day 2017-11-06</v>
      </c>
      <c r="AN180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20:56:51"},{"id":29,"name":"Sharepoint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"/>
        <v>https://d0f6bd738d7f1b3e5a7ca70fe4ff75f0.us-east-1.aws.found.io/app/kibana#/discover/Steve-Slow-Train-Analysis-(2080s-and-2083s)?_g=(refreshInterval:(display:Off,pause:!f,section:0,value:0),time:(from:'2017-11-06T12:27:42-0700',mode:absolute,to:'2017-11-06T14:56:51-0700'))&amp;_a=(columns:!('Message%20ID',Summary),filters:!(),index:'emp_*',interval:auto,query:(query_string:(analyze_wildcard:!t,query:'%22rtdc.l.rtdc.4005%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782</v>
      </c>
      <c r="B181" s="7">
        <v>4006</v>
      </c>
      <c r="C181" s="21" t="s">
        <v>192</v>
      </c>
      <c r="D181" s="21" t="s">
        <v>1063</v>
      </c>
      <c r="E181" s="13">
        <v>43045.58284722222</v>
      </c>
      <c r="F181" s="13">
        <v>43045.589826388888</v>
      </c>
      <c r="G181" s="7">
        <v>89</v>
      </c>
      <c r="H181" s="21" t="s">
        <v>554</v>
      </c>
      <c r="I181" s="13">
        <v>43045.600023148145</v>
      </c>
      <c r="J181" s="7">
        <v>0</v>
      </c>
      <c r="K181" s="89" t="str">
        <f>IF(ISEVEN(B181),(B181-1)&amp;"/"&amp;B181,B181&amp;"/"&amp;(B181+1))</f>
        <v>4005/4006</v>
      </c>
      <c r="L181" s="185" t="str">
        <f>VLOOKUP(A181,'Trips&amp;Operators'!$C$1:$G$99911,5,FALSE)</f>
        <v>GONZALEZ ARMANDO</v>
      </c>
      <c r="M181" s="6">
        <f>I181-F181</f>
        <v>1.0196759256359655E-2</v>
      </c>
      <c r="N181" s="7">
        <f>24*60*SUM($M181:$M181)</f>
        <v>14.683333329157904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-06T12:59:18-0700',mode:absolute,to:'2017-11-06T15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0.1077</v>
      </c>
      <c r="Z181" s="204">
        <f>RIGHT(H181,LEN(H181)-4)/10000</f>
        <v>5.8971</v>
      </c>
      <c r="AA181" s="204">
        <f>ABS(Z181-Y181)</f>
        <v>5.7893999999999997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/stypes="app*4006*20171106*" /stext=" 21:.+((SYSTEM_STATE.+slice.+state.+changed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1"/>
        <v>"%USERPROFILE%\Documents\GitHub\eaglep3\Utilities\RefineRTDCRunTimes.py" --tripid 823-06 --locoid 4006 --swversion DE.1.0.9.0 --startMP 204:1077 --initTime 2017-11-06T13:59:18 --startdatetime 2017-11-06T14:09:21 --delay 89 --endMP 300:58971 --enddatetime 2017-11-06T14:24:02 --enforcementcount 0 &gt;&gt;%USERPROFILE%\Documents\GitHub\eaglep3-reporting\EC\2017-11-06-refined-times.txt</v>
      </c>
      <c r="AI181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{"issue":{"subject":"","project_id":79,"tracker_id":40,"status_id":1,"priority_id":2,"assigned_to_id":338,"start_date":"2017-11-06","description":"","custom_fields":[{"id":1,"name":"Subdivision","value":"NW"},{"id":4,"name":"Milepost","value":"5.8971"},{"id":17,"name":"Train ID","value":"823-06"},{"id":16,"name":"Locomotive ID","value":"4006"},{"id":130,"name":"Impact","value":""},{"id":150,"name":"Time of Event (Mountain Time)","value":"14:24:02"},{"id":151,"name":"Denver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3"/>
        <v>start /low /b %USERPROFILE%\Documents\GitHub\eaglep3\Utilities\DownloadLogsFromS3.py --loco 4006 --day 2017-11-06</v>
      </c>
      <c r="AN181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"/>
        <v>https://d0f6bd738d7f1b3e5a7ca70fe4ff75f0.us-east-1.aws.found.io/app/kibana#/discover/Steve-Slow-Train-Analysis-(2080s-and-2083s)?_g=(refreshInterval:(display:Off,pause:!f,section:0,value:0),time:(from:'2017-11-06T12:59:18-0700',mode:absolute,to:'2017-11-06T15:24:02-0700'))&amp;_a=(columns:!('Message%20ID',Summary),filters:!(),index:'emp_*',interval:auto,query:(query_string:(analyze_wildcard:!t,query:'%22rtdc.l.rtdc.4006%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656</v>
      </c>
      <c r="B182" s="7">
        <v>4005</v>
      </c>
      <c r="C182" s="21" t="s">
        <v>192</v>
      </c>
      <c r="D182" s="21" t="s">
        <v>1063</v>
      </c>
      <c r="E182" s="13">
        <v>43045.58284722222</v>
      </c>
      <c r="F182" s="13">
        <v>43045.613240740742</v>
      </c>
      <c r="G182" s="7">
        <v>89</v>
      </c>
      <c r="H182" s="21" t="s">
        <v>554</v>
      </c>
      <c r="I182" s="13">
        <v>43045.622476851851</v>
      </c>
      <c r="J182" s="7">
        <v>0</v>
      </c>
      <c r="K182" s="89" t="str">
        <f>IF(ISEVEN(B182),(B182-1)&amp;"/"&amp;B182,B182&amp;"/"&amp;(B182+1))</f>
        <v>4005/4006</v>
      </c>
      <c r="L182" s="185" t="str">
        <f>VLOOKUP(A182,'Trips&amp;Operators'!$C$1:$G$99911,5,FALSE)</f>
        <v>GONZALEZ ARMANDO</v>
      </c>
      <c r="M182" s="6">
        <f>I182-F182</f>
        <v>9.2361111092031933E-3</v>
      </c>
      <c r="N182" s="7">
        <f>24*60*SUM($M182:$M182)</f>
        <v>13.299999997252598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-06T12:59:18-0700',mode:absolute,to:'2017-11-06T15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v>5.8658000000000001</v>
      </c>
      <c r="Z182" s="204">
        <v>8.0600000000000005E-2</v>
      </c>
      <c r="AA182" s="204">
        <f>ABS(Z182-Y182)</f>
        <v>5.7851999999999997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/stypes="app*4005*20171106*" /stext=" 21:.+((SYSTEM_STATE.+slice.+state.+changed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ref="AH182" si="31"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824-06 --locoid 4005 --swversion DE.1.0.9.0 --startMP 204:1077 --initTime 2017-11-06T13:59:18 --startdatetime 2017-11-06T14:43:04 --delay 89 --endMP 300:58971 --enddatetime 2017-11-06T14:56:22 --enforcementcount 0 &gt;&gt;%USERPROFILE%\Documents\GitHub\eaglep3-reporting\EC\2017-11-06-refined-times.txt</v>
      </c>
      <c r="AI182" s="96" t="str">
        <f t="shared" ref="AI182" si="32"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{"issue":{"subject":"","project_id":79,"tracker_id":40,"status_id":1,"priority_id":2,"assigned_to_id":338,"start_date":"2017-11-06","description":"","custom_fields":[{"id":1,"name":"Subdivision","value":"NW"},{"id":4,"name":"Milepost","value":"0.0806"},{"id":17,"name":"Train ID","value":"824-06"},{"id":16,"name":"Locomotive ID","value":"4005"},{"id":130,"name":"Impact","value":""},{"id":150,"name":"Time of Event (Mountain Time)","value":"14:56:22"},{"id":151,"name":"Denver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ref="AM182" si="33">"start /low /b "&amp;dls3logs&amp;" --loco "&amp;B182&amp;" --day "&amp;TEXT(F182,"YYYY-MM-DD")</f>
        <v>start /low /b %USERPROFILE%\Documents\GitHub\eaglep3\Utilities\DownloadLogsFromS3.py --loco 4005 --day 2017-11-06</v>
      </c>
      <c r="AN182" s="151" t="str">
        <f t="shared" ref="AN182" si="34"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21:56:22"},{"id":29,"name":"Sharepoint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ref="AO182" si="35"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-06T12:59:18-0700',mode:absolute,to:'2017-11-06T15:56:22-0700'))&amp;_a=(columns:!('Message%20ID',Summary),filters:!(),index:'emp_*',interval:auto,query:(query_string:(analyze_wildcard:!t,query:'%22rtdc.l.rtdc.4005%22')),sort:!(Time.ISO8601,asc))</v>
      </c>
    </row>
    <row r="183" spans="1:91" s="20" customFormat="1" x14ac:dyDescent="0.3">
      <c r="A183" s="32" t="s">
        <v>792</v>
      </c>
      <c r="B183" s="7">
        <v>4006</v>
      </c>
      <c r="C183" s="21" t="s">
        <v>192</v>
      </c>
      <c r="D183" s="21" t="s">
        <v>1064</v>
      </c>
      <c r="E183" s="13">
        <v>43045.627071759256</v>
      </c>
      <c r="F183" s="13">
        <v>43045.631458333337</v>
      </c>
      <c r="G183" s="7">
        <v>91</v>
      </c>
      <c r="H183" s="21" t="s">
        <v>1065</v>
      </c>
      <c r="I183" s="13">
        <v>43045.641377314816</v>
      </c>
      <c r="J183" s="7">
        <v>0</v>
      </c>
      <c r="K183" s="89" t="str">
        <f>IF(ISEVEN(B183),(B183-1)&amp;"/"&amp;B183,B183&amp;"/"&amp;(B183+1))</f>
        <v>4005/4006</v>
      </c>
      <c r="L183" s="185" t="str">
        <f>VLOOKUP(A183,'Trips&amp;Operators'!$C$1:$G$99911,5,FALSE)</f>
        <v>GONZALEZ ARMANDO</v>
      </c>
      <c r="M183" s="6">
        <f>I183-F183</f>
        <v>9.9189814791316167E-3</v>
      </c>
      <c r="N183" s="7">
        <f>24*60*SUM($M183:$M183)</f>
        <v>14.283333329949528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-06T14:02:59-0700',mode:absolute,to:'2017-11-06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0.1046</v>
      </c>
      <c r="Z183" s="204">
        <f>RIGHT(H183,LEN(H183)-4)/10000</f>
        <v>5.8952</v>
      </c>
      <c r="AA183" s="204">
        <f>ABS(Z183-Y183)</f>
        <v>5.7906000000000004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/stypes="app*4006*20171106*" /stext=" 22:.+((SYSTEM_STATE.+slice.+state.+changed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1"/>
        <v>"%USERPROFILE%\Documents\GitHub\eaglep3\Utilities\RefineRTDCRunTimes.py" --tripid 825-06 --locoid 4006 --swversion DE.1.0.9.0 --startMP 204:1046 --initTime 2017-11-06T15:02:59 --startdatetime 2017-11-06T15:09:18 --delay 91 --endMP 300:58952 --enddatetime 2017-11-06T15:23:35 --enforcementcount 0 &gt;&gt;%USERPROFILE%\Documents\GitHub\eaglep3-reporting\EC\2017-11-06-refined-times.txt</v>
      </c>
      <c r="AI183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{"issue":{"subject":"","project_id":79,"tracker_id":40,"status_id":1,"priority_id":2,"assigned_to_id":338,"start_date":"2017-11-06","description":"","custom_fields":[{"id":1,"name":"Subdivision","value":"NW"},{"id":4,"name":"Milepost","value":"5.8952"},{"id":17,"name":"Train ID","value":"825-06"},{"id":16,"name":"Locomotive ID","value":"4006"},{"id":130,"name":"Impact","value":""},{"id":150,"name":"Time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3"/>
        <v>start /low /b %USERPROFILE%\Documents\GitHub\eaglep3\Utilities\DownloadLogsFromS3.py --loco 4006 --day 2017-11-06</v>
      </c>
      <c r="AN183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"/>
        <v>https://d0f6bd738d7f1b3e5a7ca70fe4ff75f0.us-east-1.aws.found.io/app/kibana#/discover/Steve-Slow-Train-Analysis-(2080s-and-2083s)?_g=(refreshInterval:(display:Off,pause:!f,section:0,value:0),time:(from:'2017-11-06T14:02:59-0700',mode:absolute,to:'2017-11-06T16:23:35-0700'))&amp;_a=(columns:!('Message%20ID',Summary),filters:!(),index:'emp_*',interval:auto,query:(query_string:(analyze_wildcard:!t,query:'%22rtdc.l.rtdc.4006%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796</v>
      </c>
      <c r="B184" s="7">
        <v>4005</v>
      </c>
      <c r="C184" s="21" t="s">
        <v>192</v>
      </c>
      <c r="D184" s="21" t="s">
        <v>1066</v>
      </c>
      <c r="E184" s="13">
        <v>43045.646064814813</v>
      </c>
      <c r="F184" s="13">
        <v>43045.654907407406</v>
      </c>
      <c r="G184" s="7">
        <v>65</v>
      </c>
      <c r="H184" s="21" t="s">
        <v>1067</v>
      </c>
      <c r="I184" s="13">
        <v>43045.66302083333</v>
      </c>
      <c r="J184" s="7">
        <v>0</v>
      </c>
      <c r="K184" s="89" t="str">
        <f>IF(ISEVEN(B184),(B184-1)&amp;"/"&amp;B184,B184&amp;"/"&amp;(B184+1))</f>
        <v>4005/4006</v>
      </c>
      <c r="L184" s="185" t="str">
        <f>VLOOKUP(A184,'Trips&amp;Operators'!$C$1:$G$99911,5,FALSE)</f>
        <v>GONZALEZ ARMANDO</v>
      </c>
      <c r="M184" s="6">
        <f>I184-F184</f>
        <v>8.1134259235113859E-3</v>
      </c>
      <c r="N184" s="7">
        <f>24*60*SUM($M184:$M184)</f>
        <v>11.683333329856396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-06T14:30:20-0700',mode:absolute,to:'2017-11-06T16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5.8640999999999996</v>
      </c>
      <c r="Z184" s="204">
        <f>RIGHT(H184,LEN(H184)-4)/10000</f>
        <v>7.8700000000000006E-2</v>
      </c>
      <c r="AA184" s="204">
        <f>ABS(Z184-Y184)</f>
        <v>5.7853999999999992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/stypes="app*4005*20171106*" /stext=" 22:.+((SYSTEM_STATE.+slice.+state.+changed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1"/>
        <v>"%USERPROFILE%\Documents\GitHub\eaglep3\Utilities\RefineRTDCRunTimes.py" --tripid 826-06 --locoid 4005 --swversion DE.1.0.9.0 --startMP 300:58641 --initTime 2017-11-06T15:30:20 --startdatetime 2017-11-06T15:43:04 --delay 65 --endMP 204:787 --enddatetime 2017-11-06T15:54:45 --enforcementcount 0 &gt;&gt;%USERPROFILE%\Documents\GitHub\eaglep3-reporting\EC\2017-11-06-refined-times.txt</v>
      </c>
      <c r="AI184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{"issue":{"subject":"","project_id":79,"tracker_id":40,"status_id":1,"priority_id":2,"assigned_to_id":338,"start_date":"2017-11-06","description":"","custom_fields":[{"id":1,"name":"Subdivision","value":"NW"},{"id":4,"name":"Milepost","value":"0.0787"},{"id":17,"name":"Train ID","value":"826-06"},{"id":16,"name":"Locomotive ID","value":"4005"},{"id":130,"name":"Impact","value":""},{"id":150,"name":"Time of Event (Mountain Time)","value":"15:54:45"},{"id":151,"name":"Denver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3"/>
        <v>start /low /b %USERPROFILE%\Documents\GitHub\eaglep3\Utilities\DownloadLogsFromS3.py --loco 4005 --day 2017-11-06</v>
      </c>
      <c r="AN184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"/>
        <v>https://d0f6bd738d7f1b3e5a7ca70fe4ff75f0.us-east-1.aws.found.io/app/kibana#/discover/Steve-Slow-Train-Analysis-(2080s-and-2083s)?_g=(refreshInterval:(display:Off,pause:!f,section:0,value:0),time:(from:'2017-11-06T14:30:20-0700',mode:absolute,to:'2017-11-06T16:54:45-0700'))&amp;_a=(columns:!('Message%20ID',Summary),filters:!(),index:'emp_*',interval:auto,query:(query_string:(analyze_wildcard:!t,query:'%22rtdc.l.rtdc.4005%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798</v>
      </c>
      <c r="B185" s="7">
        <v>4018</v>
      </c>
      <c r="C185" s="21" t="s">
        <v>192</v>
      </c>
      <c r="D185" s="21" t="s">
        <v>1068</v>
      </c>
      <c r="E185" s="13">
        <v>43045.649629629632</v>
      </c>
      <c r="F185" s="13">
        <v>43045.652824074074</v>
      </c>
      <c r="G185" s="7">
        <v>129</v>
      </c>
      <c r="H185" s="21" t="s">
        <v>605</v>
      </c>
      <c r="I185" s="13">
        <v>43045.662326388891</v>
      </c>
      <c r="J185" s="7">
        <v>0</v>
      </c>
      <c r="K185" s="89" t="str">
        <f>IF(ISEVEN(B185),(B185-1)&amp;"/"&amp;B185,B185&amp;"/"&amp;(B185+1))</f>
        <v>4017/4018</v>
      </c>
      <c r="L185" s="185" t="str">
        <f>VLOOKUP(A185,'Trips&amp;Operators'!$C$1:$G$99911,5,FALSE)</f>
        <v>STAMBAUGH JAMES</v>
      </c>
      <c r="M185" s="6">
        <f>I185-F185</f>
        <v>9.5023148169275373E-3</v>
      </c>
      <c r="N185" s="7">
        <f>24*60*SUM($M185:$M185)</f>
        <v>13.683333336375654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-06T14:35:28-0700',mode:absolute,to:'2017-11-06T16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9.6199999999999994E-2</v>
      </c>
      <c r="Z185" s="204">
        <f>RIGHT(H185,LEN(H185)-4)/10000</f>
        <v>5.8929</v>
      </c>
      <c r="AA185" s="204">
        <f>ABS(Z185-Y185)</f>
        <v>5.7967000000000004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/stypes="app*4018*20171106*" /stext=" 22:.+((SYSTEM_STATE.+slice.+state.+changed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1"/>
        <v>"%USERPROFILE%\Documents\GitHub\eaglep3\Utilities\RefineRTDCRunTimes.py" --tripid 827-06 --locoid 4018 --swversion DE.1.0.9.0 --startMP 204:962 --initTime 2017-11-06T15:35:28 --startdatetime 2017-11-06T15:40:04 --delay 129 --endMP 300:58929 --enddatetime 2017-11-06T15:53:45 --enforcementcount 0 &gt;&gt;%USERPROFILE%\Documents\GitHub\eaglep3-reporting\EC\2017-11-06-refined-times.txt</v>
      </c>
      <c r="AI185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{"issue":{"subject":"","project_id":79,"tracker_id":40,"status_id":1,"priority_id":2,"assigned_to_id":338,"start_date":"2017-11-06","description":"","custom_fields":[{"id":1,"name":"Subdivision","value":"NW"},{"id":4,"name":"Milepost","value":"5.8929"},{"id":17,"name":"Train ID","value":"827-06"},{"id":16,"name":"Locomotive ID","value":"4018"},{"id":130,"name":"Impact","value":""},{"id":150,"name":"Time of Event (Mountain Time)","value":"15:53:45"},{"id":151,"name":"Denver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3"/>
        <v>start /low /b %USERPROFILE%\Documents\GitHub\eaglep3\Utilities\DownloadLogsFromS3.py --loco 4018 --day 2017-11-06</v>
      </c>
      <c r="AN185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"/>
        <v>https://d0f6bd738d7f1b3e5a7ca70fe4ff75f0.us-east-1.aws.found.io/app/kibana#/discover/Steve-Slow-Train-Analysis-(2080s-and-2083s)?_g=(refreshInterval:(display:Off,pause:!f,section:0,value:0),time:(from:'2017-11-06T14:35:28-0700',mode:absolute,to:'2017-11-06T16:53:45-0700'))&amp;_a=(columns:!('Message%20ID',Summary),filters:!(),index:'emp_*',interval:auto,query:(query_string:(analyze_wildcard:!t,query:'%22rtdc.l.rtdc.4018%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802</v>
      </c>
      <c r="B186" s="7">
        <v>4017</v>
      </c>
      <c r="C186" s="21" t="s">
        <v>192</v>
      </c>
      <c r="D186" s="21" t="s">
        <v>1069</v>
      </c>
      <c r="E186" s="13">
        <v>43045.663344907407</v>
      </c>
      <c r="F186" s="13">
        <v>43045.675370370373</v>
      </c>
      <c r="G186" s="7">
        <v>46</v>
      </c>
      <c r="H186" s="21" t="s">
        <v>1070</v>
      </c>
      <c r="I186" s="13">
        <v>43045.683622685188</v>
      </c>
      <c r="J186" s="7">
        <v>0</v>
      </c>
      <c r="K186" s="89" t="str">
        <f>IF(ISEVEN(B186),(B186-1)&amp;"/"&amp;B186,B186&amp;"/"&amp;(B186+1))</f>
        <v>4017/4018</v>
      </c>
      <c r="L186" s="185" t="str">
        <f>VLOOKUP(A186,'Trips&amp;Operators'!$C$1:$G$99911,5,FALSE)</f>
        <v>STAMBAUGH JAMES</v>
      </c>
      <c r="M186" s="6">
        <f>I186-F186</f>
        <v>8.2523148157633841E-3</v>
      </c>
      <c r="N186" s="7">
        <f>24*60*SUM($M186:$M186)</f>
        <v>11.883333334699273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-06T14:55:13-0700',mode:absolute,to:'2017-11-06T17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5.8615000000000004</v>
      </c>
      <c r="Z186" s="204">
        <f>RIGHT(H186,LEN(H186)-4)/10000</f>
        <v>6.9099999999999995E-2</v>
      </c>
      <c r="AA186" s="204">
        <f>ABS(Z186-Y186)</f>
        <v>5.7924000000000007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/stypes="app*4017*20171106*" /stext=" 23:.+((SYSTEM_STATE.+slice.+state.+changed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1"/>
        <v>"%USERPROFILE%\Documents\GitHub\eaglep3\Utilities\RefineRTDCRunTimes.py" --tripid 828-06 --locoid 4017 --swversion DE.1.0.9.0 --startMP 300:58615 --initTime 2017-11-06T15:55:13 --startdatetime 2017-11-06T16:12:32 --delay 46 --endMP 204:691 --enddatetime 2017-11-06T16:24:25 --enforcementcount 0 &gt;&gt;%USERPROFILE%\Documents\GitHub\eaglep3-reporting\EC\2017-11-06-refined-times.txt</v>
      </c>
      <c r="AI186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{"issue":{"subject":"","project_id":79,"tracker_id":40,"status_id":1,"priority_id":2,"assigned_to_id":338,"start_date":"2017-11-06","description":"","custom_fields":[{"id":1,"name":"Subdivision","value":"NW"},{"id":4,"name":"Milepost","value":"0.0691"},{"id":17,"name":"Train ID","value":"828-06"},{"id":16,"name":"Locomotive ID","value":"4017"},{"id":130,"name":"Impact","value":""},{"id":150,"name":"Time of Event (Mountain Time)","value":"16:24:25"},{"id":151,"name":"Denver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3"/>
        <v>start /low /b %USERPROFILE%\Documents\GitHub\eaglep3\Utilities\DownloadLogsFromS3.py --loco 4017 --day 2017-11-06</v>
      </c>
      <c r="AN186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"/>
        <v>https://d0f6bd738d7f1b3e5a7ca70fe4ff75f0.us-east-1.aws.found.io/app/kibana#/discover/Steve-Slow-Train-Analysis-(2080s-and-2083s)?_g=(refreshInterval:(display:Off,pause:!f,section:0,value:0),time:(from:'2017-11-06T14:55:13-0700',mode:absolute,to:'2017-11-06T17:24:25-0700'))&amp;_a=(columns:!('Message%20ID',Summary),filters:!(),index:'emp_*',interval:auto,query:(query_string:(analyze_wildcard:!t,query:'%22rtdc.l.rtdc.4017%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658</v>
      </c>
      <c r="B187" s="7">
        <v>4006</v>
      </c>
      <c r="C187" s="21" t="s">
        <v>192</v>
      </c>
      <c r="D187" s="21" t="s">
        <v>1071</v>
      </c>
      <c r="E187" s="13">
        <v>43045.667569444442</v>
      </c>
      <c r="F187" s="13">
        <v>43045.67324074074</v>
      </c>
      <c r="G187" s="7">
        <v>57</v>
      </c>
      <c r="H187" s="21" t="s">
        <v>613</v>
      </c>
      <c r="I187" s="13">
        <v>43045.682951388888</v>
      </c>
      <c r="J187" s="7">
        <v>0</v>
      </c>
      <c r="K187" s="89" t="str">
        <f>IF(ISEVEN(B187),(B187-1)&amp;"/"&amp;B187,B187&amp;"/"&amp;(B187+1))</f>
        <v>4005/4006</v>
      </c>
      <c r="L187" s="185" t="str">
        <f>VLOOKUP(A187,'Trips&amp;Operators'!$C$1:$G$99911,5,FALSE)</f>
        <v>GONZALEZ ARMANDO</v>
      </c>
      <c r="M187" s="6">
        <f>I187-F187</f>
        <v>9.710648148029577E-3</v>
      </c>
      <c r="N187" s="7">
        <f>24*60*SUM($M187:$M187)</f>
        <v>13.983333333162591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-06T15:01:18-0700',mode:absolute,to:'2017-11-06T17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0.1081</v>
      </c>
      <c r="Z187" s="204">
        <f>RIGHT(H187,LEN(H187)-4)/10000</f>
        <v>5.8979999999999997</v>
      </c>
      <c r="AA187" s="204">
        <f>ABS(Z187-Y187)</f>
        <v>5.7898999999999994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/stypes="app*4006*20171106*" /stext=" 23:.+((SYSTEM_STATE.+slice.+state.+changed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1"/>
        <v>"%USERPROFILE%\Documents\GitHub\eaglep3\Utilities\RefineRTDCRunTimes.py" --tripid 829-06 --locoid 4006 --swversion DE.1.0.9.0 --startMP 204:1081 --initTime 2017-11-06T16:01:18 --startdatetime 2017-11-06T16:09:28 --delay 57 --endMP 300:58980 --enddatetime 2017-11-06T16:23:27 --enforcementcount 0 &gt;&gt;%USERPROFILE%\Documents\GitHub\eaglep3-reporting\EC\2017-11-06-refined-times.txt</v>
      </c>
      <c r="AI187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{"issue":{"subject":"","project_id":79,"tracker_id":40,"status_id":1,"priority_id":2,"assigned_to_id":338,"start_date":"2017-11-06","description":"","custom_fields":[{"id":1,"name":"Subdivision","value":"NW"},{"id":4,"name":"Milepost","value":"5.898"},{"id":17,"name":"Train ID","value":"829-06"},{"id":16,"name":"Locomotive ID","value":"4006"},{"id":130,"name":"Impact","value":""},{"id":150,"name":"Time of Event (Mountain Time)","value":"16:23:27"},{"id":151,"name":"Denver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3"/>
        <v>start /low /b %USERPROFILE%\Documents\GitHub\eaglep3\Utilities\DownloadLogsFromS3.py --loco 4006 --day 2017-11-06</v>
      </c>
      <c r="AN187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"/>
        <v>https://d0f6bd738d7f1b3e5a7ca70fe4ff75f0.us-east-1.aws.found.io/app/kibana#/discover/Steve-Slow-Train-Analysis-(2080s-and-2083s)?_g=(refreshInterval:(display:Off,pause:!f,section:0,value:0),time:(from:'2017-11-06T15:01:18-0700',mode:absolute,to:'2017-11-06T17:23:27-0700'))&amp;_a=(columns:!('Message%20ID',Summary),filters:!(),index:'emp_*',interval:auto,query:(query_string:(analyze_wildcard:!t,query:'%22rtdc.l.rtdc.4006%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808</v>
      </c>
      <c r="B188" s="7">
        <v>4005</v>
      </c>
      <c r="C188" s="21" t="s">
        <v>192</v>
      </c>
      <c r="D188" s="21" t="s">
        <v>1071</v>
      </c>
      <c r="E188" s="13">
        <v>43045.667569444442</v>
      </c>
      <c r="F188" s="13">
        <v>43045.696145833332</v>
      </c>
      <c r="G188" s="7">
        <v>57</v>
      </c>
      <c r="H188" s="21" t="s">
        <v>613</v>
      </c>
      <c r="I188" s="13">
        <v>43045.704641203702</v>
      </c>
      <c r="J188" s="7">
        <v>0</v>
      </c>
      <c r="K188" s="89" t="str">
        <f>IF(ISEVEN(B188),(B188-1)&amp;"/"&amp;B188,B188&amp;"/"&amp;(B188+1))</f>
        <v>4005/4006</v>
      </c>
      <c r="L188" s="185" t="str">
        <f>VLOOKUP(A188,'Trips&amp;Operators'!$C$1:$G$99911,5,FALSE)</f>
        <v>GONZALEZ ARMANDO</v>
      </c>
      <c r="M188" s="6">
        <f>I188-F188</f>
        <v>8.4953703699284233E-3</v>
      </c>
      <c r="N188" s="7">
        <f>24*60*SUM($M188:$M188)</f>
        <v>12.23333333269693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-06T15:01:18-0700',mode:absolute,to:'2017-11-06T17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v>5.8615000000000004</v>
      </c>
      <c r="Z188" s="204">
        <v>6.9099999999999995E-2</v>
      </c>
      <c r="AA188" s="204">
        <f>ABS(Z188-Y188)</f>
        <v>5.7924000000000007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/stypes="app*4005*20171106*" /stext=" 23:.+((SYSTEM_STATE.+slice.+state.+changed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ref="AH188" si="36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830-06 --locoid 4005 --swversion DE.1.0.9.0 --startMP 204:1081 --initTime 2017-11-06T16:01:18 --startdatetime 2017-11-06T16:42:27 --delay 57 --endMP 300:58980 --enddatetime 2017-11-06T16:54:41 --enforcementcount 0 &gt;&gt;%USERPROFILE%\Documents\GitHub\eaglep3-reporting\EC\2017-11-06-refined-times.txt</v>
      </c>
      <c r="AI188" s="96" t="str">
        <f t="shared" ref="AI188" si="37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{"issue":{"subject":"","project_id":79,"tracker_id":40,"status_id":1,"priority_id":2,"assigned_to_id":338,"start_date":"2017-11-06","description":"","custom_fields":[{"id":1,"name":"Subdivision","value":"NW"},{"id":4,"name":"Milepost","value":"0.0691"},{"id":17,"name":"Train ID","value":"830-06"},{"id":16,"name":"Locomotive ID","value":"4005"},{"id":130,"name":"Impact","value":""},{"id":150,"name":"Time of Event (Mountain Time)","value":"16:54:41"},{"id":151,"name":"Denver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38">"start /low /b "&amp;dls3logs&amp;" --loco "&amp;B188&amp;" --day "&amp;TEXT(F188,"YYYY-MM-DD")</f>
        <v>start /low /b %USERPROFILE%\Documents\GitHub\eaglep3\Utilities\DownloadLogsFromS3.py --loco 4005 --day 2017-11-06</v>
      </c>
      <c r="AN188" s="151" t="str">
        <f t="shared" ref="AN188" si="39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40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-06T15:01:18-0700',mode:absolute,to:'2017-11-06T17:54:41-0700'))&amp;_a=(columns:!('Message%20ID',Summary),filters:!(),index:'emp_*',interval:auto,query:(query_string:(analyze_wildcard:!t,query:'%22rtdc.l.rtdc.4005%22')),sort:!(Time.ISO8601,asc))</v>
      </c>
    </row>
    <row r="189" spans="1:91" s="20" customFormat="1" x14ac:dyDescent="0.3">
      <c r="A189" s="32" t="s">
        <v>809</v>
      </c>
      <c r="B189" s="7">
        <v>4018</v>
      </c>
      <c r="C189" s="21" t="s">
        <v>192</v>
      </c>
      <c r="D189" s="21" t="s">
        <v>1072</v>
      </c>
      <c r="E189" s="13">
        <v>43045.69153935185</v>
      </c>
      <c r="F189" s="13">
        <v>43045.694166666668</v>
      </c>
      <c r="G189" s="7">
        <v>54</v>
      </c>
      <c r="H189" s="21" t="s">
        <v>608</v>
      </c>
      <c r="I189" s="13">
        <v>43045.703611111108</v>
      </c>
      <c r="J189" s="7">
        <v>0</v>
      </c>
      <c r="K189" s="89" t="str">
        <f>IF(ISEVEN(B189),(B189-1)&amp;"/"&amp;B189,B189&amp;"/"&amp;(B189+1))</f>
        <v>4017/4018</v>
      </c>
      <c r="L189" s="185" t="str">
        <f>VLOOKUP(A189,'Trips&amp;Operators'!$C$1:$G$99911,5,FALSE)</f>
        <v>STAMBAUGH JAMES</v>
      </c>
      <c r="M189" s="6">
        <f>I189-F189</f>
        <v>9.444444440305233E-3</v>
      </c>
      <c r="N189" s="7">
        <f>24*60*SUM($M189:$M189)</f>
        <v>13.599999994039536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-06T15:35:49-0700',mode:absolute,to:'2017-11-06T17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9.7799999999999998E-2</v>
      </c>
      <c r="Z189" s="204">
        <f>RIGHT(H189,LEN(H189)-4)/10000</f>
        <v>5.8933</v>
      </c>
      <c r="AA189" s="204">
        <f>ABS(Z189-Y189)</f>
        <v>5.7954999999999997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/stypes="app*4018*20171106*" /stext=" 23:.+((SYSTEM_STATE.+slice.+state.+changed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1"/>
        <v>"%USERPROFILE%\Documents\GitHub\eaglep3\Utilities\RefineRTDCRunTimes.py" --tripid 831-06 --locoid 4018 --swversion DE.1.0.9.0 --startMP 204:978 --initTime 2017-11-06T16:35:49 --startdatetime 2017-11-06T16:39:36 --delay 54 --endMP 300:58933 --enddatetime 2017-11-06T16:53:12 --enforcementcount 0 &gt;&gt;%USERPROFILE%\Documents\GitHub\eaglep3-reporting\EC\2017-11-06-refined-times.txt</v>
      </c>
      <c r="AI189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{"issue":{"subject":"","project_id":79,"tracker_id":40,"status_id":1,"priority_id":2,"assigned_to_id":338,"start_date":"2017-11-06","description":"","custom_fields":[{"id":1,"name":"Subdivision","value":"NW"},{"id":4,"name":"Milepost","value":"5.8933"},{"id":17,"name":"Train ID","value":"831-06"},{"id":16,"name":"Locomotive ID","value":"4018"},{"id":130,"name":"Impact","value":""},{"id":150,"name":"Time of Event (Mountain Time)","value":"16:53:12"},{"id":151,"name":"Denver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3"/>
        <v>start /low /b %USERPROFILE%\Documents\GitHub\eaglep3\Utilities\DownloadLogsFromS3.py --loco 4018 --day 2017-11-06</v>
      </c>
      <c r="AN189" s="151" t="str">
        <f t="shared" si="24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"/>
        <v>https://d0f6bd738d7f1b3e5a7ca70fe4ff75f0.us-east-1.aws.found.io/app/kibana#/discover/Steve-Slow-Train-Analysis-(2080s-and-2083s)?_g=(refreshInterval:(display:Off,pause:!f,section:0,value:0),time:(from:'2017-11-06T15:35:49-0700',mode:absolute,to:'2017-11-06T17:53:12-0700'))&amp;_a=(columns:!('Message%20ID',Summary),filters:!(),index:'emp_*',interval:auto,query:(query_string:(analyze_wildcard:!t,query:'%22rtdc.l.rtdc.4018%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812</v>
      </c>
      <c r="B190" s="7">
        <v>4017</v>
      </c>
      <c r="C190" s="21" t="s">
        <v>192</v>
      </c>
      <c r="D190" s="21" t="s">
        <v>609</v>
      </c>
      <c r="E190" s="13">
        <v>43045.704363425924</v>
      </c>
      <c r="F190" s="13">
        <v>43045.717418981483</v>
      </c>
      <c r="G190" s="7">
        <v>49</v>
      </c>
      <c r="H190" s="21" t="s">
        <v>1073</v>
      </c>
      <c r="I190" s="13">
        <v>43045.725162037037</v>
      </c>
      <c r="J190" s="7">
        <v>0</v>
      </c>
      <c r="K190" s="89" t="str">
        <f>IF(ISEVEN(B190),(B190-1)&amp;"/"&amp;B190,B190&amp;"/"&amp;(B190+1))</f>
        <v>4017/4018</v>
      </c>
      <c r="L190" s="185" t="str">
        <f>VLOOKUP(A190,'Trips&amp;Operators'!$C$1:$G$99911,5,FALSE)</f>
        <v>STAMBAUGH JAMES</v>
      </c>
      <c r="M190" s="6">
        <f>I190-F190</f>
        <v>7.7430555538740009E-3</v>
      </c>
      <c r="N190" s="7">
        <f>24*60*SUM($M190:$M190)</f>
        <v>11.149999997578561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-06T15:54:17-0700',mode:absolute,to:'2017-11-06T18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5.8608000000000002</v>
      </c>
      <c r="Z190" s="204">
        <f>RIGHT(H190,LEN(H190)-4)/10000</f>
        <v>6.8500000000000005E-2</v>
      </c>
      <c r="AA190" s="204">
        <f>ABS(Z190-Y190)</f>
        <v>5.7923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/stypes="app*4017*20171107*" /stext=" 00:.+((SYSTEM_STATE.+slice.+state.+changed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1"/>
        <v>"%USERPROFILE%\Documents\GitHub\eaglep3\Utilities\RefineRTDCRunTimes.py" --tripid 832-06 --locoid 4017 --swversion DE.1.0.9.0 --startMP 300:58608 --initTime 2017-11-06T16:54:17 --startdatetime 2017-11-06T17:13:05 --delay 49 --endMP 204:685 --enddatetime 2017-11-06T17:24:14 --enforcementcount 0 &gt;&gt;%USERPROFILE%\Documents\GitHub\eaglep3-reporting\EC\2017-11-06-refined-times.txt</v>
      </c>
      <c r="AI190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{"issue":{"subject":"","project_id":79,"tracker_id":40,"status_id":1,"priority_id":2,"assigned_to_id":338,"start_date":"2017-11-06","description":"","custom_fields":[{"id":1,"name":"Subdivision","value":"NW"},{"id":4,"name":"Milepost","value":"0.0685"},{"id":17,"name":"Train ID","value":"832-06"},{"id":16,"name":"Locomotive ID","value":"4017"},{"id":130,"name":"Impact","value":""},{"id":150,"name":"Time of Event (Mountain Time)","value":"17:24:14"},{"id":151,"name":"Denver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3"/>
        <v>start /low /b %USERPROFILE%\Documents\GitHub\eaglep3\Utilities\DownloadLogsFromS3.py --loco 4017 --day 2017-11-06</v>
      </c>
      <c r="AN190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"/>
        <v>https://d0f6bd738d7f1b3e5a7ca70fe4ff75f0.us-east-1.aws.found.io/app/kibana#/discover/Steve-Slow-Train-Analysis-(2080s-and-2083s)?_g=(refreshInterval:(display:Off,pause:!f,section:0,value:0),time:(from:'2017-11-06T15:54:17-0700',mode:absolute,to:'2017-11-06T18:24:14-0700'))&amp;_a=(columns:!('Message%20ID',Summary),filters:!(),index:'emp_*',interval:auto,query:(query_string:(analyze_wildcard:!t,query:'%22rtdc.l.rtdc.4017%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815</v>
      </c>
      <c r="B191" s="7">
        <v>4006</v>
      </c>
      <c r="C191" s="21" t="s">
        <v>192</v>
      </c>
      <c r="D191" s="21" t="s">
        <v>1074</v>
      </c>
      <c r="E191" s="13">
        <v>43045.707037037035</v>
      </c>
      <c r="F191" s="13">
        <v>43045.715185185189</v>
      </c>
      <c r="G191" s="7">
        <v>250</v>
      </c>
      <c r="H191" s="21" t="s">
        <v>1075</v>
      </c>
      <c r="I191" s="13">
        <v>43045.725138888891</v>
      </c>
      <c r="J191" s="7">
        <v>0</v>
      </c>
      <c r="K191" s="89" t="str">
        <f>IF(ISEVEN(B191),(B191-1)&amp;"/"&amp;B191,B191&amp;"/"&amp;(B191+1))</f>
        <v>4005/4006</v>
      </c>
      <c r="L191" s="185" t="str">
        <f>VLOOKUP(A191,'Trips&amp;Operators'!$C$1:$G$99911,5,FALSE)</f>
        <v>KILLION DAVID</v>
      </c>
      <c r="M191" s="6">
        <f>I191-F191</f>
        <v>9.9537037021946162E-3</v>
      </c>
      <c r="N191" s="7">
        <f>24*60*SUM($M191:$M191)</f>
        <v>14.333333331160247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-06T15:58:08-0700',mode:absolute,to:'2017-11-06T18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0.10440000000000001</v>
      </c>
      <c r="Z191" s="204">
        <f>RIGHT(H191,LEN(H191)-4)/10000</f>
        <v>5.8959999999999999</v>
      </c>
      <c r="AA191" s="204">
        <f>ABS(Z191-Y191)</f>
        <v>5.7915999999999999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/stypes="app*4006*20171107*" /stext=" 00:.+((SYSTEM_STATE.+slice.+state.+changed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1"/>
        <v>"%USERPROFILE%\Documents\GitHub\eaglep3\Utilities\RefineRTDCRunTimes.py" --tripid 833-06 --locoid 4006 --swversion DE.1.0.9.0 --startMP 204:1044 --initTime 2017-11-06T16:58:08 --startdatetime 2017-11-06T17:09:52 --delay 250 --endMP 300:58960 --enddatetime 2017-11-06T17:24:12 --enforcementcount 0 &gt;&gt;%USERPROFILE%\Documents\GitHub\eaglep3-reporting\EC\2017-11-06-refined-times.txt</v>
      </c>
      <c r="AI191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{"issue":{"subject":"","project_id":79,"tracker_id":40,"status_id":1,"priority_id":2,"assigned_to_id":338,"start_date":"2017-11-06","description":"","custom_fields":[{"id":1,"name":"Subdivision","value":"NW"},{"id":4,"name":"Milepost","value":"5.896"},{"id":17,"name":"Train ID","value":"833-06"},{"id":16,"name":"Locomotive ID","value":"4006"},{"id":130,"name":"Impact","value":""},{"id":150,"name":"Time of Event (Mountain Time)","value":"17:24:12"},{"id":151,"name":"Denver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3"/>
        <v>start /low /b %USERPROFILE%\Documents\GitHub\eaglep3\Utilities\DownloadLogsFromS3.py --loco 4006 --day 2017-11-06</v>
      </c>
      <c r="AN191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"/>
        <v>https://d0f6bd738d7f1b3e5a7ca70fe4ff75f0.us-east-1.aws.found.io/app/kibana#/discover/Steve-Slow-Train-Analysis-(2080s-and-2083s)?_g=(refreshInterval:(display:Off,pause:!f,section:0,value:0),time:(from:'2017-11-06T15:58:08-0700',mode:absolute,to:'2017-11-06T18:24:12-0700'))&amp;_a=(columns:!('Message%20ID',Summary),filters:!(),index:'emp_*',interval:auto,query:(query_string:(analyze_wildcard:!t,query:'%22rtdc.l.rtdc.4006%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820</v>
      </c>
      <c r="B192" s="7">
        <v>4005</v>
      </c>
      <c r="C192" s="21" t="s">
        <v>192</v>
      </c>
      <c r="D192" s="21" t="s">
        <v>501</v>
      </c>
      <c r="E192" s="13">
        <v>43045.726446759261</v>
      </c>
      <c r="F192" s="13">
        <v>43045.737812500003</v>
      </c>
      <c r="G192" s="7">
        <v>83</v>
      </c>
      <c r="H192" s="21" t="s">
        <v>1076</v>
      </c>
      <c r="I192" s="13">
        <v>43045.746759259258</v>
      </c>
      <c r="J192" s="7">
        <v>0</v>
      </c>
      <c r="K192" s="89" t="str">
        <f>IF(ISEVEN(B192),(B192-1)&amp;"/"&amp;B192,B192&amp;"/"&amp;(B192+1))</f>
        <v>4005/4006</v>
      </c>
      <c r="L192" s="185" t="str">
        <f>VLOOKUP(A192,'Trips&amp;Operators'!$C$1:$G$99911,5,FALSE)</f>
        <v>KILLION DAVID</v>
      </c>
      <c r="M192" s="6">
        <f>I192-F192</f>
        <v>8.9467592551955022E-3</v>
      </c>
      <c r="N192" s="7">
        <f>24*60*SUM($M192:$M192)</f>
        <v>12.883333327481523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-06T16:26:05-0700',mode:absolute,to:'2017-11-06T18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5.8662000000000001</v>
      </c>
      <c r="Z192" s="204">
        <f>RIGHT(H192,LEN(H192)-4)/10000</f>
        <v>7.0300000000000001E-2</v>
      </c>
      <c r="AA192" s="204">
        <f>ABS(Z192-Y192)</f>
        <v>5.7959000000000005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/stypes="app*4005*20171107*" /stext=" 00:.+((SYSTEM_STATE.+slice.+state.+changed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1"/>
        <v>"%USERPROFILE%\Documents\GitHub\eaglep3\Utilities\RefineRTDCRunTimes.py" --tripid 834-06 --locoid 4005 --swversion DE.1.0.9.0 --startMP 300:58662 --initTime 2017-11-06T17:26:05 --startdatetime 2017-11-06T17:42:27 --delay 83 --endMP 204:703 --enddatetime 2017-11-06T17:55:20 --enforcementcount 0 &gt;&gt;%USERPROFILE%\Documents\GitHub\eaglep3-reporting\EC\2017-11-06-refined-times.txt</v>
      </c>
      <c r="AI192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{"issue":{"subject":"","project_id":79,"tracker_id":40,"status_id":1,"priority_id":2,"assigned_to_id":338,"start_date":"2017-11-06","description":"","custom_fields":[{"id":1,"name":"Subdivision","value":"NW"},{"id":4,"name":"Milepost","value":"0.0703"},{"id":17,"name":"Train ID","value":"834-06"},{"id":16,"name":"Locomotive ID","value":"4005"},{"id":130,"name":"Impact","value":""},{"id":150,"name":"Time of Event (Mountain Time)","value":"17:55:20"},{"id":151,"name":"Denver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3"/>
        <v>start /low /b %USERPROFILE%\Documents\GitHub\eaglep3\Utilities\DownloadLogsFromS3.py --loco 4005 --day 2017-11-06</v>
      </c>
      <c r="AN192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"/>
        <v>https://d0f6bd738d7f1b3e5a7ca70fe4ff75f0.us-east-1.aws.found.io/app/kibana#/discover/Steve-Slow-Train-Analysis-(2080s-and-2083s)?_g=(refreshInterval:(display:Off,pause:!f,section:0,value:0),time:(from:'2017-11-06T16:26:05-0700',mode:absolute,to:'2017-11-06T18:55:20-0700'))&amp;_a=(columns:!('Message%20ID',Summary),filters:!(),index:'emp_*',interval:auto,query:(query_string:(analyze_wildcard:!t,query:'%22rtdc.l.rtdc.4005%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823</v>
      </c>
      <c r="B193" s="7">
        <v>4018</v>
      </c>
      <c r="C193" s="21" t="s">
        <v>192</v>
      </c>
      <c r="D193" s="21" t="s">
        <v>1077</v>
      </c>
      <c r="E193" s="13">
        <v>43045.733587962961</v>
      </c>
      <c r="F193" s="13">
        <v>43045.735844907409</v>
      </c>
      <c r="G193" s="7">
        <v>55</v>
      </c>
      <c r="H193" s="21" t="s">
        <v>1042</v>
      </c>
      <c r="I193" s="13">
        <v>43045.745659722219</v>
      </c>
      <c r="J193" s="7">
        <v>0</v>
      </c>
      <c r="K193" s="89" t="str">
        <f>IF(ISEVEN(B193),(B193-1)&amp;"/"&amp;B193,B193&amp;"/"&amp;(B193+1))</f>
        <v>4017/4018</v>
      </c>
      <c r="L193" s="185" t="str">
        <f>VLOOKUP(A193,'Trips&amp;Operators'!$C$1:$G$99911,5,FALSE)</f>
        <v>STAMBAUGH JAMES</v>
      </c>
      <c r="M193" s="6">
        <f>I193-F193</f>
        <v>9.814814809942618E-3</v>
      </c>
      <c r="N193" s="7">
        <f>24*60*SUM($M193:$M193)</f>
        <v>14.13333332631737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-06T16:36:22-0700',mode:absolute,to:'2017-11-06T18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9.5000000000000001E-2</v>
      </c>
      <c r="Z193" s="204">
        <f>RIGHT(H193,LEN(H193)-4)/10000</f>
        <v>5.8925999999999998</v>
      </c>
      <c r="AA193" s="204">
        <f>ABS(Z193-Y193)</f>
        <v>5.7976000000000001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/stypes="app*4018*20171107*" /stext=" 00:.+((SYSTEM_STATE.+slice.+state.+changed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1"/>
        <v>"%USERPROFILE%\Documents\GitHub\eaglep3\Utilities\RefineRTDCRunTimes.py" --tripid 835-06 --locoid 4018 --swversion DE.1.0.9.0 --startMP 204:950 --initTime 2017-11-06T17:36:22 --startdatetime 2017-11-06T17:39:37 --delay 55 --endMP 300:58926 --enddatetime 2017-11-06T17:53:45 --enforcementcount 0 &gt;&gt;%USERPROFILE%\Documents\GitHub\eaglep3-reporting\EC\2017-11-06-refined-times.txt</v>
      </c>
      <c r="AI193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{"issue":{"subject":"","project_id":79,"tracker_id":40,"status_id":1,"priority_id":2,"assigned_to_id":338,"start_date":"2017-11-06","description":"","custom_fields":[{"id":1,"name":"Subdivision","value":"NW"},{"id":4,"name":"Milepost","value":"5.8926"},{"id":17,"name":"Train ID","value":"835-06"},{"id":16,"name":"Locomotive ID","value":"4018"},{"id":130,"name":"Impact","value":""},{"id":150,"name":"Time of Event (Mountain Time)","value":"17:53:45"},{"id":151,"name":"Denver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3"/>
        <v>start /low /b %USERPROFILE%\Documents\GitHub\eaglep3\Utilities\DownloadLogsFromS3.py --loco 4018 --day 2017-11-06</v>
      </c>
      <c r="AN193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"/>
        <v>https://d0f6bd738d7f1b3e5a7ca70fe4ff75f0.us-east-1.aws.found.io/app/kibana#/discover/Steve-Slow-Train-Analysis-(2080s-and-2083s)?_g=(refreshInterval:(display:Off,pause:!f,section:0,value:0),time:(from:'2017-11-06T16:36:22-0700',mode:absolute,to:'2017-11-06T18:53:45-0700'))&amp;_a=(columns:!('Message%20ID',Summary),filters:!(),index:'emp_*',interval:auto,query:(query_string:(analyze_wildcard:!t,query:'%22rtdc.l.rtdc.4018%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827</v>
      </c>
      <c r="B194" s="7">
        <v>4017</v>
      </c>
      <c r="C194" s="21" t="s">
        <v>192</v>
      </c>
      <c r="D194" s="21" t="s">
        <v>1060</v>
      </c>
      <c r="E194" s="13">
        <v>43045.746527777781</v>
      </c>
      <c r="F194" s="13">
        <v>43045.758738425924</v>
      </c>
      <c r="G194" s="7">
        <v>69</v>
      </c>
      <c r="H194" s="21" t="s">
        <v>1078</v>
      </c>
      <c r="I194" s="13">
        <v>43045.766817129632</v>
      </c>
      <c r="J194" s="7">
        <v>0</v>
      </c>
      <c r="K194" s="89" t="str">
        <f>IF(ISEVEN(B194),(B194-1)&amp;"/"&amp;B194,B194&amp;"/"&amp;(B194+1))</f>
        <v>4017/4018</v>
      </c>
      <c r="L194" s="185" t="str">
        <f>VLOOKUP(A194,'Trips&amp;Operators'!$C$1:$G$99911,5,FALSE)</f>
        <v>STAMBAUGH JAMES</v>
      </c>
      <c r="M194" s="6">
        <f>I194-F194</f>
        <v>8.078703707724344E-3</v>
      </c>
      <c r="N194" s="7">
        <f>24*60*SUM($M194:$M194)</f>
        <v>11.633333339123055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-06T16:55:00-0700',mode:absolute,to:'2017-11-06T19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5.8605999999999998</v>
      </c>
      <c r="Z194" s="204">
        <f>RIGHT(H194,LEN(H194)-4)/10000</f>
        <v>6.9400000000000003E-2</v>
      </c>
      <c r="AA194" s="204">
        <f>ABS(Z194-Y194)</f>
        <v>5.7911999999999999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/stypes="app*4017*20171107*" /stext=" 01:.+((SYSTEM_STATE.+slice.+state.+changed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1"/>
        <v>"%USERPROFILE%\Documents\GitHub\eaglep3\Utilities\RefineRTDCRunTimes.py" --tripid 836-06 --locoid 4017 --swversion DE.1.0.9.0 --startMP 300:58606 --initTime 2017-11-06T17:55:00 --startdatetime 2017-11-06T18:12:35 --delay 69 --endMP 204:694 --enddatetime 2017-11-06T18:24:13 --enforcementcount 0 &gt;&gt;%USERPROFILE%\Documents\GitHub\eaglep3-reporting\EC\2017-11-06-refined-times.txt</v>
      </c>
      <c r="AI194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{"issue":{"subject":"","project_id":79,"tracker_id":40,"status_id":1,"priority_id":2,"assigned_to_id":338,"start_date":"2017-11-06","description":"","custom_fields":[{"id":1,"name":"Subdivision","value":"NW"},{"id":4,"name":"Milepost","value":"0.0694"},{"id":17,"name":"Train ID","value":"836-06"},{"id":16,"name":"Locomotive ID","value":"4017"},{"id":130,"name":"Impact","value":""},{"id":150,"name":"Time of Event (Mountain Time)","value":"18:24:13"},{"id":151,"name":"Denver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3"/>
        <v>start /low /b %USERPROFILE%\Documents\GitHub\eaglep3\Utilities\DownloadLogsFromS3.py --loco 4017 --day 2017-11-06</v>
      </c>
      <c r="AN194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"/>
        <v>https://d0f6bd738d7f1b3e5a7ca70fe4ff75f0.us-east-1.aws.found.io/app/kibana#/discover/Steve-Slow-Train-Analysis-(2080s-and-2083s)?_g=(refreshInterval:(display:Off,pause:!f,section:0,value:0),time:(from:'2017-11-06T16:55:00-0700',mode:absolute,to:'2017-11-06T19:24:13-0700'))&amp;_a=(columns:!('Message%20ID',Summary),filters:!(),index:'emp_*',interval:auto,query:(query_string:(analyze_wildcard:!t,query:'%22rtdc.l.rtdc.4017%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828</v>
      </c>
      <c r="B195" s="7">
        <v>4006</v>
      </c>
      <c r="C195" s="21" t="s">
        <v>192</v>
      </c>
      <c r="D195" s="21" t="s">
        <v>1079</v>
      </c>
      <c r="E195" s="13">
        <v>43045.748310185183</v>
      </c>
      <c r="F195" s="13">
        <v>43045.756469907406</v>
      </c>
      <c r="G195" s="7">
        <v>52</v>
      </c>
      <c r="H195" s="21" t="s">
        <v>1080</v>
      </c>
      <c r="I195" s="13">
        <v>43045.767025462963</v>
      </c>
      <c r="J195" s="7">
        <v>0</v>
      </c>
      <c r="K195" s="89" t="str">
        <f>IF(ISEVEN(B195),(B195-1)&amp;"/"&amp;B195,B195&amp;"/"&amp;(B195+1))</f>
        <v>4005/4006</v>
      </c>
      <c r="L195" s="185" t="str">
        <f>VLOOKUP(A195,'Trips&amp;Operators'!$C$1:$G$99911,5,FALSE)</f>
        <v>KILLION DAVID</v>
      </c>
      <c r="M195" s="6">
        <f>I195-F195</f>
        <v>1.0555555556493346E-2</v>
      </c>
      <c r="N195" s="7">
        <f>24*60*SUM($M195:$M195)</f>
        <v>15.200000001350418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-06T16:57:34-0700',mode:absolute,to:'2017-11-06T19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9.9000000000000005E-2</v>
      </c>
      <c r="Z195" s="204">
        <f>RIGHT(H195,LEN(H195)-4)/10000</f>
        <v>5.8954000000000004</v>
      </c>
      <c r="AA195" s="204">
        <f>ABS(Z195-Y195)</f>
        <v>5.7964000000000002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/stypes="app*4006*20171107*" /stext=" 01:.+((SYSTEM_STATE.+slice.+state.+changed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1"/>
        <v>"%USERPROFILE%\Documents\GitHub\eaglep3\Utilities\RefineRTDCRunTimes.py" --tripid 837-06 --locoid 4006 --swversion DE.1.0.9.0 --startMP 204:990 --initTime 2017-11-06T17:57:34 --startdatetime 2017-11-06T18:09:19 --delay 52 --endMP 300:58954 --enddatetime 2017-11-06T18:24:31 --enforcementcount 0 &gt;&gt;%USERPROFILE%\Documents\GitHub\eaglep3-reporting\EC\2017-11-06-refined-times.txt</v>
      </c>
      <c r="AI195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{"issue":{"subject":"","project_id":79,"tracker_id":40,"status_id":1,"priority_id":2,"assigned_to_id":338,"start_date":"2017-11-06","description":"","custom_fields":[{"id":1,"name":"Subdivision","value":"NW"},{"id":4,"name":"Milepost","value":"5.8954"},{"id":17,"name":"Train ID","value":"837-06"},{"id":16,"name":"Locomotive ID","value":"4006"},{"id":130,"name":"Impact","value":""},{"id":150,"name":"Time of Event (Mountain Time)","value":"18:24:31"},{"id":151,"name":"Denver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3"/>
        <v>start /low /b %USERPROFILE%\Documents\GitHub\eaglep3\Utilities\DownloadLogsFromS3.py --loco 4006 --day 2017-11-06</v>
      </c>
      <c r="AN195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"/>
        <v>https://d0f6bd738d7f1b3e5a7ca70fe4ff75f0.us-east-1.aws.found.io/app/kibana#/discover/Steve-Slow-Train-Analysis-(2080s-and-2083s)?_g=(refreshInterval:(display:Off,pause:!f,section:0,value:0),time:(from:'2017-11-06T16:57:34-0700',mode:absolute,to:'2017-11-06T19:24:31-0700'))&amp;_a=(columns:!('Message%20ID',Summary),filters:!(),index:'emp_*',interval:auto,query:(query_string:(analyze_wildcard:!t,query:'%22rtdc.l.rtdc.4006%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834</v>
      </c>
      <c r="B196" s="7">
        <v>4005</v>
      </c>
      <c r="C196" s="21" t="s">
        <v>192</v>
      </c>
      <c r="D196" s="21" t="s">
        <v>1079</v>
      </c>
      <c r="E196" s="13">
        <v>43045.748310185183</v>
      </c>
      <c r="F196" s="13">
        <v>43045.779282407406</v>
      </c>
      <c r="G196" s="7">
        <v>52</v>
      </c>
      <c r="H196" s="21" t="s">
        <v>1080</v>
      </c>
      <c r="I196" s="13">
        <v>43045.788402777776</v>
      </c>
      <c r="J196" s="7">
        <v>0</v>
      </c>
      <c r="K196" s="89" t="str">
        <f>IF(ISEVEN(B196),(B196-1)&amp;"/"&amp;B196,B196&amp;"/"&amp;(B196+1))</f>
        <v>4005/4006</v>
      </c>
      <c r="L196" s="185" t="str">
        <f>VLOOKUP(A196,'Trips&amp;Operators'!$C$1:$G$99911,5,FALSE)</f>
        <v>KILLION DAVID</v>
      </c>
      <c r="M196" s="6">
        <f>I196-F196</f>
        <v>9.1203703705104999E-3</v>
      </c>
      <c r="N196" s="7">
        <f>24*60*SUM($M196:$M196)</f>
        <v>13.13333333353512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-06T16:57:34-0700',mode:absolute,to:'2017-11-06T19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v>5.8605999999999998</v>
      </c>
      <c r="Z196" s="204">
        <v>6.9400000000000003E-2</v>
      </c>
      <c r="AA196" s="204">
        <f>ABS(Z196-Y196)</f>
        <v>5.7911999999999999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/stypes="app*4005*20171107*" /stext=" 01:.+((SYSTEM_STATE.+slice.+state.+changed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ref="AH196" si="41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838-06 --locoid 4005 --swversion DE.1.0.9.0 --startMP 204:990 --initTime 2017-11-06T17:57:34 --startdatetime 2017-11-06T18:42:10 --delay 52 --endMP 300:58954 --enddatetime 2017-11-06T18:55:18 --enforcementcount 0 &gt;&gt;%USERPROFILE%\Documents\GitHub\eaglep3-reporting\EC\2017-11-06-refined-times.txt</v>
      </c>
      <c r="AI196" s="96" t="str">
        <f t="shared" ref="AI196" si="42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{"issue":{"subject":"","project_id":79,"tracker_id":40,"status_id":1,"priority_id":2,"assigned_to_id":338,"start_date":"2017-11-06","description":"","custom_fields":[{"id":1,"name":"Subdivision","value":"NW"},{"id":4,"name":"Milepost","value":"0.0694"},{"id":17,"name":"Train ID","value":"838-06"},{"id":16,"name":"Locomotive ID","value":"4005"},{"id":130,"name":"Impact","value":""},{"id":150,"name":"Time of Event (Mountain Time)","value":"18:55:18"},{"id":151,"name":"Denver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ref="AM196" si="43">"start /low /b "&amp;dls3logs&amp;" --loco "&amp;B196&amp;" --day "&amp;TEXT(F196,"YYYY-MM-DD")</f>
        <v>start /low /b %USERPROFILE%\Documents\GitHub\eaglep3\Utilities\DownloadLogsFromS3.py --loco 4005 --day 2017-11-06</v>
      </c>
      <c r="AN196" s="151" t="str">
        <f t="shared" ref="AN196" si="44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ref="AO196" si="45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-06T16:57:34-0700',mode:absolute,to:'2017-11-06T19:55:18-0700'))&amp;_a=(columns:!('Message%20ID',Summary),filters:!(),index:'emp_*',interval:auto,query:(query_string:(analyze_wildcard:!t,query:'%22rtdc.l.rtdc.4005%22')),sort:!(Time.ISO8601,asc))</v>
      </c>
    </row>
    <row r="197" spans="1:91" s="20" customFormat="1" x14ac:dyDescent="0.3">
      <c r="A197" s="32" t="s">
        <v>835</v>
      </c>
      <c r="B197" s="7">
        <v>4018</v>
      </c>
      <c r="C197" s="21" t="s">
        <v>192</v>
      </c>
      <c r="D197" s="21" t="s">
        <v>482</v>
      </c>
      <c r="E197" s="13">
        <v>43045.774872685186</v>
      </c>
      <c r="F197" s="13">
        <v>43045.777800925927</v>
      </c>
      <c r="G197" s="7">
        <v>62</v>
      </c>
      <c r="H197" s="21" t="s">
        <v>608</v>
      </c>
      <c r="I197" s="13">
        <v>43045.786851851852</v>
      </c>
      <c r="J197" s="7">
        <v>0</v>
      </c>
      <c r="K197" s="89" t="str">
        <f>IF(ISEVEN(B197),(B197-1)&amp;"/"&amp;B197,B197&amp;"/"&amp;(B197+1))</f>
        <v>4017/4018</v>
      </c>
      <c r="L197" s="185" t="str">
        <f>VLOOKUP(A197,'Trips&amp;Operators'!$C$1:$G$99911,5,FALSE)</f>
        <v>STAMBAUGH JAMES</v>
      </c>
      <c r="M197" s="6">
        <f>I197-F197</f>
        <v>9.0509259243845008E-3</v>
      </c>
      <c r="N197" s="7">
        <f>24*60*SUM($M197:$M197)</f>
        <v>13.033333331113681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-06T17:35:49-0700',mode:absolute,to:'2017-11-06T19:53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9.7600000000000006E-2</v>
      </c>
      <c r="Z197" s="204">
        <f>RIGHT(H197,LEN(H197)-4)/10000</f>
        <v>5.8933</v>
      </c>
      <c r="AA197" s="204">
        <f>ABS(Z197-Y197)</f>
        <v>5.7957000000000001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/stypes="app*4018*20171107*" /stext=" 01:.+((SYSTEM_STATE.+slice.+state.+changed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1"/>
        <v>"%USERPROFILE%\Documents\GitHub\eaglep3\Utilities\RefineRTDCRunTimes.py" --tripid 839-06 --locoid 4018 --swversion DE.1.0.9.0 --startMP 204:976 --initTime 2017-11-06T18:35:49 --startdatetime 2017-11-06T18:40:02 --delay 62 --endMP 300:58933 --enddatetime 2017-11-06T18:53:04 --enforcementcount 0 &gt;&gt;%USERPROFILE%\Documents\GitHub\eaglep3-reporting\EC\2017-11-06-refined-times.txt</v>
      </c>
      <c r="AI197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{"issue":{"subject":"","project_id":79,"tracker_id":40,"status_id":1,"priority_id":2,"assigned_to_id":338,"start_date":"2017-11-06","description":"","custom_fields":[{"id":1,"name":"Subdivision","value":"NW"},{"id":4,"name":"Milepost","value":"5.8933"},{"id":17,"name":"Train ID","value":"839-06"},{"id":16,"name":"Locomotive ID","value":"4018"},{"id":130,"name":"Impact","value":""},{"id":150,"name":"Time of Event (Mountain Time)","value":"18:53:04"},{"id":151,"name":"Denver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3"/>
        <v>start /low /b %USERPROFILE%\Documents\GitHub\eaglep3\Utilities\DownloadLogsFromS3.py --loco 4018 --day 2017-11-06</v>
      </c>
      <c r="AN197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"/>
        <v>https://d0f6bd738d7f1b3e5a7ca70fe4ff75f0.us-east-1.aws.found.io/app/kibana#/discover/Steve-Slow-Train-Analysis-(2080s-and-2083s)?_g=(refreshInterval:(display:Off,pause:!f,section:0,value:0),time:(from:'2017-11-06T17:35:49-0700',mode:absolute,to:'2017-11-06T19:53:04-0700'))&amp;_a=(columns:!('Message%20ID',Summary),filters:!(),index:'emp_*',interval:auto,query:(query_string:(analyze_wildcard:!t,query:'%22rtdc.l.rtdc.4018%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844</v>
      </c>
      <c r="B198" s="7">
        <v>4005</v>
      </c>
      <c r="C198" s="21" t="s">
        <v>192</v>
      </c>
      <c r="D198" s="21" t="s">
        <v>1081</v>
      </c>
      <c r="E198" s="13">
        <v>43045.809479166666</v>
      </c>
      <c r="F198" s="13">
        <v>43045.821238425924</v>
      </c>
      <c r="G198" s="7">
        <v>59</v>
      </c>
      <c r="H198" s="21" t="s">
        <v>1082</v>
      </c>
      <c r="I198" s="13">
        <v>43045.83021990741</v>
      </c>
      <c r="J198" s="7">
        <v>0</v>
      </c>
      <c r="K198" s="89" t="str">
        <f>IF(ISEVEN(B198),(B198-1)&amp;"/"&amp;B198,B198&amp;"/"&amp;(B198+1))</f>
        <v>4005/4006</v>
      </c>
      <c r="L198" s="185" t="str">
        <f>VLOOKUP(A198,'Trips&amp;Operators'!$C$1:$G$99911,5,FALSE)</f>
        <v>KILLION DAVID</v>
      </c>
      <c r="M198" s="6">
        <f>I198-F198</f>
        <v>8.9814814855344594E-3</v>
      </c>
      <c r="N198" s="7">
        <f>24*60*SUM($M198:$M198)</f>
        <v>12.933333339169621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-06T18:25:39-0700',mode:absolute,to:'2017-11-06T20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5.8624000000000001</v>
      </c>
      <c r="Z198" s="204">
        <f>RIGHT(H198,LEN(H198)-4)/10000</f>
        <v>6.7699999999999996E-2</v>
      </c>
      <c r="AA198" s="204">
        <f>ABS(Z198-Y198)</f>
        <v>5.7946999999999997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/stypes="app*4005*20171107*" /stext=" 02:.+((SYSTEM_STATE.+slice.+state.+changed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1"/>
        <v>"%USERPROFILE%\Documents\GitHub\eaglep3\Utilities\RefineRTDCRunTimes.py" --tripid 840-06 --locoid 4005 --swversion DE.1.0.9.0 --startMP 300:58624 --initTime 2017-11-06T19:25:39 --startdatetime 2017-11-06T19:42:35 --delay 59 --endMP 204:677 --enddatetime 2017-11-06T19:55:31 --enforcementcount 0 &gt;&gt;%USERPROFILE%\Documents\GitHub\eaglep3-reporting\EC\2017-11-06-refined-times.txt</v>
      </c>
      <c r="AI198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{"issue":{"subject":"","project_id":79,"tracker_id":40,"status_id":1,"priority_id":2,"assigned_to_id":338,"start_date":"2017-11-06","description":"","custom_fields":[{"id":1,"name":"Subdivision","value":"NW"},{"id":4,"name":"Milepost","value":"0.0677"},{"id":17,"name":"Train ID","value":"840-06"},{"id":16,"name":"Locomotive ID","value":"4005"},{"id":130,"name":"Impact","value":""},{"id":150,"name":"Time of Event (Mountain Time)","value":"19:55:31"},{"id":151,"name":"Denver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3"/>
        <v>start /low /b %USERPROFILE%\Documents\GitHub\eaglep3\Utilities\DownloadLogsFromS3.py --loco 4005 --day 2017-11-06</v>
      </c>
      <c r="AN198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5"/>
        <v>https://d0f6bd738d7f1b3e5a7ca70fe4ff75f0.us-east-1.aws.found.io/app/kibana#/discover/Steve-Slow-Train-Analysis-(2080s-and-2083s)?_g=(refreshInterval:(display:Off,pause:!f,section:0,value:0),time:(from:'2017-11-06T18:25:39-0700',mode:absolute,to:'2017-11-06T20:55:31-0700'))&amp;_a=(columns:!('Message%20ID',Summary),filters:!(),index:'emp_*',interval:auto,query:(query_string:(analyze_wildcard:!t,query:'%22rtdc.l.rtdc.4005%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840</v>
      </c>
      <c r="B199" s="7">
        <v>4006</v>
      </c>
      <c r="C199" s="21" t="s">
        <v>192</v>
      </c>
      <c r="D199" s="21" t="s">
        <v>1083</v>
      </c>
      <c r="E199" s="13">
        <v>43045.790127314816</v>
      </c>
      <c r="F199" s="13">
        <v>43045.798101851855</v>
      </c>
      <c r="G199" s="7">
        <v>79</v>
      </c>
      <c r="H199" s="21" t="s">
        <v>611</v>
      </c>
      <c r="I199" s="13">
        <v>43045.80841435185</v>
      </c>
      <c r="J199" s="7">
        <v>0</v>
      </c>
      <c r="K199" s="89" t="str">
        <f>IF(ISEVEN(B199),(B199-1)&amp;"/"&amp;B199,B199&amp;"/"&amp;(B199+1))</f>
        <v>4005/4006</v>
      </c>
      <c r="L199" s="185" t="str">
        <f>VLOOKUP(A199,'Trips&amp;Operators'!$C$1:$G$99911,5,FALSE)</f>
        <v>KILLION DAVID</v>
      </c>
      <c r="M199" s="6">
        <f>I199-F199</f>
        <v>1.0312499995052349E-2</v>
      </c>
      <c r="N199" s="7">
        <f>24*60*SUM($M199:$M199)</f>
        <v>14.849999992875382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-06T17:57:47-0700',mode:absolute,to:'2017-11-06T20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9.7100000000000006E-2</v>
      </c>
      <c r="Z199" s="204">
        <f>RIGHT(H199,LEN(H199)-4)/10000</f>
        <v>5.8943000000000003</v>
      </c>
      <c r="AA199" s="204">
        <f>ABS(Z199-Y199)</f>
        <v>5.7972000000000001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/stypes="app*4006*20171107*" /stext=" 02:.+((SYSTEM_STATE.+slice.+state.+changed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1"/>
        <v>"%USERPROFILE%\Documents\GitHub\eaglep3\Utilities\RefineRTDCRunTimes.py" --tripid 841-06 --locoid 4006 --swversion DE.1.0.9.0 --startMP 204:971 --initTime 2017-11-06T18:57:47 --startdatetime 2017-11-06T19:09:16 --delay 79 --endMP 300:58943 --enddatetime 2017-11-06T19:24:07 --enforcementcount 0 &gt;&gt;%USERPROFILE%\Documents\GitHub\eaglep3-reporting\EC\2017-11-06-refined-times.txt</v>
      </c>
      <c r="AI199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{"issue":{"subject":"","project_id":79,"tracker_id":40,"status_id":1,"priority_id":2,"assigned_to_id":338,"start_date":"2017-11-06","description":"","custom_fields":[{"id":1,"name":"Subdivision","value":"NW"},{"id":4,"name":"Milepost","value":"5.8943"},{"id":17,"name":"Train ID","value":"841-06"},{"id":16,"name":"Locomotive ID","value":"4006"},{"id":130,"name":"Impact","value":""},{"id":150,"name":"Time of Event (Mountain Time)","value":"19:24:07"},{"id":151,"name":"Denver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3"/>
        <v>start /low /b %USERPROFILE%\Documents\GitHub\eaglep3\Utilities\DownloadLogsFromS3.py --loco 4006 --day 2017-11-06</v>
      </c>
      <c r="AN199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"/>
        <v>https://d0f6bd738d7f1b3e5a7ca70fe4ff75f0.us-east-1.aws.found.io/app/kibana#/discover/Steve-Slow-Train-Analysis-(2080s-and-2083s)?_g=(refreshInterval:(display:Off,pause:!f,section:0,value:0),time:(from:'2017-11-06T17:57:47-0700',mode:absolute,to:'2017-11-06T20:24:07-0700'))&amp;_a=(columns:!('Message%20ID',Summary),filters:!(),index:'emp_*',interval:auto,query:(query_string:(analyze_wildcard:!t,query:'%22rtdc.l.rtdc.4006%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851</v>
      </c>
      <c r="B200" s="7">
        <v>4005</v>
      </c>
      <c r="C200" s="21" t="s">
        <v>192</v>
      </c>
      <c r="D200" s="21" t="s">
        <v>1083</v>
      </c>
      <c r="E200" s="13">
        <v>43045.790127314816</v>
      </c>
      <c r="F200" s="13">
        <v>43045.862928240742</v>
      </c>
      <c r="G200" s="7">
        <v>79</v>
      </c>
      <c r="H200" s="21" t="s">
        <v>611</v>
      </c>
      <c r="I200" s="13">
        <v>43045.872465277775</v>
      </c>
      <c r="J200" s="7">
        <v>0</v>
      </c>
      <c r="K200" s="89" t="str">
        <f>IF(ISEVEN(B200),(B200-1)&amp;"/"&amp;B200,B200&amp;"/"&amp;(B200+1))</f>
        <v>4005/4006</v>
      </c>
      <c r="L200" s="185" t="str">
        <f>VLOOKUP(A200,'Trips&amp;Operators'!$C$1:$G$99911,5,FALSE)</f>
        <v>KILLION DAVID</v>
      </c>
      <c r="M200" s="6">
        <f>I200-F200</f>
        <v>9.5370370327145793E-3</v>
      </c>
      <c r="N200" s="7">
        <f>24*60*SUM($M200:$M200)</f>
        <v>13.733333327108994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-06T17:57:47-0700',mode:absolute,to:'2017-11-06T21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v>5.8624000000000001</v>
      </c>
      <c r="Z200" s="204">
        <v>6.7699999999999996E-2</v>
      </c>
      <c r="AA200" s="204">
        <f>ABS(Z200-Y200)</f>
        <v>5.7946999999999997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/stypes="app*4005*20171107*" /stext=" 03:.+((SYSTEM_STATE.+slice.+state.+changed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ref="AH200" si="46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842-06 --locoid 4005 --swversion DE.1.0.9.0 --startMP 204:971 --initTime 2017-11-06T18:57:47 --startdatetime 2017-11-06T20:42:37 --delay 79 --endMP 300:58943 --enddatetime 2017-11-06T20:56:21 --enforcementcount 0 &gt;&gt;%USERPROFILE%\Documents\GitHub\eaglep3-reporting\EC\2017-11-06-refined-times.txt</v>
      </c>
      <c r="AI200" s="96" t="str">
        <f t="shared" ref="AI200" si="47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{"issue":{"subject":"","project_id":79,"tracker_id":40,"status_id":1,"priority_id":2,"assigned_to_id":338,"start_date":"2017-11-06","description":"","custom_fields":[{"id":1,"name":"Subdivision","value":"NW"},{"id":4,"name":"Milepost","value":"0.0677"},{"id":17,"name":"Train ID","value":"842-06"},{"id":16,"name":"Locomotive ID","value":"4005"},{"id":130,"name":"Impact","value":""},{"id":150,"name":"Time of Event (Mountain Time)","value":"20:56:21"},{"id":151,"name":"Denver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ref="AM200" si="48">"start /low /b "&amp;dls3logs&amp;" --loco "&amp;B200&amp;" --day "&amp;TEXT(F200,"YYYY-MM-DD")</f>
        <v>start /low /b %USERPROFILE%\Documents\GitHub\eaglep3\Utilities\DownloadLogsFromS3.py --loco 4005 --day 2017-11-06</v>
      </c>
      <c r="AN200" s="151" t="str">
        <f t="shared" ref="AN200" si="49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50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-06T17:57:47-0700',mode:absolute,to:'2017-11-06T21:56:21-0700'))&amp;_a=(columns:!('Message%20ID',Summary),filters:!(),index:'emp_*',interval:auto,query:(query_string:(analyze_wildcard:!t,query:'%22rtdc.l.rtdc.4005%22')),sort:!(Time.ISO8601,asc))</v>
      </c>
    </row>
    <row r="201" spans="1:91" s="20" customFormat="1" x14ac:dyDescent="0.3">
      <c r="A201" s="32" t="s">
        <v>847</v>
      </c>
      <c r="B201" s="7">
        <v>4006</v>
      </c>
      <c r="C201" s="21" t="s">
        <v>192</v>
      </c>
      <c r="D201" s="21" t="s">
        <v>1084</v>
      </c>
      <c r="E201" s="13">
        <v>43045.83184027778</v>
      </c>
      <c r="F201" s="13">
        <v>43045.839791666665</v>
      </c>
      <c r="G201" s="7">
        <v>57</v>
      </c>
      <c r="H201" s="21" t="s">
        <v>1085</v>
      </c>
      <c r="I201" s="13">
        <v>43045.849849537037</v>
      </c>
      <c r="J201" s="7">
        <v>0</v>
      </c>
      <c r="K201" s="89" t="str">
        <f>IF(ISEVEN(B201),(B201-1)&amp;"/"&amp;B201,B201&amp;"/"&amp;(B201+1))</f>
        <v>4005/4006</v>
      </c>
      <c r="L201" s="185" t="str">
        <f>VLOOKUP(A201,'Trips&amp;Operators'!$C$1:$G$99911,5,FALSE)</f>
        <v>KILLION DAVID</v>
      </c>
      <c r="M201" s="6">
        <f>I201-F201</f>
        <v>1.0057870371383615E-2</v>
      </c>
      <c r="N201" s="7">
        <f>24*60*SUM($M201:$M201)</f>
        <v>14.483333334792405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-06T18:57:51-0700',mode:absolute,to:'2017-11-06T21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9.74E-2</v>
      </c>
      <c r="Z201" s="204">
        <f>RIGHT(H201,LEN(H201)-4)/10000</f>
        <v>5.8964999999999996</v>
      </c>
      <c r="AA201" s="204">
        <f>ABS(Z201-Y201)</f>
        <v>5.7990999999999993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/stypes="app*4006*20171107*" /stext=" 03:.+((SYSTEM_STATE.+slice.+state.+changed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1"/>
        <v>"%USERPROFILE%\Documents\GitHub\eaglep3\Utilities\RefineRTDCRunTimes.py" --tripid 843-06 --locoid 4006 --swversion DE.1.0.9.0 --startMP 204:974 --initTime 2017-11-06T19:57:51 --startdatetime 2017-11-06T20:09:18 --delay 57 --endMP 300:58965 --enddatetime 2017-11-06T20:23:47 --enforcementcount 0 &gt;&gt;%USERPROFILE%\Documents\GitHub\eaglep3-reporting\EC\2017-11-06-refined-times.txt</v>
      </c>
      <c r="AI201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{"issue":{"subject":"","project_id":79,"tracker_id":40,"status_id":1,"priority_id":2,"assigned_to_id":338,"start_date":"2017-11-06","description":"","custom_fields":[{"id":1,"name":"Subdivision","value":"NW"},{"id":4,"name":"Milepost","value":"5.8965"},{"id":17,"name":"Train ID","value":"843-06"},{"id":16,"name":"Locomotive ID","value":"4006"},{"id":130,"name":"Impact","value":""},{"id":150,"name":"Time of Event (Mountain Time)","value":"20:23:47"},{"id":151,"name":"Denver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3"/>
        <v>start /low /b %USERPROFILE%\Documents\GitHub\eaglep3\Utilities\DownloadLogsFromS3.py --loco 4006 --day 2017-11-06</v>
      </c>
      <c r="AN201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03:23:47"},{"id":29,"name":"Sharepoint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5"/>
        <v>https://d0f6bd738d7f1b3e5a7ca70fe4ff75f0.us-east-1.aws.found.io/app/kibana#/discover/Steve-Slow-Train-Analysis-(2080s-and-2083s)?_g=(refreshInterval:(display:Off,pause:!f,section:0,value:0),time:(from:'2017-11-06T18:57:51-0700',mode:absolute,to:'2017-11-06T21:23:47-0700'))&amp;_a=(columns:!('Message%20ID',Summary),filters:!(),index:'emp_*',interval:auto,query:(query_string:(analyze_wildcard:!t,query:'%22rtdc.l.rtdc.4006%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856</v>
      </c>
      <c r="B202" s="7">
        <v>4005</v>
      </c>
      <c r="C202" s="21" t="s">
        <v>192</v>
      </c>
      <c r="D202" s="21" t="s">
        <v>606</v>
      </c>
      <c r="E202" s="13">
        <v>43045.891863425924</v>
      </c>
      <c r="F202" s="13">
        <v>43045.904976851853</v>
      </c>
      <c r="G202" s="7">
        <v>59</v>
      </c>
      <c r="H202" s="21" t="s">
        <v>1086</v>
      </c>
      <c r="I202" s="13">
        <v>43045.912511574075</v>
      </c>
      <c r="J202" s="7">
        <v>0</v>
      </c>
      <c r="K202" s="89" t="str">
        <f>IF(ISEVEN(B202),(B202-1)&amp;"/"&amp;B202,B202&amp;"/"&amp;(B202+1))</f>
        <v>4005/4006</v>
      </c>
      <c r="L202" s="185" t="str">
        <f>VLOOKUP(A202,'Trips&amp;Operators'!$C$1:$G$99911,5,FALSE)</f>
        <v>STAMBAUGH JAMES</v>
      </c>
      <c r="M202" s="6">
        <f>I202-F202</f>
        <v>7.5347222227719612E-3</v>
      </c>
      <c r="N202" s="7">
        <f>24*60*SUM($M202:$M202)</f>
        <v>10.850000000791624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-06T20:24:17-0700',mode:absolute,to:'2017-11-06T22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5.8613</v>
      </c>
      <c r="Z202" s="204">
        <f>RIGHT(H202,LEN(H202)-4)/10000</f>
        <v>6.7299999999999999E-2</v>
      </c>
      <c r="AA202" s="204">
        <f>ABS(Z202-Y202)</f>
        <v>5.7939999999999996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/stypes="app*4005*20171107*" /stext=" 04:.+((SYSTEM_STATE.+slice.+state.+changed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1"/>
        <v>"%USERPROFILE%\Documents\GitHub\eaglep3\Utilities\RefineRTDCRunTimes.py" --tripid 844-06 --locoid 4005 --swversion DE.1.0.9.0 --startMP 300:58613 --initTime 2017-11-06T21:24:17 --startdatetime 2017-11-06T21:43:10 --delay 59 --endMP 204:673 --enddatetime 2017-11-06T21:54:01 --enforcementcount 0 &gt;&gt;%USERPROFILE%\Documents\GitHub\eaglep3-reporting\EC\2017-11-06-refined-times.txt</v>
      </c>
      <c r="AI202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{"issue":{"subject":"","project_id":79,"tracker_id":40,"status_id":1,"priority_id":2,"assigned_to_id":338,"start_date":"2017-11-06","description":"","custom_fields":[{"id":1,"name":"Subdivision","value":"NW"},{"id":4,"name":"Milepost","value":"0.0673"},{"id":17,"name":"Train ID","value":"844-06"},{"id":16,"name":"Locomotive ID","value":"4005"},{"id":130,"name":"Impact","value":""},{"id":150,"name":"Time of Event (Mountain Time)","value":"21:54:01"},{"id":151,"name":"Denver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3"/>
        <v>start /low /b %USERPROFILE%\Documents\GitHub\eaglep3\Utilities\DownloadLogsFromS3.py --loco 4005 --day 2017-11-06</v>
      </c>
      <c r="AN202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"/>
        <v>https://d0f6bd738d7f1b3e5a7ca70fe4ff75f0.us-east-1.aws.found.io/app/kibana#/discover/Steve-Slow-Train-Analysis-(2080s-and-2083s)?_g=(refreshInterval:(display:Off,pause:!f,section:0,value:0),time:(from:'2017-11-06T20:24:17-0700',mode:absolute,to:'2017-11-06T22:54:01-0700'))&amp;_a=(columns:!('Message%20ID',Summary),filters:!(),index:'emp_*',interval:auto,query:(query_string:(analyze_wildcard:!t,query:'%22rtdc.l.rtdc.4005%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853</v>
      </c>
      <c r="B203" s="7">
        <v>4006</v>
      </c>
      <c r="C203" s="21" t="s">
        <v>192</v>
      </c>
      <c r="D203" s="21" t="s">
        <v>1087</v>
      </c>
      <c r="E203" s="13">
        <v>43045.877187500002</v>
      </c>
      <c r="F203" s="13">
        <v>43045.881724537037</v>
      </c>
      <c r="G203" s="7">
        <v>71</v>
      </c>
      <c r="H203" s="21" t="s">
        <v>1042</v>
      </c>
      <c r="I203" s="13">
        <v>43045.891006944446</v>
      </c>
      <c r="J203" s="7">
        <v>0</v>
      </c>
      <c r="K203" s="89" t="str">
        <f>IF(ISEVEN(B203),(B203-1)&amp;"/"&amp;B203,B203&amp;"/"&amp;(B203+1))</f>
        <v>4005/4006</v>
      </c>
      <c r="L203" s="185" t="str">
        <f>VLOOKUP(A203,'Trips&amp;Operators'!$C$1:$G$99911,5,FALSE)</f>
        <v>STAMBAUGH JAMES</v>
      </c>
      <c r="M203" s="6">
        <f>I203-F203</f>
        <v>9.2824074090458453E-3</v>
      </c>
      <c r="N203" s="7">
        <f>24*60*SUM($M203:$M203)</f>
        <v>13.366666669026017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-06T20:03:09-0700',mode:absolute,to:'2017-11-06T22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0.1</v>
      </c>
      <c r="Z203" s="204">
        <f>RIGHT(H203,LEN(H203)-4)/10000</f>
        <v>5.8925999999999998</v>
      </c>
      <c r="AA203" s="204">
        <f>ABS(Z203-Y203)</f>
        <v>5.7926000000000002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/stypes="app*4006*20171107*" /stext=" 04:.+((SYSTEM_STATE.+slice.+state.+changed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1"/>
        <v>"%USERPROFILE%\Documents\GitHub\eaglep3\Utilities\RefineRTDCRunTimes.py" --tripid 845-06 --locoid 4006 --swversion DE.1.0.9.0 --startMP 204:1000 --initTime 2017-11-06T21:03:09 --startdatetime 2017-11-06T21:09:41 --delay 71 --endMP 300:58926 --enddatetime 2017-11-06T21:23:03 --enforcementcount 0 &gt;&gt;%USERPROFILE%\Documents\GitHub\eaglep3-reporting\EC\2017-11-06-refined-times.txt</v>
      </c>
      <c r="AI203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{"issue":{"subject":"","project_id":79,"tracker_id":40,"status_id":1,"priority_id":2,"assigned_to_id":338,"start_date":"2017-11-06","description":"","custom_fields":[{"id":1,"name":"Subdivision","value":"NW"},{"id":4,"name":"Milepost","value":"5.8926"},{"id":17,"name":"Train ID","value":"845-06"},{"id":16,"name":"Locomotive ID","value":"4006"},{"id":130,"name":"Impact","value":""},{"id":150,"name":"Time of Event (Mountain Time)","value":"21:23:03"},{"id":151,"name":"Denver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3"/>
        <v>start /low /b %USERPROFILE%\Documents\GitHub\eaglep3\Utilities\DownloadLogsFromS3.py --loco 4006 --day 2017-11-06</v>
      </c>
      <c r="AN203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04:23:03"},{"id":29,"name":"Sharepoint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"/>
        <v>https://d0f6bd738d7f1b3e5a7ca70fe4ff75f0.us-east-1.aws.found.io/app/kibana#/discover/Steve-Slow-Train-Analysis-(2080s-and-2083s)?_g=(refreshInterval:(display:Off,pause:!f,section:0,value:0),time:(from:'2017-11-06T20:03:09-0700',mode:absolute,to:'2017-11-06T22:23:03-0700'))&amp;_a=(columns:!('Message%20ID',Summary),filters:!(),index:'emp_*',interval:auto,query:(query_string:(analyze_wildcard:!t,query:'%22rtdc.l.rtdc.4006%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861</v>
      </c>
      <c r="B204" s="7">
        <v>4005</v>
      </c>
      <c r="C204" s="21" t="s">
        <v>192</v>
      </c>
      <c r="D204" s="21" t="s">
        <v>1087</v>
      </c>
      <c r="E204" s="13">
        <v>43045.877187500002</v>
      </c>
      <c r="F204" s="13">
        <v>43045.946597222224</v>
      </c>
      <c r="G204" s="7">
        <v>71</v>
      </c>
      <c r="H204" s="21" t="s">
        <v>1042</v>
      </c>
      <c r="I204" s="13">
        <v>43045.954386574071</v>
      </c>
      <c r="J204" s="7">
        <v>0</v>
      </c>
      <c r="K204" s="89" t="str">
        <f>IF(ISEVEN(B204),(B204-1)&amp;"/"&amp;B204,B204&amp;"/"&amp;(B204+1))</f>
        <v>4005/4006</v>
      </c>
      <c r="L204" s="185" t="str">
        <f>VLOOKUP(A204,'Trips&amp;Operators'!$C$1:$G$99911,5,FALSE)</f>
        <v>STAMBAUGH JAMES</v>
      </c>
      <c r="M204" s="6">
        <f>I204-F204</f>
        <v>7.7893518464406952E-3</v>
      </c>
      <c r="N204" s="7">
        <f>24*60*SUM($M204:$M204)</f>
        <v>11.216666658874601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-06T20:03:09-0700',mode:absolute,to:'2017-11-06T23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v>5.8613</v>
      </c>
      <c r="Z204" s="204">
        <v>6.7299999999999999E-2</v>
      </c>
      <c r="AA204" s="204">
        <f>ABS(Z204-Y204)</f>
        <v>5.7939999999999996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846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/stypes="app*4005*20171107*" /stext=" 05:.+((SYSTEM_STATE.+slice.+state.+changed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ref="AH204" si="5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846-06 --locoid 4005 --swversion DE.1.0.9.0 --startMP 204:1000 --initTime 2017-11-06T21:03:09 --startdatetime 2017-11-06T22:43:06 --delay 71 --endMP 300:58926 --enddatetime 2017-11-06T22:54:19 --enforcementcount 0 &gt;&gt;%USERPROFILE%\Documents\GitHub\eaglep3-reporting\EC\2017-11-06-refined-times.txt</v>
      </c>
      <c r="AI204" s="96" t="str">
        <f t="shared" ref="AI204" si="5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{"issue":{"subject":"","project_id":79,"tracker_id":40,"status_id":1,"priority_id":2,"assigned_to_id":338,"start_date":"2017-11-06","description":"","custom_fields":[{"id":1,"name":"Subdivision","value":"NW"},{"id":4,"name":"Milepost","value":"0.0673"},{"id":17,"name":"Train ID","value":"846-06"},{"id":16,"name":"Locomotive ID","value":"4005"},{"id":130,"name":"Impact","value":""},{"id":150,"name":"Time of Event (Mountain Time)","value":"22:54:19"},{"id":151,"name":"Denver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53">"start /low /b "&amp;dls3logs&amp;" --loco "&amp;B204&amp;" --day "&amp;TEXT(F204,"YYYY-MM-DD")</f>
        <v>start /low /b %USERPROFILE%\Documents\GitHub\eaglep3\Utilities\DownloadLogsFromS3.py --loco 4005 --day 2017-11-06</v>
      </c>
      <c r="AN204" s="151" t="str">
        <f t="shared" ref="AN204" si="5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55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-06T20:03:09-0700',mode:absolute,to:'2017-11-06T23:54:19-0700'))&amp;_a=(columns:!('Message%20ID',Summary),filters:!(),index:'emp_*',interval:auto,query:(query_string:(analyze_wildcard:!t,query:'%22rtdc.l.rtdc.4005%22')),sort:!(Time.ISO8601,asc))</v>
      </c>
    </row>
    <row r="205" spans="1:91" s="20" customFormat="1" x14ac:dyDescent="0.3">
      <c r="A205" s="32" t="s">
        <v>666</v>
      </c>
      <c r="B205" s="7">
        <v>4006</v>
      </c>
      <c r="C205" s="21" t="s">
        <v>192</v>
      </c>
      <c r="D205" s="21" t="s">
        <v>1088</v>
      </c>
      <c r="E205" s="13">
        <v>43045.921377314815</v>
      </c>
      <c r="F205" s="13">
        <v>43045.92359953704</v>
      </c>
      <c r="G205" s="7">
        <v>64</v>
      </c>
      <c r="H205" s="21" t="s">
        <v>1089</v>
      </c>
      <c r="I205" s="13">
        <v>43045.932511574072</v>
      </c>
      <c r="J205" s="7">
        <v>0</v>
      </c>
      <c r="K205" s="89" t="str">
        <f>IF(ISEVEN(B205),(B205-1)&amp;"/"&amp;B205,B205&amp;"/"&amp;(B205+1))</f>
        <v>4005/4006</v>
      </c>
      <c r="L205" s="185" t="str">
        <f>VLOOKUP(A205,'Trips&amp;Operators'!$C$1:$G$99911,5,FALSE)</f>
        <v>STAMBAUGH JAMES</v>
      </c>
      <c r="M205" s="6">
        <f>I205-F205</f>
        <v>8.9120370321325026E-3</v>
      </c>
      <c r="N205" s="7">
        <f>24*60*SUM($M205:$M205)</f>
        <v>12.833333326270804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-06T21:06:47-0700',mode:absolute,to:'2017-11-06T23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9.3899999999999997E-2</v>
      </c>
      <c r="Z205" s="204">
        <f>RIGHT(H205,LEN(H205)-4)/10000</f>
        <v>5.8864999999999998</v>
      </c>
      <c r="AA205" s="204">
        <f>ABS(Z205-Y205)</f>
        <v>5.7926000000000002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/stypes="app*4006*20171107*" /stext=" 05:.+((SYSTEM_STATE.+slice.+state.+changed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1"/>
        <v>"%USERPROFILE%\Documents\GitHub\eaglep3\Utilities\RefineRTDCRunTimes.py" --tripid 847-06 --locoid 4006 --swversion DE.1.0.9.0 --startMP 204:939 --initTime 2017-11-06T22:06:47 --startdatetime 2017-11-06T22:09:59 --delay 64 --endMP 300:58865 --enddatetime 2017-11-06T22:22:49 --enforcementcount 0 &gt;&gt;%USERPROFILE%\Documents\GitHub\eaglep3-reporting\EC\2017-11-06-refined-times.txt</v>
      </c>
      <c r="AI205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{"issue":{"subject":"","project_id":79,"tracker_id":40,"status_id":1,"priority_id":2,"assigned_to_id":338,"start_date":"2017-11-06","description":"","custom_fields":[{"id":1,"name":"Subdivision","value":"NW"},{"id":4,"name":"Milepost","value":"5.8865"},{"id":17,"name":"Train ID","value":"847-06"},{"id":16,"name":"Locomotive ID","value":"4006"},{"id":130,"name":"Impact","value":""},{"id":150,"name":"Time of Event (Mountain Time)","value":"22:22:49"},{"id":151,"name":"Denver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3"/>
        <v>start /low /b %USERPROFILE%\Documents\GitHub\eaglep3\Utilities\DownloadLogsFromS3.py --loco 4006 --day 2017-11-06</v>
      </c>
      <c r="AN205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05:22:49"},{"id":29,"name":"Sharepoint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5"/>
        <v>https://d0f6bd738d7f1b3e5a7ca70fe4ff75f0.us-east-1.aws.found.io/app/kibana#/discover/Steve-Slow-Train-Analysis-(2080s-and-2083s)?_g=(refreshInterval:(display:Off,pause:!f,section:0,value:0),time:(from:'2017-11-06T21:06:47-0700',mode:absolute,to:'2017-11-06T23:22:49-0700'))&amp;_a=(columns:!('Message%20ID',Summary),filters:!(),index:'emp_*',interval:auto,query:(query_string:(analyze_wildcard:!t,query:'%22rtdc.l.rtdc.4006%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865</v>
      </c>
      <c r="B206" s="7">
        <v>4006</v>
      </c>
      <c r="C206" s="21" t="s">
        <v>192</v>
      </c>
      <c r="D206" s="21" t="s">
        <v>1090</v>
      </c>
      <c r="E206" s="13">
        <v>43045.960277777776</v>
      </c>
      <c r="F206" s="13">
        <v>43045.965138888889</v>
      </c>
      <c r="G206" s="7">
        <v>60</v>
      </c>
      <c r="H206" s="21" t="s">
        <v>1056</v>
      </c>
      <c r="I206" s="13">
        <v>43045.974421296298</v>
      </c>
      <c r="J206" s="7">
        <v>0</v>
      </c>
      <c r="K206" s="89" t="str">
        <f>IF(ISEVEN(B206),(B206-1)&amp;"/"&amp;B206,B206&amp;"/"&amp;(B206+1))</f>
        <v>4005/4006</v>
      </c>
      <c r="L206" s="185" t="str">
        <f>VLOOKUP(A206,'Trips&amp;Operators'!$C$1:$G$99911,5,FALSE)</f>
        <v>STAMBAUGH JAMES</v>
      </c>
      <c r="M206" s="6">
        <f>I206-F206</f>
        <v>9.2824074090458453E-3</v>
      </c>
      <c r="N206" s="7">
        <f>24*60*SUM($M206:$M206)</f>
        <v>13.366666669026017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-06T22:02:48-0700',mode:absolute,to:'2017-11-07T00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2</v>
      </c>
      <c r="Y206" s="204">
        <f>RIGHT(D206,LEN(D206)-4)/10000</f>
        <v>9.6500000000000002E-2</v>
      </c>
      <c r="Z206" s="204">
        <f>RIGHT(H206,LEN(H206)-4)/10000</f>
        <v>5.8921999999999999</v>
      </c>
      <c r="AA206" s="204">
        <f>ABS(Z206-Y206)</f>
        <v>5.7957000000000001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849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/stypes="app*4006*20171107*" /stext=" 06:.+((SYSTEM_STATE.+slice.+state.+changed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1"/>
        <v>"%USERPROFILE%\Documents\GitHub\eaglep3\Utilities\RefineRTDCRunTimes.py" --tripid 849-06 --locoid 4006 --swversion DE.1.0.9.0 --startMP 204:965 --initTime 2017-11-06T23:02:48 --startdatetime 2017-11-06T23:09:48 --delay 60 --endMP 300:58922 --enddatetime 2017-11-06T23:23:10 --enforcementcount 0 &gt;&gt;%USERPROFILE%\Documents\GitHub\eaglep3-reporting\EC\2017-11-06-refined-times.txt</v>
      </c>
      <c r="AI206" s="96" t="str">
        <f t="shared" si="22"/>
        <v>echo {"issue":{"subject":"","project_id":79,"tracker_id":40,"status_id":1,"priority_id":2,"assigned_to_id":338,"start_date":"2017-11-06","description":"","custom_fields":[{"id":1,"name":"Subdivision","value":"NW"},{"id":4,"name":"Milepost","value":"5.8922"},{"id":17,"name":"Train ID","value":"849-06"},{"id":16,"name":"Locomotive ID","value":"4006"},{"id":130,"name":"Impact","value":""},{"id":150,"name":"Time of Event (Mountain Time)","value":"23:23:10"},{"id":151,"name":"Denver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3"/>
        <v>start /low /b %USERPROFILE%\Documents\GitHub\eaglep3\Utilities\DownloadLogsFromS3.py --loco 4006 --day 2017-11-06</v>
      </c>
      <c r="AN206" s="151" t="str">
        <f t="shared" si="24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"/>
        <v>https://d0f6bd738d7f1b3e5a7ca70fe4ff75f0.us-east-1.aws.found.io/app/kibana#/discover/Steve-Slow-Train-Analysis-(2080s-and-2083s)?_g=(refreshInterval:(display:Off,pause:!f,section:0,value:0),time:(from:'2017-11-06T22:02:48-0700',mode:absolute,to:'2017-11-07T00:23:10-0700'))&amp;_a=(columns:!('Message%20ID',Summary),filters:!(),index:'emp_*',interval:auto,query:(query_string:(analyze_wildcard:!t,query:'%22rtdc.l.rtdc.4006%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838</v>
      </c>
      <c r="B207" s="7">
        <v>4036</v>
      </c>
      <c r="C207" s="21" t="s">
        <v>192</v>
      </c>
      <c r="D207" s="21" t="s">
        <v>626</v>
      </c>
      <c r="E207" s="13">
        <v>43045.781099537038</v>
      </c>
      <c r="F207" s="13">
        <v>43045.782939814817</v>
      </c>
      <c r="G207" s="7">
        <v>65</v>
      </c>
      <c r="H207" s="21" t="s">
        <v>994</v>
      </c>
      <c r="I207" s="13">
        <v>43045.79210648148</v>
      </c>
      <c r="J207" s="7">
        <v>0</v>
      </c>
      <c r="K207" s="89" t="str">
        <f>IF(ISEVEN(B207),(B207-1)&amp;"/"&amp;B207,B207&amp;"/"&amp;(B207+1))</f>
        <v>4035/4036</v>
      </c>
      <c r="L207" s="185" t="str">
        <f>VLOOKUP(A207,'Trips&amp;Operators'!$C$1:$G$99911,5,FALSE)</f>
        <v>ANDREA WILLIAMS</v>
      </c>
      <c r="M207" s="6">
        <f>I207-F207</f>
        <v>9.1666666630771942E-3</v>
      </c>
      <c r="N207" s="7">
        <f>24*60*SUM($M207:$M207)</f>
        <v>13.19999999483116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-06T17:44:47-0700',mode:absolute,to:'2017-11-06T20:00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-548</v>
      </c>
      <c r="Y207" s="204">
        <f>RIGHT(D207,LEN(D207)-4)/10000</f>
        <v>5.62E-2</v>
      </c>
      <c r="Z207" s="204">
        <f>RIGHT(H207,LEN(H207)-4)/10000</f>
        <v>2.3306</v>
      </c>
      <c r="AA207" s="204">
        <f>ABS(Z207-Y207)</f>
        <v>2.2744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/stypes="app*4036*20171107*" /stext=" 02:.+((SYSTEM_STATE.+slice.+state.+changed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ref="AH207:AH241" si="5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301-06 --locoid 4036 --swversion DE.1.0.9.0 --startMP 204:562 --initTime 2017-11-06T18:44:47 --startdatetime 2017-11-06T18:47:26 --delay 65 --endMP 300:23306 --enddatetime 2017-11-06T19:00:38 --enforcementcount 0 &gt;&gt;%USERPROFILE%\Documents\GitHub\eaglep3-reporting\EC\2017-11-06-refined-times.txt</v>
      </c>
      <c r="AI207" s="96" t="str">
        <f t="shared" ref="AI207:AI241" si="5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{"issue":{"subject":"","project_id":79,"tracker_id":40,"status_id":1,"priority_id":2,"assigned_to_id":338,"start_date":"2017-11-06","description":"","custom_fields":[{"id":1,"name":"Subdivision","value":"Other"},{"id":4,"name":"Milepost","value":"2.3306"},{"id":17,"name":"Train ID","value":"301-06"},{"id":16,"name":"Locomotive ID","value":"4036"},{"id":130,"name":"Impact","value":""},{"id":150,"name":"Time of Event (Mountain Time)","value":"19:00:38"},{"id":151,"name":"Denver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41" si="58">"start /low /b "&amp;dls3logs&amp;" --loco "&amp;B207&amp;" --day "&amp;TEXT(F207,"YYYY-MM-DD")</f>
        <v>start /low /b %USERPROFILE%\Documents\GitHub\eaglep3\Utilities\DownloadLogsFromS3.py --loco 4036 --day 2017-11-06</v>
      </c>
      <c r="AN207" s="151" t="str">
        <f t="shared" ref="AN207:AN241" si="59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41" si="60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-06T17:44:47-0700',mode:absolute,to:'2017-11-06T20:00:38-0700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668</v>
      </c>
      <c r="B208" s="7">
        <v>4051</v>
      </c>
      <c r="C208" s="21" t="s">
        <v>192</v>
      </c>
      <c r="D208" s="21" t="s">
        <v>995</v>
      </c>
      <c r="E208" s="13">
        <v>43045.14025462963</v>
      </c>
      <c r="F208" s="13">
        <v>43045.145266203705</v>
      </c>
      <c r="G208" s="7">
        <v>105</v>
      </c>
      <c r="H208" s="21" t="s">
        <v>996</v>
      </c>
      <c r="I208" s="13">
        <v>43045.150578703702</v>
      </c>
      <c r="J208" s="7">
        <v>0</v>
      </c>
      <c r="K208" s="89" t="str">
        <f>IF(ISEVEN(B208),(B208-1)&amp;"/"&amp;B208,B208&amp;"/"&amp;(B208+1))</f>
        <v>4051/4052</v>
      </c>
      <c r="L208" s="185" t="str">
        <f>VLOOKUP(A208,'Trips&amp;Operators'!$C$1:$G$99911,5,FALSE)</f>
        <v>STRICKLAND EVAN</v>
      </c>
      <c r="M208" s="6">
        <f>I208-F208</f>
        <v>5.3124999976716936E-3</v>
      </c>
      <c r="N208" s="7">
        <f>24*60*SUM($M208:$M208)</f>
        <v>7.6499999966472387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-06T02:21:58-0700',mode:absolute,to:'2017-11-06T04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2.3107000000000002</v>
      </c>
      <c r="Z208" s="204">
        <f>RIGHT(H208,LEN(H208)-4)/10000</f>
        <v>1.5800000000000002E-2</v>
      </c>
      <c r="AA208" s="204">
        <f>ABS(Z208-Y208)</f>
        <v>2.2949000000000002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/stypes="app*4051*20171106*" /stext=" 10:.+((SYSTEM_STATE.+slice.+state.+changed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56"/>
        <v>"%USERPROFILE%\Documents\GitHub\eaglep3\Utilities\RefineRTDCRunTimes.py" --tripid 302-06 --locoid 4051 --swversion DE.1.0.9.0 --startMP 300:23107 --initTime 2017-11-06T03:21:58 --startdatetime 2017-11-06T03:29:11 --delay 105 --endMP 204:158 --enddatetime 2017-11-06T03:36:50 --enforcementcount 0 &gt;&gt;%USERPROFILE%\Documents\GitHub\eaglep3-reporting\EC\2017-11-06-refined-times.txt</v>
      </c>
      <c r="AI208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{"issue":{"subject":"","project_id":79,"tracker_id":40,"status_id":1,"priority_id":2,"assigned_to_id":338,"start_date":"2017-11-06","description":"","custom_fields":[{"id":1,"name":"Subdivision","value":"Other"},{"id":4,"name":"Milepost","value":"0.0158"},{"id":17,"name":"Train ID","value":"302-06"},{"id":16,"name":"Locomotive ID","value":"4051"},{"id":130,"name":"Impact","value":""},{"id":150,"name":"Time of Event (Mountain Time)","value":"03:36:50"},{"id":151,"name":"Denver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58"/>
        <v>start /low /b %USERPROFILE%\Documents\GitHub\eaglep3\Utilities\DownloadLogsFromS3.py --loco 4051 --day 2017-11-06</v>
      </c>
      <c r="AN208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60"/>
        <v>https://d0f6bd738d7f1b3e5a7ca70fe4ff75f0.us-east-1.aws.found.io/app/kibana#/discover/Steve-Slow-Train-Analysis-(2080s-and-2083s)?_g=(refreshInterval:(display:Off,pause:!f,section:0,value:0),time:(from:'2017-11-06T02:21:58-0700',mode:absolute,to:'2017-11-06T04:36:50-0700'))&amp;_a=(columns:!('Message%20ID',Summary),filters:!(),index:'emp_*',interval:auto,query:(query_string:(analyze_wildcard:!t,query:'%22rtdc.l.rtdc.4051%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842</v>
      </c>
      <c r="B209" s="7">
        <v>4016</v>
      </c>
      <c r="C209" s="21" t="s">
        <v>192</v>
      </c>
      <c r="D209" s="21" t="s">
        <v>976</v>
      </c>
      <c r="E209" s="13">
        <v>43045.797673611109</v>
      </c>
      <c r="F209" s="13">
        <v>43045.79923611111</v>
      </c>
      <c r="G209" s="7">
        <v>61</v>
      </c>
      <c r="H209" s="21" t="s">
        <v>630</v>
      </c>
      <c r="I209" s="13">
        <v>43045.807222222225</v>
      </c>
      <c r="J209" s="7">
        <v>0</v>
      </c>
      <c r="K209" s="89" t="str">
        <f>IF(ISEVEN(B209),(B209-1)&amp;"/"&amp;B209,B209&amp;"/"&amp;(B209+1))</f>
        <v>4015/4016</v>
      </c>
      <c r="L209" s="185" t="str">
        <f>VLOOKUP(A209,'Trips&amp;Operators'!$C$1:$G$99911,5,FALSE)</f>
        <v>SAFIEF AEIMEN</v>
      </c>
      <c r="M209" s="6">
        <f>I209-F209</f>
        <v>7.9861111153149977E-3</v>
      </c>
      <c r="N209" s="7">
        <f>24*60*SUM($M209:$M209)</f>
        <v>11.500000006053597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-06T18:08:39-0700',mode:absolute,to:'2017-11-06T20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5.28E-2</v>
      </c>
      <c r="Z209" s="204">
        <f>RIGHT(H209,LEN(H209)-4)/10000</f>
        <v>2.3304</v>
      </c>
      <c r="AA209" s="204">
        <f>ABS(Z209-Y209)</f>
        <v>2.2776000000000001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s3://rtdc.mdm.uploadarchive.raw/RTDC4016/ "%USERPROFILE%\AppData\Local\Temp\OnboardLogs"\RTDC4016\2017-11-06 --exclude "*" --recursive --include "*20171106*" &amp; "%USERPROFILE%\Documents\GitHub\mrs-test-scripts\Headless Mode &amp; Sideloading\WalkAndUnGZ.bat" "%USERPROFILE%\AppData\Local\Temp\OnboardLogs"\RTDC4016\2017-11-06 &amp; aws s3 cp s3://rtdc.mdm.uploadarchive.raw/RTDC4016/ "%USERPROFILE%\AppData\Local\Temp\OnboardLogs"\RTDC4016\2017-11-07 --exclude "*" --recursive --include "*20171107*" &amp; "%USERPROFILE%\Documents\GitHub\mrs-test-scripts\Headless Mode &amp; Sideloading\WalkAndUnGZ.bat" "%USERPROFILE%\AppData\Local\Temp\OnboardLogs"\RTDC4016\2017-11-07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/stypes="app*4016*20171107*" /stext=" 02:.+((SYSTEM_STATE.+slice.+state.+changed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56"/>
        <v>"%USERPROFILE%\Documents\GitHub\eaglep3\Utilities\RefineRTDCRunTimes.py" --tripid 303-06 --locoid 4016 --swversion DE.1.0.9.0 --startMP 204:528 --initTime 2017-11-06T19:08:39 --startdatetime 2017-11-06T19:10:54 --delay 61 --endMP 300:23304 --enddatetime 2017-11-06T19:22:24 --enforcementcount 0 &gt;&gt;%USERPROFILE%\Documents\GitHub\eaglep3-reporting\EC\2017-11-06-refined-times.txt</v>
      </c>
      <c r="AI209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{"issue":{"subject":"","project_id":79,"tracker_id":40,"status_id":1,"priority_id":2,"assigned_to_id":338,"start_date":"2017-11-06","description":"","custom_fields":[{"id":1,"name":"Subdivision","value":"Other"},{"id":4,"name":"Milepost","value":"2.3304"},{"id":17,"name":"Train ID","value":"303-06"},{"id":16,"name":"Locomotive ID","value":"4016"},{"id":130,"name":"Impact","value":""},{"id":150,"name":"Time of Event (Mountain Time)","value":"19:22:24"},{"id":151,"name":"Denver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58"/>
        <v>start /low /b %USERPROFILE%\Documents\GitHub\eaglep3\Utilities\DownloadLogsFromS3.py --loco 4016 --day 2017-11-06</v>
      </c>
      <c r="AN209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60"/>
        <v>https://d0f6bd738d7f1b3e5a7ca70fe4ff75f0.us-east-1.aws.found.io/app/kibana#/discover/Steve-Slow-Train-Analysis-(2080s-and-2083s)?_g=(refreshInterval:(display:Off,pause:!f,section:0,value:0),time:(from:'2017-11-06T18:08:39-0700',mode:absolute,to:'2017-11-06T20:22:24-0700'))&amp;_a=(columns:!('Message%20ID',Summary),filters:!(),index:'emp_*',interval:auto,query:(query_string:(analyze_wildcard:!t,query:'%22rtdc.l.rtdc.4016%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672</v>
      </c>
      <c r="B210" s="7">
        <v>4049</v>
      </c>
      <c r="C210" s="21" t="s">
        <v>192</v>
      </c>
      <c r="D210" s="21" t="s">
        <v>997</v>
      </c>
      <c r="E210" s="13">
        <v>43045.164201388892</v>
      </c>
      <c r="F210" s="13">
        <v>43045.166909722226</v>
      </c>
      <c r="G210" s="7">
        <v>57</v>
      </c>
      <c r="H210" s="21" t="s">
        <v>347</v>
      </c>
      <c r="I210" s="13">
        <v>43045.171458333331</v>
      </c>
      <c r="J210" s="7">
        <v>0</v>
      </c>
      <c r="K210" s="89" t="str">
        <f>IF(ISEVEN(B210),(B210-1)&amp;"/"&amp;B210,B210&amp;"/"&amp;(B210+1))</f>
        <v>4049/4050</v>
      </c>
      <c r="L210" s="185" t="str">
        <f>VLOOKUP(A210,'Trips&amp;Operators'!$C$1:$G$99911,5,FALSE)</f>
        <v>YORK EDGAR</v>
      </c>
      <c r="M210" s="6">
        <f>I210-F210</f>
        <v>4.5486111048376188E-3</v>
      </c>
      <c r="N210" s="7">
        <f>24*60*SUM($M210:$M210)</f>
        <v>6.549999990966171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-06T02:56:27-0700',mode:absolute,to:'2017-11-06T05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2.2694000000000001</v>
      </c>
      <c r="Z210" s="204">
        <f>RIGHT(H210,LEN(H210)-4)/10000</f>
        <v>1.54E-2</v>
      </c>
      <c r="AA210" s="204">
        <f>ABS(Z210-Y210)</f>
        <v>2.254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/stypes="app*4049*20171106*" /stext=" 11:.+((SYSTEM_STATE.+slice.+state.+changed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56"/>
        <v>"%USERPROFILE%\Documents\GitHub\eaglep3\Utilities\RefineRTDCRunTimes.py" --tripid 304-06 --locoid 4049 --swversion DE.1.0.9.0 --startMP 300:22694 --initTime 2017-11-06T03:56:27 --startdatetime 2017-11-06T04:00:21 --delay 57 --endMP 204:154 --enddatetime 2017-11-06T04:06:54 --enforcementcount 0 &gt;&gt;%USERPROFILE%\Documents\GitHub\eaglep3-reporting\EC\2017-11-06-refined-times.txt</v>
      </c>
      <c r="AI210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{"issue":{"subject":"","project_id":79,"tracker_id":40,"status_id":1,"priority_id":2,"assigned_to_id":338,"start_date":"2017-11-06","description":"","custom_fields":[{"id":1,"name":"Subdivision","value":"Other"},{"id":4,"name":"Milepost","value":"0.0154"},{"id":17,"name":"Train ID","value":"304-06"},{"id":16,"name":"Locomotive ID","value":"4049"},{"id":130,"name":"Impact","value":""},{"id":150,"name":"Time of Event (Mountain Time)","value":"04:06:54"},{"id":151,"name":"Denver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58"/>
        <v>start /low /b %USERPROFILE%\Documents\GitHub\eaglep3\Utilities\DownloadLogsFromS3.py --loco 4049 --day 2017-11-06</v>
      </c>
      <c r="AN210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60"/>
        <v>https://d0f6bd738d7f1b3e5a7ca70fe4ff75f0.us-east-1.aws.found.io/app/kibana#/discover/Steve-Slow-Train-Analysis-(2080s-and-2083s)?_g=(refreshInterval:(display:Off,pause:!f,section:0,value:0),time:(from:'2017-11-06T02:56:27-0700',mode:absolute,to:'2017-11-06T05:06:54-0700'))&amp;_a=(columns:!('Message%20ID',Summary),filters:!(),index:'emp_*',interval:auto,query:(query_string:(analyze_wildcard:!t,query:'%22rtdc.l.rtdc.4049%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845</v>
      </c>
      <c r="B211" s="7">
        <v>4012</v>
      </c>
      <c r="C211" s="21" t="s">
        <v>192</v>
      </c>
      <c r="D211" s="21" t="s">
        <v>396</v>
      </c>
      <c r="E211" s="13">
        <v>43045.819398148145</v>
      </c>
      <c r="F211" s="13">
        <v>43045.82068287037</v>
      </c>
      <c r="G211" s="7">
        <v>54</v>
      </c>
      <c r="H211" s="21" t="s">
        <v>998</v>
      </c>
      <c r="I211" s="13">
        <v>43045.82744212963</v>
      </c>
      <c r="J211" s="7">
        <v>0</v>
      </c>
      <c r="K211" s="89" t="str">
        <f>IF(ISEVEN(B211),(B211-1)&amp;"/"&amp;B211,B211&amp;"/"&amp;(B211+1))</f>
        <v>4011/4012</v>
      </c>
      <c r="L211" s="185" t="str">
        <f>VLOOKUP(A211,'Trips&amp;Operators'!$C$1:$G$99911,5,FALSE)</f>
        <v>SMITH MICHAEL</v>
      </c>
      <c r="M211" s="6">
        <f>I211-F211</f>
        <v>6.7592592604341917E-3</v>
      </c>
      <c r="N211" s="7">
        <f>24*60*SUM($M211:$M211)</f>
        <v>9.733333335025236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-06T18:39:56-0700',mode:absolute,to:'2017-11-06T20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4.6600000000000003E-2</v>
      </c>
      <c r="Z211" s="204">
        <f>RIGHT(H211,LEN(H211)-4)/10000</f>
        <v>2.3311999999999999</v>
      </c>
      <c r="AA211" s="204">
        <f>ABS(Z211-Y211)</f>
        <v>2.2845999999999997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s3://rtdc.mdm.uploadarchive.raw/RTDC4012/ "%USERPROFILE%\AppData\Local\Temp\OnboardLogs"\RTDC4012\2017-11-06 --exclude "*" --recursive --include "*20171106*" &amp; "%USERPROFILE%\Documents\GitHub\mrs-test-scripts\Headless Mode &amp; Sideloading\WalkAndUnGZ.bat" "%USERPROFILE%\AppData\Local\Temp\OnboardLogs"\RTDC4012\2017-11-06 &amp; aws s3 cp s3://rtdc.mdm.uploadarchive.raw/RTDC4012/ "%USERPROFILE%\AppData\Local\Temp\OnboardLogs"\RTDC4012\2017-11-07 --exclude "*" --recursive --include "*20171107*" &amp; "%USERPROFILE%\Documents\GitHub\mrs-test-scripts\Headless Mode &amp; Sideloading\WalkAndUnGZ.bat" "%USERPROFILE%\AppData\Local\Temp\OnboardLogs"\RTDC4012\2017-11-07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/stypes="app*4012*20171107*" /stext=" 02:.+((SYSTEM_STATE.+slice.+state.+changed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56"/>
        <v>"%USERPROFILE%\Documents\GitHub\eaglep3\Utilities\RefineRTDCRunTimes.py" --tripid 305-06 --locoid 4012 --swversion DE.1.0.9.0 --startMP 204:466 --initTime 2017-11-06T19:39:56 --startdatetime 2017-11-06T19:41:47 --delay 54 --endMP 300:23312 --enddatetime 2017-11-06T19:51:31 --enforcementcount 0 &gt;&gt;%USERPROFILE%\Documents\GitHub\eaglep3-reporting\EC\2017-11-06-refined-times.txt</v>
      </c>
      <c r="AI211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{"issue":{"subject":"","project_id":79,"tracker_id":40,"status_id":1,"priority_id":2,"assigned_to_id":338,"start_date":"2017-11-06","description":"","custom_fields":[{"id":1,"name":"Subdivision","value":"Other"},{"id":4,"name":"Milepost","value":"2.3312"},{"id":17,"name":"Train ID","value":"305-06"},{"id":16,"name":"Locomotive ID","value":"4012"},{"id":130,"name":"Impact","value":""},{"id":150,"name":"Time of Event (Mountain Time)","value":"19:51:31"},{"id":151,"name":"Denver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58"/>
        <v>start /low /b %USERPROFILE%\Documents\GitHub\eaglep3\Utilities\DownloadLogsFromS3.py --loco 4012 --day 2017-11-06</v>
      </c>
      <c r="AN211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60"/>
        <v>https://d0f6bd738d7f1b3e5a7ca70fe4ff75f0.us-east-1.aws.found.io/app/kibana#/discover/Steve-Slow-Train-Analysis-(2080s-and-2083s)?_g=(refreshInterval:(display:Off,pause:!f,section:0,value:0),time:(from:'2017-11-06T18:39:56-0700',mode:absolute,to:'2017-11-06T20:51:31-0700'))&amp;_a=(columns:!('Message%20ID',Summary),filters:!(),index:'emp_*',interval:auto,query:(query_string:(analyze_wildcard:!t,query:'%22rtdc.l.rtdc.4012%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676</v>
      </c>
      <c r="B212" s="7">
        <v>4009</v>
      </c>
      <c r="C212" s="21" t="s">
        <v>192</v>
      </c>
      <c r="D212" s="21" t="s">
        <v>999</v>
      </c>
      <c r="E212" s="13">
        <v>43045.172824074078</v>
      </c>
      <c r="F212" s="13">
        <v>43045.176863425928</v>
      </c>
      <c r="G212" s="7">
        <v>77</v>
      </c>
      <c r="H212" s="21" t="s">
        <v>498</v>
      </c>
      <c r="I212" s="13">
        <v>43045.182453703703</v>
      </c>
      <c r="J212" s="7">
        <v>0</v>
      </c>
      <c r="K212" s="89" t="str">
        <f>IF(ISEVEN(B212),(B212-1)&amp;"/"&amp;B212,B212&amp;"/"&amp;(B212+1))</f>
        <v>4009/4010</v>
      </c>
      <c r="L212" s="185" t="str">
        <f>VLOOKUP(A212,'Trips&amp;Operators'!$C$1:$G$99911,5,FALSE)</f>
        <v>BARRON PERLA</v>
      </c>
      <c r="M212" s="6">
        <f>I212-F212</f>
        <v>5.5902777748997323E-3</v>
      </c>
      <c r="N212" s="7">
        <f>24*60*SUM($M212:$M212)</f>
        <v>8.0499999958556145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-06T03:08:52-0700',mode:absolute,to:'2017-11-06T05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2.3584000000000001</v>
      </c>
      <c r="Z212" s="204">
        <f>RIGHT(H212,LEN(H212)-4)/10000</f>
        <v>1.89E-2</v>
      </c>
      <c r="AA212" s="204">
        <f>ABS(Z212-Y212)</f>
        <v>2.3395000000000001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/stypes="app*4009*20171106*" /stext=" 11:.+((SYSTEM_STATE.+slice.+state.+changed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56"/>
        <v>"%USERPROFILE%\Documents\GitHub\eaglep3\Utilities\RefineRTDCRunTimes.py" --tripid 306-06 --locoid 4009 --swversion DE.1.0.9.0 --startMP 300:23584 --initTime 2017-11-06T04:08:52 --startdatetime 2017-11-06T04:14:41 --delay 77 --endMP 204:189 --enddatetime 2017-11-06T04:22:44 --enforcementcount 0 &gt;&gt;%USERPROFILE%\Documents\GitHub\eaglep3-reporting\EC\2017-11-06-refined-times.txt</v>
      </c>
      <c r="AI212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{"issue":{"subject":"","project_id":79,"tracker_id":40,"status_id":1,"priority_id":2,"assigned_to_id":338,"start_date":"2017-11-06","description":"","custom_fields":[{"id":1,"name":"Subdivision","value":"Other"},{"id":4,"name":"Milepost","value":"0.0189"},{"id":17,"name":"Train ID","value":"306-06"},{"id":16,"name":"Locomotive ID","value":"4009"},{"id":130,"name":"Impact","value":""},{"id":150,"name":"Time of Event (Mountain Time)","value":"04:22:44"},{"id":151,"name":"Denver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58"/>
        <v>start /low /b %USERPROFILE%\Documents\GitHub\eaglep3\Utilities\DownloadLogsFromS3.py --loco 4009 --day 2017-11-06</v>
      </c>
      <c r="AN212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60"/>
        <v>https://d0f6bd738d7f1b3e5a7ca70fe4ff75f0.us-east-1.aws.found.io/app/kibana#/discover/Steve-Slow-Train-Analysis-(2080s-and-2083s)?_g=(refreshInterval:(display:Off,pause:!f,section:0,value:0),time:(from:'2017-11-06T03:08:52-0700',mode:absolute,to:'2017-11-06T05:22:44-0700'))&amp;_a=(columns:!('Message%20ID',Summary),filters:!(),index:'emp_*',interval:auto,query:(query_string:(analyze_wildcard:!t,query:'%22rtdc.l.rtdc.4009%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677</v>
      </c>
      <c r="B213" s="7">
        <v>4035</v>
      </c>
      <c r="C213" s="21" t="s">
        <v>192</v>
      </c>
      <c r="D213" s="21" t="s">
        <v>1000</v>
      </c>
      <c r="E213" s="13">
        <v>43045.181284722225</v>
      </c>
      <c r="F213" s="13">
        <v>43045.185289351852</v>
      </c>
      <c r="G213" s="7">
        <v>65</v>
      </c>
      <c r="H213" s="21" t="s">
        <v>522</v>
      </c>
      <c r="I213" s="13">
        <v>43045.190763888888</v>
      </c>
      <c r="J213" s="7">
        <v>0</v>
      </c>
      <c r="K213" s="89" t="str">
        <f>IF(ISEVEN(B213),(B213-1)&amp;"/"&amp;B213,B213&amp;"/"&amp;(B213+1))</f>
        <v>4035/4036</v>
      </c>
      <c r="L213" s="185" t="str">
        <f>VLOOKUP(A213,'Trips&amp;Operators'!$C$1:$G$99911,5,FALSE)</f>
        <v>MAELZER KURT</v>
      </c>
      <c r="M213" s="6">
        <f>I213-F213</f>
        <v>5.4745370362070389E-3</v>
      </c>
      <c r="N213" s="7">
        <f>24*60*SUM($M213:$M213)</f>
        <v>7.883333332138136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-06T03:21:03-0700',mode:absolute,to:'2017-11-06T05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2</v>
      </c>
      <c r="Y213" s="204">
        <f>RIGHT(D213,LEN(D213)-4)/10000</f>
        <v>1.9795</v>
      </c>
      <c r="Z213" s="204">
        <f>RIGHT(H213,LEN(H213)-4)/10000</f>
        <v>1.43E-2</v>
      </c>
      <c r="AA213" s="204">
        <f>ABS(Z213-Y213)</f>
        <v>1.9652000000000001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s3://rtdc.mdm.uploadarchive.raw/RTDC4035/ "%USERPROFILE%\AppData\Local\Temp\OnboardLogs"\RTDC4035\2017-11-06 --exclude "*" --recursive --include "*20171106*" &amp; "%USERPROFILE%\Documents\GitHub\mrs-test-scripts\Headless Mode &amp; Sideloading\WalkAndUnGZ.bat" "%USERPROFILE%\AppData\Local\Temp\OnboardLogs"\RTDC4035\2017-11-06 &amp; aws s3 cp s3://rtdc.mdm.uploadarchive.raw/RTDC4035/ "%USERPROFILE%\AppData\Local\Temp\OnboardLogs"\RTDC4035\2017-11-07 --exclude "*" --recursive --include "*20171107*" &amp; "%USERPROFILE%\Documents\GitHub\mrs-test-scripts\Headless Mode &amp; Sideloading\WalkAndUnGZ.bat" "%USERPROFILE%\AppData\Local\Temp\OnboardLogs"\RTDC4035\2017-11-07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/stypes="app*4035*20171106*" /stext=" 11:.+((SYSTEM_STATE.+slice.+state.+changed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56"/>
        <v>"%USERPROFILE%\Documents\GitHub\eaglep3\Utilities\RefineRTDCRunTimes.py" --tripid 308-06 --locoid 4035 --swversion DE.1.0.9.0 --startMP 300:19795 --initTime 2017-11-06T04:21:03 --startdatetime 2017-11-06T04:26:49 --delay 65 --endMP 204:143 --enddatetime 2017-11-06T04:34:42 --enforcementcount 0 &gt;&gt;%USERPROFILE%\Documents\GitHub\eaglep3-reporting\EC\2017-11-06-refined-times.txt</v>
      </c>
      <c r="AI213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{"issue":{"subject":"","project_id":79,"tracker_id":40,"status_id":1,"priority_id":2,"assigned_to_id":338,"start_date":"2017-11-06","description":"","custom_fields":[{"id":1,"name":"Subdivision","value":"Other"},{"id":4,"name":"Milepost","value":"0.0143"},{"id":17,"name":"Train ID","value":"308-06"},{"id":16,"name":"Locomotive ID","value":"4035"},{"id":130,"name":"Impact","value":""},{"id":150,"name":"Time of Event (Mountain Time)","value":"04:34:42"},{"id":151,"name":"Denver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8"/>
        <v>start /low /b %USERPROFILE%\Documents\GitHub\eaglep3\Utilities\DownloadLogsFromS3.py --loco 4035 --day 2017-11-06</v>
      </c>
      <c r="AN213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60"/>
        <v>https://d0f6bd738d7f1b3e5a7ca70fe4ff75f0.us-east-1.aws.found.io/app/kibana#/discover/Steve-Slow-Train-Analysis-(2080s-and-2083s)?_g=(refreshInterval:(display:Off,pause:!f,section:0,value:0),time:(from:'2017-11-06T03:21:03-0700',mode:absolute,to:'2017-11-06T05:34:42-0700'))&amp;_a=(columns:!('Message%20ID',Summary),filters:!(),index:'emp_*',interval:auto,query:(query_string:(analyze_wildcard:!t,query:'%22rtdc.l.rtdc.4035%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877</v>
      </c>
      <c r="B214" s="7">
        <v>4010</v>
      </c>
      <c r="C214" s="21" t="s">
        <v>192</v>
      </c>
      <c r="D214" s="21" t="s">
        <v>1001</v>
      </c>
      <c r="E214" s="13">
        <v>43046.071192129632</v>
      </c>
      <c r="F214" s="13">
        <v>43046.072372685187</v>
      </c>
      <c r="G214" s="7">
        <v>55</v>
      </c>
      <c r="H214" s="21" t="s">
        <v>1002</v>
      </c>
      <c r="I214" s="13">
        <v>43046.080208333333</v>
      </c>
      <c r="J214" s="7">
        <v>0</v>
      </c>
      <c r="K214" s="89" t="str">
        <f>IF(ISEVEN(B214),(B214-1)&amp;"/"&amp;B214,B214&amp;"/"&amp;(B214+1))</f>
        <v>4009/4010</v>
      </c>
      <c r="L214" s="185" t="str">
        <f>VLOOKUP(A214,'Trips&amp;Operators'!$C$1:$G$99911,5,FALSE)</f>
        <v>RESPASS AARON</v>
      </c>
      <c r="M214" s="6">
        <f>I214-F214</f>
        <v>7.8356481462833472E-3</v>
      </c>
      <c r="N214" s="7">
        <f>24*60*SUM($M214:$M214)</f>
        <v>11.28333333064802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-07T00:42:31-0700',mode:absolute,to:'2017-11-07T02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6.3899999999999998E-2</v>
      </c>
      <c r="Z214" s="204">
        <f>RIGHT(H214,LEN(H214)-4)/10000</f>
        <v>2.3300999999999998</v>
      </c>
      <c r="AA214" s="204">
        <f>ABS(Z214-Y214)</f>
        <v>2.2662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 &amp; 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/stypes="app*4010*20171107*" /stext=" 08:.+((SYSTEM_STATE.+slice.+state.+changed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56"/>
        <v>"%USERPROFILE%\Documents\GitHub\eaglep3\Utilities\RefineRTDCRunTimes.py" --tripid 309-06 --locoid 4010 --swversion DE.1.0.9.0 --startMP 204:639 --initTime 2017-11-07T01:42:31 --startdatetime 2017-11-07T01:44:13 --delay 55 --endMP 300:23301 --enddatetime 2017-11-07T01:55:30 --enforcementcount 0 &gt;&gt;%USERPROFILE%\Documents\GitHub\eaglep3-reporting\EC\2017-11-06-refined-times.txt</v>
      </c>
      <c r="AI214" s="96" t="str">
        <f t="shared" si="57"/>
        <v>echo {"issue":{"subject":"","project_id":79,"tracker_id":40,"status_id":1,"priority_id":2,"assigned_to_id":338,"start_date":"2017-11-07","description":"","custom_fields":[{"id":1,"name":"Subdivision","value":"Other"},{"id":4,"name":"Milepost","value":"2.3301"},{"id":17,"name":"Train ID","value":"309-06"},{"id":16,"name":"Locomotive ID","value":"4010"},{"id":130,"name":"Impact","value":""},{"id":150,"name":"Time of Event (Mountain Time)","value":"01:55:30"},{"id":151,"name":"Denver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8"/>
        <v>start /low /b %USERPROFILE%\Documents\GitHub\eaglep3\Utilities\DownloadLogsFromS3.py --loco 4010 --day 2017-11-07</v>
      </c>
      <c r="AN214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60"/>
        <v>https://d0f6bd738d7f1b3e5a7ca70fe4ff75f0.us-east-1.aws.found.io/app/kibana#/discover/Steve-Slow-Train-Analysis-(2080s-and-2083s)?_g=(refreshInterval:(display:Off,pause:!f,section:0,value:0),time:(from:'2017-11-07T00:42:31-0700',mode:absolute,to:'2017-11-07T02:55:30-0700'))&amp;_a=(columns:!('Message%20ID',Summary),filters:!(),index:'emp_*',interval:auto,query:(query_string:(analyze_wildcard:!t,query:'%22rtdc.l.rtdc.4010%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683</v>
      </c>
      <c r="B215" s="7">
        <v>4015</v>
      </c>
      <c r="C215" s="21" t="s">
        <v>192</v>
      </c>
      <c r="D215" s="21" t="s">
        <v>1003</v>
      </c>
      <c r="E215" s="13">
        <v>43045.20175925926</v>
      </c>
      <c r="F215" s="13">
        <v>43045.204722222225</v>
      </c>
      <c r="G215" s="7">
        <v>80</v>
      </c>
      <c r="H215" s="21" t="s">
        <v>374</v>
      </c>
      <c r="I215" s="13">
        <v>43045.211354166669</v>
      </c>
      <c r="J215" s="7">
        <v>0</v>
      </c>
      <c r="K215" s="89" t="str">
        <f>IF(ISEVEN(B215),(B215-1)&amp;"/"&amp;B215,B215&amp;"/"&amp;(B215+1))</f>
        <v>4015/4016</v>
      </c>
      <c r="L215" s="185" t="str">
        <f>VLOOKUP(A215,'Trips&amp;Operators'!$C$1:$G$99911,5,FALSE)</f>
        <v>BIRENBAUM THOMAS</v>
      </c>
      <c r="M215" s="6">
        <f>I215-F215</f>
        <v>6.6319444449618459E-3</v>
      </c>
      <c r="N215" s="7">
        <f>24*60*SUM($M215:$M215)</f>
        <v>9.5500000007450581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-06T03:50:32-0700',mode:absolute,to:'2017-11-06T06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2.3201000000000001</v>
      </c>
      <c r="Z215" s="204">
        <f>RIGHT(H215,LEN(H215)-4)/10000</f>
        <v>1.61E-2</v>
      </c>
      <c r="AA215" s="204">
        <f>ABS(Z215-Y215)</f>
        <v>2.3040000000000003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s3://rtdc.mdm.uploadarchive.raw/RTDC4015/ "%USERPROFILE%\AppData\Local\Temp\OnboardLogs"\RTDC4015\2017-11-06 --exclude "*" --recursive --include "*20171106*" &amp; "%USERPROFILE%\Documents\GitHub\mrs-test-scripts\Headless Mode &amp; Sideloading\WalkAndUnGZ.bat" "%USERPROFILE%\AppData\Local\Temp\OnboardLogs"\RTDC4015\2017-11-06 &amp; aws s3 cp s3://rtdc.mdm.uploadarchive.raw/RTDC4015/ "%USERPROFILE%\AppData\Local\Temp\OnboardLogs"\RTDC4015\2017-11-07 --exclude "*" --recursive --include "*20171107*" &amp; "%USERPROFILE%\Documents\GitHub\mrs-test-scripts\Headless Mode &amp; Sideloading\WalkAndUnGZ.bat" "%USERPROFILE%\AppData\Local\Temp\OnboardLogs"\RTDC4015\2017-11-07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/stypes="app*4015*20171106*" /stext=" 12:.+((SYSTEM_STATE.+slice.+state.+changed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56"/>
        <v>"%USERPROFILE%\Documents\GitHub\eaglep3\Utilities\RefineRTDCRunTimes.py" --tripid 310-06 --locoid 4015 --swversion DE.1.0.9.0 --startMP 300:23201 --initTime 2017-11-06T04:50:32 --startdatetime 2017-11-06T04:54:48 --delay 80 --endMP 204:161 --enddatetime 2017-11-06T05:04:21 --enforcementcount 0 &gt;&gt;%USERPROFILE%\Documents\GitHub\eaglep3-reporting\EC\2017-11-06-refined-times.txt</v>
      </c>
      <c r="AI215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{"issue":{"subject":"","project_id":79,"tracker_id":40,"status_id":1,"priority_id":2,"assigned_to_id":338,"start_date":"2017-11-06","description":"","custom_fields":[{"id":1,"name":"Subdivision","value":"Other"},{"id":4,"name":"Milepost","value":"0.0161"},{"id":17,"name":"Train ID","value":"310-06"},{"id":16,"name":"Locomotive ID","value":"4015"},{"id":130,"name":"Impact","value":""},{"id":150,"name":"Time of Event (Mountain Time)","value":"05:04:21"},{"id":151,"name":"Denver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8"/>
        <v>start /low /b %USERPROFILE%\Documents\GitHub\eaglep3\Utilities\DownloadLogsFromS3.py --loco 4015 --day 2017-11-06</v>
      </c>
      <c r="AN215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60"/>
        <v>https://d0f6bd738d7f1b3e5a7ca70fe4ff75f0.us-east-1.aws.found.io/app/kibana#/discover/Steve-Slow-Train-Analysis-(2080s-and-2083s)?_g=(refreshInterval:(display:Off,pause:!f,section:0,value:0),time:(from:'2017-11-06T03:50:32-0700',mode:absolute,to:'2017-11-06T06:04:21-0700'))&amp;_a=(columns:!('Message%20ID',Summary),filters:!(),index:'emp_*',interval:auto,query:(query_string:(analyze_wildcard:!t,query:'%22rtdc.l.rtdc.4015%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878</v>
      </c>
      <c r="B216" s="7">
        <v>4050</v>
      </c>
      <c r="C216" s="21" t="s">
        <v>192</v>
      </c>
      <c r="D216" s="21" t="s">
        <v>533</v>
      </c>
      <c r="E216" s="13">
        <v>43046.09033564815</v>
      </c>
      <c r="F216" s="13">
        <v>43046.092546296299</v>
      </c>
      <c r="G216" s="7">
        <v>99</v>
      </c>
      <c r="H216" s="21" t="s">
        <v>994</v>
      </c>
      <c r="I216" s="13">
        <v>43046.103587962964</v>
      </c>
      <c r="J216" s="7">
        <v>0</v>
      </c>
      <c r="K216" s="89" t="str">
        <f>IF(ISEVEN(B216),(B216-1)&amp;"/"&amp;B216,B216&amp;"/"&amp;(B216+1))</f>
        <v>4049/4050</v>
      </c>
      <c r="L216" s="185" t="str">
        <f>VLOOKUP(A216,'Trips&amp;Operators'!$C$1:$G$99911,5,FALSE)</f>
        <v>WILLIAMS DONTE</v>
      </c>
      <c r="M216" s="6">
        <f>I216-F216</f>
        <v>1.1041666664823424E-2</v>
      </c>
      <c r="N216" s="7">
        <f>24*60*SUM($M216:$M216)</f>
        <v>15.899999997345731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-07T01:10:05-0700',mode:absolute,to:'2017-11-07T03:29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5.1999999999999998E-2</v>
      </c>
      <c r="Z216" s="204">
        <f>RIGHT(H216,LEN(H216)-4)/10000</f>
        <v>2.3306</v>
      </c>
      <c r="AA216" s="204">
        <f>ABS(Z216-Y216)</f>
        <v>2.2786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 &amp; 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/stypes="app*4050*20171107*" /stext=" 09:.+((SYSTEM_STATE.+slice.+state.+changed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56"/>
        <v>"%USERPROFILE%\Documents\GitHub\eaglep3\Utilities\RefineRTDCRunTimes.py" --tripid 311-06 --locoid 4050 --swversion DE.1.0.9.0 --startMP 204:520 --initTime 2017-11-07T02:10:05 --startdatetime 2017-11-07T02:13:16 --delay 99 --endMP 300:23306 --enddatetime 2017-11-07T02:29:10 --enforcementcount 0 &gt;&gt;%USERPROFILE%\Documents\GitHub\eaglep3-reporting\EC\2017-11-06-refined-times.txt</v>
      </c>
      <c r="AI216" s="96" t="str">
        <f t="shared" si="57"/>
        <v>echo {"issue":{"subject":"","project_id":79,"tracker_id":40,"status_id":1,"priority_id":2,"assigned_to_id":338,"start_date":"2017-11-07","description":"","custom_fields":[{"id":1,"name":"Subdivision","value":"Other"},{"id":4,"name":"Milepost","value":"2.3306"},{"id":17,"name":"Train ID","value":"311-06"},{"id":16,"name":"Locomotive ID","value":"4050"},{"id":130,"name":"Impact","value":""},{"id":150,"name":"Time of Event (Mountain Time)","value":"02:29:10"},{"id":151,"name":"Denver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58"/>
        <v>start /low /b %USERPROFILE%\Documents\GitHub\eaglep3\Utilities\DownloadLogsFromS3.py --loco 4050 --day 2017-11-07</v>
      </c>
      <c r="AN216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09:29:10"},{"id":29,"name":"Sharepoint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60"/>
        <v>https://d0f6bd738d7f1b3e5a7ca70fe4ff75f0.us-east-1.aws.found.io/app/kibana#/discover/Steve-Slow-Train-Analysis-(2080s-and-2083s)?_g=(refreshInterval:(display:Off,pause:!f,section:0,value:0),time:(from:'2017-11-07T01:10:05-0700',mode:absolute,to:'2017-11-07T03:29:10-0700'))&amp;_a=(columns:!('Message%20ID',Summary),filters:!(),index:'emp_*',interval:auto,query:(query_string:(analyze_wildcard:!t,query:'%22rtdc.l.rtdc.4050%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688</v>
      </c>
      <c r="B217" s="7">
        <v>4011</v>
      </c>
      <c r="C217" s="21" t="s">
        <v>192</v>
      </c>
      <c r="D217" s="21" t="s">
        <v>1004</v>
      </c>
      <c r="E217" s="13">
        <v>43045.224814814814</v>
      </c>
      <c r="F217" s="13">
        <v>43045.228819444441</v>
      </c>
      <c r="G217" s="7">
        <v>79</v>
      </c>
      <c r="H217" s="21" t="s">
        <v>531</v>
      </c>
      <c r="I217" s="13">
        <v>43045.233726851853</v>
      </c>
      <c r="J217" s="7">
        <v>0</v>
      </c>
      <c r="K217" s="89" t="str">
        <f>IF(ISEVEN(B217),(B217-1)&amp;"/"&amp;B217,B217&amp;"/"&amp;(B217+1))</f>
        <v>4011/4012</v>
      </c>
      <c r="L217" s="185" t="str">
        <f>VLOOKUP(A217,'Trips&amp;Operators'!$C$1:$G$99911,5,FALSE)</f>
        <v>LAMAR NEKESHA</v>
      </c>
      <c r="M217" s="6">
        <f>I217-F217</f>
        <v>4.9074074122472666E-3</v>
      </c>
      <c r="N217" s="7">
        <f>24*60*SUM($M217:$M217)</f>
        <v>7.0666666736360639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-06T04:23:44-0700',mode:absolute,to:'2017-11-06T06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2.2513999999999998</v>
      </c>
      <c r="Z217" s="204">
        <f>RIGHT(H217,LEN(H217)-4)/10000</f>
        <v>1.6500000000000001E-2</v>
      </c>
      <c r="AA217" s="204">
        <f>ABS(Z217-Y217)</f>
        <v>2.2348999999999997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/stypes="app*4011*20171106*" /stext=" 12:.+((SYSTEM_STATE.+slice.+state.+changed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56"/>
        <v>"%USERPROFILE%\Documents\GitHub\eaglep3\Utilities\RefineRTDCRunTimes.py" --tripid 312-06 --locoid 4011 --swversion DE.1.0.9.0 --startMP 300:22514 --initTime 2017-11-06T05:23:44 --startdatetime 2017-11-06T05:29:30 --delay 79 --endMP 204:165 --enddatetime 2017-11-06T05:36:34 --enforcementcount 0 &gt;&gt;%USERPROFILE%\Documents\GitHub\eaglep3-reporting\EC\2017-11-06-refined-times.txt</v>
      </c>
      <c r="AI217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{"issue":{"subject":"","project_id":79,"tracker_id":40,"status_id":1,"priority_id":2,"assigned_to_id":338,"start_date":"2017-11-06","description":"","custom_fields":[{"id":1,"name":"Subdivision","value":"Other"},{"id":4,"name":"Milepost","value":"0.0165"},{"id":17,"name":"Train ID","value":"312-06"},{"id":16,"name":"Locomotive ID","value":"4011"},{"id":130,"name":"Impact","value":""},{"id":150,"name":"Time of Event (Mountain Time)","value":"05:36:34"},{"id":151,"name":"Denver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58"/>
        <v>start /low /b %USERPROFILE%\Documents\GitHub\eaglep3\Utilities\DownloadLogsFromS3.py --loco 4011 --day 2017-11-06</v>
      </c>
      <c r="AN217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60"/>
        <v>https://d0f6bd738d7f1b3e5a7ca70fe4ff75f0.us-east-1.aws.found.io/app/kibana#/discover/Steve-Slow-Train-Analysis-(2080s-and-2083s)?_g=(refreshInterval:(display:Off,pause:!f,section:0,value:0),time:(from:'2017-11-06T04:23:44-0700',mode:absolute,to:'2017-11-06T06:36:34-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873</v>
      </c>
      <c r="B218" s="7">
        <v>4004</v>
      </c>
      <c r="C218" s="21" t="s">
        <v>192</v>
      </c>
      <c r="D218" s="21" t="s">
        <v>614</v>
      </c>
      <c r="E218" s="13">
        <v>43046.026226851849</v>
      </c>
      <c r="F218" s="13">
        <v>43046.028275462966</v>
      </c>
      <c r="G218" s="7">
        <v>115</v>
      </c>
      <c r="H218" s="21" t="s">
        <v>631</v>
      </c>
      <c r="I218" s="13">
        <v>43046.036516203705</v>
      </c>
      <c r="J218" s="7">
        <v>0</v>
      </c>
      <c r="K218" s="89" t="str">
        <f>IF(ISEVEN(B218),(B218-1)&amp;"/"&amp;B218,B218&amp;"/"&amp;(B218+1))</f>
        <v>4003/4004</v>
      </c>
      <c r="L218" s="185" t="str">
        <f>VLOOKUP(A218,'Trips&amp;Operators'!$C$1:$G$99911,5,FALSE)</f>
        <v>ELBAUM MIKE</v>
      </c>
      <c r="M218" s="6">
        <f>I218-F218</f>
        <v>8.2407407389837317E-3</v>
      </c>
      <c r="N218" s="7">
        <f>24*60*SUM($M218:$M218)</f>
        <v>11.866666664136574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-06T23:37:46-0700',mode:absolute,to:'2017-11-07T01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5.8999999999999997E-2</v>
      </c>
      <c r="Z218" s="204">
        <f>RIGHT(H218,LEN(H218)-4)/10000</f>
        <v>2.3313999999999999</v>
      </c>
      <c r="AA218" s="204">
        <f>ABS(Z218-Y218)</f>
        <v>2.2723999999999998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 &amp; 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/stypes="app*4004*20171107*" /stext=" 07:.+((SYSTEM_STATE.+slice.+state.+changed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56"/>
        <v>"%USERPROFILE%\Documents\GitHub\eaglep3\Utilities\RefineRTDCRunTimes.py" --tripid 313-06 --locoid 4004 --swversion DE.1.0.9.0 --startMP 204:590 --initTime 2017-11-07T00:37:46 --startdatetime 2017-11-07T00:40:43 --delay 115 --endMP 300:23314 --enddatetime 2017-11-07T00:52:35 --enforcementcount 0 &gt;&gt;%USERPROFILE%\Documents\GitHub\eaglep3-reporting\EC\2017-11-06-refined-times.txt</v>
      </c>
      <c r="AI218" s="96" t="str">
        <f t="shared" si="57"/>
        <v>echo {"issue":{"subject":"","project_id":79,"tracker_id":40,"status_id":1,"priority_id":2,"assigned_to_id":338,"start_date":"2017-11-07","description":"","custom_fields":[{"id":1,"name":"Subdivision","value":"Other"},{"id":4,"name":"Milepost","value":"2.3314"},{"id":17,"name":"Train ID","value":"313-06"},{"id":16,"name":"Locomotive ID","value":"4004"},{"id":130,"name":"Impact","value":""},{"id":150,"name":"Time of Event (Mountain Time)","value":"00:52:35"},{"id":151,"name":"Denver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58"/>
        <v>start /low /b %USERPROFILE%\Documents\GitHub\eaglep3\Utilities\DownloadLogsFromS3.py --loco 4004 --day 2017-11-07</v>
      </c>
      <c r="AN218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60"/>
        <v>https://d0f6bd738d7f1b3e5a7ca70fe4ff75f0.us-east-1.aws.found.io/app/kibana#/discover/Steve-Slow-Train-Analysis-(2080s-and-2083s)?_g=(refreshInterval:(display:Off,pause:!f,section:0,value:0),time:(from:'2017-11-06T23:37:46-0700',mode:absolute,to:'2017-11-07T01:52:35-0700'))&amp;_a=(columns:!('Message%20ID',Summary),filters:!(),index:'emp_*',interval:auto,query:(query_string:(analyze_wildcard:!t,query:'%22rtdc.l.rtdc.4004%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681</v>
      </c>
      <c r="B219" s="7">
        <v>4018</v>
      </c>
      <c r="C219" s="21" t="s">
        <v>192</v>
      </c>
      <c r="D219" s="21" t="s">
        <v>1091</v>
      </c>
      <c r="E219" s="13">
        <v>43045.196770833332</v>
      </c>
      <c r="F219" s="13">
        <v>43045.200162037036</v>
      </c>
      <c r="G219" s="7">
        <v>71</v>
      </c>
      <c r="H219" s="21" t="s">
        <v>608</v>
      </c>
      <c r="I219" s="13">
        <v>43045.205740740741</v>
      </c>
      <c r="J219" s="7">
        <v>0</v>
      </c>
      <c r="K219" s="89" t="str">
        <f>IF(ISEVEN(B219),(B219-1)&amp;"/"&amp;B219,B219&amp;"/"&amp;(B219+1))</f>
        <v>4017/4018</v>
      </c>
      <c r="L219" s="185" t="str">
        <f>VLOOKUP(A219,'Trips&amp;Operators'!$C$1:$G$99911,5,FALSE)</f>
        <v>MACDONALD THOMAS</v>
      </c>
      <c r="M219" s="6">
        <f>I219-F219</f>
        <v>5.5787037053960375E-3</v>
      </c>
      <c r="N219" s="7">
        <f>24*60*SUM($M219:$M219)</f>
        <v>8.0333333357702941</v>
      </c>
      <c r="O219" s="7"/>
      <c r="P219" s="7"/>
      <c r="Q219" s="22"/>
      <c r="R219" s="174"/>
      <c r="S219" s="221">
        <f>1/IF(AG219="EC",12,1)*SUM(U219:U219)</f>
        <v>0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-06T03:43:21-0700',mode:absolute,to:'2017-11-06T05:56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588</v>
      </c>
      <c r="Y219" s="204">
        <f>RIGHT(D219,LEN(D219)-4)/10000</f>
        <v>2.9664999999999999</v>
      </c>
      <c r="Z219" s="204">
        <f>RIGHT(H219,LEN(H219)-4)/10000</f>
        <v>5.8933</v>
      </c>
      <c r="AA219" s="204">
        <f>ABS(Z219-Y219)</f>
        <v>2.9268000000000001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/stypes="app*4018*20171106*" /stext=" 11:.+((SYSTEM_STATE.+slice.+state.+changed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56"/>
        <v>"%USERPROFILE%\Documents\GitHub\eaglep3\Utilities\RefineRTDCRunTimes.py" --tripid 901-06 --locoid 4018 --swversion DE.1.0.9.0 --startMP 300:29665 --initTime 2017-11-06T04:43:21 --startdatetime 2017-11-06T04:48:14 --delay 71 --endMP 300:58933 --enddatetime 2017-11-06T04:56:16 --enforcementcount 0 &gt;&gt;%USERPROFILE%\Documents\GitHub\eaglep3-reporting\EC\2017-11-06-refined-times.txt</v>
      </c>
      <c r="AI219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{"issue":{"subject":"","project_id":79,"tracker_id":40,"status_id":1,"priority_id":2,"assigned_to_id":338,"start_date":"2017-11-06","description":"","custom_fields":[{"id":1,"name":"Subdivision","value":"Other"},{"id":4,"name":"Milepost","value":"5.8933"},{"id":17,"name":"Train ID","value":"901-06"},{"id":16,"name":"Locomotive ID","value":"4018"},{"id":130,"name":"Impact","value":""},{"id":150,"name":"Time of Event (Mountain Time)","value":"04:56:16"},{"id":151,"name":"Denver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58"/>
        <v>start /low /b %USERPROFILE%\Documents\GitHub\eaglep3\Utilities\DownloadLogsFromS3.py --loco 4018 --day 2017-11-06</v>
      </c>
      <c r="AN219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11:56:16"},{"id":29,"name":"Sharepoint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60"/>
        <v>https://d0f6bd738d7f1b3e5a7ca70fe4ff75f0.us-east-1.aws.found.io/app/kibana#/discover/Steve-Slow-Train-Analysis-(2080s-and-2083s)?_g=(refreshInterval:(display:Off,pause:!f,section:0,value:0),time:(from:'2017-11-06T03:43:21-0700',mode:absolute,to:'2017-11-06T05:56:16-0700'))&amp;_a=(columns:!('Message%20ID',Summary),filters:!(),index:'emp_*',interval:auto,query:(query_string:(analyze_wildcard:!t,query:'%22rtdc.l.rtdc.4018%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693</v>
      </c>
      <c r="B220" s="7">
        <v>4005</v>
      </c>
      <c r="C220" s="21" t="s">
        <v>192</v>
      </c>
      <c r="D220" s="21" t="s">
        <v>1092</v>
      </c>
      <c r="E220" s="13">
        <v>43045.233124999999</v>
      </c>
      <c r="F220" s="13">
        <v>43045.241388888891</v>
      </c>
      <c r="G220" s="7">
        <v>74</v>
      </c>
      <c r="H220" s="21" t="s">
        <v>1086</v>
      </c>
      <c r="I220" s="13">
        <v>43045.246851851851</v>
      </c>
      <c r="J220" s="7">
        <v>0</v>
      </c>
      <c r="K220" s="89" t="str">
        <f>IF(ISEVEN(B220),(B220-1)&amp;"/"&amp;B220,B220&amp;"/"&amp;(B220+1))</f>
        <v>4005/4006</v>
      </c>
      <c r="L220" s="185" t="str">
        <f>VLOOKUP(A220,'Trips&amp;Operators'!$C$1:$G$99911,5,FALSE)</f>
        <v>YANAI IAN</v>
      </c>
      <c r="M220" s="6">
        <f>I220-F220</f>
        <v>5.4629629594273865E-3</v>
      </c>
      <c r="N220" s="7">
        <f>24*60*SUM($M220:$M220)</f>
        <v>7.8666666615754366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-06T04:35:42-0700',mode:absolute,to:'2017-11-06T06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2.3727999999999998</v>
      </c>
      <c r="Z220" s="204">
        <f>RIGHT(H220,LEN(H220)-4)/10000</f>
        <v>6.7299999999999999E-2</v>
      </c>
      <c r="AA220" s="204">
        <f>ABS(Z220-Y220)</f>
        <v>2.3054999999999999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/stypes="app*4005*20171106*" /stext=" 12:.+((SYSTEM_STATE.+slice.+state.+changed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56"/>
        <v>"%USERPROFILE%\Documents\GitHub\eaglep3\Utilities\RefineRTDCRunTimes.py" --tripid 902-06 --locoid 4005 --swversion DE.1.0.9.0 --startMP 300:23728 --initTime 2017-11-06T05:35:42 --startdatetime 2017-11-06T05:47:36 --delay 74 --endMP 204:673 --enddatetime 2017-11-06T05:55:28 --enforcementcount 0 &gt;&gt;%USERPROFILE%\Documents\GitHub\eaglep3-reporting\EC\2017-11-06-refined-times.txt</v>
      </c>
      <c r="AI220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{"issue":{"subject":"","project_id":79,"tracker_id":40,"status_id":1,"priority_id":2,"assigned_to_id":338,"start_date":"2017-11-06","description":"","custom_fields":[{"id":1,"name":"Subdivision","value":"Other"},{"id":4,"name":"Milepost","value":"0.0673"},{"id":17,"name":"Train ID","value":"902-06"},{"id":16,"name":"Locomotive ID","value":"4005"},{"id":130,"name":"Impact","value":""},{"id":150,"name":"Time of Event (Mountain Time)","value":"05:55:28"},{"id":151,"name":"Denver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58"/>
        <v>start /low /b %USERPROFILE%\Documents\GitHub\eaglep3\Utilities\DownloadLogsFromS3.py --loco 4005 --day 2017-11-06</v>
      </c>
      <c r="AN220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12:55:28"},{"id":29,"name":"Sharepoint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60"/>
        <v>https://d0f6bd738d7f1b3e5a7ca70fe4ff75f0.us-east-1.aws.found.io/app/kibana#/discover/Steve-Slow-Train-Analysis-(2080s-and-2083s)?_g=(refreshInterval:(display:Off,pause:!f,section:0,value:0),time:(from:'2017-11-06T04:35:42-0700',mode:absolute,to:'2017-11-06T06:55:28-0700'))&amp;_a=(columns:!('Message%20ID',Summary),filters:!(),index:'emp_*',interval:auto,query:(query_string:(analyze_wildcard:!t,query:'%22rtdc.l.rtdc.4005%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726</v>
      </c>
      <c r="B221" s="7">
        <v>4018</v>
      </c>
      <c r="C221" s="21" t="s">
        <v>192</v>
      </c>
      <c r="D221" s="21" t="s">
        <v>1093</v>
      </c>
      <c r="E221" s="13">
        <v>43045.351967592593</v>
      </c>
      <c r="F221" s="13">
        <v>43045.352858796294</v>
      </c>
      <c r="G221" s="7">
        <v>45</v>
      </c>
      <c r="H221" s="21" t="s">
        <v>1094</v>
      </c>
      <c r="I221" s="13">
        <v>43045.35800925926</v>
      </c>
      <c r="J221" s="7">
        <v>0</v>
      </c>
      <c r="K221" s="89" t="str">
        <f>IF(ISEVEN(B221),(B221-1)&amp;"/"&amp;B221,B221&amp;"/"&amp;(B221+1))</f>
        <v>4017/4018</v>
      </c>
      <c r="L221" s="185" t="str">
        <f>VLOOKUP(A221,'Trips&amp;Operators'!$C$1:$G$99911,5,FALSE)</f>
        <v>MACDONALD THOMAS</v>
      </c>
      <c r="M221" s="6">
        <f>I221-F221</f>
        <v>5.1504629664123058E-3</v>
      </c>
      <c r="N221" s="7">
        <f>24*60*SUM($M221:$M221)</f>
        <v>7.4166666716337204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-06T07:26:50-0700',mode:absolute,to:'2017-11-06T09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0.1095</v>
      </c>
      <c r="Z221" s="204">
        <f>RIGHT(H221,LEN(H221)-4)/10000</f>
        <v>2.4205000000000001</v>
      </c>
      <c r="AA221" s="204">
        <f>ABS(Z221-Y221)</f>
        <v>2.3109999999999999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/stypes="app*4018*20171106*" /stext=" 15:.+((SYSTEM_STATE.+slice.+state.+changed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56"/>
        <v>"%USERPROFILE%\Documents\GitHub\eaglep3\Utilities\RefineRTDCRunTimes.py" --tripid 903-06 --locoid 4018 --swversion DE.1.0.9.0 --startMP 204:1095 --initTime 2017-11-06T08:26:50 --startdatetime 2017-11-06T08:28:07 --delay 45 --endMP 300:24205 --enddatetime 2017-11-06T08:35:32 --enforcementcount 0 &gt;&gt;%USERPROFILE%\Documents\GitHub\eaglep3-reporting\EC\2017-11-06-refined-times.txt</v>
      </c>
      <c r="AI221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{"issue":{"subject":"","project_id":79,"tracker_id":40,"status_id":1,"priority_id":2,"assigned_to_id":338,"start_date":"2017-11-06","description":"","custom_fields":[{"id":1,"name":"Subdivision","value":"Other"},{"id":4,"name":"Milepost","value":"2.4205"},{"id":17,"name":"Train ID","value":"903-06"},{"id":16,"name":"Locomotive ID","value":"4018"},{"id":130,"name":"Impact","value":""},{"id":150,"name":"Time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58"/>
        <v>start /low /b %USERPROFILE%\Documents\GitHub\eaglep3\Utilities\DownloadLogsFromS3.py --loco 4018 --day 2017-11-06</v>
      </c>
      <c r="AN221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15:35:32"},{"id":29,"name":"Sharepoint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60"/>
        <v>https://d0f6bd738d7f1b3e5a7ca70fe4ff75f0.us-east-1.aws.found.io/app/kibana#/discover/Steve-Slow-Train-Analysis-(2080s-and-2083s)?_g=(refreshInterval:(display:Off,pause:!f,section:0,value:0),time:(from:'2017-11-06T07:26:50-0700',mode:absolute,to:'2017-11-06T09:35:32-0700'))&amp;_a=(columns:!('Message%20ID',Summary),filters:!(),index:'emp_*',interval:auto,query:(query_string:(analyze_wildcard:!t,query:'%22rtdc.l.rtdc.4018%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793</v>
      </c>
      <c r="B222" s="7">
        <v>4017</v>
      </c>
      <c r="C222" s="21" t="s">
        <v>192</v>
      </c>
      <c r="D222" s="21" t="s">
        <v>1095</v>
      </c>
      <c r="E222" s="13">
        <v>43045.63480324074</v>
      </c>
      <c r="F222" s="13">
        <v>43045.638692129629</v>
      </c>
      <c r="G222" s="7">
        <v>100</v>
      </c>
      <c r="H222" s="21" t="s">
        <v>1073</v>
      </c>
      <c r="I222" s="13">
        <v>43045.643518518518</v>
      </c>
      <c r="J222" s="7">
        <v>0</v>
      </c>
      <c r="K222" s="89" t="str">
        <f>IF(ISEVEN(B222),(B222-1)&amp;"/"&amp;B222,B222&amp;"/"&amp;(B222+1))</f>
        <v>4017/4018</v>
      </c>
      <c r="L222" s="185" t="str">
        <f>VLOOKUP(A222,'Trips&amp;Operators'!$C$1:$G$99911,5,FALSE)</f>
        <v>STAMBAUGH JAMES</v>
      </c>
      <c r="M222" s="6">
        <f>I222-F222</f>
        <v>4.8263888893416151E-3</v>
      </c>
      <c r="N222" s="7">
        <f>24*60*SUM($M222:$M222)</f>
        <v>6.9500000006519258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-06T14:14:07-0700',mode:absolute,to:'2017-11-06T16:26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2.3599000000000001</v>
      </c>
      <c r="Z222" s="204">
        <f>RIGHT(H222,LEN(H222)-4)/10000</f>
        <v>6.8500000000000005E-2</v>
      </c>
      <c r="AA222" s="204">
        <f>ABS(Z222-Y222)</f>
        <v>2.2914000000000003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/stypes="app*4017*20171106*" /stext=" 22:.+((SYSTEM_STATE.+slice.+state.+changed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56"/>
        <v>"%USERPROFILE%\Documents\GitHub\eaglep3\Utilities\RefineRTDCRunTimes.py" --tripid 904-06 --locoid 4017 --swversion DE.1.0.9.0 --startMP 300:23599 --initTime 2017-11-06T15:14:07 --startdatetime 2017-11-06T15:19:43 --delay 100 --endMP 204:685 --enddatetime 2017-11-06T15:26:40 --enforcementcount 0 &gt;&gt;%USERPROFILE%\Documents\GitHub\eaglep3-reporting\EC\2017-11-06-refined-times.txt</v>
      </c>
      <c r="AI222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{"issue":{"subject":"","project_id":79,"tracker_id":40,"status_id":1,"priority_id":2,"assigned_to_id":338,"start_date":"2017-11-06","description":"","custom_fields":[{"id":1,"name":"Subdivision","value":"Other"},{"id":4,"name":"Milepost","value":"0.0685"},{"id":17,"name":"Train ID","value":"904-06"},{"id":16,"name":"Locomotive ID","value":"4017"},{"id":130,"name":"Impact","value":""},{"id":150,"name":"Time of Event (Mountain Time)","value":"15:26:40"},{"id":151,"name":"Denver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58"/>
        <v>start /low /b %USERPROFILE%\Documents\GitHub\eaglep3\Utilities\DownloadLogsFromS3.py --loco 4017 --day 2017-11-06</v>
      </c>
      <c r="AN222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22:26:40"},{"id":29,"name":"Sharepoint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60"/>
        <v>https://d0f6bd738d7f1b3e5a7ca70fe4ff75f0.us-east-1.aws.found.io/app/kibana#/discover/Steve-Slow-Train-Analysis-(2080s-and-2083s)?_g=(refreshInterval:(display:Off,pause:!f,section:0,value:0),time:(from:'2017-11-06T14:14:07-0700',mode:absolute,to:'2017-11-06T16:26:40-0700'))&amp;_a=(columns:!('Message%20ID',Summary),filters:!(),index:'emp_*',interval:auto,query:(query_string:(analyze_wildcard:!t,query:'%22rtdc.l.rtdc.4017%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839</v>
      </c>
      <c r="B223" s="7">
        <v>4017</v>
      </c>
      <c r="C223" s="21" t="s">
        <v>192</v>
      </c>
      <c r="D223" s="21" t="s">
        <v>1033</v>
      </c>
      <c r="E223" s="13">
        <v>43045.787581018521</v>
      </c>
      <c r="F223" s="13">
        <v>43045.788773148146</v>
      </c>
      <c r="G223" s="7">
        <v>50</v>
      </c>
      <c r="H223" s="21" t="s">
        <v>1096</v>
      </c>
      <c r="I223" s="13">
        <v>43045.794745370367</v>
      </c>
      <c r="J223" s="7">
        <v>0</v>
      </c>
      <c r="K223" s="89" t="str">
        <f>IF(ISEVEN(B223),(B223-1)&amp;"/"&amp;B223,B223&amp;"/"&amp;(B223+1))</f>
        <v>4017/4018</v>
      </c>
      <c r="L223" s="185" t="str">
        <f>VLOOKUP(A223,'Trips&amp;Operators'!$C$1:$G$99911,5,FALSE)</f>
        <v>STAMBAUGH JAMES</v>
      </c>
      <c r="M223" s="6">
        <f>I223-F223</f>
        <v>5.9722222213167697E-3</v>
      </c>
      <c r="N223" s="7">
        <f>24*60*SUM($M223:$M223)</f>
        <v>8.5999999986961484</v>
      </c>
      <c r="O223" s="7"/>
      <c r="P223" s="7"/>
      <c r="Q223" s="22"/>
      <c r="R223" s="174"/>
      <c r="S223" s="221">
        <f>1/IF(AG223="EC",12,1)*SUM(U223:U223)</f>
        <v>0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-06T17:54:07-0700',mode:absolute,to:'2017-11-06T20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2</v>
      </c>
      <c r="Y223" s="204">
        <f>RIGHT(D223,LEN(D223)-4)/10000</f>
        <v>5.8619000000000003</v>
      </c>
      <c r="Z223" s="204">
        <f>RIGHT(H223,LEN(H223)-4)/10000</f>
        <v>2.8791000000000002</v>
      </c>
      <c r="AA223" s="204">
        <f>ABS(Z223-Y223)</f>
        <v>2.9828000000000001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/stypes="app*4017*20171107*" /stext=" 02:.+((SYSTEM_STATE.+slice.+state.+changed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56"/>
        <v>"%USERPROFILE%\Documents\GitHub\eaglep3\Utilities\RefineRTDCRunTimes.py" --tripid 906-06 --locoid 4017 --swversion DE.1.0.9.0 --startMP 300:58619 --initTime 2017-11-06T18:54:07 --startdatetime 2017-11-06T18:55:50 --delay 50 --endMP 300:28791 --enddatetime 2017-11-06T19:04:26 --enforcementcount 0 &gt;&gt;%USERPROFILE%\Documents\GitHub\eaglep3-reporting\EC\2017-11-06-refined-times.txt</v>
      </c>
      <c r="AI223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{"issue":{"subject":"","project_id":79,"tracker_id":40,"status_id":1,"priority_id":2,"assigned_to_id":338,"start_date":"2017-11-06","description":"","custom_fields":[{"id":1,"name":"Subdivision","value":"Other"},{"id":4,"name":"Milepost","value":"2.8791"},{"id":17,"name":"Train ID","value":"906-06"},{"id":16,"name":"Locomotive ID","value":"4017"},{"id":130,"name":"Impact","value":""},{"id":150,"name":"Time of Event (Mountain Time)","value":"19:04:26"},{"id":151,"name":"Denver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58"/>
        <v>start /low /b %USERPROFILE%\Documents\GitHub\eaglep3\Utilities\DownloadLogsFromS3.py --loco 4017 --day 2017-11-06</v>
      </c>
      <c r="AN223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60"/>
        <v>https://d0f6bd738d7f1b3e5a7ca70fe4ff75f0.us-east-1.aws.found.io/app/kibana#/discover/Steve-Slow-Train-Analysis-(2080s-and-2083s)?_g=(refreshInterval:(display:Off,pause:!f,section:0,value:0),time:(from:'2017-11-06T17:54:07-0700',mode:absolute,to:'2017-11-06T20:04:26-0700'))&amp;_a=(columns:!('Message%20ID',Summary),filters:!(),index:'emp_*',interval:auto,query:(query_string:(analyze_wildcard:!t,query:'%22rtdc.l.rtdc.4017%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868</v>
      </c>
      <c r="B224" s="7">
        <v>4005</v>
      </c>
      <c r="C224" s="21" t="s">
        <v>192</v>
      </c>
      <c r="D224" s="21" t="s">
        <v>604</v>
      </c>
      <c r="E224" s="13">
        <v>43045.975069444445</v>
      </c>
      <c r="F224" s="13">
        <v>43045.97619212963</v>
      </c>
      <c r="G224" s="7">
        <v>61</v>
      </c>
      <c r="H224" s="21" t="s">
        <v>1097</v>
      </c>
      <c r="I224" s="13">
        <v>43045.982395833336</v>
      </c>
      <c r="J224" s="7">
        <v>0</v>
      </c>
      <c r="K224" s="89" t="str">
        <f>IF(ISEVEN(B224),(B224-1)&amp;"/"&amp;B224,B224&amp;"/"&amp;(B224+1))</f>
        <v>4005/4006</v>
      </c>
      <c r="L224" s="185" t="str">
        <f>VLOOKUP(A224,'Trips&amp;Operators'!$C$1:$G$99911,5,FALSE)</f>
        <v>STAMBAUGH JAMES</v>
      </c>
      <c r="M224" s="6">
        <f>I224-F224</f>
        <v>6.2037037059781142E-3</v>
      </c>
      <c r="N224" s="7">
        <f>24*60*SUM($M224:$M224)</f>
        <v>8.9333333366084844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-06T22:24:06-0700',mode:absolute,to:'2017-11-07T00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2</v>
      </c>
      <c r="Y224" s="204">
        <f>RIGHT(D224,LEN(D224)-4)/10000</f>
        <v>5.8609</v>
      </c>
      <c r="Z224" s="204">
        <f>RIGHT(H224,LEN(H224)-4)/10000</f>
        <v>2.8774000000000002</v>
      </c>
      <c r="AA224" s="204">
        <f>ABS(Z224-Y224)</f>
        <v>2.9834999999999998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>VALUE(LEFT(A224,LEN(A224)-3))</f>
        <v>908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/stypes="app*4005*20171107*" /stext=" 06:.+((SYSTEM_STATE.+slice.+state.+changed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56"/>
        <v>"%USERPROFILE%\Documents\GitHub\eaglep3\Utilities\RefineRTDCRunTimes.py" --tripid 908-06 --locoid 4005 --swversion DE.1.0.9.0 --startMP 300:58609 --initTime 2017-11-06T23:24:06 --startdatetime 2017-11-06T23:25:43 --delay 61 --endMP 300:28774 --enddatetime 2017-11-06T23:34:39 --enforcementcount 0 &gt;&gt;%USERPROFILE%\Documents\GitHub\eaglep3-reporting\EC\2017-11-06-refined-times.txt</v>
      </c>
      <c r="AI224" s="96" t="str">
        <f t="shared" si="57"/>
        <v>echo {"issue":{"subject":"","project_id":79,"tracker_id":40,"status_id":1,"priority_id":2,"assigned_to_id":338,"start_date":"2017-11-06","description":"","custom_fields":[{"id":1,"name":"Subdivision","value":"Other"},{"id":4,"name":"Milepost","value":"2.8774"},{"id":17,"name":"Train ID","value":"908-06"},{"id":16,"name":"Locomotive ID","value":"4005"},{"id":130,"name":"Impact","value":""},{"id":150,"name":"Time of Event (Mountain Time)","value":"23:34:39"},{"id":151,"name":"Denver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58"/>
        <v>start /low /b %USERPROFILE%\Documents\GitHub\eaglep3\Utilities\DownloadLogsFromS3.py --loco 4005 --day 2017-11-06</v>
      </c>
      <c r="AN224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60"/>
        <v>https://d0f6bd738d7f1b3e5a7ca70fe4ff75f0.us-east-1.aws.found.io/app/kibana#/discover/Steve-Slow-Train-Analysis-(2080s-and-2083s)?_g=(refreshInterval:(display:Off,pause:!f,section:0,value:0),time:(from:'2017-11-06T22:24:06-0700',mode:absolute,to:'2017-11-07T00:34:39-0700'))&amp;_a=(columns:!('Message%20ID',Summary),filters:!(),index:'emp_*',interval:auto,query:(query_string:(analyze_wildcard:!t,query:'%22rtdc.l.rtdc.4005%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667</v>
      </c>
      <c r="B225" s="7">
        <v>4032</v>
      </c>
      <c r="C225" s="21" t="s">
        <v>192</v>
      </c>
      <c r="D225" s="21" t="s">
        <v>553</v>
      </c>
      <c r="E225" s="13">
        <v>43045.12158564815</v>
      </c>
      <c r="F225" s="13">
        <v>43045.138854166667</v>
      </c>
      <c r="G225" s="7">
        <v>82</v>
      </c>
      <c r="H225" s="21" t="s">
        <v>1005</v>
      </c>
      <c r="I225" s="13">
        <v>43045.139988425923</v>
      </c>
      <c r="J225" s="7">
        <v>0</v>
      </c>
      <c r="K225" s="89" t="str">
        <f>IF(ISEVEN(B225),(B225-1)&amp;"/"&amp;B225,B225&amp;"/"&amp;(B225+1))</f>
        <v>4031/4032</v>
      </c>
      <c r="L225" s="185" t="str">
        <f>VLOOKUP(A225,'Trips&amp;Operators'!$C$1:$G$99911,5,FALSE)</f>
        <v>SPECTOR MICHAEL</v>
      </c>
      <c r="M225" s="6">
        <f>I225-F225</f>
        <v>1.1342592551955022E-3</v>
      </c>
      <c r="N225" s="7">
        <f>24*60*SUM($M225:$M225)</f>
        <v>1.6333333274815232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-06T01:55:05-0700',mode:absolute,to:'2017-11-06T04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-857</v>
      </c>
      <c r="Y225" s="204">
        <f>RIGHT(D225,LEN(D225)-4)/10000</f>
        <v>5.0599999999999999E-2</v>
      </c>
      <c r="Z225" s="204">
        <f>RIGHT(H225,LEN(H225)-4)/10000</f>
        <v>0.35599999999999998</v>
      </c>
      <c r="AA225" s="204">
        <f>ABS(Z225-Y225)</f>
        <v>0.3054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>VALUE(LEFT(A225,LEN(A225)-3))</f>
        <v>51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/stypes="app*4032*20171106*" /stext=" 10:.+((SYSTEM_STATE.+slice.+state.+changed )|(ment ac)|(multiple cpu faults)|(system.+state.+changed )|(\[timeout)|(PRM\|1\|D)|(kpr)|(kdp)|(train st.+moving)|(\|lc)|(penalty))"</v>
      </c>
      <c r="AG225" s="182" t="str">
        <f>DetSubdiv(A225)</f>
        <v>Shuttle/Test</v>
      </c>
      <c r="AH225" s="78" t="str">
        <f t="shared" si="56"/>
        <v>"%USERPROFILE%\Documents\GitHub\eaglep3\Utilities\RefineRTDCRunTimes.py" --tripid 51-06 --locoid 4032 --swversion DE.1.0.9.0 --startMP 204:506 --initTime 2017-11-06T02:55:05 --startdatetime 2017-11-06T03:19:57 --delay 82 --endMP 204:3560 --enddatetime 2017-11-06T03:21:35 --enforcementcount 0 &gt;&gt;%USERPROFILE%\Documents\GitHub\eaglep3-reporting\EC\2017-11-06-refined-times.txt</v>
      </c>
      <c r="AI225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0.356"},{"id":17,"name":"Train ID","value":"51-06"},{"id":16,"name":"Locomotive ID","value":"4032"},{"id":130,"name":"Impact","value":""},{"id":150,"name":"Time of Event (Mountain Time)","value":"03:21:35"},{"id":151,"name":"Denver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58"/>
        <v>start /low /b %USERPROFILE%\Documents\GitHub\eaglep3\Utilities\DownloadLogsFromS3.py --loco 4032 --day 2017-11-06</v>
      </c>
      <c r="AN225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60"/>
        <v>https://d0f6bd738d7f1b3e5a7ca70fe4ff75f0.us-east-1.aws.found.io/app/kibana#/discover/Steve-Slow-Train-Analysis-(2080s-and-2083s)?_g=(refreshInterval:(display:Off,pause:!f,section:0,value:0),time:(from:'2017-11-06T01:55:05-0700',mode:absolute,to:'2017-11-06T04:21:35-0700'))&amp;_a=(columns:!('Message%20ID',Summary),filters:!(),index:'emp_*',interval:auto,query:(query_string:(analyze_wildcard:!t,query:'%22rtdc.l.rtdc.4032%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667</v>
      </c>
      <c r="B226" s="7">
        <v>4032</v>
      </c>
      <c r="C226" s="21" t="s">
        <v>192</v>
      </c>
      <c r="D226" s="21" t="s">
        <v>1006</v>
      </c>
      <c r="E226" s="13">
        <v>43045.297476851854</v>
      </c>
      <c r="F226" s="13">
        <v>43045.306192129632</v>
      </c>
      <c r="G226" s="7">
        <v>134</v>
      </c>
      <c r="H226" s="21" t="s">
        <v>1007</v>
      </c>
      <c r="I226" s="13">
        <v>43045.306956018518</v>
      </c>
      <c r="J226" s="7">
        <v>0</v>
      </c>
      <c r="K226" s="89" t="str">
        <f>IF(ISEVEN(B226),(B226-1)&amp;"/"&amp;B226,B226&amp;"/"&amp;(B226+1))</f>
        <v>4031/4032</v>
      </c>
      <c r="L226" s="185" t="str">
        <f>VLOOKUP(A226,'Trips&amp;Operators'!$C$1:$G$99911,5,FALSE)</f>
        <v>SPECTOR MICHAEL</v>
      </c>
      <c r="M226" s="6">
        <f>I226-F226</f>
        <v>7.6388888555811718E-4</v>
      </c>
      <c r="N226" s="7">
        <f>24*60*SUM($M226:$M226)</f>
        <v>1.0999999952036887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-06T06:08:22-0700',mode:absolute,to:'2017-11-06T08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0</v>
      </c>
      <c r="Y226" s="204">
        <f>RIGHT(D226,LEN(D226)-4)/10000</f>
        <v>0.14979999999999999</v>
      </c>
      <c r="Z226" s="204">
        <f>RIGHT(H226,LEN(H226)-4)/10000</f>
        <v>0.35420000000000001</v>
      </c>
      <c r="AA226" s="204">
        <f>ABS(Z226-Y226)</f>
        <v>0.20440000000000003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>VALUE(LEFT(A226,LEN(A226)-3))</f>
        <v>51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/stypes="app*4032*20171106*" /stext=" 14:.+((SYSTEM_STATE.+slice.+state.+changed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56"/>
        <v>"%USERPROFILE%\Documents\GitHub\eaglep3\Utilities\RefineRTDCRunTimes.py" --tripid 51-06 --locoid 4032 --swversion DE.1.0.9.0 --startMP 204:1498 --initTime 2017-11-06T07:08:22 --startdatetime 2017-11-06T07:20:55 --delay 134 --endMP 204:3542 --enddatetime 2017-11-06T07:22:01 --enforcementcount 0 &gt;&gt;%USERPROFILE%\Documents\GitHub\eaglep3-reporting\EC\2017-11-06-refined-times.txt</v>
      </c>
      <c r="AI226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0.3542"},{"id":17,"name":"Train ID","value":"51-06"},{"id":16,"name":"Locomotive ID","value":"4032"},{"id":130,"name":"Impact","value":""},{"id":150,"name":"Time of Event (Mountain Time)","value":"07:22:01"},{"id":151,"name":"Denver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58"/>
        <v>start /low /b %USERPROFILE%\Documents\GitHub\eaglep3\Utilities\DownloadLogsFromS3.py --loco 4032 --day 2017-11-06</v>
      </c>
      <c r="AN226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60"/>
        <v>https://d0f6bd738d7f1b3e5a7ca70fe4ff75f0.us-east-1.aws.found.io/app/kibana#/discover/Steve-Slow-Train-Analysis-(2080s-and-2083s)?_g=(refreshInterval:(display:Off,pause:!f,section:0,value:0),time:(from:'2017-11-06T06:08:22-0700',mode:absolute,to:'2017-11-06T08:22:01-0700'))&amp;_a=(columns:!('Message%20ID',Summary),filters:!(),index:'emp_*',interval:auto,query:(query_string:(analyze_wildcard:!t,query:'%22rtdc.l.rtdc.4032%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667</v>
      </c>
      <c r="B227" s="7">
        <v>4066</v>
      </c>
      <c r="C227" s="21" t="s">
        <v>192</v>
      </c>
      <c r="D227" s="21" t="s">
        <v>1008</v>
      </c>
      <c r="E227" s="13">
        <v>43045.379513888889</v>
      </c>
      <c r="F227" s="13">
        <v>43045.381203703706</v>
      </c>
      <c r="G227" s="7">
        <v>82</v>
      </c>
      <c r="H227" s="21" t="s">
        <v>1005</v>
      </c>
      <c r="I227" s="13">
        <v>43045.382037037038</v>
      </c>
      <c r="J227" s="7">
        <v>0</v>
      </c>
      <c r="K227" s="89" t="str">
        <f>IF(ISEVEN(B227),(B227-1)&amp;"/"&amp;B227,B227&amp;"/"&amp;(B227+1))</f>
        <v>4065/4066</v>
      </c>
      <c r="L227" s="185" t="str">
        <f>VLOOKUP(A227,'Trips&amp;Operators'!$C$1:$G$99911,5,FALSE)</f>
        <v>SPECTOR MICHAEL</v>
      </c>
      <c r="M227" s="6">
        <f>I227-F227</f>
        <v>8.3333333168411627E-4</v>
      </c>
      <c r="N227" s="7">
        <f>24*60*SUM($M227:$M227)</f>
        <v>1.1999999976251274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-06T08:06:30-0700',mode:absolute,to:'2017-11-06T10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0</v>
      </c>
      <c r="Y227" s="204">
        <f>RIGHT(D227,LEN(D227)-4)/10000</f>
        <v>0.1143</v>
      </c>
      <c r="Z227" s="204">
        <f>RIGHT(H227,LEN(H227)-4)/10000</f>
        <v>0.35599999999999998</v>
      </c>
      <c r="AA227" s="204">
        <f>ABS(Z227-Y227)</f>
        <v>0.24169999999999997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s3://rtdc.mdm.uploadarchive.raw/RTDC4066/ "%USERPROFILE%\AppData\Local\Temp\OnboardLogs"\RTDC4066\2017-11-06 --exclude "*" --recursive --include "*20171106*" &amp; "%USERPROFILE%\Documents\GitHub\mrs-test-scripts\Headless Mode &amp; Sideloading\WalkAndUnGZ.bat" "%USERPROFILE%\AppData\Local\Temp\OnboardLogs"\RTDC4066\2017-11-06 &amp; 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/stypes="app*4066*20171106*" /stext=" 16:.+((SYSTEM_STATE.+slice.+state.+changed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56"/>
        <v>"%USERPROFILE%\Documents\GitHub\eaglep3\Utilities\RefineRTDCRunTimes.py" --tripid 51-06 --locoid 4066 --swversion DE.1.0.9.0 --startMP 204:1143 --initTime 2017-11-06T09:06:30 --startdatetime 2017-11-06T09:08:56 --delay 82 --endMP 204:3560 --enddatetime 2017-11-06T09:10:08 --enforcementcount 0 &gt;&gt;%USERPROFILE%\Documents\GitHub\eaglep3-reporting\EC\2017-11-06-refined-times.txt</v>
      </c>
      <c r="AI227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0.356"},{"id":17,"name":"Train ID","value":"51-06"},{"id":16,"name":"Locomotive ID","value":"4066"},{"id":130,"name":"Impact","value":""},{"id":150,"name":"Time of Event (Mountain Time)","value":"09:10:08"},{"id":151,"name":"Denver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58"/>
        <v>start /low /b %USERPROFILE%\Documents\GitHub\eaglep3\Utilities\DownloadLogsFromS3.py --loco 4066 --day 2017-11-06</v>
      </c>
      <c r="AN227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60"/>
        <v>https://d0f6bd738d7f1b3e5a7ca70fe4ff75f0.us-east-1.aws.found.io/app/kibana#/discover/Steve-Slow-Train-Analysis-(2080s-and-2083s)?_g=(refreshInterval:(display:Off,pause:!f,section:0,value:0),time:(from:'2017-11-06T08:06:30-0700',mode:absolute,to:'2017-11-06T10:10:08-0700'))&amp;_a=(columns:!('Message%20ID',Summary),filters:!(),index:'emp_*',interval:auto,query:(query_string:(analyze_wildcard:!t,query:'%22rtdc.l.rtdc.4066%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669</v>
      </c>
      <c r="B228" s="7">
        <v>4031</v>
      </c>
      <c r="C228" s="21" t="s">
        <v>192</v>
      </c>
      <c r="D228" s="21" t="s">
        <v>1009</v>
      </c>
      <c r="E228" s="13">
        <v>43045.141087962962</v>
      </c>
      <c r="F228" s="13">
        <v>43045.14261574074</v>
      </c>
      <c r="G228" s="7">
        <v>69</v>
      </c>
      <c r="H228" s="21" t="s">
        <v>1010</v>
      </c>
      <c r="I228" s="13">
        <v>43045.143645833334</v>
      </c>
      <c r="J228" s="7">
        <v>0</v>
      </c>
      <c r="K228" s="89" t="str">
        <f>IF(ISEVEN(B228),(B228-1)&amp;"/"&amp;B228,B228&amp;"/"&amp;(B228+1))</f>
        <v>4031/4032</v>
      </c>
      <c r="L228" s="185" t="str">
        <f>VLOOKUP(A228,'Trips&amp;Operators'!$C$1:$G$99911,5,FALSE)</f>
        <v>SPECTOR MICHAEL</v>
      </c>
      <c r="M228" s="6">
        <f>I228-F228</f>
        <v>1.0300925932824612E-3</v>
      </c>
      <c r="N228" s="7">
        <f>24*60*SUM($M228:$M228)</f>
        <v>1.4833333343267441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-06T02:23:10-0700',mode:absolute,to:'2017-11-06T04:26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0.32350000000000001</v>
      </c>
      <c r="Z228" s="204">
        <f>RIGHT(H228,LEN(H228)-4)/10000</f>
        <v>0.1173</v>
      </c>
      <c r="AA228" s="204">
        <f>ABS(Z228-Y228)</f>
        <v>0.20619999999999999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/stypes="app*4031*20171106*" /stext=" 10:.+((SYSTEM_STATE.+slice.+state.+changed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56"/>
        <v>"%USERPROFILE%\Documents\GitHub\eaglep3\Utilities\RefineRTDCRunTimes.py" --tripid 52-06 --locoid 4031 --swversion DE.1.0.9.0 --startMP 204:3235 --initTime 2017-11-06T03:23:10 --startdatetime 2017-11-06T03:25:22 --delay 69 --endMP 204:1173 --enddatetime 2017-11-06T03:26:51 --enforcementcount 0 &gt;&gt;%USERPROFILE%\Documents\GitHub\eaglep3-reporting\EC\2017-11-06-refined-times.txt</v>
      </c>
      <c r="AI228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0.1173"},{"id":17,"name":"Train ID","value":"52-06"},{"id":16,"name":"Locomotive ID","value":"4031"},{"id":130,"name":"Impact","value":""},{"id":150,"name":"Time of Event (Mountain Time)","value":"03:26:51"},{"id":151,"name":"Denver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58"/>
        <v>start /low /b %USERPROFILE%\Documents\GitHub\eaglep3\Utilities\DownloadLogsFromS3.py --loco 4031 --day 2017-11-06</v>
      </c>
      <c r="AN228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60"/>
        <v>https://d0f6bd738d7f1b3e5a7ca70fe4ff75f0.us-east-1.aws.found.io/app/kibana#/discover/Steve-Slow-Train-Analysis-(2080s-and-2083s)?_g=(refreshInterval:(display:Off,pause:!f,section:0,value:0),time:(from:'2017-11-06T02:23:10-0700',mode:absolute,to:'2017-11-06T04:26:51-0700'))&amp;_a=(columns:!('Message%20ID',Summary),filters:!(),index:'emp_*',interval:auto,query:(query_string:(analyze_wildcard:!t,query:'%22rtdc.l.rtdc.4031%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669</v>
      </c>
      <c r="B229" s="7">
        <v>4031</v>
      </c>
      <c r="C229" s="21" t="s">
        <v>192</v>
      </c>
      <c r="D229" s="21" t="s">
        <v>1011</v>
      </c>
      <c r="E229" s="13">
        <v>43045.307743055557</v>
      </c>
      <c r="F229" s="13">
        <v>43045.309699074074</v>
      </c>
      <c r="G229" s="7">
        <v>80</v>
      </c>
      <c r="H229" s="21" t="s">
        <v>522</v>
      </c>
      <c r="I229" s="13">
        <v>43045.310937499999</v>
      </c>
      <c r="J229" s="7">
        <v>0</v>
      </c>
      <c r="K229" s="89" t="str">
        <f>IF(ISEVEN(B229),(B229-1)&amp;"/"&amp;B229,B229&amp;"/"&amp;(B229+1))</f>
        <v>4031/4032</v>
      </c>
      <c r="L229" s="185" t="str">
        <f>VLOOKUP(A229,'Trips&amp;Operators'!$C$1:$G$99911,5,FALSE)</f>
        <v>SPECTOR MICHAEL</v>
      </c>
      <c r="M229" s="6">
        <f>I229-F229</f>
        <v>1.2384259243845008E-3</v>
      </c>
      <c r="N229" s="7">
        <f>24*60*SUM($M229:$M229)</f>
        <v>1.7833333311136812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-06T06:23:09-0700',mode:absolute,to:'2017-11-06T08:27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0</v>
      </c>
      <c r="Y229" s="204">
        <f>RIGHT(D229,LEN(D229)-4)/10000</f>
        <v>0.32140000000000002</v>
      </c>
      <c r="Z229" s="204">
        <f>RIGHT(H229,LEN(H229)-4)/10000</f>
        <v>1.43E-2</v>
      </c>
      <c r="AA229" s="204">
        <f>ABS(Z229-Y229)</f>
        <v>0.30710000000000004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>VALUE(LEFT(A229,LEN(A229)-3))</f>
        <v>52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s3://rtdc.mdm.uploadarchive.raw/RTDC4031/ "%USERPROFILE%\AppData\Local\Temp\OnboardLogs"\RTDC4031\2017-11-06 --exclude "*" --recursive --include "*20171106*" &amp; "%USERPROFILE%\Documents\GitHub\mrs-test-scripts\Headless Mode &amp; Sideloading\WalkAndUnGZ.bat" "%USERPROFILE%\AppData\Local\Temp\OnboardLogs"\RTDC4031\2017-11-06 &amp; aws s3 cp s3://rtdc.mdm.uploadarchive.raw/RTDC4031/ "%USERPROFILE%\AppData\Local\Temp\OnboardLogs"\RTDC4031\2017-11-07 --exclude "*" --recursive --include "*20171107*" &amp; "%USERPROFILE%\Documents\GitHub\mrs-test-scripts\Headless Mode &amp; Sideloading\WalkAndUnGZ.bat" "%USERPROFILE%\AppData\Local\Temp\OnboardLogs"\RTDC4031\2017-11-07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/stypes="app*4031*20171106*" /stext=" 14:.+((SYSTEM_STATE.+slice.+state.+changed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56"/>
        <v>"%USERPROFILE%\Documents\GitHub\eaglep3\Utilities\RefineRTDCRunTimes.py" --tripid 52-06 --locoid 4031 --swversion DE.1.0.9.0 --startMP 204:3214 --initTime 2017-11-06T07:23:09 --startdatetime 2017-11-06T07:25:58 --delay 80 --endMP 204:143 --enddatetime 2017-11-06T07:27:45 --enforcementcount 0 &gt;&gt;%USERPROFILE%\Documents\GitHub\eaglep3-reporting\EC\2017-11-06-refined-times.txt</v>
      </c>
      <c r="AI229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0.0143"},{"id":17,"name":"Train ID","value":"52-06"},{"id":16,"name":"Locomotive ID","value":"4031"},{"id":130,"name":"Impact","value":""},{"id":150,"name":"Time of Event (Mountain Time)","value":"07:27:45"},{"id":151,"name":"Denver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58"/>
        <v>start /low /b %USERPROFILE%\Documents\GitHub\eaglep3\Utilities\DownloadLogsFromS3.py --loco 4031 --day 2017-11-06</v>
      </c>
      <c r="AN229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14:27:45"},{"id":29,"name":"Sharepoint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60"/>
        <v>https://d0f6bd738d7f1b3e5a7ca70fe4ff75f0.us-east-1.aws.found.io/app/kibana#/discover/Steve-Slow-Train-Analysis-(2080s-and-2083s)?_g=(refreshInterval:(display:Off,pause:!f,section:0,value:0),time:(from:'2017-11-06T06:23:09-0700',mode:absolute,to:'2017-11-06T08:27:45-0700'))&amp;_a=(columns:!('Message%20ID',Summary),filters:!(),index:'emp_*',interval:auto,query:(query_string:(analyze_wildcard:!t,query:'%22rtdc.l.rtdc.4031%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669</v>
      </c>
      <c r="B230" s="7">
        <v>4065</v>
      </c>
      <c r="C230" s="21" t="s">
        <v>192</v>
      </c>
      <c r="D230" s="21" t="s">
        <v>1012</v>
      </c>
      <c r="E230" s="13">
        <v>43045.382916666669</v>
      </c>
      <c r="F230" s="13">
        <v>43045.384398148148</v>
      </c>
      <c r="G230" s="7">
        <v>69</v>
      </c>
      <c r="H230" s="21" t="s">
        <v>1013</v>
      </c>
      <c r="I230" s="13">
        <v>43045.385787037034</v>
      </c>
      <c r="J230" s="7">
        <v>0</v>
      </c>
      <c r="K230" s="89" t="str">
        <f>IF(ISEVEN(B230),(B230-1)&amp;"/"&amp;B230,B230&amp;"/"&amp;(B230+1))</f>
        <v>4065/4066</v>
      </c>
      <c r="L230" s="185" t="str">
        <f>VLOOKUP(A230,'Trips&amp;Operators'!$C$1:$G$99911,5,FALSE)</f>
        <v>SPECTOR MICHAEL</v>
      </c>
      <c r="M230" s="6">
        <f>I230-F230</f>
        <v>1.3888888861401938E-3</v>
      </c>
      <c r="N230" s="7">
        <f>24*60*SUM($M230:$M230)</f>
        <v>1.9999999960418791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-06T08:11:24-0700',mode:absolute,to:'2017-11-06T10:15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0.32250000000000001</v>
      </c>
      <c r="Z230" s="204">
        <f>RIGHT(H230,LEN(H230)-4)/10000</f>
        <v>1.47E-2</v>
      </c>
      <c r="AA230" s="204">
        <f>ABS(Z230-Y230)</f>
        <v>0.30780000000000002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>VALUE(LEFT(A230,LEN(A230)-3))</f>
        <v>52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s3://rtdc.mdm.uploadarchive.raw/RTDC4065/ "%USERPROFILE%\AppData\Local\Temp\OnboardLogs"\RTDC4065\2017-11-06 --exclude "*" --recursive --include "*20171106*" &amp; "%USERPROFILE%\Documents\GitHub\mrs-test-scripts\Headless Mode &amp; Sideloading\WalkAndUnGZ.bat" "%USERPROFILE%\AppData\Local\Temp\OnboardLogs"\RTDC4065\2017-11-06 &amp; aws s3 cp s3://rtdc.mdm.uploadarchive.raw/RTDC4065/ "%USERPROFILE%\AppData\Local\Temp\OnboardLogs"\RTDC4065\2017-11-07 --exclude "*" --recursive --include "*20171107*" &amp; "%USERPROFILE%\Documents\GitHub\mrs-test-scripts\Headless Mode &amp; Sideloading\WalkAndUnGZ.bat" "%USERPROFILE%\AppData\Local\Temp\OnboardLogs"\RTDC4065\2017-11-07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/stypes="app*4065*20171106*" /stext=" 16:.+((SYSTEM_STATE.+slice.+state.+changed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56"/>
        <v>"%USERPROFILE%\Documents\GitHub\eaglep3\Utilities\RefineRTDCRunTimes.py" --tripid 52-06 --locoid 4065 --swversion DE.1.0.9.0 --startMP 204:3225 --initTime 2017-11-06T09:11:24 --startdatetime 2017-11-06T09:13:32 --delay 69 --endMP 204:147 --enddatetime 2017-11-06T09:15:32 --enforcementcount 0 &gt;&gt;%USERPROFILE%\Documents\GitHub\eaglep3-reporting\EC\2017-11-06-refined-times.txt</v>
      </c>
      <c r="AI230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0.0147"},{"id":17,"name":"Train ID","value":"52-06"},{"id":16,"name":"Locomotive ID","value":"4065"},{"id":130,"name":"Impact","value":""},{"id":150,"name":"Time of Event (Mountain Time)","value":"09:15:32"},{"id":151,"name":"Denver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58"/>
        <v>start /low /b %USERPROFILE%\Documents\GitHub\eaglep3\Utilities\DownloadLogsFromS3.py --loco 4065 --day 2017-11-06</v>
      </c>
      <c r="AN230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16:15:32"},{"id":29,"name":"Sharepoint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60"/>
        <v>https://d0f6bd738d7f1b3e5a7ca70fe4ff75f0.us-east-1.aws.found.io/app/kibana#/discover/Steve-Slow-Train-Analysis-(2080s-and-2083s)?_g=(refreshInterval:(display:Off,pause:!f,section:0,value:0),time:(from:'2017-11-06T08:11:24-0700',mode:absolute,to:'2017-11-06T10:15:32-0700'))&amp;_a=(columns:!('Message%20ID',Summary),filters:!(),index:'emp_*',interval:auto,query:(query_string:(analyze_wildcard:!t,query:'%22rtdc.l.rtdc.4065%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741</v>
      </c>
      <c r="B231" s="7">
        <v>4050</v>
      </c>
      <c r="C231" s="21" t="s">
        <v>192</v>
      </c>
      <c r="D231" s="21" t="s">
        <v>1014</v>
      </c>
      <c r="E231" s="13">
        <v>43045.433541666665</v>
      </c>
      <c r="F231" s="13">
        <v>43045.452199074076</v>
      </c>
      <c r="G231" s="7">
        <v>77</v>
      </c>
      <c r="H231" s="21" t="s">
        <v>1015</v>
      </c>
      <c r="I231" s="13">
        <v>43045.454444444447</v>
      </c>
      <c r="J231" s="7">
        <v>0</v>
      </c>
      <c r="K231" s="89" t="str">
        <f>IF(ISEVEN(B231),(B231-1)&amp;"/"&amp;B231,B231&amp;"/"&amp;(B231+1))</f>
        <v>4049/4050</v>
      </c>
      <c r="L231" s="185" t="str">
        <f>VLOOKUP(A231,'Trips&amp;Operators'!$C$1:$G$99911,5,FALSE)</f>
        <v>DAVIDSON DAVID</v>
      </c>
      <c r="M231" s="6">
        <f>I231-F231</f>
        <v>2.2453703713836148E-3</v>
      </c>
      <c r="N231" s="7">
        <f>24*60*SUM($M231:$M231)</f>
        <v>3.2333333347924054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-06T09:24:18-0700',mode:absolute,to:'2017-11-06T11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3</v>
      </c>
      <c r="Y231" s="204">
        <f>RIGHT(D231,LEN(D231)-4)/10000</f>
        <v>0.12180000000000001</v>
      </c>
      <c r="Z231" s="204">
        <f>RIGHT(H231,LEN(H231)-4)/10000</f>
        <v>0.54920000000000002</v>
      </c>
      <c r="AA231" s="204">
        <f>ABS(Z231-Y231)</f>
        <v>0.4274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>VALUE(LEFT(A231,LEN(A231)-3))</f>
        <v>55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s3://rtdc.mdm.uploadarchive.raw/RTDC4050/ "%USERPROFILE%\AppData\Local\Temp\OnboardLogs"\RTDC4050\2017-11-06 --exclude "*" --recursive --include "*20171106*" &amp; "%USERPROFILE%\Documents\GitHub\mrs-test-scripts\Headless Mode &amp; Sideloading\WalkAndUnGZ.bat" "%USERPROFILE%\AppData\Local\Temp\OnboardLogs"\RTDC4050\2017-11-06 &amp; aws s3 cp s3://rtdc.mdm.uploadarchive.raw/RTDC4050/ "%USERPROFILE%\AppData\Local\Temp\OnboardLogs"\RTDC4050\2017-11-07 --exclude "*" --recursive --include "*20171107*" &amp; "%USERPROFILE%\Documents\GitHub\mrs-test-scripts\Headless Mode &amp; Sideloading\WalkAndUnGZ.bat" "%USERPROFILE%\AppData\Local\Temp\OnboardLogs"\RTDC4050\2017-11-07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/stypes="app*4050*20171106*" /stext=" 17:.+((SYSTEM_STATE.+slice.+state.+changed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56"/>
        <v>"%USERPROFILE%\Documents\GitHub\eaglep3\Utilities\RefineRTDCRunTimes.py" --tripid 55-06 --locoid 4050 --swversion DE.1.0.9.0 --startMP 204:1218 --initTime 2017-11-06T10:24:18 --startdatetime 2017-11-06T10:51:10 --delay 77 --endMP 300:5492 --enddatetime 2017-11-06T10:54:24 --enforcementcount 0 &gt;&gt;%USERPROFILE%\Documents\GitHub\eaglep3-reporting\EC\2017-11-06-refined-times.txt</v>
      </c>
      <c r="AI231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0.5492"},{"id":17,"name":"Train ID","value":"55-06"},{"id":16,"name":"Locomotive ID","value":"4050"},{"id":130,"name":"Impact","value":""},{"id":150,"name":"Time of Event (Mountain Time)","value":"10:54:24"},{"id":151,"name":"Denver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58"/>
        <v>start /low /b %USERPROFILE%\Documents\GitHub\eaglep3\Utilities\DownloadLogsFromS3.py --loco 4050 --day 2017-11-06</v>
      </c>
      <c r="AN231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60"/>
        <v>https://d0f6bd738d7f1b3e5a7ca70fe4ff75f0.us-east-1.aws.found.io/app/kibana#/discover/Steve-Slow-Train-Analysis-(2080s-and-2083s)?_g=(refreshInterval:(display:Off,pause:!f,section:0,value:0),time:(from:'2017-11-06T09:24:18-0700',mode:absolute,to:'2017-11-06T11:54:24-0700'))&amp;_a=(columns:!('Message%20ID',Summary),filters:!(),index:'emp_*',interval:auto,query:(query_string:(analyze_wildcard:!t,query:'%22rtdc.l.rtdc.4050%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741</v>
      </c>
      <c r="B232" s="7">
        <v>4049</v>
      </c>
      <c r="C232" s="21" t="s">
        <v>192</v>
      </c>
      <c r="D232" s="21" t="s">
        <v>1016</v>
      </c>
      <c r="E232" s="13">
        <v>43045.447951388887</v>
      </c>
      <c r="F232" s="13">
        <v>43045.452199074076</v>
      </c>
      <c r="G232" s="7">
        <v>78</v>
      </c>
      <c r="H232" s="21" t="s">
        <v>492</v>
      </c>
      <c r="I232" s="13">
        <v>43045.454444444447</v>
      </c>
      <c r="J232" s="7">
        <v>0</v>
      </c>
      <c r="K232" s="89" t="str">
        <f>IF(ISEVEN(B232),(B232-1)&amp;"/"&amp;B232,B232&amp;"/"&amp;(B232+1))</f>
        <v>4049/4050</v>
      </c>
      <c r="L232" s="185" t="str">
        <f>VLOOKUP(A232,'Trips&amp;Operators'!$C$1:$G$99911,5,FALSE)</f>
        <v>DAVIDSON DAVID</v>
      </c>
      <c r="M232" s="6">
        <f>I232-F232</f>
        <v>2.2453703713836148E-3</v>
      </c>
      <c r="N232" s="7">
        <f>24*60*SUM($M232:$M232)</f>
        <v>3.2333333347924054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-06T09:45:03-0700',mode:absolute,to:'2017-11-06T11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0</v>
      </c>
      <c r="Y232" s="204">
        <f>RIGHT(D232,LEN(D232)-4)/10000</f>
        <v>0.50790000000000002</v>
      </c>
      <c r="Z232" s="204">
        <f>RIGHT(H232,LEN(H232)-4)/10000</f>
        <v>2.2100000000000002E-2</v>
      </c>
      <c r="AA232" s="204">
        <f>ABS(Z232-Y232)</f>
        <v>0.48580000000000001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>VALUE(LEFT(A232,LEN(A232)-3))</f>
        <v>55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s3://rtdc.mdm.uploadarchive.raw/RTDC4049/ "%USERPROFILE%\AppData\Local\Temp\OnboardLogs"\RTDC4049\2017-11-06 --exclude "*" --recursive --include "*20171106*" &amp; "%USERPROFILE%\Documents\GitHub\mrs-test-scripts\Headless Mode &amp; Sideloading\WalkAndUnGZ.bat" "%USERPROFILE%\AppData\Local\Temp\OnboardLogs"\RTDC4049\2017-11-06 &amp; aws s3 cp s3://rtdc.mdm.uploadarchive.raw/RTDC4049/ "%USERPROFILE%\AppData\Local\Temp\OnboardLogs"\RTDC4049\2017-11-07 --exclude "*" --recursive --include "*20171107*" &amp; "%USERPROFILE%\Documents\GitHub\mrs-test-scripts\Headless Mode &amp; Sideloading\WalkAndUnGZ.bat" "%USERPROFILE%\AppData\Local\Temp\OnboardLogs"\RTDC4049\2017-11-07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/stypes="app*4049*20171106*" /stext=" 17:.+((SYSTEM_STATE.+slice.+state.+changed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56"/>
        <v>"%USERPROFILE%\Documents\GitHub\eaglep3\Utilities\RefineRTDCRunTimes.py" --tripid 55-06 --locoid 4049 --swversion DE.1.0.9.0 --startMP 300:5079 --initTime 2017-11-06T10:45:03 --startdatetime 2017-11-06T10:51:10 --delay 78 --endMP 204:221 --enddatetime 2017-11-06T10:54:24 --enforcementcount 0 &gt;&gt;%USERPROFILE%\Documents\GitHub\eaglep3-reporting\EC\2017-11-06-refined-times.txt</v>
      </c>
      <c r="AI232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0.0221"},{"id":17,"name":"Train ID","value":"55-06"},{"id":16,"name":"Locomotive ID","value":"4049"},{"id":130,"name":"Impact","value":""},{"id":150,"name":"Time of Event (Mountain Time)","value":"10:54:24"},{"id":151,"name":"Denver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58"/>
        <v>start /low /b %USERPROFILE%\Documents\GitHub\eaglep3\Utilities\DownloadLogsFromS3.py --loco 4049 --day 2017-11-06</v>
      </c>
      <c r="AN232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17:54:24"},{"id":29,"name":"Sharepoint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60"/>
        <v>https://d0f6bd738d7f1b3e5a7ca70fe4ff75f0.us-east-1.aws.found.io/app/kibana#/discover/Steve-Slow-Train-Analysis-(2080s-and-2083s)?_g=(refreshInterval:(display:Off,pause:!f,section:0,value:0),time:(from:'2017-11-06T09:45:03-0700',mode:absolute,to:'2017-11-06T11:54:24-0700'))&amp;_a=(columns:!('Message%20ID',Summary),filters:!(),index:'emp_*',interval:auto,query:(query_string:(analyze_wildcard:!t,query:'%22rtdc.l.rtdc.4049%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650</v>
      </c>
      <c r="B233" s="7">
        <v>4027</v>
      </c>
      <c r="C233" s="21" t="s">
        <v>192</v>
      </c>
      <c r="D233" s="21" t="s">
        <v>1017</v>
      </c>
      <c r="E233" s="13">
        <v>43045.448888888888</v>
      </c>
      <c r="F233" s="13">
        <v>43045.454143518517</v>
      </c>
      <c r="G233" s="7">
        <v>105</v>
      </c>
      <c r="H233" s="21" t="s">
        <v>1018</v>
      </c>
      <c r="I233" s="13">
        <v>43045.460590277777</v>
      </c>
      <c r="J233" s="7">
        <v>0</v>
      </c>
      <c r="K233" s="89" t="str">
        <f>IF(ISEVEN(B233),(B233-1)&amp;"/"&amp;B233,B233&amp;"/"&amp;(B233+1))</f>
        <v>4027/4028</v>
      </c>
      <c r="L233" s="185" t="str">
        <f>VLOOKUP(A233,'Trips&amp;Operators'!$C$1:$G$99911,5,FALSE)</f>
        <v>ROBINSON KADDIBA</v>
      </c>
      <c r="M233" s="6">
        <f>I233-F233</f>
        <v>6.4467592601431534E-3</v>
      </c>
      <c r="N233" s="7">
        <f>24*60*SUM($M233:$M233)</f>
        <v>9.2833333346061409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-06T09:46:24-0700',mode:absolute,to:'2017-11-06T12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2.3220000000000001</v>
      </c>
      <c r="Z233" s="204">
        <f>RIGHT(H233,LEN(H233)-4)/10000</f>
        <v>2.2648000000000001</v>
      </c>
      <c r="AA233" s="204">
        <f>ABS(Z233-Y233)</f>
        <v>5.7199999999999918E-2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>VALUE(LEFT(A233,LEN(A233)-3))</f>
        <v>56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 &amp; aws s3 cp s3://rtdc.mdm.uploadarchive.raw/RTDC4027/ "%USERPROFILE%\AppData\Local\Temp\OnboardLogs"\RTDC4027\2017-11-07 --exclude "*" --recursive --include "*20171107*" &amp; "%USERPROFILE%\Documents\GitHub\mrs-test-scripts\Headless Mode &amp; Sideloading\WalkAndUnGZ.bat" "%USERPROFILE%\AppData\Local\Temp\OnboardLogs"\RTDC4027\2017-11-07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/stypes="app*4027*20171106*" /stext=" 18:.+((SYSTEM_STATE.+slice.+state.+changed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56"/>
        <v>"%USERPROFILE%\Documents\GitHub\eaglep3\Utilities\RefineRTDCRunTimes.py" --tripid 56-06 --locoid 4027 --swversion DE.1.0.9.0 --startMP 300:23220 --initTime 2017-11-06T10:46:24 --startdatetime 2017-11-06T10:53:58 --delay 105 --endMP 300:22648 --enddatetime 2017-11-06T11:03:15 --enforcementcount 0 &gt;&gt;%USERPROFILE%\Documents\GitHub\eaglep3-reporting\EC\2017-11-06-refined-times.txt</v>
      </c>
      <c r="AI233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2.2648"},{"id":17,"name":"Train ID","value":"56-06"},{"id":16,"name":"Locomotive ID","value":"4027"},{"id":130,"name":"Impact","value":""},{"id":150,"name":"Time of Event (Mountain Time)","value":"11:03:15"},{"id":151,"name":"Denver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58"/>
        <v>start /low /b %USERPROFILE%\Documents\GitHub\eaglep3\Utilities\DownloadLogsFromS3.py --loco 4027 --day 2017-11-06</v>
      </c>
      <c r="AN233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60"/>
        <v>https://d0f6bd738d7f1b3e5a7ca70fe4ff75f0.us-east-1.aws.found.io/app/kibana#/discover/Steve-Slow-Train-Analysis-(2080s-and-2083s)?_g=(refreshInterval:(display:Off,pause:!f,section:0,value:0),time:(from:'2017-11-06T09:46:24-0700',mode:absolute,to:'2017-11-06T12:03:15-0700'))&amp;_a=(columns:!('Message%20ID',Summary),filters:!(),index:'emp_*',interval:auto,query:(query_string:(analyze_wildcard:!t,query:'%22rtdc.l.rtdc.4027%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650</v>
      </c>
      <c r="B234" s="7">
        <v>4027</v>
      </c>
      <c r="C234" s="21" t="s">
        <v>192</v>
      </c>
      <c r="D234" s="21" t="s">
        <v>1019</v>
      </c>
      <c r="E234" s="13">
        <v>43045.4528587963</v>
      </c>
      <c r="F234" s="13">
        <v>43045.454143518517</v>
      </c>
      <c r="G234" s="7">
        <v>56</v>
      </c>
      <c r="H234" s="21" t="s">
        <v>488</v>
      </c>
      <c r="I234" s="13">
        <v>43045.460590277777</v>
      </c>
      <c r="J234" s="7">
        <v>0</v>
      </c>
      <c r="K234" s="89" t="str">
        <f>IF(ISEVEN(B234),(B234-1)&amp;"/"&amp;B234,B234&amp;"/"&amp;(B234+1))</f>
        <v>4027/4028</v>
      </c>
      <c r="L234" s="185" t="str">
        <f>VLOOKUP(A234,'Trips&amp;Operators'!$C$1:$G$99911,5,FALSE)</f>
        <v>ROBINSON KADDIBA</v>
      </c>
      <c r="M234" s="6">
        <f>I234-F234</f>
        <v>6.4467592601431534E-3</v>
      </c>
      <c r="N234" s="7">
        <f>24*60*SUM($M234:$M234)</f>
        <v>9.2833333346061409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-06T09:52:07-0700',mode:absolute,to:'2017-11-06T12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2.2092000000000001</v>
      </c>
      <c r="Z234" s="204">
        <f>RIGHT(H234,LEN(H234)-4)/10000</f>
        <v>1.49E-2</v>
      </c>
      <c r="AA234" s="204">
        <f>ABS(Z234-Y234)</f>
        <v>2.1943000000000001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>VALUE(LEFT(A234,LEN(A234)-3))</f>
        <v>56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 &amp; aws s3 cp s3://rtdc.mdm.uploadarchive.raw/RTDC4027/ "%USERPROFILE%\AppData\Local\Temp\OnboardLogs"\RTDC4027\2017-11-07 --exclude "*" --recursive --include "*20171107*" &amp; "%USERPROFILE%\Documents\GitHub\mrs-test-scripts\Headless Mode &amp; Sideloading\WalkAndUnGZ.bat" "%USERPROFILE%\AppData\Local\Temp\OnboardLogs"\RTDC4027\2017-11-07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/stypes="app*4027*20171106*" /stext=" 18:.+((SYSTEM_STATE.+slice.+state.+changed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56"/>
        <v>"%USERPROFILE%\Documents\GitHub\eaglep3\Utilities\RefineRTDCRunTimes.py" --tripid 56-06 --locoid 4027 --swversion DE.1.0.9.0 --startMP 300:22092 --initTime 2017-11-06T10:52:07 --startdatetime 2017-11-06T10:53:58 --delay 56 --endMP 204:149 --enddatetime 2017-11-06T11:03:15 --enforcementcount 0 &gt;&gt;%USERPROFILE%\Documents\GitHub\eaglep3-reporting\EC\2017-11-06-refined-times.txt</v>
      </c>
      <c r="AI234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0.0149"},{"id":17,"name":"Train ID","value":"56-06"},{"id":16,"name":"Locomotive ID","value":"4027"},{"id":130,"name":"Impact","value":""},{"id":150,"name":"Time of Event (Mountain Time)","value":"11:03:15"},{"id":151,"name":"Denver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58"/>
        <v>start /low /b %USERPROFILE%\Documents\GitHub\eaglep3\Utilities\DownloadLogsFromS3.py --loco 4027 --day 2017-11-06</v>
      </c>
      <c r="AN234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60"/>
        <v>https://d0f6bd738d7f1b3e5a7ca70fe4ff75f0.us-east-1.aws.found.io/app/kibana#/discover/Steve-Slow-Train-Analysis-(2080s-and-2083s)?_g=(refreshInterval:(display:Off,pause:!f,section:0,value:0),time:(from:'2017-11-06T09:52:07-0700',mode:absolute,to:'2017-11-06T12:03:15-0700'))&amp;_a=(columns:!('Message%20ID',Summary),filters:!(),index:'emp_*',interval:auto,query:(query_string:(analyze_wildcard:!t,query:'%22rtdc.l.rtdc.4027%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761</v>
      </c>
      <c r="B235" s="7">
        <v>4028</v>
      </c>
      <c r="C235" s="21" t="s">
        <v>192</v>
      </c>
      <c r="D235" s="21" t="s">
        <v>1020</v>
      </c>
      <c r="E235" s="13">
        <v>43045.475162037037</v>
      </c>
      <c r="F235" s="13">
        <v>43045.476747685185</v>
      </c>
      <c r="G235" s="7">
        <v>82</v>
      </c>
      <c r="H235" s="21" t="s">
        <v>1021</v>
      </c>
      <c r="I235" s="13">
        <v>43045.482766203706</v>
      </c>
      <c r="J235" s="7">
        <v>0</v>
      </c>
      <c r="K235" s="89" t="str">
        <f>IF(ISEVEN(B235),(B235-1)&amp;"/"&amp;B235,B235&amp;"/"&amp;(B235+1))</f>
        <v>4027/4028</v>
      </c>
      <c r="L235" s="185" t="str">
        <f>VLOOKUP(A235,'Trips&amp;Operators'!$C$1:$G$99911,5,FALSE)</f>
        <v>YORK EDGAR</v>
      </c>
      <c r="M235" s="6">
        <f>I235-F235</f>
        <v>6.0185185211594217E-3</v>
      </c>
      <c r="N235" s="7">
        <f>24*60*SUM($M235:$M235)</f>
        <v>8.6666666704695672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-11-06T10:24:14-0700',mode:absolute,to:'2017-11-06T12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4.7E-2</v>
      </c>
      <c r="Z235" s="204">
        <f>RIGHT(H235,LEN(H235)-4)/10000</f>
        <v>2.4228999999999998</v>
      </c>
      <c r="AA235" s="204">
        <f>ABS(Z235-Y235)</f>
        <v>2.3758999999999997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>VALUE(LEFT(A235,LEN(A235)-3))</f>
        <v>57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s3://rtdc.mdm.uploadarchive.raw/RTDC4028/ "%USERPROFILE%\AppData\Local\Temp\OnboardLogs"\RTDC4028\2017-11-06 --exclude "*" --recursive --include "*20171106*" &amp; "%USERPROFILE%\Documents\GitHub\mrs-test-scripts\Headless Mode &amp; Sideloading\WalkAndUnGZ.bat" "%USERPROFILE%\AppData\Local\Temp\OnboardLogs"\RTDC4028\2017-11-06 &amp; aws s3 cp s3://rtdc.mdm.uploadarchive.raw/RTDC4028/ "%USERPROFILE%\AppData\Local\Temp\OnboardLogs"\RTDC4028\2017-11-07 --exclude "*" --recursive --include "*20171107*" &amp; "%USERPROFILE%\Documents\GitHub\mrs-test-scripts\Headless Mode &amp; Sideloading\WalkAndUnGZ.bat" "%USERPROFILE%\AppData\Local\Temp\OnboardLogs"\RTDC4028\2017-11-07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/stypes="app*4028*20171106*" /stext=" 18:.+((SYSTEM_STATE.+slice.+state.+changed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56"/>
        <v>"%USERPROFILE%\Documents\GitHub\eaglep3\Utilities\RefineRTDCRunTimes.py" --tripid 57-06 --locoid 4028 --swversion DE.1.0.9.0 --startMP 204:470 --initTime 2017-11-06T11:24:14 --startdatetime 2017-11-06T11:26:31 --delay 82 --endMP 300:24229 --enddatetime 2017-11-06T11:35:11 --enforcementcount 0 &gt;&gt;%USERPROFILE%\Documents\GitHub\eaglep3-reporting\EC\2017-11-06-refined-times.txt</v>
      </c>
      <c r="AI235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2.4229"},{"id":17,"name":"Train ID","value":"57-06"},{"id":16,"name":"Locomotive ID","value":"4028"},{"id":130,"name":"Impact","value":""},{"id":150,"name":"Time of Event (Mountain Time)","value":"11:35:11"},{"id":151,"name":"Denver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58"/>
        <v>start /low /b %USERPROFILE%\Documents\GitHub\eaglep3\Utilities\DownloadLogsFromS3.py --loco 4028 --day 2017-11-06</v>
      </c>
      <c r="AN235" s="151" t="str">
        <f t="shared" si="59"/>
        <v>echo {"issue":{"subject":"","project_id":30,"tracker_id":4,"status_id":1,"priority_id":1,"assigned_to_id":10,"start_date":"2017-11-06","description":"","custom_fields":[{"id":30,"name":"Category","value":"Issue"},{"id":3,"name":"Functional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UTC","value":"2017-11-06 18:35:11"},{"id":29,"name":"Sharepoint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60"/>
        <v>https://d0f6bd738d7f1b3e5a7ca70fe4ff75f0.us-east-1.aws.found.io/app/kibana#/discover/Steve-Slow-Train-Analysis-(2080s-and-2083s)?_g=(refreshInterval:(display:Off,pause:!f,section:0,value:0),time:(from:'2017-11-06T10:24:14-0700',mode:absolute,to:'2017-11-06T12:35:11-0700'))&amp;_a=(columns:!('Message%20ID',Summary),filters:!(),index:'emp_*',interval:auto,query:(query_string:(analyze_wildcard:!t,query:'%22rtdc.l.rtdc.4028%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814</v>
      </c>
      <c r="B236" s="7">
        <v>4066</v>
      </c>
      <c r="C236" s="21" t="s">
        <v>192</v>
      </c>
      <c r="D236" s="21" t="s">
        <v>1022</v>
      </c>
      <c r="E236" s="13">
        <v>43045.706759259258</v>
      </c>
      <c r="F236" s="13">
        <v>43045.721307870372</v>
      </c>
      <c r="G236" s="7">
        <v>175</v>
      </c>
      <c r="H236" s="21" t="s">
        <v>1023</v>
      </c>
      <c r="I236" s="13">
        <v>43045.728449074071</v>
      </c>
      <c r="J236" s="7">
        <v>0</v>
      </c>
      <c r="K236" s="89" t="str">
        <f>IF(ISEVEN(B236),(B236-1)&amp;"/"&amp;B236,B236&amp;"/"&amp;(B236+1))</f>
        <v>4065/4066</v>
      </c>
      <c r="L236" s="185" t="str">
        <f>VLOOKUP(A236,'Trips&amp;Operators'!$C$1:$G$99911,5,FALSE)</f>
        <v>YORK EDGAR</v>
      </c>
      <c r="M236" s="6">
        <f>I236-F236</f>
        <v>7.1412036995752715E-3</v>
      </c>
      <c r="N236" s="7">
        <f>24*60*SUM($M236:$M236)</f>
        <v>10.283333327388391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-11-06T15:57:44-0700',mode:absolute,to:'2017-11-06T18:28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5</v>
      </c>
      <c r="Y236" s="204">
        <f>RIGHT(D236,LEN(D236)-4)/10000</f>
        <v>0.14810000000000001</v>
      </c>
      <c r="Z236" s="204">
        <f>RIGHT(H236,LEN(H236)-4)/10000</f>
        <v>2.3302</v>
      </c>
      <c r="AA236" s="204">
        <f>ABS(Z236-Y236)</f>
        <v>2.1821000000000002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>VALUE(LEFT(A236,LEN(A236)-3))</f>
        <v>62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s3://rtdc.mdm.uploadarchive.raw/RTDC4066/ "%USERPROFILE%\AppData\Local\Temp\OnboardLogs"\RTDC4066\2017-11-06 --exclude "*" --recursive --include "*20171106*" &amp; "%USERPROFILE%\Documents\GitHub\mrs-test-scripts\Headless Mode &amp; Sideloading\WalkAndUnGZ.bat" "%USERPROFILE%\AppData\Local\Temp\OnboardLogs"\RTDC4066\2017-11-06 &amp; aws s3 cp s3://rtdc.mdm.uploadarchive.raw/RTDC4066/ "%USERPROFILE%\AppData\Local\Temp\OnboardLogs"\RTDC4066\2017-11-07 --exclude "*" --recursive --include "*20171107*" &amp; "%USERPROFILE%\Documents\GitHub\mrs-test-scripts\Headless Mode &amp; Sideloading\WalkAndUnGZ.bat" "%USERPROFILE%\AppData\Local\Temp\OnboardLogs"\RTDC4066\2017-11-07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/stypes="app*4066*20171107*" /stext=" 00:.+((SYSTEM_STATE.+slice.+state.+changed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56"/>
        <v>"%USERPROFILE%\Documents\GitHub\eaglep3\Utilities\RefineRTDCRunTimes.py" --tripid 62-06 --locoid 4066 --swversion DE.1.0.9.0 --startMP 204:1481 --initTime 2017-11-06T16:57:44 --startdatetime 2017-11-06T17:18:41 --delay 175 --endMP 300:23302 --enddatetime 2017-11-06T17:28:58 --enforcementcount 0 &gt;&gt;%USERPROFILE%\Documents\GitHub\eaglep3-reporting\EC\2017-11-06-refined-times.txt</v>
      </c>
      <c r="AI236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2.3302"},{"id":17,"name":"Train ID","value":"62-06"},{"id":16,"name":"Locomotive ID","value":"4066"},{"id":130,"name":"Impact","value":""},{"id":150,"name":"Time of Event (Mountain Time)","value":"17:28:58"},{"id":151,"name":"Denver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58"/>
        <v>start /low /b %USERPROFILE%\Documents\GitHub\eaglep3\Utilities\DownloadLogsFromS3.py --loco 4066 --day 2017-11-06</v>
      </c>
      <c r="AN236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00:28:58"},{"id":29,"name":"Sharepoint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60"/>
        <v>https://d0f6bd738d7f1b3e5a7ca70fe4ff75f0.us-east-1.aws.found.io/app/kibana#/discover/Steve-Slow-Train-Analysis-(2080s-and-2083s)?_g=(refreshInterval:(display:Off,pause:!f,section:0,value:0),time:(from:'2017-11-06T15:57:44-0700',mode:absolute,to:'2017-11-06T18:28:58-0700'))&amp;_a=(columns:!('Message%20ID',Summary),filters:!(),index:'emp_*',interval:auto,query:(query_string:(analyze_wildcard:!t,query:'%22rtdc.l.rtdc.4066%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818</v>
      </c>
      <c r="B237" s="7">
        <v>4032</v>
      </c>
      <c r="C237" s="21" t="s">
        <v>192</v>
      </c>
      <c r="D237" s="21" t="s">
        <v>1024</v>
      </c>
      <c r="E237" s="13">
        <v>43045.721342592595</v>
      </c>
      <c r="F237" s="13">
        <v>43045.779432870368</v>
      </c>
      <c r="G237" s="7">
        <v>275</v>
      </c>
      <c r="H237" s="21" t="s">
        <v>1025</v>
      </c>
      <c r="I237" s="13">
        <v>43045.805046296293</v>
      </c>
      <c r="J237" s="7">
        <v>0</v>
      </c>
      <c r="K237" s="89" t="str">
        <f>IF(ISEVEN(B237),(B237-1)&amp;"/"&amp;B237,B237&amp;"/"&amp;(B237+1))</f>
        <v>4031/4032</v>
      </c>
      <c r="L237" s="185" t="str">
        <f>VLOOKUP(A237,'Trips&amp;Operators'!$C$1:$G$99911,5,FALSE)</f>
        <v>DAVIDSON DAVID</v>
      </c>
      <c r="M237" s="6">
        <f>I237-F237</f>
        <v>2.5613425925257616E-2</v>
      </c>
      <c r="N237" s="7">
        <f>24*60*SUM($M237:$M237)</f>
        <v>36.883333332370967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-11-06T16:18:44-0700',mode:absolute,to:'2017-11-06T20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2</v>
      </c>
      <c r="Y237" s="204">
        <f>RIGHT(D237,LEN(D237)-4)/10000</f>
        <v>0.11650000000000001</v>
      </c>
      <c r="Z237" s="204">
        <f>RIGHT(H237,LEN(H237)-4)/10000</f>
        <v>0.35680000000000001</v>
      </c>
      <c r="AA237" s="204">
        <f>ABS(Z237-Y237)</f>
        <v>0.24030000000000001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>VALUE(LEFT(A237,LEN(A237)-3))</f>
        <v>64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/stypes="app*4032*20171107*" /stext=" 02:.+((SYSTEM_STATE.+slice.+state.+changed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56"/>
        <v>"%USERPROFILE%\Documents\GitHub\eaglep3\Utilities\RefineRTDCRunTimes.py" --tripid 64-06 --locoid 4032 --swversion DE.1.0.9.0 --startMP 204:1165 --initTime 2017-11-06T17:18:44 --startdatetime 2017-11-06T18:42:23 --delay 275 --endMP 204:3568 --enddatetime 2017-11-06T19:19:16 --enforcementcount 0 &gt;&gt;%USERPROFILE%\Documents\GitHub\eaglep3-reporting\EC\2017-11-06-refined-times.txt</v>
      </c>
      <c r="AI237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0.3568"},{"id":17,"name":"Train ID","value":"64-06"},{"id":16,"name":"Locomotive ID","value":"4032"},{"id":130,"name":"Impact","value":""},{"id":150,"name":"Time of Event (Mountain Time)","value":"19:19:16"},{"id":151,"name":"Denver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58"/>
        <v>start /low /b %USERPROFILE%\Documents\GitHub\eaglep3\Utilities\DownloadLogsFromS3.py --loco 4032 --day 2017-11-06</v>
      </c>
      <c r="AN237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60"/>
        <v>https://d0f6bd738d7f1b3e5a7ca70fe4ff75f0.us-east-1.aws.found.io/app/kibana#/discover/Steve-Slow-Train-Analysis-(2080s-and-2083s)?_g=(refreshInterval:(display:Off,pause:!f,section:0,value:0),time:(from:'2017-11-06T16:18:44-0700',mode:absolute,to:'2017-11-06T20:19:16-0700'))&amp;_a=(columns:!('Message%20ID',Summary),filters:!(),index:'emp_*',interval:auto,query:(query_string:(analyze_wildcard:!t,query:'%22rtdc.l.rtdc.4032%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822</v>
      </c>
      <c r="B238" s="7">
        <v>4013</v>
      </c>
      <c r="C238" s="21" t="s">
        <v>192</v>
      </c>
      <c r="D238" s="21" t="s">
        <v>1026</v>
      </c>
      <c r="E238" s="13">
        <v>43045.732569444444</v>
      </c>
      <c r="F238" s="13">
        <v>43045.734930555554</v>
      </c>
      <c r="G238" s="7">
        <v>71</v>
      </c>
      <c r="H238" s="21" t="s">
        <v>1027</v>
      </c>
      <c r="I238" s="13">
        <v>43045.74355324074</v>
      </c>
      <c r="J238" s="7">
        <v>0</v>
      </c>
      <c r="K238" s="89" t="str">
        <f>IF(ISEVEN(B238),(B238-1)&amp;"/"&amp;B238,B238&amp;"/"&amp;(B238+1))</f>
        <v>4013/4014</v>
      </c>
      <c r="L238" s="185" t="str">
        <f>VLOOKUP(A238,'Trips&amp;Operators'!$C$1:$G$99911,5,FALSE)</f>
        <v>GUNTHIER ERIC</v>
      </c>
      <c r="M238" s="6">
        <f>I238-F238</f>
        <v>8.6226851854007691E-3</v>
      </c>
      <c r="N238" s="7">
        <f>24*60*SUM($M238:$M238)</f>
        <v>12.416666666977108</v>
      </c>
      <c r="O238" s="7"/>
      <c r="P238" s="7"/>
      <c r="Q238" s="22"/>
      <c r="R238" s="174"/>
      <c r="S238" s="221">
        <f>1/IF(AG238="EC",12,1)*SUM(U238:U238)</f>
        <v>1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-11-06T16:34:54-0700',mode:absolute,to:'2017-11-06T18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4</v>
      </c>
      <c r="Y238" s="204">
        <f>RIGHT(D238,LEN(D238)-4)/10000</f>
        <v>2.3559000000000001</v>
      </c>
      <c r="Z238" s="204">
        <f>RIGHT(H238,LEN(H238)-4)/10000</f>
        <v>2.29E-2</v>
      </c>
      <c r="AA238" s="204">
        <f>ABS(Z238-Y238)</f>
        <v>2.3330000000000002</v>
      </c>
      <c r="AB238" s="54" t="e">
        <f>VLOOKUP(A238,Enforcements!$C$7:$K$10,8,0)</f>
        <v>#N/A</v>
      </c>
      <c r="AC238" s="51" t="e">
        <f>VLOOKUP(A238,Enforcements!$C$7:$E$10,3,0)</f>
        <v>#N/A</v>
      </c>
      <c r="AD238" s="179">
        <f>VALUE(LEFT(A238,LEN(A238)-3))</f>
        <v>68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s3://rtdc.mdm.uploadarchive.raw/RTDC4013/ "%USERPROFILE%\AppData\Local\Temp\OnboardLogs"\RTDC4013\2017-11-06 --exclude "*" --recursive --include "*20171106*" &amp; "%USERPROFILE%\Documents\GitHub\mrs-test-scripts\Headless Mode &amp; Sideloading\WalkAndUnGZ.bat" "%USERPROFILE%\AppData\Local\Temp\OnboardLogs"\RTDC4013\2017-11-06 &amp; aws s3 cp s3://rtdc.mdm.uploadarchive.raw/RTDC4013/ "%USERPROFILE%\AppData\Local\Temp\OnboardLogs"\RTDC4013\2017-11-07 --exclude "*" --recursive --include "*20171107*" &amp; "%USERPROFILE%\Documents\GitHub\mrs-test-scripts\Headless Mode &amp; Sideloading\WalkAndUnGZ.bat" "%USERPROFILE%\AppData\Local\Temp\OnboardLogs"\RTDC4013\2017-11-07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/stypes="app*4013*20171107*" /stext=" 00:.+((SYSTEM_STATE.+slice.+state.+changed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56"/>
        <v>"%USERPROFILE%\Documents\GitHub\eaglep3\Utilities\RefineRTDCRunTimes.py" --tripid 68-06 --locoid 4013 --swversion DE.1.0.9.0 --startMP 300:23559 --initTime 2017-11-06T17:34:54 --startdatetime 2017-11-06T17:38:18 --delay 71 --endMP 204:229 --enddatetime 2017-11-06T17:50:43 --enforcementcount 0 &gt;&gt;%USERPROFILE%\Documents\GitHub\eaglep3-reporting\EC\2017-11-06-refined-times.txt</v>
      </c>
      <c r="AI238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0.0229"},{"id":17,"name":"Train ID","value":"68-06"},{"id":16,"name":"Locomotive ID","value":"4013"},{"id":130,"name":"Impact","value":""},{"id":150,"name":"Time of Event (Mountain Time)","value":"17:50:43"},{"id":151,"name":"Denver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58"/>
        <v>start /low /b %USERPROFILE%\Documents\GitHub\eaglep3\Utilities\DownloadLogsFromS3.py --loco 4013 --day 2017-11-06</v>
      </c>
      <c r="AN238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60"/>
        <v>https://d0f6bd738d7f1b3e5a7ca70fe4ff75f0.us-east-1.aws.found.io/app/kibana#/discover/Steve-Slow-Train-Analysis-(2080s-and-2083s)?_g=(refreshInterval:(display:Off,pause:!f,section:0,value:0),time:(from:'2017-11-06T16:34:54-0700',mode:absolute,to:'2017-11-06T18:50:43-0700'))&amp;_a=(columns:!('Message%20ID',Summary),filters:!(),index:'emp_*',interval:auto,query:(query_string:(analyze_wildcard:!t,query:'%22rtdc.l.rtdc.4013%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661</v>
      </c>
      <c r="B239" s="7">
        <v>4052</v>
      </c>
      <c r="C239" s="21" t="s">
        <v>192</v>
      </c>
      <c r="D239" s="21" t="s">
        <v>1028</v>
      </c>
      <c r="E239" s="13">
        <v>43045.782164351855</v>
      </c>
      <c r="F239" s="13">
        <v>43045.785532407404</v>
      </c>
      <c r="G239" s="7">
        <v>99</v>
      </c>
      <c r="H239" s="21" t="s">
        <v>1029</v>
      </c>
      <c r="I239" s="13">
        <v>43045.78565972222</v>
      </c>
      <c r="J239" s="7">
        <v>0</v>
      </c>
      <c r="K239" s="89" t="str">
        <f>IF(ISEVEN(B239),(B239-1)&amp;"/"&amp;B239,B239&amp;"/"&amp;(B239+1))</f>
        <v>4051/4052</v>
      </c>
      <c r="L239" s="185" t="str">
        <f>VLOOKUP(A239,'Trips&amp;Operators'!$C$1:$G$99911,5,FALSE)</f>
        <v>BADERTSCHER DIANE</v>
      </c>
      <c r="M239" s="6">
        <f>I239-F239</f>
        <v>1.273148154723458E-4</v>
      </c>
      <c r="N239" s="7">
        <f>24*60*SUM($M239:$M239)</f>
        <v>0.18333333428017795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-11-06T17:46:19-0700',mode:absolute,to:'2017-11-06T19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7</v>
      </c>
      <c r="Y239" s="204">
        <f>RIGHT(D239,LEN(D239)-4)/10000</f>
        <v>0.15</v>
      </c>
      <c r="Z239" s="204">
        <f>RIGHT(H239,LEN(H239)-4)/10000</f>
        <v>0.1799</v>
      </c>
      <c r="AA239" s="204">
        <f>ABS(Z239-Y239)</f>
        <v>2.990000000000001E-2</v>
      </c>
      <c r="AB239" s="54" t="e">
        <f>VLOOKUP(A239,Enforcements!$C$7:$K$10,8,0)</f>
        <v>#N/A</v>
      </c>
      <c r="AC239" s="51" t="e">
        <f>VLOOKUP(A239,Enforcements!$C$7:$E$10,3,0)</f>
        <v>#N/A</v>
      </c>
      <c r="AD239" s="179">
        <f>VALUE(LEFT(A239,LEN(A239)-3))</f>
        <v>75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/stypes="app*4052*20171107*" /stext=" 01:.+((SYSTEM_STATE.+slice.+state.+changed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56"/>
        <v>"%USERPROFILE%\Documents\GitHub\eaglep3\Utilities\RefineRTDCRunTimes.py" --tripid 75-06 --locoid 4052 --swversion DE.1.0.9.0 --startMP 204:1500 --initTime 2017-11-06T18:46:19 --startdatetime 2017-11-06T18:51:10 --delay 99 --endMP 204:1799 --enddatetime 2017-11-06T18:51:21 --enforcementcount 0 &gt;&gt;%USERPROFILE%\Documents\GitHub\eaglep3-reporting\EC\2017-11-06-refined-times.txt</v>
      </c>
      <c r="AI239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0.1799"},{"id":17,"name":"Train ID","value":"75-06"},{"id":16,"name":"Locomotive ID","value":"4052"},{"id":130,"name":"Impact","value":""},{"id":150,"name":"Time of Event (Mountain Time)","value":"18:51:21"},{"id":151,"name":"Denver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58"/>
        <v>start /low /b %USERPROFILE%\Documents\GitHub\eaglep3\Utilities\DownloadLogsFromS3.py --loco 4052 --day 2017-11-06</v>
      </c>
      <c r="AN239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60"/>
        <v>https://d0f6bd738d7f1b3e5a7ca70fe4ff75f0.us-east-1.aws.found.io/app/kibana#/discover/Steve-Slow-Train-Analysis-(2080s-and-2083s)?_g=(refreshInterval:(display:Off,pause:!f,section:0,value:0),time:(from:'2017-11-06T17:46:19-0700',mode:absolute,to:'2017-11-06T19:51:21-0700'))&amp;_a=(columns:!('Message%20ID',Summary),filters:!(),index:'emp_*',interval:auto,query:(query_string:(analyze_wildcard:!t,query:'%22rtdc.l.rtdc.4052%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846</v>
      </c>
      <c r="B240" s="7">
        <v>4009</v>
      </c>
      <c r="C240" s="21" t="s">
        <v>192</v>
      </c>
      <c r="D240" s="21" t="s">
        <v>1030</v>
      </c>
      <c r="E240" s="13">
        <v>43045.824108796296</v>
      </c>
      <c r="F240" s="13">
        <v>43045.825636574074</v>
      </c>
      <c r="G240" s="7">
        <v>71</v>
      </c>
      <c r="H240" s="21" t="s">
        <v>550</v>
      </c>
      <c r="I240" s="13">
        <v>43045.826631944445</v>
      </c>
      <c r="J240" s="7">
        <v>0</v>
      </c>
      <c r="K240" s="89" t="str">
        <f>IF(ISEVEN(B240),(B240-1)&amp;"/"&amp;B240,B240&amp;"/"&amp;(B240+1))</f>
        <v>4009/4010</v>
      </c>
      <c r="L240" s="185" t="str">
        <f>VLOOKUP(A240,'Trips&amp;Operators'!$C$1:$G$99911,5,FALSE)</f>
        <v>MAGEE KENYA</v>
      </c>
      <c r="M240" s="6">
        <f>I240-F240</f>
        <v>9.9537037021946162E-4</v>
      </c>
      <c r="N240" s="7">
        <f>24*60*SUM($M240:$M240)</f>
        <v>1.4333333331160247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-11-06T18:46:43-0700',mode:absolute,to:'2017-11-06T20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2</v>
      </c>
      <c r="Y240" s="204">
        <f>RIGHT(D240,LEN(D240)-4)/10000</f>
        <v>0.30030000000000001</v>
      </c>
      <c r="Z240" s="204">
        <f>RIGHT(H240,LEN(H240)-4)/10000</f>
        <v>2.12E-2</v>
      </c>
      <c r="AA240" s="204">
        <f>ABS(Z240-Y240)</f>
        <v>0.27910000000000001</v>
      </c>
      <c r="AB240" s="54" t="e">
        <f>VLOOKUP(A240,Enforcements!$C$7:$K$10,8,0)</f>
        <v>#N/A</v>
      </c>
      <c r="AC240" s="51" t="e">
        <f>VLOOKUP(A240,Enforcements!$C$7:$E$10,3,0)</f>
        <v>#N/A</v>
      </c>
      <c r="AD240" s="179">
        <f>VALUE(LEFT(A240,LEN(A240)-3))</f>
        <v>77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/stypes="app*4009*20171107*" /stext=" 02:.+((SYSTEM_STATE.+slice.+state.+changed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56"/>
        <v>"%USERPROFILE%\Documents\GitHub\eaglep3\Utilities\RefineRTDCRunTimes.py" --tripid 77-06 --locoid 4009 --swversion DE.1.0.9.0 --startMP 204:3003 --initTime 2017-11-06T19:46:43 --startdatetime 2017-11-06T19:48:55 --delay 71 --endMP 204:212 --enddatetime 2017-11-06T19:50:21 --enforcementcount 0 &gt;&gt;%USERPROFILE%\Documents\GitHub\eaglep3-reporting\EC\2017-11-06-refined-times.txt</v>
      </c>
      <c r="AI240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0.0212"},{"id":17,"name":"Train ID","value":"77-06"},{"id":16,"name":"Locomotive ID","value":"4009"},{"id":130,"name":"Impact","value":""},{"id":150,"name":"Time of Event (Mountain Time)","value":"19:50:21"},{"id":151,"name":"Denver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58"/>
        <v>start /low /b %USERPROFILE%\Documents\GitHub\eaglep3\Utilities\DownloadLogsFromS3.py --loco 4009 --day 2017-11-06</v>
      </c>
      <c r="AN240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60"/>
        <v>https://d0f6bd738d7f1b3e5a7ca70fe4ff75f0.us-east-1.aws.found.io/app/kibana#/discover/Steve-Slow-Train-Analysis-(2080s-and-2083s)?_g=(refreshInterval:(display:Off,pause:!f,section:0,value:0),time:(from:'2017-11-06T18:46:43-0700',mode:absolute,to:'2017-11-06T20:50:21-0700'))&amp;_a=(columns:!('Message%20ID',Summary),filters:!(),index:'emp_*',interval:auto,query:(query_string:(analyze_wildcard:!t,query:'%22rtdc.l.rtdc.4009%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846</v>
      </c>
      <c r="B241" s="7">
        <v>4010</v>
      </c>
      <c r="C241" s="21" t="s">
        <v>192</v>
      </c>
      <c r="D241" s="21" t="s">
        <v>1031</v>
      </c>
      <c r="E241" s="13">
        <v>43045.821018518516</v>
      </c>
      <c r="F241" s="13">
        <v>43045.825636574074</v>
      </c>
      <c r="G241" s="7">
        <v>72</v>
      </c>
      <c r="H241" s="21" t="s">
        <v>1032</v>
      </c>
      <c r="I241" s="13">
        <v>43045.826631944445</v>
      </c>
      <c r="J241" s="7">
        <v>0</v>
      </c>
      <c r="K241" s="89" t="str">
        <f>IF(ISEVEN(B241),(B241-1)&amp;"/"&amp;B241,B241&amp;"/"&amp;(B241+1))</f>
        <v>4009/4010</v>
      </c>
      <c r="L241" s="185" t="str">
        <f>VLOOKUP(A241,'Trips&amp;Operators'!$C$1:$G$99911,5,FALSE)</f>
        <v>MAGEE KENYA</v>
      </c>
      <c r="M241" s="6">
        <f>I241-F241</f>
        <v>9.9537037021946162E-4</v>
      </c>
      <c r="N241" s="7">
        <f>24*60*SUM($M241:$M241)</f>
        <v>1.4333333331160247</v>
      </c>
      <c r="O241" s="7"/>
      <c r="P241" s="7"/>
      <c r="Q241" s="22"/>
      <c r="R241" s="174"/>
      <c r="S241" s="221">
        <f>1/IF(AG241="EC",12,1)*SUM(U241:U241)</f>
        <v>0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-11-06T18:42:16-0700',mode:absolute,to:'2017-11-06T20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0</v>
      </c>
      <c r="Y241" s="204">
        <f>RIGHT(D241,LEN(D241)-4)/10000</f>
        <v>0.1158</v>
      </c>
      <c r="Z241" s="204">
        <f>RIGHT(H241,LEN(H241)-4)/10000</f>
        <v>0.33500000000000002</v>
      </c>
      <c r="AA241" s="204">
        <f>ABS(Z241-Y241)</f>
        <v>0.21920000000000001</v>
      </c>
      <c r="AB241" s="54" t="e">
        <f>VLOOKUP(A241,Enforcements!$C$7:$K$10,8,0)</f>
        <v>#N/A</v>
      </c>
      <c r="AC241" s="51" t="e">
        <f>VLOOKUP(A241,Enforcements!$C$7:$E$10,3,0)</f>
        <v>#N/A</v>
      </c>
      <c r="AD241" s="179">
        <f>VALUE(LEFT(A241,LEN(A241)-3))</f>
        <v>77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/stypes="app*4010*20171107*" /stext=" 02:.+((SYSTEM_STATE.+slice.+state.+changed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56"/>
        <v>"%USERPROFILE%\Documents\GitHub\eaglep3\Utilities\RefineRTDCRunTimes.py" --tripid 77-06 --locoid 4010 --swversion DE.1.0.9.0 --startMP 204:1158 --initTime 2017-11-06T19:42:16 --startdatetime 2017-11-06T19:48:55 --delay 72 --endMP 204:3350 --enddatetime 2017-11-06T19:50:21 --enforcementcount 0 &gt;&gt;%USERPROFILE%\Documents\GitHub\eaglep3-reporting\EC\2017-11-06-refined-times.txt</v>
      </c>
      <c r="AI241" s="96" t="str">
        <f t="shared" si="57"/>
        <v>echo {"issue":{"subject":"","project_id":79,"tracker_id":40,"status_id":1,"priority_id":2,"assigned_to_id":338,"start_date":"2017-11-06","description":"","custom_fields":[{"id":1,"name":"Subdivision","value":"Shuttle/Test"},{"id":4,"name":"Milepost","value":"0.335"},{"id":17,"name":"Train ID","value":"77-06"},{"id":16,"name":"Locomotive ID","value":"4010"},{"id":130,"name":"Impact","value":""},{"id":150,"name":"Time of Event (Mountain Time)","value":"19:50:21"},{"id":151,"name":"Denver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58"/>
        <v>start /low /b %USERPROFILE%\Documents\GitHub\eaglep3\Utilities\DownloadLogsFromS3.py --loco 4010 --day 2017-11-06</v>
      </c>
      <c r="AN241" s="151" t="str">
        <f t="shared" si="59"/>
        <v>echo {"issue":{"subject":"","project_id":30,"tracker_id":4,"status_id":1,"priority_id":1,"assigned_to_id":10,"start_date":"2017-11-07","description":"","custom_fields":[{"id":30,"name":"Category","value":"Issue"},{"id":3,"name":"Functional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UTC","value":"2017-11-07 02:50:21"},{"id":29,"name":"Sharepoint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60"/>
        <v>https://d0f6bd738d7f1b3e5a7ca70fe4ff75f0.us-east-1.aws.found.io/app/kibana#/discover/Steve-Slow-Train-Analysis-(2080s-and-2083s)?_g=(refreshInterval:(display:Off,pause:!f,section:0,value:0),time:(from:'2017-11-06T18:42:16-0700',mode:absolute,to:'2017-11-06T20:50:21-0700'))&amp;_a=(columns:!('Message%20ID',Summary),filters:!(),index:'emp_*',interval:auto,query:(query_string:(analyze_wildcard:!t,query:'%22rtdc.l.rtdc.4010%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4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4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4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4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4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4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4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4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4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4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4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</sheetData>
  <autoFilter ref="A12:AG453">
    <sortState ref="A13:AG453">
      <sortCondition ref="AG13:AG241"/>
      <sortCondition ref="AD13:AD241"/>
    </sortState>
  </autoFilter>
  <sortState ref="A13:AN358">
    <sortCondition ref="AG13:AG358"/>
    <sortCondition ref="AD13:AD358"/>
  </sortState>
  <mergeCells count="1">
    <mergeCell ref="A11:P11"/>
  </mergeCells>
  <conditionalFormatting sqref="W11:W12 W459:X1048576 W13:X241">
    <cfRule type="cellIs" dxfId="18" priority="465" operator="equal">
      <formula>"Y"</formula>
    </cfRule>
  </conditionalFormatting>
  <conditionalFormatting sqref="X459:X1048576 X13:X241">
    <cfRule type="cellIs" dxfId="17" priority="448" operator="greaterThan">
      <formula>1</formula>
    </cfRule>
  </conditionalFormatting>
  <conditionalFormatting sqref="X459:X1048576 X12:X241">
    <cfRule type="cellIs" dxfId="16" priority="445" operator="equal">
      <formula>0</formula>
    </cfRule>
  </conditionalFormatting>
  <conditionalFormatting sqref="A13:S68 A70:S241 A69:Q69 S69">
    <cfRule type="expression" dxfId="15" priority="439" stopIfTrue="1">
      <formula>$P13&gt;0</formula>
    </cfRule>
    <cfRule type="expression" dxfId="14" priority="440" stopIfTrue="1">
      <formula>$O13&gt;0</formula>
    </cfRule>
  </conditionalFormatting>
  <conditionalFormatting sqref="R69">
    <cfRule type="expression" dxfId="3" priority="2" stopIfTrue="1">
      <formula>$P69&gt;0</formula>
    </cfRule>
    <cfRule type="expression" dxfId="2" priority="3" stopIfTrue="1">
      <formula>$O69&gt;0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A13:S68 A70:S241 A69:Q69 S69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A13:S68 A70:S241 A69:Q69 S69</xm:sqref>
        </x14:conditionalFormatting>
        <x14:conditionalFormatting xmlns:xm="http://schemas.microsoft.com/office/excel/2006/main">
          <x14:cfRule type="expression" priority="4" stopIfTrue="1" id="{595AE760-2BF6-4374-97E5-FA39C4DEEAA0}">
            <xm:f>IF($AG69="EC",OR($N69&gt;'[Train Runs and Enforcements 2017-11-05.xlsm]Variables'!#REF!,$N69&lt;'[Train Runs and Enforcements 2017-11-05.xlsm]Variables'!#REF!),OR($N69&gt;'[Train Runs and Enforcements 2017-11-05.xlsm]Variables'!#REF!,$N69&lt;'[Train Runs and Enforcements 2017-11-05.xlsm]Variables'!#REF!))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R69</xm:sqref>
        </x14:conditionalFormatting>
        <x14:conditionalFormatting xmlns:xm="http://schemas.microsoft.com/office/excel/2006/main">
          <x14:cfRule type="expression" priority="1" stopIfTrue="1" id="{BEE01853-92F3-4DEC-9594-250C9E49A80A}">
            <xm:f>IF($AG69="EC",OR($N69&gt;'[Train Runs and Enforcements 2017-11-05.xlsm]Variables'!#REF!,$N69&lt;'[Train Runs and Enforcements 2017-11-05.xlsm]Variables'!#REF!),OR($N69&gt;'[Train Runs and Enforcements 2017-11-05.xlsm]Variables'!#REF!,$N69&lt;'[Train Runs and Enforcements 2017-11-05.xlsm]Variables'!#REF!))</xm:f>
            <x14:dxf>
              <fill>
                <patternFill>
                  <bgColor theme="5" tint="0.79998168889431442"/>
                </patternFill>
              </fill>
            </x14:dxf>
          </x14:cfRule>
          <xm:sqref>R69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8"/>
  <sheetViews>
    <sheetView topLeftCell="A2" zoomScaleNormal="100" workbookViewId="0">
      <selection activeCell="N34" sqref="N3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COUNTIF($O$7:$O$232,"=Y")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COUNTA($O$7:$O$232)-O2</f>
        <v>18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- 2017-11-06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43045.732847222222</v>
      </c>
      <c r="B7" s="30" t="s">
        <v>379</v>
      </c>
      <c r="C7" s="30" t="s">
        <v>659</v>
      </c>
      <c r="D7" s="30" t="s">
        <v>49</v>
      </c>
      <c r="E7" s="30" t="s">
        <v>183</v>
      </c>
      <c r="F7" s="42">
        <v>360</v>
      </c>
      <c r="G7" s="42">
        <v>411</v>
      </c>
      <c r="H7" s="42">
        <v>110200</v>
      </c>
      <c r="I7" s="42">
        <v>108979</v>
      </c>
      <c r="J7" s="30" t="s">
        <v>184</v>
      </c>
      <c r="K7" s="42">
        <v>109135</v>
      </c>
      <c r="L7" s="131" t="s">
        <v>51</v>
      </c>
      <c r="M7" s="132">
        <f>CONVERT((I7-K7)/10000,"mi","ft")*IF(L7="Increasing Mileposts (1)",-1,1)</f>
        <v>-82.367999999999995</v>
      </c>
      <c r="N7" s="133" t="str">
        <f>VLOOKUP(C7,'Trips&amp;Operators'!$C$1:$G$99911,5,FALSE)</f>
        <v>SMITH MICHAEL</v>
      </c>
      <c r="O7" s="176" t="s">
        <v>178</v>
      </c>
      <c r="P7" s="134" t="s">
        <v>344</v>
      </c>
      <c r="Q7" s="30"/>
      <c r="R7" s="81" t="str">
        <f>VLOOKUP(C7,'Train Runs'!$A$13:$AE$10112,31,0)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S7" s="84" t="str">
        <f>VLOOKUP(C7,'Train Runs'!$A$13:$AE$10112,22,0)</f>
        <v>https://d0f6bd738d7f1b3e5a7ca70fe4ff75f0.us-east-1.aws.found.io/app/kibana#/discover/Steve-Slow-Train-Analysis-(2080s-and-2083s)?_g=(refreshInterval:(display:Off,pause:!f,section:0,value:0),time:(from:'2017-11-06T16:00:11-0700',mode:absolute,to:'2017-11-06T18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/stypes="*4011*201711070*" /stext=" 00:.+((SYSTEM_STATE.+slice.+state.+changed )|(ment ac)|(multiple cpu faults)|(system.+state.+changed )|(\[timeout)|(PRM\|1\|D)|(kpr)|(kdp)|(train st.+moving)|(\|lc)|(penalty))"</v>
      </c>
      <c r="U7" s="9" t="str">
        <f>MID(B7,13,4)</f>
        <v>4011</v>
      </c>
      <c r="V7" s="31">
        <f>A7-utc_offset/24</f>
        <v>43046.024513888886</v>
      </c>
      <c r="W7" s="45" t="str">
        <f>DetSubdiv(C7)</f>
        <v>EC</v>
      </c>
      <c r="X7" s="22">
        <f>VALUE(LEFT(C7,LEN(C7)-3))</f>
        <v>202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Arrival","project_id":79,"tracker_id":40,"status_id":1,"priority_id":2,"assigned_to_id":338,"start_date":"2017-11-06","description":"","custom_fields":[{"id":1,"name":"Subdivision","value":"EC"},{"id":4,"name":"Milepost","value":"10.9135"},{"id":17,"name":"Train ID","value":"202-06"},{"id":16,"name":"Locomotive ID","value":"4011"},{"id":130,"name":"Impact","value":""},{"id":150,"name":"Time of Event (Mountain Time)","value":"17:35:18"},{"id":151,"name":"Denver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/c/Users/stu/AppData/Local/Temp/OnboardLogs/RTDC4011 --include="*4011*201711070*"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"%USERPROFILE%\AppData\Local\Temp\OnboardLogs"\RTDC4011\*4011*201711070* &gt;&gt; 2017-11-06-SliceDisagreementCheck.txt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4011 --day 2017-11-07</v>
      </c>
    </row>
    <row r="8" spans="1:32" s="1" customFormat="1" x14ac:dyDescent="0.3">
      <c r="A8" s="31">
        <v>43045.406319444446</v>
      </c>
      <c r="B8" s="30" t="s">
        <v>642</v>
      </c>
      <c r="C8" s="30" t="s">
        <v>647</v>
      </c>
      <c r="D8" s="30" t="s">
        <v>49</v>
      </c>
      <c r="E8" s="30" t="s">
        <v>183</v>
      </c>
      <c r="F8" s="42">
        <v>370</v>
      </c>
      <c r="G8" s="42">
        <v>424</v>
      </c>
      <c r="H8" s="42">
        <v>110226</v>
      </c>
      <c r="I8" s="42">
        <v>108795</v>
      </c>
      <c r="J8" s="30" t="s">
        <v>184</v>
      </c>
      <c r="K8" s="42">
        <v>109135</v>
      </c>
      <c r="L8" s="131" t="s">
        <v>51</v>
      </c>
      <c r="M8" s="132">
        <f>CONVERT((I8-K8)/10000,"mi","ft")*IF(L8="Increasing Mileposts (1)",-1,1)</f>
        <v>-179.52</v>
      </c>
      <c r="N8" s="133" t="str">
        <f>VLOOKUP(C8,'Trips&amp;Operators'!$C$1:$G$99911,5,FALSE)</f>
        <v>THOMPSON LESTER</v>
      </c>
      <c r="O8" s="176" t="s">
        <v>178</v>
      </c>
      <c r="P8" s="134" t="s">
        <v>344</v>
      </c>
      <c r="Q8" s="30"/>
      <c r="R8" s="81" t="str">
        <f>VLOOKUP(C8,'Train Runs'!$A$13:$AE$10112,31,0)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S8" s="84" t="str">
        <f>VLOOKUP(C8,'Train Runs'!$A$13:$AE$10112,22,0)</f>
        <v>https://d0f6bd738d7f1b3e5a7ca70fe4ff75f0.us-east-1.aws.found.io/app/kibana#/discover/Steve-Slow-Train-Analysis-(2080s-and-2083s)?_g=(refreshInterval:(display:Off,pause:!f,section:0,value:0),time:(from:'2017-11-06T08:20:50-0700',mode:absolute,to:'2017-11-06T11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/stypes="*4003*201711061*" /stext=" 16:.+((SYSTEM_STATE.+slice.+state.+changed )|(ment ac)|(multiple cpu faults)|(system.+state.+changed )|(\[timeout)|(PRM\|1\|D)|(kpr)|(kdp)|(train st.+moving)|(\|lc)|(penalty))"</v>
      </c>
      <c r="U8" s="9" t="str">
        <f>MID(B8,13,4)</f>
        <v>4003</v>
      </c>
      <c r="V8" s="31">
        <f>A8-utc_offset/24</f>
        <v>43045.69798611111</v>
      </c>
      <c r="W8" s="45" t="str">
        <f>DetSubdiv(C8)</f>
        <v>EC</v>
      </c>
      <c r="X8" s="22">
        <f>VALUE(LEFT(C8,LEN(C8)-3))</f>
        <v>140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Arrival","project_id":79,"tracker_id":40,"status_id":1,"priority_id":2,"assigned_to_id":338,"start_date":"2017-11-06","description":"","custom_fields":[{"id":1,"name":"Subdivision","value":"EC"},{"id":4,"name":"Milepost","value":"10.9135"},{"id":17,"name":"Train ID","value":"140-06"},{"id":16,"name":"Locomotive ID","value":"4003"},{"id":130,"name":"Impact","value":""},{"id":150,"name":"Time of Event (Mountain Time)","value":"09:45:06"},{"id":151,"name":"Denver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/c/Users/stu/AppData/Local/Temp/OnboardLogs/RTDC4003 --include="*4003*201711061*"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"%USERPROFILE%\AppData\Local\Temp\OnboardLogs"\RTDC4003\*4003*201711061* &gt;&gt; 2017-11-06-SliceDisagreementCheck.txt</v>
      </c>
      <c r="AE8" s="145" t="str">
        <f t="shared" ref="AE8:AE30" si="1">"start /low /b "&amp;dls3logs&amp;" --loco "&amp;U8&amp;" --day "&amp;TEXT(V8,"YYYY-MM-DD")</f>
        <v>start /low /b %USERPROFILE%\Documents\GitHub\eaglep3\Utilities\DownloadLogsFromS3.py --loco 4003 --day 2017-11-06</v>
      </c>
    </row>
    <row r="9" spans="1:32" s="1" customFormat="1" x14ac:dyDescent="0.3">
      <c r="A9" s="31">
        <v>43045.437094907407</v>
      </c>
      <c r="B9" s="30" t="s">
        <v>379</v>
      </c>
      <c r="C9" s="30" t="s">
        <v>649</v>
      </c>
      <c r="D9" s="30" t="s">
        <v>49</v>
      </c>
      <c r="E9" s="30" t="s">
        <v>183</v>
      </c>
      <c r="F9" s="42">
        <v>380</v>
      </c>
      <c r="G9" s="42">
        <v>435</v>
      </c>
      <c r="H9" s="42">
        <v>110249</v>
      </c>
      <c r="I9" s="42">
        <v>108970</v>
      </c>
      <c r="J9" s="30" t="s">
        <v>184</v>
      </c>
      <c r="K9" s="42">
        <v>109135</v>
      </c>
      <c r="L9" s="131" t="s">
        <v>51</v>
      </c>
      <c r="M9" s="132">
        <f>CONVERT((I9-K9)/10000,"mi","ft")*IF(L9="Increasing Mileposts (1)",-1,1)</f>
        <v>-87.12</v>
      </c>
      <c r="N9" s="133" t="str">
        <f>VLOOKUP(C9,'Trips&amp;Operators'!$C$1:$G$99911,5,FALSE)</f>
        <v>LAMAR NEKESHA</v>
      </c>
      <c r="O9" s="176" t="s">
        <v>178</v>
      </c>
      <c r="P9" s="134" t="s">
        <v>344</v>
      </c>
      <c r="Q9" s="30"/>
      <c r="R9" s="81" t="str">
        <f>VLOOKUP(C9,'Train Runs'!$A$13:$AE$10112,31,0)</f>
        <v>aws s3 cp s3://rtdc.mdm.uploadarchive.raw/RTDC4011/ "%USERPROFILE%\AppData\Local\Temp\OnboardLogs"\RTDC4011\2017-11-06 --exclude "*" --recursive --include "*20171106*" &amp; "%USERPROFILE%\Documents\GitHub\mrs-test-scripts\Headless Mode &amp; Sideloading\WalkAndUnGZ.bat" "%USERPROFILE%\AppData\Local\Temp\OnboardLogs"\RTDC4011\2017-11-06 &amp; aws s3 cp s3://rtdc.mdm.uploadarchive.raw/RTDC4011/ "%USERPROFILE%\AppData\Local\Temp\OnboardLogs"\RTDC4011\2017-11-07 --exclude "*" --recursive --include "*20171107*" &amp; "%USERPROFILE%\Documents\GitHub\mrs-test-scripts\Headless Mode &amp; Sideloading\WalkAndUnGZ.bat" "%USERPROFILE%\AppData\Local\Temp\OnboardLogs"\RTDC4011\2017-11-07</v>
      </c>
      <c r="S9" s="84" t="str">
        <f>VLOOKUP(C9,'Train Runs'!$A$13:$AE$10112,22,0)</f>
        <v>https://d0f6bd738d7f1b3e5a7ca70fe4ff75f0.us-east-1.aws.found.io/app/kibana#/discover/Steve-Slow-Train-Analysis-(2080s-and-2083s)?_g=(refreshInterval:(display:Off,pause:!f,section:0,value:0),time:(from:'2017-11-06T09:05:29-0700',mode:absolute,to:'2017-11-06T11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/stypes="*4011*201711061*" /stext=" 17:.+((SYSTEM_STATE.+slice.+state.+changed )|(ment ac)|(multiple cpu faults)|(system.+state.+changed )|(\[timeout)|(PRM\|1\|D)|(kpr)|(kdp)|(train st.+moving)|(\|lc)|(penalty))"</v>
      </c>
      <c r="U9" s="9" t="str">
        <f>MID(B9,13,4)</f>
        <v>4011</v>
      </c>
      <c r="V9" s="31">
        <f>A9-utc_offset/24</f>
        <v>43045.728761574072</v>
      </c>
      <c r="W9" s="45" t="str">
        <f>DetSubdiv(C9)</f>
        <v>EC</v>
      </c>
      <c r="X9" s="22">
        <f>VALUE(LEFT(C9,LEN(C9)-3))</f>
        <v>146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Arrival","project_id":79,"tracker_id":40,"status_id":1,"priority_id":2,"assigned_to_id":338,"start_date":"2017-11-06","description":"","custom_fields":[{"id":1,"name":"Subdivision","value":"EC"},{"id":4,"name":"Milepost","value":"10.9135"},{"id":17,"name":"Train ID","value":"146-06"},{"id":16,"name":"Locomotive ID","value":"4011"},{"id":130,"name":"Impact","value":""},{"id":150,"name":"Time of Event (Mountain Time)","value":"10:29:25"},{"id":151,"name":"Denver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/c/Users/stu/AppData/Local/Temp/OnboardLogs/RTDC4011 --include="*4011*201711061*"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"%USERPROFILE%\AppData\Local\Temp\OnboardLogs"\RTDC4011\*4011*201711061* &gt;&gt; 2017-11-06-SliceDisagreementCheck.txt</v>
      </c>
      <c r="AE9" s="145" t="str">
        <f t="shared" si="1"/>
        <v>start /low /b %USERPROFILE%\Documents\GitHub\eaglep3\Utilities\DownloadLogsFromS3.py --loco 4011 --day 2017-11-06</v>
      </c>
    </row>
    <row r="10" spans="1:32" s="1" customFormat="1" x14ac:dyDescent="0.3">
      <c r="A10" s="31">
        <v>43045.793321759258</v>
      </c>
      <c r="B10" s="30" t="s">
        <v>635</v>
      </c>
      <c r="C10" s="30" t="s">
        <v>662</v>
      </c>
      <c r="D10" s="30" t="s">
        <v>95</v>
      </c>
      <c r="E10" s="30" t="s">
        <v>190</v>
      </c>
      <c r="F10" s="42">
        <v>200</v>
      </c>
      <c r="G10" s="42">
        <v>251</v>
      </c>
      <c r="H10" s="42">
        <v>5314</v>
      </c>
      <c r="I10" s="42">
        <v>5859</v>
      </c>
      <c r="J10" s="30" t="s">
        <v>191</v>
      </c>
      <c r="K10" s="42">
        <v>4677</v>
      </c>
      <c r="L10" s="131" t="s">
        <v>50</v>
      </c>
      <c r="M10" s="132">
        <f>CONVERT((I10-K10)/10000,"mi","ft")*IF(L10="Increasing Mileposts (1)",-1,1)</f>
        <v>-624.096</v>
      </c>
      <c r="N10" s="133" t="str">
        <f>VLOOKUP(C10,'Trips&amp;Operators'!$C$1:$G$99911,5,FALSE)</f>
        <v>ELBAUM MIKE</v>
      </c>
      <c r="O10" s="176" t="s">
        <v>178</v>
      </c>
      <c r="P10" s="134"/>
      <c r="Q10" s="30"/>
      <c r="R10" s="81" t="str">
        <f>VLOOKUP(C10,'Train Runs'!$A$13:$AE$10112,31,0)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S10" s="84" t="str">
        <f>VLOOKUP(C10,'Train Runs'!$A$13:$AE$10112,22,0)</f>
        <v>https://d0f6bd738d7f1b3e5a7ca70fe4ff75f0.us-east-1.aws.found.io/app/kibana#/discover/Steve-Slow-Train-Analysis-(2080s-and-2083s)?_g=(refreshInterval:(display:Off,pause:!f,section:0,value:0),time:(from:'2017-11-06T17:55:35-0700',mode:absolute,to:'2017-11-06T20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/stypes="*4004*201711070*" /stext=" 02:.+((SYSTEM_STATE.+slice.+state.+changed )|(ment ac)|(multiple cpu faults)|(system.+state.+changed )|(\[timeout)|(PRM\|1\|D)|(kpr)|(kdp)|(train st.+moving)|(\|lc)|(penalty))"</v>
      </c>
      <c r="U10" s="9" t="str">
        <f>MID(B10,13,4)</f>
        <v>4004</v>
      </c>
      <c r="V10" s="31">
        <f>A10-utc_offset/24</f>
        <v>43046.084988425922</v>
      </c>
      <c r="W10" s="45" t="str">
        <f>DetSubdiv(C10)</f>
        <v>EC</v>
      </c>
      <c r="X10" s="22">
        <f>VALUE(LEFT(C10,LEN(C10)-3))</f>
        <v>221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{"issue":{"subject":"","project_id":79,"tracker_id":40,"status_id":1,"priority_id":2,"assigned_to_id":338,"start_date":"2017-11-06","description":"","custom_fields":[{"id":1,"name":"Subdivision","value":"EC"},{"id":4,"name":"Milepost","value":"0.4677"},{"id":17,"name":"Train ID","value":"221-06"},{"id":16,"name":"Locomotive ID","value":"4004"},{"id":130,"name":"Impact","value":""},{"id":150,"name":"Time of Event (Mountain Time)","value":"19:02:23"},{"id":151,"name":"Denver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/c/Users/stu/AppData/Local/Temp/OnboardLogs/RTDC4004 --include="*4004*201711070*"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"%USERPROFILE%\AppData\Local\Temp\OnboardLogs"\RTDC4004\*4004*201711070* &gt;&gt; 2017-11-06-SliceDisagreementCheck.txt</v>
      </c>
      <c r="AE10" s="145" t="str">
        <f t="shared" si="1"/>
        <v>start /low /b %USERPROFILE%\Documents\GitHub\eaglep3\Utilities\DownloadLogsFromS3.py --loco 4004 --day 2017-11-07</v>
      </c>
    </row>
    <row r="11" spans="1:32" x14ac:dyDescent="0.3">
      <c r="A11" s="31">
        <v>43045.139189814814</v>
      </c>
      <c r="B11" s="30" t="s">
        <v>635</v>
      </c>
      <c r="C11" s="30" t="s">
        <v>636</v>
      </c>
      <c r="D11" s="30" t="s">
        <v>49</v>
      </c>
      <c r="E11" s="30" t="s">
        <v>190</v>
      </c>
      <c r="F11" s="42">
        <v>400</v>
      </c>
      <c r="G11" s="42">
        <v>562</v>
      </c>
      <c r="H11" s="42">
        <v>14350</v>
      </c>
      <c r="I11" s="42">
        <v>17614</v>
      </c>
      <c r="J11" s="30" t="s">
        <v>191</v>
      </c>
      <c r="K11" s="42">
        <v>17867</v>
      </c>
      <c r="L11" s="131" t="s">
        <v>50</v>
      </c>
      <c r="M11" s="132">
        <f>CONVERT((I11-K11)/10000,"mi","ft")*IF(L11="Increasing Mileposts (1)",-1,1)</f>
        <v>133.584</v>
      </c>
      <c r="N11" s="133" t="str">
        <f>VLOOKUP(C11,'Trips&amp;Operators'!$C$1:$G$99911,5,FALSE)</f>
        <v>THOMPSON LESTER</v>
      </c>
      <c r="O11" s="176" t="s">
        <v>178</v>
      </c>
      <c r="P11" s="134"/>
      <c r="Q11" s="30"/>
      <c r="R11" s="81" t="str">
        <f>VLOOKUP(C11,'Train Runs'!$A$13:$AE$10112,31,0)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S11" s="84" t="str">
        <f>VLOOKUP(C11,'Train Runs'!$A$13:$AE$10112,22,0)</f>
        <v>https://d0f6bd738d7f1b3e5a7ca70fe4ff75f0.us-east-1.aws.found.io/app/kibana#/discover/Steve-Slow-Train-Analysis-(2080s-and-2083s)?_g=(refreshInterval:(display:Off,pause:!f,section:0,value:0),time:(from:'2017-11-06T01:58:13-0700',mode:absolute,to:'2017-11-06T04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/stypes="*4004*201711061*" /stext=" 10:.+((SYSTEM_STATE.+slice.+state.+changed )|(ment ac)|(multiple cpu faults)|(system.+state.+changed )|(\[timeout)|(PRM\|1\|D)|(kpr)|(kdp)|(train st.+moving)|(\|lc)|(penalty))"</v>
      </c>
      <c r="U11" s="9" t="str">
        <f>MID(B11,13,4)</f>
        <v>4004</v>
      </c>
      <c r="V11" s="31">
        <f>A11-utc_offset/24</f>
        <v>43045.430856481478</v>
      </c>
      <c r="W11" s="45" t="str">
        <f>DetSubdiv(C11)</f>
        <v>EC</v>
      </c>
      <c r="X11" s="22">
        <f>VALUE(LEFT(C11,LEN(C11)-3))</f>
        <v>101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{"issue":{"subject":"","project_id":79,"tracker_id":40,"status_id":1,"priority_id":2,"assigned_to_id":338,"start_date":"2017-11-06","description":"","custom_fields":[{"id":1,"name":"Subdivision","value":"EC"},{"id":4,"name":"Milepost","value":"1.7867"},{"id":17,"name":"Train ID","value":"101-06"},{"id":16,"name":"Locomotive ID","value":"4004"},{"id":130,"name":"Impact","value":""},{"id":150,"name":"Time of Event (Mountain Time)","value":"03:20:26"},{"id":151,"name":"Denver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/c/Users/stu/AppData/Local/Temp/OnboardLogs/RTDC4004 --include="*4004*201711061*"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"%USERPROFILE%\AppData\Local\Temp\OnboardLogs"\RTDC4004\*4004*201711061* &gt;&gt; 2017-11-06-SliceDisagreementCheck.txt</v>
      </c>
      <c r="AE11" s="145" t="str">
        <f t="shared" si="1"/>
        <v>start /low /b %USERPROFILE%\Documents\GitHub\eaglep3\Utilities\DownloadLogsFromS3.py --loco 4004 --day 2017-11-06</v>
      </c>
      <c r="AF11" s="1"/>
    </row>
    <row r="12" spans="1:32" x14ac:dyDescent="0.3">
      <c r="A12" s="31">
        <v>43045.638124999998</v>
      </c>
      <c r="B12" s="30" t="s">
        <v>368</v>
      </c>
      <c r="C12" s="30" t="s">
        <v>657</v>
      </c>
      <c r="D12" s="30" t="s">
        <v>49</v>
      </c>
      <c r="E12" s="30" t="s">
        <v>190</v>
      </c>
      <c r="F12" s="42">
        <v>400</v>
      </c>
      <c r="G12" s="42">
        <v>563</v>
      </c>
      <c r="H12" s="42">
        <v>14380</v>
      </c>
      <c r="I12" s="42">
        <v>17817</v>
      </c>
      <c r="J12" s="30" t="s">
        <v>191</v>
      </c>
      <c r="K12" s="42">
        <v>17867</v>
      </c>
      <c r="L12" s="131" t="s">
        <v>50</v>
      </c>
      <c r="M12" s="132">
        <f>CONVERT((I12-K12)/10000,"mi","ft")*IF(L12="Increasing Mileposts (1)",-1,1)</f>
        <v>26.4</v>
      </c>
      <c r="N12" s="133" t="str">
        <f>VLOOKUP(C12,'Trips&amp;Operators'!$C$1:$G$99911,5,FALSE)</f>
        <v>ANDREA WILLIAMS</v>
      </c>
      <c r="O12" s="176" t="s">
        <v>178</v>
      </c>
      <c r="P12" s="134"/>
      <c r="Q12" s="30"/>
      <c r="R12" s="81" t="str">
        <f>VLOOKUP(C12,'Train Runs'!$A$13:$AE$10112,31,0)</f>
        <v>aws s3 cp s3://rtdc.mdm.uploadarchive.raw/RTDC4036/ "%USERPROFILE%\AppData\Local\Temp\OnboardLogs"\RTDC4036\2017-11-06 --exclude "*" --recursive --include "*20171106*" &amp; "%USERPROFILE%\Documents\GitHub\mrs-test-scripts\Headless Mode &amp; Sideloading\WalkAndUnGZ.bat" "%USERPROFILE%\AppData\Local\Temp\OnboardLogs"\RTDC4036\2017-11-06 &amp; aws s3 cp s3://rtdc.mdm.uploadarchive.raw/RTDC4036/ "%USERPROFILE%\AppData\Local\Temp\OnboardLogs"\RTDC4036\2017-11-07 --exclude "*" --recursive --include "*20171107*" &amp; "%USERPROFILE%\Documents\GitHub\mrs-test-scripts\Headless Mode &amp; Sideloading\WalkAndUnGZ.bat" "%USERPROFILE%\AppData\Local\Temp\OnboardLogs"\RTDC4036\2017-11-07</v>
      </c>
      <c r="S12" s="84" t="str">
        <f>VLOOKUP(C12,'Train Runs'!$A$13:$AE$10112,22,0)</f>
        <v>https://d0f6bd738d7f1b3e5a7ca70fe4ff75f0.us-east-1.aws.found.io/app/kibana#/discover/Steve-Slow-Train-Analysis-(2080s-and-2083s)?_g=(refreshInterval:(display:Off,pause:!f,section:0,value:0),time:(from:'2017-11-06T14:07:36-0700',mode:absolute,to:'2017-11-06T16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/stypes="*4036*201711062*" /stext=" 22:.+((SYSTEM_STATE.+slice.+state.+changed )|(ment ac)|(multiple cpu faults)|(system.+state.+changed )|(\[timeout)|(PRM\|1\|D)|(kpr)|(kdp)|(train st.+moving)|(\|lc)|(penalty))"</v>
      </c>
      <c r="U12" s="9" t="str">
        <f>MID(B12,13,4)</f>
        <v>4036</v>
      </c>
      <c r="V12" s="31">
        <f>A12-utc_offset/24</f>
        <v>43045.929791666662</v>
      </c>
      <c r="W12" s="45" t="str">
        <f>DetSubdiv(C12)</f>
        <v>EC</v>
      </c>
      <c r="X12" s="22">
        <f>VALUE(LEFT(C12,LEN(C12)-3))</f>
        <v>193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{"issue":{"subject":"","project_id":79,"tracker_id":40,"status_id":1,"priority_id":2,"assigned_to_id":338,"start_date":"2017-11-06","description":"","custom_fields":[{"id":1,"name":"Subdivision","value":"EC"},{"id":4,"name":"Milepost","value":"1.7867"},{"id":17,"name":"Train ID","value":"193-06"},{"id":16,"name":"Locomotive ID","value":"4036"},{"id":130,"name":"Impact","value":""},{"id":150,"name":"Time of Event (Mountain Time)","value":"15:18:54"},{"id":151,"name":"Denver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/c/Users/stu/AppData/Local/Temp/OnboardLogs/RTDC4036 --include="*4036*201711062*"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"%USERPROFILE%\AppData\Local\Temp\OnboardLogs"\RTDC4036\*4036*201711062* &gt;&gt; 2017-11-06-SliceDisagreementCheck.txt</v>
      </c>
      <c r="AE12" s="145" t="str">
        <f t="shared" si="1"/>
        <v>start /low /b %USERPROFILE%\Documents\GitHub\eaglep3\Utilities\DownloadLogsFromS3.py --loco 4036 --day 2017-11-06</v>
      </c>
      <c r="AF12" s="1"/>
    </row>
    <row r="13" spans="1:32" x14ac:dyDescent="0.3">
      <c r="A13" s="31">
        <v>43045.584409722222</v>
      </c>
      <c r="B13" s="30" t="s">
        <v>654</v>
      </c>
      <c r="C13" s="30" t="s">
        <v>655</v>
      </c>
      <c r="D13" s="30" t="s">
        <v>49</v>
      </c>
      <c r="E13" s="30" t="s">
        <v>190</v>
      </c>
      <c r="F13" s="42">
        <v>300</v>
      </c>
      <c r="G13" s="42">
        <v>430</v>
      </c>
      <c r="H13" s="42">
        <v>23517</v>
      </c>
      <c r="I13" s="42">
        <v>21961</v>
      </c>
      <c r="J13" s="30" t="s">
        <v>191</v>
      </c>
      <c r="K13" s="42">
        <v>21848</v>
      </c>
      <c r="L13" s="131" t="s">
        <v>51</v>
      </c>
      <c r="M13" s="132">
        <f>CONVERT((I13-K13)/10000,"mi","ft")*IF(L13="Increasing Mileposts (1)",-1,1)</f>
        <v>59.664000000000001</v>
      </c>
      <c r="N13" s="133" t="str">
        <f>VLOOKUP(C13,'Trips&amp;Operators'!$C$1:$G$99911,5,FALSE)</f>
        <v>BADERTSCHER DIANE</v>
      </c>
      <c r="O13" s="176" t="s">
        <v>178</v>
      </c>
      <c r="P13" s="134"/>
      <c r="Q13" s="30"/>
      <c r="R13" s="81" t="str">
        <f>VLOOKUP(C13,'Train Runs'!$A$13:$AE$10112,31,0)</f>
        <v>aws s3 cp s3://rtdc.mdm.uploadarchive.raw/RTDC4051/ "%USERPROFILE%\AppData\Local\Temp\OnboardLogs"\RTDC4051\2017-11-06 --exclude "*" --recursive --include "*20171106*" &amp; "%USERPROFILE%\Documents\GitHub\mrs-test-scripts\Headless Mode &amp; Sideloading\WalkAndUnGZ.bat" "%USERPROFILE%\AppData\Local\Temp\OnboardLogs"\RTDC4051\2017-11-06 &amp; aws s3 cp s3://rtdc.mdm.uploadarchive.raw/RTDC4051/ "%USERPROFILE%\AppData\Local\Temp\OnboardLogs"\RTDC4051\2017-11-07 --exclude "*" --recursive --include "*20171107*" &amp; "%USERPROFILE%\Documents\GitHub\mrs-test-scripts\Headless Mode &amp; Sideloading\WalkAndUnGZ.bat" "%USERPROFILE%\AppData\Local\Temp\OnboardLogs"\RTDC4051\2017-11-07</v>
      </c>
      <c r="S13" s="84" t="str">
        <f>VLOOKUP(C13,'Train Runs'!$A$13:$AE$10112,22,0)</f>
        <v>https://d0f6bd738d7f1b3e5a7ca70fe4ff75f0.us-east-1.aws.found.io/app/kibana#/discover/Steve-Slow-Train-Analysis-(2080s-and-2083s)?_g=(refreshInterval:(display:Off,pause:!f,section:0,value:0),time:(from:'2017-11-06T12:16:47-0700',mode:absolute,to:'2017-11-06T15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/stypes="*4051*201711062*" /stext=" 21:.+((SYSTEM_STATE.+slice.+state.+changed )|(ment ac)|(multiple cpu faults)|(system.+state.+changed )|(\[timeout)|(PRM\|1\|D)|(kpr)|(kdp)|(train st.+moving)|(\|lc)|(penalty))"</v>
      </c>
      <c r="U13" s="9" t="str">
        <f>MID(B13,13,4)</f>
        <v>4051</v>
      </c>
      <c r="V13" s="31">
        <f>A13-utc_offset/24</f>
        <v>43045.876076388886</v>
      </c>
      <c r="W13" s="45" t="str">
        <f>DetSubdiv(C13)</f>
        <v>EC</v>
      </c>
      <c r="X13" s="22">
        <f>VALUE(LEFT(C13,LEN(C13)-3))</f>
        <v>172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{"issue":{"subject":"","project_id":79,"tracker_id":40,"status_id":1,"priority_id":2,"assigned_to_id":338,"start_date":"2017-11-06","description":"","custom_fields":[{"id":1,"name":"Subdivision","value":"EC"},{"id":4,"name":"Milepost","value":"2.1848"},{"id":17,"name":"Train ID","value":"172-06"},{"id":16,"name":"Locomotive ID","value":"4051"},{"id":130,"name":"Impact","value":""},{"id":150,"name":"Time of Event (Mountain Time)","value":"14:01:33"},{"id":151,"name":"Denver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/c/Users/stu/AppData/Local/Temp/OnboardLogs/RTDC4051 --include="*4051*201711062*"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"%USERPROFILE%\AppData\Local\Temp\OnboardLogs"\RTDC4051\*4051*201711062* &gt;&gt; 2017-11-06-SliceDisagreementCheck.txt</v>
      </c>
      <c r="AE13" s="145" t="str">
        <f t="shared" si="1"/>
        <v>start /low /b %USERPROFILE%\Documents\GitHub\eaglep3\Utilities\DownloadLogsFromS3.py --loco 4051 --day 2017-11-06</v>
      </c>
      <c r="AF13" s="1"/>
    </row>
    <row r="14" spans="1:32" x14ac:dyDescent="0.3">
      <c r="A14" s="31">
        <v>43045.4218287037</v>
      </c>
      <c r="B14" s="30" t="s">
        <v>562</v>
      </c>
      <c r="C14" s="30" t="s">
        <v>648</v>
      </c>
      <c r="D14" s="30" t="s">
        <v>95</v>
      </c>
      <c r="E14" s="30" t="s">
        <v>190</v>
      </c>
      <c r="F14" s="42">
        <v>400</v>
      </c>
      <c r="G14" s="42">
        <v>455</v>
      </c>
      <c r="H14" s="42">
        <v>119665</v>
      </c>
      <c r="I14" s="42">
        <v>120958</v>
      </c>
      <c r="J14" s="30" t="s">
        <v>191</v>
      </c>
      <c r="K14" s="42">
        <v>116838</v>
      </c>
      <c r="L14" s="131" t="s">
        <v>50</v>
      </c>
      <c r="M14" s="132">
        <f>CONVERT((I14-K14)/10000,"mi","ft")*IF(L14="Increasing Mileposts (1)",-1,1)</f>
        <v>-2175.36</v>
      </c>
      <c r="N14" s="133" t="str">
        <f>VLOOKUP(C14,'Trips&amp;Operators'!$C$1:$G$99911,5,FALSE)</f>
        <v>BARRON PERLA</v>
      </c>
      <c r="O14" s="176" t="s">
        <v>178</v>
      </c>
      <c r="P14" s="134"/>
      <c r="Q14" s="30"/>
      <c r="R14" s="81" t="str">
        <f>VLOOKUP(C14,'Train Runs'!$A$13:$AE$10112,31,0)</f>
        <v>aws s3 cp s3://rtdc.mdm.uploadarchive.raw/RTDC4010/ "%USERPROFILE%\AppData\Local\Temp\OnboardLogs"\RTDC4010\2017-11-06 --exclude "*" --recursive --include "*20171106*" &amp; "%USERPROFILE%\Documents\GitHub\mrs-test-scripts\Headless Mode &amp; Sideloading\WalkAndUnGZ.bat" "%USERPROFILE%\AppData\Local\Temp\OnboardLogs"\RTDC4010\2017-11-06 &amp; aws s3 cp s3://rtdc.mdm.uploadarchive.raw/RTDC4010/ "%USERPROFILE%\AppData\Local\Temp\OnboardLogs"\RTDC4010\2017-11-07 --exclude "*" --recursive --include "*20171107*" &amp; "%USERPROFILE%\Documents\GitHub\mrs-test-scripts\Headless Mode &amp; Sideloading\WalkAndUnGZ.bat" "%USERPROFILE%\AppData\Local\Temp\OnboardLogs"\RTDC4010\2017-11-07</v>
      </c>
      <c r="S14" s="84" t="str">
        <f>VLOOKUP(C14,'Train Runs'!$A$13:$AE$10112,22,0)</f>
        <v>https://d0f6bd738d7f1b3e5a7ca70fe4ff75f0.us-east-1.aws.found.io/app/kibana#/discover/Steve-Slow-Train-Analysis-(2080s-and-2083s)?_g=(refreshInterval:(display:Off,pause:!f,section:0,value:0),time:(from:'2017-11-06T08:39:01-0700',mode:absolute,to:'2017-11-06T11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/stypes="*4010*201711061*" /stext=" 17:.+((SYSTEM_STATE.+slice.+state.+changed )|(ment ac)|(multiple cpu faults)|(system.+state.+changed )|(\[timeout)|(PRM\|1\|D)|(kpr)|(kdp)|(train st.+moving)|(\|lc)|(penalty))"</v>
      </c>
      <c r="U14" s="9" t="str">
        <f>MID(B14,13,4)</f>
        <v>4010</v>
      </c>
      <c r="V14" s="31">
        <f>A14-utc_offset/24</f>
        <v>43045.713495370364</v>
      </c>
      <c r="W14" s="45" t="str">
        <f>DetSubdiv(C14)</f>
        <v>EC</v>
      </c>
      <c r="X14" s="22">
        <f>VALUE(LEFT(C14,LEN(C14)-3))</f>
        <v>149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{"issue":{"subject":"","project_id":79,"tracker_id":40,"status_id":1,"priority_id":2,"assigned_to_id":338,"start_date":"2017-11-06","description":"","custom_fields":[{"id":1,"name":"Subdivision","value":"EC"},{"id":4,"name":"Milepost","value":"11.6838"},{"id":17,"name":"Train ID","value":"149-06"},{"id":16,"name":"Locomotive ID","value":"4010"},{"id":130,"name":"Impact","value":""},{"id":150,"name":"Time of Event (Mountain Time)","value":"10:07:26"},{"id":151,"name":"Denver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/c/Users/stu/AppData/Local/Temp/OnboardLogs/RTDC4010 --include="*4010*201711061*"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"%USERPROFILE%\AppData\Local\Temp\OnboardLogs"\RTDC4010\*4010*201711061* &gt;&gt; 2017-11-06-SliceDisagreementCheck.txt</v>
      </c>
      <c r="AE14" s="145" t="str">
        <f t="shared" si="1"/>
        <v>start /low /b %USERPROFILE%\Documents\GitHub\eaglep3\Utilities\DownloadLogsFromS3.py --loco 4010 --day 2017-11-06</v>
      </c>
      <c r="AF14" s="1"/>
    </row>
    <row r="15" spans="1:32" x14ac:dyDescent="0.3">
      <c r="A15" s="31">
        <v>43045.80678240741</v>
      </c>
      <c r="B15" s="30" t="s">
        <v>635</v>
      </c>
      <c r="C15" s="30" t="s">
        <v>662</v>
      </c>
      <c r="D15" s="30" t="s">
        <v>95</v>
      </c>
      <c r="E15" s="30" t="s">
        <v>190</v>
      </c>
      <c r="F15" s="42">
        <v>400</v>
      </c>
      <c r="G15" s="42">
        <v>452</v>
      </c>
      <c r="H15" s="42">
        <v>118809</v>
      </c>
      <c r="I15" s="42">
        <v>119941</v>
      </c>
      <c r="J15" s="30" t="s">
        <v>191</v>
      </c>
      <c r="K15" s="42">
        <v>116838</v>
      </c>
      <c r="L15" s="131" t="s">
        <v>50</v>
      </c>
      <c r="M15" s="132">
        <f>CONVERT((I15-K15)/10000,"mi","ft")*IF(L15="Increasing Mileposts (1)",-1,1)</f>
        <v>-1638.384</v>
      </c>
      <c r="N15" s="133" t="str">
        <f>VLOOKUP(C15,'Trips&amp;Operators'!$C$1:$G$99911,5,FALSE)</f>
        <v>ELBAUM MIKE</v>
      </c>
      <c r="O15" s="176" t="s">
        <v>178</v>
      </c>
      <c r="P15" s="134"/>
      <c r="Q15" s="30"/>
      <c r="R15" s="81" t="str">
        <f>VLOOKUP(C15,'Train Runs'!$A$13:$AE$10112,31,0)</f>
        <v>aws s3 cp s3://rtdc.mdm.uploadarchive.raw/RTDC4004/ "%USERPROFILE%\AppData\Local\Temp\OnboardLogs"\RTDC4004\2017-11-06 --exclude "*" --recursive --include "*20171106*" &amp; "%USERPROFILE%\Documents\GitHub\mrs-test-scripts\Headless Mode &amp; Sideloading\WalkAndUnGZ.bat" "%USERPROFILE%\AppData\Local\Temp\OnboardLogs"\RTDC4004\2017-11-06 &amp; aws s3 cp s3://rtdc.mdm.uploadarchive.raw/RTDC4004/ "%USERPROFILE%\AppData\Local\Temp\OnboardLogs"\RTDC4004\2017-11-07 --exclude "*" --recursive --include "*20171107*" &amp; "%USERPROFILE%\Documents\GitHub\mrs-test-scripts\Headless Mode &amp; Sideloading\WalkAndUnGZ.bat" "%USERPROFILE%\AppData\Local\Temp\OnboardLogs"\RTDC4004\2017-11-07</v>
      </c>
      <c r="S15" s="84" t="str">
        <f>VLOOKUP(C15,'Train Runs'!$A$13:$AE$10112,22,0)</f>
        <v>https://d0f6bd738d7f1b3e5a7ca70fe4ff75f0.us-east-1.aws.found.io/app/kibana#/discover/Steve-Slow-Train-Analysis-(2080s-and-2083s)?_g=(refreshInterval:(display:Off,pause:!f,section:0,value:0),time:(from:'2017-11-06T17:55:35-0700',mode:absolute,to:'2017-11-06T20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/stypes="*4004*201711070*" /stext=" 02:.+((SYSTEM_STATE.+slice.+state.+changed )|(ment ac)|(multiple cpu faults)|(system.+state.+changed )|(\[timeout)|(PRM\|1\|D)|(kpr)|(kdp)|(train st.+moving)|(\|lc)|(penalty))"</v>
      </c>
      <c r="U15" s="9" t="str">
        <f>MID(B15,13,4)</f>
        <v>4004</v>
      </c>
      <c r="V15" s="31">
        <f>A15-utc_offset/24</f>
        <v>43046.098449074074</v>
      </c>
      <c r="W15" s="45" t="str">
        <f>DetSubdiv(C15)</f>
        <v>EC</v>
      </c>
      <c r="X15" s="22">
        <f>VALUE(LEFT(C15,LEN(C15)-3))</f>
        <v>221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{"issue":{"subject":"","project_id":79,"tracker_id":40,"status_id":1,"priority_id":2,"assigned_to_id":338,"start_date":"2017-11-06","description":"","custom_fields":[{"id":1,"name":"Subdivision","value":"EC"},{"id":4,"name":"Milepost","value":"11.6838"},{"id":17,"name":"Train ID","value":"221-06"},{"id":16,"name":"Locomotive ID","value":"4004"},{"id":130,"name":"Impact","value":""},{"id":150,"name":"Time of Event (Mountain Time)","value":"19:21:46"},{"id":151,"name":"Denver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/c/Users/stu/AppData/Local/Temp/OnboardLogs/RTDC4004 --include="*4004*201711070*"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"%USERPROFILE%\AppData\Local\Temp\OnboardLogs"\RTDC4004\*4004*201711070* &gt;&gt; 2017-11-06-SliceDisagreementCheck.txt</v>
      </c>
      <c r="AE15" s="145" t="str">
        <f t="shared" si="1"/>
        <v>start /low /b %USERPROFILE%\Documents\GitHub\eaglep3\Utilities\DownloadLogsFromS3.py --loco 4004 --day 2017-11-07</v>
      </c>
      <c r="AF15" s="1"/>
    </row>
    <row r="16" spans="1:32" x14ac:dyDescent="0.3">
      <c r="A16" s="31">
        <v>43045.835729166669</v>
      </c>
      <c r="B16" s="30" t="s">
        <v>486</v>
      </c>
      <c r="C16" s="30" t="s">
        <v>663</v>
      </c>
      <c r="D16" s="30" t="s">
        <v>49</v>
      </c>
      <c r="E16" s="30" t="s">
        <v>190</v>
      </c>
      <c r="F16" s="42">
        <v>350</v>
      </c>
      <c r="G16" s="42">
        <v>566</v>
      </c>
      <c r="H16" s="42">
        <v>222500</v>
      </c>
      <c r="I16" s="42">
        <v>224304</v>
      </c>
      <c r="J16" s="30" t="s">
        <v>191</v>
      </c>
      <c r="K16" s="42">
        <v>224581</v>
      </c>
      <c r="L16" s="131" t="s">
        <v>50</v>
      </c>
      <c r="M16" s="132">
        <f>CONVERT((I16-K16)/10000,"mi","ft")*IF(L16="Increasing Mileposts (1)",-1,1)</f>
        <v>146.256</v>
      </c>
      <c r="N16" s="133" t="str">
        <f>VLOOKUP(C16,'Trips&amp;Operators'!$C$1:$G$99911,5,FALSE)</f>
        <v>LOZA FIDEL</v>
      </c>
      <c r="O16" s="176" t="s">
        <v>178</v>
      </c>
      <c r="P16" s="134"/>
      <c r="Q16" s="30"/>
      <c r="R16" s="81" t="str">
        <f>VLOOKUP(C16,'Train Runs'!$A$13:$AE$10112,31,0)</f>
        <v>aws s3 cp s3://rtdc.mdm.uploadarchive.raw/RTDC4032/ "%USERPROFILE%\AppData\Local\Temp\OnboardLogs"\RTDC4032\2017-11-06 --exclude "*" --recursive --include "*20171106*" &amp; "%USERPROFILE%\Documents\GitHub\mrs-test-scripts\Headless Mode &amp; Sideloading\WalkAndUnGZ.bat" "%USERPROFILE%\AppData\Local\Temp\OnboardLogs"\RTDC4032\2017-11-06 &amp; aws s3 cp s3://rtdc.mdm.uploadarchive.raw/RTDC4032/ "%USERPROFILE%\AppData\Local\Temp\OnboardLogs"\RTDC4032\2017-11-07 --exclude "*" --recursive --include "*20171107*" &amp; "%USERPROFILE%\Documents\GitHub\mrs-test-scripts\Headless Mode &amp; Sideloading\WalkAndUnGZ.bat" "%USERPROFILE%\AppData\Local\Temp\OnboardLogs"\RTDC4032\2017-11-07</v>
      </c>
      <c r="S16" s="84" t="str">
        <f>VLOOKUP(C16,'Train Runs'!$A$13:$AE$10112,22,0)</f>
        <v>https://d0f6bd738d7f1b3e5a7ca70fe4ff75f0.us-east-1.aws.found.io/app/kibana#/discover/Steve-Slow-Train-Analysis-(2080s-and-2083s)?_g=(refreshInterval:(display:Off,pause:!f,section:0,value:0),time:(from:'2017-11-06T18:25:07-0700',mode:absolute,to:'2017-11-06T21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/stypes="*4032*201711070*" /stext=" 03:.+((SYSTEM_STATE.+slice.+state.+changed )|(ment ac)|(multiple cpu faults)|(system.+state.+changed )|(\[timeout)|(PRM\|1\|D)|(kpr)|(kdp)|(train st.+moving)|(\|lc)|(penalty))"</v>
      </c>
      <c r="U16" s="9" t="str">
        <f>MID(B16,13,4)</f>
        <v>4032</v>
      </c>
      <c r="V16" s="31">
        <f>A16-utc_offset/24</f>
        <v>43046.127395833333</v>
      </c>
      <c r="W16" s="45" t="str">
        <f>DetSubdiv(C16)</f>
        <v>EC</v>
      </c>
      <c r="X16" s="22">
        <f>VALUE(LEFT(C16,LEN(C16)-3))</f>
        <v>223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{"issue":{"subject":"","project_id":79,"tracker_id":40,"status_id":1,"priority_id":2,"assigned_to_id":338,"start_date":"2017-11-06","description":"","custom_fields":[{"id":1,"name":"Subdivision","value":"EC"},{"id":4,"name":"Milepost","value":"22.4581"},{"id":17,"name":"Train ID","value":"223-06"},{"id":16,"name":"Locomotive ID","value":"4032"},{"id":130,"name":"Impact","value":""},{"id":150,"name":"Time of Event (Mountain Time)","value":"20:03:27"},{"id":151,"name":"Denver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/c/Users/stu/AppData/Local/Temp/OnboardLogs/RTDC4032 --include="*4032*201711070*"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"%USERPROFILE%\AppData\Local\Temp\OnboardLogs"\RTDC4032\*4032*201711070* &gt;&gt; 2017-11-06-SliceDisagreementCheck.txt</v>
      </c>
      <c r="AE16" s="145" t="str">
        <f t="shared" si="1"/>
        <v>start /low /b %USERPROFILE%\Documents\GitHub\eaglep3\Utilities\DownloadLogsFromS3.py --loco 4032 --day 2017-11-07</v>
      </c>
      <c r="AF16" s="1"/>
    </row>
    <row r="17" spans="1:32" x14ac:dyDescent="0.3">
      <c r="A17" s="31">
        <v>43045.322650462964</v>
      </c>
      <c r="B17" s="30" t="s">
        <v>642</v>
      </c>
      <c r="C17" s="30" t="s">
        <v>643</v>
      </c>
      <c r="D17" s="30" t="s">
        <v>95</v>
      </c>
      <c r="E17" s="30" t="s">
        <v>190</v>
      </c>
      <c r="F17" s="42">
        <v>350</v>
      </c>
      <c r="G17" s="42">
        <v>404</v>
      </c>
      <c r="H17" s="42">
        <v>225187</v>
      </c>
      <c r="I17" s="42">
        <v>223641</v>
      </c>
      <c r="J17" s="30" t="s">
        <v>191</v>
      </c>
      <c r="K17" s="42">
        <v>232080</v>
      </c>
      <c r="L17" s="131" t="s">
        <v>51</v>
      </c>
      <c r="M17" s="132">
        <f>CONVERT((I17-K17)/10000,"mi","ft")*IF(L17="Increasing Mileposts (1)",-1,1)</f>
        <v>-4455.7920000000004</v>
      </c>
      <c r="N17" s="133" t="str">
        <f>VLOOKUP(C17,'Trips&amp;Operators'!$C$1:$G$99911,5,FALSE)</f>
        <v>THOMPSON LESTER</v>
      </c>
      <c r="O17" s="176" t="s">
        <v>178</v>
      </c>
      <c r="P17" s="134"/>
      <c r="Q17" s="30"/>
      <c r="R17" s="81" t="str">
        <f>VLOOKUP(C17,'Train Runs'!$A$13:$AE$10112,31,0)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S17" s="84" t="str">
        <f>VLOOKUP(C17,'Train Runs'!$A$13:$AE$10112,22,0)</f>
        <v>https://d0f6bd738d7f1b3e5a7ca70fe4ff75f0.us-east-1.aws.found.io/app/kibana#/discover/Steve-Slow-Train-Analysis-(2080s-and-2083s)?_g=(refreshInterval:(display:Off,pause:!f,section:0,value:0),time:(from:'2017-11-06T06:39:40-0700',mode:absolute,to:'2017-11-06T09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/stypes="*4003*201711061*" /stext=" 14:.+((SYSTEM_STATE.+slice.+state.+changed )|(ment ac)|(multiple cpu faults)|(system.+state.+changed )|(\[timeout)|(PRM\|1\|D)|(kpr)|(kdp)|(train st.+moving)|(\|lc)|(penalty))"</v>
      </c>
      <c r="U17" s="9" t="str">
        <f>MID(B17,13,4)</f>
        <v>4003</v>
      </c>
      <c r="V17" s="31">
        <f>A17-utc_offset/24</f>
        <v>43045.614317129628</v>
      </c>
      <c r="W17" s="45" t="str">
        <f>DetSubdiv(C17)</f>
        <v>EC</v>
      </c>
      <c r="X17" s="22">
        <f>VALUE(LEFT(C17,LEN(C17)-3))</f>
        <v>126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{"issue":{"subject":"","project_id":79,"tracker_id":40,"status_id":1,"priority_id":2,"assigned_to_id":338,"start_date":"2017-11-06","description":"","custom_fields":[{"id":1,"name":"Subdivision","value":"EC"},{"id":4,"name":"Milepost","value":"23.208"},{"id":17,"name":"Train ID","value":"126-06"},{"id":16,"name":"Locomotive ID","value":"4003"},{"id":130,"name":"Impact","value":""},{"id":150,"name":"Time of Event (Mountain Time)","value":"07:44:37"},{"id":151,"name":"Denver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/c/Users/stu/AppData/Local/Temp/OnboardLogs/RTDC4003 --include="*4003*201711061*"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"%USERPROFILE%\AppData\Local\Temp\OnboardLogs"\RTDC4003\*4003*201711061* &gt;&gt; 2017-11-06-SliceDisagreementCheck.txt</v>
      </c>
      <c r="AE17" s="145" t="str">
        <f t="shared" si="1"/>
        <v>start /low /b %USERPROFILE%\Documents\GitHub\eaglep3\Utilities\DownloadLogsFromS3.py --loco 4003 --day 2017-11-06</v>
      </c>
      <c r="AF17" s="1"/>
    </row>
    <row r="18" spans="1:32" x14ac:dyDescent="0.3">
      <c r="A18" s="31">
        <v>43045.228761574072</v>
      </c>
      <c r="B18" s="30" t="s">
        <v>557</v>
      </c>
      <c r="C18" s="30" t="s">
        <v>637</v>
      </c>
      <c r="D18" s="30" t="s">
        <v>95</v>
      </c>
      <c r="E18" s="30" t="s">
        <v>190</v>
      </c>
      <c r="F18" s="42">
        <v>350</v>
      </c>
      <c r="G18" s="42">
        <v>402</v>
      </c>
      <c r="H18" s="42">
        <v>225204</v>
      </c>
      <c r="I18" s="42">
        <v>223991</v>
      </c>
      <c r="J18" s="30" t="s">
        <v>191</v>
      </c>
      <c r="K18" s="42">
        <v>232107</v>
      </c>
      <c r="L18" s="131" t="s">
        <v>51</v>
      </c>
      <c r="M18" s="132">
        <f>CONVERT((I18-K18)/10000,"mi","ft")*IF(L18="Increasing Mileposts (1)",-1,1)</f>
        <v>-4285.2479999999996</v>
      </c>
      <c r="N18" s="133" t="str">
        <f>VLOOKUP(C18,'Trips&amp;Operators'!$C$1:$G$99911,5,FALSE)</f>
        <v>BARRON PERLA</v>
      </c>
      <c r="O18" s="176" t="s">
        <v>178</v>
      </c>
      <c r="P18" s="134"/>
      <c r="Q18" s="30"/>
      <c r="R18" s="81" t="str">
        <f>VLOOKUP(C18,'Train Runs'!$A$13:$AE$10112,31,0)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S18" s="84" t="str">
        <f>VLOOKUP(C18,'Train Runs'!$A$13:$AE$10112,22,0)</f>
        <v>https://d0f6bd738d7f1b3e5a7ca70fe4ff75f0.us-east-1.aws.found.io/app/kibana#/discover/Steve-Slow-Train-Analysis-(2080s-and-2083s)?_g=(refreshInterval:(display:Off,pause:!f,section:0,value:0),time:(from:'2017-11-06T04:13:25-0700',mode:absolute,to:'2017-11-06T07:07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/stypes="*4009*201711061*" /stext=" 12:.+((SYSTEM_STATE.+slice.+state.+changed )|(ment ac)|(multiple cpu faults)|(system.+state.+changed )|(\[timeout)|(PRM\|1\|D)|(kpr)|(kdp)|(train st.+moving)|(\|lc)|(penalty))"</v>
      </c>
      <c r="U18" s="9" t="str">
        <f>MID(B18,13,4)</f>
        <v>4009</v>
      </c>
      <c r="V18" s="31">
        <f>A18-utc_offset/24</f>
        <v>43045.520428240736</v>
      </c>
      <c r="W18" s="45" t="str">
        <f>DetSubdiv(C18)</f>
        <v>EC</v>
      </c>
      <c r="X18" s="22">
        <f>VALUE(LEFT(C18,LEN(C18)-3))</f>
        <v>108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{"issue":{"subject":"","project_id":79,"tracker_id":40,"status_id":1,"priority_id":2,"assigned_to_id":338,"start_date":"2017-11-06","description":"","custom_fields":[{"id":1,"name":"Subdivision","value":"EC"},{"id":4,"name":"Milepost","value":"23.2107"},{"id":17,"name":"Train ID","value":"108-06"},{"id":16,"name":"Locomotive ID","value":"4009"},{"id":130,"name":"Impact","value":""},{"id":150,"name":"Time of Event (Mountain Time)","value":"05:29:25"},{"id":151,"name":"Denver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/c/Users/stu/AppData/Local/Temp/OnboardLogs/RTDC4009 --include="*4009*201711061*"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"%USERPROFILE%\AppData\Local\Temp\OnboardLogs"\RTDC4009\*4009*201711061* &gt;&gt; 2017-11-06-SliceDisagreementCheck.txt</v>
      </c>
      <c r="AE18" s="145" t="str">
        <f t="shared" si="1"/>
        <v>start /low /b %USERPROFILE%\Documents\GitHub\eaglep3\Utilities\DownloadLogsFromS3.py --loco 4009 --day 2017-11-06</v>
      </c>
      <c r="AF18" s="1"/>
    </row>
    <row r="19" spans="1:32" x14ac:dyDescent="0.3">
      <c r="A19" s="31">
        <v>43045.845208333332</v>
      </c>
      <c r="B19" s="30" t="s">
        <v>642</v>
      </c>
      <c r="C19" s="30" t="s">
        <v>664</v>
      </c>
      <c r="D19" s="30" t="s">
        <v>49</v>
      </c>
      <c r="E19" s="30" t="s">
        <v>356</v>
      </c>
      <c r="F19" s="42">
        <v>0</v>
      </c>
      <c r="G19" s="42">
        <v>464</v>
      </c>
      <c r="H19" s="42">
        <v>83195</v>
      </c>
      <c r="I19" s="42">
        <v>81228</v>
      </c>
      <c r="J19" s="30" t="s">
        <v>357</v>
      </c>
      <c r="K19" s="42">
        <v>81751</v>
      </c>
      <c r="L19" s="131" t="s">
        <v>51</v>
      </c>
      <c r="M19" s="132">
        <f>CONVERT((I19-K19)/10000,"mi","ft")*IF(L19="Increasing Mileposts (1)",-1,1)</f>
        <v>-276.14400000000001</v>
      </c>
      <c r="N19" s="133" t="str">
        <f>VLOOKUP(C19,'Trips&amp;Operators'!$C$1:$G$99911,5,FALSE)</f>
        <v>ELBAUM MIKE</v>
      </c>
      <c r="O19" s="176" t="s">
        <v>350</v>
      </c>
      <c r="P19" s="134" t="s">
        <v>634</v>
      </c>
      <c r="Q19" s="30"/>
      <c r="R19" s="81" t="str">
        <f>VLOOKUP(C19,'Train Runs'!$A$13:$AE$10112,31,0)</f>
        <v>aws s3 cp s3://rtdc.mdm.uploadarchive.raw/RTDC4003/ "%USERPROFILE%\AppData\Local\Temp\OnboardLogs"\RTDC4003\2017-11-06 --exclude "*" --recursive --include "*20171106*" &amp; "%USERPROFILE%\Documents\GitHub\mrs-test-scripts\Headless Mode &amp; Sideloading\WalkAndUnGZ.bat" "%USERPROFILE%\AppData\Local\Temp\OnboardLogs"\RTDC4003\2017-11-06 &amp; aws s3 cp s3://rtdc.mdm.uploadarchive.raw/RTDC4003/ "%USERPROFILE%\AppData\Local\Temp\OnboardLogs"\RTDC4003\2017-11-07 --exclude "*" --recursive --include "*20171107*" &amp; "%USERPROFILE%\Documents\GitHub\mrs-test-scripts\Headless Mode &amp; Sideloading\WalkAndUnGZ.bat" "%USERPROFILE%\AppData\Local\Temp\OnboardLogs"\RTDC4003\2017-11-07</v>
      </c>
      <c r="S19" s="84" t="str">
        <f>VLOOKUP(C19,'Train Runs'!$A$13:$AE$10112,22,0)</f>
        <v>https://d0f6bd738d7f1b3e5a7ca70fe4ff75f0.us-east-1.aws.found.io/app/kibana#/discover/Steve-Slow-Train-Analysis-(2080s-and-2083s)?_g=(refreshInterval:(display:Off,pause:!f,section:0,value:0),time:(from:'2017-11-06T18:39:26-0700',mode:absolute,to:'2017-11-06T21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/stypes="*4003*201711070*" /stext=" 03:.+((SYSTEM_STATE.+slice.+state.+changed )|(ment ac)|(multiple cpu faults)|(system.+state.+changed )|(\[timeout)|(PRM\|1\|D)|(kpr)|(kdp)|(train st.+moving)|(\|lc)|(penalty))"</v>
      </c>
      <c r="U19" s="9" t="str">
        <f>MID(B19,13,4)</f>
        <v>4003</v>
      </c>
      <c r="V19" s="31">
        <f>A19-utc_offset/24</f>
        <v>43046.136874999997</v>
      </c>
      <c r="W19" s="45" t="str">
        <f>DetSubdiv(C19)</f>
        <v>EC</v>
      </c>
      <c r="X19" s="22">
        <f>VALUE(LEFT(C19,LEN(C19)-3))</f>
        <v>222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drop","project_id":79,"tracker_id":40,"status_id":1,"priority_id":2,"assigned_to_id":338,"start_date":"2017-11-06","description":"","custom_fields":[{"id":1,"name":"Subdivision","value":"EC"},{"id":4,"name":"Milepost","value":"8.1751"},{"id":17,"name":"Train ID","value":"222-06"},{"id":16,"name":"Locomotive ID","value":"4003"},{"id":130,"name":"Impact","value":""},{"id":150,"name":"Time of Event (Mountain Time)","value":"20:17:06"},{"id":151,"name":"Denver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/c/Users/stu/AppData/Local/Temp/OnboardLogs/RTDC4003 --include="*4003*201711070*"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"%USERPROFILE%\AppData\Local\Temp\OnboardLogs"\RTDC4003\*4003*201711070* &gt;&gt; 2017-11-06-SliceDisagreementCheck.txt</v>
      </c>
      <c r="AE19" s="145" t="str">
        <f t="shared" si="1"/>
        <v>start /low /b %USERPROFILE%\Documents\GitHub\eaglep3\Utilities\DownloadLogsFromS3.py --loco 4003 --day 2017-11-07</v>
      </c>
      <c r="AF19" s="1"/>
    </row>
    <row r="20" spans="1:32" x14ac:dyDescent="0.3">
      <c r="A20" s="31">
        <v>43045.887442129628</v>
      </c>
      <c r="B20" s="30" t="s">
        <v>557</v>
      </c>
      <c r="C20" s="30" t="s">
        <v>665</v>
      </c>
      <c r="D20" s="30" t="s">
        <v>49</v>
      </c>
      <c r="E20" s="30" t="s">
        <v>356</v>
      </c>
      <c r="F20" s="42">
        <v>0</v>
      </c>
      <c r="G20" s="42">
        <v>529</v>
      </c>
      <c r="H20" s="42">
        <v>83022</v>
      </c>
      <c r="I20" s="42">
        <v>80793</v>
      </c>
      <c r="J20" s="30" t="s">
        <v>357</v>
      </c>
      <c r="K20" s="42">
        <v>81751</v>
      </c>
      <c r="L20" s="131" t="s">
        <v>51</v>
      </c>
      <c r="M20" s="132">
        <f>CONVERT((I20-K20)/10000,"mi","ft")*IF(L20="Increasing Mileposts (1)",-1,1)</f>
        <v>-505.82400000000001</v>
      </c>
      <c r="N20" s="133" t="str">
        <f>VLOOKUP(C20,'Trips&amp;Operators'!$C$1:$G$99911,5,FALSE)</f>
        <v>RESPASS AARON</v>
      </c>
      <c r="O20" s="176" t="s">
        <v>350</v>
      </c>
      <c r="P20" s="134" t="s">
        <v>634</v>
      </c>
      <c r="Q20" s="30"/>
      <c r="R20" s="81" t="str">
        <f>VLOOKUP(C20,'Train Runs'!$A$13:$AE$10112,31,0)</f>
        <v>aws s3 cp s3://rtdc.mdm.uploadarchive.raw/RTDC4009/ "%USERPROFILE%\AppData\Local\Temp\OnboardLogs"\RTDC4009\2017-11-06 --exclude "*" --recursive --include "*20171106*" &amp; "%USERPROFILE%\Documents\GitHub\mrs-test-scripts\Headless Mode &amp; Sideloading\WalkAndUnGZ.bat" "%USERPROFILE%\AppData\Local\Temp\OnboardLogs"\RTDC4009\2017-11-06 &amp; aws s3 cp s3://rtdc.mdm.uploadarchive.raw/RTDC4009/ "%USERPROFILE%\AppData\Local\Temp\OnboardLogs"\RTDC4009\2017-11-07 --exclude "*" --recursive --include "*20171107*" &amp; "%USERPROFILE%\Documents\GitHub\mrs-test-scripts\Headless Mode &amp; Sideloading\WalkAndUnGZ.bat" "%USERPROFILE%\AppData\Local\Temp\OnboardLogs"\RTDC4009\2017-11-07</v>
      </c>
      <c r="S20" s="84" t="str">
        <f>VLOOKUP(C20,'Train Runs'!$A$13:$AE$10112,22,0)</f>
        <v>https://d0f6bd738d7f1b3e5a7ca70fe4ff75f0.us-east-1.aws.found.io/app/kibana#/discover/Steve-Slow-Train-Analysis-(2080s-and-2083s)?_g=(refreshInterval:(display:Off,pause:!f,section:0,value:0),time:(from:'2017-11-06T19:50:59-0700',mode:absolute,to:'2017-11-06T22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/stypes="*4009*201711070*" /stext=" 04:.+((SYSTEM_STATE.+slice.+state.+changed )|(ment ac)|(multiple cpu faults)|(system.+state.+changed )|(\[timeout)|(PRM\|1\|D)|(kpr)|(kdp)|(train st.+moving)|(\|lc)|(penalty))"</v>
      </c>
      <c r="U20" s="9" t="str">
        <f>MID(B20,13,4)</f>
        <v>4009</v>
      </c>
      <c r="V20" s="31">
        <f>A20-utc_offset/24</f>
        <v>43046.179108796292</v>
      </c>
      <c r="W20" s="45" t="str">
        <f>DetSubdiv(C20)</f>
        <v>EC</v>
      </c>
      <c r="X20" s="22">
        <f>VALUE(LEFT(C20,LEN(C20)-3))</f>
        <v>226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drop","project_id":79,"tracker_id":40,"status_id":1,"priority_id":2,"assigned_to_id":338,"start_date":"2017-11-06","description":"","custom_fields":[{"id":1,"name":"Subdivision","value":"EC"},{"id":4,"name":"Milepost","value":"8.1751"},{"id":17,"name":"Train ID","value":"226-06"},{"id":16,"name":"Locomotive ID","value":"4009"},{"id":130,"name":"Impact","value":""},{"id":150,"name":"Time of Event (Mountain Time)","value":"21:17:55"},{"id":151,"name":"Denver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/c/Users/stu/AppData/Local/Temp/OnboardLogs/RTDC4009 --include="*4009*201711070*"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"%USERPROFILE%\AppData\Local\Temp\OnboardLogs"\RTDC4009\*4009*201711070* &gt;&gt; 2017-11-06-SliceDisagreementCheck.txt</v>
      </c>
      <c r="AE20" s="145" t="str">
        <f t="shared" si="1"/>
        <v>start /low /b %USERPROFILE%\Documents\GitHub\eaglep3\Utilities\DownloadLogsFromS3.py --loco 4009 --day 2017-11-07</v>
      </c>
      <c r="AF20" s="1"/>
    </row>
    <row r="21" spans="1:32" x14ac:dyDescent="0.3">
      <c r="A21" s="31">
        <v>43045.238437499997</v>
      </c>
      <c r="B21" s="30" t="s">
        <v>362</v>
      </c>
      <c r="C21" s="30" t="s">
        <v>638</v>
      </c>
      <c r="D21" s="30" t="s">
        <v>49</v>
      </c>
      <c r="E21" s="30" t="s">
        <v>183</v>
      </c>
      <c r="F21" s="42">
        <v>360</v>
      </c>
      <c r="G21" s="42">
        <v>417</v>
      </c>
      <c r="H21" s="42">
        <v>10378</v>
      </c>
      <c r="I21" s="42">
        <v>11591</v>
      </c>
      <c r="J21" s="30" t="s">
        <v>184</v>
      </c>
      <c r="K21" s="42">
        <v>10716</v>
      </c>
      <c r="L21" s="131" t="s">
        <v>50</v>
      </c>
      <c r="M21" s="132">
        <f>CONVERT((I21-K21)/10000,"mi","ft")*IF(L21="Increasing Mileposts (1)",-1,1)</f>
        <v>-462</v>
      </c>
      <c r="N21" s="133" t="str">
        <f>VLOOKUP(C21,'Trips&amp;Operators'!$C$1:$G$99911,5,FALSE)</f>
        <v>MACDONALD THOMAS</v>
      </c>
      <c r="O21" s="176" t="s">
        <v>178</v>
      </c>
      <c r="P21" s="134" t="s">
        <v>344</v>
      </c>
      <c r="Q21" s="30"/>
      <c r="R21" s="81" t="str">
        <f>VLOOKUP(C21,'Train Runs'!$A$13:$AE$10112,31,0)</f>
        <v>aws s3 cp s3://rtdc.mdm.uploadarchive.raw/RTDC4018/ "%USERPROFILE%\AppData\Local\Temp\OnboardLogs"\RTDC4018\2017-11-06 --exclude "*" --recursive --include "*20171106*" &amp; "%USERPROFILE%\Documents\GitHub\mrs-test-scripts\Headless Mode &amp; Sideloading\WalkAndUnGZ.bat" "%USERPROFILE%\AppData\Local\Temp\OnboardLogs"\RTDC4018\2017-11-06 &amp; aws s3 cp s3://rtdc.mdm.uploadarchive.raw/RTDC4018/ "%USERPROFILE%\AppData\Local\Temp\OnboardLogs"\RTDC4018\2017-11-07 --exclude "*" --recursive --include "*20171107*" &amp; "%USERPROFILE%\Documents\GitHub\mrs-test-scripts\Headless Mode &amp; Sideloading\WalkAndUnGZ.bat" "%USERPROFILE%\AppData\Local\Temp\OnboardLogs"\RTDC4018\2017-11-07</v>
      </c>
      <c r="S21" s="84" t="str">
        <f>VLOOKUP(C21,'Train Runs'!$A$13:$AE$10112,22,0)</f>
        <v>https://d0f6bd738d7f1b3e5a7ca70fe4ff75f0.us-east-1.aws.found.io/app/kibana#/discover/Steve-Slow-Train-Analysis-(2080s-and-2083s)?_g=(refreshInterval:(display:Off,pause:!f,section:0,value:0),time:(from:'2017-11-06T04:37:03-0700',mode:absolute,to:'2017-11-06T06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/stypes="*4018*201711061*" /stext=" 12:.+((SYSTEM_STATE.+slice.+state.+changed )|(ment ac)|(multiple cpu faults)|(system.+state.+changed )|(\[timeout)|(PRM\|1\|D)|(kpr)|(kdp)|(train st.+moving)|(\|lc)|(penalty))"</v>
      </c>
      <c r="U21" s="9" t="str">
        <f>MID(B21,13,4)</f>
        <v>4018</v>
      </c>
      <c r="V21" s="31">
        <f>A21-utc_offset/24</f>
        <v>43045.530104166661</v>
      </c>
      <c r="W21" s="45" t="str">
        <f>DetSubdiv(C21)</f>
        <v>NW</v>
      </c>
      <c r="X21" s="22">
        <f>VALUE(LEFT(C21,LEN(C21)-3))</f>
        <v>801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Arrival","project_id":79,"tracker_id":40,"status_id":1,"priority_id":2,"assigned_to_id":338,"start_date":"2017-11-06","description":"","custom_fields":[{"id":1,"name":"Subdivision","value":"NW"},{"id":4,"name":"Milepost","value":"1.0716"},{"id":17,"name":"Train ID","value":"801-06"},{"id":16,"name":"Locomotive ID","value":"4018"},{"id":130,"name":"Impact","value":""},{"id":150,"name":"Time of Event (Mountain Time)","value":"05:43:21"},{"id":151,"name":"Denver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/c/Users/stu/AppData/Local/Temp/OnboardLogs/RTDC4018 --include="*4018*201711061*"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"%USERPROFILE%\AppData\Local\Temp\OnboardLogs"\RTDC4018\*4018*201711061* &gt;&gt; 2017-11-06-SliceDisagreementCheck.txt</v>
      </c>
      <c r="AE21" s="145" t="str">
        <f t="shared" si="1"/>
        <v>start /low /b %USERPROFILE%\Documents\GitHub\eaglep3\Utilities\DownloadLogsFromS3.py --loco 4018 --day 2017-11-06</v>
      </c>
      <c r="AF21" s="1"/>
    </row>
    <row r="22" spans="1:32" x14ac:dyDescent="0.3">
      <c r="A22" s="31">
        <v>43045.551851851851</v>
      </c>
      <c r="B22" s="30" t="s">
        <v>506</v>
      </c>
      <c r="C22" s="30" t="s">
        <v>652</v>
      </c>
      <c r="D22" s="30" t="s">
        <v>95</v>
      </c>
      <c r="E22" s="30" t="s">
        <v>190</v>
      </c>
      <c r="F22" s="42">
        <v>450</v>
      </c>
      <c r="G22" s="42">
        <v>507</v>
      </c>
      <c r="H22" s="42">
        <v>14270</v>
      </c>
      <c r="I22" s="42">
        <v>15928</v>
      </c>
      <c r="J22" s="30" t="s">
        <v>191</v>
      </c>
      <c r="K22" s="42">
        <v>13572</v>
      </c>
      <c r="L22" s="131" t="s">
        <v>50</v>
      </c>
      <c r="M22" s="132">
        <f>CONVERT((I22-K22)/10000,"mi","ft")*IF(L22="Increasing Mileposts (1)",-1,1)</f>
        <v>-1243.9680000000001</v>
      </c>
      <c r="N22" s="133" t="str">
        <f>VLOOKUP(C22,'Trips&amp;Operators'!$C$1:$G$99911,5,FALSE)</f>
        <v>GONZALEZ ARMANDO</v>
      </c>
      <c r="O22" s="176" t="s">
        <v>178</v>
      </c>
      <c r="P22" s="134"/>
      <c r="Q22" s="30"/>
      <c r="R22" s="81" t="str">
        <f>VLOOKUP(C22,'Train Runs'!$A$13:$AE$10112,31,0)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S22" s="84" t="str">
        <f>VLOOKUP(C22,'Train Runs'!$A$13:$AE$10112,22,0)</f>
        <v>https://d0f6bd738d7f1b3e5a7ca70fe4ff75f0.us-east-1.aws.found.io/app/kibana#/discover/Steve-Slow-Train-Analysis-(2080s-and-2083s)?_g=(refreshInterval:(display:Off,pause:!f,section:0,value:0),time:(from:'2017-11-06T12:03:25-0700',mode:absolute,to:'2017-11-06T14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/stypes="*4006*201711062*" /stext=" 20:.+((SYSTEM_STATE.+slice.+state.+changed )|(ment ac)|(multiple cpu faults)|(system.+state.+changed )|(\[timeout)|(PRM\|1\|D)|(kpr)|(kdp)|(train st.+moving)|(\|lc)|(penalty))"</v>
      </c>
      <c r="U22" s="9" t="str">
        <f>MID(B22,13,4)</f>
        <v>4006</v>
      </c>
      <c r="V22" s="31">
        <f>A22-utc_offset/24</f>
        <v>43045.843518518515</v>
      </c>
      <c r="W22" s="45" t="str">
        <f>DetSubdiv(C22)</f>
        <v>NW</v>
      </c>
      <c r="X22" s="22">
        <f>VALUE(LEFT(C22,LEN(C22)-3))</f>
        <v>821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{"issue":{"subject":"","project_id":79,"tracker_id":40,"status_id":1,"priority_id":2,"assigned_to_id":338,"start_date":"2017-11-06","description":"","custom_fields":[{"id":1,"name":"Subdivision","value":"NW"},{"id":4,"name":"Milepost","value":"1.3572"},{"id":17,"name":"Train ID","value":"821-06"},{"id":16,"name":"Locomotive ID","value":"4006"},{"id":130,"name":"Impact","value":""},{"id":150,"name":"Time of Event (Mountain Time)","value":"13:14:40"},{"id":151,"name":"Denver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/c/Users/stu/AppData/Local/Temp/OnboardLogs/RTDC4006 --include="*4006*201711062*"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"%USERPROFILE%\AppData\Local\Temp\OnboardLogs"\RTDC4006\*4006*201711062* &gt;&gt; 2017-11-06-SliceDisagreementCheck.txt</v>
      </c>
      <c r="AE22" s="145" t="str">
        <f t="shared" si="1"/>
        <v>start /low /b %USERPROFILE%\Documents\GitHub\eaglep3\Utilities\DownloadLogsFromS3.py --loco 4006 --day 2017-11-06</v>
      </c>
      <c r="AF22" s="1"/>
    </row>
    <row r="23" spans="1:32" x14ac:dyDescent="0.3">
      <c r="A23" s="31">
        <v>43045.302442129629</v>
      </c>
      <c r="B23" s="30" t="s">
        <v>506</v>
      </c>
      <c r="C23" s="30" t="s">
        <v>641</v>
      </c>
      <c r="D23" s="30" t="s">
        <v>49</v>
      </c>
      <c r="E23" s="30" t="s">
        <v>190</v>
      </c>
      <c r="F23" s="42">
        <v>300</v>
      </c>
      <c r="G23" s="42">
        <v>370</v>
      </c>
      <c r="H23" s="42">
        <v>19635</v>
      </c>
      <c r="I23" s="42">
        <v>20752</v>
      </c>
      <c r="J23" s="30" t="s">
        <v>191</v>
      </c>
      <c r="K23" s="42">
        <v>21312</v>
      </c>
      <c r="L23" s="131" t="s">
        <v>50</v>
      </c>
      <c r="M23" s="132">
        <f>CONVERT((I23-K23)/10000,"mi","ft")*IF(L23="Increasing Mileposts (1)",-1,1)</f>
        <v>295.68</v>
      </c>
      <c r="N23" s="133" t="str">
        <f>VLOOKUP(C23,'Trips&amp;Operators'!$C$1:$G$99911,5,FALSE)</f>
        <v>STRICKLAND EVAN</v>
      </c>
      <c r="O23" s="176" t="s">
        <v>178</v>
      </c>
      <c r="P23" s="134"/>
      <c r="Q23" s="30"/>
      <c r="R23" s="81" t="str">
        <f>VLOOKUP(C23,'Train Runs'!$A$13:$AE$10112,31,0)</f>
        <v>aws s3 cp s3://rtdc.mdm.uploadarchive.raw/RTDC4006/ "%USERPROFILE%\AppData\Local\Temp\OnboardLogs"\RTDC4006\2017-11-06 --exclude "*" --recursive --include "*20171106*" &amp; "%USERPROFILE%\Documents\GitHub\mrs-test-scripts\Headless Mode &amp; Sideloading\WalkAndUnGZ.bat" "%USERPROFILE%\AppData\Local\Temp\OnboardLogs"\RTDC4006\2017-11-06 &amp; aws s3 cp s3://rtdc.mdm.uploadarchive.raw/RTDC4006/ "%USERPROFILE%\AppData\Local\Temp\OnboardLogs"\RTDC4006\2017-11-07 --exclude "*" --recursive --include "*20171107*" &amp; "%USERPROFILE%\Documents\GitHub\mrs-test-scripts\Headless Mode &amp; Sideloading\WalkAndUnGZ.bat" "%USERPROFILE%\AppData\Local\Temp\OnboardLogs"\RTDC4006\2017-11-07</v>
      </c>
      <c r="S23" s="84" t="str">
        <f>VLOOKUP(C23,'Train Runs'!$A$13:$AE$10112,22,0)</f>
        <v>https://d0f6bd738d7f1b3e5a7ca70fe4ff75f0.us-east-1.aws.found.io/app/kibana#/discover/Steve-Slow-Train-Analysis-(2080s-and-2083s)?_g=(refreshInterval:(display:Off,pause:!f,section:0,value:0),time:(from:'2017-11-06T05:57:36-0700',mode:absolute,to:'2017-11-06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/stypes="*4006*201711061*" /stext=" 14:.+((SYSTEM_STATE.+slice.+state.+changed )|(ment ac)|(multiple cpu faults)|(system.+state.+changed )|(\[timeout)|(PRM\|1\|D)|(kpr)|(kdp)|(train st.+moving)|(\|lc)|(penalty))"</v>
      </c>
      <c r="U23" s="9" t="str">
        <f>MID(B23,13,4)</f>
        <v>4006</v>
      </c>
      <c r="V23" s="31">
        <f>A23-utc_offset/24</f>
        <v>43045.594108796293</v>
      </c>
      <c r="W23" s="45" t="str">
        <f>DetSubdiv(C23)</f>
        <v>NW</v>
      </c>
      <c r="X23" s="22">
        <f>VALUE(LEFT(C23,LEN(C23)-3))</f>
        <v>807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{"issue":{"subject":"","project_id":79,"tracker_id":40,"status_id":1,"priority_id":2,"assigned_to_id":338,"start_date":"2017-11-06","description":"","custom_fields":[{"id":1,"name":"Subdivision","value":"NW"},{"id":4,"name":"Milepost","value":"2.1312"},{"id":17,"name":"Train ID","value":"807-06"},{"id":16,"name":"Locomotive ID","value":"4006"},{"id":130,"name":"Impact","value":""},{"id":150,"name":"Time of Event (Mountain Time)","value":"07:15:31"},{"id":151,"name":"Denver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/c/Users/stu/AppData/Local/Temp/OnboardLogs/RTDC4006 --include="*4006*201711061*"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"%USERPROFILE%\AppData\Local\Temp\OnboardLogs"\RTDC4006\*4006*201711061* &gt;&gt; 2017-11-06-SliceDisagreementCheck.txt</v>
      </c>
      <c r="AE23" s="145" t="str">
        <f t="shared" si="1"/>
        <v>start /low /b %USERPROFILE%\Documents\GitHub\eaglep3\Utilities\DownloadLogsFromS3.py --loco 4006 --day 2017-11-06</v>
      </c>
      <c r="AF23" s="1"/>
    </row>
    <row r="24" spans="1:32" x14ac:dyDescent="0.3">
      <c r="A24" s="31">
        <v>43045.370416666665</v>
      </c>
      <c r="B24" s="30" t="s">
        <v>644</v>
      </c>
      <c r="C24" s="30" t="s">
        <v>645</v>
      </c>
      <c r="D24" s="30" t="s">
        <v>49</v>
      </c>
      <c r="E24" s="30" t="s">
        <v>356</v>
      </c>
      <c r="F24" s="42">
        <v>0</v>
      </c>
      <c r="G24" s="42">
        <v>81</v>
      </c>
      <c r="H24" s="42">
        <v>4802</v>
      </c>
      <c r="I24" s="42">
        <v>4673</v>
      </c>
      <c r="J24" s="30" t="s">
        <v>357</v>
      </c>
      <c r="K24" s="42">
        <v>4798</v>
      </c>
      <c r="L24" s="131" t="s">
        <v>51</v>
      </c>
      <c r="M24" s="132">
        <f>CONVERT((I24-K24)/10000,"mi","ft")*IF(L24="Increasing Mileposts (1)",-1,1)</f>
        <v>-66</v>
      </c>
      <c r="N24" s="133" t="str">
        <f>VLOOKUP(C24,'Trips&amp;Operators'!$C$1:$G$99911,5,FALSE)</f>
        <v>STRICKLAND EVAN</v>
      </c>
      <c r="O24" s="176" t="s">
        <v>350</v>
      </c>
      <c r="P24" s="134" t="s">
        <v>1118</v>
      </c>
      <c r="Q24" s="30"/>
      <c r="R24" s="81" t="str">
        <f>VLOOKUP(C24,'Train Runs'!$A$13:$AE$10112,31,0)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S24" s="84" t="str">
        <f>VLOOKUP(C24,'Train Runs'!$A$13:$AE$10112,22,0)</f>
        <v>https://d0f6bd738d7f1b3e5a7ca70fe4ff75f0.us-east-1.aws.found.io/app/kibana#/discover/Steve-Slow-Train-Analysis-(2080s-and-2083s)?_g=(refreshInterval:(display:Off,pause:!f,section:0,value:0),time:(from:'2017-11-06T07:28:36-0700',mode:absolute,to:'2017-11-06T09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/stypes="*4005*201711061*" /stext=" 15:.+((SYSTEM_STATE.+slice.+state.+changed )|(ment ac)|(multiple cpu faults)|(system.+state.+changed )|(\[timeout)|(PRM\|1\|D)|(kpr)|(kdp)|(train st.+moving)|(\|lc)|(penalty))"</v>
      </c>
      <c r="U24" s="9" t="str">
        <f>MID(B24,13,4)</f>
        <v>4005</v>
      </c>
      <c r="V24" s="31">
        <f>A24-utc_offset/24</f>
        <v>43045.662083333329</v>
      </c>
      <c r="W24" s="45" t="str">
        <f>DetSubdiv(C24)</f>
        <v>NW</v>
      </c>
      <c r="X24" s="22">
        <f>VALUE(LEFT(C24,LEN(C24)-3))</f>
        <v>812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overpass","project_id":79,"tracker_id":40,"status_id":1,"priority_id":2,"assigned_to_id":338,"start_date":"2017-11-06","description":"","custom_fields":[{"id":1,"name":"Subdivision","value":"NW"},{"id":4,"name":"Milepost","value":"0.4798"},{"id":17,"name":"Train ID","value":"812-06"},{"id":16,"name":"Locomotive ID","value":"4005"},{"id":130,"name":"Impact","value":""},{"id":150,"name":"Time of Event (Mountain Time)","value":"08:53:24"},{"id":151,"name":"Denver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/c/Users/stu/AppData/Local/Temp/OnboardLogs/RTDC4005 --include="*4005*201711061*"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"%USERPROFILE%\AppData\Local\Temp\OnboardLogs"\RTDC4005\*4005*201711061* &gt;&gt; 2017-11-06-SliceDisagreementCheck.txt</v>
      </c>
      <c r="AE24" s="145" t="str">
        <f t="shared" si="1"/>
        <v>start /low /b %USERPROFILE%\Documents\GitHub\eaglep3\Utilities\DownloadLogsFromS3.py --loco 4005 --day 2017-11-06</v>
      </c>
      <c r="AF24" s="1"/>
    </row>
    <row r="25" spans="1:32" x14ac:dyDescent="0.3">
      <c r="A25" s="31">
        <v>43045.537569444445</v>
      </c>
      <c r="B25" s="30" t="s">
        <v>644</v>
      </c>
      <c r="C25" s="30" t="s">
        <v>651</v>
      </c>
      <c r="D25" s="30" t="s">
        <v>95</v>
      </c>
      <c r="E25" s="30" t="s">
        <v>356</v>
      </c>
      <c r="F25" s="42">
        <v>0</v>
      </c>
      <c r="G25" s="42">
        <v>104</v>
      </c>
      <c r="H25" s="42">
        <v>4792</v>
      </c>
      <c r="I25" s="42">
        <v>4625</v>
      </c>
      <c r="J25" s="30" t="s">
        <v>357</v>
      </c>
      <c r="K25" s="42">
        <v>4798</v>
      </c>
      <c r="L25" s="131" t="s">
        <v>51</v>
      </c>
      <c r="M25" s="132">
        <f>CONVERT((I25-K25)/10000,"mi","ft")*IF(L25="Increasing Mileposts (1)",-1,1)</f>
        <v>-91.343999999999994</v>
      </c>
      <c r="N25" s="133" t="str">
        <f>VLOOKUP(C25,'Trips&amp;Operators'!$C$1:$G$99911,5,FALSE)</f>
        <v>YANAI IAN</v>
      </c>
      <c r="O25" s="176" t="s">
        <v>350</v>
      </c>
      <c r="P25" s="134" t="s">
        <v>1118</v>
      </c>
      <c r="Q25" s="30"/>
      <c r="R25" s="81" t="str">
        <f>VLOOKUP(C25,'Train Runs'!$A$13:$AE$10112,31,0)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S25" s="84" t="str">
        <f>VLOOKUP(C25,'Train Runs'!$A$13:$AE$10112,22,0)</f>
        <v>https://d0f6bd738d7f1b3e5a7ca70fe4ff75f0.us-east-1.aws.found.io/app/kibana#/discover/Steve-Slow-Train-Analysis-(2080s-and-2083s)?_g=(refreshInterval:(display:Off,pause:!f,section:0,value:0),time:(from:'2017-11-06T11:31:08-0700',mode:absolute,to:'2017-11-06T13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/stypes="*4005*201711061*" /stext=" 19:.+((SYSTEM_STATE.+slice.+state.+changed )|(ment ac)|(multiple cpu faults)|(system.+state.+changed )|(\[timeout)|(PRM\|1\|D)|(kpr)|(kdp)|(train st.+moving)|(\|lc)|(penalty))"</v>
      </c>
      <c r="U25" s="9" t="str">
        <f>MID(B25,13,4)</f>
        <v>4005</v>
      </c>
      <c r="V25" s="31">
        <f>A25-utc_offset/24</f>
        <v>43045.829236111109</v>
      </c>
      <c r="W25" s="45" t="str">
        <f>DetSubdiv(C25)</f>
        <v>NW</v>
      </c>
      <c r="X25" s="22">
        <f>VALUE(LEFT(C25,LEN(C25)-3))</f>
        <v>820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overpass","project_id":79,"tracker_id":40,"status_id":1,"priority_id":2,"assigned_to_id":338,"start_date":"2017-11-06","description":"","custom_fields":[{"id":1,"name":"Subdivision","value":"NW"},{"id":4,"name":"Milepost","value":"0.4798"},{"id":17,"name":"Train ID","value":"820-06"},{"id":16,"name":"Locomotive ID","value":"4005"},{"id":130,"name":"Impact","value":""},{"id":150,"name":"Time of Event (Mountain Time)","value":"12:54:06"},{"id":151,"name":"Denver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/c/Users/stu/AppData/Local/Temp/OnboardLogs/RTDC4005 --include="*4005*201711061*"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"%USERPROFILE%\AppData\Local\Temp\OnboardLogs"\RTDC4005\*4005*201711061* &gt;&gt; 2017-11-06-SliceDisagreementCheck.txt</v>
      </c>
      <c r="AE25" s="145" t="str">
        <f t="shared" si="1"/>
        <v>start /low /b %USERPROFILE%\Documents\GitHub\eaglep3\Utilities\DownloadLogsFromS3.py --loco 4005 --day 2017-11-06</v>
      </c>
      <c r="AF25" s="1"/>
    </row>
    <row r="26" spans="1:32" x14ac:dyDescent="0.3">
      <c r="A26" s="31">
        <v>43045.61922453704</v>
      </c>
      <c r="B26" s="30" t="s">
        <v>644</v>
      </c>
      <c r="C26" s="30" t="s">
        <v>656</v>
      </c>
      <c r="D26" s="30" t="s">
        <v>49</v>
      </c>
      <c r="E26" s="30" t="s">
        <v>356</v>
      </c>
      <c r="F26" s="42">
        <v>0</v>
      </c>
      <c r="G26" s="42">
        <v>303</v>
      </c>
      <c r="H26" s="42">
        <v>9763</v>
      </c>
      <c r="I26" s="42">
        <v>9154</v>
      </c>
      <c r="J26" s="30" t="s">
        <v>357</v>
      </c>
      <c r="K26" s="42">
        <v>9500</v>
      </c>
      <c r="L26" s="131" t="s">
        <v>51</v>
      </c>
      <c r="M26" s="132">
        <f>CONVERT((I26-K26)/10000,"mi","ft")*IF(L26="Increasing Mileposts (1)",-1,1)</f>
        <v>-182.68799999999999</v>
      </c>
      <c r="N26" s="133" t="str">
        <f>VLOOKUP(C26,'Trips&amp;Operators'!$C$1:$G$99911,5,FALSE)</f>
        <v>GONZALEZ ARMANDO</v>
      </c>
      <c r="O26" s="176" t="s">
        <v>350</v>
      </c>
      <c r="P26" s="134" t="s">
        <v>634</v>
      </c>
      <c r="Q26" s="30"/>
      <c r="R26" s="81" t="str">
        <f>VLOOKUP(C26,'Train Runs'!$A$13:$AE$10112,31,0)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S26" s="84" t="str">
        <f>VLOOKUP(C26,'Train Runs'!$A$13:$AE$10112,22,0)</f>
        <v>https://d0f6bd738d7f1b3e5a7ca70fe4ff75f0.us-east-1.aws.found.io/app/kibana#/discover/Steve-Slow-Train-Analysis-(2080s-and-2083s)?_g=(refreshInterval:(display:Off,pause:!f,section:0,value:0),time:(from:'2017-11-06T12:59:18-0700',mode:absolute,to:'2017-11-06T15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/stypes="*4005*201711062*" /stext=" 21:.+((SYSTEM_STATE.+slice.+state.+changed )|(ment ac)|(multiple cpu faults)|(system.+state.+changed )|(\[timeout)|(PRM\|1\|D)|(kpr)|(kdp)|(train st.+moving)|(\|lc)|(penalty))"</v>
      </c>
      <c r="U26" s="9" t="str">
        <f>MID(B26,13,4)</f>
        <v>4005</v>
      </c>
      <c r="V26" s="31">
        <f>A26-utc_offset/24</f>
        <v>43045.910891203705</v>
      </c>
      <c r="W26" s="45" t="str">
        <f>DetSubdiv(C26)</f>
        <v>NW</v>
      </c>
      <c r="X26" s="22">
        <f>VALUE(LEFT(C26,LEN(C26)-3))</f>
        <v>824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drop","project_id":79,"tracker_id":40,"status_id":1,"priority_id":2,"assigned_to_id":338,"start_date":"2017-11-06","description":"","custom_fields":[{"id":1,"name":"Subdivision","value":"NW"},{"id":4,"name":"Milepost","value":"0.95"},{"id":17,"name":"Train ID","value":"824-06"},{"id":16,"name":"Locomotive ID","value":"4005"},{"id":130,"name":"Impact","value":""},{"id":150,"name":"Time of Event (Mountain Time)","value":"14:51:41"},{"id":151,"name":"Denver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/c/Users/stu/AppData/Local/Temp/OnboardLogs/RTDC4005 --include="*4005*201711062*"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"%USERPROFILE%\AppData\Local\Temp\OnboardLogs"\RTDC4005\*4005*201711062* &gt;&gt; 2017-11-06-SliceDisagreementCheck.txt</v>
      </c>
      <c r="AE26" s="145" t="str">
        <f t="shared" si="1"/>
        <v>start /low /b %USERPROFILE%\Documents\GitHub\eaglep3\Utilities\DownloadLogsFromS3.py --loco 4005 --day 2017-11-06</v>
      </c>
      <c r="AF26" s="1"/>
    </row>
    <row r="27" spans="1:32" x14ac:dyDescent="0.3">
      <c r="A27" s="31">
        <v>43045.577627314815</v>
      </c>
      <c r="B27" s="30" t="s">
        <v>644</v>
      </c>
      <c r="C27" s="30" t="s">
        <v>653</v>
      </c>
      <c r="D27" s="30" t="s">
        <v>95</v>
      </c>
      <c r="E27" s="30" t="s">
        <v>356</v>
      </c>
      <c r="F27" s="42">
        <v>0</v>
      </c>
      <c r="G27" s="42">
        <v>136</v>
      </c>
      <c r="H27" s="42">
        <v>11016</v>
      </c>
      <c r="I27" s="42">
        <v>10817</v>
      </c>
      <c r="J27" s="30" t="s">
        <v>357</v>
      </c>
      <c r="K27" s="42">
        <v>11018</v>
      </c>
      <c r="L27" s="131" t="s">
        <v>51</v>
      </c>
      <c r="M27" s="132">
        <f>CONVERT((I27-K27)/10000,"mi","ft")*IF(L27="Increasing Mileposts (1)",-1,1)</f>
        <v>-106.128</v>
      </c>
      <c r="N27" s="133" t="str">
        <f>VLOOKUP(C27,'Trips&amp;Operators'!$C$1:$G$99911,5,FALSE)</f>
        <v>GONZALEZ ARMANDO</v>
      </c>
      <c r="O27" s="176" t="s">
        <v>350</v>
      </c>
      <c r="P27" s="134" t="s">
        <v>1119</v>
      </c>
      <c r="Q27" s="30"/>
      <c r="R27" s="81" t="str">
        <f>VLOOKUP(C27,'Train Runs'!$A$13:$AE$10112,31,0)</f>
        <v>aws s3 cp s3://rtdc.mdm.uploadarchive.raw/RTDC4005/ "%USERPROFILE%\AppData\Local\Temp\OnboardLogs"\RTDC4005\2017-11-06 --exclude "*" --recursive --include "*20171106*" &amp; "%USERPROFILE%\Documents\GitHub\mrs-test-scripts\Headless Mode &amp; Sideloading\WalkAndUnGZ.bat" "%USERPROFILE%\AppData\Local\Temp\OnboardLogs"\RTDC4005\2017-11-06 &amp; aws s3 cp s3://rtdc.mdm.uploadarchive.raw/RTDC4005/ "%USERPROFILE%\AppData\Local\Temp\OnboardLogs"\RTDC4005\2017-11-07 --exclude "*" --recursive --include "*20171107*" &amp; "%USERPROFILE%\Documents\GitHub\mrs-test-scripts\Headless Mode &amp; Sideloading\WalkAndUnGZ.bat" "%USERPROFILE%\AppData\Local\Temp\OnboardLogs"\RTDC4005\2017-11-07</v>
      </c>
      <c r="S27" s="84" t="str">
        <f>VLOOKUP(C27,'Train Runs'!$A$13:$AE$10112,22,0)</f>
        <v>https://d0f6bd738d7f1b3e5a7ca70fe4ff75f0.us-east-1.aws.found.io/app/kibana#/discover/Steve-Slow-Train-Analysis-(2080s-and-2083s)?_g=(refreshInterval:(display:Off,pause:!f,section:0,value:0),time:(from:'2017-11-06T12:27:42-0700',mode:absolute,to:'2017-11-06T14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/stypes="*4005*201711062*" /stext=" 20:.+((SYSTEM_STATE.+slice.+state.+changed )|(ment ac)|(multiple cpu faults)|(system.+state.+changed )|(\[timeout)|(PRM\|1\|D)|(kpr)|(kdp)|(train st.+moving)|(\|lc)|(penalty))"</v>
      </c>
      <c r="U27" s="9" t="str">
        <f>MID(B27,13,4)</f>
        <v>4005</v>
      </c>
      <c r="V27" s="31">
        <f>A27-utc_offset/24</f>
        <v>43045.869293981479</v>
      </c>
      <c r="W27" s="45" t="str">
        <f>DetSubdiv(C27)</f>
        <v>NW</v>
      </c>
      <c r="X27" s="22">
        <f>VALUE(LEFT(C27,LEN(C27)-3))</f>
        <v>822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under I-25 overpass","project_id":79,"tracker_id":40,"status_id":1,"priority_id":2,"assigned_to_id":338,"start_date":"2017-11-06","description":"","custom_fields":[{"id":1,"name":"Subdivision","value":"NW"},{"id":4,"name":"Milepost","value":"1.1018"},{"id":17,"name":"Train ID","value":"822-06"},{"id":16,"name":"Locomotive ID","value":"4005"},{"id":130,"name":"Impact","value":""},{"id":150,"name":"Time of Event (Mountain Time)","value":"13:51:47"},{"id":151,"name":"Denver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/c/Users/stu/AppData/Local/Temp/OnboardLogs/RTDC4005 --include="*4005*201711062*"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"%USERPROFILE%\AppData\Local\Temp\OnboardLogs"\RTDC4005\*4005*201711062* &gt;&gt; 2017-11-06-SliceDisagreementCheck.txt</v>
      </c>
      <c r="AE27" s="145" t="str">
        <f t="shared" si="1"/>
        <v>start /low /b %USERPROFILE%\Documents\GitHub\eaglep3\Utilities\DownloadLogsFromS3.py --loco 4005 --day 2017-11-06</v>
      </c>
      <c r="AF27" s="1"/>
    </row>
    <row r="28" spans="1:32" x14ac:dyDescent="0.3">
      <c r="A28" s="31">
        <v>43045.266273148147</v>
      </c>
      <c r="B28" s="30" t="s">
        <v>364</v>
      </c>
      <c r="C28" s="30" t="s">
        <v>639</v>
      </c>
      <c r="D28" s="30" t="s">
        <v>49</v>
      </c>
      <c r="E28" s="30" t="s">
        <v>640</v>
      </c>
      <c r="F28" s="42">
        <v>100</v>
      </c>
      <c r="G28" s="42">
        <v>155</v>
      </c>
      <c r="H28" s="42">
        <v>5038</v>
      </c>
      <c r="I28" s="42">
        <v>4813</v>
      </c>
      <c r="J28" s="30" t="s">
        <v>184</v>
      </c>
      <c r="K28" s="42">
        <v>4701</v>
      </c>
      <c r="L28" s="131" t="s">
        <v>51</v>
      </c>
      <c r="M28" s="132">
        <f>CONVERT((I28-K28)/10000,"mi","ft")*IF(L28="Increasing Mileposts (1)",-1,1)</f>
        <v>59.136000000000003</v>
      </c>
      <c r="N28" s="133" t="str">
        <f>VLOOKUP(C28,'Trips&amp;Operators'!$C$1:$G$99911,5,FALSE)</f>
        <v>MACDONALD THOMAS</v>
      </c>
      <c r="O28" s="176" t="s">
        <v>178</v>
      </c>
      <c r="P28" s="134"/>
      <c r="Q28" s="30"/>
      <c r="R28" s="81" t="str">
        <f>VLOOKUP(C28,'Train Runs'!$A$13:$AE$10112,31,0)</f>
        <v>aws s3 cp s3://rtdc.mdm.uploadarchive.raw/RTDC4017/ "%USERPROFILE%\AppData\Local\Temp\OnboardLogs"\RTDC4017\2017-11-06 --exclude "*" --recursive --include "*20171106*" &amp; "%USERPROFILE%\Documents\GitHub\mrs-test-scripts\Headless Mode &amp; Sideloading\WalkAndUnGZ.bat" "%USERPROFILE%\AppData\Local\Temp\OnboardLogs"\RTDC4017\2017-11-06 &amp; aws s3 cp s3://rtdc.mdm.uploadarchive.raw/RTDC4017/ "%USERPROFILE%\AppData\Local\Temp\OnboardLogs"\RTDC4017\2017-11-07 --exclude "*" --recursive --include "*20171107*" &amp; "%USERPROFILE%\Documents\GitHub\mrs-test-scripts\Headless Mode &amp; Sideloading\WalkAndUnGZ.bat" "%USERPROFILE%\AppData\Local\Temp\OnboardLogs"\RTDC4017\2017-11-07</v>
      </c>
      <c r="S28" s="84" t="str">
        <f>VLOOKUP(C28,'Train Runs'!$A$13:$AE$10112,22,0)</f>
        <v>https://d0f6bd738d7f1b3e5a7ca70fe4ff75f0.us-east-1.aws.found.io/app/kibana#/discover/Steve-Slow-Train-Analysis-(2080s-and-2083s)?_g=(refreshInterval:(display:Off,pause:!f,section:0,value:0),time:(from:'2017-11-06T04:55:35-0700',mode:absolute,to:'2017-11-06T07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/stypes="*4017*201711061*" /stext=" 13:.+((SYSTEM_STATE.+slice.+state.+changed )|(ment ac)|(multiple cpu faults)|(system.+state.+changed )|(\[timeout)|(PRM\|1\|D)|(kpr)|(kdp)|(train st.+moving)|(\|lc)|(penalty))"</v>
      </c>
      <c r="U28" s="9" t="str">
        <f>MID(B28,13,4)</f>
        <v>4017</v>
      </c>
      <c r="V28" s="31">
        <f>A28-utc_offset/24</f>
        <v>43045.557939814811</v>
      </c>
      <c r="W28" s="45" t="str">
        <f>DetSubdiv(C28)</f>
        <v>NW</v>
      </c>
      <c r="X28" s="22">
        <f>VALUE(LEFT(C28,LEN(C28)-3))</f>
        <v>802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{"issue":{"subject":"","project_id":79,"tracker_id":40,"status_id":1,"priority_id":2,"assigned_to_id":338,"start_date":"2017-11-06","description":"","custom_fields":[{"id":1,"name":"Subdivision","value":"NW"},{"id":4,"name":"Milepost","value":"0.4701"},{"id":17,"name":"Train ID","value":"802-06"},{"id":16,"name":"Locomotive ID","value":"4017"},{"id":130,"name":"Impact","value":""},{"id":150,"name":"Time of Event (Mountain Time)","value":"06:23:26"},{"id":151,"name":"Denver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/c/Users/stu/AppData/Local/Temp/OnboardLogs/RTDC4017 --include="*4017*201711061*"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"%USERPROFILE%\AppData\Local\Temp\OnboardLogs"\RTDC4017\*4017*201711061* &gt;&gt; 2017-11-06-SliceDisagreementCheck.txt</v>
      </c>
      <c r="AE28" s="145" t="str">
        <f t="shared" si="1"/>
        <v>start /low /b %USERPROFILE%\Documents\GitHub\eaglep3\Utilities\DownloadLogsFromS3.py --loco 4017 --day 2017-11-06</v>
      </c>
      <c r="AF28" s="1"/>
    </row>
    <row r="29" spans="1:32" x14ac:dyDescent="0.3">
      <c r="A29" s="31">
        <v>43045.78564814815</v>
      </c>
      <c r="B29" s="30" t="s">
        <v>660</v>
      </c>
      <c r="C29" s="30" t="s">
        <v>661</v>
      </c>
      <c r="D29" s="30" t="s">
        <v>95</v>
      </c>
      <c r="E29" s="30" t="s">
        <v>356</v>
      </c>
      <c r="F29" s="42">
        <v>0</v>
      </c>
      <c r="G29" s="42">
        <v>38</v>
      </c>
      <c r="H29" s="42">
        <v>1795</v>
      </c>
      <c r="I29" s="42">
        <v>1830</v>
      </c>
      <c r="J29" s="30" t="s">
        <v>357</v>
      </c>
      <c r="K29" s="42">
        <v>1692</v>
      </c>
      <c r="L29" s="131" t="s">
        <v>50</v>
      </c>
      <c r="M29" s="132">
        <f>CONVERT((I29-K29)/10000,"mi","ft")*IF(L29="Increasing Mileposts (1)",-1,1)</f>
        <v>-72.864000000000004</v>
      </c>
      <c r="N29" s="133" t="str">
        <f>VLOOKUP(C29,'Trips&amp;Operators'!$C$1:$G$99911,5,FALSE)</f>
        <v>BADERTSCHER DIANE</v>
      </c>
      <c r="O29" s="176" t="s">
        <v>178</v>
      </c>
      <c r="P29" s="134"/>
      <c r="Q29" s="30"/>
      <c r="R29" s="81" t="str">
        <f>VLOOKUP(C29,'Train Runs'!$A$13:$AE$10112,31,0)</f>
        <v>aws s3 cp s3://rtdc.mdm.uploadarchive.raw/RTDC4052/ "%USERPROFILE%\AppData\Local\Temp\OnboardLogs"\RTDC4052\2017-11-06 --exclude "*" --recursive --include "*20171106*" &amp; "%USERPROFILE%\Documents\GitHub\mrs-test-scripts\Headless Mode &amp; Sideloading\WalkAndUnGZ.bat" "%USERPROFILE%\AppData\Local\Temp\OnboardLogs"\RTDC4052\2017-11-06 &amp; aws s3 cp s3://rtdc.mdm.uploadarchive.raw/RTDC4052/ "%USERPROFILE%\AppData\Local\Temp\OnboardLogs"\RTDC4052\2017-11-07 --exclude "*" --recursive --include "*20171107*" &amp; "%USERPROFILE%\Documents\GitHub\mrs-test-scripts\Headless Mode &amp; Sideloading\WalkAndUnGZ.bat" "%USERPROFILE%\AppData\Local\Temp\OnboardLogs"\RTDC4052\2017-11-07</v>
      </c>
      <c r="S29" s="84" t="str">
        <f>VLOOKUP(C29,'Train Runs'!$A$13:$AE$10112,22,0)</f>
        <v>https://d0f6bd738d7f1b3e5a7ca70fe4ff75f0.us-east-1.aws.found.io/app/kibana#/discover/Steve-Slow-Train-Analysis-(2080s-and-2083s)?_g=(refreshInterval:(display:Off,pause:!f,section:0,value:0),time:(from:'2017-11-06T17:46:19-0700',mode:absolute,to:'2017-11-06T19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/stypes="*4052*201711070*" /stext=" 01:.+((SYSTEM_STATE.+slice.+state.+changed )|(ment ac)|(multiple cpu faults)|(system.+state.+changed )|(\[timeout)|(PRM\|1\|D)|(kpr)|(kdp)|(train st.+moving)|(\|lc)|(penalty))"</v>
      </c>
      <c r="U29" s="9" t="str">
        <f>MID(B29,13,4)</f>
        <v>4052</v>
      </c>
      <c r="V29" s="31">
        <f>A29-utc_offset/24</f>
        <v>43046.077314814815</v>
      </c>
      <c r="W29" s="45" t="str">
        <f>DetSubdiv(C29)</f>
        <v>Shuttle/Test</v>
      </c>
      <c r="X29" s="22">
        <f>VALUE(LEFT(C29,LEN(C29)-3))</f>
        <v>75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Shuttle/Test"},{"id":4,"name":"Milepost","value":"0.1692"},{"id":17,"name":"Train ID","value":"75-06"},{"id":16,"name":"Locomotive ID","value":"4052"},{"id":130,"name":"Impact","value":""},{"id":150,"name":"Time of Event (Mountain Time)","value":"18:51:20"},{"id":151,"name":"Denver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/c/Users/stu/AppData/Local/Temp/OnboardLogs/RTDC4052 --include="*4052*201711070*"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"%USERPROFILE%\AppData\Local\Temp\OnboardLogs"\RTDC4052\*4052*201711070* &gt;&gt; 2017-11-06-SliceDisagreementCheck.txt</v>
      </c>
      <c r="AE29" s="145" t="str">
        <f t="shared" si="1"/>
        <v>start /low /b %USERPROFILE%\Documents\GitHub\eaglep3\Utilities\DownloadLogsFromS3.py --loco 4052 --day 2017-11-07</v>
      </c>
      <c r="AF29" s="1"/>
    </row>
    <row r="30" spans="1:32" x14ac:dyDescent="0.3">
      <c r="A30" s="31">
        <v>43045.452152777776</v>
      </c>
      <c r="B30" s="30" t="s">
        <v>400</v>
      </c>
      <c r="C30" s="30" t="s">
        <v>650</v>
      </c>
      <c r="D30" s="30" t="s">
        <v>95</v>
      </c>
      <c r="E30" s="30" t="s">
        <v>356</v>
      </c>
      <c r="F30" s="42">
        <v>0</v>
      </c>
      <c r="G30" s="42">
        <v>105</v>
      </c>
      <c r="H30" s="42">
        <v>22769</v>
      </c>
      <c r="I30" s="42">
        <v>22620</v>
      </c>
      <c r="J30" s="30" t="s">
        <v>357</v>
      </c>
      <c r="K30" s="42">
        <v>24235</v>
      </c>
      <c r="L30" s="131" t="s">
        <v>51</v>
      </c>
      <c r="M30" s="132">
        <f>CONVERT((I30-K30)/10000,"mi","ft")*IF(L30="Increasing Mileposts (1)",-1,1)</f>
        <v>-852.72</v>
      </c>
      <c r="N30" s="133" t="str">
        <f>VLOOKUP(C30,'Trips&amp;Operators'!$C$1:$G$99911,5,FALSE)</f>
        <v>ROBINSON KADDIBA</v>
      </c>
      <c r="O30" s="176" t="s">
        <v>178</v>
      </c>
      <c r="P30" s="134"/>
      <c r="Q30" s="30"/>
      <c r="R30" s="81" t="str">
        <f>VLOOKUP(C30,'Train Runs'!$A$13:$AE$10112,31,0)</f>
        <v>aws s3 cp s3://rtdc.mdm.uploadarchive.raw/RTDC4027/ "%USERPROFILE%\AppData\Local\Temp\OnboardLogs"\RTDC4027\2017-11-06 --exclude "*" --recursive --include "*20171106*" &amp; "%USERPROFILE%\Documents\GitHub\mrs-test-scripts\Headless Mode &amp; Sideloading\WalkAndUnGZ.bat" "%USERPROFILE%\AppData\Local\Temp\OnboardLogs"\RTDC4027\2017-11-06 &amp; aws s3 cp s3://rtdc.mdm.uploadarchive.raw/RTDC4027/ "%USERPROFILE%\AppData\Local\Temp\OnboardLogs"\RTDC4027\2017-11-07 --exclude "*" --recursive --include "*20171107*" &amp; "%USERPROFILE%\Documents\GitHub\mrs-test-scripts\Headless Mode &amp; Sideloading\WalkAndUnGZ.bat" "%USERPROFILE%\AppData\Local\Temp\OnboardLogs"\RTDC4027\2017-11-07</v>
      </c>
      <c r="S30" s="84" t="str">
        <f>VLOOKUP(C30,'Train Runs'!$A$13:$AE$10112,22,0)</f>
        <v>https://d0f6bd738d7f1b3e5a7ca70fe4ff75f0.us-east-1.aws.found.io/app/kibana#/discover/Steve-Slow-Train-Analysis-(2080s-and-2083s)?_g=(refreshInterval:(display:Off,pause:!f,section:0,value:0),time:(from:'2017-11-06T09:46:24-0700',mode:absolute,to:'2017-11-06T12:03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/stypes="*4027*201711061*" /stext=" 17:.+((SYSTEM_STATE.+slice.+state.+changed )|(ment ac)|(multiple cpu faults)|(system.+state.+changed )|(\[timeout)|(PRM\|1\|D)|(kpr)|(kdp)|(train st.+moving)|(\|lc)|(penalty))"</v>
      </c>
      <c r="U30" s="9" t="str">
        <f>MID(B30,13,4)</f>
        <v>4027</v>
      </c>
      <c r="V30" s="31">
        <f>A30-utc_offset/24</f>
        <v>43045.74381944444</v>
      </c>
      <c r="W30" s="45" t="str">
        <f>DetSubdiv(C30)</f>
        <v>Shuttle/Test</v>
      </c>
      <c r="X30" s="22">
        <f>VALUE(LEFT(C30,LEN(C30)-3))</f>
        <v>56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-06","description":"","custom_fields":[{"id":1,"name":"Subdivision","value":"Shuttle/Test"},{"id":4,"name":"Milepost","value":"2.4235"},{"id":17,"name":"Train ID","value":"56-06"},{"id":16,"name":"Locomotive ID","value":"4027"},{"id":130,"name":"Impact","value":""},{"id":150,"name":"Time of Event (Mountain Time)","value":"10:51:06"},{"id":151,"name":"Denver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/c/Users/stu/AppData/Local/Temp/OnboardLogs/RTDC4027 --include="*4027*201711061*"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"%USERPROFILE%\AppData\Local\Temp\OnboardLogs"\RTDC4027\*4027*201711061* &gt;&gt; 2017-11-06-SliceDisagreementCheck.txt</v>
      </c>
      <c r="AE30" s="145" t="str">
        <f t="shared" si="1"/>
        <v>start /low /b %USERPROFILE%\Documents\GitHub\eaglep3\Utilities\DownloadLogsFromS3.py --loco 4027 --day 2017-11-06</v>
      </c>
      <c r="AF30" s="1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</sheetData>
  <autoFilter ref="A6:AC31">
    <sortState ref="A7:AC31">
      <sortCondition ref="W7:W30"/>
      <sortCondition ref="E7:E30"/>
      <sortCondition ref="K7:K30"/>
      <sortCondition ref="F7:F30"/>
    </sortState>
  </autoFilter>
  <sortState ref="A7:AE22">
    <sortCondition ref="W7:W22"/>
    <sortCondition ref="E7:E22"/>
    <sortCondition ref="K7:K22"/>
    <sortCondition ref="C7:C22"/>
    <sortCondition ref="F7:F22"/>
  </sortState>
  <mergeCells count="1">
    <mergeCell ref="A5:O5"/>
  </mergeCells>
  <conditionalFormatting sqref="O6:P6 R6 O49:O1048576 O7:O30">
    <cfRule type="cellIs" dxfId="11" priority="42" operator="equal">
      <formula>"Y"</formula>
    </cfRule>
  </conditionalFormatting>
  <conditionalFormatting sqref="O2:O3">
    <cfRule type="cellIs" dxfId="10" priority="33" operator="equal">
      <formula>"Y"</formula>
    </cfRule>
  </conditionalFormatting>
  <conditionalFormatting sqref="A7:P30">
    <cfRule type="expression" dxfId="9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2017-11-06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224</v>
      </c>
      <c r="B3" s="42" t="str">
        <f>A3&amp;"-"&amp;IF(DAY(Variables!$A$2)&lt;10,0,"")&amp;DAY(Variables!$A$2)</f>
        <v>224-06</v>
      </c>
      <c r="C3" s="135"/>
      <c r="D3" s="225" t="str">
        <f>VLOOKUP(B3,'Trips&amp;Operators'!$C$1:$H$1072,6,FALSE)</f>
        <v>4031</v>
      </c>
      <c r="E3" s="30"/>
      <c r="F3" s="21" t="str">
        <f>VLOOKUP(B3,'Trips&amp;Operators'!$C$2:$E$9912,3,FALSE)</f>
        <v>LOZA</v>
      </c>
      <c r="G3" s="21" t="str">
        <f>VLOOKUP(B3,'Trips&amp;Operators'!$C$1:$F$9912,4,FALSE)</f>
        <v>FIDEL</v>
      </c>
      <c r="H3" s="29" t="str">
        <f>VLOOKUP(B3,'Trips&amp;Operators'!$C$1:$H$9912,5,FALSE)</f>
        <v>LOZA FIDEL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22224-06%22)),sort:!(Time.ISO8601,asc))</v>
      </c>
      <c r="J3" s="30" t="str">
        <f>VLOOKUP(B3,'Train Runs'!$A$13:$A$100109,1,FALSE)</f>
        <v>224-06</v>
      </c>
    </row>
    <row r="4" spans="1:10" x14ac:dyDescent="0.3">
      <c r="A4" s="198"/>
      <c r="B4" s="42" t="str">
        <f>A4&amp;"-"&amp;IF(DAY(Variables!$A$2)&lt;10,0,"")&amp;DAY(Variables!$A$2)</f>
        <v>-06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Runs'!$A$13:$A$100109,1,FALSE)</f>
        <v>#N/A</v>
      </c>
    </row>
    <row r="5" spans="1:10" x14ac:dyDescent="0.3">
      <c r="A5" s="198"/>
      <c r="B5" s="42" t="str">
        <f>A5&amp;"-"&amp;IF(DAY(Variables!$A$2)&lt;10,0,"")&amp;DAY(Variables!$A$2)</f>
        <v>-06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Runs'!$A$13:$A$100109,1,FALSE)</f>
        <v>#N/A</v>
      </c>
    </row>
    <row r="6" spans="1:10" x14ac:dyDescent="0.3">
      <c r="A6" s="198"/>
      <c r="B6" s="42" t="str">
        <f>A6&amp;"-"&amp;IF(DAY(Variables!$A$2)&lt;10,0,"")&amp;DAY(Variables!$A$2)</f>
        <v>-06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Runs'!$A$13:$A$100109,1,FALSE)</f>
        <v>#N/A</v>
      </c>
    </row>
    <row r="7" spans="1:10" x14ac:dyDescent="0.3">
      <c r="A7" s="198"/>
      <c r="B7" s="42" t="str">
        <f>A7&amp;"-"&amp;IF(DAY(Variables!$A$2)&lt;10,0,"")&amp;DAY(Variables!$A$2)</f>
        <v>-06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Runs'!$A$13:$A$100109,1,FALSE)</f>
        <v>#N/A</v>
      </c>
    </row>
    <row r="8" spans="1:10" x14ac:dyDescent="0.3">
      <c r="A8" s="198"/>
      <c r="B8" s="42" t="str">
        <f>A8&amp;"-"&amp;IF(DAY(Variables!$A$2)&lt;10,0,"")&amp;DAY(Variables!$A$2)</f>
        <v>-06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Runs'!$A$13:$A$100109,1,FALSE)</f>
        <v>#N/A</v>
      </c>
    </row>
    <row r="9" spans="1:10" x14ac:dyDescent="0.3">
      <c r="A9" s="198"/>
      <c r="B9" s="42" t="str">
        <f>A9&amp;"-"&amp;IF(DAY(Variables!$A$2)&lt;10,0,"")&amp;DAY(Variables!$A$2)</f>
        <v>-06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Runs'!$A$13:$A$100109,1,FALSE)</f>
        <v>#N/A</v>
      </c>
    </row>
    <row r="10" spans="1:10" x14ac:dyDescent="0.3">
      <c r="A10" s="198"/>
      <c r="B10" s="42" t="str">
        <f>A10&amp;"-"&amp;IF(DAY(Variables!$A$2)&lt;10,0,"")&amp;DAY(Variables!$A$2)</f>
        <v>-06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Runs'!$A$13:$A$100109,1,FALSE)</f>
        <v>#N/A</v>
      </c>
    </row>
    <row r="11" spans="1:10" x14ac:dyDescent="0.3">
      <c r="A11" s="198"/>
      <c r="B11" s="42" t="str">
        <f>A11&amp;"-"&amp;IF(DAY(Variables!$A$2)&lt;10,0,"")&amp;DAY(Variables!$A$2)</f>
        <v>-06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Runs'!$A$13:$A$100109,1,FALSE)</f>
        <v>#N/A</v>
      </c>
    </row>
    <row r="12" spans="1:10" x14ac:dyDescent="0.3">
      <c r="A12" s="198"/>
      <c r="B12" s="42" t="str">
        <f>A12&amp;"-"&amp;IF(DAY(Variables!$A$2)&lt;10,0,"")&amp;DAY(Variables!$A$2)</f>
        <v>-06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Runs'!$A$13:$A$100109,1,FALSE)</f>
        <v>#N/A</v>
      </c>
    </row>
    <row r="13" spans="1:10" x14ac:dyDescent="0.3">
      <c r="A13" s="198"/>
      <c r="B13" s="42" t="str">
        <f>A13&amp;"-"&amp;IF(DAY(Variables!$A$2)&lt;10,0,"")&amp;DAY(Variables!$A$2)</f>
        <v>-06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Runs'!$A$13:$A$100109,1,FALSE)</f>
        <v>#N/A</v>
      </c>
    </row>
    <row r="14" spans="1:10" x14ac:dyDescent="0.3">
      <c r="A14" s="198"/>
      <c r="B14" s="42" t="str">
        <f>A14&amp;"-"&amp;IF(DAY(Variables!$A$2)&lt;10,0,"")&amp;DAY(Variables!$A$2)</f>
        <v>-06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Runs'!$A$13:$A$100109,1,FALSE)</f>
        <v>#N/A</v>
      </c>
    </row>
    <row r="15" spans="1:10" x14ac:dyDescent="0.3">
      <c r="A15" s="198"/>
      <c r="B15" s="42" t="str">
        <f>A15&amp;"-"&amp;IF(DAY(Variables!$A$2)&lt;10,0,"")&amp;DAY(Variables!$A$2)</f>
        <v>-06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Runs'!$A$13:$A$100109,1,FALSE)</f>
        <v>#N/A</v>
      </c>
    </row>
    <row r="16" spans="1:10" x14ac:dyDescent="0.3">
      <c r="A16" s="198"/>
      <c r="B16" s="42" t="str">
        <f>A16&amp;"-"&amp;IF(DAY(Variables!$A$2)&lt;10,0,"")&amp;DAY(Variables!$A$2)</f>
        <v>-06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Runs'!$A$13:$A$100109,1,FALSE)</f>
        <v>#N/A</v>
      </c>
    </row>
    <row r="17" spans="1:10" x14ac:dyDescent="0.3">
      <c r="A17" s="198"/>
      <c r="B17" s="42" t="str">
        <f>A17&amp;"-"&amp;IF(DAY(Variables!$A$2)&lt;10,0,"")&amp;DAY(Variables!$A$2)</f>
        <v>-06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Runs'!$A$13:$A$100109,1,FALSE)</f>
        <v>#N/A</v>
      </c>
    </row>
    <row r="18" spans="1:10" x14ac:dyDescent="0.3">
      <c r="A18" s="198"/>
      <c r="B18" s="42" t="str">
        <f>A18&amp;"-"&amp;IF(DAY(Variables!$A$2)&lt;10,0,"")&amp;DAY(Variables!$A$2)</f>
        <v>-06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Runs'!$A$13:$A$100109,1,FALSE)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4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43045.048472222225</v>
      </c>
      <c r="B2" s="20" t="s">
        <v>502</v>
      </c>
      <c r="C2" s="20" t="s">
        <v>570</v>
      </c>
      <c r="D2" s="138">
        <v>3680000</v>
      </c>
      <c r="E2" s="20" t="s">
        <v>411</v>
      </c>
      <c r="F2" s="20" t="s">
        <v>412</v>
      </c>
      <c r="G2" s="8" t="str">
        <f>E2&amp;" "&amp;F2</f>
        <v>HAMMOND JUSTYNN</v>
      </c>
      <c r="H2" t="str">
        <f>MID(B2,13,4)</f>
        <v>4058</v>
      </c>
    </row>
    <row r="3" spans="1:8" x14ac:dyDescent="0.3">
      <c r="A3" s="8">
        <v>43045.049027777779</v>
      </c>
      <c r="B3" s="20" t="s">
        <v>353</v>
      </c>
      <c r="C3" s="20" t="s">
        <v>571</v>
      </c>
      <c r="D3" s="138">
        <v>3220000</v>
      </c>
      <c r="E3" s="20" t="s">
        <v>386</v>
      </c>
      <c r="F3" s="20" t="s">
        <v>387</v>
      </c>
      <c r="G3" s="8" t="str">
        <f t="shared" ref="G3:G66" si="0">E3&amp;" "&amp;F3</f>
        <v>RESPASS AARON</v>
      </c>
      <c r="H3" s="20" t="str">
        <f t="shared" ref="H3:H66" si="1">MID(B3,13,4)</f>
        <v>4055</v>
      </c>
    </row>
    <row r="4" spans="1:8" x14ac:dyDescent="0.3">
      <c r="A4" s="8">
        <v>43045.055462962962</v>
      </c>
      <c r="B4" s="20" t="s">
        <v>353</v>
      </c>
      <c r="C4" s="20" t="s">
        <v>571</v>
      </c>
      <c r="D4" s="138">
        <v>3220000</v>
      </c>
      <c r="E4" s="20" t="s">
        <v>386</v>
      </c>
      <c r="F4" s="20" t="s">
        <v>387</v>
      </c>
      <c r="G4" s="8" t="str">
        <f t="shared" si="0"/>
        <v>RESPASS AARON</v>
      </c>
      <c r="H4" s="20" t="str">
        <f t="shared" si="1"/>
        <v>4055</v>
      </c>
    </row>
    <row r="5" spans="1:8" x14ac:dyDescent="0.3">
      <c r="A5" s="8">
        <v>43045.066574074073</v>
      </c>
      <c r="B5" s="20" t="s">
        <v>485</v>
      </c>
      <c r="C5" s="20" t="s">
        <v>572</v>
      </c>
      <c r="D5" s="138">
        <v>3340000</v>
      </c>
      <c r="E5" s="20" t="s">
        <v>514</v>
      </c>
      <c r="F5" s="20" t="s">
        <v>515</v>
      </c>
      <c r="G5" s="8" t="str">
        <f t="shared" si="0"/>
        <v>ELBAUM MIKE</v>
      </c>
      <c r="H5" s="20" t="str">
        <f t="shared" si="1"/>
        <v>4064</v>
      </c>
    </row>
    <row r="6" spans="1:8" x14ac:dyDescent="0.3">
      <c r="A6" s="8">
        <v>43045.089942129627</v>
      </c>
      <c r="B6" s="20" t="s">
        <v>511</v>
      </c>
      <c r="C6" s="20" t="s">
        <v>573</v>
      </c>
      <c r="D6" s="138">
        <v>3220000</v>
      </c>
      <c r="E6" s="20" t="s">
        <v>386</v>
      </c>
      <c r="F6" s="20" t="s">
        <v>387</v>
      </c>
      <c r="G6" s="8" t="str">
        <f t="shared" si="0"/>
        <v>RESPASS AARON</v>
      </c>
      <c r="H6" s="20" t="str">
        <f t="shared" si="1"/>
        <v>4056</v>
      </c>
    </row>
    <row r="7" spans="1:8" x14ac:dyDescent="0.3">
      <c r="A7" s="8">
        <v>43045.111979166664</v>
      </c>
      <c r="B7" s="20" t="s">
        <v>484</v>
      </c>
      <c r="C7" s="20" t="s">
        <v>574</v>
      </c>
      <c r="D7" s="138">
        <v>3120000</v>
      </c>
      <c r="E7" s="20" t="s">
        <v>377</v>
      </c>
      <c r="F7" s="20" t="s">
        <v>575</v>
      </c>
      <c r="G7" s="8" t="str">
        <f t="shared" si="0"/>
        <v>THOMPSON LESTER</v>
      </c>
      <c r="H7" s="20" t="str">
        <f t="shared" si="1"/>
        <v>4031</v>
      </c>
    </row>
    <row r="8" spans="1:8" x14ac:dyDescent="0.3">
      <c r="A8" s="8">
        <v>43045.122210648151</v>
      </c>
      <c r="B8" s="20" t="s">
        <v>486</v>
      </c>
      <c r="C8" s="20" t="s">
        <v>667</v>
      </c>
      <c r="D8" s="138">
        <v>1090000</v>
      </c>
      <c r="E8" s="20" t="s">
        <v>390</v>
      </c>
      <c r="F8" s="20" t="s">
        <v>354</v>
      </c>
      <c r="G8" s="8" t="str">
        <f t="shared" si="0"/>
        <v>SPECTOR MICHAEL</v>
      </c>
      <c r="H8" s="20" t="str">
        <f t="shared" si="1"/>
        <v>4032</v>
      </c>
    </row>
    <row r="9" spans="1:8" ht="15" thickBot="1" x14ac:dyDescent="0.35">
      <c r="A9" s="24">
        <v>43045.124490740738</v>
      </c>
      <c r="B9" s="20" t="s">
        <v>635</v>
      </c>
      <c r="C9" s="20" t="s">
        <v>636</v>
      </c>
      <c r="D9" s="138">
        <v>3120000</v>
      </c>
      <c r="E9" s="20" t="s">
        <v>377</v>
      </c>
      <c r="F9" s="20" t="s">
        <v>575</v>
      </c>
      <c r="G9" s="8" t="str">
        <f t="shared" si="0"/>
        <v>THOMPSON LESTER</v>
      </c>
      <c r="H9" s="20" t="str">
        <f t="shared" si="1"/>
        <v>4004</v>
      </c>
    </row>
    <row r="10" spans="1:8" x14ac:dyDescent="0.3">
      <c r="A10" s="8">
        <v>43045.141215277778</v>
      </c>
      <c r="B10" s="20" t="s">
        <v>654</v>
      </c>
      <c r="C10" s="20" t="s">
        <v>668</v>
      </c>
      <c r="D10" s="138">
        <v>1760000</v>
      </c>
      <c r="E10" s="20" t="s">
        <v>512</v>
      </c>
      <c r="F10" s="20" t="s">
        <v>513</v>
      </c>
      <c r="G10" s="8" t="str">
        <f t="shared" si="0"/>
        <v>STRICKLAND EVAN</v>
      </c>
      <c r="H10" s="20" t="str">
        <f t="shared" si="1"/>
        <v>4051</v>
      </c>
    </row>
    <row r="11" spans="1:8" x14ac:dyDescent="0.3">
      <c r="A11" s="8">
        <v>43045.141585648147</v>
      </c>
      <c r="B11" s="20" t="s">
        <v>484</v>
      </c>
      <c r="C11" s="20" t="s">
        <v>669</v>
      </c>
      <c r="D11" s="138">
        <v>1090000</v>
      </c>
      <c r="E11" s="20" t="s">
        <v>390</v>
      </c>
      <c r="F11" s="20" t="s">
        <v>354</v>
      </c>
      <c r="G11" s="8" t="str">
        <f t="shared" si="0"/>
        <v>SPECTOR MICHAEL</v>
      </c>
      <c r="H11" s="20" t="str">
        <f t="shared" si="1"/>
        <v>4031</v>
      </c>
    </row>
    <row r="12" spans="1:8" x14ac:dyDescent="0.3">
      <c r="A12" s="8">
        <v>43045.153657407405</v>
      </c>
      <c r="B12" s="20" t="s">
        <v>660</v>
      </c>
      <c r="C12" s="20" t="s">
        <v>670</v>
      </c>
      <c r="D12" s="138">
        <v>1760000</v>
      </c>
      <c r="E12" s="20" t="s">
        <v>512</v>
      </c>
      <c r="F12" s="20" t="s">
        <v>513</v>
      </c>
      <c r="G12" s="8" t="str">
        <f t="shared" si="0"/>
        <v>STRICKLAND EVAN</v>
      </c>
      <c r="H12" s="20" t="str">
        <f t="shared" si="1"/>
        <v>4052</v>
      </c>
    </row>
    <row r="13" spans="1:8" x14ac:dyDescent="0.3">
      <c r="A13" s="8">
        <v>43045.161539351851</v>
      </c>
      <c r="B13" s="20" t="s">
        <v>660</v>
      </c>
      <c r="C13" s="20" t="s">
        <v>670</v>
      </c>
      <c r="D13" s="138">
        <v>1760000</v>
      </c>
      <c r="E13" s="20" t="s">
        <v>512</v>
      </c>
      <c r="F13" s="20" t="s">
        <v>513</v>
      </c>
      <c r="G13" s="8" t="str">
        <f t="shared" si="0"/>
        <v>STRICKLAND EVAN</v>
      </c>
      <c r="H13" s="20" t="str">
        <f t="shared" si="1"/>
        <v>4052</v>
      </c>
    </row>
    <row r="14" spans="1:8" x14ac:dyDescent="0.3">
      <c r="A14" s="8">
        <v>43045.164629629631</v>
      </c>
      <c r="B14" s="20" t="s">
        <v>671</v>
      </c>
      <c r="C14" s="20" t="s">
        <v>672</v>
      </c>
      <c r="D14" s="138">
        <v>1830000</v>
      </c>
      <c r="E14" s="20" t="s">
        <v>348</v>
      </c>
      <c r="F14" s="20" t="s">
        <v>349</v>
      </c>
      <c r="G14" s="8" t="str">
        <f t="shared" si="0"/>
        <v>YORK EDGAR</v>
      </c>
      <c r="H14" s="20" t="str">
        <f t="shared" si="1"/>
        <v>4049</v>
      </c>
    </row>
    <row r="15" spans="1:8" x14ac:dyDescent="0.3">
      <c r="A15" s="8">
        <v>43045.172997685186</v>
      </c>
      <c r="B15" s="20" t="s">
        <v>673</v>
      </c>
      <c r="C15" s="20" t="s">
        <v>674</v>
      </c>
      <c r="D15" s="138">
        <v>1830000</v>
      </c>
      <c r="E15" s="20" t="s">
        <v>348</v>
      </c>
      <c r="F15" s="20" t="s">
        <v>349</v>
      </c>
      <c r="G15" s="8" t="str">
        <f t="shared" si="0"/>
        <v>YORK EDGAR</v>
      </c>
      <c r="H15" s="20" t="str">
        <f t="shared" si="1"/>
        <v>4050</v>
      </c>
    </row>
    <row r="16" spans="1:8" x14ac:dyDescent="0.3">
      <c r="A16" s="8">
        <v>43045.173368055555</v>
      </c>
      <c r="B16" s="20" t="s">
        <v>642</v>
      </c>
      <c r="C16" s="20" t="s">
        <v>675</v>
      </c>
      <c r="D16" s="138">
        <v>3120000</v>
      </c>
      <c r="E16" s="20" t="s">
        <v>377</v>
      </c>
      <c r="F16" s="20" t="s">
        <v>575</v>
      </c>
      <c r="G16" s="8" t="str">
        <f t="shared" si="0"/>
        <v>THOMPSON LESTER</v>
      </c>
      <c r="H16" s="20" t="str">
        <f t="shared" si="1"/>
        <v>4003</v>
      </c>
    </row>
    <row r="17" spans="1:8" x14ac:dyDescent="0.3">
      <c r="A17" s="8">
        <v>43045.173518518517</v>
      </c>
      <c r="B17" s="20" t="s">
        <v>557</v>
      </c>
      <c r="C17" s="20" t="s">
        <v>676</v>
      </c>
      <c r="D17" s="138">
        <v>3510000</v>
      </c>
      <c r="E17" s="20" t="s">
        <v>560</v>
      </c>
      <c r="F17" s="20" t="s">
        <v>561</v>
      </c>
      <c r="G17" s="8" t="str">
        <f t="shared" si="0"/>
        <v>BARRON PERLA</v>
      </c>
      <c r="H17" s="20" t="str">
        <f t="shared" si="1"/>
        <v>4009</v>
      </c>
    </row>
    <row r="18" spans="1:8" x14ac:dyDescent="0.3">
      <c r="A18" s="8">
        <v>43045.181770833333</v>
      </c>
      <c r="B18" s="20" t="s">
        <v>369</v>
      </c>
      <c r="C18" s="20" t="s">
        <v>677</v>
      </c>
      <c r="D18" s="138">
        <v>2010000</v>
      </c>
      <c r="E18" s="20" t="s">
        <v>558</v>
      </c>
      <c r="F18" s="20" t="s">
        <v>559</v>
      </c>
      <c r="G18" s="8" t="str">
        <f t="shared" si="0"/>
        <v>MAELZER KURT</v>
      </c>
      <c r="H18" s="20" t="str">
        <f t="shared" si="1"/>
        <v>4035</v>
      </c>
    </row>
    <row r="19" spans="1:8" x14ac:dyDescent="0.3">
      <c r="A19" s="8">
        <v>43045.184953703705</v>
      </c>
      <c r="B19" s="20" t="s">
        <v>562</v>
      </c>
      <c r="C19" s="20" t="s">
        <v>678</v>
      </c>
      <c r="D19" s="138">
        <v>3510000</v>
      </c>
      <c r="E19" s="20" t="s">
        <v>560</v>
      </c>
      <c r="F19" s="20" t="s">
        <v>561</v>
      </c>
      <c r="G19" s="8" t="str">
        <f t="shared" si="0"/>
        <v>BARRON PERLA</v>
      </c>
      <c r="H19" s="20" t="str">
        <f t="shared" si="1"/>
        <v>4010</v>
      </c>
    </row>
    <row r="20" spans="1:8" x14ac:dyDescent="0.3">
      <c r="A20" s="8">
        <v>43045.191932870373</v>
      </c>
      <c r="B20" s="20" t="s">
        <v>654</v>
      </c>
      <c r="C20" s="20" t="s">
        <v>679</v>
      </c>
      <c r="D20" s="138">
        <v>1760000</v>
      </c>
      <c r="E20" s="20" t="s">
        <v>512</v>
      </c>
      <c r="F20" s="20" t="s">
        <v>513</v>
      </c>
      <c r="G20" s="8" t="str">
        <f t="shared" si="0"/>
        <v>STRICKLAND EVAN</v>
      </c>
      <c r="H20" s="20" t="str">
        <f t="shared" si="1"/>
        <v>4051</v>
      </c>
    </row>
    <row r="21" spans="1:8" x14ac:dyDescent="0.3">
      <c r="A21" s="8">
        <v>43045.19332175926</v>
      </c>
      <c r="B21" s="20" t="s">
        <v>368</v>
      </c>
      <c r="C21" s="20" t="s">
        <v>680</v>
      </c>
      <c r="D21" s="138">
        <v>2010000</v>
      </c>
      <c r="E21" s="20" t="s">
        <v>558</v>
      </c>
      <c r="F21" s="20" t="s">
        <v>559</v>
      </c>
      <c r="G21" s="8" t="str">
        <f t="shared" si="0"/>
        <v>MAELZER KURT</v>
      </c>
      <c r="H21" s="20" t="str">
        <f t="shared" si="1"/>
        <v>4036</v>
      </c>
    </row>
    <row r="22" spans="1:8" x14ac:dyDescent="0.3">
      <c r="A22" s="26">
        <v>43045.197384259256</v>
      </c>
      <c r="B22" s="20" t="s">
        <v>362</v>
      </c>
      <c r="C22" s="20" t="s">
        <v>681</v>
      </c>
      <c r="D22" s="138">
        <v>2560000</v>
      </c>
      <c r="E22" s="20" t="s">
        <v>563</v>
      </c>
      <c r="F22" s="20" t="s">
        <v>564</v>
      </c>
      <c r="G22" s="8" t="str">
        <f t="shared" si="0"/>
        <v>MACDONALD THOMAS</v>
      </c>
      <c r="H22" s="20" t="str">
        <f t="shared" si="1"/>
        <v>4018</v>
      </c>
    </row>
    <row r="23" spans="1:8" x14ac:dyDescent="0.3">
      <c r="A23" s="8">
        <v>43045.20212962963</v>
      </c>
      <c r="B23" s="20" t="s">
        <v>671</v>
      </c>
      <c r="C23" s="20" t="s">
        <v>682</v>
      </c>
      <c r="D23" s="138">
        <v>1830000</v>
      </c>
      <c r="E23" s="20" t="s">
        <v>348</v>
      </c>
      <c r="F23" s="20" t="s">
        <v>349</v>
      </c>
      <c r="G23" s="8" t="str">
        <f t="shared" si="0"/>
        <v>YORK EDGAR</v>
      </c>
      <c r="H23" s="20" t="str">
        <f t="shared" si="1"/>
        <v>4049</v>
      </c>
    </row>
    <row r="24" spans="1:8" x14ac:dyDescent="0.3">
      <c r="A24" s="8">
        <v>43045.20244212963</v>
      </c>
      <c r="B24" s="20" t="s">
        <v>504</v>
      </c>
      <c r="C24" s="20" t="s">
        <v>683</v>
      </c>
      <c r="D24" s="138">
        <v>3030000</v>
      </c>
      <c r="E24" s="20" t="s">
        <v>569</v>
      </c>
      <c r="F24" s="20" t="s">
        <v>564</v>
      </c>
      <c r="G24" s="8" t="str">
        <f t="shared" si="0"/>
        <v>BIRENBAUM THOMAS</v>
      </c>
      <c r="H24" s="20" t="str">
        <f t="shared" si="1"/>
        <v>4015</v>
      </c>
    </row>
    <row r="25" spans="1:8" x14ac:dyDescent="0.3">
      <c r="A25" s="8">
        <v>43045.206585648149</v>
      </c>
      <c r="B25" s="20" t="s">
        <v>635</v>
      </c>
      <c r="C25" s="20" t="s">
        <v>684</v>
      </c>
      <c r="D25" s="138">
        <v>3120000</v>
      </c>
      <c r="E25" s="20" t="s">
        <v>377</v>
      </c>
      <c r="F25" s="20" t="s">
        <v>575</v>
      </c>
      <c r="G25" s="8" t="str">
        <f t="shared" si="0"/>
        <v>THOMPSON LESTER</v>
      </c>
      <c r="H25" s="20" t="str">
        <f t="shared" si="1"/>
        <v>4004</v>
      </c>
    </row>
    <row r="26" spans="1:8" x14ac:dyDescent="0.3">
      <c r="A26" s="8">
        <v>43045.208356481482</v>
      </c>
      <c r="B26" s="20" t="s">
        <v>364</v>
      </c>
      <c r="C26" s="20" t="s">
        <v>685</v>
      </c>
      <c r="D26" s="138">
        <v>2560000</v>
      </c>
      <c r="E26" s="20" t="s">
        <v>563</v>
      </c>
      <c r="F26" s="20" t="s">
        <v>564</v>
      </c>
      <c r="G26" s="8" t="str">
        <f t="shared" si="0"/>
        <v>MACDONALD THOMAS</v>
      </c>
      <c r="H26" s="20" t="str">
        <f t="shared" si="1"/>
        <v>4017</v>
      </c>
    </row>
    <row r="27" spans="1:8" x14ac:dyDescent="0.3">
      <c r="A27" s="8">
        <v>43045.214097222219</v>
      </c>
      <c r="B27" s="20" t="s">
        <v>686</v>
      </c>
      <c r="C27" s="20" t="s">
        <v>687</v>
      </c>
      <c r="D27" s="138">
        <v>3030000</v>
      </c>
      <c r="E27" s="20" t="s">
        <v>569</v>
      </c>
      <c r="F27" s="20" t="s">
        <v>564</v>
      </c>
      <c r="G27" s="8" t="str">
        <f t="shared" si="0"/>
        <v>BIRENBAUM THOMAS</v>
      </c>
      <c r="H27" s="20" t="str">
        <f t="shared" si="1"/>
        <v>4016</v>
      </c>
    </row>
    <row r="28" spans="1:8" x14ac:dyDescent="0.3">
      <c r="A28" s="8">
        <v>43045.218240740738</v>
      </c>
      <c r="B28" s="20" t="s">
        <v>557</v>
      </c>
      <c r="C28" s="20" t="s">
        <v>637</v>
      </c>
      <c r="D28" s="138">
        <v>3510000</v>
      </c>
      <c r="E28" s="20" t="s">
        <v>560</v>
      </c>
      <c r="F28" s="20" t="s">
        <v>561</v>
      </c>
      <c r="G28" s="8" t="str">
        <f t="shared" si="0"/>
        <v>BARRON PERLA</v>
      </c>
      <c r="H28" s="20" t="str">
        <f t="shared" si="1"/>
        <v>4009</v>
      </c>
    </row>
    <row r="29" spans="1:8" x14ac:dyDescent="0.3">
      <c r="A29" s="8">
        <v>43045.225497685184</v>
      </c>
      <c r="B29" s="20" t="s">
        <v>379</v>
      </c>
      <c r="C29" s="20" t="s">
        <v>688</v>
      </c>
      <c r="D29" s="138">
        <v>3090000</v>
      </c>
      <c r="E29" s="20" t="s">
        <v>565</v>
      </c>
      <c r="F29" s="20" t="s">
        <v>566</v>
      </c>
      <c r="G29" s="8" t="str">
        <f t="shared" si="0"/>
        <v>LAMAR NEKESHA</v>
      </c>
      <c r="H29" s="20" t="str">
        <f t="shared" si="1"/>
        <v>4011</v>
      </c>
    </row>
    <row r="30" spans="1:8" x14ac:dyDescent="0.3">
      <c r="A30" s="8">
        <v>43045.228113425925</v>
      </c>
      <c r="B30" s="20" t="s">
        <v>660</v>
      </c>
      <c r="C30" s="20" t="s">
        <v>689</v>
      </c>
      <c r="D30" s="138">
        <v>940000</v>
      </c>
      <c r="E30" s="20" t="s">
        <v>690</v>
      </c>
      <c r="F30" s="20" t="s">
        <v>691</v>
      </c>
      <c r="G30" s="8" t="str">
        <f t="shared" si="0"/>
        <v>BONDS REYNALDO</v>
      </c>
      <c r="H30" s="20" t="str">
        <f t="shared" si="1"/>
        <v>4052</v>
      </c>
    </row>
    <row r="31" spans="1:8" x14ac:dyDescent="0.3">
      <c r="A31" s="8">
        <v>43045.228993055556</v>
      </c>
      <c r="B31" s="20" t="s">
        <v>369</v>
      </c>
      <c r="C31" s="20" t="s">
        <v>692</v>
      </c>
      <c r="D31" s="138">
        <v>2010000</v>
      </c>
      <c r="E31" s="20" t="s">
        <v>558</v>
      </c>
      <c r="F31" s="20" t="s">
        <v>559</v>
      </c>
      <c r="G31" s="8" t="str">
        <f t="shared" si="0"/>
        <v>MAELZER KURT</v>
      </c>
      <c r="H31" s="20" t="str">
        <f t="shared" si="1"/>
        <v>4035</v>
      </c>
    </row>
    <row r="32" spans="1:8" x14ac:dyDescent="0.3">
      <c r="A32" s="8">
        <v>43045.233622685184</v>
      </c>
      <c r="B32" s="20" t="s">
        <v>644</v>
      </c>
      <c r="C32" s="20" t="s">
        <v>693</v>
      </c>
      <c r="D32" s="138">
        <v>1230000</v>
      </c>
      <c r="E32" s="20" t="s">
        <v>694</v>
      </c>
      <c r="F32" s="20" t="s">
        <v>695</v>
      </c>
      <c r="G32" s="8" t="str">
        <f t="shared" si="0"/>
        <v>YANAI IAN</v>
      </c>
      <c r="H32" s="20" t="str">
        <f t="shared" si="1"/>
        <v>4005</v>
      </c>
    </row>
    <row r="33" spans="1:8" x14ac:dyDescent="0.3">
      <c r="A33" s="8">
        <v>43045.235185185185</v>
      </c>
      <c r="B33" s="20" t="s">
        <v>362</v>
      </c>
      <c r="C33" s="20" t="s">
        <v>638</v>
      </c>
      <c r="D33" s="138">
        <v>2560000</v>
      </c>
      <c r="E33" s="20" t="s">
        <v>563</v>
      </c>
      <c r="F33" s="20" t="s">
        <v>564</v>
      </c>
      <c r="G33" s="8" t="str">
        <f t="shared" si="0"/>
        <v>MACDONALD THOMAS</v>
      </c>
      <c r="H33" s="20" t="str">
        <f t="shared" si="1"/>
        <v>4018</v>
      </c>
    </row>
    <row r="34" spans="1:8" x14ac:dyDescent="0.3">
      <c r="A34" s="8">
        <v>43045.236921296295</v>
      </c>
      <c r="B34" s="20" t="s">
        <v>378</v>
      </c>
      <c r="C34" s="20" t="s">
        <v>696</v>
      </c>
      <c r="D34" s="138">
        <v>3090000</v>
      </c>
      <c r="E34" s="20" t="s">
        <v>565</v>
      </c>
      <c r="F34" s="20" t="s">
        <v>566</v>
      </c>
      <c r="G34" s="8" t="str">
        <f t="shared" si="0"/>
        <v>LAMAR NEKESHA</v>
      </c>
      <c r="H34" s="20" t="str">
        <f t="shared" si="1"/>
        <v>4012</v>
      </c>
    </row>
    <row r="35" spans="1:8" x14ac:dyDescent="0.3">
      <c r="A35" s="8">
        <v>43045.244004629632</v>
      </c>
      <c r="B35" s="20" t="s">
        <v>673</v>
      </c>
      <c r="C35" s="20" t="s">
        <v>697</v>
      </c>
      <c r="D35" s="138">
        <v>1830000</v>
      </c>
      <c r="E35" s="20" t="s">
        <v>348</v>
      </c>
      <c r="F35" s="20" t="s">
        <v>349</v>
      </c>
      <c r="G35" s="8" t="str">
        <f t="shared" si="0"/>
        <v>YORK EDGAR</v>
      </c>
      <c r="H35" s="20" t="str">
        <f t="shared" si="1"/>
        <v>4050</v>
      </c>
    </row>
    <row r="36" spans="1:8" x14ac:dyDescent="0.3">
      <c r="A36" s="8">
        <v>43045.244456018518</v>
      </c>
      <c r="B36" s="20" t="s">
        <v>504</v>
      </c>
      <c r="C36" s="20" t="s">
        <v>698</v>
      </c>
      <c r="D36" s="138">
        <v>3030000</v>
      </c>
      <c r="E36" s="20" t="s">
        <v>569</v>
      </c>
      <c r="F36" s="20" t="s">
        <v>564</v>
      </c>
      <c r="G36" s="8" t="str">
        <f t="shared" si="0"/>
        <v>BIRENBAUM THOMAS</v>
      </c>
      <c r="H36" s="20" t="str">
        <f t="shared" si="1"/>
        <v>4015</v>
      </c>
    </row>
    <row r="37" spans="1:8" x14ac:dyDescent="0.3">
      <c r="A37" s="8">
        <v>43045.245821759258</v>
      </c>
      <c r="B37" s="20" t="s">
        <v>642</v>
      </c>
      <c r="C37" s="20" t="s">
        <v>699</v>
      </c>
      <c r="D37" s="138">
        <v>3120000</v>
      </c>
      <c r="E37" s="20" t="s">
        <v>377</v>
      </c>
      <c r="F37" s="20" t="s">
        <v>575</v>
      </c>
      <c r="G37" s="8" t="str">
        <f t="shared" si="0"/>
        <v>THOMPSON LESTER</v>
      </c>
      <c r="H37" s="20" t="str">
        <f t="shared" si="1"/>
        <v>4003</v>
      </c>
    </row>
    <row r="38" spans="1:8" x14ac:dyDescent="0.3">
      <c r="A38" s="8">
        <v>43045.24732638889</v>
      </c>
      <c r="B38" s="20" t="s">
        <v>364</v>
      </c>
      <c r="C38" s="20" t="s">
        <v>639</v>
      </c>
      <c r="D38" s="138">
        <v>2560000</v>
      </c>
      <c r="E38" s="20" t="s">
        <v>563</v>
      </c>
      <c r="F38" s="20" t="s">
        <v>564</v>
      </c>
      <c r="G38" s="8" t="str">
        <f t="shared" si="0"/>
        <v>MACDONALD THOMAS</v>
      </c>
      <c r="H38" s="20" t="str">
        <f t="shared" si="1"/>
        <v>4017</v>
      </c>
    </row>
    <row r="39" spans="1:8" x14ac:dyDescent="0.3">
      <c r="A39" s="8">
        <v>43045.248935185184</v>
      </c>
      <c r="B39" s="20" t="s">
        <v>506</v>
      </c>
      <c r="C39" s="20" t="s">
        <v>700</v>
      </c>
      <c r="D39" s="138">
        <v>1230000</v>
      </c>
      <c r="E39" s="20" t="s">
        <v>694</v>
      </c>
      <c r="F39" s="20" t="s">
        <v>695</v>
      </c>
      <c r="G39" s="8" t="str">
        <f t="shared" si="0"/>
        <v>YANAI IAN</v>
      </c>
      <c r="H39" s="20" t="str">
        <f t="shared" si="1"/>
        <v>4006</v>
      </c>
    </row>
    <row r="40" spans="1:8" x14ac:dyDescent="0.3">
      <c r="A40" s="8">
        <v>43045.257361111115</v>
      </c>
      <c r="B40" s="25" t="s">
        <v>562</v>
      </c>
      <c r="C40" s="20" t="s">
        <v>701</v>
      </c>
      <c r="D40" s="138">
        <v>3510000</v>
      </c>
      <c r="E40" s="20" t="s">
        <v>560</v>
      </c>
      <c r="F40" s="20" t="s">
        <v>561</v>
      </c>
      <c r="G40" s="8" t="str">
        <f t="shared" si="0"/>
        <v>BARRON PERLA</v>
      </c>
      <c r="H40" s="20" t="str">
        <f t="shared" si="1"/>
        <v>4010</v>
      </c>
    </row>
    <row r="41" spans="1:8" x14ac:dyDescent="0.3">
      <c r="A41" s="8">
        <v>43045.266261574077</v>
      </c>
      <c r="B41" s="20" t="s">
        <v>654</v>
      </c>
      <c r="C41" s="20" t="s">
        <v>702</v>
      </c>
      <c r="D41" s="138">
        <v>940000</v>
      </c>
      <c r="E41" s="20" t="s">
        <v>690</v>
      </c>
      <c r="F41" s="20" t="s">
        <v>691</v>
      </c>
      <c r="G41" s="8" t="str">
        <f t="shared" si="0"/>
        <v>BONDS REYNALDO</v>
      </c>
      <c r="H41" s="20" t="str">
        <f t="shared" si="1"/>
        <v>4051</v>
      </c>
    </row>
    <row r="42" spans="1:8" x14ac:dyDescent="0.3">
      <c r="A42" s="8">
        <v>43045.26630787037</v>
      </c>
      <c r="B42" s="20" t="s">
        <v>368</v>
      </c>
      <c r="C42" s="20" t="s">
        <v>703</v>
      </c>
      <c r="D42" s="138">
        <v>2010000</v>
      </c>
      <c r="E42" s="20" t="s">
        <v>558</v>
      </c>
      <c r="F42" s="20" t="s">
        <v>559</v>
      </c>
      <c r="G42" s="8" t="str">
        <f t="shared" si="0"/>
        <v>MAELZER KURT</v>
      </c>
      <c r="H42" s="20" t="str">
        <f t="shared" si="1"/>
        <v>4036</v>
      </c>
    </row>
    <row r="43" spans="1:8" x14ac:dyDescent="0.3">
      <c r="A43" s="8">
        <v>43045.267476851855</v>
      </c>
      <c r="B43" s="20" t="s">
        <v>644</v>
      </c>
      <c r="C43" s="20" t="s">
        <v>704</v>
      </c>
      <c r="D43" s="138">
        <v>1230000</v>
      </c>
      <c r="E43" s="20" t="s">
        <v>694</v>
      </c>
      <c r="F43" s="20" t="s">
        <v>695</v>
      </c>
      <c r="G43" s="8" t="str">
        <f t="shared" si="0"/>
        <v>YANAI IAN</v>
      </c>
      <c r="H43" s="20" t="str">
        <f t="shared" si="1"/>
        <v>4005</v>
      </c>
    </row>
    <row r="44" spans="1:8" x14ac:dyDescent="0.3">
      <c r="A44" s="8">
        <v>43045.27579861111</v>
      </c>
      <c r="B44" s="20" t="s">
        <v>671</v>
      </c>
      <c r="C44" s="20" t="s">
        <v>705</v>
      </c>
      <c r="D44" s="138">
        <v>1830000</v>
      </c>
      <c r="E44" s="20" t="s">
        <v>348</v>
      </c>
      <c r="F44" s="20" t="s">
        <v>349</v>
      </c>
      <c r="G44" s="8" t="str">
        <f t="shared" si="0"/>
        <v>YORK EDGAR</v>
      </c>
      <c r="H44" s="20" t="str">
        <f t="shared" si="1"/>
        <v>4049</v>
      </c>
    </row>
    <row r="45" spans="1:8" x14ac:dyDescent="0.3">
      <c r="A45" s="8">
        <v>43045.275833333333</v>
      </c>
      <c r="B45" s="20" t="s">
        <v>379</v>
      </c>
      <c r="C45" s="20" t="s">
        <v>706</v>
      </c>
      <c r="D45" s="138">
        <v>3090000</v>
      </c>
      <c r="E45" s="20" t="s">
        <v>565</v>
      </c>
      <c r="F45" s="20" t="s">
        <v>566</v>
      </c>
      <c r="G45" s="8" t="str">
        <f t="shared" si="0"/>
        <v>LAMAR NEKESHA</v>
      </c>
      <c r="H45" s="20" t="str">
        <f t="shared" si="1"/>
        <v>4011</v>
      </c>
    </row>
    <row r="46" spans="1:8" x14ac:dyDescent="0.3">
      <c r="A46" s="8">
        <v>43045.27715277778</v>
      </c>
      <c r="B46" s="20" t="s">
        <v>362</v>
      </c>
      <c r="C46" s="20" t="s">
        <v>707</v>
      </c>
      <c r="D46" s="138">
        <v>2560000</v>
      </c>
      <c r="E46" s="20" t="s">
        <v>563</v>
      </c>
      <c r="F46" s="20" t="s">
        <v>564</v>
      </c>
      <c r="G46" s="8" t="str">
        <f t="shared" si="0"/>
        <v>MACDONALD THOMAS</v>
      </c>
      <c r="H46" s="20" t="str">
        <f t="shared" si="1"/>
        <v>4018</v>
      </c>
    </row>
    <row r="47" spans="1:8" x14ac:dyDescent="0.3">
      <c r="A47" s="8">
        <v>43045.279861111114</v>
      </c>
      <c r="B47" s="20" t="s">
        <v>635</v>
      </c>
      <c r="C47" s="20" t="s">
        <v>708</v>
      </c>
      <c r="D47" s="138">
        <v>3120000</v>
      </c>
      <c r="E47" s="20" t="s">
        <v>377</v>
      </c>
      <c r="F47" s="20" t="s">
        <v>575</v>
      </c>
      <c r="G47" s="8" t="str">
        <f t="shared" si="0"/>
        <v>THOMPSON LESTER</v>
      </c>
      <c r="H47" s="20" t="str">
        <f t="shared" si="1"/>
        <v>4004</v>
      </c>
    </row>
    <row r="48" spans="1:8" x14ac:dyDescent="0.3">
      <c r="A48" s="8">
        <v>43045.288553240738</v>
      </c>
      <c r="B48" s="20" t="s">
        <v>686</v>
      </c>
      <c r="C48" s="20" t="s">
        <v>709</v>
      </c>
      <c r="D48" s="138">
        <v>3030000</v>
      </c>
      <c r="E48" s="20" t="s">
        <v>569</v>
      </c>
      <c r="F48" s="20" t="s">
        <v>564</v>
      </c>
      <c r="G48" s="8" t="str">
        <f t="shared" si="0"/>
        <v>BIRENBAUM THOMAS</v>
      </c>
      <c r="H48" s="20" t="str">
        <f t="shared" si="1"/>
        <v>4016</v>
      </c>
    </row>
    <row r="49" spans="1:8" x14ac:dyDescent="0.3">
      <c r="A49" s="8">
        <v>43045.289050925923</v>
      </c>
      <c r="B49" s="20" t="s">
        <v>364</v>
      </c>
      <c r="C49" s="20" t="s">
        <v>710</v>
      </c>
      <c r="D49" s="138">
        <v>2560000</v>
      </c>
      <c r="E49" s="20" t="s">
        <v>563</v>
      </c>
      <c r="F49" s="20" t="s">
        <v>564</v>
      </c>
      <c r="G49" s="8" t="str">
        <f t="shared" si="0"/>
        <v>MACDONALD THOMAS</v>
      </c>
      <c r="H49" s="20" t="str">
        <f t="shared" si="1"/>
        <v>4017</v>
      </c>
    </row>
    <row r="50" spans="1:8" x14ac:dyDescent="0.3">
      <c r="A50" s="8">
        <v>43045.289340277777</v>
      </c>
      <c r="B50" s="20" t="s">
        <v>557</v>
      </c>
      <c r="C50" s="20" t="s">
        <v>711</v>
      </c>
      <c r="D50" s="138">
        <v>3510000</v>
      </c>
      <c r="E50" s="20" t="s">
        <v>560</v>
      </c>
      <c r="F50" s="20" t="s">
        <v>561</v>
      </c>
      <c r="G50" s="8" t="str">
        <f t="shared" si="0"/>
        <v>BARRON PERLA</v>
      </c>
      <c r="H50" s="20" t="str">
        <f t="shared" si="1"/>
        <v>4009</v>
      </c>
    </row>
    <row r="51" spans="1:8" x14ac:dyDescent="0.3">
      <c r="A51" s="8">
        <v>43045.290729166663</v>
      </c>
      <c r="B51" s="20" t="s">
        <v>506</v>
      </c>
      <c r="C51" s="20" t="s">
        <v>641</v>
      </c>
      <c r="D51" s="138">
        <v>1760000</v>
      </c>
      <c r="E51" s="20" t="s">
        <v>512</v>
      </c>
      <c r="F51" s="20" t="s">
        <v>513</v>
      </c>
      <c r="G51" s="8" t="str">
        <f t="shared" si="0"/>
        <v>STRICKLAND EVAN</v>
      </c>
      <c r="H51" s="20" t="str">
        <f t="shared" si="1"/>
        <v>4006</v>
      </c>
    </row>
    <row r="52" spans="1:8" x14ac:dyDescent="0.3">
      <c r="A52" s="8">
        <v>43045.2971412037</v>
      </c>
      <c r="B52" s="20" t="s">
        <v>660</v>
      </c>
      <c r="C52" s="20" t="s">
        <v>712</v>
      </c>
      <c r="D52" s="138">
        <v>940000</v>
      </c>
      <c r="E52" s="20" t="s">
        <v>690</v>
      </c>
      <c r="F52" s="20" t="s">
        <v>691</v>
      </c>
      <c r="G52" s="8" t="str">
        <f t="shared" si="0"/>
        <v>BONDS REYNALDO</v>
      </c>
      <c r="H52" s="20" t="str">
        <f t="shared" si="1"/>
        <v>4052</v>
      </c>
    </row>
    <row r="53" spans="1:8" x14ac:dyDescent="0.3">
      <c r="A53" s="8">
        <v>43045.298715277779</v>
      </c>
      <c r="B53" s="20" t="s">
        <v>486</v>
      </c>
      <c r="C53" s="20" t="s">
        <v>667</v>
      </c>
      <c r="D53" s="138">
        <v>1090000</v>
      </c>
      <c r="E53" s="20" t="s">
        <v>390</v>
      </c>
      <c r="F53" s="20" t="s">
        <v>354</v>
      </c>
      <c r="G53" s="8" t="str">
        <f t="shared" si="0"/>
        <v>SPECTOR MICHAEL</v>
      </c>
      <c r="H53" s="20" t="str">
        <f t="shared" si="1"/>
        <v>4032</v>
      </c>
    </row>
    <row r="54" spans="1:8" x14ac:dyDescent="0.3">
      <c r="A54" s="8">
        <v>43045.304988425924</v>
      </c>
      <c r="B54" s="20" t="s">
        <v>369</v>
      </c>
      <c r="C54" s="20" t="s">
        <v>713</v>
      </c>
      <c r="D54" s="138">
        <v>2010000</v>
      </c>
      <c r="E54" s="20" t="s">
        <v>558</v>
      </c>
      <c r="F54" s="20" t="s">
        <v>559</v>
      </c>
      <c r="G54" s="8" t="str">
        <f t="shared" si="0"/>
        <v>MAELZER KURT</v>
      </c>
      <c r="H54" s="20" t="str">
        <f t="shared" si="1"/>
        <v>4035</v>
      </c>
    </row>
    <row r="55" spans="1:8" x14ac:dyDescent="0.3">
      <c r="A55" s="8">
        <v>43045.308298611111</v>
      </c>
      <c r="B55" s="20" t="s">
        <v>484</v>
      </c>
      <c r="C55" s="20" t="s">
        <v>669</v>
      </c>
      <c r="D55" s="138">
        <v>1090000</v>
      </c>
      <c r="E55" s="20" t="s">
        <v>390</v>
      </c>
      <c r="F55" s="20" t="s">
        <v>354</v>
      </c>
      <c r="G55" s="8" t="str">
        <f t="shared" si="0"/>
        <v>SPECTOR MICHAEL</v>
      </c>
      <c r="H55" s="20" t="str">
        <f t="shared" si="1"/>
        <v>4031</v>
      </c>
    </row>
    <row r="56" spans="1:8" x14ac:dyDescent="0.3">
      <c r="A56" s="8">
        <v>43045.309178240743</v>
      </c>
      <c r="B56" s="20" t="s">
        <v>378</v>
      </c>
      <c r="C56" s="20" t="s">
        <v>714</v>
      </c>
      <c r="D56" s="138">
        <v>3090000</v>
      </c>
      <c r="E56" s="20" t="s">
        <v>565</v>
      </c>
      <c r="F56" s="20" t="s">
        <v>566</v>
      </c>
      <c r="G56" s="8" t="str">
        <f t="shared" si="0"/>
        <v>LAMAR NEKESHA</v>
      </c>
      <c r="H56" s="20" t="str">
        <f t="shared" si="1"/>
        <v>4012</v>
      </c>
    </row>
    <row r="57" spans="1:8" x14ac:dyDescent="0.3">
      <c r="A57" s="8">
        <v>43045.311400462961</v>
      </c>
      <c r="B57" s="20" t="s">
        <v>644</v>
      </c>
      <c r="C57" s="20" t="s">
        <v>715</v>
      </c>
      <c r="D57" s="138">
        <v>1760000</v>
      </c>
      <c r="E57" s="20" t="s">
        <v>512</v>
      </c>
      <c r="F57" s="20" t="s">
        <v>513</v>
      </c>
      <c r="G57" s="8" t="str">
        <f t="shared" si="0"/>
        <v>STRICKLAND EVAN</v>
      </c>
      <c r="H57" s="20" t="str">
        <f t="shared" si="1"/>
        <v>4005</v>
      </c>
    </row>
    <row r="58" spans="1:8" x14ac:dyDescent="0.3">
      <c r="A58" s="8">
        <v>43045.311909722222</v>
      </c>
      <c r="B58" s="20" t="s">
        <v>362</v>
      </c>
      <c r="C58" s="20" t="s">
        <v>716</v>
      </c>
      <c r="D58" s="138">
        <v>2560000</v>
      </c>
      <c r="E58" s="20" t="s">
        <v>563</v>
      </c>
      <c r="F58" s="20" t="s">
        <v>564</v>
      </c>
      <c r="G58" s="8" t="str">
        <f t="shared" si="0"/>
        <v>MACDONALD THOMAS</v>
      </c>
      <c r="H58" s="20" t="str">
        <f t="shared" si="1"/>
        <v>4018</v>
      </c>
    </row>
    <row r="59" spans="1:8" x14ac:dyDescent="0.3">
      <c r="A59" s="8">
        <v>43045.317199074074</v>
      </c>
      <c r="B59" s="20" t="s">
        <v>504</v>
      </c>
      <c r="C59" s="20" t="s">
        <v>717</v>
      </c>
      <c r="D59" s="138">
        <v>3030000</v>
      </c>
      <c r="E59" s="20" t="s">
        <v>569</v>
      </c>
      <c r="F59" s="20" t="s">
        <v>564</v>
      </c>
      <c r="G59" s="8" t="str">
        <f t="shared" si="0"/>
        <v>BIRENBAUM THOMAS</v>
      </c>
      <c r="H59" s="20" t="str">
        <f t="shared" si="1"/>
        <v>4015</v>
      </c>
    </row>
    <row r="60" spans="1:8" x14ac:dyDescent="0.3">
      <c r="A60" s="8">
        <v>43045.318888888891</v>
      </c>
      <c r="B60" s="20" t="s">
        <v>486</v>
      </c>
      <c r="C60" s="20" t="s">
        <v>718</v>
      </c>
      <c r="D60" s="138">
        <v>1830000</v>
      </c>
      <c r="E60" s="20" t="s">
        <v>348</v>
      </c>
      <c r="F60" s="20" t="s">
        <v>349</v>
      </c>
      <c r="G60" s="8" t="str">
        <f t="shared" si="0"/>
        <v>YORK EDGAR</v>
      </c>
      <c r="H60" s="20" t="str">
        <f t="shared" si="1"/>
        <v>4032</v>
      </c>
    </row>
    <row r="61" spans="1:8" x14ac:dyDescent="0.3">
      <c r="A61" s="8">
        <v>43045.319652777776</v>
      </c>
      <c r="B61" s="20" t="s">
        <v>642</v>
      </c>
      <c r="C61" s="20" t="s">
        <v>643</v>
      </c>
      <c r="D61" s="138">
        <v>3120000</v>
      </c>
      <c r="E61" s="20" t="s">
        <v>377</v>
      </c>
      <c r="F61" s="20" t="s">
        <v>575</v>
      </c>
      <c r="G61" s="8" t="str">
        <f t="shared" si="0"/>
        <v>THOMPSON LESTER</v>
      </c>
      <c r="H61" s="20" t="str">
        <f t="shared" si="1"/>
        <v>4003</v>
      </c>
    </row>
    <row r="62" spans="1:8" x14ac:dyDescent="0.3">
      <c r="A62" s="8">
        <v>43045.329652777778</v>
      </c>
      <c r="B62" s="20" t="s">
        <v>562</v>
      </c>
      <c r="C62" s="20" t="s">
        <v>719</v>
      </c>
      <c r="D62" s="138">
        <v>3510000</v>
      </c>
      <c r="E62" s="20" t="s">
        <v>560</v>
      </c>
      <c r="F62" s="20" t="s">
        <v>561</v>
      </c>
      <c r="G62" s="8" t="str">
        <f t="shared" si="0"/>
        <v>BARRON PERLA</v>
      </c>
      <c r="H62" s="20" t="str">
        <f t="shared" si="1"/>
        <v>4010</v>
      </c>
    </row>
    <row r="63" spans="1:8" x14ac:dyDescent="0.3">
      <c r="A63" s="8">
        <v>43045.331585648149</v>
      </c>
      <c r="B63" s="20" t="s">
        <v>364</v>
      </c>
      <c r="C63" s="20" t="s">
        <v>720</v>
      </c>
      <c r="D63" s="138">
        <v>2560000</v>
      </c>
      <c r="E63" s="20" t="s">
        <v>563</v>
      </c>
      <c r="F63" s="20" t="s">
        <v>564</v>
      </c>
      <c r="G63" s="8" t="str">
        <f t="shared" si="0"/>
        <v>MACDONALD THOMAS</v>
      </c>
      <c r="H63" s="20" t="str">
        <f t="shared" si="1"/>
        <v>4017</v>
      </c>
    </row>
    <row r="64" spans="1:8" x14ac:dyDescent="0.3">
      <c r="A64" s="26">
        <v>43045.333310185182</v>
      </c>
      <c r="B64" s="20" t="s">
        <v>562</v>
      </c>
      <c r="C64" s="20" t="s">
        <v>719</v>
      </c>
      <c r="D64" s="138">
        <v>3510000</v>
      </c>
      <c r="E64" s="20" t="s">
        <v>560</v>
      </c>
      <c r="F64" s="20" t="s">
        <v>561</v>
      </c>
      <c r="G64" s="8" t="str">
        <f t="shared" si="0"/>
        <v>BARRON PERLA</v>
      </c>
      <c r="H64" s="20" t="str">
        <f t="shared" si="1"/>
        <v>4010</v>
      </c>
    </row>
    <row r="65" spans="1:8" x14ac:dyDescent="0.3">
      <c r="A65" s="8">
        <v>43045.333877314813</v>
      </c>
      <c r="B65" s="20" t="s">
        <v>506</v>
      </c>
      <c r="C65" s="20" t="s">
        <v>721</v>
      </c>
      <c r="D65" s="138">
        <v>1760000</v>
      </c>
      <c r="E65" s="20" t="s">
        <v>512</v>
      </c>
      <c r="F65" s="20" t="s">
        <v>513</v>
      </c>
      <c r="G65" s="8" t="str">
        <f t="shared" si="0"/>
        <v>STRICKLAND EVAN</v>
      </c>
      <c r="H65" s="20" t="str">
        <f t="shared" si="1"/>
        <v>4006</v>
      </c>
    </row>
    <row r="66" spans="1:8" x14ac:dyDescent="0.3">
      <c r="A66" s="8">
        <v>43045.336898148147</v>
      </c>
      <c r="B66" s="20" t="s">
        <v>654</v>
      </c>
      <c r="C66" s="20" t="s">
        <v>722</v>
      </c>
      <c r="D66" s="138">
        <v>940000</v>
      </c>
      <c r="E66" s="20" t="s">
        <v>690</v>
      </c>
      <c r="F66" s="20" t="s">
        <v>691</v>
      </c>
      <c r="G66" s="8" t="str">
        <f t="shared" si="0"/>
        <v>BONDS REYNALDO</v>
      </c>
      <c r="H66" s="20" t="str">
        <f t="shared" si="1"/>
        <v>4051</v>
      </c>
    </row>
    <row r="67" spans="1:8" x14ac:dyDescent="0.3">
      <c r="A67" s="8">
        <v>43045.339490740742</v>
      </c>
      <c r="B67" s="20" t="s">
        <v>368</v>
      </c>
      <c r="C67" s="20" t="s">
        <v>723</v>
      </c>
      <c r="D67" s="138">
        <v>2010000</v>
      </c>
      <c r="E67" s="20" t="s">
        <v>558</v>
      </c>
      <c r="F67" s="20" t="s">
        <v>559</v>
      </c>
      <c r="G67" s="8" t="str">
        <f t="shared" ref="G67:G130" si="2">E67&amp;" "&amp;F67</f>
        <v>MAELZER KURT</v>
      </c>
      <c r="H67" s="20" t="str">
        <f t="shared" ref="H67:H130" si="3">MID(B67,13,4)</f>
        <v>4036</v>
      </c>
    </row>
    <row r="68" spans="1:8" x14ac:dyDescent="0.3">
      <c r="A68" s="8">
        <v>43045.33966435185</v>
      </c>
      <c r="B68" s="20" t="s">
        <v>379</v>
      </c>
      <c r="C68" s="20" t="s">
        <v>724</v>
      </c>
      <c r="D68" s="138">
        <v>3090000</v>
      </c>
      <c r="E68" s="20" t="s">
        <v>565</v>
      </c>
      <c r="F68" s="20" t="s">
        <v>566</v>
      </c>
      <c r="G68" s="8" t="str">
        <f t="shared" si="2"/>
        <v>LAMAR NEKESHA</v>
      </c>
      <c r="H68" s="20" t="str">
        <f t="shared" si="3"/>
        <v>4011</v>
      </c>
    </row>
    <row r="69" spans="1:8" x14ac:dyDescent="0.3">
      <c r="A69" s="8">
        <v>43045.351921296293</v>
      </c>
      <c r="B69" s="20" t="s">
        <v>635</v>
      </c>
      <c r="C69" s="20" t="s">
        <v>725</v>
      </c>
      <c r="D69" s="138">
        <v>3120000</v>
      </c>
      <c r="E69" s="20" t="s">
        <v>377</v>
      </c>
      <c r="F69" s="20" t="s">
        <v>575</v>
      </c>
      <c r="G69" s="8" t="str">
        <f t="shared" si="2"/>
        <v>THOMPSON LESTER</v>
      </c>
      <c r="H69" s="20" t="str">
        <f t="shared" si="3"/>
        <v>4004</v>
      </c>
    </row>
    <row r="70" spans="1:8" x14ac:dyDescent="0.3">
      <c r="A70" s="8">
        <v>43045.352268518516</v>
      </c>
      <c r="B70" s="20" t="s">
        <v>362</v>
      </c>
      <c r="C70" s="20" t="s">
        <v>726</v>
      </c>
      <c r="D70" s="138">
        <v>2560000</v>
      </c>
      <c r="E70" s="20" t="s">
        <v>563</v>
      </c>
      <c r="F70" s="20" t="s">
        <v>564</v>
      </c>
      <c r="G70" s="8" t="str">
        <f t="shared" si="2"/>
        <v>MACDONALD THOMAS</v>
      </c>
      <c r="H70" s="20" t="str">
        <f t="shared" si="3"/>
        <v>4018</v>
      </c>
    </row>
    <row r="71" spans="1:8" x14ac:dyDescent="0.3">
      <c r="A71" s="8">
        <v>43045.353680555556</v>
      </c>
      <c r="B71" s="20" t="s">
        <v>644</v>
      </c>
      <c r="C71" s="20" t="s">
        <v>645</v>
      </c>
      <c r="D71" s="138">
        <v>1760000</v>
      </c>
      <c r="E71" s="20" t="s">
        <v>512</v>
      </c>
      <c r="F71" s="20" t="s">
        <v>513</v>
      </c>
      <c r="G71" s="8" t="str">
        <f t="shared" si="2"/>
        <v>STRICKLAND EVAN</v>
      </c>
      <c r="H71" s="20" t="str">
        <f t="shared" si="3"/>
        <v>4005</v>
      </c>
    </row>
    <row r="72" spans="1:8" x14ac:dyDescent="0.3">
      <c r="A72" s="8">
        <v>43045.36136574074</v>
      </c>
      <c r="B72" s="20" t="s">
        <v>686</v>
      </c>
      <c r="C72" s="20" t="s">
        <v>727</v>
      </c>
      <c r="D72" s="138">
        <v>3030000</v>
      </c>
      <c r="E72" s="20" t="s">
        <v>569</v>
      </c>
      <c r="F72" s="20" t="s">
        <v>564</v>
      </c>
      <c r="G72" s="8" t="str">
        <f t="shared" si="2"/>
        <v>BIRENBAUM THOMAS</v>
      </c>
      <c r="H72" s="20" t="str">
        <f t="shared" si="3"/>
        <v>4016</v>
      </c>
    </row>
    <row r="73" spans="1:8" x14ac:dyDescent="0.3">
      <c r="A73" s="8">
        <v>43045.36146990741</v>
      </c>
      <c r="B73" s="20" t="s">
        <v>557</v>
      </c>
      <c r="C73" s="20" t="s">
        <v>728</v>
      </c>
      <c r="D73" s="138">
        <v>3510000</v>
      </c>
      <c r="E73" s="20" t="s">
        <v>560</v>
      </c>
      <c r="F73" s="20" t="s">
        <v>561</v>
      </c>
      <c r="G73" s="8" t="str">
        <f t="shared" si="2"/>
        <v>BARRON PERLA</v>
      </c>
      <c r="H73" s="20" t="str">
        <f t="shared" si="3"/>
        <v>4009</v>
      </c>
    </row>
    <row r="74" spans="1:8" x14ac:dyDescent="0.3">
      <c r="A74" s="8">
        <v>43045.361793981479</v>
      </c>
      <c r="B74" s="20" t="s">
        <v>484</v>
      </c>
      <c r="C74" s="20" t="s">
        <v>646</v>
      </c>
      <c r="D74" s="138">
        <v>1830000</v>
      </c>
      <c r="E74" s="20" t="s">
        <v>348</v>
      </c>
      <c r="F74" s="20" t="s">
        <v>349</v>
      </c>
      <c r="G74" s="8" t="str">
        <f t="shared" si="2"/>
        <v>YORK EDGAR</v>
      </c>
      <c r="H74" s="20" t="str">
        <f t="shared" si="3"/>
        <v>4031</v>
      </c>
    </row>
    <row r="75" spans="1:8" x14ac:dyDescent="0.3">
      <c r="A75" s="8">
        <v>43045.370208333334</v>
      </c>
      <c r="B75" s="20" t="s">
        <v>660</v>
      </c>
      <c r="C75" s="20" t="s">
        <v>729</v>
      </c>
      <c r="D75" s="138">
        <v>940000</v>
      </c>
      <c r="E75" s="20" t="s">
        <v>690</v>
      </c>
      <c r="F75" s="20" t="s">
        <v>691</v>
      </c>
      <c r="G75" s="8" t="str">
        <f t="shared" si="2"/>
        <v>BONDS REYNALDO</v>
      </c>
      <c r="H75" s="20" t="str">
        <f t="shared" si="3"/>
        <v>4052</v>
      </c>
    </row>
    <row r="76" spans="1:8" x14ac:dyDescent="0.3">
      <c r="A76" s="8">
        <v>43045.374652777777</v>
      </c>
      <c r="B76" s="20" t="s">
        <v>506</v>
      </c>
      <c r="C76" s="20" t="s">
        <v>730</v>
      </c>
      <c r="D76" s="138">
        <v>1230000</v>
      </c>
      <c r="E76" s="20" t="s">
        <v>694</v>
      </c>
      <c r="F76" s="20" t="s">
        <v>695</v>
      </c>
      <c r="G76" s="8" t="str">
        <f t="shared" si="2"/>
        <v>YANAI IAN</v>
      </c>
      <c r="H76" s="20" t="str">
        <f t="shared" si="3"/>
        <v>4006</v>
      </c>
    </row>
    <row r="77" spans="1:8" x14ac:dyDescent="0.3">
      <c r="A77" s="8">
        <v>43045.374722222223</v>
      </c>
      <c r="B77" s="20" t="s">
        <v>369</v>
      </c>
      <c r="C77" s="20" t="s">
        <v>731</v>
      </c>
      <c r="D77" s="138">
        <v>2010000</v>
      </c>
      <c r="E77" s="20" t="s">
        <v>558</v>
      </c>
      <c r="F77" s="20" t="s">
        <v>559</v>
      </c>
      <c r="G77" s="8" t="str">
        <f t="shared" si="2"/>
        <v>MAELZER KURT</v>
      </c>
      <c r="H77" s="20" t="str">
        <f t="shared" si="3"/>
        <v>4035</v>
      </c>
    </row>
    <row r="78" spans="1:8" x14ac:dyDescent="0.3">
      <c r="A78" s="8">
        <v>43045.38013888889</v>
      </c>
      <c r="B78" s="20" t="s">
        <v>732</v>
      </c>
      <c r="C78" s="20" t="s">
        <v>667</v>
      </c>
      <c r="D78" s="138">
        <v>1090000</v>
      </c>
      <c r="E78" s="20" t="s">
        <v>390</v>
      </c>
      <c r="F78" s="20" t="s">
        <v>354</v>
      </c>
      <c r="G78" s="8" t="str">
        <f t="shared" si="2"/>
        <v>SPECTOR MICHAEL</v>
      </c>
      <c r="H78" s="20" t="str">
        <f t="shared" si="3"/>
        <v>4066</v>
      </c>
    </row>
    <row r="79" spans="1:8" x14ac:dyDescent="0.3">
      <c r="A79" s="8">
        <v>43045.38212962963</v>
      </c>
      <c r="B79" s="20" t="s">
        <v>378</v>
      </c>
      <c r="C79" s="20" t="s">
        <v>733</v>
      </c>
      <c r="D79" s="138">
        <v>3090000</v>
      </c>
      <c r="E79" s="20" t="s">
        <v>565</v>
      </c>
      <c r="F79" s="20" t="s">
        <v>566</v>
      </c>
      <c r="G79" s="8" t="str">
        <f t="shared" si="2"/>
        <v>LAMAR NEKESHA</v>
      </c>
      <c r="H79" s="20" t="str">
        <f t="shared" si="3"/>
        <v>4012</v>
      </c>
    </row>
    <row r="80" spans="1:8" x14ac:dyDescent="0.3">
      <c r="A80" s="8">
        <v>43045.383379629631</v>
      </c>
      <c r="B80" s="20" t="s">
        <v>503</v>
      </c>
      <c r="C80" s="20" t="s">
        <v>669</v>
      </c>
      <c r="D80" s="138">
        <v>1090000</v>
      </c>
      <c r="E80" s="20" t="s">
        <v>390</v>
      </c>
      <c r="F80" s="20" t="s">
        <v>354</v>
      </c>
      <c r="G80" s="8" t="str">
        <f t="shared" si="2"/>
        <v>SPECTOR MICHAEL</v>
      </c>
      <c r="H80" s="20" t="str">
        <f t="shared" si="3"/>
        <v>4065</v>
      </c>
    </row>
    <row r="81" spans="1:8" x14ac:dyDescent="0.3">
      <c r="A81" s="8">
        <v>43045.389918981484</v>
      </c>
      <c r="B81" s="20" t="s">
        <v>642</v>
      </c>
      <c r="C81" s="20" t="s">
        <v>647</v>
      </c>
      <c r="D81" s="138">
        <v>3120000</v>
      </c>
      <c r="E81" s="20" t="s">
        <v>377</v>
      </c>
      <c r="F81" s="20" t="s">
        <v>575</v>
      </c>
      <c r="G81" s="8" t="str">
        <f t="shared" si="2"/>
        <v>THOMPSON LESTER</v>
      </c>
      <c r="H81" s="20" t="str">
        <f t="shared" si="3"/>
        <v>4003</v>
      </c>
    </row>
    <row r="82" spans="1:8" x14ac:dyDescent="0.3">
      <c r="A82" s="8">
        <v>43045.390856481485</v>
      </c>
      <c r="B82" s="20" t="s">
        <v>504</v>
      </c>
      <c r="C82" s="20" t="s">
        <v>734</v>
      </c>
      <c r="D82" s="138">
        <v>3030000</v>
      </c>
      <c r="E82" s="20" t="s">
        <v>569</v>
      </c>
      <c r="F82" s="20" t="s">
        <v>564</v>
      </c>
      <c r="G82" s="8" t="str">
        <f t="shared" si="2"/>
        <v>BIRENBAUM THOMAS</v>
      </c>
      <c r="H82" s="20" t="str">
        <f t="shared" si="3"/>
        <v>4015</v>
      </c>
    </row>
    <row r="83" spans="1:8" x14ac:dyDescent="0.3">
      <c r="A83" s="8">
        <v>43045.391631944447</v>
      </c>
      <c r="B83" s="20" t="s">
        <v>644</v>
      </c>
      <c r="C83" s="20" t="s">
        <v>735</v>
      </c>
      <c r="D83" s="138">
        <v>1230000</v>
      </c>
      <c r="E83" s="20" t="s">
        <v>694</v>
      </c>
      <c r="F83" s="20" t="s">
        <v>695</v>
      </c>
      <c r="G83" s="8" t="str">
        <f t="shared" si="2"/>
        <v>YANAI IAN</v>
      </c>
      <c r="H83" s="20" t="str">
        <f t="shared" si="3"/>
        <v>4005</v>
      </c>
    </row>
    <row r="84" spans="1:8" x14ac:dyDescent="0.3">
      <c r="A84" s="8">
        <v>43045.395983796298</v>
      </c>
      <c r="B84" s="20" t="s">
        <v>732</v>
      </c>
      <c r="C84" s="20" t="s">
        <v>736</v>
      </c>
      <c r="D84" s="138">
        <v>1830000</v>
      </c>
      <c r="E84" s="20" t="s">
        <v>348</v>
      </c>
      <c r="F84" s="20" t="s">
        <v>349</v>
      </c>
      <c r="G84" s="8" t="str">
        <f t="shared" si="2"/>
        <v>YORK EDGAR</v>
      </c>
      <c r="H84" s="20" t="str">
        <f t="shared" si="3"/>
        <v>4066</v>
      </c>
    </row>
    <row r="85" spans="1:8" x14ac:dyDescent="0.3">
      <c r="A85" s="8">
        <v>43045.403055555558</v>
      </c>
      <c r="B85" s="20" t="s">
        <v>562</v>
      </c>
      <c r="C85" s="20" t="s">
        <v>648</v>
      </c>
      <c r="D85" s="138">
        <v>3510000</v>
      </c>
      <c r="E85" s="20" t="s">
        <v>560</v>
      </c>
      <c r="F85" s="20" t="s">
        <v>561</v>
      </c>
      <c r="G85" s="8" t="str">
        <f t="shared" si="2"/>
        <v>BARRON PERLA</v>
      </c>
      <c r="H85" s="20" t="str">
        <f t="shared" si="3"/>
        <v>4010</v>
      </c>
    </row>
    <row r="86" spans="1:8" x14ac:dyDescent="0.3">
      <c r="A86" s="8">
        <v>43045.411932870367</v>
      </c>
      <c r="B86" s="20" t="s">
        <v>654</v>
      </c>
      <c r="C86" s="20" t="s">
        <v>737</v>
      </c>
      <c r="D86" s="138">
        <v>940000</v>
      </c>
      <c r="E86" s="20" t="s">
        <v>690</v>
      </c>
      <c r="F86" s="20" t="s">
        <v>691</v>
      </c>
      <c r="G86" s="8" t="str">
        <f t="shared" si="2"/>
        <v>BONDS REYNALDO</v>
      </c>
      <c r="H86" s="20" t="str">
        <f t="shared" si="3"/>
        <v>4051</v>
      </c>
    </row>
    <row r="87" spans="1:8" x14ac:dyDescent="0.3">
      <c r="A87" s="8">
        <v>43045.412083333336</v>
      </c>
      <c r="B87" s="20" t="s">
        <v>368</v>
      </c>
      <c r="C87" s="20" t="s">
        <v>738</v>
      </c>
      <c r="D87" s="138">
        <v>2010000</v>
      </c>
      <c r="E87" s="20" t="s">
        <v>558</v>
      </c>
      <c r="F87" s="20" t="s">
        <v>559</v>
      </c>
      <c r="G87" s="8" t="str">
        <f t="shared" si="2"/>
        <v>MAELZER KURT</v>
      </c>
      <c r="H87" s="20" t="str">
        <f t="shared" si="3"/>
        <v>4036</v>
      </c>
    </row>
    <row r="88" spans="1:8" x14ac:dyDescent="0.3">
      <c r="A88" s="8">
        <v>43045.413946759261</v>
      </c>
      <c r="B88" s="20" t="s">
        <v>506</v>
      </c>
      <c r="C88" s="20" t="s">
        <v>739</v>
      </c>
      <c r="D88" s="138">
        <v>1230000</v>
      </c>
      <c r="E88" s="20" t="s">
        <v>694</v>
      </c>
      <c r="F88" s="20" t="s">
        <v>695</v>
      </c>
      <c r="G88" s="8" t="str">
        <f t="shared" si="2"/>
        <v>YANAI IAN</v>
      </c>
      <c r="H88" s="20" t="str">
        <f t="shared" si="3"/>
        <v>4006</v>
      </c>
    </row>
    <row r="89" spans="1:8" x14ac:dyDescent="0.3">
      <c r="A89" s="8">
        <v>43045.421249999999</v>
      </c>
      <c r="B89" s="20" t="s">
        <v>379</v>
      </c>
      <c r="C89" s="20" t="s">
        <v>649</v>
      </c>
      <c r="D89" s="138">
        <v>3090000</v>
      </c>
      <c r="E89" s="20" t="s">
        <v>565</v>
      </c>
      <c r="F89" s="20" t="s">
        <v>566</v>
      </c>
      <c r="G89" s="8" t="str">
        <f t="shared" si="2"/>
        <v>LAMAR NEKESHA</v>
      </c>
      <c r="H89" s="20" t="str">
        <f t="shared" si="3"/>
        <v>4011</v>
      </c>
    </row>
    <row r="90" spans="1:8" x14ac:dyDescent="0.3">
      <c r="A90" s="8">
        <v>43045.424259259256</v>
      </c>
      <c r="B90" s="20" t="s">
        <v>635</v>
      </c>
      <c r="C90" s="20" t="s">
        <v>740</v>
      </c>
      <c r="D90" s="138">
        <v>2560000</v>
      </c>
      <c r="E90" s="20" t="s">
        <v>563</v>
      </c>
      <c r="F90" s="20" t="s">
        <v>564</v>
      </c>
      <c r="G90" s="8" t="str">
        <f t="shared" si="2"/>
        <v>MACDONALD THOMAS</v>
      </c>
      <c r="H90" s="20" t="str">
        <f t="shared" si="3"/>
        <v>4004</v>
      </c>
    </row>
    <row r="91" spans="1:8" x14ac:dyDescent="0.3">
      <c r="A91" s="8">
        <v>43045.434027777781</v>
      </c>
      <c r="B91" s="20" t="s">
        <v>673</v>
      </c>
      <c r="C91" s="20" t="s">
        <v>741</v>
      </c>
      <c r="D91" s="138">
        <v>2600000</v>
      </c>
      <c r="E91" s="20" t="s">
        <v>742</v>
      </c>
      <c r="F91" s="20" t="s">
        <v>743</v>
      </c>
      <c r="G91" s="8" t="str">
        <f t="shared" si="2"/>
        <v>DAVIDSON DAVID</v>
      </c>
      <c r="H91" s="20" t="str">
        <f t="shared" si="3"/>
        <v>4050</v>
      </c>
    </row>
    <row r="92" spans="1:8" x14ac:dyDescent="0.3">
      <c r="A92" s="8">
        <v>43045.43409722222</v>
      </c>
      <c r="B92" s="20" t="s">
        <v>503</v>
      </c>
      <c r="C92" s="20" t="s">
        <v>744</v>
      </c>
      <c r="D92" s="138">
        <v>1830000</v>
      </c>
      <c r="E92" s="20" t="s">
        <v>348</v>
      </c>
      <c r="F92" s="20" t="s">
        <v>349</v>
      </c>
      <c r="G92" s="8" t="str">
        <f t="shared" si="2"/>
        <v>YORK EDGAR</v>
      </c>
      <c r="H92" s="20" t="str">
        <f t="shared" si="3"/>
        <v>4065</v>
      </c>
    </row>
    <row r="93" spans="1:8" x14ac:dyDescent="0.3">
      <c r="A93" s="8">
        <v>43045.434398148151</v>
      </c>
      <c r="B93" s="20" t="s">
        <v>644</v>
      </c>
      <c r="C93" s="20" t="s">
        <v>745</v>
      </c>
      <c r="D93" s="138">
        <v>1230000</v>
      </c>
      <c r="E93" s="20" t="s">
        <v>694</v>
      </c>
      <c r="F93" s="20" t="s">
        <v>695</v>
      </c>
      <c r="G93" s="8" t="str">
        <f t="shared" si="2"/>
        <v>YANAI IAN</v>
      </c>
      <c r="H93" s="20" t="str">
        <f t="shared" si="3"/>
        <v>4005</v>
      </c>
    </row>
    <row r="94" spans="1:8" x14ac:dyDescent="0.3">
      <c r="A94" s="8">
        <v>43045.435150462959</v>
      </c>
      <c r="B94" s="20" t="s">
        <v>686</v>
      </c>
      <c r="C94" s="20" t="s">
        <v>746</v>
      </c>
      <c r="D94" s="138">
        <v>3030000</v>
      </c>
      <c r="E94" s="20" t="s">
        <v>569</v>
      </c>
      <c r="F94" s="20" t="s">
        <v>564</v>
      </c>
      <c r="G94" s="8" t="str">
        <f t="shared" si="2"/>
        <v>BIRENBAUM THOMAS</v>
      </c>
      <c r="H94" s="20" t="str">
        <f t="shared" si="3"/>
        <v>4016</v>
      </c>
    </row>
    <row r="95" spans="1:8" x14ac:dyDescent="0.3">
      <c r="A95" s="8">
        <v>43045.435208333336</v>
      </c>
      <c r="B95" s="20" t="s">
        <v>557</v>
      </c>
      <c r="C95" s="20" t="s">
        <v>747</v>
      </c>
      <c r="D95" s="138">
        <v>3510000</v>
      </c>
      <c r="E95" s="20" t="s">
        <v>560</v>
      </c>
      <c r="F95" s="20" t="s">
        <v>561</v>
      </c>
      <c r="G95" s="8" t="str">
        <f t="shared" si="2"/>
        <v>BARRON PERLA</v>
      </c>
      <c r="H95" s="20" t="str">
        <f t="shared" si="3"/>
        <v>4009</v>
      </c>
    </row>
    <row r="96" spans="1:8" x14ac:dyDescent="0.3">
      <c r="A96" s="8">
        <v>43045.444074074076</v>
      </c>
      <c r="B96" s="20" t="s">
        <v>660</v>
      </c>
      <c r="C96" s="20" t="s">
        <v>748</v>
      </c>
      <c r="D96" s="138">
        <v>2550000</v>
      </c>
      <c r="E96" s="20" t="s">
        <v>509</v>
      </c>
      <c r="F96" s="20" t="s">
        <v>510</v>
      </c>
      <c r="G96" s="8" t="str">
        <f t="shared" si="2"/>
        <v>BADERTSCHER DIANE</v>
      </c>
      <c r="H96" s="20" t="str">
        <f t="shared" si="3"/>
        <v>4052</v>
      </c>
    </row>
    <row r="97" spans="1:8" x14ac:dyDescent="0.3">
      <c r="A97" s="8">
        <v>43045.448483796295</v>
      </c>
      <c r="B97" s="20" t="s">
        <v>671</v>
      </c>
      <c r="C97" s="20" t="s">
        <v>741</v>
      </c>
      <c r="D97" s="138">
        <v>2600000</v>
      </c>
      <c r="E97" s="20" t="s">
        <v>742</v>
      </c>
      <c r="F97" s="20" t="s">
        <v>743</v>
      </c>
      <c r="G97" s="8" t="str">
        <f t="shared" si="2"/>
        <v>DAVIDSON DAVID</v>
      </c>
      <c r="H97" s="20" t="str">
        <f t="shared" si="3"/>
        <v>4049</v>
      </c>
    </row>
    <row r="98" spans="1:8" x14ac:dyDescent="0.3">
      <c r="A98" s="8">
        <v>43045.449884259258</v>
      </c>
      <c r="B98" s="20" t="s">
        <v>400</v>
      </c>
      <c r="C98" s="20" t="s">
        <v>650</v>
      </c>
      <c r="D98" s="138">
        <v>2140000</v>
      </c>
      <c r="E98" s="20" t="s">
        <v>749</v>
      </c>
      <c r="F98" s="20" t="s">
        <v>750</v>
      </c>
      <c r="G98" s="8" t="str">
        <f t="shared" si="2"/>
        <v>ROBINSON KADDIBA</v>
      </c>
      <c r="H98" s="20" t="str">
        <f t="shared" si="3"/>
        <v>4027</v>
      </c>
    </row>
    <row r="99" spans="1:8" x14ac:dyDescent="0.3">
      <c r="A99" s="8">
        <v>43045.4531712963</v>
      </c>
      <c r="B99" s="20" t="s">
        <v>369</v>
      </c>
      <c r="C99" s="20" t="s">
        <v>751</v>
      </c>
      <c r="D99" s="138">
        <v>2010000</v>
      </c>
      <c r="E99" s="20" t="s">
        <v>558</v>
      </c>
      <c r="F99" s="20" t="s">
        <v>559</v>
      </c>
      <c r="G99" s="8" t="str">
        <f t="shared" si="2"/>
        <v>MAELZER KURT</v>
      </c>
      <c r="H99" s="20" t="str">
        <f t="shared" si="3"/>
        <v>4035</v>
      </c>
    </row>
    <row r="100" spans="1:8" x14ac:dyDescent="0.3">
      <c r="A100" s="8">
        <v>43045.453298611108</v>
      </c>
      <c r="B100" s="20" t="s">
        <v>400</v>
      </c>
      <c r="C100" s="20" t="s">
        <v>650</v>
      </c>
      <c r="D100" s="138">
        <v>2140000</v>
      </c>
      <c r="E100" s="20" t="s">
        <v>749</v>
      </c>
      <c r="F100" s="20" t="s">
        <v>750</v>
      </c>
      <c r="G100" s="8" t="str">
        <f t="shared" si="2"/>
        <v>ROBINSON KADDIBA</v>
      </c>
      <c r="H100" s="20" t="str">
        <f t="shared" si="3"/>
        <v>4027</v>
      </c>
    </row>
    <row r="101" spans="1:8" x14ac:dyDescent="0.3">
      <c r="A101" s="8">
        <v>43045.454421296294</v>
      </c>
      <c r="B101" s="20" t="s">
        <v>378</v>
      </c>
      <c r="C101" s="20" t="s">
        <v>752</v>
      </c>
      <c r="D101" s="138">
        <v>3090000</v>
      </c>
      <c r="E101" s="20" t="s">
        <v>565</v>
      </c>
      <c r="F101" s="20" t="s">
        <v>566</v>
      </c>
      <c r="G101" s="8" t="str">
        <f t="shared" si="2"/>
        <v>LAMAR NEKESHA</v>
      </c>
      <c r="H101" s="20" t="str">
        <f t="shared" si="3"/>
        <v>4012</v>
      </c>
    </row>
    <row r="102" spans="1:8" x14ac:dyDescent="0.3">
      <c r="A102" s="8">
        <v>43045.456550925926</v>
      </c>
      <c r="B102" s="20" t="s">
        <v>506</v>
      </c>
      <c r="C102" s="20" t="s">
        <v>753</v>
      </c>
      <c r="D102" s="138">
        <v>1230000</v>
      </c>
      <c r="E102" s="20" t="s">
        <v>694</v>
      </c>
      <c r="F102" s="20" t="s">
        <v>695</v>
      </c>
      <c r="G102" s="8" t="str">
        <f t="shared" si="2"/>
        <v>YANAI IAN</v>
      </c>
      <c r="H102" s="20" t="str">
        <f t="shared" si="3"/>
        <v>4006</v>
      </c>
    </row>
    <row r="103" spans="1:8" x14ac:dyDescent="0.3">
      <c r="A103" s="8">
        <v>43045.463576388887</v>
      </c>
      <c r="B103" s="20" t="s">
        <v>504</v>
      </c>
      <c r="C103" s="20" t="s">
        <v>754</v>
      </c>
      <c r="D103" s="138">
        <v>3030000</v>
      </c>
      <c r="E103" s="20" t="s">
        <v>569</v>
      </c>
      <c r="F103" s="20" t="s">
        <v>564</v>
      </c>
      <c r="G103" s="8" t="str">
        <f t="shared" si="2"/>
        <v>BIRENBAUM THOMAS</v>
      </c>
      <c r="H103" s="20" t="str">
        <f t="shared" si="3"/>
        <v>4015</v>
      </c>
    </row>
    <row r="104" spans="1:8" x14ac:dyDescent="0.3">
      <c r="A104" s="8">
        <v>43045.464490740742</v>
      </c>
      <c r="B104" s="20" t="s">
        <v>673</v>
      </c>
      <c r="C104" s="20" t="s">
        <v>755</v>
      </c>
      <c r="D104" s="138">
        <v>920000</v>
      </c>
      <c r="E104" s="20" t="s">
        <v>567</v>
      </c>
      <c r="F104" s="20" t="s">
        <v>354</v>
      </c>
      <c r="G104" s="8" t="str">
        <f t="shared" si="2"/>
        <v>DAVIS MICHAEL</v>
      </c>
      <c r="H104" s="20" t="str">
        <f t="shared" si="3"/>
        <v>4050</v>
      </c>
    </row>
    <row r="105" spans="1:8" x14ac:dyDescent="0.3">
      <c r="A105" s="8">
        <v>43045.465902777774</v>
      </c>
      <c r="B105" s="20" t="s">
        <v>642</v>
      </c>
      <c r="C105" s="20" t="s">
        <v>756</v>
      </c>
      <c r="D105" s="138">
        <v>0</v>
      </c>
      <c r="E105" s="20" t="s">
        <v>757</v>
      </c>
      <c r="F105" s="20" t="s">
        <v>758</v>
      </c>
      <c r="G105" s="8" t="str">
        <f t="shared" si="2"/>
        <v>MAINTENANCE VEHICLE</v>
      </c>
      <c r="H105" s="20" t="str">
        <f t="shared" si="3"/>
        <v>4003</v>
      </c>
    </row>
    <row r="106" spans="1:8" x14ac:dyDescent="0.3">
      <c r="A106" s="8">
        <v>43045.475115740737</v>
      </c>
      <c r="B106" s="20" t="s">
        <v>562</v>
      </c>
      <c r="C106" s="20" t="s">
        <v>759</v>
      </c>
      <c r="D106" s="138">
        <v>880000</v>
      </c>
      <c r="E106" s="20" t="s">
        <v>391</v>
      </c>
      <c r="F106" s="20" t="s">
        <v>354</v>
      </c>
      <c r="G106" s="8" t="str">
        <f t="shared" si="2"/>
        <v>STEWART MICHAEL</v>
      </c>
      <c r="H106" s="20" t="str">
        <f t="shared" si="3"/>
        <v>4010</v>
      </c>
    </row>
    <row r="107" spans="1:8" x14ac:dyDescent="0.3">
      <c r="A107" s="8">
        <v>43045.47515046296</v>
      </c>
      <c r="B107" s="20" t="s">
        <v>644</v>
      </c>
      <c r="C107" s="20" t="s">
        <v>760</v>
      </c>
      <c r="D107" s="138">
        <v>1230000</v>
      </c>
      <c r="E107" s="20" t="s">
        <v>694</v>
      </c>
      <c r="F107" s="20" t="s">
        <v>695</v>
      </c>
      <c r="G107" s="8" t="str">
        <f t="shared" si="2"/>
        <v>YANAI IAN</v>
      </c>
      <c r="H107" s="20" t="str">
        <f t="shared" si="3"/>
        <v>4005</v>
      </c>
    </row>
    <row r="108" spans="1:8" x14ac:dyDescent="0.3">
      <c r="A108" s="8">
        <v>43045.47583333333</v>
      </c>
      <c r="B108" s="20" t="s">
        <v>409</v>
      </c>
      <c r="C108" s="20" t="s">
        <v>761</v>
      </c>
      <c r="D108" s="138">
        <v>1830000</v>
      </c>
      <c r="E108" s="20" t="s">
        <v>348</v>
      </c>
      <c r="F108" s="20" t="s">
        <v>349</v>
      </c>
      <c r="G108" s="8" t="str">
        <f t="shared" si="2"/>
        <v>YORK EDGAR</v>
      </c>
      <c r="H108" s="20" t="str">
        <f t="shared" si="3"/>
        <v>4028</v>
      </c>
    </row>
    <row r="109" spans="1:8" x14ac:dyDescent="0.3">
      <c r="A109" s="8">
        <v>43045.477164351854</v>
      </c>
      <c r="B109" s="20" t="s">
        <v>644</v>
      </c>
      <c r="C109" s="20" t="s">
        <v>760</v>
      </c>
      <c r="D109" s="138">
        <v>1230000</v>
      </c>
      <c r="E109" s="20" t="s">
        <v>694</v>
      </c>
      <c r="F109" s="20" t="s">
        <v>695</v>
      </c>
      <c r="G109" s="8" t="str">
        <f t="shared" si="2"/>
        <v>YANAI IAN</v>
      </c>
      <c r="H109" s="20" t="str">
        <f t="shared" si="3"/>
        <v>4005</v>
      </c>
    </row>
    <row r="110" spans="1:8" x14ac:dyDescent="0.3">
      <c r="A110" s="8">
        <v>43045.478379629632</v>
      </c>
      <c r="B110" s="20" t="s">
        <v>654</v>
      </c>
      <c r="C110" s="20" t="s">
        <v>762</v>
      </c>
      <c r="D110" s="138">
        <v>2550000</v>
      </c>
      <c r="E110" s="20" t="s">
        <v>509</v>
      </c>
      <c r="F110" s="20" t="s">
        <v>510</v>
      </c>
      <c r="G110" s="8" t="str">
        <f t="shared" si="2"/>
        <v>BADERTSCHER DIANE</v>
      </c>
      <c r="H110" s="20" t="str">
        <f t="shared" si="3"/>
        <v>4051</v>
      </c>
    </row>
    <row r="111" spans="1:8" x14ac:dyDescent="0.3">
      <c r="A111" s="8">
        <v>43045.484432870369</v>
      </c>
      <c r="B111" s="20" t="s">
        <v>379</v>
      </c>
      <c r="C111" s="20" t="s">
        <v>763</v>
      </c>
      <c r="D111" s="138">
        <v>3090000</v>
      </c>
      <c r="E111" s="20" t="s">
        <v>565</v>
      </c>
      <c r="F111" s="20" t="s">
        <v>566</v>
      </c>
      <c r="G111" s="8" t="str">
        <f t="shared" si="2"/>
        <v>LAMAR NEKESHA</v>
      </c>
      <c r="H111" s="20" t="str">
        <f t="shared" si="3"/>
        <v>4011</v>
      </c>
    </row>
    <row r="112" spans="1:8" x14ac:dyDescent="0.3">
      <c r="A112" s="8">
        <v>43045.487175925926</v>
      </c>
      <c r="B112" s="20" t="s">
        <v>368</v>
      </c>
      <c r="C112" s="20" t="s">
        <v>764</v>
      </c>
      <c r="D112" s="138">
        <v>3670000</v>
      </c>
      <c r="E112" s="20" t="s">
        <v>394</v>
      </c>
      <c r="F112" s="20" t="s">
        <v>371</v>
      </c>
      <c r="G112" s="8" t="str">
        <f t="shared" si="2"/>
        <v>ANDREA WILLIAMS</v>
      </c>
      <c r="H112" s="20" t="str">
        <f t="shared" si="3"/>
        <v>4036</v>
      </c>
    </row>
    <row r="113" spans="1:8" x14ac:dyDescent="0.3">
      <c r="A113" s="8">
        <v>43045.497060185182</v>
      </c>
      <c r="B113" s="20" t="s">
        <v>635</v>
      </c>
      <c r="C113" s="20" t="s">
        <v>765</v>
      </c>
      <c r="D113" s="138">
        <v>2970000</v>
      </c>
      <c r="E113" s="20" t="s">
        <v>382</v>
      </c>
      <c r="F113" s="20" t="s">
        <v>383</v>
      </c>
      <c r="G113" s="8" t="str">
        <f t="shared" si="2"/>
        <v>GUZMAN DANNY</v>
      </c>
      <c r="H113" s="20" t="str">
        <f t="shared" si="3"/>
        <v>4004</v>
      </c>
    </row>
    <row r="114" spans="1:8" x14ac:dyDescent="0.3">
      <c r="A114" s="8">
        <v>43045.503298611111</v>
      </c>
      <c r="B114" s="20" t="s">
        <v>506</v>
      </c>
      <c r="C114" s="20" t="s">
        <v>766</v>
      </c>
      <c r="D114" s="138">
        <v>1230000</v>
      </c>
      <c r="E114" s="20" t="s">
        <v>694</v>
      </c>
      <c r="F114" s="20" t="s">
        <v>695</v>
      </c>
      <c r="G114" s="8" t="str">
        <f t="shared" si="2"/>
        <v>YANAI IAN</v>
      </c>
      <c r="H114" s="20" t="str">
        <f t="shared" si="3"/>
        <v>4006</v>
      </c>
    </row>
    <row r="115" spans="1:8" x14ac:dyDescent="0.3">
      <c r="A115" s="8">
        <v>43045.507361111115</v>
      </c>
      <c r="B115" s="20" t="s">
        <v>671</v>
      </c>
      <c r="C115" s="20" t="s">
        <v>767</v>
      </c>
      <c r="D115" s="138">
        <v>920000</v>
      </c>
      <c r="E115" s="20" t="s">
        <v>567</v>
      </c>
      <c r="F115" s="20" t="s">
        <v>354</v>
      </c>
      <c r="G115" s="8" t="str">
        <f t="shared" si="2"/>
        <v>DAVIS MICHAEL</v>
      </c>
      <c r="H115" s="20" t="str">
        <f t="shared" si="3"/>
        <v>4049</v>
      </c>
    </row>
    <row r="116" spans="1:8" x14ac:dyDescent="0.3">
      <c r="A116" s="8">
        <v>43045.507453703707</v>
      </c>
      <c r="B116" s="20" t="s">
        <v>686</v>
      </c>
      <c r="C116" s="20" t="s">
        <v>768</v>
      </c>
      <c r="D116" s="138">
        <v>2630000</v>
      </c>
      <c r="E116" s="20" t="s">
        <v>380</v>
      </c>
      <c r="F116" s="20" t="s">
        <v>381</v>
      </c>
      <c r="G116" s="8" t="str">
        <f t="shared" si="2"/>
        <v>SAFIEF AEIMEN</v>
      </c>
      <c r="H116" s="20" t="str">
        <f t="shared" si="3"/>
        <v>4016</v>
      </c>
    </row>
    <row r="117" spans="1:8" x14ac:dyDescent="0.3">
      <c r="A117" s="8">
        <v>43045.514189814814</v>
      </c>
      <c r="B117" s="20" t="s">
        <v>557</v>
      </c>
      <c r="C117" s="20" t="s">
        <v>769</v>
      </c>
      <c r="D117" s="138">
        <v>880000</v>
      </c>
      <c r="E117" s="20" t="s">
        <v>391</v>
      </c>
      <c r="F117" s="20" t="s">
        <v>354</v>
      </c>
      <c r="G117" s="8" t="str">
        <f t="shared" si="2"/>
        <v>STEWART MICHAEL</v>
      </c>
      <c r="H117" s="20" t="str">
        <f t="shared" si="3"/>
        <v>4009</v>
      </c>
    </row>
    <row r="118" spans="1:8" x14ac:dyDescent="0.3">
      <c r="A118" s="8">
        <v>43045.517210648148</v>
      </c>
      <c r="B118" s="20" t="s">
        <v>660</v>
      </c>
      <c r="C118" s="20" t="s">
        <v>770</v>
      </c>
      <c r="D118" s="138">
        <v>2550000</v>
      </c>
      <c r="E118" s="20" t="s">
        <v>509</v>
      </c>
      <c r="F118" s="20" t="s">
        <v>510</v>
      </c>
      <c r="G118" s="8" t="str">
        <f t="shared" si="2"/>
        <v>BADERTSCHER DIANE</v>
      </c>
      <c r="H118" s="20" t="str">
        <f t="shared" si="3"/>
        <v>4052</v>
      </c>
    </row>
    <row r="119" spans="1:8" x14ac:dyDescent="0.3">
      <c r="A119" s="8">
        <v>43045.522013888891</v>
      </c>
      <c r="B119" s="20" t="s">
        <v>644</v>
      </c>
      <c r="C119" s="20" t="s">
        <v>651</v>
      </c>
      <c r="D119" s="138">
        <v>1230000</v>
      </c>
      <c r="E119" s="20" t="s">
        <v>694</v>
      </c>
      <c r="F119" s="20" t="s">
        <v>695</v>
      </c>
      <c r="G119" s="8" t="str">
        <f t="shared" si="2"/>
        <v>YANAI IAN</v>
      </c>
      <c r="H119" s="20" t="str">
        <f t="shared" si="3"/>
        <v>4005</v>
      </c>
    </row>
    <row r="120" spans="1:8" x14ac:dyDescent="0.3">
      <c r="A120" s="8">
        <v>43045.524317129632</v>
      </c>
      <c r="B120" s="20" t="s">
        <v>369</v>
      </c>
      <c r="C120" s="20" t="s">
        <v>771</v>
      </c>
      <c r="D120" s="138">
        <v>3670000</v>
      </c>
      <c r="E120" s="20" t="s">
        <v>394</v>
      </c>
      <c r="F120" s="20" t="s">
        <v>371</v>
      </c>
      <c r="G120" s="8" t="str">
        <f t="shared" si="2"/>
        <v>ANDREA WILLIAMS</v>
      </c>
      <c r="H120" s="20" t="str">
        <f t="shared" si="3"/>
        <v>4035</v>
      </c>
    </row>
    <row r="121" spans="1:8" x14ac:dyDescent="0.3">
      <c r="A121" s="8">
        <v>43045.527708333335</v>
      </c>
      <c r="B121" s="20" t="s">
        <v>642</v>
      </c>
      <c r="C121" s="20" t="s">
        <v>772</v>
      </c>
      <c r="D121" s="138">
        <v>2970000</v>
      </c>
      <c r="E121" s="20" t="s">
        <v>382</v>
      </c>
      <c r="F121" s="20" t="s">
        <v>383</v>
      </c>
      <c r="G121" s="8" t="str">
        <f t="shared" si="2"/>
        <v>GUZMAN DANNY</v>
      </c>
      <c r="H121" s="20" t="str">
        <f t="shared" si="3"/>
        <v>4003</v>
      </c>
    </row>
    <row r="122" spans="1:8" x14ac:dyDescent="0.3">
      <c r="A122" s="8">
        <v>43045.527719907404</v>
      </c>
      <c r="B122" s="25" t="s">
        <v>378</v>
      </c>
      <c r="C122" s="20" t="s">
        <v>773</v>
      </c>
      <c r="D122" s="138">
        <v>2230000</v>
      </c>
      <c r="E122" s="20" t="s">
        <v>413</v>
      </c>
      <c r="F122" s="20" t="s">
        <v>354</v>
      </c>
      <c r="G122" s="8" t="str">
        <f t="shared" si="2"/>
        <v>SMITH MICHAEL</v>
      </c>
      <c r="H122" s="20" t="str">
        <f t="shared" si="3"/>
        <v>4012</v>
      </c>
    </row>
    <row r="123" spans="1:8" x14ac:dyDescent="0.3">
      <c r="A123" s="8">
        <v>43045.539212962962</v>
      </c>
      <c r="B123" s="20" t="s">
        <v>504</v>
      </c>
      <c r="C123" s="20" t="s">
        <v>774</v>
      </c>
      <c r="D123" s="138">
        <v>2630000</v>
      </c>
      <c r="E123" s="20" t="s">
        <v>380</v>
      </c>
      <c r="F123" s="20" t="s">
        <v>381</v>
      </c>
      <c r="G123" s="8" t="str">
        <f t="shared" si="2"/>
        <v>SAFIEF AEIMEN</v>
      </c>
      <c r="H123" s="20" t="str">
        <f t="shared" si="3"/>
        <v>4015</v>
      </c>
    </row>
    <row r="124" spans="1:8" x14ac:dyDescent="0.3">
      <c r="A124" s="8">
        <v>43045.54042824074</v>
      </c>
      <c r="B124" s="20" t="s">
        <v>673</v>
      </c>
      <c r="C124" s="20" t="s">
        <v>775</v>
      </c>
      <c r="D124" s="138">
        <v>920000</v>
      </c>
      <c r="E124" s="20" t="s">
        <v>567</v>
      </c>
      <c r="F124" s="20" t="s">
        <v>354</v>
      </c>
      <c r="G124" s="8" t="str">
        <f t="shared" si="2"/>
        <v>DAVIS MICHAEL</v>
      </c>
      <c r="H124" s="20" t="str">
        <f t="shared" si="3"/>
        <v>4050</v>
      </c>
    </row>
    <row r="125" spans="1:8" x14ac:dyDescent="0.3">
      <c r="A125" s="8">
        <v>43045.544664351852</v>
      </c>
      <c r="B125" s="20" t="s">
        <v>506</v>
      </c>
      <c r="C125" s="20" t="s">
        <v>652</v>
      </c>
      <c r="D125" s="138">
        <v>3330000</v>
      </c>
      <c r="E125" s="20" t="s">
        <v>507</v>
      </c>
      <c r="F125" s="20" t="s">
        <v>508</v>
      </c>
      <c r="G125" s="8" t="str">
        <f t="shared" si="2"/>
        <v>GONZALEZ ARMANDO</v>
      </c>
      <c r="H125" s="20" t="str">
        <f t="shared" si="3"/>
        <v>4006</v>
      </c>
    </row>
    <row r="126" spans="1:8" x14ac:dyDescent="0.3">
      <c r="A126" s="8">
        <v>43045.549467592595</v>
      </c>
      <c r="B126" s="20" t="s">
        <v>562</v>
      </c>
      <c r="C126" s="20" t="s">
        <v>776</v>
      </c>
      <c r="D126" s="138">
        <v>880000</v>
      </c>
      <c r="E126" s="20" t="s">
        <v>391</v>
      </c>
      <c r="F126" s="20" t="s">
        <v>354</v>
      </c>
      <c r="G126" s="8" t="str">
        <f t="shared" si="2"/>
        <v>STEWART MICHAEL</v>
      </c>
      <c r="H126" s="20" t="str">
        <f t="shared" si="3"/>
        <v>4010</v>
      </c>
    </row>
    <row r="127" spans="1:8" x14ac:dyDescent="0.3">
      <c r="A127" s="8">
        <v>43045.554456018515</v>
      </c>
      <c r="B127" s="20" t="s">
        <v>654</v>
      </c>
      <c r="C127" s="20" t="s">
        <v>655</v>
      </c>
      <c r="D127" s="138">
        <v>2550000</v>
      </c>
      <c r="E127" s="20" t="s">
        <v>509</v>
      </c>
      <c r="F127" s="20" t="s">
        <v>510</v>
      </c>
      <c r="G127" s="8" t="str">
        <f t="shared" si="2"/>
        <v>BADERTSCHER DIANE</v>
      </c>
      <c r="H127" s="20" t="str">
        <f t="shared" si="3"/>
        <v>4051</v>
      </c>
    </row>
    <row r="128" spans="1:8" x14ac:dyDescent="0.3">
      <c r="A128" s="8">
        <v>43045.559444444443</v>
      </c>
      <c r="B128" s="20" t="s">
        <v>368</v>
      </c>
      <c r="C128" s="20" t="s">
        <v>777</v>
      </c>
      <c r="D128" s="138">
        <v>3670000</v>
      </c>
      <c r="E128" s="20" t="s">
        <v>394</v>
      </c>
      <c r="F128" s="20" t="s">
        <v>371</v>
      </c>
      <c r="G128" s="8" t="str">
        <f t="shared" si="2"/>
        <v>ANDREA WILLIAMS</v>
      </c>
      <c r="H128" s="20" t="str">
        <f t="shared" si="3"/>
        <v>4036</v>
      </c>
    </row>
    <row r="129" spans="1:8" x14ac:dyDescent="0.3">
      <c r="A129" s="8">
        <v>43045.561423611114</v>
      </c>
      <c r="B129" s="20" t="s">
        <v>644</v>
      </c>
      <c r="C129" s="20" t="s">
        <v>653</v>
      </c>
      <c r="D129" s="138">
        <v>3330000</v>
      </c>
      <c r="E129" s="20" t="s">
        <v>507</v>
      </c>
      <c r="F129" s="20" t="s">
        <v>508</v>
      </c>
      <c r="G129" s="8" t="str">
        <f t="shared" si="2"/>
        <v>GONZALEZ ARMANDO</v>
      </c>
      <c r="H129" s="20" t="str">
        <f t="shared" si="3"/>
        <v>4005</v>
      </c>
    </row>
    <row r="130" spans="1:8" x14ac:dyDescent="0.3">
      <c r="A130" s="8">
        <v>43045.563194444447</v>
      </c>
      <c r="B130" s="20" t="s">
        <v>379</v>
      </c>
      <c r="C130" s="20" t="s">
        <v>778</v>
      </c>
      <c r="D130" s="138">
        <v>2230000</v>
      </c>
      <c r="E130" s="20" t="s">
        <v>413</v>
      </c>
      <c r="F130" s="20" t="s">
        <v>354</v>
      </c>
      <c r="G130" s="8" t="str">
        <f t="shared" si="2"/>
        <v>SMITH MICHAEL</v>
      </c>
      <c r="H130" s="20" t="str">
        <f t="shared" si="3"/>
        <v>4011</v>
      </c>
    </row>
    <row r="131" spans="1:8" x14ac:dyDescent="0.3">
      <c r="A131" s="8">
        <v>43045.568333333336</v>
      </c>
      <c r="B131" s="20" t="s">
        <v>635</v>
      </c>
      <c r="C131" s="20" t="s">
        <v>779</v>
      </c>
      <c r="D131" s="138">
        <v>2970000</v>
      </c>
      <c r="E131" s="20" t="s">
        <v>382</v>
      </c>
      <c r="F131" s="20" t="s">
        <v>383</v>
      </c>
      <c r="G131" s="8" t="str">
        <f t="shared" ref="G131:G194" si="4">E131&amp;" "&amp;F131</f>
        <v>GUZMAN DANNY</v>
      </c>
      <c r="H131" s="20" t="str">
        <f t="shared" ref="H131:H194" si="5">MID(B131,13,4)</f>
        <v>4004</v>
      </c>
    </row>
    <row r="132" spans="1:8" x14ac:dyDescent="0.3">
      <c r="A132" s="8">
        <v>43045.579062500001</v>
      </c>
      <c r="B132" s="20" t="s">
        <v>671</v>
      </c>
      <c r="C132" s="20" t="s">
        <v>780</v>
      </c>
      <c r="D132" s="138">
        <v>920000</v>
      </c>
      <c r="E132" s="20" t="s">
        <v>567</v>
      </c>
      <c r="F132" s="20" t="s">
        <v>354</v>
      </c>
      <c r="G132" s="8" t="str">
        <f t="shared" si="4"/>
        <v>DAVIS MICHAEL</v>
      </c>
      <c r="H132" s="20" t="str">
        <f t="shared" si="5"/>
        <v>4049</v>
      </c>
    </row>
    <row r="133" spans="1:8" x14ac:dyDescent="0.3">
      <c r="A133" s="8">
        <v>43045.582175925927</v>
      </c>
      <c r="B133" s="20" t="s">
        <v>686</v>
      </c>
      <c r="C133" s="20" t="s">
        <v>781</v>
      </c>
      <c r="D133" s="138">
        <v>2630000</v>
      </c>
      <c r="E133" s="20" t="s">
        <v>380</v>
      </c>
      <c r="F133" s="20" t="s">
        <v>381</v>
      </c>
      <c r="G133" s="8" t="str">
        <f t="shared" si="4"/>
        <v>SAFIEF AEIMEN</v>
      </c>
      <c r="H133" s="20" t="str">
        <f t="shared" si="5"/>
        <v>4016</v>
      </c>
    </row>
    <row r="134" spans="1:8" x14ac:dyDescent="0.3">
      <c r="A134" s="8">
        <v>43045.583645833336</v>
      </c>
      <c r="B134" s="20" t="s">
        <v>506</v>
      </c>
      <c r="C134" s="20" t="s">
        <v>782</v>
      </c>
      <c r="D134" s="138">
        <v>3330000</v>
      </c>
      <c r="E134" s="20" t="s">
        <v>507</v>
      </c>
      <c r="F134" s="20" t="s">
        <v>508</v>
      </c>
      <c r="G134" s="8" t="str">
        <f t="shared" si="4"/>
        <v>GONZALEZ ARMANDO</v>
      </c>
      <c r="H134" s="20" t="str">
        <f t="shared" si="5"/>
        <v>4006</v>
      </c>
    </row>
    <row r="135" spans="1:8" x14ac:dyDescent="0.3">
      <c r="A135" s="8">
        <v>43045.588680555556</v>
      </c>
      <c r="B135" s="20" t="s">
        <v>557</v>
      </c>
      <c r="C135" s="20" t="s">
        <v>783</v>
      </c>
      <c r="D135" s="138">
        <v>880000</v>
      </c>
      <c r="E135" s="20" t="s">
        <v>391</v>
      </c>
      <c r="F135" s="20" t="s">
        <v>354</v>
      </c>
      <c r="G135" s="8" t="str">
        <f t="shared" si="4"/>
        <v>STEWART MICHAEL</v>
      </c>
      <c r="H135" s="20" t="str">
        <f t="shared" si="5"/>
        <v>4009</v>
      </c>
    </row>
    <row r="136" spans="1:8" x14ac:dyDescent="0.3">
      <c r="A136" s="8">
        <v>43045.591608796298</v>
      </c>
      <c r="B136" s="20" t="s">
        <v>660</v>
      </c>
      <c r="C136" s="20" t="s">
        <v>784</v>
      </c>
      <c r="D136" s="138">
        <v>2550000</v>
      </c>
      <c r="E136" s="20" t="s">
        <v>509</v>
      </c>
      <c r="F136" s="20" t="s">
        <v>510</v>
      </c>
      <c r="G136" s="8" t="str">
        <f t="shared" si="4"/>
        <v>BADERTSCHER DIANE</v>
      </c>
      <c r="H136" s="20" t="str">
        <f t="shared" si="5"/>
        <v>4052</v>
      </c>
    </row>
    <row r="137" spans="1:8" x14ac:dyDescent="0.3">
      <c r="A137" s="8">
        <v>43045.598645833335</v>
      </c>
      <c r="B137" s="20" t="s">
        <v>369</v>
      </c>
      <c r="C137" s="20" t="s">
        <v>785</v>
      </c>
      <c r="D137" s="138">
        <v>3670000</v>
      </c>
      <c r="E137" s="20" t="s">
        <v>394</v>
      </c>
      <c r="F137" s="20" t="s">
        <v>371</v>
      </c>
      <c r="G137" s="8" t="str">
        <f t="shared" si="4"/>
        <v>ANDREA WILLIAMS</v>
      </c>
      <c r="H137" s="20" t="str">
        <f t="shared" si="5"/>
        <v>4035</v>
      </c>
    </row>
    <row r="138" spans="1:8" x14ac:dyDescent="0.3">
      <c r="A138" s="8">
        <v>43045.599259259259</v>
      </c>
      <c r="B138" s="20" t="s">
        <v>378</v>
      </c>
      <c r="C138" s="20" t="s">
        <v>786</v>
      </c>
      <c r="D138" s="138">
        <v>2230000</v>
      </c>
      <c r="E138" s="20" t="s">
        <v>413</v>
      </c>
      <c r="F138" s="20" t="s">
        <v>354</v>
      </c>
      <c r="G138" s="8" t="str">
        <f t="shared" si="4"/>
        <v>SMITH MICHAEL</v>
      </c>
      <c r="H138" s="20" t="str">
        <f t="shared" si="5"/>
        <v>4012</v>
      </c>
    </row>
    <row r="139" spans="1:8" x14ac:dyDescent="0.3">
      <c r="A139" s="8">
        <v>43045.599733796298</v>
      </c>
      <c r="B139" s="20" t="s">
        <v>642</v>
      </c>
      <c r="C139" s="20" t="s">
        <v>787</v>
      </c>
      <c r="D139" s="138">
        <v>2970000</v>
      </c>
      <c r="E139" s="20" t="s">
        <v>382</v>
      </c>
      <c r="F139" s="20" t="s">
        <v>383</v>
      </c>
      <c r="G139" s="8" t="str">
        <f t="shared" si="4"/>
        <v>GUZMAN DANNY</v>
      </c>
      <c r="H139" s="20" t="str">
        <f t="shared" si="5"/>
        <v>4003</v>
      </c>
    </row>
    <row r="140" spans="1:8" x14ac:dyDescent="0.3">
      <c r="A140" s="8">
        <v>43045.605555555558</v>
      </c>
      <c r="B140" s="20" t="s">
        <v>644</v>
      </c>
      <c r="C140" s="20" t="s">
        <v>656</v>
      </c>
      <c r="D140" s="138">
        <v>3330000</v>
      </c>
      <c r="E140" s="20" t="s">
        <v>507</v>
      </c>
      <c r="F140" s="20" t="s">
        <v>508</v>
      </c>
      <c r="G140" s="8" t="str">
        <f t="shared" si="4"/>
        <v>GONZALEZ ARMANDO</v>
      </c>
      <c r="H140" s="20" t="str">
        <f t="shared" si="5"/>
        <v>4005</v>
      </c>
    </row>
    <row r="141" spans="1:8" x14ac:dyDescent="0.3">
      <c r="A141" s="8">
        <v>43045.61109953704</v>
      </c>
      <c r="B141" s="20" t="s">
        <v>504</v>
      </c>
      <c r="C141" s="20" t="s">
        <v>788</v>
      </c>
      <c r="D141" s="138">
        <v>2630000</v>
      </c>
      <c r="E141" s="20" t="s">
        <v>380</v>
      </c>
      <c r="F141" s="20" t="s">
        <v>381</v>
      </c>
      <c r="G141" s="8" t="str">
        <f t="shared" si="4"/>
        <v>SAFIEF AEIMEN</v>
      </c>
      <c r="H141" s="20" t="str">
        <f t="shared" si="5"/>
        <v>4015</v>
      </c>
    </row>
    <row r="142" spans="1:8" x14ac:dyDescent="0.3">
      <c r="A142" s="8">
        <v>43045.612951388888</v>
      </c>
      <c r="B142" s="20" t="s">
        <v>673</v>
      </c>
      <c r="C142" s="20" t="s">
        <v>789</v>
      </c>
      <c r="D142" s="138">
        <v>920000</v>
      </c>
      <c r="E142" s="20" t="s">
        <v>567</v>
      </c>
      <c r="F142" s="20" t="s">
        <v>354</v>
      </c>
      <c r="G142" s="8" t="str">
        <f t="shared" si="4"/>
        <v>DAVIS MICHAEL</v>
      </c>
      <c r="H142" s="20" t="str">
        <f t="shared" si="5"/>
        <v>4050</v>
      </c>
    </row>
    <row r="143" spans="1:8" x14ac:dyDescent="0.3">
      <c r="A143" s="8">
        <v>43045.620254629626</v>
      </c>
      <c r="B143" s="20" t="s">
        <v>562</v>
      </c>
      <c r="C143" s="20" t="s">
        <v>790</v>
      </c>
      <c r="D143" s="138">
        <v>880000</v>
      </c>
      <c r="E143" s="20" t="s">
        <v>391</v>
      </c>
      <c r="F143" s="20" t="s">
        <v>354</v>
      </c>
      <c r="G143" s="8" t="str">
        <f t="shared" si="4"/>
        <v>STEWART MICHAEL</v>
      </c>
      <c r="H143" s="20" t="str">
        <f t="shared" si="5"/>
        <v>4010</v>
      </c>
    </row>
    <row r="144" spans="1:8" x14ac:dyDescent="0.3">
      <c r="A144" s="8">
        <v>43045.627442129633</v>
      </c>
      <c r="B144" s="20" t="s">
        <v>654</v>
      </c>
      <c r="C144" s="20" t="s">
        <v>791</v>
      </c>
      <c r="D144" s="138">
        <v>2550000</v>
      </c>
      <c r="E144" s="20" t="s">
        <v>509</v>
      </c>
      <c r="F144" s="20" t="s">
        <v>510</v>
      </c>
      <c r="G144" s="8" t="str">
        <f t="shared" si="4"/>
        <v>BADERTSCHER DIANE</v>
      </c>
      <c r="H144" s="20" t="str">
        <f t="shared" si="5"/>
        <v>4051</v>
      </c>
    </row>
    <row r="145" spans="1:8" x14ac:dyDescent="0.3">
      <c r="A145" s="8">
        <v>43045.627800925926</v>
      </c>
      <c r="B145" s="20" t="s">
        <v>506</v>
      </c>
      <c r="C145" s="20" t="s">
        <v>792</v>
      </c>
      <c r="D145" s="138">
        <v>3330000</v>
      </c>
      <c r="E145" s="20" t="s">
        <v>507</v>
      </c>
      <c r="F145" s="20" t="s">
        <v>508</v>
      </c>
      <c r="G145" s="8" t="str">
        <f t="shared" si="4"/>
        <v>GONZALEZ ARMANDO</v>
      </c>
      <c r="H145" s="20" t="str">
        <f t="shared" si="5"/>
        <v>4006</v>
      </c>
    </row>
    <row r="146" spans="1:8" x14ac:dyDescent="0.3">
      <c r="A146" s="8">
        <v>43045.629675925928</v>
      </c>
      <c r="B146" s="20" t="s">
        <v>654</v>
      </c>
      <c r="C146" s="20" t="s">
        <v>791</v>
      </c>
      <c r="D146" s="138">
        <v>2550000</v>
      </c>
      <c r="E146" s="20" t="s">
        <v>509</v>
      </c>
      <c r="F146" s="20" t="s">
        <v>510</v>
      </c>
      <c r="G146" s="8" t="str">
        <f t="shared" si="4"/>
        <v>BADERTSCHER DIANE</v>
      </c>
      <c r="H146" s="20" t="str">
        <f t="shared" si="5"/>
        <v>4051</v>
      </c>
    </row>
    <row r="147" spans="1:8" x14ac:dyDescent="0.3">
      <c r="A147" s="8">
        <v>43045.630833333336</v>
      </c>
      <c r="B147" s="20" t="s">
        <v>368</v>
      </c>
      <c r="C147" s="20" t="s">
        <v>657</v>
      </c>
      <c r="D147" s="138">
        <v>3670000</v>
      </c>
      <c r="E147" s="20" t="s">
        <v>394</v>
      </c>
      <c r="F147" s="20" t="s">
        <v>371</v>
      </c>
      <c r="G147" s="8" t="str">
        <f t="shared" si="4"/>
        <v>ANDREA WILLIAMS</v>
      </c>
      <c r="H147" s="20" t="str">
        <f t="shared" si="5"/>
        <v>4036</v>
      </c>
    </row>
    <row r="148" spans="1:8" x14ac:dyDescent="0.3">
      <c r="A148" s="8">
        <v>43045.635555555556</v>
      </c>
      <c r="B148" s="20" t="s">
        <v>364</v>
      </c>
      <c r="C148" s="20" t="s">
        <v>793</v>
      </c>
      <c r="D148" s="138">
        <v>2000000</v>
      </c>
      <c r="E148" s="20" t="s">
        <v>414</v>
      </c>
      <c r="F148" s="20" t="s">
        <v>415</v>
      </c>
      <c r="G148" s="8" t="str">
        <f t="shared" si="4"/>
        <v>STAMBAUGH JAMES</v>
      </c>
      <c r="H148" s="20" t="str">
        <f t="shared" si="5"/>
        <v>4017</v>
      </c>
    </row>
    <row r="149" spans="1:8" x14ac:dyDescent="0.3">
      <c r="A149" s="8">
        <v>43045.638009259259</v>
      </c>
      <c r="B149" s="20" t="s">
        <v>379</v>
      </c>
      <c r="C149" s="20" t="s">
        <v>794</v>
      </c>
      <c r="D149" s="138">
        <v>2230000</v>
      </c>
      <c r="E149" s="20" t="s">
        <v>413</v>
      </c>
      <c r="F149" s="20" t="s">
        <v>354</v>
      </c>
      <c r="G149" s="8" t="str">
        <f t="shared" si="4"/>
        <v>SMITH MICHAEL</v>
      </c>
      <c r="H149" s="20" t="str">
        <f t="shared" si="5"/>
        <v>4011</v>
      </c>
    </row>
    <row r="150" spans="1:8" x14ac:dyDescent="0.3">
      <c r="A150" s="8">
        <v>43045.640833333331</v>
      </c>
      <c r="B150" s="20" t="s">
        <v>635</v>
      </c>
      <c r="C150" s="20" t="s">
        <v>795</v>
      </c>
      <c r="D150" s="138">
        <v>2970000</v>
      </c>
      <c r="E150" s="20" t="s">
        <v>382</v>
      </c>
      <c r="F150" s="20" t="s">
        <v>383</v>
      </c>
      <c r="G150" s="8" t="str">
        <f t="shared" si="4"/>
        <v>GUZMAN DANNY</v>
      </c>
      <c r="H150" s="20" t="str">
        <f t="shared" si="5"/>
        <v>4004</v>
      </c>
    </row>
    <row r="151" spans="1:8" x14ac:dyDescent="0.3">
      <c r="A151" s="8">
        <v>43045.646608796298</v>
      </c>
      <c r="B151" s="20" t="s">
        <v>644</v>
      </c>
      <c r="C151" s="20" t="s">
        <v>796</v>
      </c>
      <c r="D151" s="138">
        <v>3330000</v>
      </c>
      <c r="E151" s="20" t="s">
        <v>507</v>
      </c>
      <c r="F151" s="20" t="s">
        <v>508</v>
      </c>
      <c r="G151" s="8" t="str">
        <f t="shared" si="4"/>
        <v>GONZALEZ ARMANDO</v>
      </c>
      <c r="H151" s="20" t="str">
        <f t="shared" si="5"/>
        <v>4005</v>
      </c>
    </row>
    <row r="152" spans="1:8" x14ac:dyDescent="0.3">
      <c r="A152" s="8">
        <v>43045.650127314817</v>
      </c>
      <c r="B152" s="20" t="s">
        <v>686</v>
      </c>
      <c r="C152" s="20" t="s">
        <v>797</v>
      </c>
      <c r="D152" s="138">
        <v>2630000</v>
      </c>
      <c r="E152" s="20" t="s">
        <v>380</v>
      </c>
      <c r="F152" s="20" t="s">
        <v>381</v>
      </c>
      <c r="G152" s="8" t="str">
        <f t="shared" si="4"/>
        <v>SAFIEF AEIMEN</v>
      </c>
      <c r="H152" s="20" t="str">
        <f t="shared" si="5"/>
        <v>4016</v>
      </c>
    </row>
    <row r="153" spans="1:8" x14ac:dyDescent="0.3">
      <c r="A153" s="8">
        <v>43045.65084490741</v>
      </c>
      <c r="B153" s="20" t="s">
        <v>362</v>
      </c>
      <c r="C153" s="20" t="s">
        <v>798</v>
      </c>
      <c r="D153" s="138">
        <v>2000000</v>
      </c>
      <c r="E153" s="20" t="s">
        <v>414</v>
      </c>
      <c r="F153" s="20" t="s">
        <v>415</v>
      </c>
      <c r="G153" s="8" t="str">
        <f t="shared" si="4"/>
        <v>STAMBAUGH JAMES</v>
      </c>
      <c r="H153" s="20" t="str">
        <f t="shared" si="5"/>
        <v>4018</v>
      </c>
    </row>
    <row r="154" spans="1:8" x14ac:dyDescent="0.3">
      <c r="A154" s="8">
        <v>43045.652696759258</v>
      </c>
      <c r="B154" s="20" t="s">
        <v>671</v>
      </c>
      <c r="C154" s="20" t="s">
        <v>799</v>
      </c>
      <c r="D154" s="138">
        <v>920000</v>
      </c>
      <c r="E154" s="20" t="s">
        <v>567</v>
      </c>
      <c r="F154" s="20" t="s">
        <v>354</v>
      </c>
      <c r="G154" s="8" t="str">
        <f t="shared" si="4"/>
        <v>DAVIS MICHAEL</v>
      </c>
      <c r="H154" s="20" t="str">
        <f t="shared" si="5"/>
        <v>4049</v>
      </c>
    </row>
    <row r="155" spans="1:8" x14ac:dyDescent="0.3">
      <c r="A155" s="8">
        <v>43045.659918981481</v>
      </c>
      <c r="B155" s="20" t="s">
        <v>557</v>
      </c>
      <c r="C155" s="20" t="s">
        <v>800</v>
      </c>
      <c r="D155" s="138">
        <v>880000</v>
      </c>
      <c r="E155" s="20" t="s">
        <v>391</v>
      </c>
      <c r="F155" s="20" t="s">
        <v>354</v>
      </c>
      <c r="G155" s="8" t="str">
        <f t="shared" si="4"/>
        <v>STEWART MICHAEL</v>
      </c>
      <c r="H155" s="20" t="str">
        <f t="shared" si="5"/>
        <v>4009</v>
      </c>
    </row>
    <row r="156" spans="1:8" x14ac:dyDescent="0.3">
      <c r="A156" s="8">
        <v>43045.662731481483</v>
      </c>
      <c r="B156" s="20" t="s">
        <v>660</v>
      </c>
      <c r="C156" s="20" t="s">
        <v>801</v>
      </c>
      <c r="D156" s="138">
        <v>2550000</v>
      </c>
      <c r="E156" s="20" t="s">
        <v>509</v>
      </c>
      <c r="F156" s="20" t="s">
        <v>510</v>
      </c>
      <c r="G156" s="8" t="str">
        <f t="shared" si="4"/>
        <v>BADERTSCHER DIANE</v>
      </c>
      <c r="H156" s="20" t="str">
        <f t="shared" si="5"/>
        <v>4052</v>
      </c>
    </row>
    <row r="157" spans="1:8" x14ac:dyDescent="0.3">
      <c r="A157" s="8">
        <v>43045.663668981484</v>
      </c>
      <c r="B157" s="20" t="s">
        <v>364</v>
      </c>
      <c r="C157" s="20" t="s">
        <v>802</v>
      </c>
      <c r="D157" s="138">
        <v>2000000</v>
      </c>
      <c r="E157" s="20" t="s">
        <v>414</v>
      </c>
      <c r="F157" s="20" t="s">
        <v>415</v>
      </c>
      <c r="G157" s="8" t="str">
        <f t="shared" si="4"/>
        <v>STAMBAUGH JAMES</v>
      </c>
      <c r="H157" s="20" t="str">
        <f t="shared" si="5"/>
        <v>4017</v>
      </c>
    </row>
    <row r="158" spans="1:8" x14ac:dyDescent="0.3">
      <c r="A158" s="8">
        <v>43045.668020833335</v>
      </c>
      <c r="B158" s="20" t="s">
        <v>506</v>
      </c>
      <c r="C158" s="20" t="s">
        <v>658</v>
      </c>
      <c r="D158" s="138">
        <v>3330000</v>
      </c>
      <c r="E158" s="20" t="s">
        <v>507</v>
      </c>
      <c r="F158" s="20" t="s">
        <v>508</v>
      </c>
      <c r="G158" s="8" t="str">
        <f t="shared" si="4"/>
        <v>GONZALEZ ARMANDO</v>
      </c>
      <c r="H158" s="20" t="str">
        <f t="shared" si="5"/>
        <v>4006</v>
      </c>
    </row>
    <row r="159" spans="1:8" x14ac:dyDescent="0.3">
      <c r="A159" s="8">
        <v>43045.670578703706</v>
      </c>
      <c r="B159" s="20" t="s">
        <v>369</v>
      </c>
      <c r="C159" s="20" t="s">
        <v>803</v>
      </c>
      <c r="D159" s="138">
        <v>3670000</v>
      </c>
      <c r="E159" s="20" t="s">
        <v>394</v>
      </c>
      <c r="F159" s="20" t="s">
        <v>371</v>
      </c>
      <c r="G159" s="8" t="str">
        <f t="shared" si="4"/>
        <v>ANDREA WILLIAMS</v>
      </c>
      <c r="H159" s="20" t="str">
        <f t="shared" si="5"/>
        <v>4035</v>
      </c>
    </row>
    <row r="160" spans="1:8" x14ac:dyDescent="0.3">
      <c r="A160" s="8">
        <v>43045.673067129632</v>
      </c>
      <c r="B160" s="20" t="s">
        <v>378</v>
      </c>
      <c r="C160" s="20" t="s">
        <v>804</v>
      </c>
      <c r="D160" s="138">
        <v>2230000</v>
      </c>
      <c r="E160" s="20" t="s">
        <v>413</v>
      </c>
      <c r="F160" s="20" t="s">
        <v>354</v>
      </c>
      <c r="G160" s="8" t="str">
        <f t="shared" si="4"/>
        <v>SMITH MICHAEL</v>
      </c>
      <c r="H160" s="20" t="str">
        <f t="shared" si="5"/>
        <v>4012</v>
      </c>
    </row>
    <row r="161" spans="1:8" x14ac:dyDescent="0.3">
      <c r="A161" s="8">
        <v>43045.673113425924</v>
      </c>
      <c r="B161" s="20" t="s">
        <v>642</v>
      </c>
      <c r="C161" s="20" t="s">
        <v>805</v>
      </c>
      <c r="D161" s="138">
        <v>2970000</v>
      </c>
      <c r="E161" s="20" t="s">
        <v>382</v>
      </c>
      <c r="F161" s="20" t="s">
        <v>383</v>
      </c>
      <c r="G161" s="8" t="str">
        <f t="shared" si="4"/>
        <v>GUZMAN DANNY</v>
      </c>
      <c r="H161" s="20" t="str">
        <f t="shared" si="5"/>
        <v>4003</v>
      </c>
    </row>
    <row r="162" spans="1:8" x14ac:dyDescent="0.3">
      <c r="A162" s="8">
        <v>43045.682916666665</v>
      </c>
      <c r="B162" s="20" t="s">
        <v>504</v>
      </c>
      <c r="C162" s="20" t="s">
        <v>806</v>
      </c>
      <c r="D162" s="138">
        <v>2630000</v>
      </c>
      <c r="E162" s="20" t="s">
        <v>380</v>
      </c>
      <c r="F162" s="20" t="s">
        <v>381</v>
      </c>
      <c r="G162" s="8" t="str">
        <f t="shared" si="4"/>
        <v>SAFIEF AEIMEN</v>
      </c>
      <c r="H162" s="20" t="str">
        <f t="shared" si="5"/>
        <v>4015</v>
      </c>
    </row>
    <row r="163" spans="1:8" x14ac:dyDescent="0.3">
      <c r="A163" s="8">
        <v>43045.685358796298</v>
      </c>
      <c r="B163" s="20" t="s">
        <v>673</v>
      </c>
      <c r="C163" s="20" t="s">
        <v>807</v>
      </c>
      <c r="D163" s="138">
        <v>920000</v>
      </c>
      <c r="E163" s="20" t="s">
        <v>567</v>
      </c>
      <c r="F163" s="20" t="s">
        <v>354</v>
      </c>
      <c r="G163" s="8" t="str">
        <f t="shared" si="4"/>
        <v>DAVIS MICHAEL</v>
      </c>
      <c r="H163" s="20" t="str">
        <f t="shared" si="5"/>
        <v>4050</v>
      </c>
    </row>
    <row r="164" spans="1:8" x14ac:dyDescent="0.3">
      <c r="A164" s="8">
        <v>43045.687037037038</v>
      </c>
      <c r="B164" s="20" t="s">
        <v>644</v>
      </c>
      <c r="C164" s="20" t="s">
        <v>808</v>
      </c>
      <c r="D164" s="138">
        <v>3330000</v>
      </c>
      <c r="E164" s="20" t="s">
        <v>507</v>
      </c>
      <c r="F164" s="20" t="s">
        <v>508</v>
      </c>
      <c r="G164" s="8" t="str">
        <f t="shared" si="4"/>
        <v>GONZALEZ ARMANDO</v>
      </c>
      <c r="H164" s="20" t="str">
        <f t="shared" si="5"/>
        <v>4005</v>
      </c>
    </row>
    <row r="165" spans="1:8" x14ac:dyDescent="0.3">
      <c r="A165" s="8">
        <v>43045.691921296297</v>
      </c>
      <c r="B165" s="20" t="s">
        <v>362</v>
      </c>
      <c r="C165" s="20" t="s">
        <v>809</v>
      </c>
      <c r="D165" s="138">
        <v>2000000</v>
      </c>
      <c r="E165" s="20" t="s">
        <v>414</v>
      </c>
      <c r="F165" s="20" t="s">
        <v>415</v>
      </c>
      <c r="G165" s="8" t="str">
        <f t="shared" si="4"/>
        <v>STAMBAUGH JAMES</v>
      </c>
      <c r="H165" s="20" t="str">
        <f t="shared" si="5"/>
        <v>4018</v>
      </c>
    </row>
    <row r="166" spans="1:8" x14ac:dyDescent="0.3">
      <c r="A166" s="8">
        <v>43045.694907407407</v>
      </c>
      <c r="B166" s="20" t="s">
        <v>562</v>
      </c>
      <c r="C166" s="20" t="s">
        <v>810</v>
      </c>
      <c r="D166" s="138">
        <v>880000</v>
      </c>
      <c r="E166" s="20" t="s">
        <v>391</v>
      </c>
      <c r="F166" s="20" t="s">
        <v>354</v>
      </c>
      <c r="G166" s="8" t="str">
        <f t="shared" si="4"/>
        <v>STEWART MICHAEL</v>
      </c>
      <c r="H166" s="20" t="str">
        <f t="shared" si="5"/>
        <v>4010</v>
      </c>
    </row>
    <row r="167" spans="1:8" x14ac:dyDescent="0.3">
      <c r="A167" s="8">
        <v>43045.69635416667</v>
      </c>
      <c r="B167" s="20" t="s">
        <v>654</v>
      </c>
      <c r="C167" s="20" t="s">
        <v>811</v>
      </c>
      <c r="D167" s="138">
        <v>2550000</v>
      </c>
      <c r="E167" s="20" t="s">
        <v>509</v>
      </c>
      <c r="F167" s="20" t="s">
        <v>510</v>
      </c>
      <c r="G167" s="8" t="str">
        <f t="shared" si="4"/>
        <v>BADERTSCHER DIANE</v>
      </c>
      <c r="H167" s="20" t="str">
        <f t="shared" si="5"/>
        <v>4051</v>
      </c>
    </row>
    <row r="168" spans="1:8" x14ac:dyDescent="0.3">
      <c r="A168" s="8">
        <v>43045.704710648148</v>
      </c>
      <c r="B168" s="20" t="s">
        <v>364</v>
      </c>
      <c r="C168" s="20" t="s">
        <v>812</v>
      </c>
      <c r="D168" s="138">
        <v>2000000</v>
      </c>
      <c r="E168" s="20" t="s">
        <v>414</v>
      </c>
      <c r="F168" s="20" t="s">
        <v>415</v>
      </c>
      <c r="G168" s="8" t="str">
        <f t="shared" si="4"/>
        <v>STAMBAUGH JAMES</v>
      </c>
      <c r="H168" s="20" t="str">
        <f t="shared" si="5"/>
        <v>4017</v>
      </c>
    </row>
    <row r="169" spans="1:8" x14ac:dyDescent="0.3">
      <c r="A169" s="8">
        <v>43045.705277777779</v>
      </c>
      <c r="B169" s="20" t="s">
        <v>368</v>
      </c>
      <c r="C169" s="20" t="s">
        <v>813</v>
      </c>
      <c r="D169" s="138">
        <v>3670000</v>
      </c>
      <c r="E169" s="20" t="s">
        <v>394</v>
      </c>
      <c r="F169" s="20" t="s">
        <v>371</v>
      </c>
      <c r="G169" s="8" t="str">
        <f t="shared" si="4"/>
        <v>ANDREA WILLIAMS</v>
      </c>
      <c r="H169" s="20" t="str">
        <f t="shared" si="5"/>
        <v>4036</v>
      </c>
    </row>
    <row r="170" spans="1:8" x14ac:dyDescent="0.3">
      <c r="A170" s="8">
        <v>43045.708564814813</v>
      </c>
      <c r="B170" s="20" t="s">
        <v>732</v>
      </c>
      <c r="C170" s="20" t="s">
        <v>814</v>
      </c>
      <c r="D170" s="138">
        <v>1830000</v>
      </c>
      <c r="E170" s="20" t="s">
        <v>348</v>
      </c>
      <c r="F170" s="20" t="s">
        <v>349</v>
      </c>
      <c r="G170" s="8" t="str">
        <f t="shared" si="4"/>
        <v>YORK EDGAR</v>
      </c>
      <c r="H170" s="20" t="str">
        <f t="shared" si="5"/>
        <v>4066</v>
      </c>
    </row>
    <row r="171" spans="1:8" x14ac:dyDescent="0.3">
      <c r="A171" s="8">
        <v>43045.709039351852</v>
      </c>
      <c r="B171" s="20" t="s">
        <v>379</v>
      </c>
      <c r="C171" s="20" t="s">
        <v>659</v>
      </c>
      <c r="D171" s="138">
        <v>2230000</v>
      </c>
      <c r="E171" s="20" t="s">
        <v>413</v>
      </c>
      <c r="F171" s="20" t="s">
        <v>354</v>
      </c>
      <c r="G171" s="8" t="str">
        <f t="shared" si="4"/>
        <v>SMITH MICHAEL</v>
      </c>
      <c r="H171" s="20" t="str">
        <f t="shared" si="5"/>
        <v>4011</v>
      </c>
    </row>
    <row r="172" spans="1:8" x14ac:dyDescent="0.3">
      <c r="A172" s="8">
        <v>43045.709675925929</v>
      </c>
      <c r="B172" s="20" t="s">
        <v>506</v>
      </c>
      <c r="C172" s="20" t="s">
        <v>815</v>
      </c>
      <c r="D172" s="138">
        <v>2030000</v>
      </c>
      <c r="E172" s="20" t="s">
        <v>816</v>
      </c>
      <c r="F172" s="20" t="s">
        <v>743</v>
      </c>
      <c r="G172" s="8" t="str">
        <f t="shared" si="4"/>
        <v>KILLION DAVID</v>
      </c>
      <c r="H172" s="20" t="str">
        <f t="shared" si="5"/>
        <v>4006</v>
      </c>
    </row>
    <row r="173" spans="1:8" x14ac:dyDescent="0.3">
      <c r="A173" s="8">
        <v>43045.714120370372</v>
      </c>
      <c r="B173" s="20" t="s">
        <v>635</v>
      </c>
      <c r="C173" s="20" t="s">
        <v>817</v>
      </c>
      <c r="D173" s="138">
        <v>2970000</v>
      </c>
      <c r="E173" s="20" t="s">
        <v>382</v>
      </c>
      <c r="F173" s="20" t="s">
        <v>383</v>
      </c>
      <c r="G173" s="8" t="str">
        <f t="shared" si="4"/>
        <v>GUZMAN DANNY</v>
      </c>
      <c r="H173" s="20" t="str">
        <f t="shared" si="5"/>
        <v>4004</v>
      </c>
    </row>
    <row r="174" spans="1:8" x14ac:dyDescent="0.3">
      <c r="A174" s="8">
        <v>43045.724062499998</v>
      </c>
      <c r="B174" s="20" t="s">
        <v>486</v>
      </c>
      <c r="C174" s="20" t="s">
        <v>818</v>
      </c>
      <c r="D174" s="138">
        <v>2600000</v>
      </c>
      <c r="E174" s="20" t="s">
        <v>742</v>
      </c>
      <c r="F174" s="20" t="s">
        <v>743</v>
      </c>
      <c r="G174" s="8" t="str">
        <f t="shared" si="4"/>
        <v>DAVIDSON DAVID</v>
      </c>
      <c r="H174" s="20" t="str">
        <f t="shared" si="5"/>
        <v>4032</v>
      </c>
    </row>
    <row r="175" spans="1:8" x14ac:dyDescent="0.3">
      <c r="A175" s="8">
        <v>43045.726990740739</v>
      </c>
      <c r="B175" s="20" t="s">
        <v>686</v>
      </c>
      <c r="C175" s="20" t="s">
        <v>819</v>
      </c>
      <c r="D175" s="138">
        <v>2630000</v>
      </c>
      <c r="E175" s="20" t="s">
        <v>380</v>
      </c>
      <c r="F175" s="20" t="s">
        <v>381</v>
      </c>
      <c r="G175" s="8" t="str">
        <f t="shared" si="4"/>
        <v>SAFIEF AEIMEN</v>
      </c>
      <c r="H175" s="20" t="str">
        <f t="shared" si="5"/>
        <v>4016</v>
      </c>
    </row>
    <row r="176" spans="1:8" x14ac:dyDescent="0.3">
      <c r="A176" s="8">
        <v>43045.727118055554</v>
      </c>
      <c r="B176" s="20" t="s">
        <v>644</v>
      </c>
      <c r="C176" s="20" t="s">
        <v>820</v>
      </c>
      <c r="D176" s="138">
        <v>2030000</v>
      </c>
      <c r="E176" s="20" t="s">
        <v>816</v>
      </c>
      <c r="F176" s="20" t="s">
        <v>743</v>
      </c>
      <c r="G176" s="8" t="str">
        <f t="shared" si="4"/>
        <v>KILLION DAVID</v>
      </c>
      <c r="H176" s="20" t="str">
        <f t="shared" si="5"/>
        <v>4005</v>
      </c>
    </row>
    <row r="177" spans="1:8" x14ac:dyDescent="0.3">
      <c r="A177" s="8">
        <v>43045.727754629632</v>
      </c>
      <c r="B177" s="20" t="s">
        <v>484</v>
      </c>
      <c r="C177" s="20" t="s">
        <v>818</v>
      </c>
      <c r="D177" s="138">
        <v>2600000</v>
      </c>
      <c r="E177" s="20" t="s">
        <v>742</v>
      </c>
      <c r="F177" s="20" t="s">
        <v>743</v>
      </c>
      <c r="G177" s="8" t="str">
        <f t="shared" si="4"/>
        <v>DAVIDSON DAVID</v>
      </c>
      <c r="H177" s="20" t="str">
        <f t="shared" si="5"/>
        <v>4031</v>
      </c>
    </row>
    <row r="178" spans="1:8" x14ac:dyDescent="0.3">
      <c r="A178" s="8">
        <v>43045.72896990741</v>
      </c>
      <c r="B178" s="20" t="s">
        <v>671</v>
      </c>
      <c r="C178" s="20" t="s">
        <v>821</v>
      </c>
      <c r="D178" s="138">
        <v>920000</v>
      </c>
      <c r="E178" s="20" t="s">
        <v>567</v>
      </c>
      <c r="F178" s="20" t="s">
        <v>354</v>
      </c>
      <c r="G178" s="8" t="str">
        <f t="shared" si="4"/>
        <v>DAVIS MICHAEL</v>
      </c>
      <c r="H178" s="20" t="str">
        <f t="shared" si="5"/>
        <v>4049</v>
      </c>
    </row>
    <row r="179" spans="1:8" x14ac:dyDescent="0.3">
      <c r="A179" s="8">
        <v>43045.733113425929</v>
      </c>
      <c r="B179" s="20" t="s">
        <v>556</v>
      </c>
      <c r="C179" s="20" t="s">
        <v>822</v>
      </c>
      <c r="D179" s="138">
        <v>3500000</v>
      </c>
      <c r="E179" s="20" t="s">
        <v>384</v>
      </c>
      <c r="F179" s="20" t="s">
        <v>385</v>
      </c>
      <c r="G179" s="8" t="str">
        <f t="shared" si="4"/>
        <v>GUNTHIER ERIC</v>
      </c>
      <c r="H179" s="20" t="str">
        <f t="shared" si="5"/>
        <v>4013</v>
      </c>
    </row>
    <row r="180" spans="1:8" x14ac:dyDescent="0.3">
      <c r="A180" s="8">
        <v>43045.734016203707</v>
      </c>
      <c r="B180" s="20" t="s">
        <v>362</v>
      </c>
      <c r="C180" s="20" t="s">
        <v>823</v>
      </c>
      <c r="D180" s="138">
        <v>2000000</v>
      </c>
      <c r="E180" s="20" t="s">
        <v>414</v>
      </c>
      <c r="F180" s="20" t="s">
        <v>415</v>
      </c>
      <c r="G180" s="8" t="str">
        <f t="shared" si="4"/>
        <v>STAMBAUGH JAMES</v>
      </c>
      <c r="H180" s="20" t="str">
        <f t="shared" si="5"/>
        <v>4018</v>
      </c>
    </row>
    <row r="181" spans="1:8" x14ac:dyDescent="0.3">
      <c r="A181" s="8">
        <v>43045.737303240741</v>
      </c>
      <c r="B181" s="20" t="s">
        <v>486</v>
      </c>
      <c r="C181" s="20" t="s">
        <v>824</v>
      </c>
      <c r="D181" s="138">
        <v>890000</v>
      </c>
      <c r="E181" s="20" t="s">
        <v>345</v>
      </c>
      <c r="F181" s="20" t="s">
        <v>346</v>
      </c>
      <c r="G181" s="8" t="str">
        <f t="shared" si="4"/>
        <v>LOZA FIDEL</v>
      </c>
      <c r="H181" s="20" t="str">
        <f t="shared" si="5"/>
        <v>4032</v>
      </c>
    </row>
    <row r="182" spans="1:8" x14ac:dyDescent="0.3">
      <c r="A182" s="8">
        <v>43045.738356481481</v>
      </c>
      <c r="B182" s="20" t="s">
        <v>557</v>
      </c>
      <c r="C182" s="20" t="s">
        <v>825</v>
      </c>
      <c r="D182" s="138">
        <v>880000</v>
      </c>
      <c r="E182" s="20" t="s">
        <v>391</v>
      </c>
      <c r="F182" s="20" t="s">
        <v>354</v>
      </c>
      <c r="G182" s="8" t="str">
        <f t="shared" si="4"/>
        <v>STEWART MICHAEL</v>
      </c>
      <c r="H182" s="20" t="str">
        <f t="shared" si="5"/>
        <v>4009</v>
      </c>
    </row>
    <row r="183" spans="1:8" x14ac:dyDescent="0.3">
      <c r="A183" s="8">
        <v>43045.746724537035</v>
      </c>
      <c r="B183" s="20" t="s">
        <v>369</v>
      </c>
      <c r="C183" s="20" t="s">
        <v>826</v>
      </c>
      <c r="D183" s="138">
        <v>3670000</v>
      </c>
      <c r="E183" s="20" t="s">
        <v>394</v>
      </c>
      <c r="F183" s="20" t="s">
        <v>371</v>
      </c>
      <c r="G183" s="8" t="str">
        <f t="shared" si="4"/>
        <v>ANDREA WILLIAMS</v>
      </c>
      <c r="H183" s="20" t="str">
        <f t="shared" si="5"/>
        <v>4035</v>
      </c>
    </row>
    <row r="184" spans="1:8" x14ac:dyDescent="0.3">
      <c r="A184" s="8">
        <v>43045.747118055559</v>
      </c>
      <c r="B184" s="20" t="s">
        <v>364</v>
      </c>
      <c r="C184" s="20" t="s">
        <v>827</v>
      </c>
      <c r="D184" s="138">
        <v>2000000</v>
      </c>
      <c r="E184" s="20" t="s">
        <v>414</v>
      </c>
      <c r="F184" s="20" t="s">
        <v>415</v>
      </c>
      <c r="G184" s="8" t="str">
        <f t="shared" si="4"/>
        <v>STAMBAUGH JAMES</v>
      </c>
      <c r="H184" s="20" t="str">
        <f t="shared" si="5"/>
        <v>4017</v>
      </c>
    </row>
    <row r="185" spans="1:8" x14ac:dyDescent="0.3">
      <c r="A185" s="8">
        <v>43045.748668981483</v>
      </c>
      <c r="B185" s="20" t="s">
        <v>506</v>
      </c>
      <c r="C185" s="20" t="s">
        <v>828</v>
      </c>
      <c r="D185" s="138">
        <v>2030000</v>
      </c>
      <c r="E185" s="20" t="s">
        <v>816</v>
      </c>
      <c r="F185" s="20" t="s">
        <v>743</v>
      </c>
      <c r="G185" s="8" t="str">
        <f t="shared" si="4"/>
        <v>KILLION DAVID</v>
      </c>
      <c r="H185" s="20" t="str">
        <f t="shared" si="5"/>
        <v>4006</v>
      </c>
    </row>
    <row r="186" spans="1:8" x14ac:dyDescent="0.3">
      <c r="A186" s="8">
        <v>43045.748796296299</v>
      </c>
      <c r="B186" s="20" t="s">
        <v>642</v>
      </c>
      <c r="C186" s="20" t="s">
        <v>829</v>
      </c>
      <c r="D186" s="138">
        <v>2970000</v>
      </c>
      <c r="E186" s="20" t="s">
        <v>382</v>
      </c>
      <c r="F186" s="20" t="s">
        <v>383</v>
      </c>
      <c r="G186" s="8" t="str">
        <f t="shared" si="4"/>
        <v>GUZMAN DANNY</v>
      </c>
      <c r="H186" s="20" t="str">
        <f t="shared" si="5"/>
        <v>4003</v>
      </c>
    </row>
    <row r="187" spans="1:8" x14ac:dyDescent="0.3">
      <c r="A187" s="8">
        <v>43045.749675925923</v>
      </c>
      <c r="B187" s="20" t="s">
        <v>378</v>
      </c>
      <c r="C187" s="20" t="s">
        <v>830</v>
      </c>
      <c r="D187" s="138">
        <v>2230000</v>
      </c>
      <c r="E187" s="20" t="s">
        <v>413</v>
      </c>
      <c r="F187" s="20" t="s">
        <v>354</v>
      </c>
      <c r="G187" s="8" t="str">
        <f t="shared" si="4"/>
        <v>SMITH MICHAEL</v>
      </c>
      <c r="H187" s="20" t="str">
        <f t="shared" si="5"/>
        <v>4012</v>
      </c>
    </row>
    <row r="188" spans="1:8" x14ac:dyDescent="0.3">
      <c r="A188" s="8">
        <v>43045.755046296297</v>
      </c>
      <c r="B188" s="20" t="s">
        <v>568</v>
      </c>
      <c r="C188" s="20" t="s">
        <v>831</v>
      </c>
      <c r="D188" s="138">
        <v>3220000</v>
      </c>
      <c r="E188" s="20" t="s">
        <v>386</v>
      </c>
      <c r="F188" s="20" t="s">
        <v>387</v>
      </c>
      <c r="G188" s="8" t="str">
        <f t="shared" si="4"/>
        <v>RESPASS AARON</v>
      </c>
      <c r="H188" s="20" t="str">
        <f t="shared" si="5"/>
        <v>4014</v>
      </c>
    </row>
    <row r="189" spans="1:8" x14ac:dyDescent="0.3">
      <c r="A189" s="8">
        <v>43045.764641203707</v>
      </c>
      <c r="B189" s="20" t="s">
        <v>504</v>
      </c>
      <c r="C189" s="20" t="s">
        <v>832</v>
      </c>
      <c r="D189" s="138">
        <v>2630000</v>
      </c>
      <c r="E189" s="20" t="s">
        <v>380</v>
      </c>
      <c r="F189" s="20" t="s">
        <v>381</v>
      </c>
      <c r="G189" s="8" t="str">
        <f t="shared" si="4"/>
        <v>SAFIEF AEIMEN</v>
      </c>
      <c r="H189" s="20" t="str">
        <f t="shared" si="5"/>
        <v>4015</v>
      </c>
    </row>
    <row r="190" spans="1:8" x14ac:dyDescent="0.3">
      <c r="A190" s="8">
        <v>43045.766215277778</v>
      </c>
      <c r="B190" s="20" t="s">
        <v>673</v>
      </c>
      <c r="C190" s="20" t="s">
        <v>833</v>
      </c>
      <c r="D190" s="138">
        <v>3040000</v>
      </c>
      <c r="E190" s="20" t="s">
        <v>371</v>
      </c>
      <c r="F190" s="20" t="s">
        <v>505</v>
      </c>
      <c r="G190" s="8" t="str">
        <f t="shared" si="4"/>
        <v>WILLIAMS DONTE</v>
      </c>
      <c r="H190" s="20" t="str">
        <f t="shared" si="5"/>
        <v>4050</v>
      </c>
    </row>
    <row r="191" spans="1:8" x14ac:dyDescent="0.3">
      <c r="A191" s="8">
        <v>43045.768645833334</v>
      </c>
      <c r="B191" s="20" t="s">
        <v>644</v>
      </c>
      <c r="C191" s="20" t="s">
        <v>834</v>
      </c>
      <c r="D191" s="138">
        <v>2030000</v>
      </c>
      <c r="E191" s="20" t="s">
        <v>816</v>
      </c>
      <c r="F191" s="20" t="s">
        <v>743</v>
      </c>
      <c r="G191" s="8" t="str">
        <f t="shared" si="4"/>
        <v>KILLION DAVID</v>
      </c>
      <c r="H191" s="20" t="str">
        <f t="shared" si="5"/>
        <v>4005</v>
      </c>
    </row>
    <row r="192" spans="1:8" x14ac:dyDescent="0.3">
      <c r="A192" s="8">
        <v>43045.775335648148</v>
      </c>
      <c r="B192" s="20" t="s">
        <v>362</v>
      </c>
      <c r="C192" s="20" t="s">
        <v>835</v>
      </c>
      <c r="D192" s="138">
        <v>2000000</v>
      </c>
      <c r="E192" s="20" t="s">
        <v>414</v>
      </c>
      <c r="F192" s="20" t="s">
        <v>415</v>
      </c>
      <c r="G192" s="8" t="str">
        <f t="shared" si="4"/>
        <v>STAMBAUGH JAMES</v>
      </c>
      <c r="H192" s="20" t="str">
        <f t="shared" si="5"/>
        <v>4018</v>
      </c>
    </row>
    <row r="193" spans="1:8" x14ac:dyDescent="0.3">
      <c r="A193" s="8">
        <v>43045.778043981481</v>
      </c>
      <c r="B193" s="20" t="s">
        <v>484</v>
      </c>
      <c r="C193" s="20" t="s">
        <v>836</v>
      </c>
      <c r="D193" s="138">
        <v>890000</v>
      </c>
      <c r="E193" s="20" t="s">
        <v>345</v>
      </c>
      <c r="F193" s="20" t="s">
        <v>346</v>
      </c>
      <c r="G193" s="8" t="str">
        <f t="shared" si="4"/>
        <v>LOZA FIDEL</v>
      </c>
      <c r="H193" s="20" t="str">
        <f t="shared" si="5"/>
        <v>4031</v>
      </c>
    </row>
    <row r="194" spans="1:8" x14ac:dyDescent="0.3">
      <c r="A194" s="8">
        <v>43045.7809837963</v>
      </c>
      <c r="B194" s="20" t="s">
        <v>379</v>
      </c>
      <c r="C194" s="20" t="s">
        <v>837</v>
      </c>
      <c r="D194" s="138">
        <v>2230000</v>
      </c>
      <c r="E194" s="20" t="s">
        <v>413</v>
      </c>
      <c r="F194" s="20" t="s">
        <v>354</v>
      </c>
      <c r="G194" s="8" t="str">
        <f t="shared" si="4"/>
        <v>SMITH MICHAEL</v>
      </c>
      <c r="H194" s="20" t="str">
        <f t="shared" si="5"/>
        <v>4011</v>
      </c>
    </row>
    <row r="195" spans="1:8" x14ac:dyDescent="0.3">
      <c r="A195" s="8">
        <v>43045.78162037037</v>
      </c>
      <c r="B195" s="20" t="s">
        <v>368</v>
      </c>
      <c r="C195" s="20" t="s">
        <v>838</v>
      </c>
      <c r="D195" s="138">
        <v>3670000</v>
      </c>
      <c r="E195" s="20" t="s">
        <v>394</v>
      </c>
      <c r="F195" s="20" t="s">
        <v>371</v>
      </c>
      <c r="G195" s="8" t="str">
        <f t="shared" ref="G195:G258" si="6">E195&amp;" "&amp;F195</f>
        <v>ANDREA WILLIAMS</v>
      </c>
      <c r="H195" s="20" t="str">
        <f t="shared" ref="H195:H258" si="7">MID(B195,13,4)</f>
        <v>4036</v>
      </c>
    </row>
    <row r="196" spans="1:8" x14ac:dyDescent="0.3">
      <c r="A196" s="8">
        <v>43045.783043981479</v>
      </c>
      <c r="B196" s="20" t="s">
        <v>660</v>
      </c>
      <c r="C196" s="20" t="s">
        <v>661</v>
      </c>
      <c r="D196" s="138">
        <v>2550000</v>
      </c>
      <c r="E196" s="20" t="s">
        <v>509</v>
      </c>
      <c r="F196" s="20" t="s">
        <v>510</v>
      </c>
      <c r="G196" s="8" t="str">
        <f t="shared" si="6"/>
        <v>BADERTSCHER DIANE</v>
      </c>
      <c r="H196" s="20" t="str">
        <f t="shared" si="7"/>
        <v>4052</v>
      </c>
    </row>
    <row r="197" spans="1:8" x14ac:dyDescent="0.3">
      <c r="A197" s="8">
        <v>43045.787916666668</v>
      </c>
      <c r="B197" s="20" t="s">
        <v>364</v>
      </c>
      <c r="C197" s="20" t="s">
        <v>839</v>
      </c>
      <c r="D197" s="138">
        <v>2000000</v>
      </c>
      <c r="E197" s="20" t="s">
        <v>414</v>
      </c>
      <c r="F197" s="20" t="s">
        <v>415</v>
      </c>
      <c r="G197" s="8" t="str">
        <f t="shared" si="6"/>
        <v>STAMBAUGH JAMES</v>
      </c>
      <c r="H197" s="20" t="str">
        <f t="shared" si="7"/>
        <v>4017</v>
      </c>
    </row>
    <row r="198" spans="1:8" x14ac:dyDescent="0.3">
      <c r="A198" s="8">
        <v>43045.789224537039</v>
      </c>
      <c r="B198" s="20" t="s">
        <v>635</v>
      </c>
      <c r="C198" s="20" t="s">
        <v>662</v>
      </c>
      <c r="D198" s="138">
        <v>3340000</v>
      </c>
      <c r="E198" s="20" t="s">
        <v>514</v>
      </c>
      <c r="F198" s="20" t="s">
        <v>515</v>
      </c>
      <c r="G198" s="8" t="str">
        <f t="shared" si="6"/>
        <v>ELBAUM MIKE</v>
      </c>
      <c r="H198" s="20" t="str">
        <f t="shared" si="7"/>
        <v>4004</v>
      </c>
    </row>
    <row r="199" spans="1:8" x14ac:dyDescent="0.3">
      <c r="A199" s="8">
        <v>43045.790775462963</v>
      </c>
      <c r="B199" s="20" t="s">
        <v>506</v>
      </c>
      <c r="C199" s="20" t="s">
        <v>840</v>
      </c>
      <c r="D199" s="138">
        <v>2030000</v>
      </c>
      <c r="E199" s="20" t="s">
        <v>816</v>
      </c>
      <c r="F199" s="20" t="s">
        <v>743</v>
      </c>
      <c r="G199" s="8" t="str">
        <f t="shared" si="6"/>
        <v>KILLION DAVID</v>
      </c>
      <c r="H199" s="20" t="str">
        <f t="shared" si="7"/>
        <v>4006</v>
      </c>
    </row>
    <row r="200" spans="1:8" x14ac:dyDescent="0.3">
      <c r="A200" s="8">
        <v>43045.793425925927</v>
      </c>
      <c r="B200" s="20" t="s">
        <v>556</v>
      </c>
      <c r="C200" s="20" t="s">
        <v>841</v>
      </c>
      <c r="D200" s="138">
        <v>3220000</v>
      </c>
      <c r="E200" s="20" t="s">
        <v>386</v>
      </c>
      <c r="F200" s="20" t="s">
        <v>387</v>
      </c>
      <c r="G200" s="8" t="str">
        <f t="shared" si="6"/>
        <v>RESPASS AARON</v>
      </c>
      <c r="H200" s="20" t="str">
        <f t="shared" si="7"/>
        <v>4013</v>
      </c>
    </row>
    <row r="201" spans="1:8" x14ac:dyDescent="0.3">
      <c r="A201" s="8">
        <v>43045.794849537036</v>
      </c>
      <c r="B201" s="20" t="s">
        <v>556</v>
      </c>
      <c r="C201" s="20" t="s">
        <v>841</v>
      </c>
      <c r="D201" s="138">
        <v>3220000</v>
      </c>
      <c r="E201" s="20" t="s">
        <v>386</v>
      </c>
      <c r="F201" s="20" t="s">
        <v>387</v>
      </c>
      <c r="G201" s="8" t="str">
        <f t="shared" si="6"/>
        <v>RESPASS AARON</v>
      </c>
      <c r="H201" s="20" t="str">
        <f t="shared" si="7"/>
        <v>4013</v>
      </c>
    </row>
    <row r="202" spans="1:8" x14ac:dyDescent="0.3">
      <c r="A202" s="26">
        <v>43045.798159722224</v>
      </c>
      <c r="B202" s="20" t="s">
        <v>686</v>
      </c>
      <c r="C202" s="20" t="s">
        <v>842</v>
      </c>
      <c r="D202" s="138">
        <v>2630000</v>
      </c>
      <c r="E202" s="20" t="s">
        <v>380</v>
      </c>
      <c r="F202" s="20" t="s">
        <v>381</v>
      </c>
      <c r="G202" s="8" t="str">
        <f t="shared" si="6"/>
        <v>SAFIEF AEIMEN</v>
      </c>
      <c r="H202" s="20" t="str">
        <f t="shared" si="7"/>
        <v>4016</v>
      </c>
    </row>
    <row r="203" spans="1:8" x14ac:dyDescent="0.3">
      <c r="A203" s="8">
        <v>43045.806064814817</v>
      </c>
      <c r="B203" s="20" t="s">
        <v>671</v>
      </c>
      <c r="C203" s="20" t="s">
        <v>843</v>
      </c>
      <c r="D203" s="138">
        <v>3040000</v>
      </c>
      <c r="E203" s="20" t="s">
        <v>371</v>
      </c>
      <c r="F203" s="20" t="s">
        <v>505</v>
      </c>
      <c r="G203" s="8" t="str">
        <f t="shared" si="6"/>
        <v>WILLIAMS DONTE</v>
      </c>
      <c r="H203" s="20" t="str">
        <f t="shared" si="7"/>
        <v>4049</v>
      </c>
    </row>
    <row r="204" spans="1:8" x14ac:dyDescent="0.3">
      <c r="A204" s="8">
        <v>43045.809583333335</v>
      </c>
      <c r="B204" s="20" t="s">
        <v>486</v>
      </c>
      <c r="C204" s="20" t="s">
        <v>663</v>
      </c>
      <c r="D204" s="138">
        <v>890000</v>
      </c>
      <c r="E204" s="20" t="s">
        <v>345</v>
      </c>
      <c r="F204" s="20" t="s">
        <v>346</v>
      </c>
      <c r="G204" s="8" t="str">
        <f t="shared" si="6"/>
        <v>LOZA FIDEL</v>
      </c>
      <c r="H204" s="20" t="str">
        <f t="shared" si="7"/>
        <v>4032</v>
      </c>
    </row>
    <row r="205" spans="1:8" x14ac:dyDescent="0.3">
      <c r="A205" s="8">
        <v>43045.809861111113</v>
      </c>
      <c r="B205" s="20" t="s">
        <v>644</v>
      </c>
      <c r="C205" s="20" t="s">
        <v>844</v>
      </c>
      <c r="D205" s="138">
        <v>2030000</v>
      </c>
      <c r="E205" s="20" t="s">
        <v>816</v>
      </c>
      <c r="F205" s="20" t="s">
        <v>743</v>
      </c>
      <c r="G205" s="8" t="str">
        <f t="shared" si="6"/>
        <v>KILLION DAVID</v>
      </c>
      <c r="H205" s="20" t="str">
        <f t="shared" si="7"/>
        <v>4005</v>
      </c>
    </row>
    <row r="206" spans="1:8" x14ac:dyDescent="0.3">
      <c r="A206" s="8">
        <v>43045.819699074076</v>
      </c>
      <c r="B206" s="20" t="s">
        <v>642</v>
      </c>
      <c r="C206" s="20" t="s">
        <v>664</v>
      </c>
      <c r="D206" s="138">
        <v>3340000</v>
      </c>
      <c r="E206" s="20" t="s">
        <v>514</v>
      </c>
      <c r="F206" s="20" t="s">
        <v>515</v>
      </c>
      <c r="G206" s="8" t="str">
        <f t="shared" si="6"/>
        <v>ELBAUM MIKE</v>
      </c>
      <c r="H206" s="20" t="str">
        <f t="shared" si="7"/>
        <v>4003</v>
      </c>
    </row>
    <row r="207" spans="1:8" x14ac:dyDescent="0.3">
      <c r="A207" s="8">
        <v>43045.819814814815</v>
      </c>
      <c r="B207" s="20" t="s">
        <v>378</v>
      </c>
      <c r="C207" s="20" t="s">
        <v>845</v>
      </c>
      <c r="D207" s="138">
        <v>2230000</v>
      </c>
      <c r="E207" s="20" t="s">
        <v>413</v>
      </c>
      <c r="F207" s="20" t="s">
        <v>354</v>
      </c>
      <c r="G207" s="8" t="str">
        <f t="shared" si="6"/>
        <v>SMITH MICHAEL</v>
      </c>
      <c r="H207" s="20" t="str">
        <f t="shared" si="7"/>
        <v>4012</v>
      </c>
    </row>
    <row r="208" spans="1:8" x14ac:dyDescent="0.3">
      <c r="A208" s="8">
        <v>43045.821655092594</v>
      </c>
      <c r="B208" s="20" t="s">
        <v>562</v>
      </c>
      <c r="C208" s="20" t="s">
        <v>846</v>
      </c>
      <c r="D208" s="138">
        <v>2610000</v>
      </c>
      <c r="E208" s="20" t="s">
        <v>392</v>
      </c>
      <c r="F208" s="20" t="s">
        <v>393</v>
      </c>
      <c r="G208" s="8" t="str">
        <f t="shared" si="6"/>
        <v>MAGEE KENYA</v>
      </c>
      <c r="H208" s="20" t="str">
        <f t="shared" si="7"/>
        <v>4010</v>
      </c>
    </row>
    <row r="209" spans="1:8" x14ac:dyDescent="0.3">
      <c r="A209" s="8">
        <v>43045.82471064815</v>
      </c>
      <c r="B209" s="20" t="s">
        <v>557</v>
      </c>
      <c r="C209" s="20" t="s">
        <v>846</v>
      </c>
      <c r="D209" s="138">
        <v>2610000</v>
      </c>
      <c r="E209" s="20" t="s">
        <v>392</v>
      </c>
      <c r="F209" s="20" t="s">
        <v>393</v>
      </c>
      <c r="G209" s="8" t="str">
        <f t="shared" si="6"/>
        <v>MAGEE KENYA</v>
      </c>
      <c r="H209" s="20" t="str">
        <f t="shared" si="7"/>
        <v>4009</v>
      </c>
    </row>
    <row r="210" spans="1:8" x14ac:dyDescent="0.3">
      <c r="A210" s="8">
        <v>43045.832245370373</v>
      </c>
      <c r="B210" s="20" t="s">
        <v>506</v>
      </c>
      <c r="C210" s="20" t="s">
        <v>847</v>
      </c>
      <c r="D210" s="138">
        <v>2030000</v>
      </c>
      <c r="E210" s="20" t="s">
        <v>816</v>
      </c>
      <c r="F210" s="20" t="s">
        <v>743</v>
      </c>
      <c r="G210" s="8" t="str">
        <f t="shared" si="6"/>
        <v>KILLION DAVID</v>
      </c>
      <c r="H210" s="20" t="str">
        <f t="shared" si="7"/>
        <v>4006</v>
      </c>
    </row>
    <row r="211" spans="1:8" x14ac:dyDescent="0.3">
      <c r="A211" s="8">
        <v>43045.832650462966</v>
      </c>
      <c r="B211" s="20" t="s">
        <v>562</v>
      </c>
      <c r="C211" s="20" t="s">
        <v>848</v>
      </c>
      <c r="D211" s="138">
        <v>3220000</v>
      </c>
      <c r="E211" s="20" t="s">
        <v>386</v>
      </c>
      <c r="F211" s="20" t="s">
        <v>387</v>
      </c>
      <c r="G211" s="8" t="str">
        <f t="shared" si="6"/>
        <v>RESPASS AARON</v>
      </c>
      <c r="H211" s="20" t="str">
        <f t="shared" si="7"/>
        <v>4010</v>
      </c>
    </row>
    <row r="212" spans="1:8" x14ac:dyDescent="0.3">
      <c r="A212" s="8">
        <v>43045.846921296295</v>
      </c>
      <c r="B212" s="20" t="s">
        <v>484</v>
      </c>
      <c r="C212" s="20" t="s">
        <v>849</v>
      </c>
      <c r="D212" s="138">
        <v>890000</v>
      </c>
      <c r="E212" s="20" t="s">
        <v>345</v>
      </c>
      <c r="F212" s="20" t="s">
        <v>346</v>
      </c>
      <c r="G212" s="8" t="str">
        <f t="shared" si="6"/>
        <v>LOZA FIDEL</v>
      </c>
      <c r="H212" s="20" t="str">
        <f t="shared" si="7"/>
        <v>4031</v>
      </c>
    </row>
    <row r="213" spans="1:8" x14ac:dyDescent="0.3">
      <c r="A213" s="8">
        <v>43045.849872685183</v>
      </c>
      <c r="B213" s="20" t="s">
        <v>673</v>
      </c>
      <c r="C213" s="20" t="s">
        <v>850</v>
      </c>
      <c r="D213" s="138">
        <v>3040000</v>
      </c>
      <c r="E213" s="20" t="s">
        <v>371</v>
      </c>
      <c r="F213" s="20" t="s">
        <v>505</v>
      </c>
      <c r="G213" s="8" t="str">
        <f t="shared" si="6"/>
        <v>WILLIAMS DONTE</v>
      </c>
      <c r="H213" s="20" t="str">
        <f t="shared" si="7"/>
        <v>4050</v>
      </c>
    </row>
    <row r="214" spans="1:8" x14ac:dyDescent="0.3">
      <c r="A214" s="8">
        <v>43045.851261574076</v>
      </c>
      <c r="B214" s="20" t="s">
        <v>644</v>
      </c>
      <c r="C214" s="20" t="s">
        <v>851</v>
      </c>
      <c r="D214" s="138">
        <v>2030000</v>
      </c>
      <c r="E214" s="20" t="s">
        <v>816</v>
      </c>
      <c r="F214" s="20" t="s">
        <v>743</v>
      </c>
      <c r="G214" s="8" t="str">
        <f t="shared" si="6"/>
        <v>KILLION DAVID</v>
      </c>
      <c r="H214" s="20" t="str">
        <f t="shared" si="7"/>
        <v>4005</v>
      </c>
    </row>
    <row r="215" spans="1:8" x14ac:dyDescent="0.3">
      <c r="A215" s="8">
        <v>43045.859965277778</v>
      </c>
      <c r="B215" s="20" t="s">
        <v>635</v>
      </c>
      <c r="C215" s="20" t="s">
        <v>852</v>
      </c>
      <c r="D215" s="138">
        <v>3340000</v>
      </c>
      <c r="E215" s="20" t="s">
        <v>514</v>
      </c>
      <c r="F215" s="20" t="s">
        <v>515</v>
      </c>
      <c r="G215" s="8" t="str">
        <f t="shared" si="6"/>
        <v>ELBAUM MIKE</v>
      </c>
      <c r="H215" s="20" t="str">
        <f t="shared" si="7"/>
        <v>4004</v>
      </c>
    </row>
    <row r="216" spans="1:8" x14ac:dyDescent="0.3">
      <c r="A216" s="8">
        <v>43045.869421296295</v>
      </c>
      <c r="B216" s="20" t="s">
        <v>557</v>
      </c>
      <c r="C216" s="20" t="s">
        <v>665</v>
      </c>
      <c r="D216" s="138">
        <v>3220000</v>
      </c>
      <c r="E216" s="20" t="s">
        <v>386</v>
      </c>
      <c r="F216" s="20" t="s">
        <v>387</v>
      </c>
      <c r="G216" s="8" t="str">
        <f t="shared" si="6"/>
        <v>RESPASS AARON</v>
      </c>
      <c r="H216" s="20" t="str">
        <f t="shared" si="7"/>
        <v>4009</v>
      </c>
    </row>
    <row r="217" spans="1:8" x14ac:dyDescent="0.3">
      <c r="A217" s="8">
        <v>43045.877662037034</v>
      </c>
      <c r="B217" s="20" t="s">
        <v>506</v>
      </c>
      <c r="C217" s="20" t="s">
        <v>853</v>
      </c>
      <c r="D217" s="138">
        <v>2000000</v>
      </c>
      <c r="E217" s="20" t="s">
        <v>414</v>
      </c>
      <c r="F217" s="20" t="s">
        <v>415</v>
      </c>
      <c r="G217" s="8" t="str">
        <f t="shared" si="6"/>
        <v>STAMBAUGH JAMES</v>
      </c>
      <c r="H217" s="20" t="str">
        <f t="shared" si="7"/>
        <v>4006</v>
      </c>
    </row>
    <row r="218" spans="1:8" x14ac:dyDescent="0.3">
      <c r="A218" s="8">
        <v>43045.885451388887</v>
      </c>
      <c r="B218" s="20" t="s">
        <v>486</v>
      </c>
      <c r="C218" s="20" t="s">
        <v>854</v>
      </c>
      <c r="D218" s="138">
        <v>890000</v>
      </c>
      <c r="E218" s="20" t="s">
        <v>345</v>
      </c>
      <c r="F218" s="20" t="s">
        <v>346</v>
      </c>
      <c r="G218" s="8" t="str">
        <f t="shared" si="6"/>
        <v>LOZA FIDEL</v>
      </c>
      <c r="H218" s="20" t="str">
        <f t="shared" si="7"/>
        <v>4032</v>
      </c>
    </row>
    <row r="219" spans="1:8" x14ac:dyDescent="0.3">
      <c r="A219" s="8">
        <v>43045.890659722223</v>
      </c>
      <c r="B219" s="20" t="s">
        <v>671</v>
      </c>
      <c r="C219" s="20" t="s">
        <v>855</v>
      </c>
      <c r="D219" s="138">
        <v>3040000</v>
      </c>
      <c r="E219" s="20" t="s">
        <v>371</v>
      </c>
      <c r="F219" s="20" t="s">
        <v>505</v>
      </c>
      <c r="G219" s="8" t="str">
        <f t="shared" si="6"/>
        <v>WILLIAMS DONTE</v>
      </c>
      <c r="H219" s="20" t="str">
        <f t="shared" si="7"/>
        <v>4049</v>
      </c>
    </row>
    <row r="220" spans="1:8" x14ac:dyDescent="0.3">
      <c r="A220" s="8">
        <v>43045.891377314816</v>
      </c>
      <c r="B220" s="20" t="s">
        <v>557</v>
      </c>
      <c r="C220" s="20" t="s">
        <v>665</v>
      </c>
      <c r="D220" s="138">
        <v>3220000</v>
      </c>
      <c r="E220" s="20" t="s">
        <v>386</v>
      </c>
      <c r="F220" s="20" t="s">
        <v>387</v>
      </c>
      <c r="G220" s="8" t="str">
        <f t="shared" si="6"/>
        <v>RESPASS AARON</v>
      </c>
      <c r="H220" s="20" t="str">
        <f t="shared" si="7"/>
        <v>4009</v>
      </c>
    </row>
    <row r="221" spans="1:8" x14ac:dyDescent="0.3">
      <c r="A221" s="8">
        <v>43045.892326388886</v>
      </c>
      <c r="B221" s="20" t="s">
        <v>644</v>
      </c>
      <c r="C221" s="20" t="s">
        <v>856</v>
      </c>
      <c r="D221" s="138">
        <v>2000000</v>
      </c>
      <c r="E221" s="20" t="s">
        <v>414</v>
      </c>
      <c r="F221" s="20" t="s">
        <v>415</v>
      </c>
      <c r="G221" s="8" t="str">
        <f t="shared" si="6"/>
        <v>STAMBAUGH JAMES</v>
      </c>
      <c r="H221" s="20" t="str">
        <f t="shared" si="7"/>
        <v>4005</v>
      </c>
    </row>
    <row r="222" spans="1:8" x14ac:dyDescent="0.3">
      <c r="A222" s="8">
        <v>43045.905856481484</v>
      </c>
      <c r="B222" s="20" t="s">
        <v>562</v>
      </c>
      <c r="C222" s="20" t="s">
        <v>857</v>
      </c>
      <c r="D222" s="138">
        <v>3500000</v>
      </c>
      <c r="E222" s="20" t="s">
        <v>384</v>
      </c>
      <c r="F222" s="20" t="s">
        <v>385</v>
      </c>
      <c r="G222" s="8" t="str">
        <f t="shared" si="6"/>
        <v>GUNTHIER ERIC</v>
      </c>
      <c r="H222" s="20" t="str">
        <f t="shared" si="7"/>
        <v>4010</v>
      </c>
    </row>
    <row r="223" spans="1:8" x14ac:dyDescent="0.3">
      <c r="A223" s="8">
        <v>43045.909456018519</v>
      </c>
      <c r="B223" s="20" t="s">
        <v>642</v>
      </c>
      <c r="C223" s="20" t="s">
        <v>858</v>
      </c>
      <c r="D223" s="138">
        <v>3700000</v>
      </c>
      <c r="E223" s="20" t="s">
        <v>859</v>
      </c>
      <c r="F223" s="20" t="s">
        <v>377</v>
      </c>
      <c r="G223" s="8" t="str">
        <f t="shared" si="6"/>
        <v>AUSTIN THOMPSON</v>
      </c>
      <c r="H223" s="20" t="str">
        <f t="shared" si="7"/>
        <v>4003</v>
      </c>
    </row>
    <row r="224" spans="1:8" x14ac:dyDescent="0.3">
      <c r="A224" s="8">
        <v>43045.921851851854</v>
      </c>
      <c r="B224" t="s">
        <v>506</v>
      </c>
      <c r="C224" t="s">
        <v>666</v>
      </c>
      <c r="D224" s="138">
        <v>2000000</v>
      </c>
      <c r="E224" t="s">
        <v>414</v>
      </c>
      <c r="F224" s="20" t="s">
        <v>415</v>
      </c>
      <c r="G224" s="8" t="str">
        <f t="shared" si="6"/>
        <v>STAMBAUGH JAMES</v>
      </c>
      <c r="H224" s="20" t="str">
        <f t="shared" si="7"/>
        <v>4006</v>
      </c>
    </row>
    <row r="225" spans="1:8" x14ac:dyDescent="0.3">
      <c r="A225" s="8">
        <v>43045.93378472222</v>
      </c>
      <c r="B225" t="s">
        <v>673</v>
      </c>
      <c r="C225" t="s">
        <v>860</v>
      </c>
      <c r="D225" s="138">
        <v>3040000</v>
      </c>
      <c r="E225" t="s">
        <v>371</v>
      </c>
      <c r="F225" s="20" t="s">
        <v>505</v>
      </c>
      <c r="G225" s="8" t="str">
        <f t="shared" si="6"/>
        <v>WILLIAMS DONTE</v>
      </c>
      <c r="H225" s="20" t="str">
        <f t="shared" si="7"/>
        <v>4050</v>
      </c>
    </row>
    <row r="226" spans="1:8" x14ac:dyDescent="0.3">
      <c r="A226" s="8">
        <v>43045.934074074074</v>
      </c>
      <c r="B226" t="s">
        <v>644</v>
      </c>
      <c r="C226" t="s">
        <v>861</v>
      </c>
      <c r="D226" s="138">
        <v>2000000</v>
      </c>
      <c r="E226" t="s">
        <v>414</v>
      </c>
      <c r="F226" s="20" t="s">
        <v>415</v>
      </c>
      <c r="G226" s="8" t="str">
        <f t="shared" si="6"/>
        <v>STAMBAUGH JAMES</v>
      </c>
      <c r="H226" s="20" t="str">
        <f t="shared" si="7"/>
        <v>4005</v>
      </c>
    </row>
    <row r="227" spans="1:8" x14ac:dyDescent="0.3">
      <c r="A227" s="8">
        <v>43045.934583333335</v>
      </c>
      <c r="B227" t="s">
        <v>484</v>
      </c>
      <c r="C227" t="s">
        <v>862</v>
      </c>
      <c r="D227" s="138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4031</v>
      </c>
    </row>
    <row r="228" spans="1:8" x14ac:dyDescent="0.3">
      <c r="A228" s="8">
        <v>43045.940995370373</v>
      </c>
      <c r="B228" t="s">
        <v>642</v>
      </c>
      <c r="C228" t="s">
        <v>858</v>
      </c>
      <c r="D228" s="138">
        <v>3700000</v>
      </c>
      <c r="E228" t="s">
        <v>859</v>
      </c>
      <c r="F228" s="20" t="s">
        <v>377</v>
      </c>
      <c r="G228" s="8" t="str">
        <f t="shared" si="6"/>
        <v>AUSTIN THOMPSON</v>
      </c>
      <c r="H228" s="20" t="str">
        <f t="shared" si="7"/>
        <v>4003</v>
      </c>
    </row>
    <row r="229" spans="1:8" x14ac:dyDescent="0.3">
      <c r="A229" s="8">
        <v>43045.946574074071</v>
      </c>
      <c r="B229" t="s">
        <v>635</v>
      </c>
      <c r="C229" t="s">
        <v>863</v>
      </c>
      <c r="D229" s="138">
        <v>3700000</v>
      </c>
      <c r="E229" t="s">
        <v>859</v>
      </c>
      <c r="F229" s="20" t="s">
        <v>377</v>
      </c>
      <c r="G229" s="8" t="str">
        <f t="shared" si="6"/>
        <v>AUSTIN THOMPSON</v>
      </c>
      <c r="H229" s="20" t="str">
        <f t="shared" si="7"/>
        <v>4004</v>
      </c>
    </row>
    <row r="230" spans="1:8" x14ac:dyDescent="0.3">
      <c r="A230" s="8">
        <v>43045.951238425929</v>
      </c>
      <c r="B230" t="s">
        <v>557</v>
      </c>
      <c r="C230" t="s">
        <v>864</v>
      </c>
      <c r="D230" s="138">
        <v>3500000</v>
      </c>
      <c r="E230" t="s">
        <v>384</v>
      </c>
      <c r="F230" s="20" t="s">
        <v>385</v>
      </c>
      <c r="G230" s="8" t="str">
        <f t="shared" si="6"/>
        <v>GUNTHIER ERIC</v>
      </c>
      <c r="H230" s="20" t="str">
        <f t="shared" si="7"/>
        <v>4009</v>
      </c>
    </row>
    <row r="231" spans="1:8" x14ac:dyDescent="0.3">
      <c r="A231" s="8">
        <v>43045.9606712963</v>
      </c>
      <c r="B231" t="s">
        <v>506</v>
      </c>
      <c r="C231" t="s">
        <v>865</v>
      </c>
      <c r="D231" s="138">
        <v>2000000</v>
      </c>
      <c r="E231" t="s">
        <v>414</v>
      </c>
      <c r="F231" s="20" t="s">
        <v>415</v>
      </c>
      <c r="G231" s="8" t="str">
        <f t="shared" si="6"/>
        <v>STAMBAUGH JAMES</v>
      </c>
      <c r="H231" s="20" t="str">
        <f t="shared" si="7"/>
        <v>4006</v>
      </c>
    </row>
    <row r="232" spans="1:8" x14ac:dyDescent="0.3">
      <c r="A232" s="8">
        <v>43045.966192129628</v>
      </c>
      <c r="B232" t="s">
        <v>486</v>
      </c>
      <c r="C232" t="s">
        <v>866</v>
      </c>
      <c r="D232" s="138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4032</v>
      </c>
    </row>
    <row r="233" spans="1:8" x14ac:dyDescent="0.3">
      <c r="A233" s="8">
        <v>43045.97378472222</v>
      </c>
      <c r="B233" t="s">
        <v>671</v>
      </c>
      <c r="C233" t="s">
        <v>867</v>
      </c>
      <c r="D233" s="138">
        <v>3040000</v>
      </c>
      <c r="E233" t="s">
        <v>371</v>
      </c>
      <c r="F233" s="20" t="s">
        <v>505</v>
      </c>
      <c r="G233" s="8" t="str">
        <f t="shared" si="6"/>
        <v>WILLIAMS DONTE</v>
      </c>
      <c r="H233" s="20" t="str">
        <f t="shared" si="7"/>
        <v>4049</v>
      </c>
    </row>
    <row r="234" spans="1:8" x14ac:dyDescent="0.3">
      <c r="A234" s="8">
        <v>43045.975555555553</v>
      </c>
      <c r="B234" t="s">
        <v>644</v>
      </c>
      <c r="C234" t="s">
        <v>868</v>
      </c>
      <c r="D234" s="138">
        <v>2000000</v>
      </c>
      <c r="E234" t="s">
        <v>414</v>
      </c>
      <c r="F234" s="20" t="s">
        <v>415</v>
      </c>
      <c r="G234" s="8" t="str">
        <f t="shared" si="6"/>
        <v>STAMBAUGH JAMES</v>
      </c>
      <c r="H234" s="20" t="str">
        <f t="shared" si="7"/>
        <v>4005</v>
      </c>
    </row>
    <row r="235" spans="1:8" x14ac:dyDescent="0.3">
      <c r="A235" s="8">
        <v>43045.987881944442</v>
      </c>
      <c r="B235" t="s">
        <v>562</v>
      </c>
      <c r="C235" t="s">
        <v>869</v>
      </c>
      <c r="D235" s="138">
        <v>3220000</v>
      </c>
      <c r="E235" t="s">
        <v>386</v>
      </c>
      <c r="F235" s="20" t="s">
        <v>387</v>
      </c>
      <c r="G235" s="8" t="str">
        <f t="shared" si="6"/>
        <v>RESPASS AARON</v>
      </c>
      <c r="H235" s="20" t="str">
        <f t="shared" si="7"/>
        <v>4010</v>
      </c>
    </row>
    <row r="236" spans="1:8" x14ac:dyDescent="0.3">
      <c r="A236" s="8">
        <v>43045.994398148148</v>
      </c>
      <c r="B236" t="s">
        <v>642</v>
      </c>
      <c r="C236" t="s">
        <v>870</v>
      </c>
      <c r="D236" s="138">
        <v>3700000</v>
      </c>
      <c r="E236" t="s">
        <v>859</v>
      </c>
      <c r="F236" s="20" t="s">
        <v>377</v>
      </c>
      <c r="G236" s="8" t="str">
        <f t="shared" si="6"/>
        <v>AUSTIN THOMPSON</v>
      </c>
      <c r="H236" s="20" t="str">
        <f t="shared" si="7"/>
        <v>4003</v>
      </c>
    </row>
    <row r="237" spans="1:8" x14ac:dyDescent="0.3">
      <c r="A237" s="8">
        <v>43046.015497685185</v>
      </c>
      <c r="B237" t="s">
        <v>484</v>
      </c>
      <c r="C237" t="s">
        <v>871</v>
      </c>
      <c r="D237" s="138">
        <v>890000</v>
      </c>
      <c r="E237" t="s">
        <v>345</v>
      </c>
      <c r="F237" s="20" t="s">
        <v>346</v>
      </c>
      <c r="G237" s="8" t="str">
        <f t="shared" si="6"/>
        <v>LOZA FIDEL</v>
      </c>
      <c r="H237" s="20" t="str">
        <f t="shared" si="7"/>
        <v>4031</v>
      </c>
    </row>
    <row r="238" spans="1:8" x14ac:dyDescent="0.3">
      <c r="A238" s="8">
        <v>43046.016724537039</v>
      </c>
      <c r="B238" t="s">
        <v>673</v>
      </c>
      <c r="C238" t="s">
        <v>872</v>
      </c>
      <c r="D238" s="138">
        <v>3040000</v>
      </c>
      <c r="E238" t="s">
        <v>371</v>
      </c>
      <c r="F238" s="20" t="s">
        <v>505</v>
      </c>
      <c r="G238" s="8" t="str">
        <f t="shared" si="6"/>
        <v>WILLIAMS DONTE</v>
      </c>
      <c r="H238" s="20" t="str">
        <f t="shared" si="7"/>
        <v>4050</v>
      </c>
    </row>
    <row r="239" spans="1:8" x14ac:dyDescent="0.3">
      <c r="A239" s="8">
        <v>43046.027326388888</v>
      </c>
      <c r="B239" t="s">
        <v>635</v>
      </c>
      <c r="C239" t="s">
        <v>873</v>
      </c>
      <c r="D239" s="138">
        <v>3340000</v>
      </c>
      <c r="E239" t="s">
        <v>514</v>
      </c>
      <c r="F239" s="20" t="s">
        <v>515</v>
      </c>
      <c r="G239" s="8" t="str">
        <f t="shared" si="6"/>
        <v>ELBAUM MIKE</v>
      </c>
      <c r="H239" s="20" t="str">
        <f t="shared" si="7"/>
        <v>4004</v>
      </c>
    </row>
    <row r="240" spans="1:8" x14ac:dyDescent="0.3">
      <c r="A240" s="8">
        <v>43046.036585648151</v>
      </c>
      <c r="B240" t="s">
        <v>557</v>
      </c>
      <c r="C240" t="s">
        <v>874</v>
      </c>
      <c r="D240" s="138">
        <v>3220000</v>
      </c>
      <c r="E240" t="s">
        <v>386</v>
      </c>
      <c r="F240" s="20" t="s">
        <v>387</v>
      </c>
      <c r="G240" s="8" t="str">
        <f t="shared" si="6"/>
        <v>RESPASS AARON</v>
      </c>
      <c r="H240" s="20" t="str">
        <f t="shared" si="7"/>
        <v>4009</v>
      </c>
    </row>
    <row r="241" spans="1:8" x14ac:dyDescent="0.3">
      <c r="A241" s="8">
        <v>43046.038437499999</v>
      </c>
      <c r="B241" t="s">
        <v>557</v>
      </c>
      <c r="C241" t="s">
        <v>874</v>
      </c>
      <c r="D241" s="138">
        <v>3220000</v>
      </c>
      <c r="E241" t="s">
        <v>386</v>
      </c>
      <c r="F241" s="20" t="s">
        <v>387</v>
      </c>
      <c r="G241" s="8" t="str">
        <f t="shared" si="6"/>
        <v>RESPASS AARON</v>
      </c>
      <c r="H241" s="20" t="str">
        <f t="shared" si="7"/>
        <v>4009</v>
      </c>
    </row>
    <row r="242" spans="1:8" x14ac:dyDescent="0.3">
      <c r="A242" s="8">
        <v>43046.048495370371</v>
      </c>
      <c r="B242" t="s">
        <v>486</v>
      </c>
      <c r="C242" t="s">
        <v>875</v>
      </c>
      <c r="D242" s="138">
        <v>890000</v>
      </c>
      <c r="E242" t="s">
        <v>345</v>
      </c>
      <c r="F242" s="20" t="s">
        <v>346</v>
      </c>
      <c r="G242" s="8" t="str">
        <f t="shared" si="6"/>
        <v>LOZA FIDEL</v>
      </c>
      <c r="H242" s="20" t="str">
        <f t="shared" si="7"/>
        <v>4032</v>
      </c>
    </row>
    <row r="243" spans="1:8" x14ac:dyDescent="0.3">
      <c r="A243" s="8">
        <v>43046.057152777779</v>
      </c>
      <c r="B243" t="s">
        <v>671</v>
      </c>
      <c r="C243" t="s">
        <v>876</v>
      </c>
      <c r="D243" s="138">
        <v>3040000</v>
      </c>
      <c r="E243" t="s">
        <v>371</v>
      </c>
      <c r="F243" s="20" t="s">
        <v>505</v>
      </c>
      <c r="G243" s="8" t="str">
        <f t="shared" si="6"/>
        <v>WILLIAMS DONTE</v>
      </c>
      <c r="H243" s="20" t="str">
        <f t="shared" si="7"/>
        <v>4049</v>
      </c>
    </row>
    <row r="244" spans="1:8" x14ac:dyDescent="0.3">
      <c r="A244" s="8">
        <v>43046.071620370371</v>
      </c>
      <c r="B244" t="s">
        <v>562</v>
      </c>
      <c r="C244" t="s">
        <v>877</v>
      </c>
      <c r="D244" s="138">
        <v>3220000</v>
      </c>
      <c r="E244" t="s">
        <v>386</v>
      </c>
      <c r="F244" s="20" t="s">
        <v>387</v>
      </c>
      <c r="G244" s="8" t="str">
        <f t="shared" si="6"/>
        <v>RESPASS AARON</v>
      </c>
      <c r="H244" s="20" t="str">
        <f t="shared" si="7"/>
        <v>4010</v>
      </c>
    </row>
    <row r="245" spans="1:8" x14ac:dyDescent="0.3">
      <c r="A245" s="8">
        <v>43046.091249999998</v>
      </c>
      <c r="B245" t="s">
        <v>673</v>
      </c>
      <c r="C245" t="s">
        <v>878</v>
      </c>
      <c r="D245" s="138">
        <v>3040000</v>
      </c>
      <c r="E245" t="s">
        <v>371</v>
      </c>
      <c r="F245" s="20" t="s">
        <v>505</v>
      </c>
      <c r="G245" s="8" t="str">
        <f t="shared" si="6"/>
        <v>WILLIAMS DONTE</v>
      </c>
      <c r="H245" s="20" t="str">
        <f t="shared" si="7"/>
        <v>4050</v>
      </c>
    </row>
    <row r="246" spans="1:8" x14ac:dyDescent="0.3">
      <c r="A246" s="8">
        <v>43046.114247685182</v>
      </c>
      <c r="B246" t="s">
        <v>402</v>
      </c>
      <c r="C246" t="s">
        <v>879</v>
      </c>
      <c r="D246" s="138">
        <v>1830000</v>
      </c>
      <c r="E246" t="s">
        <v>348</v>
      </c>
      <c r="F246" s="20" t="s">
        <v>349</v>
      </c>
      <c r="G246" s="8" t="str">
        <f t="shared" si="6"/>
        <v>YORK EDGAR</v>
      </c>
      <c r="H246" s="20" t="str">
        <f t="shared" si="7"/>
        <v>4021</v>
      </c>
    </row>
    <row r="247" spans="1:8" x14ac:dyDescent="0.3">
      <c r="A247" s="8">
        <v>43042.068599537037</v>
      </c>
      <c r="B247" t="s">
        <v>368</v>
      </c>
      <c r="C247" t="s">
        <v>516</v>
      </c>
      <c r="D247" s="138">
        <v>3340000</v>
      </c>
      <c r="E247" t="s">
        <v>514</v>
      </c>
      <c r="F247" s="20" t="s">
        <v>515</v>
      </c>
      <c r="G247" s="8" t="str">
        <f t="shared" si="6"/>
        <v>ELBAUM MIKE</v>
      </c>
      <c r="H247" s="20" t="str">
        <f t="shared" si="7"/>
        <v>4036</v>
      </c>
    </row>
    <row r="248" spans="1:8" x14ac:dyDescent="0.3">
      <c r="A248" s="8">
        <v>43042.069988425923</v>
      </c>
      <c r="B248" t="s">
        <v>368</v>
      </c>
      <c r="C248" t="s">
        <v>516</v>
      </c>
      <c r="D248" s="138">
        <v>3340000</v>
      </c>
      <c r="E248" t="s">
        <v>514</v>
      </c>
      <c r="F248" s="20" t="s">
        <v>515</v>
      </c>
      <c r="G248" s="8" t="str">
        <f t="shared" si="6"/>
        <v>ELBAUM MIKE</v>
      </c>
      <c r="H248" s="20" t="str">
        <f t="shared" si="7"/>
        <v>4036</v>
      </c>
    </row>
    <row r="249" spans="1:8" x14ac:dyDescent="0.3">
      <c r="A249" s="8">
        <v>43042.092581018522</v>
      </c>
      <c r="B249" t="s">
        <v>486</v>
      </c>
      <c r="C249" t="s">
        <v>517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4032</v>
      </c>
    </row>
    <row r="250" spans="1:8" x14ac:dyDescent="0.3">
      <c r="A250" s="8">
        <v>43042.111006944448</v>
      </c>
      <c r="B250" t="s">
        <v>483</v>
      </c>
      <c r="C250" t="s">
        <v>518</v>
      </c>
      <c r="D250" s="138">
        <v>1090000</v>
      </c>
      <c r="E250" t="s">
        <v>390</v>
      </c>
      <c r="F250" s="20" t="s">
        <v>354</v>
      </c>
      <c r="G250" s="8" t="str">
        <f t="shared" si="6"/>
        <v>SPECTOR MICHAEL</v>
      </c>
      <c r="H250" s="20" t="str">
        <f t="shared" si="7"/>
        <v>4041</v>
      </c>
    </row>
    <row r="251" spans="1:8" x14ac:dyDescent="0.3">
      <c r="A251" s="8">
        <v>43042.114571759259</v>
      </c>
      <c r="B251" t="s">
        <v>353</v>
      </c>
      <c r="C251" t="s">
        <v>519</v>
      </c>
      <c r="D251" s="138">
        <v>1830000</v>
      </c>
      <c r="E251" t="s">
        <v>348</v>
      </c>
      <c r="F251" s="20" t="s">
        <v>349</v>
      </c>
      <c r="G251" s="8" t="str">
        <f t="shared" si="6"/>
        <v>YORK EDGAR</v>
      </c>
      <c r="H251" s="20" t="str">
        <f t="shared" si="7"/>
        <v>4055</v>
      </c>
    </row>
    <row r="252" spans="1:8" x14ac:dyDescent="0.3">
      <c r="A252" s="8">
        <v>43039.733553240738</v>
      </c>
      <c r="B252" t="s">
        <v>362</v>
      </c>
      <c r="C252" t="s">
        <v>416</v>
      </c>
      <c r="D252" s="138">
        <v>2000000</v>
      </c>
      <c r="E252" t="s">
        <v>414</v>
      </c>
      <c r="F252" s="20" t="s">
        <v>415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369</v>
      </c>
      <c r="C253" t="s">
        <v>403</v>
      </c>
      <c r="D253" s="138">
        <v>880000</v>
      </c>
      <c r="E253" t="s">
        <v>391</v>
      </c>
      <c r="F253" s="20" t="s">
        <v>354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410</v>
      </c>
      <c r="C254" t="s">
        <v>417</v>
      </c>
      <c r="D254" s="138">
        <v>3670000</v>
      </c>
      <c r="E254" t="s">
        <v>394</v>
      </c>
      <c r="F254" s="20" t="s">
        <v>371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370</v>
      </c>
      <c r="C255" t="s">
        <v>418</v>
      </c>
      <c r="D255" s="138">
        <v>3220000</v>
      </c>
      <c r="E255" t="s">
        <v>386</v>
      </c>
      <c r="F255" s="20" t="s">
        <v>387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402</v>
      </c>
      <c r="C256" t="s">
        <v>404</v>
      </c>
      <c r="D256" s="138">
        <v>1300000</v>
      </c>
      <c r="E256" t="s">
        <v>360</v>
      </c>
      <c r="F256" s="20" t="s">
        <v>361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359</v>
      </c>
      <c r="C257" t="s">
        <v>419</v>
      </c>
      <c r="D257" s="138">
        <v>2230000</v>
      </c>
      <c r="E257" t="s">
        <v>413</v>
      </c>
      <c r="F257" s="20" t="s">
        <v>354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364</v>
      </c>
      <c r="C258" t="s">
        <v>420</v>
      </c>
      <c r="D258" s="138">
        <v>2000000</v>
      </c>
      <c r="E258" t="s">
        <v>414</v>
      </c>
      <c r="F258" s="20" t="s">
        <v>415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397</v>
      </c>
      <c r="C259" t="s">
        <v>421</v>
      </c>
      <c r="D259" s="138">
        <v>2970000</v>
      </c>
      <c r="E259" t="s">
        <v>382</v>
      </c>
      <c r="F259" s="20" t="s">
        <v>383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363</v>
      </c>
      <c r="C260" t="s">
        <v>422</v>
      </c>
      <c r="D260" s="138">
        <v>3680000</v>
      </c>
      <c r="E260" t="s">
        <v>411</v>
      </c>
      <c r="F260" s="20" t="s">
        <v>412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378</v>
      </c>
      <c r="C261" t="s">
        <v>423</v>
      </c>
      <c r="D261" s="138">
        <v>3320000</v>
      </c>
      <c r="E261" t="s">
        <v>365</v>
      </c>
      <c r="F261" s="20" t="s">
        <v>366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400</v>
      </c>
      <c r="C262" t="s">
        <v>424</v>
      </c>
      <c r="D262" s="138">
        <v>2630000</v>
      </c>
      <c r="E262" t="s">
        <v>380</v>
      </c>
      <c r="F262" s="20" t="s">
        <v>381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399</v>
      </c>
      <c r="C263" t="s">
        <v>425</v>
      </c>
      <c r="D263" s="138">
        <v>2970000</v>
      </c>
      <c r="E263" t="s">
        <v>382</v>
      </c>
      <c r="F263" s="20" t="s">
        <v>383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368</v>
      </c>
      <c r="C264" t="s">
        <v>426</v>
      </c>
      <c r="D264" s="138">
        <v>2040000</v>
      </c>
      <c r="E264" t="s">
        <v>427</v>
      </c>
      <c r="F264" s="20" t="s">
        <v>428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401</v>
      </c>
      <c r="C265" t="s">
        <v>429</v>
      </c>
      <c r="D265" s="138">
        <v>3670000</v>
      </c>
      <c r="E265" t="s">
        <v>394</v>
      </c>
      <c r="F265" s="20" t="s">
        <v>371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362</v>
      </c>
      <c r="C266" t="s">
        <v>430</v>
      </c>
      <c r="D266" s="138">
        <v>2000000</v>
      </c>
      <c r="E266" t="s">
        <v>414</v>
      </c>
      <c r="F266" s="20" t="s">
        <v>415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398</v>
      </c>
      <c r="C267" t="s">
        <v>431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408</v>
      </c>
      <c r="C268" t="s">
        <v>432</v>
      </c>
      <c r="D268" s="138">
        <v>2230000</v>
      </c>
      <c r="E268" t="s">
        <v>413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364</v>
      </c>
      <c r="C269" t="s">
        <v>433</v>
      </c>
      <c r="D269" s="138">
        <v>2000000</v>
      </c>
      <c r="E269" t="s">
        <v>414</v>
      </c>
      <c r="F269" s="20" t="s">
        <v>415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358</v>
      </c>
      <c r="C270" t="s">
        <v>434</v>
      </c>
      <c r="D270" s="138">
        <v>3500000</v>
      </c>
      <c r="E270" t="s">
        <v>384</v>
      </c>
      <c r="F270" s="20" t="s">
        <v>385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379</v>
      </c>
      <c r="C271" t="s">
        <v>435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397</v>
      </c>
      <c r="C272" t="s">
        <v>436</v>
      </c>
      <c r="D272" s="138">
        <v>2610000</v>
      </c>
      <c r="E272" t="s">
        <v>392</v>
      </c>
      <c r="F272" s="20" t="s">
        <v>393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409</v>
      </c>
      <c r="C273" t="s">
        <v>437</v>
      </c>
      <c r="D273" s="138">
        <v>2630000</v>
      </c>
      <c r="E273" t="s">
        <v>380</v>
      </c>
      <c r="F273" s="20" t="s">
        <v>381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410</v>
      </c>
      <c r="C274" t="s">
        <v>438</v>
      </c>
      <c r="D274" s="138">
        <v>3670000</v>
      </c>
      <c r="E274" t="s">
        <v>394</v>
      </c>
      <c r="F274" s="20" t="s">
        <v>371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369</v>
      </c>
      <c r="C275" t="s">
        <v>439</v>
      </c>
      <c r="D275" s="138">
        <v>2040000</v>
      </c>
      <c r="E275" t="s">
        <v>427</v>
      </c>
      <c r="F275" s="20" t="s">
        <v>428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399</v>
      </c>
      <c r="C276" t="s">
        <v>440</v>
      </c>
      <c r="D276" s="138">
        <v>2610000</v>
      </c>
      <c r="E276" t="s">
        <v>392</v>
      </c>
      <c r="F276" s="20" t="s">
        <v>393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359</v>
      </c>
      <c r="C277" t="s">
        <v>441</v>
      </c>
      <c r="D277" s="138">
        <v>2230000</v>
      </c>
      <c r="E277" t="s">
        <v>413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363</v>
      </c>
      <c r="C278" t="s">
        <v>442</v>
      </c>
      <c r="D278" s="138">
        <v>3500000</v>
      </c>
      <c r="E278" t="s">
        <v>384</v>
      </c>
      <c r="F278" s="20" t="s">
        <v>385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397</v>
      </c>
      <c r="C279" t="s">
        <v>443</v>
      </c>
      <c r="D279" s="138">
        <v>2970000</v>
      </c>
      <c r="E279" t="s">
        <v>382</v>
      </c>
      <c r="F279" s="20" t="s">
        <v>383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378</v>
      </c>
      <c r="C280" t="s">
        <v>444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401</v>
      </c>
      <c r="C281" t="s">
        <v>405</v>
      </c>
      <c r="D281" s="138">
        <v>3670000</v>
      </c>
      <c r="E281" t="s">
        <v>394</v>
      </c>
      <c r="F281" s="20" t="s">
        <v>371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399</v>
      </c>
      <c r="C282" t="s">
        <v>445</v>
      </c>
      <c r="D282" s="138">
        <v>2970000</v>
      </c>
      <c r="E282" t="s">
        <v>382</v>
      </c>
      <c r="F282" s="20" t="s">
        <v>383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368</v>
      </c>
      <c r="C283" t="s">
        <v>446</v>
      </c>
      <c r="D283" s="138">
        <v>2040000</v>
      </c>
      <c r="E283" t="s">
        <v>427</v>
      </c>
      <c r="F283" s="20" t="s">
        <v>428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358</v>
      </c>
      <c r="C284" t="s">
        <v>447</v>
      </c>
      <c r="D284" s="138">
        <v>3500000</v>
      </c>
      <c r="E284" t="s">
        <v>384</v>
      </c>
      <c r="F284" s="20" t="s">
        <v>385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379</v>
      </c>
      <c r="C285" t="s">
        <v>448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397</v>
      </c>
      <c r="C286" t="s">
        <v>449</v>
      </c>
      <c r="D286" s="138">
        <v>2000000</v>
      </c>
      <c r="E286" t="s">
        <v>414</v>
      </c>
      <c r="F286" s="20" t="s">
        <v>415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397</v>
      </c>
      <c r="C287" t="s">
        <v>449</v>
      </c>
      <c r="D287" s="138">
        <v>2000000</v>
      </c>
      <c r="E287" t="s">
        <v>414</v>
      </c>
      <c r="F287" s="20" t="s">
        <v>415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410</v>
      </c>
      <c r="C288" t="s">
        <v>450</v>
      </c>
      <c r="D288" s="138">
        <v>3670000</v>
      </c>
      <c r="E288" t="s">
        <v>394</v>
      </c>
      <c r="F288" s="20" t="s">
        <v>371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369</v>
      </c>
      <c r="C289" t="s">
        <v>451</v>
      </c>
      <c r="D289" s="138">
        <v>2040000</v>
      </c>
      <c r="E289" t="s">
        <v>427</v>
      </c>
      <c r="F289" s="20" t="s">
        <v>428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399</v>
      </c>
      <c r="C290" t="s">
        <v>452</v>
      </c>
      <c r="D290" s="138">
        <v>2000000</v>
      </c>
      <c r="E290" t="s">
        <v>414</v>
      </c>
      <c r="F290" s="20" t="s">
        <v>415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378</v>
      </c>
      <c r="C291" t="s">
        <v>453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363</v>
      </c>
      <c r="C292" t="s">
        <v>454</v>
      </c>
      <c r="D292" s="138">
        <v>3500000</v>
      </c>
      <c r="E292" t="s">
        <v>384</v>
      </c>
      <c r="F292" s="20" t="s">
        <v>385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397</v>
      </c>
      <c r="C293" t="s">
        <v>455</v>
      </c>
      <c r="D293" s="138">
        <v>3220000</v>
      </c>
      <c r="E293" t="s">
        <v>386</v>
      </c>
      <c r="F293" s="20" t="s">
        <v>387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401</v>
      </c>
      <c r="C294" t="s">
        <v>406</v>
      </c>
      <c r="D294" s="138">
        <v>3670000</v>
      </c>
      <c r="E294" t="s">
        <v>394</v>
      </c>
      <c r="F294" s="20" t="s">
        <v>371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368</v>
      </c>
      <c r="C295" t="s">
        <v>456</v>
      </c>
      <c r="D295" s="138">
        <v>2040000</v>
      </c>
      <c r="E295" t="s">
        <v>427</v>
      </c>
      <c r="F295" s="20" t="s">
        <v>428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399</v>
      </c>
      <c r="C296" t="s">
        <v>457</v>
      </c>
      <c r="D296" s="138">
        <v>3220000</v>
      </c>
      <c r="E296" t="s">
        <v>386</v>
      </c>
      <c r="F296" s="20" t="s">
        <v>387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358</v>
      </c>
      <c r="C297" t="s">
        <v>458</v>
      </c>
      <c r="D297" s="138">
        <v>3500000</v>
      </c>
      <c r="E297" t="s">
        <v>384</v>
      </c>
      <c r="F297" s="20" t="s">
        <v>385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379</v>
      </c>
      <c r="C298" t="s">
        <v>459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397</v>
      </c>
      <c r="C299" t="s">
        <v>460</v>
      </c>
      <c r="D299" s="138">
        <v>2000000</v>
      </c>
      <c r="E299" t="s">
        <v>414</v>
      </c>
      <c r="F299" s="20" t="s">
        <v>415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410</v>
      </c>
      <c r="C300" t="s">
        <v>461</v>
      </c>
      <c r="D300" s="138">
        <v>3670000</v>
      </c>
      <c r="E300" t="s">
        <v>394</v>
      </c>
      <c r="F300" s="20" t="s">
        <v>371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369</v>
      </c>
      <c r="C301" t="s">
        <v>462</v>
      </c>
      <c r="D301" s="138">
        <v>2040000</v>
      </c>
      <c r="E301" t="s">
        <v>427</v>
      </c>
      <c r="F301" s="20" t="s">
        <v>428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399</v>
      </c>
      <c r="C302" t="s">
        <v>463</v>
      </c>
      <c r="D302" s="138">
        <v>2000000</v>
      </c>
      <c r="E302" t="s">
        <v>414</v>
      </c>
      <c r="F302" s="20" t="s">
        <v>415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363</v>
      </c>
      <c r="C303" t="s">
        <v>407</v>
      </c>
      <c r="D303" s="138">
        <v>3500000</v>
      </c>
      <c r="E303" t="s">
        <v>384</v>
      </c>
      <c r="F303" s="20" t="s">
        <v>385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378</v>
      </c>
      <c r="C304" t="s">
        <v>464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401</v>
      </c>
      <c r="C305" t="s">
        <v>465</v>
      </c>
      <c r="D305" s="138">
        <v>3670000</v>
      </c>
      <c r="E305" t="s">
        <v>394</v>
      </c>
      <c r="F305" s="20" t="s">
        <v>371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368</v>
      </c>
      <c r="C306" t="s">
        <v>466</v>
      </c>
      <c r="D306" s="138">
        <v>2040000</v>
      </c>
      <c r="E306" t="s">
        <v>427</v>
      </c>
      <c r="F306" s="20" t="s">
        <v>428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358</v>
      </c>
      <c r="C307" t="s">
        <v>467</v>
      </c>
      <c r="D307" s="138">
        <v>3500000</v>
      </c>
      <c r="E307" t="s">
        <v>384</v>
      </c>
      <c r="F307" s="20" t="s">
        <v>385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379</v>
      </c>
      <c r="C308" t="s">
        <v>468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410</v>
      </c>
      <c r="C309" t="s">
        <v>469</v>
      </c>
      <c r="D309" s="138">
        <v>3670000</v>
      </c>
      <c r="E309" t="s">
        <v>394</v>
      </c>
      <c r="F309" s="20" t="s">
        <v>371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369</v>
      </c>
      <c r="C310" t="s">
        <v>470</v>
      </c>
      <c r="D310" s="138">
        <v>2040000</v>
      </c>
      <c r="E310" t="s">
        <v>427</v>
      </c>
      <c r="F310" s="20" t="s">
        <v>428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378</v>
      </c>
      <c r="C311" t="s">
        <v>471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368</v>
      </c>
      <c r="C312" t="s">
        <v>472</v>
      </c>
      <c r="D312" s="138">
        <v>2040000</v>
      </c>
      <c r="E312" t="s">
        <v>427</v>
      </c>
      <c r="F312" s="20" t="s">
        <v>428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880</v>
      </c>
      <c r="I1" s="218" t="s">
        <v>162</v>
      </c>
      <c r="J1" s="218" t="s">
        <v>163</v>
      </c>
      <c r="K1" s="218" t="s">
        <v>576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3">
      <c r="A2" s="196">
        <v>34.15</v>
      </c>
      <c r="B2" s="196">
        <v>0.16</v>
      </c>
      <c r="C2" s="196">
        <v>31.19</v>
      </c>
      <c r="D2" s="8">
        <v>43045</v>
      </c>
      <c r="E2" s="196">
        <v>0.89</v>
      </c>
      <c r="F2" s="196" t="s">
        <v>474</v>
      </c>
      <c r="G2" s="196">
        <v>275.42</v>
      </c>
      <c r="H2" s="196"/>
      <c r="I2" s="196">
        <v>0</v>
      </c>
      <c r="J2" s="196">
        <v>0</v>
      </c>
      <c r="K2" s="196"/>
      <c r="L2" s="196">
        <v>1012.93</v>
      </c>
      <c r="M2" s="196" t="s">
        <v>473</v>
      </c>
      <c r="N2" s="196">
        <v>34.15</v>
      </c>
      <c r="O2" s="196">
        <v>1509951600</v>
      </c>
      <c r="P2" s="196">
        <v>0</v>
      </c>
      <c r="Q2" s="196">
        <v>3.1</v>
      </c>
      <c r="R2" s="196">
        <v>310</v>
      </c>
      <c r="S2" s="196">
        <v>3.31</v>
      </c>
      <c r="T2" s="196">
        <v>1.01</v>
      </c>
    </row>
    <row r="3" spans="1:20" x14ac:dyDescent="0.3">
      <c r="A3" s="196">
        <v>33.380000000000003</v>
      </c>
      <c r="B3" s="196">
        <v>0.25</v>
      </c>
      <c r="C3" s="196">
        <v>30.66</v>
      </c>
      <c r="D3" s="8">
        <v>43045.041666666664</v>
      </c>
      <c r="E3" s="196">
        <v>0.9</v>
      </c>
      <c r="F3" s="196" t="s">
        <v>372</v>
      </c>
      <c r="G3" s="196">
        <v>276.61</v>
      </c>
      <c r="H3" s="196"/>
      <c r="I3" s="196">
        <v>0</v>
      </c>
      <c r="J3" s="196">
        <v>0</v>
      </c>
      <c r="K3" s="196"/>
      <c r="L3" s="196">
        <v>1012.91</v>
      </c>
      <c r="M3" s="196" t="s">
        <v>373</v>
      </c>
      <c r="N3" s="196">
        <v>33.380000000000003</v>
      </c>
      <c r="O3" s="196">
        <v>1509955200</v>
      </c>
      <c r="P3" s="196">
        <v>0</v>
      </c>
      <c r="Q3" s="196">
        <v>3.2</v>
      </c>
      <c r="R3" s="196">
        <v>314</v>
      </c>
      <c r="S3" s="196">
        <v>3.24</v>
      </c>
      <c r="T3" s="196">
        <v>1.18</v>
      </c>
    </row>
    <row r="4" spans="1:20" x14ac:dyDescent="0.3">
      <c r="A4" s="196">
        <v>32.99</v>
      </c>
      <c r="B4" s="196">
        <v>0.33</v>
      </c>
      <c r="C4" s="196">
        <v>30.26</v>
      </c>
      <c r="D4" s="8">
        <v>43045.083333333336</v>
      </c>
      <c r="E4" s="196">
        <v>0.9</v>
      </c>
      <c r="F4" s="196" t="s">
        <v>372</v>
      </c>
      <c r="G4" s="196">
        <v>277.68</v>
      </c>
      <c r="H4" s="196"/>
      <c r="I4" s="196">
        <v>0</v>
      </c>
      <c r="J4" s="196">
        <v>0</v>
      </c>
      <c r="K4" s="196"/>
      <c r="L4" s="196">
        <v>1013.69</v>
      </c>
      <c r="M4" s="196" t="s">
        <v>373</v>
      </c>
      <c r="N4" s="196">
        <v>32.99</v>
      </c>
      <c r="O4" s="196">
        <v>1509958800</v>
      </c>
      <c r="P4" s="196">
        <v>0</v>
      </c>
      <c r="Q4" s="196">
        <v>2.74</v>
      </c>
      <c r="R4" s="196">
        <v>307</v>
      </c>
      <c r="S4" s="196">
        <v>2.56</v>
      </c>
      <c r="T4" s="196">
        <v>0.74</v>
      </c>
    </row>
    <row r="5" spans="1:20" x14ac:dyDescent="0.3">
      <c r="A5" s="196">
        <v>32.86</v>
      </c>
      <c r="B5" s="196">
        <v>0.62</v>
      </c>
      <c r="C5" s="196">
        <v>30.35</v>
      </c>
      <c r="D5" s="8">
        <v>43045.125</v>
      </c>
      <c r="E5" s="196">
        <v>0.9</v>
      </c>
      <c r="F5" s="196" t="s">
        <v>372</v>
      </c>
      <c r="G5" s="196">
        <v>278.51</v>
      </c>
      <c r="H5" s="196"/>
      <c r="I5" s="196">
        <v>0</v>
      </c>
      <c r="J5" s="196">
        <v>0</v>
      </c>
      <c r="K5" s="196"/>
      <c r="L5" s="196">
        <v>1013.93</v>
      </c>
      <c r="M5" s="196" t="s">
        <v>520</v>
      </c>
      <c r="N5" s="196">
        <v>32.86</v>
      </c>
      <c r="O5" s="196">
        <v>1509962400</v>
      </c>
      <c r="P5" s="196">
        <v>0</v>
      </c>
      <c r="Q5" s="196">
        <v>2.4700000000000002</v>
      </c>
      <c r="R5" s="196">
        <v>287</v>
      </c>
      <c r="S5" s="196">
        <v>1.69</v>
      </c>
      <c r="T5" s="196">
        <v>0.39</v>
      </c>
    </row>
    <row r="6" spans="1:20" x14ac:dyDescent="0.3">
      <c r="A6" s="196">
        <v>32.9</v>
      </c>
      <c r="B6" s="196">
        <v>0.71</v>
      </c>
      <c r="C6" s="196">
        <v>30.56</v>
      </c>
      <c r="D6" s="8">
        <v>43045.166666666664</v>
      </c>
      <c r="E6" s="196">
        <v>0.91</v>
      </c>
      <c r="F6" s="196" t="s">
        <v>372</v>
      </c>
      <c r="G6" s="196">
        <v>279.33999999999997</v>
      </c>
      <c r="H6" s="196"/>
      <c r="I6" s="196">
        <v>0</v>
      </c>
      <c r="J6" s="196">
        <v>0</v>
      </c>
      <c r="K6" s="196"/>
      <c r="L6" s="196">
        <v>1014.24</v>
      </c>
      <c r="M6" s="196" t="s">
        <v>520</v>
      </c>
      <c r="N6" s="196">
        <v>32.9</v>
      </c>
      <c r="O6" s="196">
        <v>1509966000</v>
      </c>
      <c r="P6" s="196">
        <v>0</v>
      </c>
      <c r="Q6" s="196">
        <v>2.63</v>
      </c>
      <c r="R6" s="196">
        <v>308</v>
      </c>
      <c r="S6" s="196">
        <v>2.4500000000000002</v>
      </c>
      <c r="T6" s="196">
        <v>0.62</v>
      </c>
    </row>
    <row r="7" spans="1:20" x14ac:dyDescent="0.3">
      <c r="A7" s="196">
        <v>33.29</v>
      </c>
      <c r="B7" s="196">
        <v>0.77</v>
      </c>
      <c r="C7" s="196">
        <v>30.94</v>
      </c>
      <c r="D7" s="8">
        <v>43045.208333333336</v>
      </c>
      <c r="E7" s="196">
        <v>0.91</v>
      </c>
      <c r="F7" s="196" t="s">
        <v>372</v>
      </c>
      <c r="G7" s="196">
        <v>281.92</v>
      </c>
      <c r="H7" s="196"/>
      <c r="I7" s="196">
        <v>0</v>
      </c>
      <c r="J7" s="196">
        <v>0</v>
      </c>
      <c r="K7" s="196"/>
      <c r="L7" s="196">
        <v>1015.3</v>
      </c>
      <c r="M7" s="196" t="s">
        <v>520</v>
      </c>
      <c r="N7" s="196">
        <v>33.29</v>
      </c>
      <c r="O7" s="196">
        <v>1509969600</v>
      </c>
      <c r="P7" s="196">
        <v>0</v>
      </c>
      <c r="Q7" s="196">
        <v>2.25</v>
      </c>
      <c r="R7" s="196">
        <v>305</v>
      </c>
      <c r="S7" s="196">
        <v>2.1</v>
      </c>
      <c r="T7" s="196">
        <v>0.3</v>
      </c>
    </row>
    <row r="8" spans="1:20" x14ac:dyDescent="0.3">
      <c r="A8" s="196">
        <v>33.67</v>
      </c>
      <c r="B8" s="196">
        <v>0.91</v>
      </c>
      <c r="C8" s="196">
        <v>31.4</v>
      </c>
      <c r="D8" s="8">
        <v>43045.25</v>
      </c>
      <c r="E8" s="196">
        <v>0.91</v>
      </c>
      <c r="F8" s="196" t="s">
        <v>881</v>
      </c>
      <c r="G8" s="196">
        <v>281.82</v>
      </c>
      <c r="H8" s="196"/>
      <c r="I8" s="196">
        <v>0</v>
      </c>
      <c r="J8" s="196">
        <v>0</v>
      </c>
      <c r="K8" s="196"/>
      <c r="L8" s="196">
        <v>1015.75</v>
      </c>
      <c r="M8" s="196" t="s">
        <v>882</v>
      </c>
      <c r="N8" s="196">
        <v>33.67</v>
      </c>
      <c r="O8" s="196">
        <v>1509973200</v>
      </c>
      <c r="P8" s="196">
        <v>0</v>
      </c>
      <c r="Q8" s="196">
        <v>1.48</v>
      </c>
      <c r="R8" s="196">
        <v>330</v>
      </c>
      <c r="S8" s="196">
        <v>2.35</v>
      </c>
      <c r="T8" s="196">
        <v>0.67</v>
      </c>
    </row>
    <row r="9" spans="1:20" x14ac:dyDescent="0.3">
      <c r="A9" s="196">
        <v>34.07</v>
      </c>
      <c r="B9" s="196">
        <v>0.99</v>
      </c>
      <c r="C9" s="196">
        <v>31.65</v>
      </c>
      <c r="D9" s="8">
        <v>43045.291666666664</v>
      </c>
      <c r="E9" s="196">
        <v>0.91</v>
      </c>
      <c r="F9" s="196" t="s">
        <v>881</v>
      </c>
      <c r="G9" s="196">
        <v>280.77999999999997</v>
      </c>
      <c r="H9" s="196"/>
      <c r="I9" s="196">
        <v>0</v>
      </c>
      <c r="J9" s="196">
        <v>0</v>
      </c>
      <c r="K9" s="196"/>
      <c r="L9" s="196">
        <v>1016.52</v>
      </c>
      <c r="M9" s="196" t="s">
        <v>882</v>
      </c>
      <c r="N9" s="196">
        <v>34.07</v>
      </c>
      <c r="O9" s="196">
        <v>1509976800</v>
      </c>
      <c r="P9" s="196">
        <v>0</v>
      </c>
      <c r="Q9" s="196">
        <v>1.18</v>
      </c>
      <c r="R9" s="196">
        <v>355</v>
      </c>
      <c r="S9" s="196">
        <v>4.0999999999999996</v>
      </c>
      <c r="T9" s="196">
        <v>1.3</v>
      </c>
    </row>
    <row r="10" spans="1:20" x14ac:dyDescent="0.3">
      <c r="A10" s="196">
        <v>34.25</v>
      </c>
      <c r="B10" s="196">
        <v>0.99</v>
      </c>
      <c r="C10" s="196">
        <v>32.03</v>
      </c>
      <c r="D10" s="8">
        <v>43045.333333333336</v>
      </c>
      <c r="E10" s="196">
        <v>0.91</v>
      </c>
      <c r="F10" s="196" t="s">
        <v>881</v>
      </c>
      <c r="G10" s="196">
        <v>279.61</v>
      </c>
      <c r="H10" s="196"/>
      <c r="I10" s="196">
        <v>0</v>
      </c>
      <c r="J10" s="196">
        <v>0</v>
      </c>
      <c r="K10" s="196"/>
      <c r="L10" s="196">
        <v>1017.65</v>
      </c>
      <c r="M10" s="196" t="s">
        <v>882</v>
      </c>
      <c r="N10" s="196">
        <v>34.25</v>
      </c>
      <c r="O10" s="196">
        <v>1509980400</v>
      </c>
      <c r="P10" s="196">
        <v>0</v>
      </c>
      <c r="Q10" s="196">
        <v>1.17</v>
      </c>
      <c r="R10" s="196">
        <v>359</v>
      </c>
      <c r="S10" s="196">
        <v>5.52</v>
      </c>
      <c r="T10" s="196">
        <v>2.13</v>
      </c>
    </row>
    <row r="11" spans="1:20" x14ac:dyDescent="0.3">
      <c r="A11" s="196">
        <v>34.590000000000003</v>
      </c>
      <c r="B11" s="196">
        <v>0.99</v>
      </c>
      <c r="C11" s="196">
        <v>32.46</v>
      </c>
      <c r="D11" s="8">
        <v>43045.375</v>
      </c>
      <c r="E11" s="196">
        <v>0.92</v>
      </c>
      <c r="F11" s="196" t="s">
        <v>881</v>
      </c>
      <c r="G11" s="196">
        <v>278.08</v>
      </c>
      <c r="H11" s="196"/>
      <c r="I11" s="196">
        <v>2.0000000000000001E-4</v>
      </c>
      <c r="J11" s="196">
        <v>0.04</v>
      </c>
      <c r="K11" s="196" t="s">
        <v>577</v>
      </c>
      <c r="L11" s="196">
        <v>1018</v>
      </c>
      <c r="M11" s="196" t="s">
        <v>882</v>
      </c>
      <c r="N11" s="196">
        <v>34.590000000000003</v>
      </c>
      <c r="O11" s="196">
        <v>1509984000</v>
      </c>
      <c r="P11" s="196">
        <v>1</v>
      </c>
      <c r="Q11" s="196">
        <v>1.37</v>
      </c>
      <c r="R11" s="196">
        <v>1</v>
      </c>
      <c r="S11" s="196">
        <v>6.23</v>
      </c>
      <c r="T11" s="196">
        <v>2.74</v>
      </c>
    </row>
    <row r="12" spans="1:20" x14ac:dyDescent="0.3">
      <c r="A12" s="196">
        <v>34.950000000000003</v>
      </c>
      <c r="B12" s="196">
        <v>0.99</v>
      </c>
      <c r="C12" s="196">
        <v>32.72</v>
      </c>
      <c r="D12" s="8">
        <v>43045.416666666664</v>
      </c>
      <c r="E12" s="196">
        <v>0.91</v>
      </c>
      <c r="F12" s="196" t="s">
        <v>883</v>
      </c>
      <c r="G12" s="196">
        <v>276.52999999999997</v>
      </c>
      <c r="H12" s="196"/>
      <c r="I12" s="196">
        <v>2.0000000000000001E-4</v>
      </c>
      <c r="J12" s="196">
        <v>0.03</v>
      </c>
      <c r="K12" s="196" t="s">
        <v>577</v>
      </c>
      <c r="L12" s="196">
        <v>1016.91</v>
      </c>
      <c r="M12" s="196" t="s">
        <v>884</v>
      </c>
      <c r="N12" s="196">
        <v>34.950000000000003</v>
      </c>
      <c r="O12" s="196">
        <v>1509987600</v>
      </c>
      <c r="P12" s="196">
        <v>1</v>
      </c>
      <c r="Q12" s="196">
        <v>2.0099999999999998</v>
      </c>
      <c r="R12" s="196">
        <v>351</v>
      </c>
      <c r="S12" s="196">
        <v>5.49</v>
      </c>
      <c r="T12" s="196">
        <v>2.1800000000000002</v>
      </c>
    </row>
    <row r="13" spans="1:20" x14ac:dyDescent="0.3">
      <c r="A13" s="196">
        <v>35.78</v>
      </c>
      <c r="B13" s="196">
        <v>0.99</v>
      </c>
      <c r="C13" s="196">
        <v>33.049999999999997</v>
      </c>
      <c r="D13" s="8">
        <v>43045.458333333336</v>
      </c>
      <c r="E13" s="196">
        <v>0.9</v>
      </c>
      <c r="F13" s="196" t="s">
        <v>883</v>
      </c>
      <c r="G13" s="196">
        <v>274.73</v>
      </c>
      <c r="H13" s="196"/>
      <c r="I13" s="196">
        <v>0</v>
      </c>
      <c r="J13" s="196">
        <v>0</v>
      </c>
      <c r="K13" s="196"/>
      <c r="L13" s="196">
        <v>1017.24</v>
      </c>
      <c r="M13" s="196" t="s">
        <v>884</v>
      </c>
      <c r="N13" s="196">
        <v>35.78</v>
      </c>
      <c r="O13" s="196">
        <v>1509991200</v>
      </c>
      <c r="P13" s="196">
        <v>2</v>
      </c>
      <c r="Q13" s="196">
        <v>2.38</v>
      </c>
      <c r="R13" s="196">
        <v>349</v>
      </c>
      <c r="S13" s="196">
        <v>4.03</v>
      </c>
      <c r="T13" s="196">
        <v>1.36</v>
      </c>
    </row>
    <row r="14" spans="1:20" x14ac:dyDescent="0.3">
      <c r="A14" s="196">
        <v>36.85</v>
      </c>
      <c r="B14" s="196">
        <v>0.99</v>
      </c>
      <c r="C14" s="196">
        <v>33.31</v>
      </c>
      <c r="D14" s="8">
        <v>43045.5</v>
      </c>
      <c r="E14" s="196">
        <v>0.87</v>
      </c>
      <c r="F14" s="196" t="s">
        <v>883</v>
      </c>
      <c r="G14" s="196">
        <v>274.97000000000003</v>
      </c>
      <c r="H14" s="196"/>
      <c r="I14" s="196">
        <v>0</v>
      </c>
      <c r="J14" s="196">
        <v>0</v>
      </c>
      <c r="K14" s="196"/>
      <c r="L14" s="196">
        <v>1016.06</v>
      </c>
      <c r="M14" s="196" t="s">
        <v>884</v>
      </c>
      <c r="N14" s="196">
        <v>36.85</v>
      </c>
      <c r="O14" s="196">
        <v>1509994800</v>
      </c>
      <c r="P14" s="196">
        <v>2</v>
      </c>
      <c r="Q14" s="196">
        <v>2.68</v>
      </c>
      <c r="R14" s="196">
        <v>352</v>
      </c>
      <c r="S14" s="196">
        <v>3.49</v>
      </c>
      <c r="T14" s="196">
        <v>0.7</v>
      </c>
    </row>
    <row r="15" spans="1:20" x14ac:dyDescent="0.3">
      <c r="A15" s="196">
        <v>38.07</v>
      </c>
      <c r="B15" s="196">
        <v>0.97</v>
      </c>
      <c r="C15" s="196">
        <v>33.44</v>
      </c>
      <c r="D15" s="8">
        <v>43045.541666666664</v>
      </c>
      <c r="E15" s="196">
        <v>0.83</v>
      </c>
      <c r="F15" s="196" t="s">
        <v>883</v>
      </c>
      <c r="G15" s="196">
        <v>276.17</v>
      </c>
      <c r="H15" s="196"/>
      <c r="I15" s="196">
        <v>0</v>
      </c>
      <c r="J15" s="196">
        <v>0</v>
      </c>
      <c r="K15" s="196"/>
      <c r="L15" s="196">
        <v>1015.1</v>
      </c>
      <c r="M15" s="196" t="s">
        <v>884</v>
      </c>
      <c r="N15" s="196">
        <v>38.07</v>
      </c>
      <c r="O15" s="196">
        <v>1509998400</v>
      </c>
      <c r="P15" s="196">
        <v>2</v>
      </c>
      <c r="Q15" s="196">
        <v>3.13</v>
      </c>
      <c r="R15" s="196">
        <v>337</v>
      </c>
      <c r="S15" s="196">
        <v>3.57</v>
      </c>
      <c r="T15" s="196">
        <v>0.78</v>
      </c>
    </row>
    <row r="16" spans="1:20" x14ac:dyDescent="0.3">
      <c r="A16" s="196">
        <v>39.18</v>
      </c>
      <c r="B16" s="196">
        <v>0.94</v>
      </c>
      <c r="C16" s="196">
        <v>33.18</v>
      </c>
      <c r="D16" s="8">
        <v>43045.583333333336</v>
      </c>
      <c r="E16" s="196">
        <v>0.79</v>
      </c>
      <c r="F16" s="196" t="s">
        <v>883</v>
      </c>
      <c r="G16" s="196">
        <v>277.01</v>
      </c>
      <c r="H16" s="196"/>
      <c r="I16" s="196">
        <v>0</v>
      </c>
      <c r="J16" s="196">
        <v>0</v>
      </c>
      <c r="K16" s="196"/>
      <c r="L16" s="196">
        <v>1015.09</v>
      </c>
      <c r="M16" s="196" t="s">
        <v>884</v>
      </c>
      <c r="N16" s="196">
        <v>39.18</v>
      </c>
      <c r="O16" s="196">
        <v>1510002000</v>
      </c>
      <c r="P16" s="196">
        <v>1</v>
      </c>
      <c r="Q16" s="196">
        <v>3.26</v>
      </c>
      <c r="R16" s="196">
        <v>341</v>
      </c>
      <c r="S16" s="196">
        <v>3.91</v>
      </c>
      <c r="T16" s="196">
        <v>0.62</v>
      </c>
    </row>
    <row r="17" spans="1:20" x14ac:dyDescent="0.3">
      <c r="A17" s="196">
        <v>40.28</v>
      </c>
      <c r="B17" s="196">
        <v>0.71</v>
      </c>
      <c r="C17" s="196">
        <v>33.08</v>
      </c>
      <c r="D17" s="8">
        <v>43045.625</v>
      </c>
      <c r="E17" s="196">
        <v>0.75</v>
      </c>
      <c r="F17" s="196" t="s">
        <v>521</v>
      </c>
      <c r="G17" s="196">
        <v>277.48</v>
      </c>
      <c r="H17" s="196"/>
      <c r="I17" s="196">
        <v>0</v>
      </c>
      <c r="J17" s="196">
        <v>0</v>
      </c>
      <c r="K17" s="196"/>
      <c r="L17" s="196">
        <v>1014.56</v>
      </c>
      <c r="M17" s="196" t="s">
        <v>520</v>
      </c>
      <c r="N17" s="196">
        <v>40.28</v>
      </c>
      <c r="O17" s="196">
        <v>1510005600</v>
      </c>
      <c r="P17" s="196">
        <v>1</v>
      </c>
      <c r="Q17" s="196">
        <v>3.32</v>
      </c>
      <c r="R17" s="196">
        <v>196</v>
      </c>
      <c r="S17" s="196">
        <v>3.29</v>
      </c>
      <c r="T17" s="196">
        <v>0.31</v>
      </c>
    </row>
    <row r="18" spans="1:20" x14ac:dyDescent="0.3">
      <c r="A18" s="196">
        <v>40.08</v>
      </c>
      <c r="B18" s="196">
        <v>0.61</v>
      </c>
      <c r="C18" s="196">
        <v>32.86</v>
      </c>
      <c r="D18" s="8">
        <v>43045.666666666664</v>
      </c>
      <c r="E18" s="196">
        <v>0.75</v>
      </c>
      <c r="F18" s="196" t="s">
        <v>521</v>
      </c>
      <c r="G18" s="196">
        <v>277.83999999999997</v>
      </c>
      <c r="H18" s="196"/>
      <c r="I18" s="196">
        <v>0</v>
      </c>
      <c r="J18" s="196">
        <v>0</v>
      </c>
      <c r="K18" s="196"/>
      <c r="L18" s="196">
        <v>1015.39</v>
      </c>
      <c r="M18" s="196" t="s">
        <v>520</v>
      </c>
      <c r="N18" s="196">
        <v>40.08</v>
      </c>
      <c r="O18" s="196">
        <v>1510009200</v>
      </c>
      <c r="P18" s="196">
        <v>0</v>
      </c>
      <c r="Q18" s="196">
        <v>3.35</v>
      </c>
      <c r="R18" s="196">
        <v>198</v>
      </c>
      <c r="S18" s="196">
        <v>4.22</v>
      </c>
      <c r="T18" s="196">
        <v>0.9</v>
      </c>
    </row>
    <row r="19" spans="1:20" x14ac:dyDescent="0.3">
      <c r="A19" s="196">
        <v>38.619999999999997</v>
      </c>
      <c r="B19" s="196">
        <v>0.44</v>
      </c>
      <c r="C19" s="196">
        <v>31.94</v>
      </c>
      <c r="D19" s="8">
        <v>43045.708333333336</v>
      </c>
      <c r="E19" s="196">
        <v>0.77</v>
      </c>
      <c r="F19" s="196" t="s">
        <v>372</v>
      </c>
      <c r="G19" s="196">
        <v>279.51</v>
      </c>
      <c r="H19" s="196"/>
      <c r="I19" s="196">
        <v>0</v>
      </c>
      <c r="J19" s="196">
        <v>0</v>
      </c>
      <c r="K19" s="196"/>
      <c r="L19" s="196">
        <v>1017.48</v>
      </c>
      <c r="M19" s="196" t="s">
        <v>373</v>
      </c>
      <c r="N19" s="196">
        <v>38.619999999999997</v>
      </c>
      <c r="O19" s="196">
        <v>1510012800</v>
      </c>
      <c r="P19" s="196">
        <v>0</v>
      </c>
      <c r="Q19" s="196">
        <v>3.31</v>
      </c>
      <c r="R19" s="196">
        <v>206</v>
      </c>
      <c r="S19" s="196">
        <v>3</v>
      </c>
      <c r="T19" s="196">
        <v>0.7</v>
      </c>
    </row>
    <row r="20" spans="1:20" x14ac:dyDescent="0.3">
      <c r="A20" s="196">
        <v>36.53</v>
      </c>
      <c r="B20" s="196">
        <v>0.18</v>
      </c>
      <c r="C20" s="196">
        <v>30.96</v>
      </c>
      <c r="D20" s="8">
        <v>43045.75</v>
      </c>
      <c r="E20" s="196">
        <v>0.8</v>
      </c>
      <c r="F20" s="196" t="s">
        <v>474</v>
      </c>
      <c r="G20" s="196">
        <v>279.27999999999997</v>
      </c>
      <c r="H20" s="196"/>
      <c r="I20" s="196">
        <v>0</v>
      </c>
      <c r="J20" s="196">
        <v>0</v>
      </c>
      <c r="K20" s="196"/>
      <c r="L20" s="196">
        <v>1018.25</v>
      </c>
      <c r="M20" s="196" t="s">
        <v>473</v>
      </c>
      <c r="N20" s="196">
        <v>36.53</v>
      </c>
      <c r="O20" s="196">
        <v>1510016400</v>
      </c>
      <c r="P20" s="196">
        <v>0</v>
      </c>
      <c r="Q20" s="196">
        <v>3.35</v>
      </c>
      <c r="R20" s="196">
        <v>233</v>
      </c>
      <c r="S20" s="196">
        <v>2.15</v>
      </c>
      <c r="T20" s="196">
        <v>0.55000000000000004</v>
      </c>
    </row>
    <row r="21" spans="1:20" x14ac:dyDescent="0.3">
      <c r="A21" s="196">
        <v>34.75</v>
      </c>
      <c r="B21" s="196">
        <v>0.31</v>
      </c>
      <c r="C21" s="196">
        <v>30.32</v>
      </c>
      <c r="D21" s="8">
        <v>43045.791666666664</v>
      </c>
      <c r="E21" s="196">
        <v>0.84</v>
      </c>
      <c r="F21" s="196" t="s">
        <v>372</v>
      </c>
      <c r="G21" s="196">
        <v>278.56</v>
      </c>
      <c r="H21" s="196"/>
      <c r="I21" s="196">
        <v>0</v>
      </c>
      <c r="J21" s="196">
        <v>0</v>
      </c>
      <c r="K21" s="196"/>
      <c r="L21" s="196">
        <v>1019.13</v>
      </c>
      <c r="M21" s="196" t="s">
        <v>373</v>
      </c>
      <c r="N21" s="196">
        <v>34.75</v>
      </c>
      <c r="O21" s="196">
        <v>1510020000</v>
      </c>
      <c r="P21" s="196">
        <v>0</v>
      </c>
      <c r="Q21" s="196">
        <v>3.35</v>
      </c>
      <c r="R21" s="196">
        <v>293</v>
      </c>
      <c r="S21" s="196">
        <v>1.48</v>
      </c>
      <c r="T21" s="196">
        <v>0.34</v>
      </c>
    </row>
    <row r="22" spans="1:20" x14ac:dyDescent="0.3">
      <c r="A22" s="196">
        <v>33.299999999999997</v>
      </c>
      <c r="B22" s="196">
        <v>0.51</v>
      </c>
      <c r="C22" s="196">
        <v>29.83</v>
      </c>
      <c r="D22" s="8">
        <v>43045.833333333336</v>
      </c>
      <c r="E22" s="196">
        <v>0.87</v>
      </c>
      <c r="F22" s="196" t="s">
        <v>372</v>
      </c>
      <c r="G22" s="196">
        <v>278.08999999999997</v>
      </c>
      <c r="H22" s="196"/>
      <c r="I22" s="196">
        <v>0</v>
      </c>
      <c r="J22" s="196">
        <v>0</v>
      </c>
      <c r="K22" s="196"/>
      <c r="L22" s="196">
        <v>1020.31</v>
      </c>
      <c r="M22" s="196" t="s">
        <v>373</v>
      </c>
      <c r="N22" s="196">
        <v>33.299999999999997</v>
      </c>
      <c r="O22" s="196">
        <v>1510023600</v>
      </c>
      <c r="P22" s="196">
        <v>0</v>
      </c>
      <c r="Q22" s="196">
        <v>4.2300000000000004</v>
      </c>
      <c r="R22" s="196">
        <v>9</v>
      </c>
      <c r="S22" s="196">
        <v>1.39</v>
      </c>
      <c r="T22" s="196">
        <v>0.51</v>
      </c>
    </row>
    <row r="23" spans="1:20" x14ac:dyDescent="0.3">
      <c r="A23" s="196">
        <v>35.65</v>
      </c>
      <c r="B23" s="196">
        <v>0.78</v>
      </c>
      <c r="C23" s="196">
        <v>31.66</v>
      </c>
      <c r="D23" s="8">
        <v>43045.875</v>
      </c>
      <c r="E23" s="196">
        <v>0.85</v>
      </c>
      <c r="F23" s="196" t="s">
        <v>372</v>
      </c>
      <c r="G23" s="196">
        <v>278.45</v>
      </c>
      <c r="H23" s="196"/>
      <c r="I23" s="196">
        <v>0</v>
      </c>
      <c r="J23" s="196">
        <v>0</v>
      </c>
      <c r="K23" s="196"/>
      <c r="L23" s="196">
        <v>1021.51</v>
      </c>
      <c r="M23" s="196" t="s">
        <v>520</v>
      </c>
      <c r="N23" s="196">
        <v>35.65</v>
      </c>
      <c r="O23" s="196">
        <v>1510027200</v>
      </c>
      <c r="P23" s="196">
        <v>0</v>
      </c>
      <c r="Q23" s="196">
        <v>3.17</v>
      </c>
      <c r="R23" s="196">
        <v>8</v>
      </c>
      <c r="S23" s="196">
        <v>4.7</v>
      </c>
      <c r="T23" s="196">
        <v>1.85</v>
      </c>
    </row>
    <row r="24" spans="1:20" x14ac:dyDescent="0.3">
      <c r="A24" s="196">
        <v>36.75</v>
      </c>
      <c r="B24" s="196">
        <v>0.85</v>
      </c>
      <c r="C24" s="196">
        <v>32.22</v>
      </c>
      <c r="D24" s="8">
        <v>43045.916666666664</v>
      </c>
      <c r="E24" s="196">
        <v>0.83</v>
      </c>
      <c r="F24" s="196" t="s">
        <v>372</v>
      </c>
      <c r="G24" s="196">
        <v>279.17</v>
      </c>
      <c r="H24" s="196"/>
      <c r="I24" s="196">
        <v>0</v>
      </c>
      <c r="J24" s="196">
        <v>0</v>
      </c>
      <c r="K24" s="196"/>
      <c r="L24" s="196">
        <v>1022.06</v>
      </c>
      <c r="M24" s="196" t="s">
        <v>520</v>
      </c>
      <c r="N24" s="196">
        <v>36.75</v>
      </c>
      <c r="O24" s="196">
        <v>1510030800</v>
      </c>
      <c r="P24" s="196">
        <v>0</v>
      </c>
      <c r="Q24" s="196">
        <v>3.22</v>
      </c>
      <c r="R24" s="196">
        <v>17</v>
      </c>
      <c r="S24" s="196">
        <v>6.94</v>
      </c>
      <c r="T24" s="196">
        <v>2.64</v>
      </c>
    </row>
    <row r="25" spans="1:20" x14ac:dyDescent="0.3">
      <c r="A25" s="196">
        <v>36.270000000000003</v>
      </c>
      <c r="B25" s="196">
        <v>0.89</v>
      </c>
      <c r="C25" s="196">
        <v>31.95</v>
      </c>
      <c r="D25" s="8">
        <v>43045.958333333336</v>
      </c>
      <c r="E25" s="196">
        <v>0.84</v>
      </c>
      <c r="F25" s="196" t="s">
        <v>372</v>
      </c>
      <c r="G25" s="196">
        <v>279.41000000000003</v>
      </c>
      <c r="H25" s="196"/>
      <c r="I25" s="196">
        <v>8.9999999999999998E-4</v>
      </c>
      <c r="J25" s="196">
        <v>0.11</v>
      </c>
      <c r="K25" s="196" t="s">
        <v>577</v>
      </c>
      <c r="L25" s="196">
        <v>1022.71</v>
      </c>
      <c r="M25" s="196" t="s">
        <v>520</v>
      </c>
      <c r="N25" s="196">
        <v>36.270000000000003</v>
      </c>
      <c r="O25" s="196">
        <v>1510034400</v>
      </c>
      <c r="P25" s="196">
        <v>0</v>
      </c>
      <c r="Q25" s="196">
        <v>3.2</v>
      </c>
      <c r="R25" s="196">
        <v>37</v>
      </c>
      <c r="S25" s="196">
        <v>6.4</v>
      </c>
      <c r="T25" s="196">
        <v>2.61</v>
      </c>
    </row>
    <row r="26" spans="1:20" x14ac:dyDescent="0.3">
      <c r="A26" s="196">
        <v>35.6</v>
      </c>
      <c r="B26" s="196">
        <v>0.97</v>
      </c>
      <c r="C26" s="196">
        <v>31.62</v>
      </c>
      <c r="D26" s="8">
        <v>43046</v>
      </c>
      <c r="E26" s="196">
        <v>0.85</v>
      </c>
      <c r="F26" s="196" t="s">
        <v>883</v>
      </c>
      <c r="G26" s="196">
        <v>279.17</v>
      </c>
      <c r="H26" s="196"/>
      <c r="I26" s="196">
        <v>5.4000000000000003E-3</v>
      </c>
      <c r="J26" s="196">
        <v>0.21</v>
      </c>
      <c r="K26" s="196" t="s">
        <v>577</v>
      </c>
      <c r="L26" s="196">
        <v>1023.07</v>
      </c>
      <c r="M26" s="196" t="s">
        <v>884</v>
      </c>
      <c r="N26" s="196">
        <v>35.6</v>
      </c>
      <c r="O26" s="196">
        <v>1510038000</v>
      </c>
      <c r="P26" s="196">
        <v>0</v>
      </c>
      <c r="Q26" s="196">
        <v>2.56</v>
      </c>
      <c r="R26" s="196">
        <v>33</v>
      </c>
      <c r="S26" s="196">
        <v>4.9400000000000004</v>
      </c>
      <c r="T26" s="196">
        <v>1.99</v>
      </c>
    </row>
    <row r="27" spans="1:20" x14ac:dyDescent="0.3">
      <c r="A27" s="196">
        <v>34.06</v>
      </c>
      <c r="B27" s="196">
        <v>0.91</v>
      </c>
      <c r="C27" s="196">
        <v>31.41</v>
      </c>
      <c r="D27" s="8">
        <v>43046.041666666664</v>
      </c>
      <c r="E27" s="196">
        <v>0.9</v>
      </c>
      <c r="F27" s="196" t="s">
        <v>372</v>
      </c>
      <c r="G27" s="196">
        <v>278.57</v>
      </c>
      <c r="H27" s="196"/>
      <c r="I27" s="196">
        <v>3.3999999999999998E-3</v>
      </c>
      <c r="J27" s="196">
        <v>0.38</v>
      </c>
      <c r="K27" s="196" t="s">
        <v>577</v>
      </c>
      <c r="L27" s="196">
        <v>1023.97</v>
      </c>
      <c r="M27" s="196" t="s">
        <v>520</v>
      </c>
      <c r="N27" s="196">
        <v>34.06</v>
      </c>
      <c r="O27" s="196">
        <v>1510041600</v>
      </c>
      <c r="P27" s="196">
        <v>0</v>
      </c>
      <c r="Q27" s="196">
        <v>2.0299999999999998</v>
      </c>
      <c r="R27" s="196">
        <v>5</v>
      </c>
      <c r="S27" s="196">
        <v>5.92</v>
      </c>
      <c r="T27" s="196">
        <v>2.58</v>
      </c>
    </row>
    <row r="28" spans="1:20" x14ac:dyDescent="0.3">
      <c r="A28" s="196">
        <v>28.17</v>
      </c>
      <c r="B28" s="196">
        <v>0.98</v>
      </c>
      <c r="C28" s="196">
        <v>29.93</v>
      </c>
      <c r="D28" s="8">
        <v>43046.083333333336</v>
      </c>
      <c r="E28" s="196">
        <v>0.91</v>
      </c>
      <c r="F28" s="196" t="s">
        <v>881</v>
      </c>
      <c r="G28" s="196">
        <v>278.22000000000003</v>
      </c>
      <c r="H28" s="196">
        <v>5.1999999999999998E-2</v>
      </c>
      <c r="I28" s="196">
        <v>6.8999999999999999E-3</v>
      </c>
      <c r="J28" s="196">
        <v>0.55000000000000004</v>
      </c>
      <c r="K28" s="196" t="s">
        <v>885</v>
      </c>
      <c r="L28" s="196">
        <v>1024.29</v>
      </c>
      <c r="M28" s="196" t="s">
        <v>882</v>
      </c>
      <c r="N28" s="196">
        <v>32.29</v>
      </c>
      <c r="O28" s="196">
        <v>1510045200</v>
      </c>
      <c r="P28" s="196">
        <v>0</v>
      </c>
      <c r="Q28" s="196">
        <v>1.39</v>
      </c>
      <c r="R28" s="196">
        <v>359</v>
      </c>
      <c r="S28" s="196">
        <v>9.59</v>
      </c>
      <c r="T28" s="196">
        <v>4.2300000000000004</v>
      </c>
    </row>
    <row r="29" spans="1:20" x14ac:dyDescent="0.3">
      <c r="A29" s="196">
        <v>25.62</v>
      </c>
      <c r="B29" s="196">
        <v>0.99</v>
      </c>
      <c r="C29" s="196">
        <v>28.61</v>
      </c>
      <c r="D29" s="8">
        <v>43046.125</v>
      </c>
      <c r="E29" s="196">
        <v>0.91</v>
      </c>
      <c r="F29" s="196" t="s">
        <v>881</v>
      </c>
      <c r="G29" s="196">
        <v>278.57</v>
      </c>
      <c r="H29" s="196">
        <v>5.5E-2</v>
      </c>
      <c r="I29" s="196">
        <v>6.6E-3</v>
      </c>
      <c r="J29" s="196">
        <v>0.5</v>
      </c>
      <c r="K29" s="196" t="s">
        <v>885</v>
      </c>
      <c r="L29" s="196">
        <v>1025.6600000000001</v>
      </c>
      <c r="M29" s="196" t="s">
        <v>882</v>
      </c>
      <c r="N29" s="196">
        <v>30.89</v>
      </c>
      <c r="O29" s="196">
        <v>1510048800</v>
      </c>
      <c r="P29" s="196">
        <v>0</v>
      </c>
      <c r="Q29" s="196">
        <v>1.4</v>
      </c>
      <c r="R29" s="196">
        <v>13</v>
      </c>
      <c r="S29" s="196">
        <v>10.52</v>
      </c>
      <c r="T29" s="196">
        <v>5.16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43045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1098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1099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1100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1101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1102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1103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1104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1105</v>
      </c>
      <c r="J25" s="140" t="s">
        <v>144</v>
      </c>
      <c r="M25" s="154" t="b">
        <v>1</v>
      </c>
    </row>
    <row r="26" spans="3:24" x14ac:dyDescent="0.3">
      <c r="C26" t="s">
        <v>1106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%USERPROFILE%\Documents\GitHub\eaglep3-reporting\EC\2017-11-06-refined-times.txt</v>
      </c>
    </row>
    <row r="27" spans="3:24" x14ac:dyDescent="0.3">
      <c r="C27" t="s">
        <v>1107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%USERPROFILE%\Documents\GitHub\eaglep3-reporting\EC\2017-11-06-Enforcements.txt</v>
      </c>
    </row>
    <row r="28" spans="3:24" x14ac:dyDescent="0.3">
      <c r="C28" t="s">
        <v>1108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%USERPROFILE%\Documents\GitHub\eaglep3-reporting\EC\2017-11-06-Runs-refined.txt</v>
      </c>
    </row>
    <row r="29" spans="3:24" x14ac:dyDescent="0.3">
      <c r="C29" t="s">
        <v>1109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%USERPROFILE%\Documents\GitHub\eaglep3-reporting\EC\2017-11-06-Trips.txt</v>
      </c>
    </row>
    <row r="30" spans="3:24" x14ac:dyDescent="0.3">
      <c r="C30" t="s">
        <v>1110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%USERPROFILE%\Documents\GitHub\eaglep3-reporting\EC\2017-11-06-Weather.txt</v>
      </c>
    </row>
    <row r="31" spans="3:24" x14ac:dyDescent="0.3">
      <c r="C31" t="s">
        <v>1111</v>
      </c>
      <c r="J31" s="140" t="s">
        <v>188</v>
      </c>
      <c r="M31" s="154" t="s">
        <v>189</v>
      </c>
    </row>
    <row r="32" spans="3:24" x14ac:dyDescent="0.3">
      <c r="C32" t="s">
        <v>1112</v>
      </c>
    </row>
    <row r="33" spans="3:3" x14ac:dyDescent="0.3">
      <c r="C33" t="s">
        <v>1113</v>
      </c>
    </row>
    <row r="34" spans="3:3" x14ac:dyDescent="0.3">
      <c r="C34" t="s">
        <v>1114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8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2017-11-07T16:26:42Z</dcterms:modified>
</cp:coreProperties>
</file>